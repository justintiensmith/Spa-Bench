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60c0e8eedb421a" /></Relationships>
</file>

<file path=xl/workbook.xml><?xml version="1.0" encoding="utf-8"?>
<x:workbook xmlns:x="http://schemas.openxmlformats.org/spreadsheetml/2006/main">
  <x:sheets>
    <x:sheet xmlns:r="http://schemas.openxmlformats.org/officeDocument/2006/relationships" name="Design Summary" sheetId="1" r:id="R0c415960900b43c5"/>
    <x:sheet xmlns:r="http://schemas.openxmlformats.org/officeDocument/2006/relationships" name="Holdout Map" sheetId="2" r:id="Ra55dd1c4ca5c475a"/>
    <x:sheet xmlns:r="http://schemas.openxmlformats.org/officeDocument/2006/relationships" name="Updated Prompt Manifest" sheetId="3" r:id="R3414cba376504378"/>
    <x:sheet xmlns:r="http://schemas.openxmlformats.org/officeDocument/2006/relationships" name="Prompt Change Queue" sheetId="4" r:id="R7a3d6826fc6e4ffa"/>
    <x:sheet xmlns:r="http://schemas.openxmlformats.org/officeDocument/2006/relationships" name="Manifest QA" sheetId="5" r:id="R5976f112b9ce48b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Aptos Display"/>
    </x:font>
    <x:font>
      <x:sz val="10"/>
      <x:color rgb="FF17324D"/>
      <x:name val="Aptos"/>
    </x:font>
    <x:font>
      <x:b/>
      <x:sz val="10"/>
      <x:color rgb="FFFFFFFF"/>
      <x:name val="Aptos"/>
    </x:font>
    <x:font>
      <x:sz val="10"/>
      <x:name val="Aptos"/>
    </x:font>
  </x:fonts>
  <x:fills count="8">
    <x:fill>
      <x:patternFill patternType="none"/>
    </x:fill>
    <x:fill>
      <x:patternFill patternType="gray125"/>
    </x:fill>
    <x:fill>
      <x:patternFill patternType="solid">
        <x:fgColor rgb="FF17324D"/>
      </x:patternFill>
    </x:fill>
    <x:fill>
      <x:patternFill patternType="solid">
        <x:fgColor rgb="FFEAF1F8"/>
      </x:patternFill>
    </x:fill>
    <x:fill>
      <x:patternFill patternType="solid">
        <x:fgColor rgb="FF167D8D"/>
      </x:patternFill>
    </x:fill>
    <x:fill>
      <x:patternFill patternType="solid">
        <x:fgColor rgb="FFF2F4F7"/>
      </x:patternFill>
    </x:fill>
    <x:fill>
      <x:patternFill patternType="solid">
        <x:fgColor rgb="FFFFF3CD"/>
      </x:patternFill>
    </x:fill>
    <x:fill>
      <x:patternFill patternType="solid">
        <x:fgColor rgb="FFFFF3CD"/>
      </x:patternFill>
    </x:fill>
  </x:fills>
  <x:borders count="19">
    <x:border/>
    <x:border>
      <x:left style="thin">
        <x:color rgb="FFCBD5E1"/>
      </x:left>
      <x:right style="thin">
        <x:color rgb="FFCBD5E1"/>
      </x:right>
      <x:top style="thin">
        <x:color rgb="FFCBD5E1"/>
      </x:top>
      <x:bottom style="thin">
        <x:color rgb="FFCBD5E1"/>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3" fillId="2"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14" xfId="0" applyNumberFormat="1" applyFont="1" applyFill="1" applyBorder="1"/>
    <x:xf numFmtId="0" fontId="4" fillId="5" borderId="1"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14"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6" borderId="3"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9"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0" fontId="4" fillId="0" borderId="8" xfId="0" applyNumberFormat="1" applyFont="1" applyFill="1" applyBorder="1" applyAlignment="1">
      <x:alignment vertical="top" wrapText="1"/>
    </x:xf>
    <x:xf numFmtId="200" fontId="4" fillId="0" borderId="2" xfId="0" applyNumberFormat="1" applyFont="1" applyFill="1" applyBorder="1" applyAlignment="1">
      <x:alignment horizontal="right" vertical="top" wrapText="1"/>
    </x:xf>
    <x:xf numFmtId="200" fontId="4" fillId="0" borderId="5" xfId="0" applyNumberFormat="1" applyFont="1" applyFill="1" applyBorder="1" applyAlignment="1">
      <x:alignment horizontal="right" vertical="top" wrapText="1"/>
    </x:xf>
    <x:xf numFmtId="200" fontId="4" fillId="0" borderId="8" xfId="0" applyNumberFormat="1" applyFont="1" applyFill="1" applyBorder="1" applyAlignment="1">
      <x:alignment horizontal="right" vertical="top" wrapText="1"/>
    </x:xf>
    <x:xf numFmtId="0" fontId="4" fillId="7" borderId="3" xfId="0" applyNumberFormat="1" applyFont="1" applyFill="1" applyBorder="1" applyAlignment="1">
      <x:alignment vertical="top" wrapText="1"/>
    </x:xf>
    <x:xf numFmtId="0" fontId="4" fillId="7" borderId="6" xfId="0" applyNumberFormat="1" applyFont="1" applyFill="1" applyBorder="1" applyAlignment="1">
      <x:alignment vertical="top" wrapText="1"/>
    </x:xf>
  </x:cellXfs>
  <x:cellStyles count="1">
    <x:cellStyle name="Normal" xfId="0"/>
  </x:cellStyles>
  <x:dxfs count="8">
    <x:dxf>
      <x:font>
        <x:b/>
        <x:color rgb="FF7A4E00"/>
      </x:font>
      <x:fill>
        <x:patternFill>
          <x:bgColor rgb="FFFFF3CD"/>
        </x:patternFill>
      </x:fill>
    </x:dxf>
    <x:dxf>
      <x:font>
        <x:b/>
        <x:color rgb="FF9B1C1C"/>
      </x:font>
      <x:fill>
        <x:patternFill>
          <x:bgColor rgb="FFFDE2E1"/>
        </x:patternFill>
      </x:fill>
    </x:dxf>
    <x:dxf>
      <x:font>
        <x:color rgb="FF2E7D32"/>
      </x:font>
      <x:fill>
        <x:patternFill>
          <x:bgColor rgb="FFE4F3E5"/>
        </x:patternFill>
      </x:fill>
    </x:dxf>
    <x:dxf>
      <x:font>
        <x:color rgb="FF9B1C1C"/>
      </x:font>
      <x:fill>
        <x:patternFill>
          <x:bgColor rgb="FFFDE2E1"/>
        </x:patternFill>
      </x:fill>
    </x:dxf>
    <x:dxf>
      <x:font>
        <x:b/>
        <x:color rgb="FF2E7D32"/>
      </x:font>
      <x:fill>
        <x:patternFill>
          <x:bgColor rgb="FFE4F3E5"/>
        </x:patternFill>
      </x:fill>
    </x:dxf>
    <x:dxf>
      <x:font>
        <x:b/>
        <x:color rgb="FF9B1C1C"/>
      </x:font>
      <x:fill>
        <x:patternFill>
          <x:bgColor rgb="FFFDE2E1"/>
        </x:patternFill>
      </x:fill>
    </x:dxf>
    <x:dxf>
      <x:font>
        <x:b/>
        <x:color rgb="FF2E7D32"/>
      </x:font>
      <x:fill>
        <x:patternFill patternType="solid">
          <x:bgColor rgb="FFE4F3E5"/>
        </x:patternFill>
      </x:fill>
    </x:dxf>
    <x:dxf>
      <x:font>
        <x:b/>
        <x:color rgb="FF9B1C1C"/>
      </x:font>
      <x:fill>
        <x:patternFill patternType="solid">
          <x:bgColor rgb="FFFDE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bed59a8ea948dd" /><Relationship Type="http://schemas.openxmlformats.org/officeDocument/2006/relationships/theme" Target="/xl/theme/theme1.xml" Id="Rb4bc87c2430644d0" /><Relationship Type="http://schemas.openxmlformats.org/officeDocument/2006/relationships/sharedStrings" Target="/xl/sharedStrings.xml" Id="R79a5872839f04497" /><Relationship Type="http://schemas.openxmlformats.org/officeDocument/2006/relationships/worksheet" Target="/xl/worksheets/sheet1.xml" Id="R0c415960900b43c5" /><Relationship Type="http://schemas.openxmlformats.org/officeDocument/2006/relationships/worksheet" Target="/xl/worksheets/sheet2.xml" Id="Ra55dd1c4ca5c475a" /><Relationship Type="http://schemas.openxmlformats.org/officeDocument/2006/relationships/worksheet" Target="/xl/worksheets/sheet3.xml" Id="R3414cba376504378" /><Relationship Type="http://schemas.openxmlformats.org/officeDocument/2006/relationships/worksheet" Target="/xl/worksheets/sheet4.xml" Id="R7a3d6826fc6e4ffa" /><Relationship Type="http://schemas.openxmlformats.org/officeDocument/2006/relationships/worksheet" Target="/xl/worksheets/sheet5.xml" Id="R5976f112b9ce48bb" /></Relationships>
</file>

<file path=xl/tables/table1.xml><?xml version="1.0" encoding="utf-8"?>
<x:table xmlns:x="http://schemas.openxmlformats.org/spreadsheetml/2006/main" id="4" name="HoldoutMapTable" displayName="HoldoutMapTable" ref="A4:G31" headerRowCount="1" totalsRowCount="0" totalsRowShown="0">
  <x:tableColumns count="7">
    <x:tableColumn id="1" name="Task"/>
    <x:tableColumn id="2" name="Context"/>
    <x:tableColumn id="3" name="Argument / identity"/>
    <x:tableColumn id="4" name="Seen explicitly in training"/>
    <x:tableColumn id="5" name="Held-out cell"/>
    <x:tableColumn id="6" name="Example evaluation instruction"/>
    <x:tableColumn id="7" name="Notes"/>
  </x:tableColumns>
  <x:tableStyleInfo name="TableStyleMedium2" showFirstColumn="0" showLastColumn="0" showRowStripes="1" showColumnStripes="0"/>
</x:table>
</file>

<file path=xl/tables/table2.xml><?xml version="1.0" encoding="utf-8"?>
<x:table xmlns:x="http://schemas.openxmlformats.org/spreadsheetml/2006/main" id="2" name="UpdatedPromptManifestTable" displayName="UpdatedPromptManifestTable" ref="A1:Q1201" headerRowCount="1" totalsRowCount="0" totalsRowShown="0">
  <x:tableColumns count="17">
    <x:tableColumn id="1" name="Episode"/>
    <x:tableColumn id="2" name="Task"/>
    <x:tableColumn id="3" name="Final Training Prompt"/>
    <x:tableColumn id="4" name="Training Role"/>
    <x:tableColumn id="5" name="Explicit Concept / Output"/>
    <x:tableColumn id="6" name="Factor Key"/>
    <x:tableColumn id="7" name="Held-Out Composition"/>
    <x:tableColumn id="8" name="Prompt Changed?"/>
    <x:tableColumn id="9" name="Dataset Action"/>
    <x:tableColumn id="10" name="Update Reason"/>
    <x:tableColumn id="11" name="Objects in Scene"/>
    <x:tableColumn id="12" name="Target Object"/>
    <x:tableColumn id="13" name="Start Position"/>
    <x:tableColumn id="14" name="Source Prompt"/>
    <x:tableColumn id="15" name="Held-Out Evaluation Prompt(s)"/>
    <x:tableColumn id="16" name="Design Rationale"/>
    <x:tableColumn id="17" name="Sequence Length (Ordering Only)"/>
  </x:tableColumns>
  <x:tableStyleInfo name="TableStyleMedium2" showFirstColumn="0" showLastColumn="0" showRowStripes="1" showColumnStripes="0"/>
</x:table>
</file>

<file path=xl/tables/table3.xml><?xml version="1.0" encoding="utf-8"?>
<x:table xmlns:x="http://schemas.openxmlformats.org/spreadsheetml/2006/main" id="3" name="PromptChangeQueueTable" displayName="PromptChangeQueueTable" ref="A1:K260" headerRowCount="1" totalsRowCount="0" totalsRowShown="0">
  <x:tableColumns count="11">
    <x:tableColumn id="1" name="Status"/>
    <x:tableColumn id="2" name="Queue Row"/>
    <x:tableColumn id="3" name="Dataset Episode"/>
    <x:tableColumn id="4" name="Task"/>
    <x:tableColumn id="5" name="Source Prompt"/>
    <x:tableColumn id="6" name="Replacement Prompt"/>
    <x:tableColumn id="7" name="Training Role"/>
    <x:tableColumn id="8" name="Objects in Scene"/>
    <x:tableColumn id="9" name="Target"/>
    <x:tableColumn id="10" name="Start"/>
    <x:tableColumn id="11" name="Reason"/>
  </x:tableColumns>
  <x:tableStyleInfo name="TableStyleMedium4" showFirstColumn="0" showLastColumn="0" showRowStripes="1" showColumnStripes="0"/>
</x:table>
</file>

<file path=xl/tables/table4.xml><?xml version="1.0" encoding="utf-8"?>
<x:table xmlns:x="http://schemas.openxmlformats.org/spreadsheetml/2006/main" id="5" name="ManifestQATable" displayName="ManifestQATable" ref="A3:E27" headerRowCount="1" totalsRowCount="0" totalsRowShown="0">
  <x:tableColumns count="5">
    <x:tableColumn id="1" name="Check"/>
    <x:tableColumn id="2" name="Observed"/>
    <x:tableColumn id="3" name="Expected"/>
    <x:tableColumn id="4" name="Status"/>
    <x:tableColumn id="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b4eee2923a41f3" /></Relationships>
</file>

<file path=xl/worksheets/_rels/sheet3.xml.rels>&#65279;<?xml version="1.0" encoding="utf-8"?><Relationships xmlns="http://schemas.openxmlformats.org/package/2006/relationships"><Relationship Type="http://schemas.openxmlformats.org/officeDocument/2006/relationships/table" Target="/xl/tables/table2.xml" Id="Rcf22978b47d14aa4" /></Relationships>
</file>

<file path=xl/worksheets/_rels/sheet4.xml.rels>&#65279;<?xml version="1.0" encoding="utf-8"?><Relationships xmlns="http://schemas.openxmlformats.org/package/2006/relationships"><Relationship Type="http://schemas.openxmlformats.org/officeDocument/2006/relationships/table" Target="/xl/tables/table3.xml" Id="Ra4e570f9dde0443e" /></Relationships>
</file>

<file path=xl/worksheets/_rels/sheet5.xml.rels>&#65279;<?xml version="1.0" encoding="utf-8"?><Relationships xmlns="http://schemas.openxmlformats.org/package/2006/relationships"><Relationship Type="http://schemas.openxmlformats.org/officeDocument/2006/relationships/table" Target="/xl/tables/table4.xml" Id="R9d0bfbf836ae43ad"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1" hidden="0" customWidth="1"/>
    <x:col min="3" max="3" width="35" hidden="0" customWidth="1"/>
    <x:col min="4" max="4" width="44" hidden="0" customWidth="1"/>
    <x:col min="5" max="5" width="34" hidden="0" customWidth="1"/>
    <x:col min="6" max="6" width="54" hidden="0" customWidth="1"/>
    <x:col min="7" max="7" width="42" hidden="0" customWidth="1"/>
  </x:cols>
  <x:sheetData>
    <x:row r="1" ht="32" customHeight="1">
      <x:c r="A1" s="4" t="str">
        <x:v>Missing-Cell Prompt Manifest — Complete 1,200-Episode Training Dataset</x:v>
      </x:c>
      <x:c r="B1" s="4" t="str">
        <x:v>Missing-Cell Prompt Manifest — Complete 1,200-Episode Training Dataset</x:v>
      </x:c>
      <x:c r="C1" s="4" t="str">
        <x:v>Missing-Cell Prompt Manifest — Complete 1,200-Episode Training Dataset</x:v>
      </x:c>
      <x:c r="D1" s="4" t="str">
        <x:v>Missing-Cell Prompt Manifest — Complete 1,200-Episode Training Dataset</x:v>
      </x:c>
      <x:c r="E1" s="4" t="str">
        <x:v>Missing-Cell Prompt Manifest — Complete 1,200-Episode Training Dataset</x:v>
      </x:c>
      <x:c r="F1" s="4" t="str">
        <x:v>Missing-Cell Prompt Manifest — Complete 1,200-Episode Training Dataset</x:v>
      </x:c>
      <x:c r="G1" s="4" t="str">
        <x:v>Missing-Cell Prompt Manifest — Complete 1,200-Episode Training Dataset</x:v>
      </x:c>
    </x:row>
    <x:row r="2">
      <x:c r="A2" s="8" t="str">
        <x:v>All atomic concepts and object identities are represented during training. The benchmark withholds selected concept–argument combinations rather than unseen words, unseen objects, or unseen motor outputs. Episodes 0–199 are replaced by MT_State_Recognition_New; prompt-only corrections are applied to the other five tasks.</x:v>
      </x:c>
      <x:c r="B2" s="8" t="str">
        <x:v>All atomic concepts and object identities are represented during training. The benchmark withholds selected concept–argument combinations rather than unseen words, unseen objects, or unseen motor outputs. Episodes 0–199 are replaced by MT_State_Recognition_New; prompt-only corrections are applied to the other five tasks.</x:v>
      </x:c>
      <x:c r="C2" s="8" t="str">
        <x:v>All atomic concepts and object identities are represented during training. The benchmark withholds selected concept–argument combinations rather than unseen words, unseen objects, or unseen motor outputs. Episodes 0–199 are replaced by MT_State_Recognition_New; prompt-only corrections are applied to the other five tasks.</x:v>
      </x:c>
      <x:c r="D2" s="8" t="str">
        <x:v>All atomic concepts and object identities are represented during training. The benchmark withholds selected concept–argument combinations rather than unseen words, unseen objects, or unseen motor outputs. Episodes 0–199 are replaced by MT_State_Recognition_New; prompt-only corrections are applied to the other five tasks.</x:v>
      </x:c>
      <x:c r="E2" s="8" t="str">
        <x:v>All atomic concepts and object identities are represented during training. The benchmark withholds selected concept–argument combinations rather than unseen words, unseen objects, or unseen motor outputs. Episodes 0–199 are replaced by MT_State_Recognition_New; prompt-only corrections are applied to the other five tasks.</x:v>
      </x:c>
      <x:c r="F2" s="8" t="str">
        <x:v>All atomic concepts and object identities are represented during training. The benchmark withholds selected concept–argument combinations rather than unseen words, unseen objects, or unseen motor outputs. Episodes 0–199 are replaced by MT_State_Recognition_New; prompt-only corrections are applied to the other five tasks.</x:v>
      </x:c>
      <x:c r="G2" s="8" t="str">
        <x:v>All atomic concepts and object identities are represented during training. The benchmark withholds selected concept–argument combinations rather than unseen words, unseen objects, or unseen motor outputs. Episodes 0–199 are replaced by MT_State_Recognition_New; prompt-only corrections are applied to the other five tasks.</x:v>
      </x:c>
    </x:row>
    <x:row r="4">
      <x:c r="A4" s="13" t="str">
        <x:v>Task</x:v>
      </x:c>
      <x:c r="B4" s="13" t="str">
        <x:v>Episodes</x:v>
      </x:c>
      <x:c r="C4" s="13" t="str">
        <x:v>Training exposure</x:v>
      </x:c>
      <x:c r="D4" s="13" t="str">
        <x:v>Held-out composition</x:v>
      </x:c>
      <x:c r="E4" s="13" t="str">
        <x:v>Prompt strategy</x:v>
      </x:c>
      <x:c r="F4" s="13" t="str">
        <x:v>Final role counts</x:v>
      </x:c>
      <x:c r="G4" s="13" t="str">
        <x:v>Important note</x:v>
      </x:c>
    </x:row>
    <x:row r="5" ht="76" customHeight="1">
      <x:c r="A5" s="33" t="str">
        <x:v>State Recognition</x:v>
      </x:c>
      <x:c r="B5" s="34" t="n">
        <x:f>COUNTIF('Updated Prompt Manifest'!$B$2:$B$1201,A5)</x:f>
        <x:v>200</x:v>
      </x:c>
      <x:c r="C5" s="34" t="str">
        <x:v>open, closed, upright, and upside-down; all four target categories; direct category manipulation</x:v>
      </x:c>
      <x:c r="D5" s="34" t="str">
        <x:v>white-cup×upside-down; striped-cup×open; brown-cup×closed; spice-container×upright</x:v>
      </x:c>
      <x:c r="E5" s="34" t="str">
        <x:v>Replace episodes 0–199 with balanced missing-cell state data</x:v>
      </x:c>
      <x:c r="F5" s="34" t="str">
        <x:v>105 Explicit seen-cell grounding; 95 State-masked physical exposure</x:v>
      </x:c>
      <x:c r="G5" s="35" t="str">
        <x:v>Explicit rows contain two same-category candidates; masked rows contain one target-category object</x:v>
      </x:c>
    </x:row>
    <x:row r="6" ht="68" customHeight="1">
      <x:c r="A6" s="36" t="str">
        <x:v>Relational Placement</x:v>
      </x:c>
      <x:c r="B6" s="37" t="n">
        <x:f>COUNTIF('Updated Prompt Manifest'!$B$2:$B$1201,A6)</x:f>
        <x:v>200</x:v>
      </x:c>
      <x:c r="C6" s="37" t="str">
        <x:v>All four directions and both object names</x:v>
      </x:c>
      <x:c r="D6" s="37" t="str">
        <x:v>direction × ordered green-pen/red-block role</x:v>
      </x:c>
      <x:c r="E6" s="37" t="str">
        <x:v>Preserve current successful mask</x:v>
      </x:c>
      <x:c r="F6" s="37" t="str">
        <x:v>34 Masked unordered-pair composition; 166 Explicit spatial-relation grounding</x:v>
      </x:c>
      <x:c r="G6" s="38" t="str">
        <x:v>No prompt changes</x:v>
      </x:c>
    </x:row>
    <x:row r="7" ht="68" customHeight="1">
      <x:c r="A7" s="36" t="str">
        <x:v>Referential Disambiguation</x:v>
      </x:c>
      <x:c r="B7" s="37" t="n">
        <x:f>COUNTIF('Updated Prompt Manifest'!$B$2:$B$1201,A7)</x:f>
        <x:v>200</x:v>
      </x:c>
      <x:c r="C7" s="37" t="str">
        <x:v>closest, furthest, and between across candidate categories</x:v>
      </x:c>
      <x:c r="D7" s="37" t="str">
        <x:v>airplane×furthest; can×closest; sharpener×between</x:v>
      </x:c>
      <x:c r="E7" s="37" t="str">
        <x:v>Relabel existing physical episodes only</x:v>
      </x:c>
      <x:c r="F7" s="37" t="str">
        <x:v>50 Masked relation × candidate-category composition; 45 Explicit furthest grounding; 60 Explicit between grounding; 45 Explicit closest grounding</x:v>
      </x:c>
      <x:c r="G7" s="38" t="str">
        <x:v>Pens are a fully crossed anchor</x:v>
      </x:c>
    </x:row>
    <x:row r="8" ht="68" customHeight="1">
      <x:c r="A8" s="36" t="str">
        <x:v>Ordering/Sequencing</x:v>
      </x:c>
      <x:c r="B8" s="37" t="n">
        <x:f>COUNTIF('Updated Prompt Manifest'!$B$2:$B$1201,A8)</x:f>
        <x:v>200</x:v>
      </x:c>
      <x:c r="C8" s="37" t="str">
        <x:v>All ordinal words, directions, object names, and existing output positions</x:v>
      </x:c>
      <x:c r="D8" s="37" t="str">
        <x:v>selected n×ordinal-role×target cells</x:v>
      </x:c>
      <x:c r="E8" s="37" t="str">
        <x:v>Preserve n=2, n=3, and n=4 scenes</x:v>
      </x:c>
      <x:c r="F8" s="37" t="str">
        <x:v>73 Masked ordinal-role × target-identity composition; 127 Explicit ordinal grounding</x:v>
      </x:c>
      <x:c r="G8" s="38" t="str">
        <x:v>No n=3 middle-position episodes exist; do not claim that cell</x:v>
      </x:c>
    </x:row>
    <x:row r="9" ht="68" customHeight="1">
      <x:c r="A9" s="36" t="str">
        <x:v>Counting</x:v>
      </x:c>
      <x:c r="B9" s="37" t="n">
        <x:f>COUNTIF('Updated Prompt Manifest'!$B$2:$B$1201,A9)</x:f>
        <x:v>200</x:v>
      </x:c>
      <x:c r="C9" s="37" t="str">
        <x:v>Final counts 0, 1, 2, and 3; addition and removal</x:v>
      </x:c>
      <x:c r="D9" s="37" t="str">
        <x:v>one via 2→1 removal; three via 2→3 addition</x:v>
      </x:c>
      <x:c r="E9" s="37" t="str">
        <x:v>Relabel 0→1 and 4→3 direct prompts as count goals</x:v>
      </x:c>
      <x:c r="F9" s="37" t="str">
        <x:v>140 Explicit goal-count grounding; 60 Masked goal-count × transition composition</x:v>
      </x:c>
      <x:c r="G9" s="38" t="str">
        <x:v>Counts one and three are explicitly trained</x:v>
      </x:c>
    </x:row>
    <x:row r="10" ht="68" customHeight="1">
      <x:c r="A10" s="39" t="str">
        <x:v>Size Recognition</x:v>
      </x:c>
      <x:c r="B10" s="40" t="n">
        <x:f>COUNTIF('Updated Prompt Manifest'!$B$2:$B$1201,A10)</x:f>
        <x:v>200</x:v>
      </x:c>
      <x:c r="C10" s="40" t="str">
        <x:v>smallest and largest; all four object names</x:v>
      </x:c>
      <x:c r="D10" s="40" t="str">
        <x:v>green block×largest; juggling ball×smallest</x:v>
      </x:c>
      <x:c r="E10" s="40" t="str">
        <x:v>Keep physical held-out cells under direct names</x:v>
      </x:c>
      <x:c r="F10" s="40" t="str">
        <x:v>20 Direct-object identity control; 140 Explicit size grounding; 40 Masked size-role × object-identity composition</x:v>
      </x:c>
      <x:c r="G10" s="41" t="str">
        <x:v>Five direct-name controls per identity</x:v>
      </x:c>
    </x:row>
    <x:row r="12">
      <x:c r="A12" s="42" t="str">
        <x:v>Interpretation rule</x:v>
      </x:c>
      <x:c r="B12" s="42"/>
      <x:c r="C12" s="42"/>
      <x:c r="D12" s="42"/>
      <x:c r="E12" s="42"/>
      <x:c r="F12" s="42"/>
      <x:c r="G12" s="42"/>
    </x:row>
    <x:row r="13">
      <x:c r="A13" s="54" t="str">
        <x:v>1</x:v>
      </x:c>
      <x:c r="B13" s="55" t="str">
        <x:v>Every atomic concept word used at evaluation is explicit somewhere in training.</x:v>
      </x:c>
      <x:c r="C13" s="55"/>
      <x:c r="D13" s="55"/>
      <x:c r="E13" s="55"/>
      <x:c r="F13" s="55"/>
      <x:c r="G13" s="56"/>
    </x:row>
    <x:row r="14">
      <x:c r="A14" s="57" t="str">
        <x:v>2</x:v>
      </x:c>
      <x:c r="B14" s="58" t="str">
        <x:v>Every target object is manipulated under a direct-name instruction within its task wherever object identity is part of the test.</x:v>
      </x:c>
      <x:c r="C14" s="58"/>
      <x:c r="D14" s="58"/>
      <x:c r="E14" s="58"/>
      <x:c r="F14" s="58"/>
      <x:c r="G14" s="59"/>
    </x:row>
    <x:row r="15">
      <x:c r="A15" s="57" t="str">
        <x:v>3</x:v>
      </x:c>
      <x:c r="B15" s="58" t="str">
        <x:v>A held-out row keeps the physical trajectory but replaces the concept instruction with a familiar direct instruction.</x:v>
      </x:c>
      <x:c r="C15" s="58"/>
      <x:c r="D15" s="58"/>
      <x:c r="E15" s="58"/>
      <x:c r="F15" s="58"/>
      <x:c r="G15" s="59"/>
    </x:row>
    <x:row r="16">
      <x:c r="A16" s="60" t="str">
        <x:v>4</x:v>
      </x:c>
      <x:c r="B16" s="61" t="str">
        <x:v>Paraphrases remain evaluation-only; this manifest does not add evaluation paraphrases to training.</x:v>
      </x:c>
      <x:c r="C16" s="61"/>
      <x:c r="D16" s="61"/>
      <x:c r="E16" s="61"/>
      <x:c r="F16" s="61"/>
      <x:c r="G16" s="62"/>
    </x:row>
  </x:sheetData>
  <x:mergeCells>
    <x:mergeCell ref="A1:G1"/>
    <x:mergeCell ref="A2:G2"/>
    <x:mergeCell ref="A12:G12"/>
    <x:mergeCell ref="B13:G13"/>
    <x:mergeCell ref="B14:G14"/>
    <x:mergeCell ref="B15:G15"/>
    <x:mergeCell ref="B16:G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24" hidden="0" customWidth="1"/>
    <x:col min="3" max="3" width="34" hidden="0" customWidth="1"/>
    <x:col min="4" max="4" width="44" hidden="0" customWidth="1"/>
    <x:col min="5" max="5" width="42" hidden="0" customWidth="1"/>
    <x:col min="6" max="6" width="50" hidden="0" customWidth="1"/>
    <x:col min="7" max="7" width="48" hidden="0" customWidth="1"/>
  </x:cols>
  <x:sheetData>
    <x:row r="1" ht="32" customHeight="1">
      <x:c r="A1" s="4" t="str">
        <x:v>Held-Out Combination Map</x:v>
      </x:c>
      <x:c r="B1" s="4" t="str">
        <x:v>Held-Out Combination Map</x:v>
      </x:c>
      <x:c r="C1" s="4" t="str">
        <x:v>Held-Out Combination Map</x:v>
      </x:c>
      <x:c r="D1" s="4" t="str">
        <x:v>Held-Out Combination Map</x:v>
      </x:c>
      <x:c r="E1" s="4" t="str">
        <x:v>Held-Out Combination Map</x:v>
      </x:c>
      <x:c r="F1" s="4" t="str">
        <x:v>Held-Out Combination Map</x:v>
      </x:c>
      <x:c r="G1" s="4" t="str">
        <x:v>Held-Out Combination Map</x:v>
      </x:c>
    </x:row>
    <x:row r="2">
      <x:c r="A2" s="7" t="str">
        <x:v>A cell marked as held out is still physically demonstrated under a direct or familiar instruction; only the concept–argument binding is absent.</x:v>
      </x:c>
      <x:c r="B2" s="7"/>
      <x:c r="C2" s="7"/>
      <x:c r="D2" s="7"/>
      <x:c r="E2" s="7"/>
      <x:c r="F2" s="7"/>
      <x:c r="G2" s="7"/>
    </x:row>
    <x:row r="4">
      <x:c r="A4" s="13" t="str">
        <x:v>Task</x:v>
      </x:c>
      <x:c r="B4" s="13" t="str">
        <x:v>Context</x:v>
      </x:c>
      <x:c r="C4" s="13" t="str">
        <x:v>Argument / identity</x:v>
      </x:c>
      <x:c r="D4" s="13" t="str">
        <x:v>Seen explicitly in training</x:v>
      </x:c>
      <x:c r="E4" s="13" t="str">
        <x:v>Held-out cell</x:v>
      </x:c>
      <x:c r="F4" s="13" t="str">
        <x:v>Example evaluation instruction</x:v>
      </x:c>
      <x:c r="G4" s="13" t="str">
        <x:v>Notes</x:v>
      </x:c>
    </x:row>
    <x:row r="5" ht="60" customHeight="1">
      <x:c r="A5" s="33" t="str">
        <x:v>State Recognition</x:v>
      </x:c>
      <x:c r="B5" s="34" t="str">
        <x:v>state × target category</x:v>
      </x:c>
      <x:c r="C5" s="34" t="str">
        <x:v>white cup</x:v>
      </x:c>
      <x:c r="D5" s="34" t="str">
        <x:v>open; closed; upright</x:v>
      </x:c>
      <x:c r="E5" s="72" t="str">
        <x:v>upside-down</x:v>
      </x:c>
      <x:c r="F5" s="34" t="str">
        <x:v>Move the upside-down white cup into the bowl.</x:v>
      </x:c>
      <x:c r="G5" s="34" t="str">
        <x:v>Two same-category candidates at evaluation; the other state axis is controlled</x:v>
      </x:c>
    </x:row>
    <x:row r="6" ht="60" customHeight="1">
      <x:c r="A6" s="36" t="str">
        <x:v>State Recognition</x:v>
      </x:c>
      <x:c r="B6" s="37" t="str">
        <x:v>state × target category</x:v>
      </x:c>
      <x:c r="C6" s="37" t="str">
        <x:v>yellow-white striped cup</x:v>
      </x:c>
      <x:c r="D6" s="37" t="str">
        <x:v>closed; upright; upside-down</x:v>
      </x:c>
      <x:c r="E6" s="73" t="str">
        <x:v>open</x:v>
      </x:c>
      <x:c r="F6" s="37" t="str">
        <x:v>Move the open yellow-white striped cup into the bowl.</x:v>
      </x:c>
      <x:c r="G6" s="37" t="str">
        <x:v>The state word alone is insufficient because cross-category distractors may share it</x:v>
      </x:c>
    </x:row>
    <x:row r="7" ht="60" customHeight="1">
      <x:c r="A7" s="36" t="str">
        <x:v>State Recognition</x:v>
      </x:c>
      <x:c r="B7" s="37" t="str">
        <x:v>state × target category</x:v>
      </x:c>
      <x:c r="C7" s="37" t="str">
        <x:v>brown cup</x:v>
      </x:c>
      <x:c r="D7" s="37" t="str">
        <x:v>open; upright; upside-down</x:v>
      </x:c>
      <x:c r="E7" s="73" t="str">
        <x:v>closed</x:v>
      </x:c>
      <x:c r="F7" s="37" t="str">
        <x:v>Move the closed brown cup into the bowl.</x:v>
      </x:c>
      <x:c r="G7" s="37" t="str">
        <x:v>Masked rows provide physical exposure without a positive closed+brown instruction</x:v>
      </x:c>
    </x:row>
    <x:row r="8" ht="60" customHeight="1">
      <x:c r="A8" s="36" t="str">
        <x:v>State Recognition</x:v>
      </x:c>
      <x:c r="B8" s="37" t="str">
        <x:v>state × target category</x:v>
      </x:c>
      <x:c r="C8" s="37" t="str">
        <x:v>glass spice container</x:v>
      </x:c>
      <x:c r="D8" s="37" t="str">
        <x:v>open; closed; upside-down</x:v>
      </x:c>
      <x:c r="E8" s="73" t="str">
        <x:v>upright</x:v>
      </x:c>
      <x:c r="F8" s="37" t="str">
        <x:v>Move the upright glass spice container into the bowl.</x:v>
      </x:c>
      <x:c r="G8" s="37" t="str">
        <x:v>Exactly one object must satisfy the full state–category conjunction</x:v>
      </x:c>
    </x:row>
    <x:row r="9" ht="60" customHeight="1">
      <x:c r="A9" s="36" t="str">
        <x:v>Relational Placement</x:v>
      </x:c>
      <x:c r="B9" s="37" t="str">
        <x:v>ordered target/reference pair</x:v>
      </x:c>
      <x:c r="C9" s="37" t="str">
        <x:v>green pen + red block</x:v>
      </x:c>
      <x:c r="D9" s="37" t="str">
        <x:v>near / beside; both names</x:v>
      </x:c>
      <x:c r="E9" s="73" t="str">
        <x:v>left/right/front/behind × ordered pair</x:v>
      </x:c>
      <x:c r="F9" s="37" t="str">
        <x:v>Move the green pen to the left of the red block.</x:v>
      </x:c>
      <x:c r="G9" s="37" t="str">
        <x:v>Directions are explicit on other ordered pairs</x:v>
      </x:c>
    </x:row>
    <x:row r="10" ht="60" customHeight="1">
      <x:c r="A10" s="36" t="str">
        <x:v>Referential Disambiguation</x:v>
      </x:c>
      <x:c r="B10" s="37" t="str">
        <x:v>candidate category</x:v>
      </x:c>
      <x:c r="C10" s="37" t="str">
        <x:v>airplane toys</x:v>
      </x:c>
      <x:c r="D10" s="37" t="str">
        <x:v>closest; between</x:v>
      </x:c>
      <x:c r="E10" s="73" t="str">
        <x:v>furthest</x:v>
      </x:c>
      <x:c r="F10" s="37" t="str">
        <x:v>Move the airplane toy furthest from the reference into the bowl.</x:v>
      </x:c>
      <x:c r="G10" s="37" t="str">
        <x:v>Both airplane identities are directly named</x:v>
      </x:c>
    </x:row>
    <x:row r="11" ht="60" customHeight="1">
      <x:c r="A11" s="36" t="str">
        <x:v>Referential Disambiguation</x:v>
      </x:c>
      <x:c r="B11" s="37" t="str">
        <x:v>candidate category</x:v>
      </x:c>
      <x:c r="C11" s="37" t="str">
        <x:v>crushed soda cans</x:v>
      </x:c>
      <x:c r="D11" s="37" t="str">
        <x:v>furthest; between</x:v>
      </x:c>
      <x:c r="E11" s="73" t="str">
        <x:v>closest</x:v>
      </x:c>
      <x:c r="F11" s="37" t="str">
        <x:v>Move the crushed soda can closest to the reference into the bowl.</x:v>
      </x:c>
      <x:c r="G11" s="37" t="str">
        <x:v>Both can identities are directly named</x:v>
      </x:c>
    </x:row>
    <x:row r="12" ht="60" customHeight="1">
      <x:c r="A12" s="36" t="str">
        <x:v>Referential Disambiguation</x:v>
      </x:c>
      <x:c r="B12" s="37" t="str">
        <x:v>candidate category</x:v>
      </x:c>
      <x:c r="C12" s="37" t="str">
        <x:v>pencil sharpeners</x:v>
      </x:c>
      <x:c r="D12" s="37" t="str">
        <x:v>closest; furthest</x:v>
      </x:c>
      <x:c r="E12" s="73" t="str">
        <x:v>between</x:v>
      </x:c>
      <x:c r="F12" s="37" t="str">
        <x:v>Move the pencil sharpener between the two references into the bowl.</x:v>
      </x:c>
      <x:c r="G12" s="37" t="str">
        <x:v>Both sharpener identities are directly named</x:v>
      </x:c>
    </x:row>
    <x:row r="13" ht="60" customHeight="1">
      <x:c r="A13" s="36" t="str">
        <x:v>Referential Disambiguation</x:v>
      </x:c>
      <x:c r="B13" s="37" t="str">
        <x:v>candidate category</x:v>
      </x:c>
      <x:c r="C13" s="37" t="str">
        <x:v>pens</x:v>
      </x:c>
      <x:c r="D13" s="37" t="str">
        <x:v>closest; furthest; between</x:v>
      </x:c>
      <x:c r="E13" s="73" t="str">
        <x:v>none</x:v>
      </x:c>
      <x:c r="F13" s="37" t="str">
        <x:v>—</x:v>
      </x:c>
      <x:c r="G13" s="37" t="str">
        <x:v>Fully crossed anchor category</x:v>
      </x:c>
    </x:row>
    <x:row r="14" ht="60" customHeight="1">
      <x:c r="A14" s="36" t="str">
        <x:v>Ordering/Sequencing</x:v>
      </x:c>
      <x:c r="B14" s="37" t="str">
        <x:v>2-object sequence</x:v>
      </x:c>
      <x:c r="C14" s="37" t="str">
        <x:v>airplane toy with propellers</x:v>
      </x:c>
      <x:c r="D14" s="37" t="str">
        <x:v>other physical ordinal roles at n=2; direct name</x:v>
      </x:c>
      <x:c r="E14" s="73" t="str">
        <x:v>L1: first from the left / second from the right</x:v>
      </x:c>
      <x:c r="F14" s="37" t="str">
        <x:v>Move the first from the left object into the bowl.</x:v>
      </x:c>
      <x:c r="G14" s="37" t="str">
        <x:v>Both equivalent left/right expressions are withheld for this cell</x:v>
      </x:c>
    </x:row>
    <x:row r="15" ht="60" customHeight="1">
      <x:c r="A15" s="36" t="str">
        <x:v>Ordering/Sequencing</x:v>
      </x:c>
      <x:c r="B15" s="37" t="str">
        <x:v>2-object sequence</x:v>
      </x:c>
      <x:c r="C15" s="37" t="str">
        <x:v>blue tape ball</x:v>
      </x:c>
      <x:c r="D15" s="37" t="str">
        <x:v>other physical ordinal roles at n=2; direct name</x:v>
      </x:c>
      <x:c r="E15" s="73" t="str">
        <x:v>L2: second from the left / first from the right</x:v>
      </x:c>
      <x:c r="F15" s="37" t="str">
        <x:v>Put the object that is second from the left in the bowl.</x:v>
      </x:c>
      <x:c r="G15" s="37" t="str">
        <x:v>Both equivalent left/right expressions are withheld for this cell</x:v>
      </x:c>
    </x:row>
    <x:row r="16" ht="60" customHeight="1">
      <x:c r="A16" s="36" t="str">
        <x:v>Ordering/Sequencing</x:v>
      </x:c>
      <x:c r="B16" s="37" t="str">
        <x:v>2-object sequence</x:v>
      </x:c>
      <x:c r="C16" s="37" t="str">
        <x:v>green highlighter</x:v>
      </x:c>
      <x:c r="D16" s="37" t="str">
        <x:v>other physical ordinal roles at n=2; direct name</x:v>
      </x:c>
      <x:c r="E16" s="73" t="str">
        <x:v>L1: first from the left / second from the right</x:v>
      </x:c>
      <x:c r="F16" s="37" t="str">
        <x:v>Move the first from the left object into the bowl.</x:v>
      </x:c>
      <x:c r="G16" s="37" t="str">
        <x:v>Both equivalent left/right expressions are withheld for this cell</x:v>
      </x:c>
    </x:row>
    <x:row r="17" ht="60" customHeight="1">
      <x:c r="A17" s="36" t="str">
        <x:v>Ordering/Sequencing</x:v>
      </x:c>
      <x:c r="B17" s="37" t="str">
        <x:v>2-object sequence</x:v>
      </x:c>
      <x:c r="C17" s="37" t="str">
        <x:v>yellow pen</x:v>
      </x:c>
      <x:c r="D17" s="37" t="str">
        <x:v>other physical ordinal roles at n=2; direct name</x:v>
      </x:c>
      <x:c r="E17" s="73" t="str">
        <x:v>L2: second from the left / first from the right</x:v>
      </x:c>
      <x:c r="F17" s="37" t="str">
        <x:v>Put the object that is second from the left in the bowl.</x:v>
      </x:c>
      <x:c r="G17" s="37" t="str">
        <x:v>Both equivalent left/right expressions are withheld for this cell</x:v>
      </x:c>
    </x:row>
    <x:row r="18" ht="60" customHeight="1">
      <x:c r="A18" s="36" t="str">
        <x:v>Ordering/Sequencing</x:v>
      </x:c>
      <x:c r="B18" s="37" t="str">
        <x:v>3-object sequence</x:v>
      </x:c>
      <x:c r="C18" s="37" t="str">
        <x:v>airplane toy with propellers</x:v>
      </x:c>
      <x:c r="D18" s="37" t="str">
        <x:v>other physical ordinal roles at n=3; direct name</x:v>
      </x:c>
      <x:c r="E18" s="73" t="str">
        <x:v>L3: third from the left / first from the right</x:v>
      </x:c>
      <x:c r="F18" s="37" t="str">
        <x:v>Move the third from the left object into the bowl.</x:v>
      </x:c>
      <x:c r="G18" s="37" t="str">
        <x:v>Only endpoint roles L1 and L3 exist in the recorded n=3 episodes</x:v>
      </x:c>
    </x:row>
    <x:row r="19" ht="60" customHeight="1">
      <x:c r="A19" s="36" t="str">
        <x:v>Ordering/Sequencing</x:v>
      </x:c>
      <x:c r="B19" s="37" t="str">
        <x:v>3-object sequence</x:v>
      </x:c>
      <x:c r="C19" s="37" t="str">
        <x:v>blue tape ball</x:v>
      </x:c>
      <x:c r="D19" s="37" t="str">
        <x:v>other physical ordinal roles at n=3; direct name</x:v>
      </x:c>
      <x:c r="E19" s="73" t="str">
        <x:v>L1: first from the left / third from the right</x:v>
      </x:c>
      <x:c r="F19" s="37" t="str">
        <x:v>Put the object that is first from the left in the bowl.</x:v>
      </x:c>
      <x:c r="G19" s="37" t="str">
        <x:v>Only endpoint roles L1 and L3 exist in the recorded n=3 episodes</x:v>
      </x:c>
    </x:row>
    <x:row r="20" ht="60" customHeight="1">
      <x:c r="A20" s="36" t="str">
        <x:v>Ordering/Sequencing</x:v>
      </x:c>
      <x:c r="B20" s="37" t="str">
        <x:v>3-object sequence</x:v>
      </x:c>
      <x:c r="C20" s="37" t="str">
        <x:v>green highlighter</x:v>
      </x:c>
      <x:c r="D20" s="37" t="str">
        <x:v>other physical ordinal roles at n=3; direct name</x:v>
      </x:c>
      <x:c r="E20" s="73" t="str">
        <x:v>L3: third from the left / first from the right</x:v>
      </x:c>
      <x:c r="F20" s="37" t="str">
        <x:v>Move the third from the left object into the bowl.</x:v>
      </x:c>
      <x:c r="G20" s="37" t="str">
        <x:v>Only endpoint roles L1 and L3 exist in the recorded n=3 episodes</x:v>
      </x:c>
    </x:row>
    <x:row r="21" ht="60" customHeight="1">
      <x:c r="A21" s="36" t="str">
        <x:v>Ordering/Sequencing</x:v>
      </x:c>
      <x:c r="B21" s="37" t="str">
        <x:v>3-object sequence</x:v>
      </x:c>
      <x:c r="C21" s="37" t="str">
        <x:v>yellow pen</x:v>
      </x:c>
      <x:c r="D21" s="37" t="str">
        <x:v>other physical ordinal roles at n=3; direct name</x:v>
      </x:c>
      <x:c r="E21" s="73" t="str">
        <x:v>L1: first from the left / third from the right</x:v>
      </x:c>
      <x:c r="F21" s="37" t="str">
        <x:v>Put the object that is first from the left in the bowl.</x:v>
      </x:c>
      <x:c r="G21" s="37" t="str">
        <x:v>Only endpoint roles L1 and L3 exist in the recorded n=3 episodes</x:v>
      </x:c>
    </x:row>
    <x:row r="22" ht="60" customHeight="1">
      <x:c r="A22" s="36" t="str">
        <x:v>Ordering/Sequencing</x:v>
      </x:c>
      <x:c r="B22" s="37" t="str">
        <x:v>4-object sequence</x:v>
      </x:c>
      <x:c r="C22" s="37" t="str">
        <x:v>airplane toy with propellers</x:v>
      </x:c>
      <x:c r="D22" s="37" t="str">
        <x:v>other physical ordinal roles at n=4; direct name</x:v>
      </x:c>
      <x:c r="E22" s="73" t="str">
        <x:v>L1: first from the left / fourth from the right</x:v>
      </x:c>
      <x:c r="F22" s="37" t="str">
        <x:v>Pick up the object that is first from the left and place it in the bowl.</x:v>
      </x:c>
      <x:c r="G22" s="37" t="str">
        <x:v>Both equivalent left/right expressions are withheld for this cell</x:v>
      </x:c>
    </x:row>
    <x:row r="23" ht="60" customHeight="1">
      <x:c r="A23" s="36" t="str">
        <x:v>Ordering/Sequencing</x:v>
      </x:c>
      <x:c r="B23" s="37" t="str">
        <x:v>4-object sequence</x:v>
      </x:c>
      <x:c r="C23" s="37" t="str">
        <x:v>blue tape ball</x:v>
      </x:c>
      <x:c r="D23" s="37" t="str">
        <x:v>other physical ordinal roles at n=4; direct name</x:v>
      </x:c>
      <x:c r="E23" s="73" t="str">
        <x:v>L2: second from the left / third from the right</x:v>
      </x:c>
      <x:c r="F23" s="37" t="str">
        <x:v>Move the second from the left object into the bowl.</x:v>
      </x:c>
      <x:c r="G23" s="37" t="str">
        <x:v>Both equivalent left/right expressions are withheld for this cell</x:v>
      </x:c>
    </x:row>
    <x:row r="24" ht="60" customHeight="1">
      <x:c r="A24" s="36" t="str">
        <x:v>Ordering/Sequencing</x:v>
      </x:c>
      <x:c r="B24" s="37" t="str">
        <x:v>4-object sequence</x:v>
      </x:c>
      <x:c r="C24" s="37" t="str">
        <x:v>green highlighter</x:v>
      </x:c>
      <x:c r="D24" s="37" t="str">
        <x:v>other physical ordinal roles at n=4; direct name</x:v>
      </x:c>
      <x:c r="E24" s="73" t="str">
        <x:v>L3: third from the left / second from the right</x:v>
      </x:c>
      <x:c r="F24" s="37" t="str">
        <x:v>Put the object that is third from the left in the bowl.</x:v>
      </x:c>
      <x:c r="G24" s="37" t="str">
        <x:v>Both equivalent left/right expressions are withheld for this cell</x:v>
      </x:c>
    </x:row>
    <x:row r="25" ht="60" customHeight="1">
      <x:c r="A25" s="36" t="str">
        <x:v>Ordering/Sequencing</x:v>
      </x:c>
      <x:c r="B25" s="37" t="str">
        <x:v>4-object sequence</x:v>
      </x:c>
      <x:c r="C25" s="37" t="str">
        <x:v>yellow pen</x:v>
      </x:c>
      <x:c r="D25" s="37" t="str">
        <x:v>other physical ordinal roles at n=4; direct name</x:v>
      </x:c>
      <x:c r="E25" s="73" t="str">
        <x:v>L4: fourth from the left / first from the right</x:v>
      </x:c>
      <x:c r="F25" s="37" t="str">
        <x:v>Pick up the object that is fourth from the left and place it in the bowl.</x:v>
      </x:c>
      <x:c r="G25" s="37" t="str">
        <x:v>Both equivalent left/right expressions are withheld for this cell</x:v>
      </x:c>
    </x:row>
    <x:row r="26" ht="60" customHeight="1">
      <x:c r="A26" s="36" t="str">
        <x:v>Counting</x:v>
      </x:c>
      <x:c r="B26" s="37" t="str">
        <x:v>goal × transition</x:v>
      </x:c>
      <x:c r="C26" s="37" t="str">
        <x:v>goal one</x:v>
      </x:c>
      <x:c r="D26" s="37" t="str">
        <x:v>0→1 addition</x:v>
      </x:c>
      <x:c r="E26" s="73" t="str">
        <x:v>2→1 removal</x:v>
      </x:c>
      <x:c r="F26" s="37" t="str">
        <x:v>Leave exactly one object in the bowl.</x:v>
      </x:c>
      <x:c r="G26" s="37" t="str">
        <x:v>Starts with two objects at primary evaluation</x:v>
      </x:c>
    </x:row>
    <x:row r="27" ht="60" customHeight="1">
      <x:c r="A27" s="36" t="str">
        <x:v>Counting</x:v>
      </x:c>
      <x:c r="B27" s="37" t="str">
        <x:v>goal × transition</x:v>
      </x:c>
      <x:c r="C27" s="37" t="str">
        <x:v>goal three</x:v>
      </x:c>
      <x:c r="D27" s="37" t="str">
        <x:v>4→3 removal</x:v>
      </x:c>
      <x:c r="E27" s="73" t="str">
        <x:v>2→3 addition</x:v>
      </x:c>
      <x:c r="F27" s="37" t="str">
        <x:v>Leave exactly three objects in the bowl.</x:v>
      </x:c>
      <x:c r="G27" s="37" t="str">
        <x:v>Starts with two objects at primary evaluation</x:v>
      </x:c>
    </x:row>
    <x:row r="28" ht="60" customHeight="1">
      <x:c r="A28" s="36" t="str">
        <x:v>Counting</x:v>
      </x:c>
      <x:c r="B28" s="37" t="str">
        <x:v>anchor</x:v>
      </x:c>
      <x:c r="C28" s="37" t="str">
        <x:v>goals zero and two</x:v>
      </x:c>
      <x:c r="D28" s="37" t="str">
        <x:v>explicit</x:v>
      </x:c>
      <x:c r="E28" s="73" t="str">
        <x:v>none</x:v>
      </x:c>
      <x:c r="F28" s="37" t="str">
        <x:v>Leave exactly two objects in the bowl.</x:v>
      </x:c>
      <x:c r="G28" s="37" t="str">
        <x:v>In-distribution anchors</x:v>
      </x:c>
    </x:row>
    <x:row r="29" ht="60" customHeight="1">
      <x:c r="A29" s="36" t="str">
        <x:v>Size Recognition</x:v>
      </x:c>
      <x:c r="B29" s="37" t="str">
        <x:v>size role × identity</x:v>
      </x:c>
      <x:c r="C29" s="37" t="str">
        <x:v>green block</x:v>
      </x:c>
      <x:c r="D29" s="37" t="str">
        <x:v>smallest; direct name</x:v>
      </x:c>
      <x:c r="E29" s="73" t="str">
        <x:v>largest</x:v>
      </x:c>
      <x:c r="F29" s="37" t="str">
        <x:v>Move the largest object into the bowl.</x:v>
      </x:c>
      <x:c r="G29" s="37" t="str">
        <x:v>Largest-green physical episodes remain under direct prompts</x:v>
      </x:c>
    </x:row>
    <x:row r="30" ht="60" customHeight="1">
      <x:c r="A30" s="36" t="str">
        <x:v>Size Recognition</x:v>
      </x:c>
      <x:c r="B30" s="37" t="str">
        <x:v>size role × identity</x:v>
      </x:c>
      <x:c r="C30" s="37" t="str">
        <x:v>juggling ball</x:v>
      </x:c>
      <x:c r="D30" s="37" t="str">
        <x:v>largest; direct name</x:v>
      </x:c>
      <x:c r="E30" s="73" t="str">
        <x:v>smallest</x:v>
      </x:c>
      <x:c r="F30" s="37" t="str">
        <x:v>Move the smallest object into the bowl.</x:v>
      </x:c>
      <x:c r="G30" s="37" t="str">
        <x:v>Smallest-juggling physical episodes remain under direct prompts</x:v>
      </x:c>
    </x:row>
    <x:row r="31" ht="60" customHeight="1">
      <x:c r="A31" s="36" t="str">
        <x:v>Size Recognition</x:v>
      </x:c>
      <x:c r="B31" s="37" t="str">
        <x:v>anchor identities</x:v>
      </x:c>
      <x:c r="C31" s="37" t="str">
        <x:v>Pepsi can + red sharpener</x:v>
      </x:c>
      <x:c r="D31" s="37" t="str">
        <x:v>smallest and largest; direct names</x:v>
      </x:c>
      <x:c r="E31" s="73" t="str">
        <x:v>none</x:v>
      </x:c>
      <x:c r="F31" s="37" t="str">
        <x:v>—</x:v>
      </x:c>
      <x:c r="G31" s="37" t="str">
        <x:v>Fully trained size-role identities</x:v>
      </x:c>
    </x:row>
  </x:sheetData>
  <x:mergeCells>
    <x:mergeCell ref="A1:G1"/>
    <x:mergeCell ref="A2:G2"/>
  </x:mergeCells>
  <x:pageMargins left="0.7" right="0.7" top="0.75" bottom="0.75" header="0.3" footer="0.3"/>
  <x:tableParts count="1">
    <x:tablePart xmlns:r="http://schemas.openxmlformats.org/officeDocument/2006/relationships" r:id="Rf9b4eee2923a41f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5" hidden="0" customWidth="1"/>
    <x:col min="3" max="3" width="44" hidden="0" customWidth="1"/>
    <x:col min="4" max="4" width="36" hidden="0" customWidth="1"/>
    <x:col min="5" max="5" width="40" hidden="0" customWidth="1"/>
    <x:col min="6" max="6" width="40" hidden="0" customWidth="1"/>
    <x:col min="7" max="7" width="54" hidden="0" customWidth="1"/>
    <x:col min="8" max="8" width="13" hidden="0" customWidth="1"/>
    <x:col min="9" max="9" width="20" hidden="0" customWidth="1"/>
    <x:col min="10" max="10" width="52" hidden="0" customWidth="1"/>
    <x:col min="11" max="11" width="60" hidden="0" customWidth="1"/>
    <x:col min="12" max="12" width="29" hidden="0" customWidth="1"/>
    <x:col min="13" max="13" width="14" hidden="0" customWidth="1"/>
    <x:col min="14" max="14" width="44" hidden="0" customWidth="1"/>
    <x:col min="15" max="15" width="54" hidden="0" customWidth="1"/>
    <x:col min="16" max="16" width="58" hidden="0" customWidth="1"/>
    <x:col min="17" max="17" width="14" hidden="0" customWidth="1"/>
  </x:cols>
  <x:sheetData>
    <x:row r="1" ht="36" customHeight="1">
      <x:c r="A1" s="13" t="str">
        <x:v>Episode</x:v>
      </x:c>
      <x:c r="B1" s="13" t="str">
        <x:v>Task</x:v>
      </x:c>
      <x:c r="C1" s="13" t="str">
        <x:v>Final Training Prompt</x:v>
      </x:c>
      <x:c r="D1" s="13" t="str">
        <x:v>Training Role</x:v>
      </x:c>
      <x:c r="E1" s="13" t="str">
        <x:v>Explicit Concept / Output</x:v>
      </x:c>
      <x:c r="F1" s="13" t="str">
        <x:v>Factor Key</x:v>
      </x:c>
      <x:c r="G1" s="13" t="str">
        <x:v>Held-Out Composition</x:v>
      </x:c>
      <x:c r="H1" s="13" t="str">
        <x:v>Prompt Changed?</x:v>
      </x:c>
      <x:c r="I1" s="13" t="str">
        <x:v>Dataset Action</x:v>
      </x:c>
      <x:c r="J1" s="13" t="str">
        <x:v>Update Reason</x:v>
      </x:c>
      <x:c r="K1" s="13" t="str">
        <x:v>Objects in Scene</x:v>
      </x:c>
      <x:c r="L1" s="13" t="str">
        <x:v>Target Object</x:v>
      </x:c>
      <x:c r="M1" s="13" t="str">
        <x:v>Start Position</x:v>
      </x:c>
      <x:c r="N1" s="13" t="str">
        <x:v>Source Prompt</x:v>
      </x:c>
      <x:c r="O1" s="13" t="str">
        <x:v>Held-Out Evaluation Prompt(s)</x:v>
      </x:c>
      <x:c r="P1" s="13" t="str">
        <x:v>Design Rationale</x:v>
      </x:c>
      <x:c r="Q1" s="13" t="str">
        <x:v>Sequence Length (Ordering Only)</x:v>
      </x:c>
    </x:row>
    <x:row r="2" ht="60" customHeight="1">
      <x:c r="A2" s="69" t="n">
        <x:v>0</x:v>
      </x:c>
      <x:c r="B2" s="34" t="str">
        <x:v>State Recognition</x:v>
      </x:c>
      <x:c r="C2" s="34" t="str">
        <x:v>Move the closed white cup into the bowl.</x:v>
      </x:c>
      <x:c r="D2" s="34" t="str">
        <x:v>Explicit seen-cell grounding</x:v>
      </x:c>
      <x:c r="E2" s="34" t="str">
        <x:v>closed × white cup; two same-category candidates; non-queried axis controlled</x:v>
      </x:c>
      <x:c r="F2" s="34" t="str">
        <x:v>state_white_cup_closed_explicit</x:v>
      </x:c>
      <x:c r="G2" s="34" t="str">
        <x:v>white-cup×upside-down; striped-cup×open; brown-cup×closed; spice-container×upright</x:v>
      </x:c>
      <x:c r="H2" s="34" t="str">
        <x:v>No</x:v>
      </x:c>
      <x:c r="I2" s="34" t="str">
        <x:v>Replace episode + assign prompt</x:v>
      </x:c>
      <x:c r="J2" s="34" t="str">
        <x:v>Use MT_State_Recognition_New episode 0 (Original 200 / source episode 0) in place of the original VLA benchmark episode.</x:v>
      </x:c>
      <x:c r="K2" s="34" t="str">
        <x:v>white cup B (C, UR) [target]; white cup A (O, UR); yellow-white striped cup A (C, UR); brown cup B (C, UR)</x:v>
      </x:c>
      <x:c r="L2" s="34" t="str">
        <x:v>white cup B</x:v>
      </x:c>
      <x:c r="M2" s="34" t="str">
        <x:v>Recovery</x:v>
      </x:c>
      <x:c r="N2" s="34" t="str">
        <x:v>Move the closed white cup into the bowl.</x:v>
      </x:c>
      <x:c r="O2" s="34" t="str"/>
      <x:c r="P2" s="34" t="str">
        <x:v>Explicitly grounds closed with white cup using two same-category candidates. The non-queried state axis is held constant, so only one candidate satisfies the instruction.</x:v>
      </x:c>
      <x:c r="Q2" s="35"/>
    </x:row>
    <x:row r="3" ht="60" customHeight="1">
      <x:c r="A3" s="70" t="n">
        <x:v>1</x:v>
      </x:c>
      <x:c r="B3" s="37" t="str">
        <x:v>State Recognition</x:v>
      </x:c>
      <x:c r="C3" s="37" t="str">
        <x:v>Place the open white cup in the bowl.</x:v>
      </x:c>
      <x:c r="D3" s="37" t="str">
        <x:v>Explicit seen-cell grounding</x:v>
      </x:c>
      <x:c r="E3" s="37" t="str">
        <x:v>open × white cup; two same-category candidates; non-queried axis controlled</x:v>
      </x:c>
      <x:c r="F3" s="37" t="str">
        <x:v>state_white_cup_open_explicit</x:v>
      </x:c>
      <x:c r="G3" s="37" t="str">
        <x:v>white-cup×upside-down; striped-cup×open; brown-cup×closed; spice-container×upright</x:v>
      </x:c>
      <x:c r="H3" s="37" t="str">
        <x:v>No</x:v>
      </x:c>
      <x:c r="I3" s="37" t="str">
        <x:v>Replace episode + assign prompt</x:v>
      </x:c>
      <x:c r="J3" s="37" t="str">
        <x:v>Use MT_State_Recognition_New episode 1 (Original 200 / source episode 1) in place of the original VLA benchmark episode.</x:v>
      </x:c>
      <x:c r="K3" s="37" t="str">
        <x:v>white cup B (O, UR) [target]; white cup A (C, UR); brown cup B (O, UR)</x:v>
      </x:c>
      <x:c r="L3" s="37" t="str">
        <x:v>white cup B</x:v>
      </x:c>
      <x:c r="M3" s="37" t="str">
        <x:v>Home</x:v>
      </x:c>
      <x:c r="N3" s="37" t="str">
        <x:v>Place the open white cup in the bowl.</x:v>
      </x:c>
      <x:c r="O3" s="37" t="str"/>
      <x:c r="P3" s="37" t="str">
        <x:v>Explicitly grounds open with white cup using two same-category candidates. The non-queried state axis is held constant, so only one candidate satisfies the instruction.</x:v>
      </x:c>
      <x:c r="Q3" s="38"/>
    </x:row>
    <x:row r="4" ht="60" customHeight="1">
      <x:c r="A4" s="70" t="n">
        <x:v>2</x:v>
      </x:c>
      <x:c r="B4" s="37" t="str">
        <x:v>State Recognition</x:v>
      </x:c>
      <x:c r="C4" s="37" t="str">
        <x:v>Put the open white cup in the bowl.</x:v>
      </x:c>
      <x:c r="D4" s="37" t="str">
        <x:v>Explicit seen-cell grounding</x:v>
      </x:c>
      <x:c r="E4" s="37" t="str">
        <x:v>open × white cup; two same-category candidates; non-queried axis controlled</x:v>
      </x:c>
      <x:c r="F4" s="37" t="str">
        <x:v>state_white_cup_open_explicit</x:v>
      </x:c>
      <x:c r="G4" s="37" t="str">
        <x:v>white-cup×upside-down; striped-cup×open; brown-cup×closed; spice-container×upright</x:v>
      </x:c>
      <x:c r="H4" s="37" t="str">
        <x:v>No</x:v>
      </x:c>
      <x:c r="I4" s="37" t="str">
        <x:v>Replace episode + assign prompt</x:v>
      </x:c>
      <x:c r="J4" s="37" t="str">
        <x:v>Use MT_State_Recognition_New episode 2 (Original 200 / source episode 2) in place of the original VLA benchmark episode.</x:v>
      </x:c>
      <x:c r="K4" s="37" t="str">
        <x:v>white cup A (O, UR) [target]; white cup B (C, UR); glass spice container A (O, UR); yellow-white striped cup B (O, UR)</x:v>
      </x:c>
      <x:c r="L4" s="37" t="str">
        <x:v>white cup A</x:v>
      </x:c>
      <x:c r="M4" s="37" t="str">
        <x:v>Home</x:v>
      </x:c>
      <x:c r="N4" s="37" t="str">
        <x:v>Put the open white cup in the bowl.</x:v>
      </x:c>
      <x:c r="O4" s="37" t="str"/>
      <x:c r="P4" s="37" t="str">
        <x:v>Explicitly grounds open with white cup using two same-category candidates. The non-queried state axis is held constant, so only one candidate satisfies the instruction.</x:v>
      </x:c>
      <x:c r="Q4" s="38"/>
    </x:row>
    <x:row r="5" ht="60" customHeight="1">
      <x:c r="A5" s="70" t="n">
        <x:v>3</x:v>
      </x:c>
      <x:c r="B5" s="37" t="str">
        <x:v>State Recognition</x:v>
      </x:c>
      <x:c r="C5" s="37" t="str">
        <x:v>Move the closed white cup into the bowl.</x:v>
      </x:c>
      <x:c r="D5" s="37" t="str">
        <x:v>Explicit seen-cell grounding</x:v>
      </x:c>
      <x:c r="E5" s="37" t="str">
        <x:v>closed × white cup; two same-category candidates; non-queried axis controlled</x:v>
      </x:c>
      <x:c r="F5" s="37" t="str">
        <x:v>state_white_cup_closed_explicit</x:v>
      </x:c>
      <x:c r="G5" s="37" t="str">
        <x:v>white-cup×upside-down; striped-cup×open; brown-cup×closed; spice-container×upright</x:v>
      </x:c>
      <x:c r="H5" s="37" t="str">
        <x:v>No</x:v>
      </x:c>
      <x:c r="I5" s="37" t="str">
        <x:v>Replace episode + assign prompt</x:v>
      </x:c>
      <x:c r="J5" s="37" t="str">
        <x:v>Use MT_State_Recognition_New episode 3 (Original 200 / source episode 3) in place of the original VLA benchmark episode.</x:v>
      </x:c>
      <x:c r="K5" s="37" t="str">
        <x:v>white cup A (C, UR) [target]; white cup B (O, UR); yellow-white striped cup B (O, UR); brown cup A (O, UR)</x:v>
      </x:c>
      <x:c r="L5" s="37" t="str">
        <x:v>white cup A</x:v>
      </x:c>
      <x:c r="M5" s="37" t="str">
        <x:v>Home</x:v>
      </x:c>
      <x:c r="N5" s="37" t="str">
        <x:v>Move the closed white cup into the bowl.</x:v>
      </x:c>
      <x:c r="O5" s="37" t="str"/>
      <x:c r="P5" s="37" t="str">
        <x:v>Explicitly grounds closed with white cup using two same-category candidates. The non-queried state axis is held constant, so only one candidate satisfies the instruction.</x:v>
      </x:c>
      <x:c r="Q5" s="38"/>
    </x:row>
    <x:row r="6" ht="60" customHeight="1">
      <x:c r="A6" s="70" t="n">
        <x:v>4</x:v>
      </x:c>
      <x:c r="B6" s="37" t="str">
        <x:v>State Recognition</x:v>
      </x:c>
      <x:c r="C6" s="37" t="str">
        <x:v>Place a white cup in the bowl.</x:v>
      </x:c>
      <x:c r="D6" s="37" t="str">
        <x:v>State-masked physical exposure</x:v>
      </x:c>
      <x:c r="E6" s="37" t="str">
        <x:v>direct category=white cup; physical state=C, UR; no state word</x:v>
      </x:c>
      <x:c r="F6" s="37" t="str">
        <x:v>state_white_cup_c_ur_masked</x:v>
      </x:c>
      <x:c r="G6" s="37" t="str">
        <x:v>white-cup×upside-down; striped-cup×open; brown-cup×closed; spice-container×upright</x:v>
      </x:c>
      <x:c r="H6" s="37" t="str">
        <x:v>No</x:v>
      </x:c>
      <x:c r="I6" s="37" t="str">
        <x:v>Replace episode + assign prompt</x:v>
      </x:c>
      <x:c r="J6" s="37" t="str">
        <x:v>Use MT_State_Recognition_New episode 4 (Original 200 / source episode 4) in place of the original VLA benchmark episode.</x:v>
      </x:c>
      <x:c r="K6" s="37" t="str">
        <x:v>white cup B (C, UR) [target]; yellow-white striped cup A (O, UR); brown cup A (O, UR)</x:v>
      </x:c>
      <x:c r="L6" s="37" t="str">
        <x:v>white cup B</x:v>
      </x:c>
      <x:c r="M6" s="37" t="str">
        <x:v>Home</x:v>
      </x:c>
      <x:c r="N6" s="37" t="str">
        <x:v>Place a white cup in the bowl.</x:v>
      </x:c>
      <x:c r="O6" s="37" t="str"/>
      <x:c r="P6" s="37" t="str">
        <x:v>Preserves white cup recognition and the recorded physical manipulation while omitting state language. Only one white cup appears, so this row cannot train state-based selection.</x:v>
      </x:c>
      <x:c r="Q6" s="38"/>
    </x:row>
    <x:row r="7" ht="60" customHeight="1">
      <x:c r="A7" s="70" t="n">
        <x:v>5</x:v>
      </x:c>
      <x:c r="B7" s="37" t="str">
        <x:v>State Recognition</x:v>
      </x:c>
      <x:c r="C7" s="37" t="str">
        <x:v>Put a white cup in the bowl.</x:v>
      </x:c>
      <x:c r="D7" s="37" t="str">
        <x:v>State-masked physical exposure</x:v>
      </x:c>
      <x:c r="E7" s="37" t="str">
        <x:v>direct category=white cup; physical state=O, UR; no state word</x:v>
      </x:c>
      <x:c r="F7" s="37" t="str">
        <x:v>state_white_cup_o_ur_masked</x:v>
      </x:c>
      <x:c r="G7" s="37" t="str">
        <x:v>white-cup×upside-down; striped-cup×open; brown-cup×closed; spice-container×upright</x:v>
      </x:c>
      <x:c r="H7" s="37" t="str">
        <x:v>No</x:v>
      </x:c>
      <x:c r="I7" s="37" t="str">
        <x:v>Replace episode + assign prompt</x:v>
      </x:c>
      <x:c r="J7" s="37" t="str">
        <x:v>Use MT_State_Recognition_New episode 5 (Original 200 / source episode 5) in place of the original VLA benchmark episode.</x:v>
      </x:c>
      <x:c r="K7" s="37" t="str">
        <x:v>white cup B (O, UR) [target]; brown cup A (C, UR); glass spice container A (C, UR)</x:v>
      </x:c>
      <x:c r="L7" s="37" t="str">
        <x:v>white cup B</x:v>
      </x:c>
      <x:c r="M7" s="37" t="str">
        <x:v>Home</x:v>
      </x:c>
      <x:c r="N7" s="37" t="str">
        <x:v>Put a white cup in the bowl.</x:v>
      </x:c>
      <x:c r="O7" s="37" t="str"/>
      <x:c r="P7" s="37" t="str">
        <x:v>Preserves white cup recognition and the recorded physical manipulation while omitting state language. Only one white cup appears, so this row cannot train state-based selection.</x:v>
      </x:c>
      <x:c r="Q7" s="38"/>
    </x:row>
    <x:row r="8" ht="60" customHeight="1">
      <x:c r="A8" s="70" t="n">
        <x:v>6</x:v>
      </x:c>
      <x:c r="B8" s="37" t="str">
        <x:v>State Recognition</x:v>
      </x:c>
      <x:c r="C8" s="37" t="str">
        <x:v>Move the closed white cup into the bowl.</x:v>
      </x:c>
      <x:c r="D8" s="37" t="str">
        <x:v>Explicit seen-cell grounding</x:v>
      </x:c>
      <x:c r="E8" s="37" t="str">
        <x:v>closed × white cup; two same-category candidates; non-queried axis controlled</x:v>
      </x:c>
      <x:c r="F8" s="37" t="str">
        <x:v>state_white_cup_closed_explicit</x:v>
      </x:c>
      <x:c r="G8" s="37" t="str">
        <x:v>white-cup×upside-down; striped-cup×open; brown-cup×closed; spice-container×upright</x:v>
      </x:c>
      <x:c r="H8" s="37" t="str">
        <x:v>No</x:v>
      </x:c>
      <x:c r="I8" s="37" t="str">
        <x:v>Replace episode + assign prompt</x:v>
      </x:c>
      <x:c r="J8" s="37" t="str">
        <x:v>Use MT_State_Recognition_New episode 6 (Original 200 / source episode 6) in place of the original VLA benchmark episode.</x:v>
      </x:c>
      <x:c r="K8" s="37" t="str">
        <x:v>white cup B (C, UR) [target]; white cup A (O, UR); yellow-white striped cup A (C, UR); brown cup B (C, UR)</x:v>
      </x:c>
      <x:c r="L8" s="37" t="str">
        <x:v>white cup B</x:v>
      </x:c>
      <x:c r="M8" s="37" t="str">
        <x:v>Home</x:v>
      </x:c>
      <x:c r="N8" s="37" t="str">
        <x:v>Move the closed white cup into the bowl.</x:v>
      </x:c>
      <x:c r="O8" s="37" t="str"/>
      <x:c r="P8" s="37" t="str">
        <x:v>Explicitly grounds closed with white cup using two same-category candidates. The non-queried state axis is held constant, so only one candidate satisfies the instruction.</x:v>
      </x:c>
      <x:c r="Q8" s="38"/>
    </x:row>
    <x:row r="9" ht="60" customHeight="1">
      <x:c r="A9" s="70" t="n">
        <x:v>7</x:v>
      </x:c>
      <x:c r="B9" s="37" t="str">
        <x:v>State Recognition</x:v>
      </x:c>
      <x:c r="C9" s="37" t="str">
        <x:v>Place the closed white cup in the bowl.</x:v>
      </x:c>
      <x:c r="D9" s="37" t="str">
        <x:v>Explicit seen-cell grounding</x:v>
      </x:c>
      <x:c r="E9" s="37" t="str">
        <x:v>closed × white cup; two same-category candidates; non-queried axis controlled</x:v>
      </x:c>
      <x:c r="F9" s="37" t="str">
        <x:v>state_white_cup_closed_explicit</x:v>
      </x:c>
      <x:c r="G9" s="37" t="str">
        <x:v>white-cup×upside-down; striped-cup×open; brown-cup×closed; spice-container×upright</x:v>
      </x:c>
      <x:c r="H9" s="37" t="str">
        <x:v>No</x:v>
      </x:c>
      <x:c r="I9" s="37" t="str">
        <x:v>Replace episode + assign prompt</x:v>
      </x:c>
      <x:c r="J9" s="37" t="str">
        <x:v>Use MT_State_Recognition_New episode 7 (Original 200 / source episode 7) in place of the original VLA benchmark episode.</x:v>
      </x:c>
      <x:c r="K9" s="37" t="str">
        <x:v>white cup A (C, UR) [target]; white cup B (O, UR); brown cup B (O, UR)</x:v>
      </x:c>
      <x:c r="L9" s="37" t="str">
        <x:v>white cup A</x:v>
      </x:c>
      <x:c r="M9" s="37" t="str">
        <x:v>Recovery</x:v>
      </x:c>
      <x:c r="N9" s="37" t="str">
        <x:v>Place the closed white cup in the bowl.</x:v>
      </x:c>
      <x:c r="O9" s="37" t="str"/>
      <x:c r="P9" s="37" t="str">
        <x:v>Explicitly grounds closed with white cup using two same-category candidates. The non-queried state axis is held constant, so only one candidate satisfies the instruction.</x:v>
      </x:c>
      <x:c r="Q9" s="38"/>
    </x:row>
    <x:row r="10" ht="60" customHeight="1">
      <x:c r="A10" s="70" t="n">
        <x:v>8</x:v>
      </x:c>
      <x:c r="B10" s="37" t="str">
        <x:v>State Recognition</x:v>
      </x:c>
      <x:c r="C10" s="37" t="str">
        <x:v>Put a white cup in the bowl.</x:v>
      </x:c>
      <x:c r="D10" s="37" t="str">
        <x:v>State-masked physical exposure</x:v>
      </x:c>
      <x:c r="E10" s="37" t="str">
        <x:v>direct category=white cup; physical state=O, UR; no state word</x:v>
      </x:c>
      <x:c r="F10" s="37" t="str">
        <x:v>state_white_cup_o_ur_masked</x:v>
      </x:c>
      <x:c r="G10" s="37" t="str">
        <x:v>white-cup×upside-down; striped-cup×open; brown-cup×closed; spice-container×upright</x:v>
      </x:c>
      <x:c r="H10" s="37" t="str">
        <x:v>No</x:v>
      </x:c>
      <x:c r="I10" s="37" t="str">
        <x:v>Replace episode + assign prompt</x:v>
      </x:c>
      <x:c r="J10" s="37" t="str">
        <x:v>Use MT_State_Recognition_New episode 8 (Original 200 / source episode 8) in place of the original VLA benchmark episode.</x:v>
      </x:c>
      <x:c r="K10" s="37" t="str">
        <x:v>white cup A (O, UR) [target]; glass spice container A (C, UR); yellow-white striped cup B (C, UR); brown cup B (C, UR)</x:v>
      </x:c>
      <x:c r="L10" s="37" t="str">
        <x:v>white cup A</x:v>
      </x:c>
      <x:c r="M10" s="37" t="str">
        <x:v>Home</x:v>
      </x:c>
      <x:c r="N10" s="37" t="str">
        <x:v>Put a white cup in the bowl.</x:v>
      </x:c>
      <x:c r="O10" s="37" t="str"/>
      <x:c r="P10" s="37" t="str">
        <x:v>Preserves white cup recognition and the recorded physical manipulation while omitting state language. Only one white cup appears, so this row cannot train state-based selection.</x:v>
      </x:c>
      <x:c r="Q10" s="38"/>
    </x:row>
    <x:row r="11" ht="60" customHeight="1">
      <x:c r="A11" s="70" t="n">
        <x:v>9</x:v>
      </x:c>
      <x:c r="B11" s="37" t="str">
        <x:v>State Recognition</x:v>
      </x:c>
      <x:c r="C11" s="37" t="str">
        <x:v>Move the open white cup into the bowl.</x:v>
      </x:c>
      <x:c r="D11" s="37" t="str">
        <x:v>Explicit seen-cell grounding</x:v>
      </x:c>
      <x:c r="E11" s="37" t="str">
        <x:v>open × white cup; two same-category candidates; non-queried axis controlled</x:v>
      </x:c>
      <x:c r="F11" s="37" t="str">
        <x:v>state_white_cup_open_explicit</x:v>
      </x:c>
      <x:c r="G11" s="37" t="str">
        <x:v>white-cup×upside-down; striped-cup×open; brown-cup×closed; spice-container×upright</x:v>
      </x:c>
      <x:c r="H11" s="37" t="str">
        <x:v>No</x:v>
      </x:c>
      <x:c r="I11" s="37" t="str">
        <x:v>Replace episode + assign prompt</x:v>
      </x:c>
      <x:c r="J11" s="37" t="str">
        <x:v>Use MT_State_Recognition_New episode 9 (Original 200 / source episode 9) in place of the original VLA benchmark episode.</x:v>
      </x:c>
      <x:c r="K11" s="37" t="str">
        <x:v>white cup B (O, UR) [target]; white cup A (C, UR); yellow-white striped cup B (O, UR); brown cup A (C, UR)</x:v>
      </x:c>
      <x:c r="L11" s="37" t="str">
        <x:v>white cup B</x:v>
      </x:c>
      <x:c r="M11" s="37" t="str">
        <x:v>Home</x:v>
      </x:c>
      <x:c r="N11" s="37" t="str">
        <x:v>Move the open white cup into the bowl.</x:v>
      </x:c>
      <x:c r="O11" s="37" t="str"/>
      <x:c r="P11" s="37" t="str">
        <x:v>Explicitly grounds open with white cup using two same-category candidates. The non-queried state axis is held constant, so only one candidate satisfies the instruction.</x:v>
      </x:c>
      <x:c r="Q11" s="38"/>
    </x:row>
    <x:row r="12" ht="60" customHeight="1">
      <x:c r="A12" s="70" t="n">
        <x:v>10</x:v>
      </x:c>
      <x:c r="B12" s="37" t="str">
        <x:v>State Recognition</x:v>
      </x:c>
      <x:c r="C12" s="37" t="str">
        <x:v>Place the closed white cup in the bowl.</x:v>
      </x:c>
      <x:c r="D12" s="37" t="str">
        <x:v>Explicit seen-cell grounding</x:v>
      </x:c>
      <x:c r="E12" s="37" t="str">
        <x:v>closed × white cup; two same-category candidates; non-queried axis controlled</x:v>
      </x:c>
      <x:c r="F12" s="37" t="str">
        <x:v>state_white_cup_closed_explicit</x:v>
      </x:c>
      <x:c r="G12" s="37" t="str">
        <x:v>white-cup×upside-down; striped-cup×open; brown-cup×closed; spice-container×upright</x:v>
      </x:c>
      <x:c r="H12" s="37" t="str">
        <x:v>No</x:v>
      </x:c>
      <x:c r="I12" s="37" t="str">
        <x:v>Replace episode + assign prompt</x:v>
      </x:c>
      <x:c r="J12" s="37" t="str">
        <x:v>Use MT_State_Recognition_New episode 10 (Original 200 / source episode 10) in place of the original VLA benchmark episode.</x:v>
      </x:c>
      <x:c r="K12" s="37" t="str">
        <x:v>white cup A (C, UR) [target]; white cup B (O, UR); brown cup A (C, UR); glass spice container B (C, UR)</x:v>
      </x:c>
      <x:c r="L12" s="37" t="str">
        <x:v>white cup A</x:v>
      </x:c>
      <x:c r="M12" s="37" t="str">
        <x:v>Home</x:v>
      </x:c>
      <x:c r="N12" s="37" t="str">
        <x:v>Place the closed white cup in the bowl.</x:v>
      </x:c>
      <x:c r="O12" s="37" t="str"/>
      <x:c r="P12" s="37" t="str">
        <x:v>Explicitly grounds closed with white cup using two same-category candidates. The non-queried state axis is held constant, so only one candidate satisfies the instruction.</x:v>
      </x:c>
      <x:c r="Q12" s="38"/>
    </x:row>
    <x:row r="13" ht="60" customHeight="1">
      <x:c r="A13" s="70" t="n">
        <x:v>11</x:v>
      </x:c>
      <x:c r="B13" s="37" t="str">
        <x:v>State Recognition</x:v>
      </x:c>
      <x:c r="C13" s="37" t="str">
        <x:v>Put the open white cup in the bowl.</x:v>
      </x:c>
      <x:c r="D13" s="37" t="str">
        <x:v>Explicit seen-cell grounding</x:v>
      </x:c>
      <x:c r="E13" s="37" t="str">
        <x:v>open × white cup; two same-category candidates; non-queried axis controlled</x:v>
      </x:c>
      <x:c r="F13" s="37" t="str">
        <x:v>state_white_cup_open_explicit</x:v>
      </x:c>
      <x:c r="G13" s="37" t="str">
        <x:v>white-cup×upside-down; striped-cup×open; brown-cup×closed; spice-container×upright</x:v>
      </x:c>
      <x:c r="H13" s="37" t="str">
        <x:v>No</x:v>
      </x:c>
      <x:c r="I13" s="37" t="str">
        <x:v>Replace episode + assign prompt</x:v>
      </x:c>
      <x:c r="J13" s="37" t="str">
        <x:v>Use MT_State_Recognition_New episode 11 (Original 200 / source episode 11) in place of the original VLA benchmark episode.</x:v>
      </x:c>
      <x:c r="K13" s="37" t="str">
        <x:v>white cup A (O, UR) [target]; white cup B (C, UR); glass spice container B (C, UR)</x:v>
      </x:c>
      <x:c r="L13" s="37" t="str">
        <x:v>white cup A</x:v>
      </x:c>
      <x:c r="M13" s="37" t="str">
        <x:v>Home</x:v>
      </x:c>
      <x:c r="N13" s="37" t="str">
        <x:v>Put the open white cup in the bowl.</x:v>
      </x:c>
      <x:c r="O13" s="37" t="str"/>
      <x:c r="P13" s="37" t="str">
        <x:v>Explicitly grounds open with white cup using two same-category candidates. The non-queried state axis is held constant, so only one candidate satisfies the instruction.</x:v>
      </x:c>
      <x:c r="Q13" s="38"/>
    </x:row>
    <x:row r="14" ht="60" customHeight="1">
      <x:c r="A14" s="70" t="n">
        <x:v>12</x:v>
      </x:c>
      <x:c r="B14" s="37" t="str">
        <x:v>State Recognition</x:v>
      </x:c>
      <x:c r="C14" s="37" t="str">
        <x:v>Move the open white cup into the bowl.</x:v>
      </x:c>
      <x:c r="D14" s="37" t="str">
        <x:v>Explicit seen-cell grounding</x:v>
      </x:c>
      <x:c r="E14" s="37" t="str">
        <x:v>open × white cup; two same-category candidates; non-queried axis controlled</x:v>
      </x:c>
      <x:c r="F14" s="37" t="str">
        <x:v>state_white_cup_open_explicit</x:v>
      </x:c>
      <x:c r="G14" s="37" t="str">
        <x:v>white-cup×upside-down; striped-cup×open; brown-cup×closed; spice-container×upright</x:v>
      </x:c>
      <x:c r="H14" s="37" t="str">
        <x:v>No</x:v>
      </x:c>
      <x:c r="I14" s="37" t="str">
        <x:v>Replace episode + assign prompt</x:v>
      </x:c>
      <x:c r="J14" s="37" t="str">
        <x:v>Use MT_State_Recognition_New episode 12 (Original 200 / source episode 12) in place of the original VLA benchmark episode.</x:v>
      </x:c>
      <x:c r="K14" s="37" t="str">
        <x:v>white cup A (O, UR) [target]; white cup B (C, UR); yellow-white striped cup A (O, UR); brown cup B (O, UR)</x:v>
      </x:c>
      <x:c r="L14" s="37" t="str">
        <x:v>white cup A</x:v>
      </x:c>
      <x:c r="M14" s="37" t="str">
        <x:v>Home</x:v>
      </x:c>
      <x:c r="N14" s="37" t="str">
        <x:v>Move the open white cup into the bowl.</x:v>
      </x:c>
      <x:c r="O14" s="37" t="str"/>
      <x:c r="P14" s="37" t="str">
        <x:v>Explicitly grounds open with white cup using two same-category candidates. The non-queried state axis is held constant, so only one candidate satisfies the instruction.</x:v>
      </x:c>
      <x:c r="Q14" s="38"/>
    </x:row>
    <x:row r="15" ht="60" customHeight="1">
      <x:c r="A15" s="70" t="n">
        <x:v>13</x:v>
      </x:c>
      <x:c r="B15" s="37" t="str">
        <x:v>State Recognition</x:v>
      </x:c>
      <x:c r="C15" s="37" t="str">
        <x:v>Place a white cup in the bowl.</x:v>
      </x:c>
      <x:c r="D15" s="37" t="str">
        <x:v>State-masked physical exposure</x:v>
      </x:c>
      <x:c r="E15" s="37" t="str">
        <x:v>direct category=white cup; physical state=C, UR; no state word</x:v>
      </x:c>
      <x:c r="F15" s="37" t="str">
        <x:v>state_white_cup_c_ur_masked</x:v>
      </x:c>
      <x:c r="G15" s="37" t="str">
        <x:v>white-cup×upside-down; striped-cup×open; brown-cup×closed; spice-container×upright</x:v>
      </x:c>
      <x:c r="H15" s="37" t="str">
        <x:v>No</x:v>
      </x:c>
      <x:c r="I15" s="37" t="str">
        <x:v>Replace episode + assign prompt</x:v>
      </x:c>
      <x:c r="J15" s="37" t="str">
        <x:v>Use MT_State_Recognition_New episode 13 (Original 200 / source episode 13) in place of the original VLA benchmark episode.</x:v>
      </x:c>
      <x:c r="K15" s="37" t="str">
        <x:v>white cup B (C, UR) [target]; yellow-white striped cup B (O, UR); brown cup B (O, UR)</x:v>
      </x:c>
      <x:c r="L15" s="37" t="str">
        <x:v>white cup B</x:v>
      </x:c>
      <x:c r="M15" s="37" t="str">
        <x:v>Home</x:v>
      </x:c>
      <x:c r="N15" s="37" t="str">
        <x:v>Place a white cup in the bowl.</x:v>
      </x:c>
      <x:c r="O15" s="37" t="str"/>
      <x:c r="P15" s="37" t="str">
        <x:v>Preserves white cup recognition and the recorded physical manipulation while omitting state language. Only one white cup appears, so this row cannot train state-based selection.</x:v>
      </x:c>
      <x:c r="Q15" s="38"/>
    </x:row>
    <x:row r="16" ht="60" customHeight="1">
      <x:c r="A16" s="70" t="n">
        <x:v>14</x:v>
      </x:c>
      <x:c r="B16" s="37" t="str">
        <x:v>State Recognition</x:v>
      </x:c>
      <x:c r="C16" s="37" t="str">
        <x:v>Put the open white cup in the bowl.</x:v>
      </x:c>
      <x:c r="D16" s="37" t="str">
        <x:v>Explicit seen-cell grounding</x:v>
      </x:c>
      <x:c r="E16" s="37" t="str">
        <x:v>open × white cup; two same-category candidates; non-queried axis controlled</x:v>
      </x:c>
      <x:c r="F16" s="37" t="str">
        <x:v>state_white_cup_open_explicit</x:v>
      </x:c>
      <x:c r="G16" s="37" t="str">
        <x:v>white-cup×upside-down; striped-cup×open; brown-cup×closed; spice-container×upright</x:v>
      </x:c>
      <x:c r="H16" s="37" t="str">
        <x:v>No</x:v>
      </x:c>
      <x:c r="I16" s="37" t="str">
        <x:v>Replace episode + assign prompt</x:v>
      </x:c>
      <x:c r="J16" s="37" t="str">
        <x:v>Use MT_State_Recognition_New episode 14 (Original 200 / source episode 14) in place of the original VLA benchmark episode.</x:v>
      </x:c>
      <x:c r="K16" s="37" t="str">
        <x:v>white cup B (O, UR) [target]; white cup A (C, UR); glass spice container A (C, UR); yellow-white striped cup B (C, UR)</x:v>
      </x:c>
      <x:c r="L16" s="37" t="str">
        <x:v>white cup B</x:v>
      </x:c>
      <x:c r="M16" s="37" t="str">
        <x:v>Recovery</x:v>
      </x:c>
      <x:c r="N16" s="37" t="str">
        <x:v>Put the open white cup in the bowl.</x:v>
      </x:c>
      <x:c r="O16" s="37" t="str"/>
      <x:c r="P16" s="37" t="str">
        <x:v>Explicitly grounds open with white cup using two same-category candidates. The non-queried state axis is held constant, so only one candidate satisfies the instruction.</x:v>
      </x:c>
      <x:c r="Q16" s="38"/>
    </x:row>
    <x:row r="17" ht="60" customHeight="1">
      <x:c r="A17" s="70" t="n">
        <x:v>15</x:v>
      </x:c>
      <x:c r="B17" s="37" t="str">
        <x:v>State Recognition</x:v>
      </x:c>
      <x:c r="C17" s="37" t="str">
        <x:v>Move the closed white cup into the bowl.</x:v>
      </x:c>
      <x:c r="D17" s="37" t="str">
        <x:v>Explicit seen-cell grounding</x:v>
      </x:c>
      <x:c r="E17" s="37" t="str">
        <x:v>closed × white cup; two same-category candidates; non-queried axis controlled</x:v>
      </x:c>
      <x:c r="F17" s="37" t="str">
        <x:v>state_white_cup_closed_explicit</x:v>
      </x:c>
      <x:c r="G17" s="37" t="str">
        <x:v>white-cup×upside-down; striped-cup×open; brown-cup×closed; spice-container×upright</x:v>
      </x:c>
      <x:c r="H17" s="37" t="str">
        <x:v>No</x:v>
      </x:c>
      <x:c r="I17" s="37" t="str">
        <x:v>Replace episode + assign prompt</x:v>
      </x:c>
      <x:c r="J17" s="37" t="str">
        <x:v>Use MT_State_Recognition_New episode 15 (Original 200 / source episode 15) in place of the original VLA benchmark episode.</x:v>
      </x:c>
      <x:c r="K17" s="37" t="str">
        <x:v>white cup A (C, UR) [target]; white cup B (O, UR); yellow-white striped cup B (O, UR)</x:v>
      </x:c>
      <x:c r="L17" s="37" t="str">
        <x:v>white cup A</x:v>
      </x:c>
      <x:c r="M17" s="37" t="str">
        <x:v>Home</x:v>
      </x:c>
      <x:c r="N17" s="37" t="str">
        <x:v>Move the closed white cup into the bowl.</x:v>
      </x:c>
      <x:c r="O17" s="37" t="str"/>
      <x:c r="P17" s="37" t="str">
        <x:v>Explicitly grounds closed with white cup using two same-category candidates. The non-queried state axis is held constant, so only one candidate satisfies the instruction.</x:v>
      </x:c>
      <x:c r="Q17" s="38"/>
    </x:row>
    <x:row r="18" ht="60" customHeight="1">
      <x:c r="A18" s="70" t="n">
        <x:v>16</x:v>
      </x:c>
      <x:c r="B18" s="37" t="str">
        <x:v>State Recognition</x:v>
      </x:c>
      <x:c r="C18" s="37" t="str">
        <x:v>Place the closed white cup in the bowl.</x:v>
      </x:c>
      <x:c r="D18" s="37" t="str">
        <x:v>Explicit seen-cell grounding</x:v>
      </x:c>
      <x:c r="E18" s="37" t="str">
        <x:v>closed × white cup; two same-category candidates; non-queried axis controlled</x:v>
      </x:c>
      <x:c r="F18" s="37" t="str">
        <x:v>state_white_cup_closed_explicit</x:v>
      </x:c>
      <x:c r="G18" s="37" t="str">
        <x:v>white-cup×upside-down; striped-cup×open; brown-cup×closed; spice-container×upright</x:v>
      </x:c>
      <x:c r="H18" s="37" t="str">
        <x:v>No</x:v>
      </x:c>
      <x:c r="I18" s="37" t="str">
        <x:v>Replace episode + assign prompt</x:v>
      </x:c>
      <x:c r="J18" s="37" t="str">
        <x:v>Use MT_State_Recognition_New episode 16 (Original 200 / source episode 16) in place of the original VLA benchmark episode.</x:v>
      </x:c>
      <x:c r="K18" s="37" t="str">
        <x:v>white cup A (C, UR) [target]; white cup B (O, UR); brown cup A (C, UR); glass spice container B (C, UR)</x:v>
      </x:c>
      <x:c r="L18" s="37" t="str">
        <x:v>white cup A</x:v>
      </x:c>
      <x:c r="M18" s="37" t="str">
        <x:v>Home</x:v>
      </x:c>
      <x:c r="N18" s="37" t="str">
        <x:v>Place the closed white cup in the bowl.</x:v>
      </x:c>
      <x:c r="O18" s="37" t="str"/>
      <x:c r="P18" s="37" t="str">
        <x:v>Explicitly grounds closed with white cup using two same-category candidates. The non-queried state axis is held constant, so only one candidate satisfies the instruction.</x:v>
      </x:c>
      <x:c r="Q18" s="38"/>
    </x:row>
    <x:row r="19" ht="60" customHeight="1">
      <x:c r="A19" s="70" t="n">
        <x:v>17</x:v>
      </x:c>
      <x:c r="B19" s="37" t="str">
        <x:v>State Recognition</x:v>
      </x:c>
      <x:c r="C19" s="37" t="str">
        <x:v>Put the open white cup in the bowl.</x:v>
      </x:c>
      <x:c r="D19" s="37" t="str">
        <x:v>Explicit seen-cell grounding</x:v>
      </x:c>
      <x:c r="E19" s="37" t="str">
        <x:v>open × white cup; two same-category candidates; non-queried axis controlled</x:v>
      </x:c>
      <x:c r="F19" s="37" t="str">
        <x:v>state_white_cup_open_explicit</x:v>
      </x:c>
      <x:c r="G19" s="37" t="str">
        <x:v>white-cup×upside-down; striped-cup×open; brown-cup×closed; spice-container×upright</x:v>
      </x:c>
      <x:c r="H19" s="37" t="str">
        <x:v>No</x:v>
      </x:c>
      <x:c r="I19" s="37" t="str">
        <x:v>Replace episode + assign prompt</x:v>
      </x:c>
      <x:c r="J19" s="37" t="str">
        <x:v>Use MT_State_Recognition_New episode 17 (Original 200 / source episode 17) in place of the original VLA benchmark episode.</x:v>
      </x:c>
      <x:c r="K19" s="37" t="str">
        <x:v>white cup B (O, UR) [target]; white cup A (C, UR); glass spice container B (O, UR)</x:v>
      </x:c>
      <x:c r="L19" s="37" t="str">
        <x:v>white cup B</x:v>
      </x:c>
      <x:c r="M19" s="37" t="str">
        <x:v>Home</x:v>
      </x:c>
      <x:c r="N19" s="37" t="str">
        <x:v>Put the open white cup in the bowl.</x:v>
      </x:c>
      <x:c r="O19" s="37" t="str"/>
      <x:c r="P19" s="37" t="str">
        <x:v>Explicitly grounds open with white cup using two same-category candidates. The non-queried state axis is held constant, so only one candidate satisfies the instruction.</x:v>
      </x:c>
      <x:c r="Q19" s="38"/>
    </x:row>
    <x:row r="20" ht="60" customHeight="1">
      <x:c r="A20" s="70" t="n">
        <x:v>18</x:v>
      </x:c>
      <x:c r="B20" s="37" t="str">
        <x:v>State Recognition</x:v>
      </x:c>
      <x:c r="C20" s="37" t="str">
        <x:v>Move a white cup into the bowl.</x:v>
      </x:c>
      <x:c r="D20" s="37" t="str">
        <x:v>State-masked physical exposure</x:v>
      </x:c>
      <x:c r="E20" s="37" t="str">
        <x:v>direct category=white cup; physical state=C, UR; no state word</x:v>
      </x:c>
      <x:c r="F20" s="37" t="str">
        <x:v>state_white_cup_c_ur_masked</x:v>
      </x:c>
      <x:c r="G20" s="37" t="str">
        <x:v>white-cup×upside-down; striped-cup×open; brown-cup×closed; spice-container×upright</x:v>
      </x:c>
      <x:c r="H20" s="37" t="str">
        <x:v>No</x:v>
      </x:c>
      <x:c r="I20" s="37" t="str">
        <x:v>Replace episode + assign prompt</x:v>
      </x:c>
      <x:c r="J20" s="37" t="str">
        <x:v>Use MT_State_Recognition_New episode 18 (Original 200 / source episode 18) in place of the original VLA benchmark episode.</x:v>
      </x:c>
      <x:c r="K20" s="37" t="str">
        <x:v>white cup A (C, UR) [target]; brown cup B (O, UR); glass spice container B (O, UR)</x:v>
      </x:c>
      <x:c r="L20" s="37" t="str">
        <x:v>white cup A</x:v>
      </x:c>
      <x:c r="M20" s="37" t="str">
        <x:v>Home</x:v>
      </x:c>
      <x:c r="N20" s="37" t="str">
        <x:v>Move a white cup into the bowl.</x:v>
      </x:c>
      <x:c r="O20" s="37" t="str"/>
      <x:c r="P20" s="37" t="str">
        <x:v>Preserves white cup recognition and the recorded physical manipulation while omitting state language. Only one white cup appears, so this row cannot train state-based selection.</x:v>
      </x:c>
      <x:c r="Q20" s="38"/>
    </x:row>
    <x:row r="21" ht="60" customHeight="1">
      <x:c r="A21" s="70" t="n">
        <x:v>19</x:v>
      </x:c>
      <x:c r="B21" s="37" t="str">
        <x:v>State Recognition</x:v>
      </x:c>
      <x:c r="C21" s="37" t="str">
        <x:v>Place the open white cup in the bowl.</x:v>
      </x:c>
      <x:c r="D21" s="37" t="str">
        <x:v>Explicit seen-cell grounding</x:v>
      </x:c>
      <x:c r="E21" s="37" t="str">
        <x:v>open × white cup; two same-category candidates; non-queried axis controlled</x:v>
      </x:c>
      <x:c r="F21" s="37" t="str">
        <x:v>state_white_cup_open_explicit</x:v>
      </x:c>
      <x:c r="G21" s="37" t="str">
        <x:v>white-cup×upside-down; striped-cup×open; brown-cup×closed; spice-container×upright</x:v>
      </x:c>
      <x:c r="H21" s="37" t="str">
        <x:v>No</x:v>
      </x:c>
      <x:c r="I21" s="37" t="str">
        <x:v>Replace episode + assign prompt</x:v>
      </x:c>
      <x:c r="J21" s="37" t="str">
        <x:v>Use MT_State_Recognition_New episode 19 (Original 200 / source episode 19) in place of the original VLA benchmark episode.</x:v>
      </x:c>
      <x:c r="K21" s="37" t="str">
        <x:v>white cup B (O, UR) [target]; white cup A (C, UR); brown cup B (O, UR)</x:v>
      </x:c>
      <x:c r="L21" s="37" t="str">
        <x:v>white cup B</x:v>
      </x:c>
      <x:c r="M21" s="37" t="str">
        <x:v>Recovery</x:v>
      </x:c>
      <x:c r="N21" s="37" t="str">
        <x:v>Place the open white cup in the bowl.</x:v>
      </x:c>
      <x:c r="O21" s="37" t="str"/>
      <x:c r="P21" s="37" t="str">
        <x:v>Explicitly grounds open with white cup using two same-category candidates. The non-queried state axis is held constant, so only one candidate satisfies the instruction.</x:v>
      </x:c>
      <x:c r="Q21" s="38"/>
    </x:row>
    <x:row r="22" ht="60" customHeight="1">
      <x:c r="A22" s="70" t="n">
        <x:v>20</x:v>
      </x:c>
      <x:c r="B22" s="37" t="str">
        <x:v>State Recognition</x:v>
      </x:c>
      <x:c r="C22" s="37" t="str">
        <x:v>Put a white cup in the bowl.</x:v>
      </x:c>
      <x:c r="D22" s="37" t="str">
        <x:v>State-masked physical exposure</x:v>
      </x:c>
      <x:c r="E22" s="37" t="str">
        <x:v>direct category=white cup; physical state=O, UR; no state word</x:v>
      </x:c>
      <x:c r="F22" s="37" t="str">
        <x:v>state_white_cup_o_ur_masked</x:v>
      </x:c>
      <x:c r="G22" s="37" t="str">
        <x:v>white-cup×upside-down; striped-cup×open; brown-cup×closed; spice-container×upright</x:v>
      </x:c>
      <x:c r="H22" s="37" t="str">
        <x:v>No</x:v>
      </x:c>
      <x:c r="I22" s="37" t="str">
        <x:v>Replace episode + assign prompt</x:v>
      </x:c>
      <x:c r="J22" s="37" t="str">
        <x:v>Use MT_State_Recognition_New episode 20 (Original 200 / source episode 20) in place of the original VLA benchmark episode.</x:v>
      </x:c>
      <x:c r="K22" s="37" t="str">
        <x:v>white cup A (O, UR) [target]; glass spice container B (C, UR); yellow-white striped cup A (C, UR); brown cup A (C, UR)</x:v>
      </x:c>
      <x:c r="L22" s="37" t="str">
        <x:v>white cup A</x:v>
      </x:c>
      <x:c r="M22" s="37" t="str">
        <x:v>Home</x:v>
      </x:c>
      <x:c r="N22" s="37" t="str">
        <x:v>Put a white cup in the bowl.</x:v>
      </x:c>
      <x:c r="O22" s="37" t="str"/>
      <x:c r="P22" s="37" t="str">
        <x:v>Preserves white cup recognition and the recorded physical manipulation while omitting state language. Only one white cup appears, so this row cannot train state-based selection.</x:v>
      </x:c>
      <x:c r="Q22" s="38"/>
    </x:row>
    <x:row r="23" ht="60" customHeight="1">
      <x:c r="A23" s="70" t="n">
        <x:v>21</x:v>
      </x:c>
      <x:c r="B23" s="37" t="str">
        <x:v>State Recognition</x:v>
      </x:c>
      <x:c r="C23" s="37" t="str">
        <x:v>Move the closed white cup into the bowl.</x:v>
      </x:c>
      <x:c r="D23" s="37" t="str">
        <x:v>Explicit seen-cell grounding</x:v>
      </x:c>
      <x:c r="E23" s="37" t="str">
        <x:v>closed × white cup; two same-category candidates; non-queried axis controlled</x:v>
      </x:c>
      <x:c r="F23" s="37" t="str">
        <x:v>state_white_cup_closed_explicit</x:v>
      </x:c>
      <x:c r="G23" s="37" t="str">
        <x:v>white-cup×upside-down; striped-cup×open; brown-cup×closed; spice-container×upright</x:v>
      </x:c>
      <x:c r="H23" s="37" t="str">
        <x:v>No</x:v>
      </x:c>
      <x:c r="I23" s="37" t="str">
        <x:v>Replace episode + assign prompt</x:v>
      </x:c>
      <x:c r="J23" s="37" t="str">
        <x:v>Use MT_State_Recognition_New episode 21 (Original 200 / source episode 21) in place of the original VLA benchmark episode.</x:v>
      </x:c>
      <x:c r="K23" s="37" t="str">
        <x:v>white cup B (C, UR) [target]; white cup A (O, UR); yellow-white striped cup B (O, UR); brown cup A (O, UR)</x:v>
      </x:c>
      <x:c r="L23" s="37" t="str">
        <x:v>white cup B</x:v>
      </x:c>
      <x:c r="M23" s="37" t="str">
        <x:v>Home</x:v>
      </x:c>
      <x:c r="N23" s="37" t="str">
        <x:v>Move the closed white cup into the bowl.</x:v>
      </x:c>
      <x:c r="O23" s="37" t="str"/>
      <x:c r="P23" s="37" t="str">
        <x:v>Explicitly grounds closed with white cup using two same-category candidates. The non-queried state axis is held constant, so only one candidate satisfies the instruction.</x:v>
      </x:c>
      <x:c r="Q23" s="38"/>
    </x:row>
    <x:row r="24" ht="60" customHeight="1">
      <x:c r="A24" s="70" t="n">
        <x:v>22</x:v>
      </x:c>
      <x:c r="B24" s="37" t="str">
        <x:v>State Recognition</x:v>
      </x:c>
      <x:c r="C24" s="37" t="str">
        <x:v>Place the open white cup in the bowl.</x:v>
      </x:c>
      <x:c r="D24" s="37" t="str">
        <x:v>Explicit seen-cell grounding</x:v>
      </x:c>
      <x:c r="E24" s="37" t="str">
        <x:v>open × white cup; two same-category candidates; non-queried axis controlled</x:v>
      </x:c>
      <x:c r="F24" s="37" t="str">
        <x:v>state_white_cup_open_explicit</x:v>
      </x:c>
      <x:c r="G24" s="37" t="str">
        <x:v>white-cup×upside-down; striped-cup×open; brown-cup×closed; spice-container×upright</x:v>
      </x:c>
      <x:c r="H24" s="37" t="str">
        <x:v>No</x:v>
      </x:c>
      <x:c r="I24" s="37" t="str">
        <x:v>Replace episode + assign prompt</x:v>
      </x:c>
      <x:c r="J24" s="37" t="str">
        <x:v>Use MT_State_Recognition_New episode 22 (Original 200 / source episode 22) in place of the original VLA benchmark episode.</x:v>
      </x:c>
      <x:c r="K24" s="37" t="str">
        <x:v>white cup B (O, UR) [target]; white cup A (C, UR); brown cup A (O, UR); glass spice container B (O, UR)</x:v>
      </x:c>
      <x:c r="L24" s="37" t="str">
        <x:v>white cup B</x:v>
      </x:c>
      <x:c r="M24" s="37" t="str">
        <x:v>Home</x:v>
      </x:c>
      <x:c r="N24" s="37" t="str">
        <x:v>Place the open white cup in the bowl.</x:v>
      </x:c>
      <x:c r="O24" s="37" t="str"/>
      <x:c r="P24" s="37" t="str">
        <x:v>Explicitly grounds open with white cup using two same-category candidates. The non-queried state axis is held constant, so only one candidate satisfies the instruction.</x:v>
      </x:c>
      <x:c r="Q24" s="38"/>
    </x:row>
    <x:row r="25" ht="60" customHeight="1">
      <x:c r="A25" s="70" t="n">
        <x:v>23</x:v>
      </x:c>
      <x:c r="B25" s="37" t="str">
        <x:v>State Recognition</x:v>
      </x:c>
      <x:c r="C25" s="37" t="str">
        <x:v>Put the closed white cup in the bowl.</x:v>
      </x:c>
      <x:c r="D25" s="37" t="str">
        <x:v>Explicit seen-cell grounding</x:v>
      </x:c>
      <x:c r="E25" s="37" t="str">
        <x:v>closed × white cup; two same-category candidates; non-queried axis controlled</x:v>
      </x:c>
      <x:c r="F25" s="37" t="str">
        <x:v>state_white_cup_closed_explicit</x:v>
      </x:c>
      <x:c r="G25" s="37" t="str">
        <x:v>white-cup×upside-down; striped-cup×open; brown-cup×closed; spice-container×upright</x:v>
      </x:c>
      <x:c r="H25" s="37" t="str">
        <x:v>No</x:v>
      </x:c>
      <x:c r="I25" s="37" t="str">
        <x:v>Replace episode + assign prompt</x:v>
      </x:c>
      <x:c r="J25" s="37" t="str">
        <x:v>Use MT_State_Recognition_New episode 23 (Original 200 / source episode 23) in place of the original VLA benchmark episode.</x:v>
      </x:c>
      <x:c r="K25" s="37" t="str">
        <x:v>white cup A (C, UR) [target]; white cup B (O, UR); glass spice container B (C, UR)</x:v>
      </x:c>
      <x:c r="L25" s="37" t="str">
        <x:v>white cup A</x:v>
      </x:c>
      <x:c r="M25" s="37" t="str">
        <x:v>Recovery</x:v>
      </x:c>
      <x:c r="N25" s="37" t="str">
        <x:v>Put the closed white cup in the bowl.</x:v>
      </x:c>
      <x:c r="O25" s="37" t="str"/>
      <x:c r="P25" s="37" t="str">
        <x:v>Explicitly grounds closed with white cup using two same-category candidates. The non-queried state axis is held constant, so only one candidate satisfies the instruction.</x:v>
      </x:c>
      <x:c r="Q25" s="38"/>
    </x:row>
    <x:row r="26" ht="60" customHeight="1">
      <x:c r="A26" s="70" t="n">
        <x:v>24</x:v>
      </x:c>
      <x:c r="B26" s="37" t="str">
        <x:v>State Recognition</x:v>
      </x:c>
      <x:c r="C26" s="37" t="str">
        <x:v>Move the open white cup into the bowl.</x:v>
      </x:c>
      <x:c r="D26" s="37" t="str">
        <x:v>Explicit seen-cell grounding</x:v>
      </x:c>
      <x:c r="E26" s="37" t="str">
        <x:v>open × white cup; two same-category candidates; non-queried axis controlled</x:v>
      </x:c>
      <x:c r="F26" s="37" t="str">
        <x:v>state_white_cup_open_explicit</x:v>
      </x:c>
      <x:c r="G26" s="37" t="str">
        <x:v>white-cup×upside-down; striped-cup×open; brown-cup×closed; spice-container×upright</x:v>
      </x:c>
      <x:c r="H26" s="37" t="str">
        <x:v>No</x:v>
      </x:c>
      <x:c r="I26" s="37" t="str">
        <x:v>Replace episode + assign prompt</x:v>
      </x:c>
      <x:c r="J26" s="37" t="str">
        <x:v>Use MT_State_Recognition_New episode 24 (Original 200 / source episode 24) in place of the original VLA benchmark episode.</x:v>
      </x:c>
      <x:c r="K26" s="37" t="str">
        <x:v>white cup A (O, UR) [target]; white cup B (C, UR); yellow-white striped cup A (O, UR)</x:v>
      </x:c>
      <x:c r="L26" s="37" t="str">
        <x:v>white cup A</x:v>
      </x:c>
      <x:c r="M26" s="37" t="str">
        <x:v>Home</x:v>
      </x:c>
      <x:c r="N26" s="37" t="str">
        <x:v>Move the open white cup into the bowl.</x:v>
      </x:c>
      <x:c r="O26" s="37" t="str"/>
      <x:c r="P26" s="37" t="str">
        <x:v>Explicitly grounds open with white cup using two same-category candidates. The non-queried state axis is held constant, so only one candidate satisfies the instruction.</x:v>
      </x:c>
      <x:c r="Q26" s="38"/>
    </x:row>
    <x:row r="27" ht="60" customHeight="1">
      <x:c r="A27" s="70" t="n">
        <x:v>25</x:v>
      </x:c>
      <x:c r="B27" s="37" t="str">
        <x:v>State Recognition</x:v>
      </x:c>
      <x:c r="C27" s="37" t="str">
        <x:v>Place a white cup in the bowl.</x:v>
      </x:c>
      <x:c r="D27" s="37" t="str">
        <x:v>State-masked physical exposure</x:v>
      </x:c>
      <x:c r="E27" s="37" t="str">
        <x:v>direct category=white cup; physical state=C, UD; no state word</x:v>
      </x:c>
      <x:c r="F27" s="37" t="str">
        <x:v>state_white_cup_c_ud_masked</x:v>
      </x:c>
      <x:c r="G27" s="37" t="str">
        <x:v>white-cup×upside-down; striped-cup×open; brown-cup×closed; spice-container×upright</x:v>
      </x:c>
      <x:c r="H27" s="37" t="str">
        <x:v>No</x:v>
      </x:c>
      <x:c r="I27" s="37" t="str">
        <x:v>Replace episode + assign prompt</x:v>
      </x:c>
      <x:c r="J27" s="37" t="str">
        <x:v>Use MT_State_Recognition_New episode 25 (Original 200 / source episode 25) in place of the original VLA benchmark episode.</x:v>
      </x:c>
      <x:c r="K27" s="37" t="str">
        <x:v>white cup B (C, UD) [target]; brown cup B (O, UR); glass spice container B (C, UR); yellow-white striped cup A (O, UR)</x:v>
      </x:c>
      <x:c r="L27" s="37" t="str">
        <x:v>white cup B</x:v>
      </x:c>
      <x:c r="M27" s="37" t="str">
        <x:v>Home</x:v>
      </x:c>
      <x:c r="N27" s="37" t="str">
        <x:v>Place a white cup in the bowl.</x:v>
      </x:c>
      <x:c r="O27" s="37" t="str">
        <x:v>Move the upside-down white cup into the bowl.</x:v>
      </x:c>
      <x:c r="P27" s="37" t="str">
        <x:v>Preserves white cup recognition and the recorded physical manipulation while omitting state language. Only one white cup appears, so this row cannot train state-based selection.</x:v>
      </x:c>
      <x:c r="Q27" s="38"/>
    </x:row>
    <x:row r="28" ht="60" customHeight="1">
      <x:c r="A28" s="70" t="n">
        <x:v>26</x:v>
      </x:c>
      <x:c r="B28" s="37" t="str">
        <x:v>State Recognition</x:v>
      </x:c>
      <x:c r="C28" s="37" t="str">
        <x:v>Put the upright white cup in the bowl.</x:v>
      </x:c>
      <x:c r="D28" s="37" t="str">
        <x:v>Explicit seen-cell grounding</x:v>
      </x:c>
      <x:c r="E28" s="37" t="str">
        <x:v>upright × white cup; two same-category candidates; non-queried axis controlled</x:v>
      </x:c>
      <x:c r="F28" s="37" t="str">
        <x:v>state_white_cup_upright_explicit</x:v>
      </x:c>
      <x:c r="G28" s="37" t="str">
        <x:v>white-cup×upside-down; striped-cup×open; brown-cup×closed; spice-container×upright</x:v>
      </x:c>
      <x:c r="H28" s="37" t="str">
        <x:v>No</x:v>
      </x:c>
      <x:c r="I28" s="37" t="str">
        <x:v>Replace episode + assign prompt</x:v>
      </x:c>
      <x:c r="J28" s="37" t="str">
        <x:v>Use MT_State_Recognition_New episode 26 (New Recollection 20 / source episode 0) in place of the original VLA benchmark episode.</x:v>
      </x:c>
      <x:c r="K28" s="37" t="str">
        <x:v>white cup A (O, UR) [target, P1]; white cup B (O, UD) [same-category counterfactual, P3]</x:v>
      </x:c>
      <x:c r="L28" s="37" t="str">
        <x:v>white cup A</x:v>
      </x:c>
      <x:c r="M28" s="37" t="str">
        <x:v>Recovery</x:v>
      </x:c>
      <x:c r="N28" s="37" t="str">
        <x:v>Put the upright white cup in the bowl.</x:v>
      </x:c>
      <x:c r="O28" s="37" t="str"/>
      <x:c r="P28" s="37" t="str">
        <x:v>Explicitly grounds upright with white cup using two same-category candidates. The non-queried state axis is held constant, so only one candidate satisfies the instruction.</x:v>
      </x:c>
      <x:c r="Q28" s="38"/>
    </x:row>
    <x:row r="29" ht="60" customHeight="1">
      <x:c r="A29" s="70" t="n">
        <x:v>27</x:v>
      </x:c>
      <x:c r="B29" s="37" t="str">
        <x:v>State Recognition</x:v>
      </x:c>
      <x:c r="C29" s="37" t="str">
        <x:v>Move the upright white cup into the bowl.</x:v>
      </x:c>
      <x:c r="D29" s="37" t="str">
        <x:v>Explicit seen-cell grounding</x:v>
      </x:c>
      <x:c r="E29" s="37" t="str">
        <x:v>upright × white cup; two same-category candidates; non-queried axis controlled</x:v>
      </x:c>
      <x:c r="F29" s="37" t="str">
        <x:v>state_white_cup_upright_explicit</x:v>
      </x:c>
      <x:c r="G29" s="37" t="str">
        <x:v>white-cup×upside-down; striped-cup×open; brown-cup×closed; spice-container×upright</x:v>
      </x:c>
      <x:c r="H29" s="37" t="str">
        <x:v>No</x:v>
      </x:c>
      <x:c r="I29" s="37" t="str">
        <x:v>Replace episode + assign prompt</x:v>
      </x:c>
      <x:c r="J29" s="37" t="str">
        <x:v>Use MT_State_Recognition_New episode 27 (Original 200 / source episode 27) in place of the original VLA benchmark episode.</x:v>
      </x:c>
      <x:c r="K29" s="37" t="str">
        <x:v>white cup B (C, UR) [target]; white cup A (C, UD); brown cup B (C, UD); glass spice container A (O, UD)</x:v>
      </x:c>
      <x:c r="L29" s="37" t="str">
        <x:v>white cup B</x:v>
      </x:c>
      <x:c r="M29" s="37" t="str">
        <x:v>Home</x:v>
      </x:c>
      <x:c r="N29" s="37" t="str">
        <x:v>Move the upright white cup into the bowl.</x:v>
      </x:c>
      <x:c r="O29" s="37" t="str"/>
      <x:c r="P29" s="37" t="str">
        <x:v>Explicitly grounds upright with white cup using two same-category candidates. The non-queried state axis is held constant, so only one candidate satisfies the instruction.</x:v>
      </x:c>
      <x:c r="Q29" s="38"/>
    </x:row>
    <x:row r="30" ht="60" customHeight="1">
      <x:c r="A30" s="70" t="n">
        <x:v>28</x:v>
      </x:c>
      <x:c r="B30" s="37" t="str">
        <x:v>State Recognition</x:v>
      </x:c>
      <x:c r="C30" s="37" t="str">
        <x:v>Place a white cup in the bowl.</x:v>
      </x:c>
      <x:c r="D30" s="37" t="str">
        <x:v>State-masked physical exposure</x:v>
      </x:c>
      <x:c r="E30" s="37" t="str">
        <x:v>direct category=white cup; physical state=C, UD; no state word</x:v>
      </x:c>
      <x:c r="F30" s="37" t="str">
        <x:v>state_white_cup_c_ud_masked</x:v>
      </x:c>
      <x:c r="G30" s="37" t="str">
        <x:v>white-cup×upside-down; striped-cup×open; brown-cup×closed; spice-container×upright</x:v>
      </x:c>
      <x:c r="H30" s="37" t="str">
        <x:v>No</x:v>
      </x:c>
      <x:c r="I30" s="37" t="str">
        <x:v>Replace episode + assign prompt</x:v>
      </x:c>
      <x:c r="J30" s="37" t="str">
        <x:v>Use MT_State_Recognition_New episode 28 (Replacement 61 / source episode 9) in place of the original VLA benchmark episode.</x:v>
      </x:c>
      <x:c r="K30" s="37" t="str">
        <x:v>white cup B (C, UD) [target, P2]; yellow-white striped cup A (C, UD) — P1; brown cup B (O, UD) — P3; glass spice container A (C, UR) — P4</x:v>
      </x:c>
      <x:c r="L30" s="37" t="str">
        <x:v>white cup B</x:v>
      </x:c>
      <x:c r="M30" s="37" t="str">
        <x:v>Recovery</x:v>
      </x:c>
      <x:c r="N30" s="37" t="str">
        <x:v>Place a white cup in the bowl.</x:v>
      </x:c>
      <x:c r="O30" s="37" t="str">
        <x:v>Move the upside-down white cup into the bowl.</x:v>
      </x:c>
      <x:c r="P30" s="37" t="str">
        <x:v>Preserves white cup recognition and the recorded physical manipulation while omitting state language. Only one white cup appears, so this row cannot train state-based selection.</x:v>
      </x:c>
      <x:c r="Q30" s="38"/>
    </x:row>
    <x:row r="31" ht="60" customHeight="1">
      <x:c r="A31" s="70" t="n">
        <x:v>29</x:v>
      </x:c>
      <x:c r="B31" s="37" t="str">
        <x:v>State Recognition</x:v>
      </x:c>
      <x:c r="C31" s="37" t="str">
        <x:v>Put a white cup in the bowl.</x:v>
      </x:c>
      <x:c r="D31" s="37" t="str">
        <x:v>State-masked physical exposure</x:v>
      </x:c>
      <x:c r="E31" s="37" t="str">
        <x:v>direct category=white cup; physical state=C, UD; no state word</x:v>
      </x:c>
      <x:c r="F31" s="37" t="str">
        <x:v>state_white_cup_c_ud_masked</x:v>
      </x:c>
      <x:c r="G31" s="37" t="str">
        <x:v>white-cup×upside-down; striped-cup×open; brown-cup×closed; spice-container×upright</x:v>
      </x:c>
      <x:c r="H31" s="37" t="str">
        <x:v>No</x:v>
      </x:c>
      <x:c r="I31" s="37" t="str">
        <x:v>Replace episode + assign prompt</x:v>
      </x:c>
      <x:c r="J31" s="37" t="str">
        <x:v>Use MT_State_Recognition_New episode 29 (Additional 40 / source episode 3) in place of the original VLA benchmark episode.</x:v>
      </x:c>
      <x:c r="K31" s="37" t="str">
        <x:v>white cup B (C, UD) [target, P4]; yellow-white striped cup B (C, UR); Brown cup B (C, UD); glass spice container A (O, UR)</x:v>
      </x:c>
      <x:c r="L31" s="37" t="str">
        <x:v>white cup B</x:v>
      </x:c>
      <x:c r="M31" s="37" t="str">
        <x:v>Home</x:v>
      </x:c>
      <x:c r="N31" s="37" t="str">
        <x:v>Put a white cup in the bowl.</x:v>
      </x:c>
      <x:c r="O31" s="37" t="str">
        <x:v>Move the upside-down white cup into the bowl.</x:v>
      </x:c>
      <x:c r="P31" s="37" t="str">
        <x:v>Preserves white cup recognition and the recorded physical manipulation while omitting state language. Only one white cup appears, so this row cannot train state-based selection.</x:v>
      </x:c>
      <x:c r="Q31" s="38"/>
    </x:row>
    <x:row r="32" ht="60" customHeight="1">
      <x:c r="A32" s="70" t="n">
        <x:v>30</x:v>
      </x:c>
      <x:c r="B32" s="37" t="str">
        <x:v>State Recognition</x:v>
      </x:c>
      <x:c r="C32" s="37" t="str">
        <x:v>Move a white cup into the bowl.</x:v>
      </x:c>
      <x:c r="D32" s="37" t="str">
        <x:v>State-masked physical exposure</x:v>
      </x:c>
      <x:c r="E32" s="37" t="str">
        <x:v>direct category=white cup; physical state=O, UD; no state word</x:v>
      </x:c>
      <x:c r="F32" s="37" t="str">
        <x:v>state_white_cup_o_ud_masked</x:v>
      </x:c>
      <x:c r="G32" s="37" t="str">
        <x:v>white-cup×upside-down; striped-cup×open; brown-cup×closed; spice-container×upright</x:v>
      </x:c>
      <x:c r="H32" s="37" t="str">
        <x:v>No</x:v>
      </x:c>
      <x:c r="I32" s="37" t="str">
        <x:v>Replace episode + assign prompt</x:v>
      </x:c>
      <x:c r="J32" s="37" t="str">
        <x:v>Use MT_State_Recognition_New episode 30 (Original 200 / source episode 30) in place of the original VLA benchmark episode.</x:v>
      </x:c>
      <x:c r="K32" s="37" t="str">
        <x:v>white cup A (O, UD) [target]; glass spice container B (O, UR); yellow-white striped cup A (C, UR); brown cup A (O, UR)</x:v>
      </x:c>
      <x:c r="L32" s="37" t="str">
        <x:v>white cup A</x:v>
      </x:c>
      <x:c r="M32" s="37" t="str">
        <x:v>Home</x:v>
      </x:c>
      <x:c r="N32" s="37" t="str">
        <x:v>Move a white cup into the bowl.</x:v>
      </x:c>
      <x:c r="O32" s="37" t="str">
        <x:v>Move the upside-down white cup into the bowl.</x:v>
      </x:c>
      <x:c r="P32" s="37" t="str">
        <x:v>Preserves white cup recognition and the recorded physical manipulation while omitting state language. Only one white cup appears, so this row cannot train state-based selection.</x:v>
      </x:c>
      <x:c r="Q32" s="38"/>
    </x:row>
    <x:row r="33" ht="60" customHeight="1">
      <x:c r="A33" s="70" t="n">
        <x:v>31</x:v>
      </x:c>
      <x:c r="B33" s="37" t="str">
        <x:v>State Recognition</x:v>
      </x:c>
      <x:c r="C33" s="37" t="str">
        <x:v>Place the upright white cup in the bowl.</x:v>
      </x:c>
      <x:c r="D33" s="37" t="str">
        <x:v>Explicit seen-cell grounding</x:v>
      </x:c>
      <x:c r="E33" s="37" t="str">
        <x:v>upright × white cup; two same-category candidates; non-queried axis controlled</x:v>
      </x:c>
      <x:c r="F33" s="37" t="str">
        <x:v>state_white_cup_upright_explicit</x:v>
      </x:c>
      <x:c r="G33" s="37" t="str">
        <x:v>white-cup×upside-down; striped-cup×open; brown-cup×closed; spice-container×upright</x:v>
      </x:c>
      <x:c r="H33" s="37" t="str">
        <x:v>No</x:v>
      </x:c>
      <x:c r="I33" s="37" t="str">
        <x:v>Replace episode + assign prompt</x:v>
      </x:c>
      <x:c r="J33" s="37" t="str">
        <x:v>Use MT_State_Recognition_New episode 31 (Original 200 / source episode 31) in place of the original VLA benchmark episode.</x:v>
      </x:c>
      <x:c r="K33" s="37" t="str">
        <x:v>white cup B (C, UR) [target]; white cup A (C, UD); glass spice container B (C, UR)</x:v>
      </x:c>
      <x:c r="L33" s="37" t="str">
        <x:v>white cup B</x:v>
      </x:c>
      <x:c r="M33" s="37" t="str">
        <x:v>Home</x:v>
      </x:c>
      <x:c r="N33" s="37" t="str">
        <x:v>Place the upright white cup in the bowl.</x:v>
      </x:c>
      <x:c r="O33" s="37" t="str"/>
      <x:c r="P33" s="37" t="str">
        <x:v>Explicitly grounds upright with white cup using two same-category candidates. The non-queried state axis is held constant, so only one candidate satisfies the instruction.</x:v>
      </x:c>
      <x:c r="Q33" s="38"/>
    </x:row>
    <x:row r="34" ht="60" customHeight="1">
      <x:c r="A34" s="70" t="n">
        <x:v>32</x:v>
      </x:c>
      <x:c r="B34" s="37" t="str">
        <x:v>State Recognition</x:v>
      </x:c>
      <x:c r="C34" s="37" t="str">
        <x:v>Put a white cup in the bowl.</x:v>
      </x:c>
      <x:c r="D34" s="37" t="str">
        <x:v>State-masked physical exposure</x:v>
      </x:c>
      <x:c r="E34" s="37" t="str">
        <x:v>direct category=white cup; physical state=O, UD; no state word</x:v>
      </x:c>
      <x:c r="F34" s="37" t="str">
        <x:v>state_white_cup_o_ud_masked</x:v>
      </x:c>
      <x:c r="G34" s="37" t="str">
        <x:v>white-cup×upside-down; striped-cup×open; brown-cup×closed; spice-container×upright</x:v>
      </x:c>
      <x:c r="H34" s="37" t="str">
        <x:v>No</x:v>
      </x:c>
      <x:c r="I34" s="37" t="str">
        <x:v>Replace episode + assign prompt</x:v>
      </x:c>
      <x:c r="J34" s="37" t="str">
        <x:v>Use MT_State_Recognition_New episode 32 (Replacement 61 / source episode 10) in place of the original VLA benchmark episode.</x:v>
      </x:c>
      <x:c r="K34" s="37" t="str">
        <x:v>white cup A (O, UD) [target, P3]; yellow-white striped cup B (O, UR) — P2; brown cup A (C, UD) — P4; glass spice container B (O, UD) — P1</x:v>
      </x:c>
      <x:c r="L34" s="37" t="str">
        <x:v>white cup A</x:v>
      </x:c>
      <x:c r="M34" s="37" t="str">
        <x:v>Home</x:v>
      </x:c>
      <x:c r="N34" s="37" t="str">
        <x:v>Put a white cup in the bowl.</x:v>
      </x:c>
      <x:c r="O34" s="37" t="str">
        <x:v>Move the upside-down white cup into the bowl.</x:v>
      </x:c>
      <x:c r="P34" s="37" t="str">
        <x:v>Preserves white cup recognition and the recorded physical manipulation while omitting state language. Only one white cup appears, so this row cannot train state-based selection.</x:v>
      </x:c>
      <x:c r="Q34" s="38"/>
    </x:row>
    <x:row r="35" ht="60" customHeight="1">
      <x:c r="A35" s="70" t="n">
        <x:v>33</x:v>
      </x:c>
      <x:c r="B35" s="37" t="str">
        <x:v>State Recognition</x:v>
      </x:c>
      <x:c r="C35" s="37" t="str">
        <x:v>Move the upright white cup into the bowl.</x:v>
      </x:c>
      <x:c r="D35" s="37" t="str">
        <x:v>Explicit seen-cell grounding</x:v>
      </x:c>
      <x:c r="E35" s="37" t="str">
        <x:v>upright × white cup; two same-category candidates; non-queried axis controlled</x:v>
      </x:c>
      <x:c r="F35" s="37" t="str">
        <x:v>state_white_cup_upright_explicit</x:v>
      </x:c>
      <x:c r="G35" s="37" t="str">
        <x:v>white-cup×upside-down; striped-cup×open; brown-cup×closed; spice-container×upright</x:v>
      </x:c>
      <x:c r="H35" s="37" t="str">
        <x:v>No</x:v>
      </x:c>
      <x:c r="I35" s="37" t="str">
        <x:v>Replace episode + assign prompt</x:v>
      </x:c>
      <x:c r="J35" s="37" t="str">
        <x:v>Use MT_State_Recognition_New episode 33 (New Recollection 20 / source episode 1) in place of the original VLA benchmark episode.</x:v>
      </x:c>
      <x:c r="K35" s="37" t="str">
        <x:v>white cup B (C, UR) [target, P2]; white cup A (C, UD) [same-category counterfactual, P4]; glass spice container B (C, UR) [P1]</x:v>
      </x:c>
      <x:c r="L35" s="37" t="str">
        <x:v>white cup B</x:v>
      </x:c>
      <x:c r="M35" s="37" t="str">
        <x:v>Home</x:v>
      </x:c>
      <x:c r="N35" s="37" t="str">
        <x:v>Move the upright white cup into the bowl.</x:v>
      </x:c>
      <x:c r="O35" s="37" t="str"/>
      <x:c r="P35" s="37" t="str">
        <x:v>Explicitly grounds upright with white cup using two same-category candidates. The non-queried state axis is held constant, so only one candidate satisfies the instruction.</x:v>
      </x:c>
      <x:c r="Q35" s="38"/>
    </x:row>
    <x:row r="36" ht="60" customHeight="1">
      <x:c r="A36" s="70" t="n">
        <x:v>34</x:v>
      </x:c>
      <x:c r="B36" s="37" t="str">
        <x:v>State Recognition</x:v>
      </x:c>
      <x:c r="C36" s="37" t="str">
        <x:v>Place a white cup in the bowl.</x:v>
      </x:c>
      <x:c r="D36" s="37" t="str">
        <x:v>State-masked physical exposure</x:v>
      </x:c>
      <x:c r="E36" s="37" t="str">
        <x:v>direct category=white cup; physical state=O, UD; no state word</x:v>
      </x:c>
      <x:c r="F36" s="37" t="str">
        <x:v>state_white_cup_o_ud_masked</x:v>
      </x:c>
      <x:c r="G36" s="37" t="str">
        <x:v>white-cup×upside-down; striped-cup×open; brown-cup×closed; spice-container×upright</x:v>
      </x:c>
      <x:c r="H36" s="37" t="str">
        <x:v>No</x:v>
      </x:c>
      <x:c r="I36" s="37" t="str">
        <x:v>Replace episode + assign prompt</x:v>
      </x:c>
      <x:c r="J36" s="37" t="str">
        <x:v>Use MT_State_Recognition_New episode 34 (Replacement 61 / source episode 2) in place of the original VLA benchmark episode.</x:v>
      </x:c>
      <x:c r="K36" s="37" t="str">
        <x:v>white cup A (O, UD) [target, P3]; yellow-white striped cup B (O, UR) — P4; brown cup A (C, UD) — P1; glass spice container B (O, UD) — P2</x:v>
      </x:c>
      <x:c r="L36" s="37" t="str">
        <x:v>white cup A</x:v>
      </x:c>
      <x:c r="M36" s="37" t="str">
        <x:v>Recovery</x:v>
      </x:c>
      <x:c r="N36" s="37" t="str">
        <x:v>Place a white cup in the bowl.</x:v>
      </x:c>
      <x:c r="O36" s="37" t="str">
        <x:v>Move the upside-down white cup into the bowl.</x:v>
      </x:c>
      <x:c r="P36" s="37" t="str">
        <x:v>Preserves white cup recognition and the recorded physical manipulation while omitting state language. Only one white cup appears, so this row cannot train state-based selection.</x:v>
      </x:c>
      <x:c r="Q36" s="38"/>
    </x:row>
    <x:row r="37" ht="60" customHeight="1">
      <x:c r="A37" s="70" t="n">
        <x:v>35</x:v>
      </x:c>
      <x:c r="B37" s="37" t="str">
        <x:v>State Recognition</x:v>
      </x:c>
      <x:c r="C37" s="37" t="str">
        <x:v>Put a white cup in the bowl.</x:v>
      </x:c>
      <x:c r="D37" s="37" t="str">
        <x:v>State-masked physical exposure</x:v>
      </x:c>
      <x:c r="E37" s="37" t="str">
        <x:v>direct category=white cup; physical state=C, UD; no state word</x:v>
      </x:c>
      <x:c r="F37" s="37" t="str">
        <x:v>state_white_cup_c_ud_masked</x:v>
      </x:c>
      <x:c r="G37" s="37" t="str">
        <x:v>white-cup×upside-down; striped-cup×open; brown-cup×closed; spice-container×upright</x:v>
      </x:c>
      <x:c r="H37" s="37" t="str">
        <x:v>No</x:v>
      </x:c>
      <x:c r="I37" s="37" t="str">
        <x:v>Replace episode + assign prompt</x:v>
      </x:c>
      <x:c r="J37" s="37" t="str">
        <x:v>Use MT_State_Recognition_New episode 35 (Additional 40 / source episode 7) in place of the original VLA benchmark episode.</x:v>
      </x:c>
      <x:c r="K37" s="37" t="str">
        <x:v>white cup A (C, UD) [target, P4]; yellow-white striped cup B (C, UR); Brown cup B (O, UD); glass spice container B (C, UR)</x:v>
      </x:c>
      <x:c r="L37" s="37" t="str">
        <x:v>white cup A</x:v>
      </x:c>
      <x:c r="M37" s="37" t="str">
        <x:v>Home</x:v>
      </x:c>
      <x:c r="N37" s="37" t="str">
        <x:v>Put a white cup in the bowl.</x:v>
      </x:c>
      <x:c r="O37" s="37" t="str">
        <x:v>Move the upside-down white cup into the bowl.</x:v>
      </x:c>
      <x:c r="P37" s="37" t="str">
        <x:v>Preserves white cup recognition and the recorded physical manipulation while omitting state language. Only one white cup appears, so this row cannot train state-based selection.</x:v>
      </x:c>
      <x:c r="Q37" s="38"/>
    </x:row>
    <x:row r="38" ht="60" customHeight="1">
      <x:c r="A38" s="70" t="n">
        <x:v>36</x:v>
      </x:c>
      <x:c r="B38" s="37" t="str">
        <x:v>State Recognition</x:v>
      </x:c>
      <x:c r="C38" s="37" t="str">
        <x:v>Move a white cup into the bowl.</x:v>
      </x:c>
      <x:c r="D38" s="37" t="str">
        <x:v>State-masked physical exposure</x:v>
      </x:c>
      <x:c r="E38" s="37" t="str">
        <x:v>direct category=white cup; physical state=O, UR; no state word</x:v>
      </x:c>
      <x:c r="F38" s="37" t="str">
        <x:v>state_white_cup_o_ur_masked</x:v>
      </x:c>
      <x:c r="G38" s="37" t="str">
        <x:v>white-cup×upside-down; striped-cup×open; brown-cup×closed; spice-container×upright</x:v>
      </x:c>
      <x:c r="H38" s="37" t="str">
        <x:v>No</x:v>
      </x:c>
      <x:c r="I38" s="37" t="str">
        <x:v>Replace episode + assign prompt</x:v>
      </x:c>
      <x:c r="J38" s="37" t="str">
        <x:v>Use MT_State_Recognition_New episode 36 (Original 200 / source episode 36) in place of the original VLA benchmark episode.</x:v>
      </x:c>
      <x:c r="K38" s="37" t="str">
        <x:v>white cup B (O, UR) [target]; yellow-white striped cup A (C, UD); brown cup A (O, UD)</x:v>
      </x:c>
      <x:c r="L38" s="37" t="str">
        <x:v>white cup B</x:v>
      </x:c>
      <x:c r="M38" s="37" t="str">
        <x:v>Home</x:v>
      </x:c>
      <x:c r="N38" s="37" t="str">
        <x:v>Move a white cup into the bowl.</x:v>
      </x:c>
      <x:c r="O38" s="37" t="str"/>
      <x:c r="P38" s="37" t="str">
        <x:v>Preserves white cup recognition and the recorded physical manipulation while omitting state language. Only one white cup appears, so this row cannot train state-based selection.</x:v>
      </x:c>
      <x:c r="Q38" s="38"/>
    </x:row>
    <x:row r="39" ht="60" customHeight="1">
      <x:c r="A39" s="70" t="n">
        <x:v>37</x:v>
      </x:c>
      <x:c r="B39" s="37" t="str">
        <x:v>State Recognition</x:v>
      </x:c>
      <x:c r="C39" s="37" t="str">
        <x:v>Place a white cup in the bowl.</x:v>
      </x:c>
      <x:c r="D39" s="37" t="str">
        <x:v>State-masked physical exposure</x:v>
      </x:c>
      <x:c r="E39" s="37" t="str">
        <x:v>direct category=white cup; physical state=C, UR; no state word</x:v>
      </x:c>
      <x:c r="F39" s="37" t="str">
        <x:v>state_white_cup_c_ur_masked</x:v>
      </x:c>
      <x:c r="G39" s="37" t="str">
        <x:v>white-cup×upside-down; striped-cup×open; brown-cup×closed; spice-container×upright</x:v>
      </x:c>
      <x:c r="H39" s="37" t="str">
        <x:v>No</x:v>
      </x:c>
      <x:c r="I39" s="37" t="str">
        <x:v>Replace episode + assign prompt</x:v>
      </x:c>
      <x:c r="J39" s="37" t="str">
        <x:v>Use MT_State_Recognition_New episode 37 (Original 200 / source episode 37) in place of the original VLA benchmark episode.</x:v>
      </x:c>
      <x:c r="K39" s="37" t="str">
        <x:v>white cup A (C, UR) [target]; brown cup A (C, UD); glass spice container A (O, UD); yellow-white striped cup B (C, UD)</x:v>
      </x:c>
      <x:c r="L39" s="37" t="str">
        <x:v>white cup A</x:v>
      </x:c>
      <x:c r="M39" s="37" t="str">
        <x:v>Recovery</x:v>
      </x:c>
      <x:c r="N39" s="37" t="str">
        <x:v>Place a white cup in the bowl.</x:v>
      </x:c>
      <x:c r="O39" s="37" t="str"/>
      <x:c r="P39" s="37" t="str">
        <x:v>Preserves white cup recognition and the recorded physical manipulation while omitting state language. Only one white cup appears, so this row cannot train state-based selection.</x:v>
      </x:c>
      <x:c r="Q39" s="38"/>
    </x:row>
    <x:row r="40" ht="60" customHeight="1">
      <x:c r="A40" s="70" t="n">
        <x:v>38</x:v>
      </x:c>
      <x:c r="B40" s="37" t="str">
        <x:v>State Recognition</x:v>
      </x:c>
      <x:c r="C40" s="37" t="str">
        <x:v>Put a white cup in the bowl.</x:v>
      </x:c>
      <x:c r="D40" s="37" t="str">
        <x:v>State-masked physical exposure</x:v>
      </x:c>
      <x:c r="E40" s="37" t="str">
        <x:v>direct category=white cup; physical state=O, UR; no state word</x:v>
      </x:c>
      <x:c r="F40" s="37" t="str">
        <x:v>state_white_cup_o_ur_masked</x:v>
      </x:c>
      <x:c r="G40" s="37" t="str">
        <x:v>white-cup×upside-down; striped-cup×open; brown-cup×closed; spice-container×upright</x:v>
      </x:c>
      <x:c r="H40" s="37" t="str">
        <x:v>No</x:v>
      </x:c>
      <x:c r="I40" s="37" t="str">
        <x:v>Replace episode + assign prompt</x:v>
      </x:c>
      <x:c r="J40" s="37" t="str">
        <x:v>Use MT_State_Recognition_New episode 38 (Replacement 61 / source episode 12) in place of the original VLA benchmark episode.</x:v>
      </x:c>
      <x:c r="K40" s="37" t="str">
        <x:v>white cup B (O, UR) [target, P1]; yellow-white striped cup B (O, UD) — P2; brown cup A (C, UR) — P3; glass spice container B (O, UR) — P4</x:v>
      </x:c>
      <x:c r="L40" s="37" t="str">
        <x:v>white cup B</x:v>
      </x:c>
      <x:c r="M40" s="37" t="str">
        <x:v>Home</x:v>
      </x:c>
      <x:c r="N40" s="37" t="str">
        <x:v>Put a white cup in the bowl.</x:v>
      </x:c>
      <x:c r="O40" s="37" t="str"/>
      <x:c r="P40" s="37" t="str">
        <x:v>Preserves white cup recognition and the recorded physical manipulation while omitting state language. Only one white cup appears, so this row cannot train state-based selection.</x:v>
      </x:c>
      <x:c r="Q40" s="38"/>
    </x:row>
    <x:row r="41" ht="60" customHeight="1">
      <x:c r="A41" s="70" t="n">
        <x:v>39</x:v>
      </x:c>
      <x:c r="B41" s="37" t="str">
        <x:v>State Recognition</x:v>
      </x:c>
      <x:c r="C41" s="37" t="str">
        <x:v>Move a white cup into the bowl.</x:v>
      </x:c>
      <x:c r="D41" s="37" t="str">
        <x:v>State-masked physical exposure</x:v>
      </x:c>
      <x:c r="E41" s="37" t="str">
        <x:v>direct category=white cup; physical state=C, UD; no state word</x:v>
      </x:c>
      <x:c r="F41" s="37" t="str">
        <x:v>state_white_cup_c_ud_masked</x:v>
      </x:c>
      <x:c r="G41" s="37" t="str">
        <x:v>white-cup×upside-down; striped-cup×open; brown-cup×closed; spice-container×upright</x:v>
      </x:c>
      <x:c r="H41" s="37" t="str">
        <x:v>No</x:v>
      </x:c>
      <x:c r="I41" s="37" t="str">
        <x:v>Replace episode + assign prompt</x:v>
      </x:c>
      <x:c r="J41" s="37" t="str">
        <x:v>Use MT_State_Recognition_New episode 39 (Replacement 61 / source episode 5) in place of the original VLA benchmark episode.</x:v>
      </x:c>
      <x:c r="K41" s="37" t="str">
        <x:v>white cup A (C, UD) [target, P2]; yellow-white striped cup A (C, UD) — P4; brown cup B (O, UD) — P1; glass spice container A (C, UR) — P3</x:v>
      </x:c>
      <x:c r="L41" s="37" t="str">
        <x:v>white cup A</x:v>
      </x:c>
      <x:c r="M41" s="37" t="str">
        <x:v>Home</x:v>
      </x:c>
      <x:c r="N41" s="37" t="str">
        <x:v>Move a white cup into the bowl.</x:v>
      </x:c>
      <x:c r="O41" s="37" t="str">
        <x:v>Move the upside-down white cup into the bowl.</x:v>
      </x:c>
      <x:c r="P41" s="37" t="str">
        <x:v>Preserves white cup recognition and the recorded physical manipulation while omitting state language. Only one white cup appears, so this row cannot train state-based selection.</x:v>
      </x:c>
      <x:c r="Q41" s="38"/>
    </x:row>
    <x:row r="42" ht="60" customHeight="1">
      <x:c r="A42" s="70" t="n">
        <x:v>40</x:v>
      </x:c>
      <x:c r="B42" s="37" t="str">
        <x:v>State Recognition</x:v>
      </x:c>
      <x:c r="C42" s="37" t="str">
        <x:v>Place the upright white cup in the bowl.</x:v>
      </x:c>
      <x:c r="D42" s="37" t="str">
        <x:v>Explicit seen-cell grounding</x:v>
      </x:c>
      <x:c r="E42" s="37" t="str">
        <x:v>upright × white cup; two same-category candidates; non-queried axis controlled</x:v>
      </x:c>
      <x:c r="F42" s="37" t="str">
        <x:v>state_white_cup_upright_explicit</x:v>
      </x:c>
      <x:c r="G42" s="37" t="str">
        <x:v>white-cup×upside-down; striped-cup×open; brown-cup×closed; spice-container×upright</x:v>
      </x:c>
      <x:c r="H42" s="37" t="str">
        <x:v>No</x:v>
      </x:c>
      <x:c r="I42" s="37" t="str">
        <x:v>Replace episode + assign prompt</x:v>
      </x:c>
      <x:c r="J42" s="37" t="str">
        <x:v>Use MT_State_Recognition_New episode 40 (Original 200 / source episode 40) in place of the original VLA benchmark episode.</x:v>
      </x:c>
      <x:c r="K42" s="37" t="str">
        <x:v>white cup A (O, UR) [target]; white cup B (O, UD); glass spice container A (C, UD); yellow-white striped cup B (O, UD)</x:v>
      </x:c>
      <x:c r="L42" s="37" t="str">
        <x:v>white cup A</x:v>
      </x:c>
      <x:c r="M42" s="37" t="str">
        <x:v>Recovery</x:v>
      </x:c>
      <x:c r="N42" s="37" t="str">
        <x:v>Place the upright white cup in the bowl.</x:v>
      </x:c>
      <x:c r="O42" s="37" t="str"/>
      <x:c r="P42" s="37" t="str">
        <x:v>Explicitly grounds upright with white cup using two same-category candidates. The non-queried state axis is held constant, so only one candidate satisfies the instruction.</x:v>
      </x:c>
      <x:c r="Q42" s="38"/>
    </x:row>
    <x:row r="43" ht="60" customHeight="1">
      <x:c r="A43" s="70" t="n">
        <x:v>41</x:v>
      </x:c>
      <x:c r="B43" s="37" t="str">
        <x:v>State Recognition</x:v>
      </x:c>
      <x:c r="C43" s="37" t="str">
        <x:v>Put a white cup in the bowl.</x:v>
      </x:c>
      <x:c r="D43" s="37" t="str">
        <x:v>State-masked physical exposure</x:v>
      </x:c>
      <x:c r="E43" s="37" t="str">
        <x:v>direct category=white cup; physical state=C, UD; no state word</x:v>
      </x:c>
      <x:c r="F43" s="37" t="str">
        <x:v>state_white_cup_c_ud_masked</x:v>
      </x:c>
      <x:c r="G43" s="37" t="str">
        <x:v>white-cup×upside-down; striped-cup×open; brown-cup×closed; spice-container×upright</x:v>
      </x:c>
      <x:c r="H43" s="37" t="str">
        <x:v>No</x:v>
      </x:c>
      <x:c r="I43" s="37" t="str">
        <x:v>Replace episode + assign prompt</x:v>
      </x:c>
      <x:c r="J43" s="37" t="str">
        <x:v>Use MT_State_Recognition_New episode 41 (Replacement 61 / source episode 13) in place of the original VLA benchmark episode.</x:v>
      </x:c>
      <x:c r="K43" s="37" t="str">
        <x:v>white cup B (C, UD) [target, P2]; yellow-white striped cup A (C, UD) — P3; brown cup B (O, UD) — P4; glass spice container A (C, UR) — P1</x:v>
      </x:c>
      <x:c r="L43" s="37" t="str">
        <x:v>white cup B</x:v>
      </x:c>
      <x:c r="M43" s="37" t="str">
        <x:v>Home</x:v>
      </x:c>
      <x:c r="N43" s="37" t="str">
        <x:v>Put a white cup in the bowl.</x:v>
      </x:c>
      <x:c r="O43" s="37" t="str">
        <x:v>Move the upside-down white cup into the bowl.</x:v>
      </x:c>
      <x:c r="P43" s="37" t="str">
        <x:v>Preserves white cup recognition and the recorded physical manipulation while omitting state language. Only one white cup appears, so this row cannot train state-based selection.</x:v>
      </x:c>
      <x:c r="Q43" s="38"/>
    </x:row>
    <x:row r="44" ht="60" customHeight="1">
      <x:c r="A44" s="70" t="n">
        <x:v>42</x:v>
      </x:c>
      <x:c r="B44" s="37" t="str">
        <x:v>State Recognition</x:v>
      </x:c>
      <x:c r="C44" s="37" t="str">
        <x:v>Move a white cup into the bowl.</x:v>
      </x:c>
      <x:c r="D44" s="37" t="str">
        <x:v>State-masked physical exposure</x:v>
      </x:c>
      <x:c r="E44" s="37" t="str">
        <x:v>direct category=white cup; physical state=O, UD; no state word</x:v>
      </x:c>
      <x:c r="F44" s="37" t="str">
        <x:v>state_white_cup_o_ud_masked</x:v>
      </x:c>
      <x:c r="G44" s="37" t="str">
        <x:v>white-cup×upside-down; striped-cup×open; brown-cup×closed; spice-container×upright</x:v>
      </x:c>
      <x:c r="H44" s="37" t="str">
        <x:v>No</x:v>
      </x:c>
      <x:c r="I44" s="37" t="str">
        <x:v>Replace episode + assign prompt</x:v>
      </x:c>
      <x:c r="J44" s="37" t="str">
        <x:v>Use MT_State_Recognition_New episode 42 (Original 200 / source episode 42) in place of the original VLA benchmark episode.</x:v>
      </x:c>
      <x:c r="K44" s="37" t="str">
        <x:v>white cup B (O, UD) [target]; glass spice container A (C, UR); yellow-white striped cup B (O, UR)</x:v>
      </x:c>
      <x:c r="L44" s="37" t="str">
        <x:v>white cup B</x:v>
      </x:c>
      <x:c r="M44" s="37" t="str">
        <x:v>Home</x:v>
      </x:c>
      <x:c r="N44" s="37" t="str">
        <x:v>Move a white cup into the bowl.</x:v>
      </x:c>
      <x:c r="O44" s="37" t="str">
        <x:v>Move the upside-down white cup into the bowl.</x:v>
      </x:c>
      <x:c r="P44" s="37" t="str">
        <x:v>Preserves white cup recognition and the recorded physical manipulation while omitting state language. Only one white cup appears, so this row cannot train state-based selection.</x:v>
      </x:c>
      <x:c r="Q44" s="38"/>
    </x:row>
    <x:row r="45" ht="60" customHeight="1">
      <x:c r="A45" s="70" t="n">
        <x:v>43</x:v>
      </x:c>
      <x:c r="B45" s="37" t="str">
        <x:v>State Recognition</x:v>
      </x:c>
      <x:c r="C45" s="37" t="str">
        <x:v>Place a white cup in the bowl.</x:v>
      </x:c>
      <x:c r="D45" s="37" t="str">
        <x:v>State-masked physical exposure</x:v>
      </x:c>
      <x:c r="E45" s="37" t="str">
        <x:v>direct category=white cup; physical state=O, UR; no state word</x:v>
      </x:c>
      <x:c r="F45" s="37" t="str">
        <x:v>state_white_cup_o_ur_masked</x:v>
      </x:c>
      <x:c r="G45" s="37" t="str">
        <x:v>white-cup×upside-down; striped-cup×open; brown-cup×closed; spice-container×upright</x:v>
      </x:c>
      <x:c r="H45" s="37" t="str">
        <x:v>No</x:v>
      </x:c>
      <x:c r="I45" s="37" t="str">
        <x:v>Replace episode + assign prompt</x:v>
      </x:c>
      <x:c r="J45" s="37" t="str">
        <x:v>Use MT_State_Recognition_New episode 43 (Additional 40 / source episode 8) in place of the original VLA benchmark episode.</x:v>
      </x:c>
      <x:c r="K45" s="37" t="str">
        <x:v>white cup A (O, UR) [target, P1]; yellow-white striped cup A (O, UD); Brown cup A (C, UR); glass spice container B (O, UD)</x:v>
      </x:c>
      <x:c r="L45" s="37" t="str">
        <x:v>white cup A</x:v>
      </x:c>
      <x:c r="M45" s="37" t="str">
        <x:v>Home</x:v>
      </x:c>
      <x:c r="N45" s="37" t="str">
        <x:v>Place a white cup in the bowl.</x:v>
      </x:c>
      <x:c r="O45" s="37" t="str"/>
      <x:c r="P45" s="37" t="str">
        <x:v>Preserves white cup recognition and the recorded physical manipulation while omitting state language. Only one white cup appears, so this row cannot train state-based selection.</x:v>
      </x:c>
      <x:c r="Q45" s="38"/>
    </x:row>
    <x:row r="46" ht="60" customHeight="1">
      <x:c r="A46" s="70" t="n">
        <x:v>44</x:v>
      </x:c>
      <x:c r="B46" s="37" t="str">
        <x:v>State Recognition</x:v>
      </x:c>
      <x:c r="C46" s="37" t="str">
        <x:v>Put the upright white cup in the bowl.</x:v>
      </x:c>
      <x:c r="D46" s="37" t="str">
        <x:v>Explicit seen-cell grounding</x:v>
      </x:c>
      <x:c r="E46" s="37" t="str">
        <x:v>upright × white cup; two same-category candidates; non-queried axis controlled</x:v>
      </x:c>
      <x:c r="F46" s="37" t="str">
        <x:v>state_white_cup_upright_explicit</x:v>
      </x:c>
      <x:c r="G46" s="37" t="str">
        <x:v>white-cup×upside-down; striped-cup×open; brown-cup×closed; spice-container×upright</x:v>
      </x:c>
      <x:c r="H46" s="37" t="str">
        <x:v>No</x:v>
      </x:c>
      <x:c r="I46" s="37" t="str">
        <x:v>Replace episode + assign prompt</x:v>
      </x:c>
      <x:c r="J46" s="37" t="str">
        <x:v>Use MT_State_Recognition_New episode 44 (Original 200 / source episode 44) in place of the original VLA benchmark episode.</x:v>
      </x:c>
      <x:c r="K46" s="37" t="str">
        <x:v>white cup B (O, UR) [target]; white cup A (O, UD); yellow-white striped cup A (C, UR); brown cup B (O, UR)</x:v>
      </x:c>
      <x:c r="L46" s="37" t="str">
        <x:v>white cup B</x:v>
      </x:c>
      <x:c r="M46" s="37" t="str">
        <x:v>Home</x:v>
      </x:c>
      <x:c r="N46" s="37" t="str">
        <x:v>Put the upright white cup in the bowl.</x:v>
      </x:c>
      <x:c r="O46" s="37" t="str"/>
      <x:c r="P46" s="37" t="str">
        <x:v>Explicitly grounds upright with white cup using two same-category candidates. The non-queried state axis is held constant, so only one candidate satisfies the instruction.</x:v>
      </x:c>
      <x:c r="Q46" s="38"/>
    </x:row>
    <x:row r="47" ht="60" customHeight="1">
      <x:c r="A47" s="70" t="n">
        <x:v>45</x:v>
      </x:c>
      <x:c r="B47" s="37" t="str">
        <x:v>State Recognition</x:v>
      </x:c>
      <x:c r="C47" s="37" t="str">
        <x:v>Move a white cup into the bowl.</x:v>
      </x:c>
      <x:c r="D47" s="37" t="str">
        <x:v>State-masked physical exposure</x:v>
      </x:c>
      <x:c r="E47" s="37" t="str">
        <x:v>direct category=white cup; physical state=C, UR; no state word</x:v>
      </x:c>
      <x:c r="F47" s="37" t="str">
        <x:v>state_white_cup_c_ur_masked</x:v>
      </x:c>
      <x:c r="G47" s="37" t="str">
        <x:v>white-cup×upside-down; striped-cup×open; brown-cup×closed; spice-container×upright</x:v>
      </x:c>
      <x:c r="H47" s="37" t="str">
        <x:v>No</x:v>
      </x:c>
      <x:c r="I47" s="37" t="str">
        <x:v>Replace episode + assign prompt</x:v>
      </x:c>
      <x:c r="J47" s="37" t="str">
        <x:v>Use MT_State_Recognition_New episode 45 (Original 200 / source episode 45) in place of the original VLA benchmark episode.</x:v>
      </x:c>
      <x:c r="K47" s="37" t="str">
        <x:v>white cup A (C, UR) [target]; yellow-white striped cup B (C, UD); brown cup B (O, UD)</x:v>
      </x:c>
      <x:c r="L47" s="37" t="str">
        <x:v>white cup A</x:v>
      </x:c>
      <x:c r="M47" s="37" t="str">
        <x:v>Recovery</x:v>
      </x:c>
      <x:c r="N47" s="37" t="str">
        <x:v>Move a white cup into the bowl.</x:v>
      </x:c>
      <x:c r="O47" s="37" t="str"/>
      <x:c r="P47" s="37" t="str">
        <x:v>Preserves white cup recognition and the recorded physical manipulation while omitting state language. Only one white cup appears, so this row cannot train state-based selection.</x:v>
      </x:c>
      <x:c r="Q47" s="38"/>
    </x:row>
    <x:row r="48" ht="60" customHeight="1">
      <x:c r="A48" s="70" t="n">
        <x:v>46</x:v>
      </x:c>
      <x:c r="B48" s="37" t="str">
        <x:v>State Recognition</x:v>
      </x:c>
      <x:c r="C48" s="37" t="str">
        <x:v>Place a white cup in the bowl.</x:v>
      </x:c>
      <x:c r="D48" s="37" t="str">
        <x:v>State-masked physical exposure</x:v>
      </x:c>
      <x:c r="E48" s="37" t="str">
        <x:v>direct category=white cup; physical state=C, UR; no state word</x:v>
      </x:c>
      <x:c r="F48" s="37" t="str">
        <x:v>state_white_cup_c_ur_masked</x:v>
      </x:c>
      <x:c r="G48" s="37" t="str">
        <x:v>white-cup×upside-down; striped-cup×open; brown-cup×closed; spice-container×upright</x:v>
      </x:c>
      <x:c r="H48" s="37" t="str">
        <x:v>No</x:v>
      </x:c>
      <x:c r="I48" s="37" t="str">
        <x:v>Replace episode + assign prompt</x:v>
      </x:c>
      <x:c r="J48" s="37" t="str">
        <x:v>Use MT_State_Recognition_New episode 46 (Replacement 61 / source episode 15) in place of the original VLA benchmark episode.</x:v>
      </x:c>
      <x:c r="K48" s="37" t="str">
        <x:v>white cup B (C, UR) [target, P4]; yellow-white striped cup A (C, UR) — P1; brown cup B (O, UR) — P2; glass spice container A (C, UD) — P3</x:v>
      </x:c>
      <x:c r="L48" s="37" t="str">
        <x:v>white cup B</x:v>
      </x:c>
      <x:c r="M48" s="37" t="str">
        <x:v>Home</x:v>
      </x:c>
      <x:c r="N48" s="37" t="str">
        <x:v>Place a white cup in the bowl.</x:v>
      </x:c>
      <x:c r="O48" s="37" t="str"/>
      <x:c r="P48" s="37" t="str">
        <x:v>Preserves white cup recognition and the recorded physical manipulation while omitting state language. Only one white cup appears, so this row cannot train state-based selection.</x:v>
      </x:c>
      <x:c r="Q48" s="38"/>
    </x:row>
    <x:row r="49" ht="60" customHeight="1">
      <x:c r="A49" s="70" t="n">
        <x:v>47</x:v>
      </x:c>
      <x:c r="B49" s="37" t="str">
        <x:v>State Recognition</x:v>
      </x:c>
      <x:c r="C49" s="37" t="str">
        <x:v>Put the upright white cup in the bowl.</x:v>
      </x:c>
      <x:c r="D49" s="37" t="str">
        <x:v>Explicit seen-cell grounding</x:v>
      </x:c>
      <x:c r="E49" s="37" t="str">
        <x:v>upright × white cup; two same-category candidates; non-queried axis controlled</x:v>
      </x:c>
      <x:c r="F49" s="37" t="str">
        <x:v>state_white_cup_upright_explicit</x:v>
      </x:c>
      <x:c r="G49" s="37" t="str">
        <x:v>white-cup×upside-down; striped-cup×open; brown-cup×closed; spice-container×upright</x:v>
      </x:c>
      <x:c r="H49" s="37" t="str">
        <x:v>No</x:v>
      </x:c>
      <x:c r="I49" s="37" t="str">
        <x:v>Replace episode + assign prompt</x:v>
      </x:c>
      <x:c r="J49" s="37" t="str">
        <x:v>Use MT_State_Recognition_New episode 47 (Original 200 / source episode 47) in place of the original VLA benchmark episode.</x:v>
      </x:c>
      <x:c r="K49" s="37" t="str">
        <x:v>white cup A (C, UR) [target]; white cup B (C, UD); yellow-white striped cup B (C, UR); brown cup A (O, UD)</x:v>
      </x:c>
      <x:c r="L49" s="37" t="str">
        <x:v>white cup A</x:v>
      </x:c>
      <x:c r="M49" s="37" t="str">
        <x:v>Home</x:v>
      </x:c>
      <x:c r="N49" s="37" t="str">
        <x:v>Put the upright white cup in the bowl.</x:v>
      </x:c>
      <x:c r="O49" s="37" t="str"/>
      <x:c r="P49" s="37" t="str">
        <x:v>Explicitly grounds upright with white cup using two same-category candidates. The non-queried state axis is held constant, so only one candidate satisfies the instruction.</x:v>
      </x:c>
      <x:c r="Q49" s="38"/>
    </x:row>
    <x:row r="50" ht="60" customHeight="1">
      <x:c r="A50" s="70" t="n">
        <x:v>48</x:v>
      </x:c>
      <x:c r="B50" s="37" t="str">
        <x:v>State Recognition</x:v>
      </x:c>
      <x:c r="C50" s="37" t="str">
        <x:v>Move the upright white cup into the bowl.</x:v>
      </x:c>
      <x:c r="D50" s="37" t="str">
        <x:v>Explicit seen-cell grounding</x:v>
      </x:c>
      <x:c r="E50" s="37" t="str">
        <x:v>upright × white cup; two same-category candidates; non-queried axis controlled</x:v>
      </x:c>
      <x:c r="F50" s="37" t="str">
        <x:v>state_white_cup_upright_explicit</x:v>
      </x:c>
      <x:c r="G50" s="37" t="str">
        <x:v>white-cup×upside-down; striped-cup×open; brown-cup×closed; spice-container×upright</x:v>
      </x:c>
      <x:c r="H50" s="37" t="str">
        <x:v>No</x:v>
      </x:c>
      <x:c r="I50" s="37" t="str">
        <x:v>Replace episode + assign prompt</x:v>
      </x:c>
      <x:c r="J50" s="37" t="str">
        <x:v>Use MT_State_Recognition_New episode 48 (Original 200 / source episode 48) in place of the original VLA benchmark episode.</x:v>
      </x:c>
      <x:c r="K50" s="37" t="str">
        <x:v>white cup B (O, UR) [target]; white cup A (O, UD); brown cup A (C, UD); glass spice container B (O, UD)</x:v>
      </x:c>
      <x:c r="L50" s="37" t="str">
        <x:v>white cup B</x:v>
      </x:c>
      <x:c r="M50" s="37" t="str">
        <x:v>Home</x:v>
      </x:c>
      <x:c r="N50" s="37" t="str">
        <x:v>Move the upright white cup into the bowl.</x:v>
      </x:c>
      <x:c r="O50" s="37" t="str"/>
      <x:c r="P50" s="37" t="str">
        <x:v>Explicitly grounds upright with white cup using two same-category candidates. The non-queried state axis is held constant, so only one candidate satisfies the instruction.</x:v>
      </x:c>
      <x:c r="Q50" s="38"/>
    </x:row>
    <x:row r="51" ht="60" customHeight="1">
      <x:c r="A51" s="70" t="n">
        <x:v>49</x:v>
      </x:c>
      <x:c r="B51" s="37" t="str">
        <x:v>State Recognition</x:v>
      </x:c>
      <x:c r="C51" s="37" t="str">
        <x:v>Place a white cup in the bowl.</x:v>
      </x:c>
      <x:c r="D51" s="37" t="str">
        <x:v>State-masked physical exposure</x:v>
      </x:c>
      <x:c r="E51" s="37" t="str">
        <x:v>direct category=white cup; physical state=O, UD; no state word</x:v>
      </x:c>
      <x:c r="F51" s="37" t="str">
        <x:v>state_white_cup_o_ud_masked</x:v>
      </x:c>
      <x:c r="G51" s="37" t="str">
        <x:v>white-cup×upside-down; striped-cup×open; brown-cup×closed; spice-container×upright</x:v>
      </x:c>
      <x:c r="H51" s="37" t="str">
        <x:v>No</x:v>
      </x:c>
      <x:c r="I51" s="37" t="str">
        <x:v>Replace episode + assign prompt</x:v>
      </x:c>
      <x:c r="J51" s="37" t="str">
        <x:v>Use MT_State_Recognition_New episode 49 (Replacement 61 / source episode 6) in place of the original VLA benchmark episode.</x:v>
      </x:c>
      <x:c r="K51" s="37" t="str">
        <x:v>white cup A (O, UD) [target, P3]; yellow-white striped cup B (O, UR) — P1; brown cup A (C, UD) — P2; glass spice container B (O, UD) — P4</x:v>
      </x:c>
      <x:c r="L51" s="37" t="str">
        <x:v>white cup A</x:v>
      </x:c>
      <x:c r="M51" s="37" t="str">
        <x:v>Home</x:v>
      </x:c>
      <x:c r="N51" s="37" t="str">
        <x:v>Place a white cup in the bowl.</x:v>
      </x:c>
      <x:c r="O51" s="37" t="str">
        <x:v>Move the upside-down white cup into the bowl.</x:v>
      </x:c>
      <x:c r="P51" s="37" t="str">
        <x:v>Preserves white cup recognition and the recorded physical manipulation while omitting state language. Only one white cup appears, so this row cannot train state-based selection.</x:v>
      </x:c>
      <x:c r="Q51" s="38"/>
    </x:row>
    <x:row r="52" ht="60" customHeight="1">
      <x:c r="A52" s="70" t="n">
        <x:v>50</x:v>
      </x:c>
      <x:c r="B52" s="37" t="str">
        <x:v>State Recognition</x:v>
      </x:c>
      <x:c r="C52" s="37" t="str">
        <x:v>Put a yellow-white striped cup in the bowl.</x:v>
      </x:c>
      <x:c r="D52" s="37" t="str">
        <x:v>State-masked physical exposure</x:v>
      </x:c>
      <x:c r="E52" s="37" t="str">
        <x:v>direct category=yellow-white striped cup; physical state=O, UD; no state word</x:v>
      </x:c>
      <x:c r="F52" s="37" t="str">
        <x:v>state_yellow_white_striped_cup_o_ud_masked</x:v>
      </x:c>
      <x:c r="G52" s="37" t="str">
        <x:v>white-cup×upside-down; striped-cup×open; brown-cup×closed; spice-container×upright</x:v>
      </x:c>
      <x:c r="H52" s="37" t="str">
        <x:v>No</x:v>
      </x:c>
      <x:c r="I52" s="37" t="str">
        <x:v>Replace episode + assign prompt</x:v>
      </x:c>
      <x:c r="J52" s="37" t="str">
        <x:v>Use MT_State_Recognition_New episode 50 (Additional 40 / source episode 15) in place of the original VLA benchmark episode.</x:v>
      </x:c>
      <x:c r="K52" s="37" t="str">
        <x:v>yellow-white striped cup A (O, UD) [target, P3]; White cup A (O, UR); Brown cup B (C, UD); glass spice container B (C, UR)</x:v>
      </x:c>
      <x:c r="L52" s="37" t="str">
        <x:v>yellow-white striped cup A</x:v>
      </x:c>
      <x:c r="M52" s="37" t="str">
        <x:v>Home</x:v>
      </x:c>
      <x:c r="N52" s="37" t="str">
        <x:v>Put a yellow-white striped cup in the bowl.</x:v>
      </x:c>
      <x:c r="O52" s="37" t="str">
        <x:v>Move the open yellow-white striped cup into the bowl.</x:v>
      </x:c>
      <x:c r="P52" s="37" t="str">
        <x:v>Preserves yellow-white striped cup recognition and the recorded physical manipulation while omitting state language. Only one yellow-white striped cup appears, so this row cannot train state-based selection.</x:v>
      </x:c>
      <x:c r="Q52" s="38"/>
    </x:row>
    <x:row r="53" ht="60" customHeight="1">
      <x:c r="A53" s="70" t="n">
        <x:v>51</x:v>
      </x:c>
      <x:c r="B53" s="37" t="str">
        <x:v>State Recognition</x:v>
      </x:c>
      <x:c r="C53" s="37" t="str">
        <x:v>Move the closed yellow-white striped cup into the bowl.</x:v>
      </x:c>
      <x:c r="D53" s="37" t="str">
        <x:v>Explicit seen-cell grounding</x:v>
      </x:c>
      <x:c r="E53" s="37" t="str">
        <x:v>closed × yellow-white striped cup; two same-category candidates; non-queried axis controlled</x:v>
      </x:c>
      <x:c r="F53" s="37" t="str">
        <x:v>state_yellow_white_striped_cup_closed_explicit</x:v>
      </x:c>
      <x:c r="G53" s="37" t="str">
        <x:v>white-cup×upside-down; striped-cup×open; brown-cup×closed; spice-container×upright</x:v>
      </x:c>
      <x:c r="H53" s="37" t="str">
        <x:v>No</x:v>
      </x:c>
      <x:c r="I53" s="37" t="str">
        <x:v>Replace episode + assign prompt</x:v>
      </x:c>
      <x:c r="J53" s="37" t="str">
        <x:v>Use MT_State_Recognition_New episode 51 (Original 200 / source episode 51) in place of the original VLA benchmark episode.</x:v>
      </x:c>
      <x:c r="K53" s="37" t="str">
        <x:v>yellow-white striped cup B (C, UR) [target]; yellow-white striped cup A (O, UR); white cup A (C, UR)</x:v>
      </x:c>
      <x:c r="L53" s="37" t="str">
        <x:v>yellow-white striped cup B</x:v>
      </x:c>
      <x:c r="M53" s="37" t="str">
        <x:v>Home</x:v>
      </x:c>
      <x:c r="N53" s="37" t="str">
        <x:v>Move the closed yellow-white striped cup into the bowl.</x:v>
      </x:c>
      <x:c r="O53" s="37" t="str"/>
      <x:c r="P53" s="37" t="str">
        <x:v>Explicitly grounds closed with yellow-white striped cup using two same-category candidates. The non-queried state axis is held constant, so only one candidate satisfies the instruction.</x:v>
      </x:c>
      <x:c r="Q53" s="38"/>
    </x:row>
    <x:row r="54" ht="60" customHeight="1">
      <x:c r="A54" s="70" t="n">
        <x:v>52</x:v>
      </x:c>
      <x:c r="B54" s="37" t="str">
        <x:v>State Recognition</x:v>
      </x:c>
      <x:c r="C54" s="37" t="str">
        <x:v>Place a yellow-white striped cup in the bowl.</x:v>
      </x:c>
      <x:c r="D54" s="37" t="str">
        <x:v>State-masked physical exposure</x:v>
      </x:c>
      <x:c r="E54" s="37" t="str">
        <x:v>direct category=yellow-white striped cup; physical state=O, UR; no state word</x:v>
      </x:c>
      <x:c r="F54" s="37" t="str">
        <x:v>state_yellow_white_striped_cup_o_ur_masked</x:v>
      </x:c>
      <x:c r="G54" s="37" t="str">
        <x:v>white-cup×upside-down; striped-cup×open; brown-cup×closed; spice-container×upright</x:v>
      </x:c>
      <x:c r="H54" s="37" t="str">
        <x:v>No</x:v>
      </x:c>
      <x:c r="I54" s="37" t="str">
        <x:v>Replace episode + assign prompt</x:v>
      </x:c>
      <x:c r="J54" s="37" t="str">
        <x:v>Use MT_State_Recognition_New episode 52 (Original 200 / source episode 52) in place of the original VLA benchmark episode.</x:v>
      </x:c>
      <x:c r="K54" s="37" t="str">
        <x:v>yellow-white striped cup A (O, UR) [target]; white cup A (C, UR); brown cup B (C, UR)</x:v>
      </x:c>
      <x:c r="L54" s="37" t="str">
        <x:v>yellow-white striped cup A</x:v>
      </x:c>
      <x:c r="M54" s="37" t="str">
        <x:v>Recovery</x:v>
      </x:c>
      <x:c r="N54" s="37" t="str">
        <x:v>Place a yellow-white striped cup in the bowl.</x:v>
      </x:c>
      <x:c r="O54" s="37" t="str">
        <x:v>Move the open yellow-white striped cup into the bowl.</x:v>
      </x:c>
      <x:c r="P54" s="37" t="str">
        <x:v>Preserves yellow-white striped cup recognition and the recorded physical manipulation while omitting state language. Only one yellow-white striped cup appears, so this row cannot train state-based selection.</x:v>
      </x:c>
      <x:c r="Q54" s="38"/>
    </x:row>
    <x:row r="55" ht="60" customHeight="1">
      <x:c r="A55" s="70" t="n">
        <x:v>53</x:v>
      </x:c>
      <x:c r="B55" s="37" t="str">
        <x:v>State Recognition</x:v>
      </x:c>
      <x:c r="C55" s="37" t="str">
        <x:v>Put a yellow-white striped cup in the bowl.</x:v>
      </x:c>
      <x:c r="D55" s="37" t="str">
        <x:v>State-masked physical exposure</x:v>
      </x:c>
      <x:c r="E55" s="37" t="str">
        <x:v>direct category=yellow-white striped cup; physical state=O, UD; no state word</x:v>
      </x:c>
      <x:c r="F55" s="37" t="str">
        <x:v>state_yellow_white_striped_cup_o_ud_masked</x:v>
      </x:c>
      <x:c r="G55" s="37" t="str">
        <x:v>white-cup×upside-down; striped-cup×open; brown-cup×closed; spice-container×upright</x:v>
      </x:c>
      <x:c r="H55" s="37" t="str">
        <x:v>No</x:v>
      </x:c>
      <x:c r="I55" s="37" t="str">
        <x:v>Replace episode + assign prompt</x:v>
      </x:c>
      <x:c r="J55" s="37" t="str">
        <x:v>Use MT_State_Recognition_New episode 53 (Additional 40 / source episode 16) in place of the original VLA benchmark episode.</x:v>
      </x:c>
      <x:c r="K55" s="37" t="str">
        <x:v>yellow-white striped cup B (O, UD) [target, P4]; White cup B (C, UD); Brown cup B (O, UD); glass spice container B (O, UR)</x:v>
      </x:c>
      <x:c r="L55" s="37" t="str">
        <x:v>yellow-white striped cup B</x:v>
      </x:c>
      <x:c r="M55" s="37" t="str">
        <x:v>Home</x:v>
      </x:c>
      <x:c r="N55" s="37" t="str">
        <x:v>Put a yellow-white striped cup in the bowl.</x:v>
      </x:c>
      <x:c r="O55" s="37" t="str">
        <x:v>Move the open yellow-white striped cup into the bowl.</x:v>
      </x:c>
      <x:c r="P55" s="37" t="str">
        <x:v>Preserves yellow-white striped cup recognition and the recorded physical manipulation while omitting state language. Only one yellow-white striped cup appears, so this row cannot train state-based selection.</x:v>
      </x:c>
      <x:c r="Q55" s="38"/>
    </x:row>
    <x:row r="56" ht="60" customHeight="1">
      <x:c r="A56" s="70" t="n">
        <x:v>54</x:v>
      </x:c>
      <x:c r="B56" s="37" t="str">
        <x:v>State Recognition</x:v>
      </x:c>
      <x:c r="C56" s="37" t="str">
        <x:v>Move a yellow-white striped cup into the bowl.</x:v>
      </x:c>
      <x:c r="D56" s="37" t="str">
        <x:v>State-masked physical exposure</x:v>
      </x:c>
      <x:c r="E56" s="37" t="str">
        <x:v>direct category=yellow-white striped cup; physical state=O, UD; no state word</x:v>
      </x:c>
      <x:c r="F56" s="37" t="str">
        <x:v>state_yellow_white_striped_cup_o_ud_masked</x:v>
      </x:c>
      <x:c r="G56" s="37" t="str">
        <x:v>white-cup×upside-down; striped-cup×open; brown-cup×closed; spice-container×upright</x:v>
      </x:c>
      <x:c r="H56" s="37" t="str">
        <x:v>No</x:v>
      </x:c>
      <x:c r="I56" s="37" t="str">
        <x:v>Replace episode + assign prompt</x:v>
      </x:c>
      <x:c r="J56" s="37" t="str">
        <x:v>Use MT_State_Recognition_New episode 54 (Additional 40 / source episode 17) in place of the original VLA benchmark episode.</x:v>
      </x:c>
      <x:c r="K56" s="37" t="str">
        <x:v>yellow-white striped cup A (O, UD) [target, P1]; White cup A (C, UD); Brown cup A (O, UD); glass spice container B (C, UR)</x:v>
      </x:c>
      <x:c r="L56" s="37" t="str">
        <x:v>yellow-white striped cup A</x:v>
      </x:c>
      <x:c r="M56" s="37" t="str">
        <x:v>Home</x:v>
      </x:c>
      <x:c r="N56" s="37" t="str">
        <x:v>Move a yellow-white striped cup into the bowl.</x:v>
      </x:c>
      <x:c r="O56" s="37" t="str">
        <x:v>Move the open yellow-white striped cup into the bowl.</x:v>
      </x:c>
      <x:c r="P56" s="37" t="str">
        <x:v>Preserves yellow-white striped cup recognition and the recorded physical manipulation while omitting state language. Only one yellow-white striped cup appears, so this row cannot train state-based selection.</x:v>
      </x:c>
      <x:c r="Q56" s="38"/>
    </x:row>
    <x:row r="57" ht="60" customHeight="1">
      <x:c r="A57" s="70" t="n">
        <x:v>55</x:v>
      </x:c>
      <x:c r="B57" s="37" t="str">
        <x:v>State Recognition</x:v>
      </x:c>
      <x:c r="C57" s="37" t="str">
        <x:v>Place the closed yellow-white striped cup in the bowl.</x:v>
      </x:c>
      <x:c r="D57" s="37" t="str">
        <x:v>Explicit seen-cell grounding</x:v>
      </x:c>
      <x:c r="E57" s="37" t="str">
        <x:v>closed × yellow-white striped cup; two same-category candidates; non-queried axis controlled</x:v>
      </x:c>
      <x:c r="F57" s="37" t="str">
        <x:v>state_yellow_white_striped_cup_closed_explicit</x:v>
      </x:c>
      <x:c r="G57" s="37" t="str">
        <x:v>white-cup×upside-down; striped-cup×open; brown-cup×closed; spice-container×upright</x:v>
      </x:c>
      <x:c r="H57" s="37" t="str">
        <x:v>No</x:v>
      </x:c>
      <x:c r="I57" s="37" t="str">
        <x:v>Replace episode + assign prompt</x:v>
      </x:c>
      <x:c r="J57" s="37" t="str">
        <x:v>Use MT_State_Recognition_New episode 55 (Original 200 / source episode 55) in place of the original VLA benchmark episode.</x:v>
      </x:c>
      <x:c r="K57" s="37" t="str">
        <x:v>yellow-white striped cup A (C, UR) [target]; yellow-white striped cup B (O, UR); brown cup A (C, UR)</x:v>
      </x:c>
      <x:c r="L57" s="37" t="str">
        <x:v>yellow-white striped cup A</x:v>
      </x:c>
      <x:c r="M57" s="37" t="str">
        <x:v>Home</x:v>
      </x:c>
      <x:c r="N57" s="37" t="str">
        <x:v>Place the closed yellow-white striped cup in the bowl.</x:v>
      </x:c>
      <x:c r="O57" s="37" t="str"/>
      <x:c r="P57" s="37" t="str">
        <x:v>Explicitly grounds closed with yellow-white striped cup using two same-category candidates. The non-queried state axis is held constant, so only one candidate satisfies the instruction.</x:v>
      </x:c>
      <x:c r="Q57" s="38"/>
    </x:row>
    <x:row r="58" ht="60" customHeight="1">
      <x:c r="A58" s="70" t="n">
        <x:v>56</x:v>
      </x:c>
      <x:c r="B58" s="37" t="str">
        <x:v>State Recognition</x:v>
      </x:c>
      <x:c r="C58" s="37" t="str">
        <x:v>Put the closed yellow-white striped cup in the bowl.</x:v>
      </x:c>
      <x:c r="D58" s="37" t="str">
        <x:v>Explicit seen-cell grounding</x:v>
      </x:c>
      <x:c r="E58" s="37" t="str">
        <x:v>closed × yellow-white striped cup; two same-category candidates; non-queried axis controlled</x:v>
      </x:c>
      <x:c r="F58" s="37" t="str">
        <x:v>state_yellow_white_striped_cup_closed_explicit</x:v>
      </x:c>
      <x:c r="G58" s="37" t="str">
        <x:v>white-cup×upside-down; striped-cup×open; brown-cup×closed; spice-container×upright</x:v>
      </x:c>
      <x:c r="H58" s="37" t="str">
        <x:v>No</x:v>
      </x:c>
      <x:c r="I58" s="37" t="str">
        <x:v>Replace episode + assign prompt</x:v>
      </x:c>
      <x:c r="J58" s="37" t="str">
        <x:v>Use MT_State_Recognition_New episode 56 (Original 200 / source episode 56) in place of the original VLA benchmark episode.</x:v>
      </x:c>
      <x:c r="K58" s="37" t="str">
        <x:v>yellow-white striped cup B (C, UR) [target]; yellow-white striped cup A (O, UR); glass spice container B (C, UR)</x:v>
      </x:c>
      <x:c r="L58" s="37" t="str">
        <x:v>yellow-white striped cup B</x:v>
      </x:c>
      <x:c r="M58" s="37" t="str">
        <x:v>Recovery</x:v>
      </x:c>
      <x:c r="N58" s="37" t="str">
        <x:v>Put the closed yellow-white striped cup in the bowl.</x:v>
      </x:c>
      <x:c r="O58" s="37" t="str"/>
      <x:c r="P58" s="37" t="str">
        <x:v>Explicitly grounds closed with yellow-white striped cup using two same-category candidates. The non-queried state axis is held constant, so only one candidate satisfies the instruction.</x:v>
      </x:c>
      <x:c r="Q58" s="38"/>
    </x:row>
    <x:row r="59" ht="60" customHeight="1">
      <x:c r="A59" s="70" t="n">
        <x:v>57</x:v>
      </x:c>
      <x:c r="B59" s="37" t="str">
        <x:v>State Recognition</x:v>
      </x:c>
      <x:c r="C59" s="37" t="str">
        <x:v>Move a yellow-white striped cup into the bowl.</x:v>
      </x:c>
      <x:c r="D59" s="37" t="str">
        <x:v>State-masked physical exposure</x:v>
      </x:c>
      <x:c r="E59" s="37" t="str">
        <x:v>direct category=yellow-white striped cup; physical state=O, UR; no state word</x:v>
      </x:c>
      <x:c r="F59" s="37" t="str">
        <x:v>state_yellow_white_striped_cup_o_ur_masked</x:v>
      </x:c>
      <x:c r="G59" s="37" t="str">
        <x:v>white-cup×upside-down; striped-cup×open; brown-cup×closed; spice-container×upright</x:v>
      </x:c>
      <x:c r="H59" s="37" t="str">
        <x:v>No</x:v>
      </x:c>
      <x:c r="I59" s="37" t="str">
        <x:v>Replace episode + assign prompt</x:v>
      </x:c>
      <x:c r="J59" s="37" t="str">
        <x:v>Use MT_State_Recognition_New episode 57 (Original 200 / source episode 57) in place of the original VLA benchmark episode.</x:v>
      </x:c>
      <x:c r="K59" s="37" t="str">
        <x:v>yellow-white striped cup A (O, UR) [target]; brown cup B (C, UR); glass spice container B (C, UR)</x:v>
      </x:c>
      <x:c r="L59" s="37" t="str">
        <x:v>yellow-white striped cup A</x:v>
      </x:c>
      <x:c r="M59" s="37" t="str">
        <x:v>Home</x:v>
      </x:c>
      <x:c r="N59" s="37" t="str">
        <x:v>Move a yellow-white striped cup into the bowl.</x:v>
      </x:c>
      <x:c r="O59" s="37" t="str">
        <x:v>Move the open yellow-white striped cup into the bowl.</x:v>
      </x:c>
      <x:c r="P59" s="37" t="str">
        <x:v>Preserves yellow-white striped cup recognition and the recorded physical manipulation while omitting state language. Only one yellow-white striped cup appears, so this row cannot train state-based selection.</x:v>
      </x:c>
      <x:c r="Q59" s="38"/>
    </x:row>
    <x:row r="60" ht="60" customHeight="1">
      <x:c r="A60" s="70" t="n">
        <x:v>58</x:v>
      </x:c>
      <x:c r="B60" s="37" t="str">
        <x:v>State Recognition</x:v>
      </x:c>
      <x:c r="C60" s="37" t="str">
        <x:v>Place a yellow-white striped cup in the bowl.</x:v>
      </x:c>
      <x:c r="D60" s="37" t="str">
        <x:v>State-masked physical exposure</x:v>
      </x:c>
      <x:c r="E60" s="37" t="str">
        <x:v>direct category=yellow-white striped cup; physical state=C, UR; no state word</x:v>
      </x:c>
      <x:c r="F60" s="37" t="str">
        <x:v>state_yellow_white_striped_cup_c_ur_masked</x:v>
      </x:c>
      <x:c r="G60" s="37" t="str">
        <x:v>white-cup×upside-down; striped-cup×open; brown-cup×closed; spice-container×upright</x:v>
      </x:c>
      <x:c r="H60" s="37" t="str">
        <x:v>No</x:v>
      </x:c>
      <x:c r="I60" s="37" t="str">
        <x:v>Replace episode + assign prompt</x:v>
      </x:c>
      <x:c r="J60" s="37" t="str">
        <x:v>Use MT_State_Recognition_New episode 58 (Original 200 / source episode 58) in place of the original VLA benchmark episode.</x:v>
      </x:c>
      <x:c r="K60" s="37" t="str">
        <x:v>yellow-white striped cup B (C, UR) [target]; glass spice container B (O, UR); white cup B (O, UR); brown cup A (O, UR)</x:v>
      </x:c>
      <x:c r="L60" s="37" t="str">
        <x:v>yellow-white striped cup B</x:v>
      </x:c>
      <x:c r="M60" s="37" t="str">
        <x:v>Home</x:v>
      </x:c>
      <x:c r="N60" s="37" t="str">
        <x:v>Place a yellow-white striped cup in the bowl.</x:v>
      </x:c>
      <x:c r="O60" s="37" t="str"/>
      <x:c r="P60" s="37" t="str">
        <x:v>Preserves yellow-white striped cup recognition and the recorded physical manipulation while omitting state language. Only one yellow-white striped cup appears, so this row cannot train state-based selection.</x:v>
      </x:c>
      <x:c r="Q60" s="38"/>
    </x:row>
    <x:row r="61" ht="60" customHeight="1">
      <x:c r="A61" s="70" t="n">
        <x:v>59</x:v>
      </x:c>
      <x:c r="B61" s="37" t="str">
        <x:v>State Recognition</x:v>
      </x:c>
      <x:c r="C61" s="37" t="str">
        <x:v>Put a yellow-white striped cup in the bowl.</x:v>
      </x:c>
      <x:c r="D61" s="37" t="str">
        <x:v>State-masked physical exposure</x:v>
      </x:c>
      <x:c r="E61" s="37" t="str">
        <x:v>direct category=yellow-white striped cup; physical state=O, UD; no state word</x:v>
      </x:c>
      <x:c r="F61" s="37" t="str">
        <x:v>state_yellow_white_striped_cup_o_ud_masked</x:v>
      </x:c>
      <x:c r="G61" s="37" t="str">
        <x:v>white-cup×upside-down; striped-cup×open; brown-cup×closed; spice-container×upright</x:v>
      </x:c>
      <x:c r="H61" s="37" t="str">
        <x:v>No</x:v>
      </x:c>
      <x:c r="I61" s="37" t="str">
        <x:v>Replace episode + assign prompt</x:v>
      </x:c>
      <x:c r="J61" s="37" t="str">
        <x:v>Use MT_State_Recognition_New episode 59 (Replacement 61 / source episode 18) in place of the original VLA benchmark episode.</x:v>
      </x:c>
      <x:c r="K61" s="37" t="str">
        <x:v>yellow-white striped cup A (O, UD) [target, P3]; white cup A (C, UR) — P1; brown cup A (C, UD) — P2; glass spice container B (O, UD) — P4</x:v>
      </x:c>
      <x:c r="L61" s="37" t="str">
        <x:v>yellow-white striped cup A</x:v>
      </x:c>
      <x:c r="M61" s="37" t="str">
        <x:v>Home</x:v>
      </x:c>
      <x:c r="N61" s="37" t="str">
        <x:v>Put a yellow-white striped cup in the bowl.</x:v>
      </x:c>
      <x:c r="O61" s="37" t="str">
        <x:v>Move the open yellow-white striped cup into the bowl.</x:v>
      </x:c>
      <x:c r="P61" s="37" t="str">
        <x:v>Preserves yellow-white striped cup recognition and the recorded physical manipulation while omitting state language. Only one yellow-white striped cup appears, so this row cannot train state-based selection.</x:v>
      </x:c>
      <x:c r="Q61" s="38"/>
    </x:row>
    <x:row r="62" ht="60" customHeight="1">
      <x:c r="A62" s="70" t="n">
        <x:v>60</x:v>
      </x:c>
      <x:c r="B62" s="37" t="str">
        <x:v>State Recognition</x:v>
      </x:c>
      <x:c r="C62" s="37" t="str">
        <x:v>Move the closed yellow-white striped cup into the bowl.</x:v>
      </x:c>
      <x:c r="D62" s="37" t="str">
        <x:v>Explicit seen-cell grounding</x:v>
      </x:c>
      <x:c r="E62" s="37" t="str">
        <x:v>closed × yellow-white striped cup; two same-category candidates; non-queried axis controlled</x:v>
      </x:c>
      <x:c r="F62" s="37" t="str">
        <x:v>state_yellow_white_striped_cup_closed_explicit</x:v>
      </x:c>
      <x:c r="G62" s="37" t="str">
        <x:v>white-cup×upside-down; striped-cup×open; brown-cup×closed; spice-container×upright</x:v>
      </x:c>
      <x:c r="H62" s="37" t="str">
        <x:v>No</x:v>
      </x:c>
      <x:c r="I62" s="37" t="str">
        <x:v>Replace episode + assign prompt</x:v>
      </x:c>
      <x:c r="J62" s="37" t="str">
        <x:v>Use MT_State_Recognition_New episode 60 (Original 200 / source episode 60) in place of the original VLA benchmark episode.</x:v>
      </x:c>
      <x:c r="K62" s="37" t="str">
        <x:v>yellow-white striped cup B (C, UR) [target]; yellow-white striped cup A (O, UR); white cup B (O, UR)</x:v>
      </x:c>
      <x:c r="L62" s="37" t="str">
        <x:v>yellow-white striped cup B</x:v>
      </x:c>
      <x:c r="M62" s="37" t="str">
        <x:v>Home</x:v>
      </x:c>
      <x:c r="N62" s="37" t="str">
        <x:v>Move the closed yellow-white striped cup into the bowl.</x:v>
      </x:c>
      <x:c r="O62" s="37" t="str"/>
      <x:c r="P62" s="37" t="str">
        <x:v>Explicitly grounds closed with yellow-white striped cup using two same-category candidates. The non-queried state axis is held constant, so only one candidate satisfies the instruction.</x:v>
      </x:c>
      <x:c r="Q62" s="38"/>
    </x:row>
    <x:row r="63" ht="60" customHeight="1">
      <x:c r="A63" s="70" t="n">
        <x:v>61</x:v>
      </x:c>
      <x:c r="B63" s="37" t="str">
        <x:v>State Recognition</x:v>
      </x:c>
      <x:c r="C63" s="37" t="str">
        <x:v>Place the closed yellow-white striped cup in the bowl.</x:v>
      </x:c>
      <x:c r="D63" s="37" t="str">
        <x:v>Explicit seen-cell grounding</x:v>
      </x:c>
      <x:c r="E63" s="37" t="str">
        <x:v>closed × yellow-white striped cup; two same-category candidates; non-queried axis controlled</x:v>
      </x:c>
      <x:c r="F63" s="37" t="str">
        <x:v>state_yellow_white_striped_cup_closed_explicit</x:v>
      </x:c>
      <x:c r="G63" s="37" t="str">
        <x:v>white-cup×upside-down; striped-cup×open; brown-cup×closed; spice-container×upright</x:v>
      </x:c>
      <x:c r="H63" s="37" t="str">
        <x:v>No</x:v>
      </x:c>
      <x:c r="I63" s="37" t="str">
        <x:v>Replace episode + assign prompt</x:v>
      </x:c>
      <x:c r="J63" s="37" t="str">
        <x:v>Use MT_State_Recognition_New episode 61 (Original 200 / source episode 61) in place of the original VLA benchmark episode.</x:v>
      </x:c>
      <x:c r="K63" s="37" t="str">
        <x:v>yellow-white striped cup A (C, UR) [target]; yellow-white striped cup B (O, UR); brown cup A (C, UR); glass spice container B (O, UR)</x:v>
      </x:c>
      <x:c r="L63" s="37" t="str">
        <x:v>yellow-white striped cup A</x:v>
      </x:c>
      <x:c r="M63" s="37" t="str">
        <x:v>Recovery</x:v>
      </x:c>
      <x:c r="N63" s="37" t="str">
        <x:v>Place the closed yellow-white striped cup in the bowl.</x:v>
      </x:c>
      <x:c r="O63" s="37" t="str"/>
      <x:c r="P63" s="37" t="str">
        <x:v>Explicitly grounds closed with yellow-white striped cup using two same-category candidates. The non-queried state axis is held constant, so only one candidate satisfies the instruction.</x:v>
      </x:c>
      <x:c r="Q63" s="38"/>
    </x:row>
    <x:row r="64" ht="60" customHeight="1">
      <x:c r="A64" s="70" t="n">
        <x:v>62</x:v>
      </x:c>
      <x:c r="B64" s="37" t="str">
        <x:v>State Recognition</x:v>
      </x:c>
      <x:c r="C64" s="37" t="str">
        <x:v>Put a yellow-white striped cup in the bowl.</x:v>
      </x:c>
      <x:c r="D64" s="37" t="str">
        <x:v>State-masked physical exposure</x:v>
      </x:c>
      <x:c r="E64" s="37" t="str">
        <x:v>direct category=yellow-white striped cup; physical state=C, UR; no state word</x:v>
      </x:c>
      <x:c r="F64" s="37" t="str">
        <x:v>state_yellow_white_striped_cup_c_ur_masked</x:v>
      </x:c>
      <x:c r="G64" s="37" t="str">
        <x:v>white-cup×upside-down; striped-cup×open; brown-cup×closed; spice-container×upright</x:v>
      </x:c>
      <x:c r="H64" s="37" t="str">
        <x:v>No</x:v>
      </x:c>
      <x:c r="I64" s="37" t="str">
        <x:v>Replace episode + assign prompt</x:v>
      </x:c>
      <x:c r="J64" s="37" t="str">
        <x:v>Use MT_State_Recognition_New episode 62 (Original 200 / source episode 62) in place of the original VLA benchmark episode.</x:v>
      </x:c>
      <x:c r="K64" s="37" t="str">
        <x:v>yellow-white striped cup B (C, UR) [target]; white cup B (O, UR); brown cup A (O, UR)</x:v>
      </x:c>
      <x:c r="L64" s="37" t="str">
        <x:v>yellow-white striped cup B</x:v>
      </x:c>
      <x:c r="M64" s="37" t="str">
        <x:v>Home</x:v>
      </x:c>
      <x:c r="N64" s="37" t="str">
        <x:v>Put a yellow-white striped cup in the bowl.</x:v>
      </x:c>
      <x:c r="O64" s="37" t="str"/>
      <x:c r="P64" s="37" t="str">
        <x:v>Preserves yellow-white striped cup recognition and the recorded physical manipulation while omitting state language. Only one yellow-white striped cup appears, so this row cannot train state-based selection.</x:v>
      </x:c>
      <x:c r="Q64" s="38"/>
    </x:row>
    <x:row r="65" ht="60" customHeight="1">
      <x:c r="A65" s="70" t="n">
        <x:v>63</x:v>
      </x:c>
      <x:c r="B65" s="37" t="str">
        <x:v>State Recognition</x:v>
      </x:c>
      <x:c r="C65" s="37" t="str">
        <x:v>Move a yellow-white striped cup into the bowl.</x:v>
      </x:c>
      <x:c r="D65" s="37" t="str">
        <x:v>State-masked physical exposure</x:v>
      </x:c>
      <x:c r="E65" s="37" t="str">
        <x:v>direct category=yellow-white striped cup; physical state=C, UD; no state word</x:v>
      </x:c>
      <x:c r="F65" s="37" t="str">
        <x:v>state_yellow_white_striped_cup_c_ud_masked</x:v>
      </x:c>
      <x:c r="G65" s="37" t="str">
        <x:v>white-cup×upside-down; striped-cup×open; brown-cup×closed; spice-container×upright</x:v>
      </x:c>
      <x:c r="H65" s="37" t="str">
        <x:v>No</x:v>
      </x:c>
      <x:c r="I65" s="37" t="str">
        <x:v>Replace episode + assign prompt</x:v>
      </x:c>
      <x:c r="J65" s="37" t="str">
        <x:v>Use MT_State_Recognition_New episode 63 (Additional 40 / source episode 12) in place of the original VLA benchmark episode.</x:v>
      </x:c>
      <x:c r="K65" s="37" t="str">
        <x:v>yellow-white striped cup B (C, UD) [target, P4]; White cup B (O, UR); Brown cup B (O, UR); glass spice container A (C, UD)</x:v>
      </x:c>
      <x:c r="L65" s="37" t="str">
        <x:v>yellow-white striped cup B</x:v>
      </x:c>
      <x:c r="M65" s="37" t="str">
        <x:v>Home</x:v>
      </x:c>
      <x:c r="N65" s="37" t="str">
        <x:v>Move a yellow-white striped cup into the bowl.</x:v>
      </x:c>
      <x:c r="O65" s="37" t="str"/>
      <x:c r="P65" s="37" t="str">
        <x:v>Preserves yellow-white striped cup recognition and the recorded physical manipulation while omitting state language. Only one yellow-white striped cup appears, so this row cannot train state-based selection.</x:v>
      </x:c>
      <x:c r="Q65" s="38"/>
    </x:row>
    <x:row r="66" ht="60" customHeight="1">
      <x:c r="A66" s="70" t="n">
        <x:v>64</x:v>
      </x:c>
      <x:c r="B66" s="37" t="str">
        <x:v>State Recognition</x:v>
      </x:c>
      <x:c r="C66" s="37" t="str">
        <x:v>Place a yellow-white striped cup in the bowl.</x:v>
      </x:c>
      <x:c r="D66" s="37" t="str">
        <x:v>State-masked physical exposure</x:v>
      </x:c>
      <x:c r="E66" s="37" t="str">
        <x:v>direct category=yellow-white striped cup; physical state=O, UR; no state word</x:v>
      </x:c>
      <x:c r="F66" s="37" t="str">
        <x:v>state_yellow_white_striped_cup_o_ur_masked</x:v>
      </x:c>
      <x:c r="G66" s="37" t="str">
        <x:v>white-cup×upside-down; striped-cup×open; brown-cup×closed; spice-container×upright</x:v>
      </x:c>
      <x:c r="H66" s="37" t="str">
        <x:v>No</x:v>
      </x:c>
      <x:c r="I66" s="37" t="str">
        <x:v>Replace episode + assign prompt</x:v>
      </x:c>
      <x:c r="J66" s="37" t="str">
        <x:v>Use MT_State_Recognition_New episode 64 (Replacement 61 / source episode 20) in place of the original VLA benchmark episode.</x:v>
      </x:c>
      <x:c r="K66" s="37" t="str">
        <x:v>yellow-white striped cup B (O, UR) [target, P1]; white cup A (C, UD) — P4; brown cup A (C, UR) — P2; glass spice container B (O, UR) — P3</x:v>
      </x:c>
      <x:c r="L66" s="37" t="str">
        <x:v>yellow-white striped cup B</x:v>
      </x:c>
      <x:c r="M66" s="37" t="str">
        <x:v>Home</x:v>
      </x:c>
      <x:c r="N66" s="37" t="str">
        <x:v>Place a yellow-white striped cup in the bowl.</x:v>
      </x:c>
      <x:c r="O66" s="37" t="str">
        <x:v>Move the open yellow-white striped cup into the bowl.</x:v>
      </x:c>
      <x:c r="P66" s="37" t="str">
        <x:v>Preserves yellow-white striped cup recognition and the recorded physical manipulation while omitting state language. Only one yellow-white striped cup appears, so this row cannot train state-based selection.</x:v>
      </x:c>
      <x:c r="Q66" s="38"/>
    </x:row>
    <x:row r="67" ht="60" customHeight="1">
      <x:c r="A67" s="70" t="n">
        <x:v>65</x:v>
      </x:c>
      <x:c r="B67" s="37" t="str">
        <x:v>State Recognition</x:v>
      </x:c>
      <x:c r="C67" s="37" t="str">
        <x:v>Put the closed yellow-white striped cup in the bowl.</x:v>
      </x:c>
      <x:c r="D67" s="37" t="str">
        <x:v>Explicit seen-cell grounding</x:v>
      </x:c>
      <x:c r="E67" s="37" t="str">
        <x:v>closed × yellow-white striped cup; two same-category candidates; non-queried axis controlled</x:v>
      </x:c>
      <x:c r="F67" s="37" t="str">
        <x:v>state_yellow_white_striped_cup_closed_explicit</x:v>
      </x:c>
      <x:c r="G67" s="37" t="str">
        <x:v>white-cup×upside-down; striped-cup×open; brown-cup×closed; spice-container×upright</x:v>
      </x:c>
      <x:c r="H67" s="37" t="str">
        <x:v>No</x:v>
      </x:c>
      <x:c r="I67" s="37" t="str">
        <x:v>Replace episode + assign prompt</x:v>
      </x:c>
      <x:c r="J67" s="37" t="str">
        <x:v>Use MT_State_Recognition_New episode 65 (Original 200 / source episode 65) in place of the original VLA benchmark episode.</x:v>
      </x:c>
      <x:c r="K67" s="37" t="str">
        <x:v>yellow-white striped cup B (C, UR) [target]; yellow-white striped cup A (O, UR); glass spice container A (C, UR)</x:v>
      </x:c>
      <x:c r="L67" s="37" t="str">
        <x:v>yellow-white striped cup B</x:v>
      </x:c>
      <x:c r="M67" s="37" t="str">
        <x:v>Home</x:v>
      </x:c>
      <x:c r="N67" s="37" t="str">
        <x:v>Put the closed yellow-white striped cup in the bowl.</x:v>
      </x:c>
      <x:c r="O67" s="37" t="str"/>
      <x:c r="P67" s="37" t="str">
        <x:v>Explicitly grounds closed with yellow-white striped cup using two same-category candidates. The non-queried state axis is held constant, so only one candidate satisfies the instruction.</x:v>
      </x:c>
      <x:c r="Q67" s="38"/>
    </x:row>
    <x:row r="68" ht="60" customHeight="1">
      <x:c r="A68" s="70" t="n">
        <x:v>66</x:v>
      </x:c>
      <x:c r="B68" s="37" t="str">
        <x:v>State Recognition</x:v>
      </x:c>
      <x:c r="C68" s="37" t="str">
        <x:v>Move a yellow-white striped cup into the bowl.</x:v>
      </x:c>
      <x:c r="D68" s="37" t="str">
        <x:v>State-masked physical exposure</x:v>
      </x:c>
      <x:c r="E68" s="37" t="str">
        <x:v>direct category=yellow-white striped cup; physical state=O, UR; no state word</x:v>
      </x:c>
      <x:c r="F68" s="37" t="str">
        <x:v>state_yellow_white_striped_cup_o_ur_masked</x:v>
      </x:c>
      <x:c r="G68" s="37" t="str">
        <x:v>white-cup×upside-down; striped-cup×open; brown-cup×closed; spice-container×upright</x:v>
      </x:c>
      <x:c r="H68" s="37" t="str">
        <x:v>No</x:v>
      </x:c>
      <x:c r="I68" s="37" t="str">
        <x:v>Replace episode + assign prompt</x:v>
      </x:c>
      <x:c r="J68" s="37" t="str">
        <x:v>Use MT_State_Recognition_New episode 66 (Original 200 / source episode 66) in place of the original VLA benchmark episode.</x:v>
      </x:c>
      <x:c r="K68" s="37" t="str">
        <x:v>yellow-white striped cup A (O, UR) [target]; brown cup A (C, UR); glass spice container A (C, UR); white cup A (C, UR)</x:v>
      </x:c>
      <x:c r="L68" s="37" t="str">
        <x:v>yellow-white striped cup A</x:v>
      </x:c>
      <x:c r="M68" s="37" t="str">
        <x:v>Home</x:v>
      </x:c>
      <x:c r="N68" s="37" t="str">
        <x:v>Move a yellow-white striped cup into the bowl.</x:v>
      </x:c>
      <x:c r="O68" s="37" t="str">
        <x:v>Move the open yellow-white striped cup into the bowl.</x:v>
      </x:c>
      <x:c r="P68" s="37" t="str">
        <x:v>Preserves yellow-white striped cup recognition and the recorded physical manipulation while omitting state language. Only one yellow-white striped cup appears, so this row cannot train state-based selection.</x:v>
      </x:c>
      <x:c r="Q68" s="38"/>
    </x:row>
    <x:row r="69" ht="60" customHeight="1">
      <x:c r="A69" s="70" t="n">
        <x:v>67</x:v>
      </x:c>
      <x:c r="B69" s="37" t="str">
        <x:v>State Recognition</x:v>
      </x:c>
      <x:c r="C69" s="37" t="str">
        <x:v>Place the closed yellow-white striped cup in the bowl.</x:v>
      </x:c>
      <x:c r="D69" s="37" t="str">
        <x:v>Explicit seen-cell grounding</x:v>
      </x:c>
      <x:c r="E69" s="37" t="str">
        <x:v>closed × yellow-white striped cup; two same-category candidates; non-queried axis controlled</x:v>
      </x:c>
      <x:c r="F69" s="37" t="str">
        <x:v>state_yellow_white_striped_cup_closed_explicit</x:v>
      </x:c>
      <x:c r="G69" s="37" t="str">
        <x:v>white-cup×upside-down; striped-cup×open; brown-cup×closed; spice-container×upright</x:v>
      </x:c>
      <x:c r="H69" s="37" t="str">
        <x:v>No</x:v>
      </x:c>
      <x:c r="I69" s="37" t="str">
        <x:v>Replace episode + assign prompt</x:v>
      </x:c>
      <x:c r="J69" s="37" t="str">
        <x:v>Use MT_State_Recognition_New episode 67 (Original 200 / source episode 67) in place of the original VLA benchmark episode.</x:v>
      </x:c>
      <x:c r="K69" s="37" t="str">
        <x:v>yellow-white striped cup A (C, UR) [target]; yellow-white striped cup B (O, UR); brown cup A (C, UR)</x:v>
      </x:c>
      <x:c r="L69" s="37" t="str">
        <x:v>yellow-white striped cup A</x:v>
      </x:c>
      <x:c r="M69" s="37" t="str">
        <x:v>Home</x:v>
      </x:c>
      <x:c r="N69" s="37" t="str">
        <x:v>Place the closed yellow-white striped cup in the bowl.</x:v>
      </x:c>
      <x:c r="O69" s="37" t="str"/>
      <x:c r="P69" s="37" t="str">
        <x:v>Explicitly grounds closed with yellow-white striped cup using two same-category candidates. The non-queried state axis is held constant, so only one candidate satisfies the instruction.</x:v>
      </x:c>
      <x:c r="Q69" s="38"/>
    </x:row>
    <x:row r="70" ht="60" customHeight="1">
      <x:c r="A70" s="70" t="n">
        <x:v>68</x:v>
      </x:c>
      <x:c r="B70" s="37" t="str">
        <x:v>State Recognition</x:v>
      </x:c>
      <x:c r="C70" s="37" t="str">
        <x:v>Put the closed yellow-white striped cup in the bowl.</x:v>
      </x:c>
      <x:c r="D70" s="37" t="str">
        <x:v>Explicit seen-cell grounding</x:v>
      </x:c>
      <x:c r="E70" s="37" t="str">
        <x:v>closed × yellow-white striped cup; two same-category candidates; non-queried axis controlled</x:v>
      </x:c>
      <x:c r="F70" s="37" t="str">
        <x:v>state_yellow_white_striped_cup_closed_explicit</x:v>
      </x:c>
      <x:c r="G70" s="37" t="str">
        <x:v>white-cup×upside-down; striped-cup×open; brown-cup×closed; spice-container×upright</x:v>
      </x:c>
      <x:c r="H70" s="37" t="str">
        <x:v>No</x:v>
      </x:c>
      <x:c r="I70" s="37" t="str">
        <x:v>Replace episode + assign prompt</x:v>
      </x:c>
      <x:c r="J70" s="37" t="str">
        <x:v>Use MT_State_Recognition_New episode 68 (Original 200 / source episode 68) in place of the original VLA benchmark episode.</x:v>
      </x:c>
      <x:c r="K70" s="37" t="str">
        <x:v>yellow-white striped cup B (C, UR) [target]; yellow-white striped cup A (O, UR); glass spice container B (O, UR); white cup A (O, UR)</x:v>
      </x:c>
      <x:c r="L70" s="37" t="str">
        <x:v>yellow-white striped cup B</x:v>
      </x:c>
      <x:c r="M70" s="37" t="str">
        <x:v>Home</x:v>
      </x:c>
      <x:c r="N70" s="37" t="str">
        <x:v>Put the closed yellow-white striped cup in the bowl.</x:v>
      </x:c>
      <x:c r="O70" s="37" t="str"/>
      <x:c r="P70" s="37" t="str">
        <x:v>Explicitly grounds closed with yellow-white striped cup using two same-category candidates. The non-queried state axis is held constant, so only one candidate satisfies the instruction.</x:v>
      </x:c>
      <x:c r="Q70" s="38"/>
    </x:row>
    <x:row r="71" ht="60" customHeight="1">
      <x:c r="A71" s="70" t="n">
        <x:v>69</x:v>
      </x:c>
      <x:c r="B71" s="37" t="str">
        <x:v>State Recognition</x:v>
      </x:c>
      <x:c r="C71" s="37" t="str">
        <x:v>Move a yellow-white striped cup into the bowl.</x:v>
      </x:c>
      <x:c r="D71" s="37" t="str">
        <x:v>State-masked physical exposure</x:v>
      </x:c>
      <x:c r="E71" s="37" t="str">
        <x:v>direct category=yellow-white striped cup; physical state=C, UD; no state word</x:v>
      </x:c>
      <x:c r="F71" s="37" t="str">
        <x:v>state_yellow_white_striped_cup_c_ud_masked</x:v>
      </x:c>
      <x:c r="G71" s="37" t="str">
        <x:v>white-cup×upside-down; striped-cup×open; brown-cup×closed; spice-container×upright</x:v>
      </x:c>
      <x:c r="H71" s="37" t="str">
        <x:v>No</x:v>
      </x:c>
      <x:c r="I71" s="37" t="str">
        <x:v>Replace episode + assign prompt</x:v>
      </x:c>
      <x:c r="J71" s="37" t="str">
        <x:v>Use MT_State_Recognition_New episode 69 (Replacement 61 / source episode 21) in place of the original VLA benchmark episode.</x:v>
      </x:c>
      <x:c r="K71" s="37" t="str">
        <x:v>yellow-white striped cup A (C, UD) [target, P2]; white cup B (O, UR) — P1; brown cup B (O, UD) — P3; glass spice container A (C, UR) — P4</x:v>
      </x:c>
      <x:c r="L71" s="37" t="str">
        <x:v>yellow-white striped cup A</x:v>
      </x:c>
      <x:c r="M71" s="37" t="str">
        <x:v>Recovery</x:v>
      </x:c>
      <x:c r="N71" s="37" t="str">
        <x:v>Move a yellow-white striped cup into the bowl.</x:v>
      </x:c>
      <x:c r="O71" s="37" t="str"/>
      <x:c r="P71" s="37" t="str">
        <x:v>Preserves yellow-white striped cup recognition and the recorded physical manipulation while omitting state language. Only one yellow-white striped cup appears, so this row cannot train state-based selection.</x:v>
      </x:c>
      <x:c r="Q71" s="38"/>
    </x:row>
    <x:row r="72" ht="60" customHeight="1">
      <x:c r="A72" s="70" t="n">
        <x:v>70</x:v>
      </x:c>
      <x:c r="B72" s="37" t="str">
        <x:v>State Recognition</x:v>
      </x:c>
      <x:c r="C72" s="37" t="str">
        <x:v>Place a yellow-white striped cup in the bowl.</x:v>
      </x:c>
      <x:c r="D72" s="37" t="str">
        <x:v>State-masked physical exposure</x:v>
      </x:c>
      <x:c r="E72" s="37" t="str">
        <x:v>direct category=yellow-white striped cup; physical state=C, UR; no state word</x:v>
      </x:c>
      <x:c r="F72" s="37" t="str">
        <x:v>state_yellow_white_striped_cup_c_ur_masked</x:v>
      </x:c>
      <x:c r="G72" s="37" t="str">
        <x:v>white-cup×upside-down; striped-cup×open; brown-cup×closed; spice-container×upright</x:v>
      </x:c>
      <x:c r="H72" s="37" t="str">
        <x:v>No</x:v>
      </x:c>
      <x:c r="I72" s="37" t="str">
        <x:v>Replace episode + assign prompt</x:v>
      </x:c>
      <x:c r="J72" s="37" t="str">
        <x:v>Use MT_State_Recognition_New episode 70 (Original 200 / source episode 70) in place of the original VLA benchmark episode.</x:v>
      </x:c>
      <x:c r="K72" s="37" t="str">
        <x:v>yellow-white striped cup A (C, UR) [target]; glass spice container A (O, UR); white cup A (O, UR)</x:v>
      </x:c>
      <x:c r="L72" s="37" t="str">
        <x:v>yellow-white striped cup A</x:v>
      </x:c>
      <x:c r="M72" s="37" t="str">
        <x:v>Home</x:v>
      </x:c>
      <x:c r="N72" s="37" t="str">
        <x:v>Place a yellow-white striped cup in the bowl.</x:v>
      </x:c>
      <x:c r="O72" s="37" t="str"/>
      <x:c r="P72" s="37" t="str">
        <x:v>Preserves yellow-white striped cup recognition and the recorded physical manipulation while omitting state language. Only one yellow-white striped cup appears, so this row cannot train state-based selection.</x:v>
      </x:c>
      <x:c r="Q72" s="38"/>
    </x:row>
    <x:row r="73" ht="60" customHeight="1">
      <x:c r="A73" s="70" t="n">
        <x:v>71</x:v>
      </x:c>
      <x:c r="B73" s="37" t="str">
        <x:v>State Recognition</x:v>
      </x:c>
      <x:c r="C73" s="37" t="str">
        <x:v>Put a yellow-white striped cup in the bowl.</x:v>
      </x:c>
      <x:c r="D73" s="37" t="str">
        <x:v>State-masked physical exposure</x:v>
      </x:c>
      <x:c r="E73" s="37" t="str">
        <x:v>direct category=yellow-white striped cup; physical state=O, UR; no state word</x:v>
      </x:c>
      <x:c r="F73" s="37" t="str">
        <x:v>state_yellow_white_striped_cup_o_ur_masked</x:v>
      </x:c>
      <x:c r="G73" s="37" t="str">
        <x:v>white-cup×upside-down; striped-cup×open; brown-cup×closed; spice-container×upright</x:v>
      </x:c>
      <x:c r="H73" s="37" t="str">
        <x:v>No</x:v>
      </x:c>
      <x:c r="I73" s="37" t="str">
        <x:v>Replace episode + assign prompt</x:v>
      </x:c>
      <x:c r="J73" s="37" t="str">
        <x:v>Use MT_State_Recognition_New episode 71 (Replacement 61 / source episode 24) in place of the original VLA benchmark episode.</x:v>
      </x:c>
      <x:c r="K73" s="37" t="str">
        <x:v>yellow-white striped cup B (O, UR) [target, P1]; white cup A (C, UD) — P2; brown cup A (C, UR) — P3; glass spice container B (O, UR) — P4</x:v>
      </x:c>
      <x:c r="L73" s="37" t="str">
        <x:v>yellow-white striped cup B</x:v>
      </x:c>
      <x:c r="M73" s="37" t="str">
        <x:v>Home</x:v>
      </x:c>
      <x:c r="N73" s="37" t="str">
        <x:v>Put a yellow-white striped cup in the bowl.</x:v>
      </x:c>
      <x:c r="O73" s="37" t="str">
        <x:v>Move the open yellow-white striped cup into the bowl.</x:v>
      </x:c>
      <x:c r="P73" s="37" t="str">
        <x:v>Preserves yellow-white striped cup recognition and the recorded physical manipulation while omitting state language. Only one yellow-white striped cup appears, so this row cannot train state-based selection.</x:v>
      </x:c>
      <x:c r="Q73" s="38"/>
    </x:row>
    <x:row r="74" ht="60" customHeight="1">
      <x:c r="A74" s="70" t="n">
        <x:v>72</x:v>
      </x:c>
      <x:c r="B74" s="37" t="str">
        <x:v>State Recognition</x:v>
      </x:c>
      <x:c r="C74" s="37" t="str">
        <x:v>Move a yellow-white striped cup into the bowl.</x:v>
      </x:c>
      <x:c r="D74" s="37" t="str">
        <x:v>State-masked physical exposure</x:v>
      </x:c>
      <x:c r="E74" s="37" t="str">
        <x:v>direct category=yellow-white striped cup; physical state=O, UR; no state word</x:v>
      </x:c>
      <x:c r="F74" s="37" t="str">
        <x:v>state_yellow_white_striped_cup_o_ur_masked</x:v>
      </x:c>
      <x:c r="G74" s="37" t="str">
        <x:v>white-cup×upside-down; striped-cup×open; brown-cup×closed; spice-container×upright</x:v>
      </x:c>
      <x:c r="H74" s="37" t="str">
        <x:v>No</x:v>
      </x:c>
      <x:c r="I74" s="37" t="str">
        <x:v>Replace episode + assign prompt</x:v>
      </x:c>
      <x:c r="J74" s="37" t="str">
        <x:v>Use MT_State_Recognition_New episode 72 (Original 200 / source episode 72) in place of the original VLA benchmark episode.</x:v>
      </x:c>
      <x:c r="K74" s="37" t="str">
        <x:v>yellow-white striped cup B (O, UR) [target]; white cup A (C, UR); brown cup B (C, UR); glass spice container B (C, UR)</x:v>
      </x:c>
      <x:c r="L74" s="37" t="str">
        <x:v>yellow-white striped cup B</x:v>
      </x:c>
      <x:c r="M74" s="37" t="str">
        <x:v>Recovery</x:v>
      </x:c>
      <x:c r="N74" s="37" t="str">
        <x:v>Move a yellow-white striped cup into the bowl.</x:v>
      </x:c>
      <x:c r="O74" s="37" t="str">
        <x:v>Move the open yellow-white striped cup into the bowl.</x:v>
      </x:c>
      <x:c r="P74" s="37" t="str">
        <x:v>Preserves yellow-white striped cup recognition and the recorded physical manipulation while omitting state language. Only one yellow-white striped cup appears, so this row cannot train state-based selection.</x:v>
      </x:c>
      <x:c r="Q74" s="38"/>
    </x:row>
    <x:row r="75" ht="60" customHeight="1">
      <x:c r="A75" s="70" t="n">
        <x:v>73</x:v>
      </x:c>
      <x:c r="B75" s="37" t="str">
        <x:v>State Recognition</x:v>
      </x:c>
      <x:c r="C75" s="37" t="str">
        <x:v>Place the closed yellow-white striped cup in the bowl.</x:v>
      </x:c>
      <x:c r="D75" s="37" t="str">
        <x:v>Explicit seen-cell grounding</x:v>
      </x:c>
      <x:c r="E75" s="37" t="str">
        <x:v>closed × yellow-white striped cup; two same-category candidates; non-queried axis controlled</x:v>
      </x:c>
      <x:c r="F75" s="37" t="str">
        <x:v>state_yellow_white_striped_cup_closed_explicit</x:v>
      </x:c>
      <x:c r="G75" s="37" t="str">
        <x:v>white-cup×upside-down; striped-cup×open; brown-cup×closed; spice-container×upright</x:v>
      </x:c>
      <x:c r="H75" s="37" t="str">
        <x:v>No</x:v>
      </x:c>
      <x:c r="I75" s="37" t="str">
        <x:v>Replace episode + assign prompt</x:v>
      </x:c>
      <x:c r="J75" s="37" t="str">
        <x:v>Use MT_State_Recognition_New episode 73 (Original 200 / source episode 73) in place of the original VLA benchmark episode.</x:v>
      </x:c>
      <x:c r="K75" s="37" t="str">
        <x:v>yellow-white striped cup A (C, UR) [target]; yellow-white striped cup B (O, UR); brown cup A (O, UR); glass spice container B (O, UR)</x:v>
      </x:c>
      <x:c r="L75" s="37" t="str">
        <x:v>yellow-white striped cup A</x:v>
      </x:c>
      <x:c r="M75" s="37" t="str">
        <x:v>Home</x:v>
      </x:c>
      <x:c r="N75" s="37" t="str">
        <x:v>Place the closed yellow-white striped cup in the bowl.</x:v>
      </x:c>
      <x:c r="O75" s="37" t="str"/>
      <x:c r="P75" s="37" t="str">
        <x:v>Explicitly grounds closed with yellow-white striped cup using two same-category candidates. The non-queried state axis is held constant, so only one candidate satisfies the instruction.</x:v>
      </x:c>
      <x:c r="Q75" s="38"/>
    </x:row>
    <x:row r="76" ht="60" customHeight="1">
      <x:c r="A76" s="70" t="n">
        <x:v>74</x:v>
      </x:c>
      <x:c r="B76" s="37" t="str">
        <x:v>State Recognition</x:v>
      </x:c>
      <x:c r="C76" s="37" t="str">
        <x:v>Put the closed yellow-white striped cup in the bowl.</x:v>
      </x:c>
      <x:c r="D76" s="37" t="str">
        <x:v>Explicit seen-cell grounding</x:v>
      </x:c>
      <x:c r="E76" s="37" t="str">
        <x:v>closed × yellow-white striped cup; two same-category candidates; non-queried axis controlled</x:v>
      </x:c>
      <x:c r="F76" s="37" t="str">
        <x:v>state_yellow_white_striped_cup_closed_explicit</x:v>
      </x:c>
      <x:c r="G76" s="37" t="str">
        <x:v>white-cup×upside-down; striped-cup×open; brown-cup×closed; spice-container×upright</x:v>
      </x:c>
      <x:c r="H76" s="37" t="str">
        <x:v>No</x:v>
      </x:c>
      <x:c r="I76" s="37" t="str">
        <x:v>Replace episode + assign prompt</x:v>
      </x:c>
      <x:c r="J76" s="37" t="str">
        <x:v>Use MT_State_Recognition_New episode 74 (Original 200 / source episode 74) in place of the original VLA benchmark episode.</x:v>
      </x:c>
      <x:c r="K76" s="37" t="str">
        <x:v>yellow-white striped cup A (C, UR) [target]; yellow-white striped cup B (O, UR); glass spice container B (C, UR); white cup A (C, UR)</x:v>
      </x:c>
      <x:c r="L76" s="37" t="str">
        <x:v>yellow-white striped cup A</x:v>
      </x:c>
      <x:c r="M76" s="37" t="str">
        <x:v>Home</x:v>
      </x:c>
      <x:c r="N76" s="37" t="str">
        <x:v>Put the closed yellow-white striped cup in the bowl.</x:v>
      </x:c>
      <x:c r="O76" s="37" t="str"/>
      <x:c r="P76" s="37" t="str">
        <x:v>Explicitly grounds closed with yellow-white striped cup using two same-category candidates. The non-queried state axis is held constant, so only one candidate satisfies the instruction.</x:v>
      </x:c>
      <x:c r="Q76" s="38"/>
    </x:row>
    <x:row r="77" ht="60" customHeight="1">
      <x:c r="A77" s="70" t="n">
        <x:v>75</x:v>
      </x:c>
      <x:c r="B77" s="37" t="str">
        <x:v>State Recognition</x:v>
      </x:c>
      <x:c r="C77" s="37" t="str">
        <x:v>Move the upright yellow-white striped cup into the bowl.</x:v>
      </x:c>
      <x:c r="D77" s="37" t="str">
        <x:v>Explicit seen-cell grounding</x:v>
      </x:c>
      <x:c r="E77" s="37" t="str">
        <x:v>upright × yellow-white striped cup; two same-category candidates; non-queried axis controlled</x:v>
      </x:c>
      <x:c r="F77" s="37" t="str">
        <x:v>state_yellow_white_striped_cup_upright_explicit</x:v>
      </x:c>
      <x:c r="G77" s="37" t="str">
        <x:v>white-cup×upside-down; striped-cup×open; brown-cup×closed; spice-container×upright</x:v>
      </x:c>
      <x:c r="H77" s="37" t="str">
        <x:v>No</x:v>
      </x:c>
      <x:c r="I77" s="37" t="str">
        <x:v>Replace episode + assign prompt</x:v>
      </x:c>
      <x:c r="J77" s="37" t="str">
        <x:v>Use MT_State_Recognition_New episode 75 (New Recollection 20 / source episode 2) in place of the original VLA benchmark episode.</x:v>
      </x:c>
      <x:c r="K77" s="37" t="str">
        <x:v>yellow-white striped cup A (O, UR) [target, P3]; yellow-white striped cup B (O, UD) [same-category counterfactual, P1]; glass spice container A (O, UR) [P2]; white cup B (C, UD) [P4]</x:v>
      </x:c>
      <x:c r="L77" s="37" t="str">
        <x:v>yellow-white striped cup A</x:v>
      </x:c>
      <x:c r="M77" s="37" t="str">
        <x:v>Home</x:v>
      </x:c>
      <x:c r="N77" s="37" t="str">
        <x:v>Move the upright yellow-white striped cup into the bowl.</x:v>
      </x:c>
      <x:c r="O77" s="37" t="str"/>
      <x:c r="P77" s="37" t="str">
        <x:v>Explicitly grounds upright with yellow-white striped cup using two same-category candidates. The non-queried state axis is held constant, so only one candidate satisfies the instruction.</x:v>
      </x:c>
      <x:c r="Q77" s="38"/>
    </x:row>
    <x:row r="78" ht="60" customHeight="1">
      <x:c r="A78" s="70" t="n">
        <x:v>76</x:v>
      </x:c>
      <x:c r="B78" s="37" t="str">
        <x:v>State Recognition</x:v>
      </x:c>
      <x:c r="C78" s="37" t="str">
        <x:v>Place the upright yellow-white striped cup in the bowl.</x:v>
      </x:c>
      <x:c r="D78" s="37" t="str">
        <x:v>Explicit seen-cell grounding</x:v>
      </x:c>
      <x:c r="E78" s="37" t="str">
        <x:v>upright × yellow-white striped cup; two same-category candidates; non-queried axis controlled</x:v>
      </x:c>
      <x:c r="F78" s="37" t="str">
        <x:v>state_yellow_white_striped_cup_upright_explicit</x:v>
      </x:c>
      <x:c r="G78" s="37" t="str">
        <x:v>white-cup×upside-down; striped-cup×open; brown-cup×closed; spice-container×upright</x:v>
      </x:c>
      <x:c r="H78" s="37" t="str">
        <x:v>No</x:v>
      </x:c>
      <x:c r="I78" s="37" t="str">
        <x:v>Replace episode + assign prompt</x:v>
      </x:c>
      <x:c r="J78" s="37" t="str">
        <x:v>Use MT_State_Recognition_New episode 76 (New Recollection 20 / source episode 3) in place of the original VLA benchmark episode.</x:v>
      </x:c>
      <x:c r="K78" s="37" t="str">
        <x:v>yellow-white striped cup B (C, UR) [target, P4]; yellow-white striped cup A (C, UD) [same-category counterfactual, P2]; white cup B (C, UR) [P1]</x:v>
      </x:c>
      <x:c r="L78" s="37" t="str">
        <x:v>yellow-white striped cup B</x:v>
      </x:c>
      <x:c r="M78" s="37" t="str">
        <x:v>Home</x:v>
      </x:c>
      <x:c r="N78" s="37" t="str">
        <x:v>Place the upright yellow-white striped cup in the bowl.</x:v>
      </x:c>
      <x:c r="O78" s="37" t="str"/>
      <x:c r="P78" s="37" t="str">
        <x:v>Explicitly grounds upright with yellow-white striped cup using two same-category candidates. The non-queried state axis is held constant, so only one candidate satisfies the instruction.</x:v>
      </x:c>
      <x:c r="Q78" s="38"/>
    </x:row>
    <x:row r="79" ht="60" customHeight="1">
      <x:c r="A79" s="70" t="n">
        <x:v>77</x:v>
      </x:c>
      <x:c r="B79" s="37" t="str">
        <x:v>State Recognition</x:v>
      </x:c>
      <x:c r="C79" s="37" t="str">
        <x:v>Put a yellow-white striped cup in the bowl.</x:v>
      </x:c>
      <x:c r="D79" s="37" t="str">
        <x:v>State-masked physical exposure</x:v>
      </x:c>
      <x:c r="E79" s="37" t="str">
        <x:v>direct category=yellow-white striped cup; physical state=C, UD; no state word</x:v>
      </x:c>
      <x:c r="F79" s="37" t="str">
        <x:v>state_yellow_white_striped_cup_c_ud_masked</x:v>
      </x:c>
      <x:c r="G79" s="37" t="str">
        <x:v>white-cup×upside-down; striped-cup×open; brown-cup×closed; spice-container×upright</x:v>
      </x:c>
      <x:c r="H79" s="37" t="str">
        <x:v>No</x:v>
      </x:c>
      <x:c r="I79" s="37" t="str">
        <x:v>Replace episode + assign prompt</x:v>
      </x:c>
      <x:c r="J79" s="37" t="str">
        <x:v>Use MT_State_Recognition_New episode 77 (Original 200 / source episode 77) in place of the original VLA benchmark episode.</x:v>
      </x:c>
      <x:c r="K79" s="37" t="str">
        <x:v>yellow-white striped cup A (C, UD) [target]; glass spice container A (C, UR); white cup A (O, UR)</x:v>
      </x:c>
      <x:c r="L79" s="37" t="str">
        <x:v>yellow-white striped cup A</x:v>
      </x:c>
      <x:c r="M79" s="37" t="str">
        <x:v>Home</x:v>
      </x:c>
      <x:c r="N79" s="37" t="str">
        <x:v>Put a yellow-white striped cup in the bowl.</x:v>
      </x:c>
      <x:c r="O79" s="37" t="str"/>
      <x:c r="P79" s="37" t="str">
        <x:v>Preserves yellow-white striped cup recognition and the recorded physical manipulation while omitting state language. Only one yellow-white striped cup appears, so this row cannot train state-based selection.</x:v>
      </x:c>
      <x:c r="Q79" s="38"/>
    </x:row>
    <x:row r="80" ht="60" customHeight="1">
      <x:c r="A80" s="70" t="n">
        <x:v>78</x:v>
      </x:c>
      <x:c r="B80" s="37" t="str">
        <x:v>State Recognition</x:v>
      </x:c>
      <x:c r="C80" s="37" t="str">
        <x:v>Move the upside-down yellow-white striped cup into the bowl.</x:v>
      </x:c>
      <x:c r="D80" s="37" t="str">
        <x:v>Explicit seen-cell grounding</x:v>
      </x:c>
      <x:c r="E80" s="37" t="str">
        <x:v>upside-down × yellow-white striped cup; two same-category candidates; non-queried axis controlled</x:v>
      </x:c>
      <x:c r="F80" s="37" t="str">
        <x:v>state_yellow_white_striped_cup_upside_down_explicit</x:v>
      </x:c>
      <x:c r="G80" s="37" t="str">
        <x:v>white-cup×upside-down; striped-cup×open; brown-cup×closed; spice-container×upright</x:v>
      </x:c>
      <x:c r="H80" s="37" t="str">
        <x:v>No</x:v>
      </x:c>
      <x:c r="I80" s="37" t="str">
        <x:v>Replace episode + assign prompt</x:v>
      </x:c>
      <x:c r="J80" s="37" t="str">
        <x:v>Use MT_State_Recognition_New episode 78 (Original 200 / source episode 78) in place of the original VLA benchmark episode.</x:v>
      </x:c>
      <x:c r="K80" s="37" t="str">
        <x:v>yellow-white striped cup B (O, UD) [target]; yellow-white striped cup A (O, UR); brown cup B (C, UR); glass spice container A (O, UR)</x:v>
      </x:c>
      <x:c r="L80" s="37" t="str">
        <x:v>yellow-white striped cup B</x:v>
      </x:c>
      <x:c r="M80" s="37" t="str">
        <x:v>Home</x:v>
      </x:c>
      <x:c r="N80" s="37" t="str">
        <x:v>Move the upside-down yellow-white striped cup into the bowl.</x:v>
      </x:c>
      <x:c r="O80" s="37" t="str"/>
      <x:c r="P80" s="37" t="str">
        <x:v>Explicitly grounds upside-down with yellow-white striped cup using two same-category candidates. The non-queried state axis is held constant, so only one candidate satisfies the instruction.</x:v>
      </x:c>
      <x:c r="Q80" s="38"/>
    </x:row>
    <x:row r="81" ht="60" customHeight="1">
      <x:c r="A81" s="70" t="n">
        <x:v>79</x:v>
      </x:c>
      <x:c r="B81" s="37" t="str">
        <x:v>State Recognition</x:v>
      </x:c>
      <x:c r="C81" s="37" t="str">
        <x:v>Place the upright yellow-white striped cup in the bowl.</x:v>
      </x:c>
      <x:c r="D81" s="37" t="str">
        <x:v>Explicit seen-cell grounding</x:v>
      </x:c>
      <x:c r="E81" s="37" t="str">
        <x:v>upright × yellow-white striped cup; two same-category candidates; non-queried axis controlled</x:v>
      </x:c>
      <x:c r="F81" s="37" t="str">
        <x:v>state_yellow_white_striped_cup_upright_explicit</x:v>
      </x:c>
      <x:c r="G81" s="37" t="str">
        <x:v>white-cup×upside-down; striped-cup×open; brown-cup×closed; spice-container×upright</x:v>
      </x:c>
      <x:c r="H81" s="37" t="str">
        <x:v>No</x:v>
      </x:c>
      <x:c r="I81" s="37" t="str">
        <x:v>Replace episode + assign prompt</x:v>
      </x:c>
      <x:c r="J81" s="37" t="str">
        <x:v>Use MT_State_Recognition_New episode 79 (New Recollection 20 / source episode 4) in place of the original VLA benchmark episode.</x:v>
      </x:c>
      <x:c r="K81" s="37" t="str">
        <x:v>yellow-white striped cup A (O, UR) [target, P1]; yellow-white striped cup B (O, UD) [same-category counterfactual, P3]; brown cup A (O, UR) [P2]; glass spice container B (C, UD) [P4]</x:v>
      </x:c>
      <x:c r="L81" s="37" t="str">
        <x:v>yellow-white striped cup A</x:v>
      </x:c>
      <x:c r="M81" s="37" t="str">
        <x:v>Home</x:v>
      </x:c>
      <x:c r="N81" s="37" t="str">
        <x:v>Place the upright yellow-white striped cup in the bowl.</x:v>
      </x:c>
      <x:c r="O81" s="37" t="str"/>
      <x:c r="P81" s="37" t="str">
        <x:v>Explicitly grounds upright with yellow-white striped cup using two same-category candidates. The non-queried state axis is held constant, so only one candidate satisfies the instruction.</x:v>
      </x:c>
      <x:c r="Q81" s="38"/>
    </x:row>
    <x:row r="82" ht="60" customHeight="1">
      <x:c r="A82" s="70" t="n">
        <x:v>80</x:v>
      </x:c>
      <x:c r="B82" s="37" t="str">
        <x:v>State Recognition</x:v>
      </x:c>
      <x:c r="C82" s="37" t="str">
        <x:v>Put the upright yellow-white striped cup in the bowl.</x:v>
      </x:c>
      <x:c r="D82" s="37" t="str">
        <x:v>Explicit seen-cell grounding</x:v>
      </x:c>
      <x:c r="E82" s="37" t="str">
        <x:v>upright × yellow-white striped cup; two same-category candidates; non-queried axis controlled</x:v>
      </x:c>
      <x:c r="F82" s="37" t="str">
        <x:v>state_yellow_white_striped_cup_upright_explicit</x:v>
      </x:c>
      <x:c r="G82" s="37" t="str">
        <x:v>white-cup×upside-down; striped-cup×open; brown-cup×closed; spice-container×upright</x:v>
      </x:c>
      <x:c r="H82" s="37" t="str">
        <x:v>No</x:v>
      </x:c>
      <x:c r="I82" s="37" t="str">
        <x:v>Replace episode + assign prompt</x:v>
      </x:c>
      <x:c r="J82" s="37" t="str">
        <x:v>Use MT_State_Recognition_New episode 80 (New Recollection 20 / source episode 5) in place of the original VLA benchmark episode.</x:v>
      </x:c>
      <x:c r="K82" s="37" t="str">
        <x:v>yellow-white striped cup B (C, UR) [target, P2]; yellow-white striped cup A (C, UD) [same-category counterfactual, P4]</x:v>
      </x:c>
      <x:c r="L82" s="37" t="str">
        <x:v>yellow-white striped cup B</x:v>
      </x:c>
      <x:c r="M82" s="37" t="str">
        <x:v>Recovery</x:v>
      </x:c>
      <x:c r="N82" s="37" t="str">
        <x:v>Put the upright yellow-white striped cup in the bowl.</x:v>
      </x:c>
      <x:c r="O82" s="37" t="str"/>
      <x:c r="P82" s="37" t="str">
        <x:v>Explicitly grounds upright with yellow-white striped cup using two same-category candidates. The non-queried state axis is held constant, so only one candidate satisfies the instruction.</x:v>
      </x:c>
      <x:c r="Q82" s="38"/>
    </x:row>
    <x:row r="83" ht="60" customHeight="1">
      <x:c r="A83" s="70" t="n">
        <x:v>81</x:v>
      </x:c>
      <x:c r="B83" s="37" t="str">
        <x:v>State Recognition</x:v>
      </x:c>
      <x:c r="C83" s="37" t="str">
        <x:v>Move a yellow-white striped cup into the bowl.</x:v>
      </x:c>
      <x:c r="D83" s="37" t="str">
        <x:v>State-masked physical exposure</x:v>
      </x:c>
      <x:c r="E83" s="37" t="str">
        <x:v>direct category=yellow-white striped cup; physical state=C, UD; no state word</x:v>
      </x:c>
      <x:c r="F83" s="37" t="str">
        <x:v>state_yellow_white_striped_cup_c_ud_masked</x:v>
      </x:c>
      <x:c r="G83" s="37" t="str">
        <x:v>white-cup×upside-down; striped-cup×open; brown-cup×closed; spice-container×upright</x:v>
      </x:c>
      <x:c r="H83" s="37" t="str">
        <x:v>No</x:v>
      </x:c>
      <x:c r="I83" s="37" t="str">
        <x:v>Replace episode + assign prompt</x:v>
      </x:c>
      <x:c r="J83" s="37" t="str">
        <x:v>Use MT_State_Recognition_New episode 81 (Original 200 / source episode 81) in place of the original VLA benchmark episode.</x:v>
      </x:c>
      <x:c r="K83" s="37" t="str">
        <x:v>yellow-white striped cup B (C, UD) [target]; white cup A (O, UR); brown cup B (C, UR); glass spice container B (O, UR)</x:v>
      </x:c>
      <x:c r="L83" s="37" t="str">
        <x:v>yellow-white striped cup B</x:v>
      </x:c>
      <x:c r="M83" s="37" t="str">
        <x:v>Home</x:v>
      </x:c>
      <x:c r="N83" s="37" t="str">
        <x:v>Move a yellow-white striped cup into the bowl.</x:v>
      </x:c>
      <x:c r="O83" s="37" t="str"/>
      <x:c r="P83" s="37" t="str">
        <x:v>Preserves yellow-white striped cup recognition and the recorded physical manipulation while omitting state language. Only one yellow-white striped cup appears, so this row cannot train state-based selection.</x:v>
      </x:c>
      <x:c r="Q83" s="38"/>
    </x:row>
    <x:row r="84" ht="60" customHeight="1">
      <x:c r="A84" s="70" t="n">
        <x:v>82</x:v>
      </x:c>
      <x:c r="B84" s="37" t="str">
        <x:v>State Recognition</x:v>
      </x:c>
      <x:c r="C84" s="37" t="str">
        <x:v>Place the upright yellow-white striped cup in the bowl.</x:v>
      </x:c>
      <x:c r="D84" s="37" t="str">
        <x:v>Explicit seen-cell grounding</x:v>
      </x:c>
      <x:c r="E84" s="37" t="str">
        <x:v>upright × yellow-white striped cup; two same-category candidates; non-queried axis controlled</x:v>
      </x:c>
      <x:c r="F84" s="37" t="str">
        <x:v>state_yellow_white_striped_cup_upright_explicit</x:v>
      </x:c>
      <x:c r="G84" s="37" t="str">
        <x:v>white-cup×upside-down; striped-cup×open; brown-cup×closed; spice-container×upright</x:v>
      </x:c>
      <x:c r="H84" s="37" t="str">
        <x:v>No</x:v>
      </x:c>
      <x:c r="I84" s="37" t="str">
        <x:v>Replace episode + assign prompt</x:v>
      </x:c>
      <x:c r="J84" s="37" t="str">
        <x:v>Use MT_State_Recognition_New episode 82 (Original 200 / source episode 82) in place of the original VLA benchmark episode.</x:v>
      </x:c>
      <x:c r="K84" s="37" t="str">
        <x:v>yellow-white striped cup B (O, UR) [target]; yellow-white striped cup A (O, UD); glass spice container B (C, UR)</x:v>
      </x:c>
      <x:c r="L84" s="37" t="str">
        <x:v>yellow-white striped cup B</x:v>
      </x:c>
      <x:c r="M84" s="37" t="str">
        <x:v>Home</x:v>
      </x:c>
      <x:c r="N84" s="37" t="str">
        <x:v>Place the upright yellow-white striped cup in the bowl.</x:v>
      </x:c>
      <x:c r="O84" s="37" t="str"/>
      <x:c r="P84" s="37" t="str">
        <x:v>Explicitly grounds upright with yellow-white striped cup using two same-category candidates. The non-queried state axis is held constant, so only one candidate satisfies the instruction.</x:v>
      </x:c>
      <x:c r="Q84" s="38"/>
    </x:row>
    <x:row r="85" ht="60" customHeight="1">
      <x:c r="A85" s="70" t="n">
        <x:v>83</x:v>
      </x:c>
      <x:c r="B85" s="37" t="str">
        <x:v>State Recognition</x:v>
      </x:c>
      <x:c r="C85" s="37" t="str">
        <x:v>Put the upside-down yellow-white striped cup in the bowl.</x:v>
      </x:c>
      <x:c r="D85" s="37" t="str">
        <x:v>Explicit seen-cell grounding</x:v>
      </x:c>
      <x:c r="E85" s="37" t="str">
        <x:v>upside-down × yellow-white striped cup; two same-category candidates; non-queried axis controlled</x:v>
      </x:c>
      <x:c r="F85" s="37" t="str">
        <x:v>state_yellow_white_striped_cup_upside_down_explicit</x:v>
      </x:c>
      <x:c r="G85" s="37" t="str">
        <x:v>white-cup×upside-down; striped-cup×open; brown-cup×closed; spice-container×upright</x:v>
      </x:c>
      <x:c r="H85" s="37" t="str">
        <x:v>No</x:v>
      </x:c>
      <x:c r="I85" s="37" t="str">
        <x:v>Replace episode + assign prompt</x:v>
      </x:c>
      <x:c r="J85" s="37" t="str">
        <x:v>Use MT_State_Recognition_New episode 83 (New Recollection 20 / source episode 7) in place of the original VLA benchmark episode.</x:v>
      </x:c>
      <x:c r="K85" s="37" t="str">
        <x:v>yellow-white striped cup B (C, UD) [target, P4]; yellow-white striped cup A (C, UR) [same-category counterfactual, P2]; brown cup B (C, UD) [P1]; glass spice container A (O, UR) [P3]</x:v>
      </x:c>
      <x:c r="L85" s="37" t="str">
        <x:v>yellow-white striped cup B</x:v>
      </x:c>
      <x:c r="M85" s="37" t="str">
        <x:v>Home</x:v>
      </x:c>
      <x:c r="N85" s="37" t="str">
        <x:v>Put the upside-down yellow-white striped cup in the bowl.</x:v>
      </x:c>
      <x:c r="O85" s="37" t="str"/>
      <x:c r="P85" s="37" t="str">
        <x:v>Explicitly grounds upside-down with yellow-white striped cup using two same-category candidates. The non-queried state axis is held constant, so only one candidate satisfies the instruction.</x:v>
      </x:c>
      <x:c r="Q85" s="38"/>
    </x:row>
    <x:row r="86" ht="60" customHeight="1">
      <x:c r="A86" s="70" t="n">
        <x:v>84</x:v>
      </x:c>
      <x:c r="B86" s="37" t="str">
        <x:v>State Recognition</x:v>
      </x:c>
      <x:c r="C86" s="37" t="str">
        <x:v>Move the upright yellow-white striped cup into the bowl.</x:v>
      </x:c>
      <x:c r="D86" s="37" t="str">
        <x:v>Explicit seen-cell grounding</x:v>
      </x:c>
      <x:c r="E86" s="37" t="str">
        <x:v>upright × yellow-white striped cup; two same-category candidates; non-queried axis controlled</x:v>
      </x:c>
      <x:c r="F86" s="37" t="str">
        <x:v>state_yellow_white_striped_cup_upright_explicit</x:v>
      </x:c>
      <x:c r="G86" s="37" t="str">
        <x:v>white-cup×upside-down; striped-cup×open; brown-cup×closed; spice-container×upright</x:v>
      </x:c>
      <x:c r="H86" s="37" t="str">
        <x:v>No</x:v>
      </x:c>
      <x:c r="I86" s="37" t="str">
        <x:v>Replace episode + assign prompt</x:v>
      </x:c>
      <x:c r="J86" s="37" t="str">
        <x:v>Use MT_State_Recognition_New episode 84 (New Recollection 20 / source episode 6) in place of the original VLA benchmark episode.</x:v>
      </x:c>
      <x:c r="K86" s="37" t="str">
        <x:v>yellow-white striped cup A (O, UR) [target, P3]; yellow-white striped cup B (O, UD) [same-category counterfactual, P1]; white cup A (O, UR) [P2]</x:v>
      </x:c>
      <x:c r="L86" s="37" t="str">
        <x:v>yellow-white striped cup A</x:v>
      </x:c>
      <x:c r="M86" s="37" t="str">
        <x:v>Home</x:v>
      </x:c>
      <x:c r="N86" s="37" t="str">
        <x:v>Move the upright yellow-white striped cup into the bowl.</x:v>
      </x:c>
      <x:c r="O86" s="37" t="str"/>
      <x:c r="P86" s="37" t="str">
        <x:v>Explicitly grounds upright with yellow-white striped cup using two same-category candidates. The non-queried state axis is held constant, so only one candidate satisfies the instruction.</x:v>
      </x:c>
      <x:c r="Q86" s="38"/>
    </x:row>
    <x:row r="87" ht="60" customHeight="1">
      <x:c r="A87" s="70" t="n">
        <x:v>85</x:v>
      </x:c>
      <x:c r="B87" s="37" t="str">
        <x:v>State Recognition</x:v>
      </x:c>
      <x:c r="C87" s="37" t="str">
        <x:v>Place the upside-down yellow-white striped cup in the bowl.</x:v>
      </x:c>
      <x:c r="D87" s="37" t="str">
        <x:v>Explicit seen-cell grounding</x:v>
      </x:c>
      <x:c r="E87" s="37" t="str">
        <x:v>upside-down × yellow-white striped cup; two same-category candidates; non-queried axis controlled</x:v>
      </x:c>
      <x:c r="F87" s="37" t="str">
        <x:v>state_yellow_white_striped_cup_upside_down_explicit</x:v>
      </x:c>
      <x:c r="G87" s="37" t="str">
        <x:v>white-cup×upside-down; striped-cup×open; brown-cup×closed; spice-container×upright</x:v>
      </x:c>
      <x:c r="H87" s="37" t="str">
        <x:v>No</x:v>
      </x:c>
      <x:c r="I87" s="37" t="str">
        <x:v>Replace episode + assign prompt</x:v>
      </x:c>
      <x:c r="J87" s="37" t="str">
        <x:v>Use MT_State_Recognition_New episode 85 (Original 200 / source episode 85) in place of the original VLA benchmark episode.</x:v>
      </x:c>
      <x:c r="K87" s="37" t="str">
        <x:v>yellow-white striped cup B (C, UD) [target]; yellow-white striped cup A (C, UR); glass spice container A (C, UD); white cup B (O, UR)</x:v>
      </x:c>
      <x:c r="L87" s="37" t="str">
        <x:v>yellow-white striped cup B</x:v>
      </x:c>
      <x:c r="M87" s="37" t="str">
        <x:v>Home</x:v>
      </x:c>
      <x:c r="N87" s="37" t="str">
        <x:v>Place the upside-down yellow-white striped cup in the bowl.</x:v>
      </x:c>
      <x:c r="O87" s="37" t="str"/>
      <x:c r="P87" s="37" t="str">
        <x:v>Explicitly grounds upside-down with yellow-white striped cup using two same-category candidates. The non-queried state axis is held constant, so only one candidate satisfies the instruction.</x:v>
      </x:c>
      <x:c r="Q87" s="38"/>
    </x:row>
    <x:row r="88" ht="60" customHeight="1">
      <x:c r="A88" s="70" t="n">
        <x:v>86</x:v>
      </x:c>
      <x:c r="B88" s="37" t="str">
        <x:v>State Recognition</x:v>
      </x:c>
      <x:c r="C88" s="37" t="str">
        <x:v>Put the upside-down yellow-white striped cup in the bowl.</x:v>
      </x:c>
      <x:c r="D88" s="37" t="str">
        <x:v>Explicit seen-cell grounding</x:v>
      </x:c>
      <x:c r="E88" s="37" t="str">
        <x:v>upside-down × yellow-white striped cup; two same-category candidates; non-queried axis controlled</x:v>
      </x:c>
      <x:c r="F88" s="37" t="str">
        <x:v>state_yellow_white_striped_cup_upside_down_explicit</x:v>
      </x:c>
      <x:c r="G88" s="37" t="str">
        <x:v>white-cup×upside-down; striped-cup×open; brown-cup×closed; spice-container×upright</x:v>
      </x:c>
      <x:c r="H88" s="37" t="str">
        <x:v>No</x:v>
      </x:c>
      <x:c r="I88" s="37" t="str">
        <x:v>Replace episode + assign prompt</x:v>
      </x:c>
      <x:c r="J88" s="37" t="str">
        <x:v>Use MT_State_Recognition_New episode 86 (Original 200 / source episode 86) in place of the original VLA benchmark episode.</x:v>
      </x:c>
      <x:c r="K88" s="37" t="str">
        <x:v>yellow-white striped cup B (O, UD) [target]; yellow-white striped cup A (O, UR); white cup B (C, UR); brown cup A (O, UR)</x:v>
      </x:c>
      <x:c r="L88" s="37" t="str">
        <x:v>yellow-white striped cup B</x:v>
      </x:c>
      <x:c r="M88" s="37" t="str">
        <x:v>Home</x:v>
      </x:c>
      <x:c r="N88" s="37" t="str">
        <x:v>Put the upside-down yellow-white striped cup in the bowl.</x:v>
      </x:c>
      <x:c r="O88" s="37" t="str"/>
      <x:c r="P88" s="37" t="str">
        <x:v>Explicitly grounds upside-down with yellow-white striped cup using two same-category candidates. The non-queried state axis is held constant, so only one candidate satisfies the instruction.</x:v>
      </x:c>
      <x:c r="Q88" s="38"/>
    </x:row>
    <x:row r="89" ht="60" customHeight="1">
      <x:c r="A89" s="70" t="n">
        <x:v>87</x:v>
      </x:c>
      <x:c r="B89" s="37" t="str">
        <x:v>State Recognition</x:v>
      </x:c>
      <x:c r="C89" s="37" t="str">
        <x:v>Move a yellow-white striped cup into the bowl.</x:v>
      </x:c>
      <x:c r="D89" s="37" t="str">
        <x:v>State-masked physical exposure</x:v>
      </x:c>
      <x:c r="E89" s="37" t="str">
        <x:v>direct category=yellow-white striped cup; physical state=C, UR; no state word</x:v>
      </x:c>
      <x:c r="F89" s="37" t="str">
        <x:v>state_yellow_white_striped_cup_c_ur_masked</x:v>
      </x:c>
      <x:c r="G89" s="37" t="str">
        <x:v>white-cup×upside-down; striped-cup×open; brown-cup×closed; spice-container×upright</x:v>
      </x:c>
      <x:c r="H89" s="37" t="str">
        <x:v>No</x:v>
      </x:c>
      <x:c r="I89" s="37" t="str">
        <x:v>Replace episode + assign prompt</x:v>
      </x:c>
      <x:c r="J89" s="37" t="str">
        <x:v>Use MT_State_Recognition_New episode 87 (Original 200 / source episode 87) in place of the original VLA benchmark episode.</x:v>
      </x:c>
      <x:c r="K89" s="37" t="str">
        <x:v>yellow-white striped cup A (C, UR) [target]; brown cup B (C, UD); glass spice container B (O, UD); white cup B (C, UD)</x:v>
      </x:c>
      <x:c r="L89" s="37" t="str">
        <x:v>yellow-white striped cup A</x:v>
      </x:c>
      <x:c r="M89" s="37" t="str">
        <x:v>Home</x:v>
      </x:c>
      <x:c r="N89" s="37" t="str">
        <x:v>Move a yellow-white striped cup into the bowl.</x:v>
      </x:c>
      <x:c r="O89" s="37" t="str"/>
      <x:c r="P89" s="37" t="str">
        <x:v>Preserves yellow-white striped cup recognition and the recorded physical manipulation while omitting state language. Only one yellow-white striped cup appears, so this row cannot train state-based selection.</x:v>
      </x:c>
      <x:c r="Q89" s="38"/>
    </x:row>
    <x:row r="90" ht="60" customHeight="1">
      <x:c r="A90" s="70" t="n">
        <x:v>88</x:v>
      </x:c>
      <x:c r="B90" s="37" t="str">
        <x:v>State Recognition</x:v>
      </x:c>
      <x:c r="C90" s="37" t="str">
        <x:v>Place the upside-down yellow-white striped cup in the bowl.</x:v>
      </x:c>
      <x:c r="D90" s="37" t="str">
        <x:v>Explicit seen-cell grounding</x:v>
      </x:c>
      <x:c r="E90" s="37" t="str">
        <x:v>upside-down × yellow-white striped cup; two same-category candidates; non-queried axis controlled</x:v>
      </x:c>
      <x:c r="F90" s="37" t="str">
        <x:v>state_yellow_white_striped_cup_upside_down_explicit</x:v>
      </x:c>
      <x:c r="G90" s="37" t="str">
        <x:v>white-cup×upside-down; striped-cup×open; brown-cup×closed; spice-container×upright</x:v>
      </x:c>
      <x:c r="H90" s="37" t="str">
        <x:v>No</x:v>
      </x:c>
      <x:c r="I90" s="37" t="str">
        <x:v>Replace episode + assign prompt</x:v>
      </x:c>
      <x:c r="J90" s="37" t="str">
        <x:v>Use MT_State_Recognition_New episode 88 (New Recollection 20 / source episode 8) in place of the original VLA benchmark episode.</x:v>
      </x:c>
      <x:c r="K90" s="37" t="str">
        <x:v>yellow-white striped cup A (O, UD) [target, P1]; yellow-white striped cup B (O, UR) [same-category counterfactual, P3]</x:v>
      </x:c>
      <x:c r="L90" s="37" t="str">
        <x:v>yellow-white striped cup A</x:v>
      </x:c>
      <x:c r="M90" s="37" t="str">
        <x:v>Home</x:v>
      </x:c>
      <x:c r="N90" s="37" t="str">
        <x:v>Place the upside-down yellow-white striped cup in the bowl.</x:v>
      </x:c>
      <x:c r="O90" s="37" t="str"/>
      <x:c r="P90" s="37" t="str">
        <x:v>Explicitly grounds upside-down with yellow-white striped cup using two same-category candidates. The non-queried state axis is held constant, so only one candidate satisfies the instruction.</x:v>
      </x:c>
      <x:c r="Q90" s="38"/>
    </x:row>
    <x:row r="91" ht="60" customHeight="1">
      <x:c r="A91" s="70" t="n">
        <x:v>89</x:v>
      </x:c>
      <x:c r="B91" s="37" t="str">
        <x:v>State Recognition</x:v>
      </x:c>
      <x:c r="C91" s="37" t="str">
        <x:v>Put the upside-down yellow-white striped cup in the bowl.</x:v>
      </x:c>
      <x:c r="D91" s="37" t="str">
        <x:v>Explicit seen-cell grounding</x:v>
      </x:c>
      <x:c r="E91" s="37" t="str">
        <x:v>upside-down × yellow-white striped cup; two same-category candidates; non-queried axis controlled</x:v>
      </x:c>
      <x:c r="F91" s="37" t="str">
        <x:v>state_yellow_white_striped_cup_upside_down_explicit</x:v>
      </x:c>
      <x:c r="G91" s="37" t="str">
        <x:v>white-cup×upside-down; striped-cup×open; brown-cup×closed; spice-container×upright</x:v>
      </x:c>
      <x:c r="H91" s="37" t="str">
        <x:v>No</x:v>
      </x:c>
      <x:c r="I91" s="37" t="str">
        <x:v>Replace episode + assign prompt</x:v>
      </x:c>
      <x:c r="J91" s="37" t="str">
        <x:v>Use MT_State_Recognition_New episode 89 (Original 200 / source episode 89) in place of the original VLA benchmark episode.</x:v>
      </x:c>
      <x:c r="K91" s="37" t="str">
        <x:v>yellow-white striped cup B (C, UD) [target]; yellow-white striped cup A (C, UR); white cup A (C, UD)</x:v>
      </x:c>
      <x:c r="L91" s="37" t="str">
        <x:v>yellow-white striped cup B</x:v>
      </x:c>
      <x:c r="M91" s="37" t="str">
        <x:v>Home</x:v>
      </x:c>
      <x:c r="N91" s="37" t="str">
        <x:v>Put the upside-down yellow-white striped cup in the bowl.</x:v>
      </x:c>
      <x:c r="O91" s="37" t="str"/>
      <x:c r="P91" s="37" t="str">
        <x:v>Explicitly grounds upside-down with yellow-white striped cup using two same-category candidates. The non-queried state axis is held constant, so only one candidate satisfies the instruction.</x:v>
      </x:c>
      <x:c r="Q91" s="38"/>
    </x:row>
    <x:row r="92" ht="60" customHeight="1">
      <x:c r="A92" s="70" t="n">
        <x:v>90</x:v>
      </x:c>
      <x:c r="B92" s="37" t="str">
        <x:v>State Recognition</x:v>
      </x:c>
      <x:c r="C92" s="37" t="str">
        <x:v>Move the upright yellow-white striped cup into the bowl.</x:v>
      </x:c>
      <x:c r="D92" s="37" t="str">
        <x:v>Explicit seen-cell grounding</x:v>
      </x:c>
      <x:c r="E92" s="37" t="str">
        <x:v>upright × yellow-white striped cup; two same-category candidates; non-queried axis controlled</x:v>
      </x:c>
      <x:c r="F92" s="37" t="str">
        <x:v>state_yellow_white_striped_cup_upright_explicit</x:v>
      </x:c>
      <x:c r="G92" s="37" t="str">
        <x:v>white-cup×upside-down; striped-cup×open; brown-cup×closed; spice-container×upright</x:v>
      </x:c>
      <x:c r="H92" s="37" t="str">
        <x:v>No</x:v>
      </x:c>
      <x:c r="I92" s="37" t="str">
        <x:v>Replace episode + assign prompt</x:v>
      </x:c>
      <x:c r="J92" s="37" t="str">
        <x:v>Use MT_State_Recognition_New episode 90 (Original 200 / source episode 90) in place of the original VLA benchmark episode.</x:v>
      </x:c>
      <x:c r="K92" s="37" t="str">
        <x:v>yellow-white striped cup A (O, UR) [target]; yellow-white striped cup B (O, UD); brown cup B (C, UD)</x:v>
      </x:c>
      <x:c r="L92" s="37" t="str">
        <x:v>yellow-white striped cup A</x:v>
      </x:c>
      <x:c r="M92" s="37" t="str">
        <x:v>Home</x:v>
      </x:c>
      <x:c r="N92" s="37" t="str">
        <x:v>Move the upright yellow-white striped cup into the bowl.</x:v>
      </x:c>
      <x:c r="O92" s="37" t="str"/>
      <x:c r="P92" s="37" t="str">
        <x:v>Explicitly grounds upright with yellow-white striped cup using two same-category candidates. The non-queried state axis is held constant, so only one candidate satisfies the instruction.</x:v>
      </x:c>
      <x:c r="Q92" s="38"/>
    </x:row>
    <x:row r="93" ht="60" customHeight="1">
      <x:c r="A93" s="70" t="n">
        <x:v>91</x:v>
      </x:c>
      <x:c r="B93" s="37" t="str">
        <x:v>State Recognition</x:v>
      </x:c>
      <x:c r="C93" s="37" t="str">
        <x:v>Place the upside-down yellow-white striped cup in the bowl.</x:v>
      </x:c>
      <x:c r="D93" s="37" t="str">
        <x:v>Explicit seen-cell grounding</x:v>
      </x:c>
      <x:c r="E93" s="37" t="str">
        <x:v>upside-down × yellow-white striped cup; two same-category candidates; non-queried axis controlled</x:v>
      </x:c>
      <x:c r="F93" s="37" t="str">
        <x:v>state_yellow_white_striped_cup_upside_down_explicit</x:v>
      </x:c>
      <x:c r="G93" s="37" t="str">
        <x:v>white-cup×upside-down; striped-cup×open; brown-cup×closed; spice-container×upright</x:v>
      </x:c>
      <x:c r="H93" s="37" t="str">
        <x:v>No</x:v>
      </x:c>
      <x:c r="I93" s="37" t="str">
        <x:v>Replace episode + assign prompt</x:v>
      </x:c>
      <x:c r="J93" s="37" t="str">
        <x:v>Use MT_State_Recognition_New episode 91 (New Recollection 20 / source episode 9) in place of the original VLA benchmark episode.</x:v>
      </x:c>
      <x:c r="K93" s="37" t="str">
        <x:v>yellow-white striped cup B (C, UD) [target, P2]; yellow-white striped cup A (C, UR) [same-category counterfactual, P4]; white cup B (C, UD) [P1]</x:v>
      </x:c>
      <x:c r="L93" s="37" t="str">
        <x:v>yellow-white striped cup B</x:v>
      </x:c>
      <x:c r="M93" s="37" t="str">
        <x:v>Home</x:v>
      </x:c>
      <x:c r="N93" s="37" t="str">
        <x:v>Place the upside-down yellow-white striped cup in the bowl.</x:v>
      </x:c>
      <x:c r="O93" s="37" t="str"/>
      <x:c r="P93" s="37" t="str">
        <x:v>Explicitly grounds upside-down with yellow-white striped cup using two same-category candidates. The non-queried state axis is held constant, so only one candidate satisfies the instruction.</x:v>
      </x:c>
      <x:c r="Q93" s="38"/>
    </x:row>
    <x:row r="94" ht="60" customHeight="1">
      <x:c r="A94" s="70" t="n">
        <x:v>92</x:v>
      </x:c>
      <x:c r="B94" s="37" t="str">
        <x:v>State Recognition</x:v>
      </x:c>
      <x:c r="C94" s="37" t="str">
        <x:v>Put a yellow-white striped cup in the bowl.</x:v>
      </x:c>
      <x:c r="D94" s="37" t="str">
        <x:v>State-masked physical exposure</x:v>
      </x:c>
      <x:c r="E94" s="37" t="str">
        <x:v>direct category=yellow-white striped cup; physical state=C, UR; no state word</x:v>
      </x:c>
      <x:c r="F94" s="37" t="str">
        <x:v>state_yellow_white_striped_cup_c_ur_masked</x:v>
      </x:c>
      <x:c r="G94" s="37" t="str">
        <x:v>white-cup×upside-down; striped-cup×open; brown-cup×closed; spice-container×upright</x:v>
      </x:c>
      <x:c r="H94" s="37" t="str">
        <x:v>No</x:v>
      </x:c>
      <x:c r="I94" s="37" t="str">
        <x:v>Replace episode + assign prompt</x:v>
      </x:c>
      <x:c r="J94" s="37" t="str">
        <x:v>Use MT_State_Recognition_New episode 92 (Replacement 61 / source episode 23) in place of the original VLA benchmark episode.</x:v>
      </x:c>
      <x:c r="K94" s="37" t="str">
        <x:v>yellow-white striped cup A (C, UR) [target, P4]; white cup B (O, UD) — P3; brown cup B (O, UR) — P1; glass spice container A (C, UD) — P2</x:v>
      </x:c>
      <x:c r="L94" s="37" t="str">
        <x:v>yellow-white striped cup A</x:v>
      </x:c>
      <x:c r="M94" s="37" t="str">
        <x:v>Home</x:v>
      </x:c>
      <x:c r="N94" s="37" t="str">
        <x:v>Put a yellow-white striped cup in the bowl.</x:v>
      </x:c>
      <x:c r="O94" s="37" t="str"/>
      <x:c r="P94" s="37" t="str">
        <x:v>Preserves yellow-white striped cup recognition and the recorded physical manipulation while omitting state language. Only one yellow-white striped cup appears, so this row cannot train state-based selection.</x:v>
      </x:c>
      <x:c r="Q94" s="38"/>
    </x:row>
    <x:row r="95" ht="60" customHeight="1">
      <x:c r="A95" s="70" t="n">
        <x:v>93</x:v>
      </x:c>
      <x:c r="B95" s="37" t="str">
        <x:v>State Recognition</x:v>
      </x:c>
      <x:c r="C95" s="37" t="str">
        <x:v>Move a yellow-white striped cup into the bowl.</x:v>
      </x:c>
      <x:c r="D95" s="37" t="str">
        <x:v>State-masked physical exposure</x:v>
      </x:c>
      <x:c r="E95" s="37" t="str">
        <x:v>direct category=yellow-white striped cup; physical state=C, UR; no state word</x:v>
      </x:c>
      <x:c r="F95" s="37" t="str">
        <x:v>state_yellow_white_striped_cup_c_ur_masked</x:v>
      </x:c>
      <x:c r="G95" s="37" t="str">
        <x:v>white-cup×upside-down; striped-cup×open; brown-cup×closed; spice-container×upright</x:v>
      </x:c>
      <x:c r="H95" s="37" t="str">
        <x:v>No</x:v>
      </x:c>
      <x:c r="I95" s="37" t="str">
        <x:v>Replace episode + assign prompt</x:v>
      </x:c>
      <x:c r="J95" s="37" t="str">
        <x:v>Use MT_State_Recognition_New episode 93 (Original 200 / source episode 93) in place of the original VLA benchmark episode.</x:v>
      </x:c>
      <x:c r="K95" s="37" t="str">
        <x:v>yellow-white striped cup B (C, UR) [target]; glass spice container B (O, UD); white cup B (C, UD); brown cup A (O, UD)</x:v>
      </x:c>
      <x:c r="L95" s="37" t="str">
        <x:v>yellow-white striped cup B</x:v>
      </x:c>
      <x:c r="M95" s="37" t="str">
        <x:v>Recovery</x:v>
      </x:c>
      <x:c r="N95" s="37" t="str">
        <x:v>Move a yellow-white striped cup into the bowl.</x:v>
      </x:c>
      <x:c r="O95" s="37" t="str"/>
      <x:c r="P95" s="37" t="str">
        <x:v>Preserves yellow-white striped cup recognition and the recorded physical manipulation while omitting state language. Only one yellow-white striped cup appears, so this row cannot train state-based selection.</x:v>
      </x:c>
      <x:c r="Q95" s="38"/>
    </x:row>
    <x:row r="96" ht="60" customHeight="1">
      <x:c r="A96" s="70" t="n">
        <x:v>94</x:v>
      </x:c>
      <x:c r="B96" s="37" t="str">
        <x:v>State Recognition</x:v>
      </x:c>
      <x:c r="C96" s="37" t="str">
        <x:v>Place the upside-down yellow-white striped cup in the bowl.</x:v>
      </x:c>
      <x:c r="D96" s="37" t="str">
        <x:v>Explicit seen-cell grounding</x:v>
      </x:c>
      <x:c r="E96" s="37" t="str">
        <x:v>upside-down × yellow-white striped cup; two same-category candidates; non-queried axis controlled</x:v>
      </x:c>
      <x:c r="F96" s="37" t="str">
        <x:v>state_yellow_white_striped_cup_upside_down_explicit</x:v>
      </x:c>
      <x:c r="G96" s="37" t="str">
        <x:v>white-cup×upside-down; striped-cup×open; brown-cup×closed; spice-container×upright</x:v>
      </x:c>
      <x:c r="H96" s="37" t="str">
        <x:v>No</x:v>
      </x:c>
      <x:c r="I96" s="37" t="str">
        <x:v>Replace episode + assign prompt</x:v>
      </x:c>
      <x:c r="J96" s="37" t="str">
        <x:v>Use MT_State_Recognition_New episode 94 (Original 200 / source episode 94) in place of the original VLA benchmark episode.</x:v>
      </x:c>
      <x:c r="K96" s="37" t="str">
        <x:v>yellow-white striped cup A (O, UD) [target]; yellow-white striped cup B (O, UR); glass spice container B (C, UD)</x:v>
      </x:c>
      <x:c r="L96" s="37" t="str">
        <x:v>yellow-white striped cup A</x:v>
      </x:c>
      <x:c r="M96" s="37" t="str">
        <x:v>Home</x:v>
      </x:c>
      <x:c r="N96" s="37" t="str">
        <x:v>Place the upside-down yellow-white striped cup in the bowl.</x:v>
      </x:c>
      <x:c r="O96" s="37" t="str"/>
      <x:c r="P96" s="37" t="str">
        <x:v>Explicitly grounds upside-down with yellow-white striped cup using two same-category candidates. The non-queried state axis is held constant, so only one candidate satisfies the instruction.</x:v>
      </x:c>
      <x:c r="Q96" s="38"/>
    </x:row>
    <x:row r="97" ht="60" customHeight="1">
      <x:c r="A97" s="70" t="n">
        <x:v>95</x:v>
      </x:c>
      <x:c r="B97" s="37" t="str">
        <x:v>State Recognition</x:v>
      </x:c>
      <x:c r="C97" s="37" t="str">
        <x:v>Put a yellow-white striped cup in the bowl.</x:v>
      </x:c>
      <x:c r="D97" s="37" t="str">
        <x:v>State-masked physical exposure</x:v>
      </x:c>
      <x:c r="E97" s="37" t="str">
        <x:v>direct category=yellow-white striped cup; physical state=C, UD; no state word</x:v>
      </x:c>
      <x:c r="F97" s="37" t="str">
        <x:v>state_yellow_white_striped_cup_c_ud_masked</x:v>
      </x:c>
      <x:c r="G97" s="37" t="str">
        <x:v>white-cup×upside-down; striped-cup×open; brown-cup×closed; spice-container×upright</x:v>
      </x:c>
      <x:c r="H97" s="37" t="str">
        <x:v>No</x:v>
      </x:c>
      <x:c r="I97" s="37" t="str">
        <x:v>Replace episode + assign prompt</x:v>
      </x:c>
      <x:c r="J97" s="37" t="str">
        <x:v>Use MT_State_Recognition_New episode 95 (Original 200 / source episode 95) in place of the original VLA benchmark episode.</x:v>
      </x:c>
      <x:c r="K97" s="37" t="str">
        <x:v>yellow-white striped cup B (C, UD) [target]; white cup B (C, UR); brown cup A (O, UR); glass spice container A (C, UR)</x:v>
      </x:c>
      <x:c r="L97" s="37" t="str">
        <x:v>yellow-white striped cup B</x:v>
      </x:c>
      <x:c r="M97" s="37" t="str">
        <x:v>Home</x:v>
      </x:c>
      <x:c r="N97" s="37" t="str">
        <x:v>Put a yellow-white striped cup in the bowl.</x:v>
      </x:c>
      <x:c r="O97" s="37" t="str"/>
      <x:c r="P97" s="37" t="str">
        <x:v>Preserves yellow-white striped cup recognition and the recorded physical manipulation while omitting state language. Only one yellow-white striped cup appears, so this row cannot train state-based selection.</x:v>
      </x:c>
      <x:c r="Q97" s="38"/>
    </x:row>
    <x:row r="98" ht="60" customHeight="1">
      <x:c r="A98" s="70" t="n">
        <x:v>96</x:v>
      </x:c>
      <x:c r="B98" s="37" t="str">
        <x:v>State Recognition</x:v>
      </x:c>
      <x:c r="C98" s="37" t="str">
        <x:v>Move a yellow-white striped cup into the bowl.</x:v>
      </x:c>
      <x:c r="D98" s="37" t="str">
        <x:v>State-masked physical exposure</x:v>
      </x:c>
      <x:c r="E98" s="37" t="str">
        <x:v>direct category=yellow-white striped cup; physical state=O, UD; no state word</x:v>
      </x:c>
      <x:c r="F98" s="37" t="str">
        <x:v>state_yellow_white_striped_cup_o_ud_masked</x:v>
      </x:c>
      <x:c r="G98" s="37" t="str">
        <x:v>white-cup×upside-down; striped-cup×open; brown-cup×closed; spice-container×upright</x:v>
      </x:c>
      <x:c r="H98" s="37" t="str">
        <x:v>No</x:v>
      </x:c>
      <x:c r="I98" s="37" t="str">
        <x:v>Replace episode + assign prompt</x:v>
      </x:c>
      <x:c r="J98" s="37" t="str">
        <x:v>Use MT_State_Recognition_New episode 96 (Replacement 61 / source episode 30) in place of the original VLA benchmark episode.</x:v>
      </x:c>
      <x:c r="K98" s="37" t="str">
        <x:v>yellow-white striped cup A (O, UD) [target, P3]; white cup A (C, UR) — P1; brown cup A (C, UD) — P2; glass spice container B (O, UD) — P4</x:v>
      </x:c>
      <x:c r="L98" s="37" t="str">
        <x:v>yellow-white striped cup A</x:v>
      </x:c>
      <x:c r="M98" s="37" t="str">
        <x:v>Recovery</x:v>
      </x:c>
      <x:c r="N98" s="37" t="str">
        <x:v>Move a yellow-white striped cup into the bowl.</x:v>
      </x:c>
      <x:c r="O98" s="37" t="str">
        <x:v>Move the open yellow-white striped cup into the bowl.</x:v>
      </x:c>
      <x:c r="P98" s="37" t="str">
        <x:v>Preserves yellow-white striped cup recognition and the recorded physical manipulation while omitting state language. Only one yellow-white striped cup appears, so this row cannot train state-based selection.</x:v>
      </x:c>
      <x:c r="Q98" s="38"/>
    </x:row>
    <x:row r="99" ht="60" customHeight="1">
      <x:c r="A99" s="70" t="n">
        <x:v>97</x:v>
      </x:c>
      <x:c r="B99" s="37" t="str">
        <x:v>State Recognition</x:v>
      </x:c>
      <x:c r="C99" s="37" t="str">
        <x:v>Place the upright yellow-white striped cup in the bowl.</x:v>
      </x:c>
      <x:c r="D99" s="37" t="str">
        <x:v>Explicit seen-cell grounding</x:v>
      </x:c>
      <x:c r="E99" s="37" t="str">
        <x:v>upright × yellow-white striped cup; two same-category candidates; non-queried axis controlled</x:v>
      </x:c>
      <x:c r="F99" s="37" t="str">
        <x:v>state_yellow_white_striped_cup_upright_explicit</x:v>
      </x:c>
      <x:c r="G99" s="37" t="str">
        <x:v>white-cup×upside-down; striped-cup×open; brown-cup×closed; spice-container×upright</x:v>
      </x:c>
      <x:c r="H99" s="37" t="str">
        <x:v>No</x:v>
      </x:c>
      <x:c r="I99" s="37" t="str">
        <x:v>Replace episode + assign prompt</x:v>
      </x:c>
      <x:c r="J99" s="37" t="str">
        <x:v>Use MT_State_Recognition_New episode 97 (Original 200 / source episode 97) in place of the original VLA benchmark episode.</x:v>
      </x:c>
      <x:c r="K99" s="37" t="str">
        <x:v>yellow-white striped cup B (C, UR) [target]; yellow-white striped cup A (C, UD); glass spice container A (C, UR)</x:v>
      </x:c>
      <x:c r="L99" s="37" t="str">
        <x:v>yellow-white striped cup B</x:v>
      </x:c>
      <x:c r="M99" s="37" t="str">
        <x:v>Home</x:v>
      </x:c>
      <x:c r="N99" s="37" t="str">
        <x:v>Place the upright yellow-white striped cup in the bowl.</x:v>
      </x:c>
      <x:c r="O99" s="37" t="str"/>
      <x:c r="P99" s="37" t="str">
        <x:v>Explicitly grounds upright with yellow-white striped cup using two same-category candidates. The non-queried state axis is held constant, so only one candidate satisfies the instruction.</x:v>
      </x:c>
      <x:c r="Q99" s="38"/>
    </x:row>
    <x:row r="100" ht="60" customHeight="1">
      <x:c r="A100" s="70" t="n">
        <x:v>98</x:v>
      </x:c>
      <x:c r="B100" s="37" t="str">
        <x:v>State Recognition</x:v>
      </x:c>
      <x:c r="C100" s="37" t="str">
        <x:v>Put a yellow-white striped cup in the bowl.</x:v>
      </x:c>
      <x:c r="D100" s="37" t="str">
        <x:v>State-masked physical exposure</x:v>
      </x:c>
      <x:c r="E100" s="37" t="str">
        <x:v>direct category=yellow-white striped cup; physical state=O, UD; no state word</x:v>
      </x:c>
      <x:c r="F100" s="37" t="str">
        <x:v>state_yellow_white_striped_cup_o_ud_masked</x:v>
      </x:c>
      <x:c r="G100" s="37" t="str">
        <x:v>white-cup×upside-down; striped-cup×open; brown-cup×closed; spice-container×upright</x:v>
      </x:c>
      <x:c r="H100" s="37" t="str">
        <x:v>No</x:v>
      </x:c>
      <x:c r="I100" s="37" t="str">
        <x:v>Replace episode + assign prompt</x:v>
      </x:c>
      <x:c r="J100" s="37" t="str">
        <x:v>Use MT_State_Recognition_New episode 98 (Original 200 / source episode 98) in place of the original VLA benchmark episode.</x:v>
      </x:c>
      <x:c r="K100" s="37" t="str">
        <x:v>yellow-white striped cup A (O, UD) [target]; brown cup A (C, UR); glass spice container A (O, UR); white cup A (C, UR)</x:v>
      </x:c>
      <x:c r="L100" s="37" t="str">
        <x:v>yellow-white striped cup A</x:v>
      </x:c>
      <x:c r="M100" s="37" t="str">
        <x:v>Home</x:v>
      </x:c>
      <x:c r="N100" s="37" t="str">
        <x:v>Put a yellow-white striped cup in the bowl.</x:v>
      </x:c>
      <x:c r="O100" s="37" t="str">
        <x:v>Move the open yellow-white striped cup into the bowl.</x:v>
      </x:c>
      <x:c r="P100" s="37" t="str">
        <x:v>Preserves yellow-white striped cup recognition and the recorded physical manipulation while omitting state language. Only one yellow-white striped cup appears, so this row cannot train state-based selection.</x:v>
      </x:c>
      <x:c r="Q100" s="38"/>
    </x:row>
    <x:row r="101" ht="60" customHeight="1">
      <x:c r="A101" s="70" t="n">
        <x:v>99</x:v>
      </x:c>
      <x:c r="B101" s="37" t="str">
        <x:v>State Recognition</x:v>
      </x:c>
      <x:c r="C101" s="37" t="str">
        <x:v>Move a yellow-white striped cup into the bowl.</x:v>
      </x:c>
      <x:c r="D101" s="37" t="str">
        <x:v>State-masked physical exposure</x:v>
      </x:c>
      <x:c r="E101" s="37" t="str">
        <x:v>direct category=yellow-white striped cup; physical state=C, UD; no state word</x:v>
      </x:c>
      <x:c r="F101" s="37" t="str">
        <x:v>state_yellow_white_striped_cup_c_ud_masked</x:v>
      </x:c>
      <x:c r="G101" s="37" t="str">
        <x:v>white-cup×upside-down; striped-cup×open; brown-cup×closed; spice-container×upright</x:v>
      </x:c>
      <x:c r="H101" s="37" t="str">
        <x:v>No</x:v>
      </x:c>
      <x:c r="I101" s="37" t="str">
        <x:v>Replace episode + assign prompt</x:v>
      </x:c>
      <x:c r="J101" s="37" t="str">
        <x:v>Use MT_State_Recognition_New episode 99 (Replacement 61 / source episode 29) in place of the original VLA benchmark episode.</x:v>
      </x:c>
      <x:c r="K101" s="37" t="str">
        <x:v>yellow-white striped cup A (C, UD) [target, P2]; white cup B (O, UR) — P4; brown cup B (O, UD) — P1; glass spice container A (C, UR) — P3</x:v>
      </x:c>
      <x:c r="L101" s="37" t="str">
        <x:v>yellow-white striped cup A</x:v>
      </x:c>
      <x:c r="M101" s="37" t="str">
        <x:v>Home</x:v>
      </x:c>
      <x:c r="N101" s="37" t="str">
        <x:v>Move a yellow-white striped cup into the bowl.</x:v>
      </x:c>
      <x:c r="O101" s="37" t="str"/>
      <x:c r="P101" s="37" t="str">
        <x:v>Preserves yellow-white striped cup recognition and the recorded physical manipulation while omitting state language. Only one yellow-white striped cup appears, so this row cannot train state-based selection.</x:v>
      </x:c>
      <x:c r="Q101" s="38"/>
    </x:row>
    <x:row r="102" ht="60" customHeight="1">
      <x:c r="A102" s="70" t="n">
        <x:v>100</x:v>
      </x:c>
      <x:c r="B102" s="37" t="str">
        <x:v>State Recognition</x:v>
      </x:c>
      <x:c r="C102" s="37" t="str">
        <x:v>Place a brown cup in the bowl.</x:v>
      </x:c>
      <x:c r="D102" s="37" t="str">
        <x:v>State-masked physical exposure</x:v>
      </x:c>
      <x:c r="E102" s="37" t="str">
        <x:v>direct category=brown cup; physical state=C, UR; no state word</x:v>
      </x:c>
      <x:c r="F102" s="37" t="str">
        <x:v>state_brown_cup_c_ur_masked</x:v>
      </x:c>
      <x:c r="G102" s="37" t="str">
        <x:v>white-cup×upside-down; striped-cup×open; brown-cup×closed; spice-container×upright</x:v>
      </x:c>
      <x:c r="H102" s="37" t="str">
        <x:v>No</x:v>
      </x:c>
      <x:c r="I102" s="37" t="str">
        <x:v>Replace episode + assign prompt</x:v>
      </x:c>
      <x:c r="J102" s="37" t="str">
        <x:v>Use MT_State_Recognition_New episode 100 (Additional 40 / source episode 27) in place of the original VLA benchmark episode.</x:v>
      </x:c>
      <x:c r="K102" s="37" t="str">
        <x:v>brown cup A (C, UR) [target, P2]; White cup B (O, UR); yellow-white striped cup B (C, UD); glass spice container A (O, UD)</x:v>
      </x:c>
      <x:c r="L102" s="37" t="str">
        <x:v>brown cup A</x:v>
      </x:c>
      <x:c r="M102" s="37" t="str">
        <x:v>Recovery</x:v>
      </x:c>
      <x:c r="N102" s="37" t="str">
        <x:v>Place a brown cup in the bowl.</x:v>
      </x:c>
      <x:c r="O102" s="37" t="str">
        <x:v>Move the closed brown cup into the bowl.</x:v>
      </x:c>
      <x:c r="P102" s="37" t="str">
        <x:v>Preserves brown cup recognition and the recorded physical manipulation while omitting state language. Only one brown cup appears, so this row cannot train state-based selection.</x:v>
      </x:c>
      <x:c r="Q102" s="38"/>
    </x:row>
    <x:row r="103" ht="60" customHeight="1">
      <x:c r="A103" s="70" t="n">
        <x:v>101</x:v>
      </x:c>
      <x:c r="B103" s="37" t="str">
        <x:v>State Recognition</x:v>
      </x:c>
      <x:c r="C103" s="37" t="str">
        <x:v>Put the open brown cup in the bowl.</x:v>
      </x:c>
      <x:c r="D103" s="37" t="str">
        <x:v>Explicit seen-cell grounding</x:v>
      </x:c>
      <x:c r="E103" s="37" t="str">
        <x:v>open × brown cup; two same-category candidates; non-queried axis controlled</x:v>
      </x:c>
      <x:c r="F103" s="37" t="str">
        <x:v>state_brown_cup_open_explicit</x:v>
      </x:c>
      <x:c r="G103" s="37" t="str">
        <x:v>white-cup×upside-down; striped-cup×open; brown-cup×closed; spice-container×upright</x:v>
      </x:c>
      <x:c r="H103" s="37" t="str">
        <x:v>No</x:v>
      </x:c>
      <x:c r="I103" s="37" t="str">
        <x:v>Replace episode + assign prompt</x:v>
      </x:c>
      <x:c r="J103" s="37" t="str">
        <x:v>Use MT_State_Recognition_New episode 101 (Original 200 / source episode 101) in place of the original VLA benchmark episode.</x:v>
      </x:c>
      <x:c r="K103" s="37" t="str">
        <x:v>brown cup A (O, UR) [target]; brown cup B (C, UR); glass spice container B (O, UR); white cup A (C, UR)</x:v>
      </x:c>
      <x:c r="L103" s="37" t="str">
        <x:v>brown cup A</x:v>
      </x:c>
      <x:c r="M103" s="37" t="str">
        <x:v>Home</x:v>
      </x:c>
      <x:c r="N103" s="37" t="str">
        <x:v>Put the open brown cup in the bowl.</x:v>
      </x:c>
      <x:c r="O103" s="37" t="str"/>
      <x:c r="P103" s="37" t="str">
        <x:v>Explicitly grounds open with brown cup using two same-category candidates. The non-queried state axis is held constant, so only one candidate satisfies the instruction.</x:v>
      </x:c>
      <x:c r="Q103" s="38"/>
    </x:row>
    <x:row r="104" ht="60" customHeight="1">
      <x:c r="A104" s="70" t="n">
        <x:v>102</x:v>
      </x:c>
      <x:c r="B104" s="37" t="str">
        <x:v>State Recognition</x:v>
      </x:c>
      <x:c r="C104" s="37" t="str">
        <x:v>Move a brown cup into the bowl.</x:v>
      </x:c>
      <x:c r="D104" s="37" t="str">
        <x:v>State-masked physical exposure</x:v>
      </x:c>
      <x:c r="E104" s="37" t="str">
        <x:v>direct category=brown cup; physical state=C, UR; no state word</x:v>
      </x:c>
      <x:c r="F104" s="37" t="str">
        <x:v>state_brown_cup_c_ur_masked</x:v>
      </x:c>
      <x:c r="G104" s="37" t="str">
        <x:v>white-cup×upside-down; striped-cup×open; brown-cup×closed; spice-container×upright</x:v>
      </x:c>
      <x:c r="H104" s="37" t="str">
        <x:v>No</x:v>
      </x:c>
      <x:c r="I104" s="37" t="str">
        <x:v>Replace episode + assign prompt</x:v>
      </x:c>
      <x:c r="J104" s="37" t="str">
        <x:v>Use MT_State_Recognition_New episode 102 (Original 200 / source episode 102) in place of the original VLA benchmark episode.</x:v>
      </x:c>
      <x:c r="K104" s="37" t="str">
        <x:v>brown cup A (C, UR) [target]; white cup B (O, UR); yellow-white striped cup B (O, UR)</x:v>
      </x:c>
      <x:c r="L104" s="37" t="str">
        <x:v>brown cup A</x:v>
      </x:c>
      <x:c r="M104" s="37" t="str">
        <x:v>Home</x:v>
      </x:c>
      <x:c r="N104" s="37" t="str">
        <x:v>Move a brown cup into the bowl.</x:v>
      </x:c>
      <x:c r="O104" s="37" t="str">
        <x:v>Move the closed brown cup into the bowl.</x:v>
      </x:c>
      <x:c r="P104" s="37" t="str">
        <x:v>Preserves brown cup recognition and the recorded physical manipulation while omitting state language. Only one brown cup appears, so this row cannot train state-based selection.</x:v>
      </x:c>
      <x:c r="Q104" s="38"/>
    </x:row>
    <x:row r="105" ht="60" customHeight="1">
      <x:c r="A105" s="70" t="n">
        <x:v>103</x:v>
      </x:c>
      <x:c r="B105" s="37" t="str">
        <x:v>State Recognition</x:v>
      </x:c>
      <x:c r="C105" s="37" t="str">
        <x:v>Place a brown cup in the bowl.</x:v>
      </x:c>
      <x:c r="D105" s="37" t="str">
        <x:v>State-masked physical exposure</x:v>
      </x:c>
      <x:c r="E105" s="37" t="str">
        <x:v>direct category=brown cup; physical state=C, UD; no state word</x:v>
      </x:c>
      <x:c r="F105" s="37" t="str">
        <x:v>state_brown_cup_c_ud_masked</x:v>
      </x:c>
      <x:c r="G105" s="37" t="str">
        <x:v>white-cup×upside-down; striped-cup×open; brown-cup×closed; spice-container×upright</x:v>
      </x:c>
      <x:c r="H105" s="37" t="str">
        <x:v>No</x:v>
      </x:c>
      <x:c r="I105" s="37" t="str">
        <x:v>Replace episode + assign prompt</x:v>
      </x:c>
      <x:c r="J105" s="37" t="str">
        <x:v>Use MT_State_Recognition_New episode 103 (Additional 40 / source episode 22) in place of the original VLA benchmark episode.</x:v>
      </x:c>
      <x:c r="K105" s="37" t="str">
        <x:v>brown cup B (C, UD) [target, P1]; White cup A (O, UR); yellow-white striped cup A (O, UR); glass spice container A (C, UD)</x:v>
      </x:c>
      <x:c r="L105" s="37" t="str">
        <x:v>brown cup B</x:v>
      </x:c>
      <x:c r="M105" s="37" t="str">
        <x:v>Home</x:v>
      </x:c>
      <x:c r="N105" s="37" t="str">
        <x:v>Place a brown cup in the bowl.</x:v>
      </x:c>
      <x:c r="O105" s="37" t="str">
        <x:v>Move the closed brown cup into the bowl.</x:v>
      </x:c>
      <x:c r="P105" s="37" t="str">
        <x:v>Preserves brown cup recognition and the recorded physical manipulation while omitting state language. Only one brown cup appears, so this row cannot train state-based selection.</x:v>
      </x:c>
      <x:c r="Q105" s="38"/>
    </x:row>
    <x:row r="106" ht="60" customHeight="1">
      <x:c r="A106" s="70" t="n">
        <x:v>104</x:v>
      </x:c>
      <x:c r="B106" s="37" t="str">
        <x:v>State Recognition</x:v>
      </x:c>
      <x:c r="C106" s="37" t="str">
        <x:v>Put the open brown cup in the bowl.</x:v>
      </x:c>
      <x:c r="D106" s="37" t="str">
        <x:v>Explicit seen-cell grounding</x:v>
      </x:c>
      <x:c r="E106" s="37" t="str">
        <x:v>open × brown cup; two same-category candidates; non-queried axis controlled</x:v>
      </x:c>
      <x:c r="F106" s="37" t="str">
        <x:v>state_brown_cup_open_explicit</x:v>
      </x:c>
      <x:c r="G106" s="37" t="str">
        <x:v>white-cup×upside-down; striped-cup×open; brown-cup×closed; spice-container×upright</x:v>
      </x:c>
      <x:c r="H106" s="37" t="str">
        <x:v>No</x:v>
      </x:c>
      <x:c r="I106" s="37" t="str">
        <x:v>Replace episode + assign prompt</x:v>
      </x:c>
      <x:c r="J106" s="37" t="str">
        <x:v>Use MT_State_Recognition_New episode 104 (Original 200 / source episode 104) in place of the original VLA benchmark episode.</x:v>
      </x:c>
      <x:c r="K106" s="37" t="str">
        <x:v>brown cup B (O, UR) [target]; brown cup A (C, UR); glass spice container A (O, UR)</x:v>
      </x:c>
      <x:c r="L106" s="37" t="str">
        <x:v>brown cup B</x:v>
      </x:c>
      <x:c r="M106" s="37" t="str">
        <x:v>Recovery</x:v>
      </x:c>
      <x:c r="N106" s="37" t="str">
        <x:v>Put the open brown cup in the bowl.</x:v>
      </x:c>
      <x:c r="O106" s="37" t="str"/>
      <x:c r="P106" s="37" t="str">
        <x:v>Explicitly grounds open with brown cup using two same-category candidates. The non-queried state axis is held constant, so only one candidate satisfies the instruction.</x:v>
      </x:c>
      <x:c r="Q106" s="38"/>
    </x:row>
    <x:row r="107" ht="60" customHeight="1">
      <x:c r="A107" s="70" t="n">
        <x:v>105</x:v>
      </x:c>
      <x:c r="B107" s="37" t="str">
        <x:v>State Recognition</x:v>
      </x:c>
      <x:c r="C107" s="37" t="str">
        <x:v>Move a brown cup into the bowl.</x:v>
      </x:c>
      <x:c r="D107" s="37" t="str">
        <x:v>State-masked physical exposure</x:v>
      </x:c>
      <x:c r="E107" s="37" t="str">
        <x:v>direct category=brown cup; physical state=C, UR; no state word</x:v>
      </x:c>
      <x:c r="F107" s="37" t="str">
        <x:v>state_brown_cup_c_ur_masked</x:v>
      </x:c>
      <x:c r="G107" s="37" t="str">
        <x:v>white-cup×upside-down; striped-cup×open; brown-cup×closed; spice-container×upright</x:v>
      </x:c>
      <x:c r="H107" s="37" t="str">
        <x:v>No</x:v>
      </x:c>
      <x:c r="I107" s="37" t="str">
        <x:v>Replace episode + assign prompt</x:v>
      </x:c>
      <x:c r="J107" s="37" t="str">
        <x:v>Use MT_State_Recognition_New episode 105 (Original 200 / source episode 105) in place of the original VLA benchmark episode.</x:v>
      </x:c>
      <x:c r="K107" s="37" t="str">
        <x:v>brown cup A (C, UR) [target]; yellow-white striped cup B (O, UR); glass spice container A (O, UR); white cup A (O, UR)</x:v>
      </x:c>
      <x:c r="L107" s="37" t="str">
        <x:v>brown cup A</x:v>
      </x:c>
      <x:c r="M107" s="37" t="str">
        <x:v>Recovery</x:v>
      </x:c>
      <x:c r="N107" s="37" t="str">
        <x:v>Move a brown cup into the bowl.</x:v>
      </x:c>
      <x:c r="O107" s="37" t="str">
        <x:v>Move the closed brown cup into the bowl.</x:v>
      </x:c>
      <x:c r="P107" s="37" t="str">
        <x:v>Preserves brown cup recognition and the recorded physical manipulation while omitting state language. Only one brown cup appears, so this row cannot train state-based selection.</x:v>
      </x:c>
      <x:c r="Q107" s="38"/>
    </x:row>
    <x:row r="108" ht="60" customHeight="1">
      <x:c r="A108" s="70" t="n">
        <x:v>106</x:v>
      </x:c>
      <x:c r="B108" s="37" t="str">
        <x:v>State Recognition</x:v>
      </x:c>
      <x:c r="C108" s="37" t="str">
        <x:v>Place the open brown cup in the bowl.</x:v>
      </x:c>
      <x:c r="D108" s="37" t="str">
        <x:v>Explicit seen-cell grounding</x:v>
      </x:c>
      <x:c r="E108" s="37" t="str">
        <x:v>open × brown cup; two same-category candidates; non-queried axis controlled</x:v>
      </x:c>
      <x:c r="F108" s="37" t="str">
        <x:v>state_brown_cup_open_explicit</x:v>
      </x:c>
      <x:c r="G108" s="37" t="str">
        <x:v>white-cup×upside-down; striped-cup×open; brown-cup×closed; spice-container×upright</x:v>
      </x:c>
      <x:c r="H108" s="37" t="str">
        <x:v>No</x:v>
      </x:c>
      <x:c r="I108" s="37" t="str">
        <x:v>Replace episode + assign prompt</x:v>
      </x:c>
      <x:c r="J108" s="37" t="str">
        <x:v>Use MT_State_Recognition_New episode 106 (Original 200 / source episode 106) in place of the original VLA benchmark episode.</x:v>
      </x:c>
      <x:c r="K108" s="37" t="str">
        <x:v>brown cup B (O, UR) [target]; brown cup A (C, UR); yellow-white striped cup A (O, UR)</x:v>
      </x:c>
      <x:c r="L108" s="37" t="str">
        <x:v>brown cup B</x:v>
      </x:c>
      <x:c r="M108" s="37" t="str">
        <x:v>Home</x:v>
      </x:c>
      <x:c r="N108" s="37" t="str">
        <x:v>Place the open brown cup in the bowl.</x:v>
      </x:c>
      <x:c r="O108" s="37" t="str"/>
      <x:c r="P108" s="37" t="str">
        <x:v>Explicitly grounds open with brown cup using two same-category candidates. The non-queried state axis is held constant, so only one candidate satisfies the instruction.</x:v>
      </x:c>
      <x:c r="Q108" s="38"/>
    </x:row>
    <x:row r="109" ht="60" customHeight="1">
      <x:c r="A109" s="70" t="n">
        <x:v>107</x:v>
      </x:c>
      <x:c r="B109" s="37" t="str">
        <x:v>State Recognition</x:v>
      </x:c>
      <x:c r="C109" s="37" t="str">
        <x:v>Put a brown cup in the bowl.</x:v>
      </x:c>
      <x:c r="D109" s="37" t="str">
        <x:v>State-masked physical exposure</x:v>
      </x:c>
      <x:c r="E109" s="37" t="str">
        <x:v>direct category=brown cup; physical state=C, UD; no state word</x:v>
      </x:c>
      <x:c r="F109" s="37" t="str">
        <x:v>state_brown_cup_c_ud_masked</x:v>
      </x:c>
      <x:c r="G109" s="37" t="str">
        <x:v>white-cup×upside-down; striped-cup×open; brown-cup×closed; spice-container×upright</x:v>
      </x:c>
      <x:c r="H109" s="37" t="str">
        <x:v>No</x:v>
      </x:c>
      <x:c r="I109" s="37" t="str">
        <x:v>Replace episode + assign prompt</x:v>
      </x:c>
      <x:c r="J109" s="37" t="str">
        <x:v>Use MT_State_Recognition_New episode 107 (Additional 40 / source episode 24) in place of the original VLA benchmark episode.</x:v>
      </x:c>
      <x:c r="K109" s="37" t="str">
        <x:v>brown cup A (C, UD) [target, P3]; White cup A (C, UR); yellow-white striped cup B (O, UD); glass spice container B (O, UR)</x:v>
      </x:c>
      <x:c r="L109" s="37" t="str">
        <x:v>brown cup A</x:v>
      </x:c>
      <x:c r="M109" s="37" t="str">
        <x:v>Home</x:v>
      </x:c>
      <x:c r="N109" s="37" t="str">
        <x:v>Put a brown cup in the bowl.</x:v>
      </x:c>
      <x:c r="O109" s="37" t="str">
        <x:v>Move the closed brown cup into the bowl.</x:v>
      </x:c>
      <x:c r="P109" s="37" t="str">
        <x:v>Preserves brown cup recognition and the recorded physical manipulation while omitting state language. Only one brown cup appears, so this row cannot train state-based selection.</x:v>
      </x:c>
      <x:c r="Q109" s="38"/>
    </x:row>
    <x:row r="110" ht="60" customHeight="1">
      <x:c r="A110" s="70" t="n">
        <x:v>108</x:v>
      </x:c>
      <x:c r="B110" s="37" t="str">
        <x:v>State Recognition</x:v>
      </x:c>
      <x:c r="C110" s="37" t="str">
        <x:v>Move a brown cup into the bowl.</x:v>
      </x:c>
      <x:c r="D110" s="37" t="str">
        <x:v>State-masked physical exposure</x:v>
      </x:c>
      <x:c r="E110" s="37" t="str">
        <x:v>direct category=brown cup; physical state=O, UR; no state word</x:v>
      </x:c>
      <x:c r="F110" s="37" t="str">
        <x:v>state_brown_cup_o_ur_masked</x:v>
      </x:c>
      <x:c r="G110" s="37" t="str">
        <x:v>white-cup×upside-down; striped-cup×open; brown-cup×closed; spice-container×upright</x:v>
      </x:c>
      <x:c r="H110" s="37" t="str">
        <x:v>No</x:v>
      </x:c>
      <x:c r="I110" s="37" t="str">
        <x:v>Replace episode + assign prompt</x:v>
      </x:c>
      <x:c r="J110" s="37" t="str">
        <x:v>Use MT_State_Recognition_New episode 108 (Original 200 / source episode 108) in place of the original VLA benchmark episode.</x:v>
      </x:c>
      <x:c r="K110" s="37" t="str">
        <x:v>brown cup B (O, UR) [target]; glass spice container A (C, UR); white cup A (C, UR); yellow-white striped cup A (C, UR)</x:v>
      </x:c>
      <x:c r="L110" s="37" t="str">
        <x:v>brown cup B</x:v>
      </x:c>
      <x:c r="M110" s="37" t="str">
        <x:v>Home</x:v>
      </x:c>
      <x:c r="N110" s="37" t="str">
        <x:v>Move a brown cup into the bowl.</x:v>
      </x:c>
      <x:c r="O110" s="37" t="str"/>
      <x:c r="P110" s="37" t="str">
        <x:v>Preserves brown cup recognition and the recorded physical manipulation while omitting state language. Only one brown cup appears, so this row cannot train state-based selection.</x:v>
      </x:c>
      <x:c r="Q110" s="38"/>
    </x:row>
    <x:row r="111" ht="60" customHeight="1">
      <x:c r="A111" s="70" t="n">
        <x:v>109</x:v>
      </x:c>
      <x:c r="B111" s="37" t="str">
        <x:v>State Recognition</x:v>
      </x:c>
      <x:c r="C111" s="37" t="str">
        <x:v>Place a brown cup in the bowl.</x:v>
      </x:c>
      <x:c r="D111" s="37" t="str">
        <x:v>State-masked physical exposure</x:v>
      </x:c>
      <x:c r="E111" s="37" t="str">
        <x:v>direct category=brown cup; physical state=O, UD; no state word</x:v>
      </x:c>
      <x:c r="F111" s="37" t="str">
        <x:v>state_brown_cup_o_ud_masked</x:v>
      </x:c>
      <x:c r="G111" s="37" t="str">
        <x:v>white-cup×upside-down; striped-cup×open; brown-cup×closed; spice-container×upright</x:v>
      </x:c>
      <x:c r="H111" s="37" t="str">
        <x:v>No</x:v>
      </x:c>
      <x:c r="I111" s="37" t="str">
        <x:v>Replace episode + assign prompt</x:v>
      </x:c>
      <x:c r="J111" s="37" t="str">
        <x:v>Use MT_State_Recognition_New episode 109 (Additional 40 / source episode 25) in place of the original VLA benchmark episode.</x:v>
      </x:c>
      <x:c r="K111" s="37" t="str">
        <x:v>brown cup B (O, UD) [target, P4]; White cup B (C, UR); yellow-white striped cup B (O, UR); glass spice container B (C, UD)</x:v>
      </x:c>
      <x:c r="L111" s="37" t="str">
        <x:v>brown cup B</x:v>
      </x:c>
      <x:c r="M111" s="37" t="str">
        <x:v>Home</x:v>
      </x:c>
      <x:c r="N111" s="37" t="str">
        <x:v>Place a brown cup in the bowl.</x:v>
      </x:c>
      <x:c r="O111" s="37" t="str"/>
      <x:c r="P111" s="37" t="str">
        <x:v>Preserves brown cup recognition and the recorded physical manipulation while omitting state language. Only one brown cup appears, so this row cannot train state-based selection.</x:v>
      </x:c>
      <x:c r="Q111" s="38"/>
    </x:row>
    <x:row r="112" ht="60" customHeight="1">
      <x:c r="A112" s="70" t="n">
        <x:v>110</x:v>
      </x:c>
      <x:c r="B112" s="37" t="str">
        <x:v>State Recognition</x:v>
      </x:c>
      <x:c r="C112" s="37" t="str">
        <x:v>Put the open brown cup in the bowl.</x:v>
      </x:c>
      <x:c r="D112" s="37" t="str">
        <x:v>Explicit seen-cell grounding</x:v>
      </x:c>
      <x:c r="E112" s="37" t="str">
        <x:v>open × brown cup; two same-category candidates; non-queried axis controlled</x:v>
      </x:c>
      <x:c r="F112" s="37" t="str">
        <x:v>state_brown_cup_open_explicit</x:v>
      </x:c>
      <x:c r="G112" s="37" t="str">
        <x:v>white-cup×upside-down; striped-cup×open; brown-cup×closed; spice-container×upright</x:v>
      </x:c>
      <x:c r="H112" s="37" t="str">
        <x:v>No</x:v>
      </x:c>
      <x:c r="I112" s="37" t="str">
        <x:v>Replace episode + assign prompt</x:v>
      </x:c>
      <x:c r="J112" s="37" t="str">
        <x:v>Use MT_State_Recognition_New episode 110 (Original 200 / source episode 110) in place of the original VLA benchmark episode.</x:v>
      </x:c>
      <x:c r="K112" s="37" t="str">
        <x:v>brown cup B (O, UR) [target]; brown cup A (C, UR); glass spice container A (C, UR)</x:v>
      </x:c>
      <x:c r="L112" s="37" t="str">
        <x:v>brown cup B</x:v>
      </x:c>
      <x:c r="M112" s="37" t="str">
        <x:v>Home</x:v>
      </x:c>
      <x:c r="N112" s="37" t="str">
        <x:v>Put the open brown cup in the bowl.</x:v>
      </x:c>
      <x:c r="O112" s="37" t="str"/>
      <x:c r="P112" s="37" t="str">
        <x:v>Explicitly grounds open with brown cup using two same-category candidates. The non-queried state axis is held constant, so only one candidate satisfies the instruction.</x:v>
      </x:c>
      <x:c r="Q112" s="38"/>
    </x:row>
    <x:row r="113" ht="60" customHeight="1">
      <x:c r="A113" s="70" t="n">
        <x:v>111</x:v>
      </x:c>
      <x:c r="B113" s="37" t="str">
        <x:v>State Recognition</x:v>
      </x:c>
      <x:c r="C113" s="37" t="str">
        <x:v>Move a brown cup into the bowl.</x:v>
      </x:c>
      <x:c r="D113" s="37" t="str">
        <x:v>State-masked physical exposure</x:v>
      </x:c>
      <x:c r="E113" s="37" t="str">
        <x:v>direct category=brown cup; physical state=O, UD; no state word</x:v>
      </x:c>
      <x:c r="F113" s="37" t="str">
        <x:v>state_brown_cup_o_ud_masked</x:v>
      </x:c>
      <x:c r="G113" s="37" t="str">
        <x:v>white-cup×upside-down; striped-cup×open; brown-cup×closed; spice-container×upright</x:v>
      </x:c>
      <x:c r="H113" s="37" t="str">
        <x:v>No</x:v>
      </x:c>
      <x:c r="I113" s="37" t="str">
        <x:v>Replace episode + assign prompt</x:v>
      </x:c>
      <x:c r="J113" s="37" t="str">
        <x:v>Use MT_State_Recognition_New episode 111 (Additional 40 / source episode 28) in place of the original VLA benchmark episode.</x:v>
      </x:c>
      <x:c r="K113" s="37" t="str">
        <x:v>brown cup B (O, UD) [target, P3]; White cup A (C, UD); yellow-white striped cup A (C, UR); glass spice container B (O, UR)</x:v>
      </x:c>
      <x:c r="L113" s="37" t="str">
        <x:v>brown cup B</x:v>
      </x:c>
      <x:c r="M113" s="37" t="str">
        <x:v>Home</x:v>
      </x:c>
      <x:c r="N113" s="37" t="str">
        <x:v>Move a brown cup into the bowl.</x:v>
      </x:c>
      <x:c r="O113" s="37" t="str"/>
      <x:c r="P113" s="37" t="str">
        <x:v>Preserves brown cup recognition and the recorded physical manipulation while omitting state language. Only one brown cup appears, so this row cannot train state-based selection.</x:v>
      </x:c>
      <x:c r="Q113" s="38"/>
    </x:row>
    <x:row r="114" ht="60" customHeight="1">
      <x:c r="A114" s="70" t="n">
        <x:v>112</x:v>
      </x:c>
      <x:c r="B114" s="37" t="str">
        <x:v>State Recognition</x:v>
      </x:c>
      <x:c r="C114" s="37" t="str">
        <x:v>Place the open brown cup in the bowl.</x:v>
      </x:c>
      <x:c r="D114" s="37" t="str">
        <x:v>Explicit seen-cell grounding</x:v>
      </x:c>
      <x:c r="E114" s="37" t="str">
        <x:v>open × brown cup; two same-category candidates; non-queried axis controlled</x:v>
      </x:c>
      <x:c r="F114" s="37" t="str">
        <x:v>state_brown_cup_open_explicit</x:v>
      </x:c>
      <x:c r="G114" s="37" t="str">
        <x:v>white-cup×upside-down; striped-cup×open; brown-cup×closed; spice-container×upright</x:v>
      </x:c>
      <x:c r="H114" s="37" t="str">
        <x:v>No</x:v>
      </x:c>
      <x:c r="I114" s="37" t="str">
        <x:v>Replace episode + assign prompt</x:v>
      </x:c>
      <x:c r="J114" s="37" t="str">
        <x:v>Use MT_State_Recognition_New episode 112 (Original 200 / source episode 112) in place of the original VLA benchmark episode.</x:v>
      </x:c>
      <x:c r="K114" s="37" t="str">
        <x:v>brown cup B (O, UR) [target]; brown cup A (C, UR); yellow-white striped cup A (O, UR)</x:v>
      </x:c>
      <x:c r="L114" s="37" t="str">
        <x:v>brown cup B</x:v>
      </x:c>
      <x:c r="M114" s="37" t="str">
        <x:v>Home</x:v>
      </x:c>
      <x:c r="N114" s="37" t="str">
        <x:v>Place the open brown cup in the bowl.</x:v>
      </x:c>
      <x:c r="O114" s="37" t="str"/>
      <x:c r="P114" s="37" t="str">
        <x:v>Explicitly grounds open with brown cup using two same-category candidates. The non-queried state axis is held constant, so only one candidate satisfies the instruction.</x:v>
      </x:c>
      <x:c r="Q114" s="38"/>
    </x:row>
    <x:row r="115" ht="60" customHeight="1">
      <x:c r="A115" s="70" t="n">
        <x:v>113</x:v>
      </x:c>
      <x:c r="B115" s="37" t="str">
        <x:v>State Recognition</x:v>
      </x:c>
      <x:c r="C115" s="37" t="str">
        <x:v>Put a brown cup in the bowl.</x:v>
      </x:c>
      <x:c r="D115" s="37" t="str">
        <x:v>State-masked physical exposure</x:v>
      </x:c>
      <x:c r="E115" s="37" t="str">
        <x:v>direct category=brown cup; physical state=O, UR; no state word</x:v>
      </x:c>
      <x:c r="F115" s="37" t="str">
        <x:v>state_brown_cup_o_ur_masked</x:v>
      </x:c>
      <x:c r="G115" s="37" t="str">
        <x:v>white-cup×upside-down; striped-cup×open; brown-cup×closed; spice-container×upright</x:v>
      </x:c>
      <x:c r="H115" s="37" t="str">
        <x:v>No</x:v>
      </x:c>
      <x:c r="I115" s="37" t="str">
        <x:v>Replace episode + assign prompt</x:v>
      </x:c>
      <x:c r="J115" s="37" t="str">
        <x:v>Use MT_State_Recognition_New episode 113 (Replacement 61 / source episode 32) in place of the original VLA benchmark episode.</x:v>
      </x:c>
      <x:c r="K115" s="37" t="str">
        <x:v>brown cup A (O, UR) [target, P1]; white cup A (C, UD) — P4; yellow-white striped cup B (O, UD) — P2; glass spice container B (O, UR) — P3</x:v>
      </x:c>
      <x:c r="L115" s="37" t="str">
        <x:v>brown cup A</x:v>
      </x:c>
      <x:c r="M115" s="37" t="str">
        <x:v>Home</x:v>
      </x:c>
      <x:c r="N115" s="37" t="str">
        <x:v>Put a brown cup in the bowl.</x:v>
      </x:c>
      <x:c r="O115" s="37" t="str"/>
      <x:c r="P115" s="37" t="str">
        <x:v>Preserves brown cup recognition and the recorded physical manipulation while omitting state language. Only one brown cup appears, so this row cannot train state-based selection.</x:v>
      </x:c>
      <x:c r="Q115" s="38"/>
    </x:row>
    <x:row r="116" ht="60" customHeight="1">
      <x:c r="A116" s="70" t="n">
        <x:v>114</x:v>
      </x:c>
      <x:c r="B116" s="37" t="str">
        <x:v>State Recognition</x:v>
      </x:c>
      <x:c r="C116" s="37" t="str">
        <x:v>Move the open brown cup into the bowl.</x:v>
      </x:c>
      <x:c r="D116" s="37" t="str">
        <x:v>Explicit seen-cell grounding</x:v>
      </x:c>
      <x:c r="E116" s="37" t="str">
        <x:v>open × brown cup; two same-category candidates; non-queried axis controlled</x:v>
      </x:c>
      <x:c r="F116" s="37" t="str">
        <x:v>state_brown_cup_open_explicit</x:v>
      </x:c>
      <x:c r="G116" s="37" t="str">
        <x:v>white-cup×upside-down; striped-cup×open; brown-cup×closed; spice-container×upright</x:v>
      </x:c>
      <x:c r="H116" s="37" t="str">
        <x:v>No</x:v>
      </x:c>
      <x:c r="I116" s="37" t="str">
        <x:v>Replace episode + assign prompt</x:v>
      </x:c>
      <x:c r="J116" s="37" t="str">
        <x:v>Use MT_State_Recognition_New episode 114 (Original 200 / source episode 114) in place of the original VLA benchmark episode.</x:v>
      </x:c>
      <x:c r="K116" s="37" t="str">
        <x:v>brown cup A (O, UR) [target]; brown cup B (C, UR); white cup A (O, UR)</x:v>
      </x:c>
      <x:c r="L116" s="37" t="str">
        <x:v>brown cup A</x:v>
      </x:c>
      <x:c r="M116" s="37" t="str">
        <x:v>Home</x:v>
      </x:c>
      <x:c r="N116" s="37" t="str">
        <x:v>Move the open brown cup into the bowl.</x:v>
      </x:c>
      <x:c r="O116" s="37" t="str"/>
      <x:c r="P116" s="37" t="str">
        <x:v>Explicitly grounds open with brown cup using two same-category candidates. The non-queried state axis is held constant, so only one candidate satisfies the instruction.</x:v>
      </x:c>
      <x:c r="Q116" s="38"/>
    </x:row>
    <x:row r="117" ht="60" customHeight="1">
      <x:c r="A117" s="70" t="n">
        <x:v>115</x:v>
      </x:c>
      <x:c r="B117" s="37" t="str">
        <x:v>State Recognition</x:v>
      </x:c>
      <x:c r="C117" s="37" t="str">
        <x:v>Place a brown cup in the bowl.</x:v>
      </x:c>
      <x:c r="D117" s="37" t="str">
        <x:v>State-masked physical exposure</x:v>
      </x:c>
      <x:c r="E117" s="37" t="str">
        <x:v>direct category=brown cup; physical state=O, UR; no state word</x:v>
      </x:c>
      <x:c r="F117" s="37" t="str">
        <x:v>state_brown_cup_o_ur_masked</x:v>
      </x:c>
      <x:c r="G117" s="37" t="str">
        <x:v>white-cup×upside-down; striped-cup×open; brown-cup×closed; spice-container×upright</x:v>
      </x:c>
      <x:c r="H117" s="37" t="str">
        <x:v>No</x:v>
      </x:c>
      <x:c r="I117" s="37" t="str">
        <x:v>Replace episode + assign prompt</x:v>
      </x:c>
      <x:c r="J117" s="37" t="str">
        <x:v>Use MT_State_Recognition_New episode 115 (Original 200 / source episode 115) in place of the original VLA benchmark episode.</x:v>
      </x:c>
      <x:c r="K117" s="37" t="str">
        <x:v>brown cup B (O, UR) [target]; white cup A (C, UR); yellow-white striped cup A (C, UR); glass spice container B (C, UR)</x:v>
      </x:c>
      <x:c r="L117" s="37" t="str">
        <x:v>brown cup B</x:v>
      </x:c>
      <x:c r="M117" s="37" t="str">
        <x:v>Home</x:v>
      </x:c>
      <x:c r="N117" s="37" t="str">
        <x:v>Place a brown cup in the bowl.</x:v>
      </x:c>
      <x:c r="O117" s="37" t="str"/>
      <x:c r="P117" s="37" t="str">
        <x:v>Preserves brown cup recognition and the recorded physical manipulation while omitting state language. Only one brown cup appears, so this row cannot train state-based selection.</x:v>
      </x:c>
      <x:c r="Q117" s="38"/>
    </x:row>
    <x:row r="118" ht="60" customHeight="1">
      <x:c r="A118" s="70" t="n">
        <x:v>116</x:v>
      </x:c>
      <x:c r="B118" s="37" t="str">
        <x:v>State Recognition</x:v>
      </x:c>
      <x:c r="C118" s="37" t="str">
        <x:v>Put a brown cup in the bowl.</x:v>
      </x:c>
      <x:c r="D118" s="37" t="str">
        <x:v>State-masked physical exposure</x:v>
      </x:c>
      <x:c r="E118" s="37" t="str">
        <x:v>direct category=brown cup; physical state=O, UD; no state word</x:v>
      </x:c>
      <x:c r="F118" s="37" t="str">
        <x:v>state_brown_cup_o_ud_masked</x:v>
      </x:c>
      <x:c r="G118" s="37" t="str">
        <x:v>white-cup×upside-down; striped-cup×open; brown-cup×closed; spice-container×upright</x:v>
      </x:c>
      <x:c r="H118" s="37" t="str">
        <x:v>No</x:v>
      </x:c>
      <x:c r="I118" s="37" t="str">
        <x:v>Replace episode + assign prompt</x:v>
      </x:c>
      <x:c r="J118" s="37" t="str">
        <x:v>Use MT_State_Recognition_New episode 116 (Replacement 61 / source episode 34) in place of the original VLA benchmark episode.</x:v>
      </x:c>
      <x:c r="K118" s="37" t="str">
        <x:v>brown cup A (O, UD) [target, P3]; white cup A (C, UR) — P2; yellow-white striped cup B (O, UR) — P4; glass spice container B (O, UD) — P1</x:v>
      </x:c>
      <x:c r="L118" s="37" t="str">
        <x:v>brown cup A</x:v>
      </x:c>
      <x:c r="M118" s="37" t="str">
        <x:v>Home</x:v>
      </x:c>
      <x:c r="N118" s="37" t="str">
        <x:v>Put a brown cup in the bowl.</x:v>
      </x:c>
      <x:c r="O118" s="37" t="str"/>
      <x:c r="P118" s="37" t="str">
        <x:v>Preserves brown cup recognition and the recorded physical manipulation while omitting state language. Only one brown cup appears, so this row cannot train state-based selection.</x:v>
      </x:c>
      <x:c r="Q118" s="38"/>
    </x:row>
    <x:row r="119" ht="60" customHeight="1">
      <x:c r="A119" s="70" t="n">
        <x:v>117</x:v>
      </x:c>
      <x:c r="B119" s="37" t="str">
        <x:v>State Recognition</x:v>
      </x:c>
      <x:c r="C119" s="37" t="str">
        <x:v>Move a brown cup into the bowl.</x:v>
      </x:c>
      <x:c r="D119" s="37" t="str">
        <x:v>State-masked physical exposure</x:v>
      </x:c>
      <x:c r="E119" s="37" t="str">
        <x:v>direct category=brown cup; physical state=O, UR; no state word</x:v>
      </x:c>
      <x:c r="F119" s="37" t="str">
        <x:v>state_brown_cup_o_ur_masked</x:v>
      </x:c>
      <x:c r="G119" s="37" t="str">
        <x:v>white-cup×upside-down; striped-cup×open; brown-cup×closed; spice-container×upright</x:v>
      </x:c>
      <x:c r="H119" s="37" t="str">
        <x:v>No</x:v>
      </x:c>
      <x:c r="I119" s="37" t="str">
        <x:v>Replace episode + assign prompt</x:v>
      </x:c>
      <x:c r="J119" s="37" t="str">
        <x:v>Use MT_State_Recognition_New episode 117 (Original 200 / source episode 117) in place of the original VLA benchmark episode.</x:v>
      </x:c>
      <x:c r="K119" s="37" t="str">
        <x:v>brown cup B (O, UR) [target]; yellow-white striped cup A (C, UR); glass spice container B (C, UR)</x:v>
      </x:c>
      <x:c r="L119" s="37" t="str">
        <x:v>brown cup B</x:v>
      </x:c>
      <x:c r="M119" s="37" t="str">
        <x:v>Recovery</x:v>
      </x:c>
      <x:c r="N119" s="37" t="str">
        <x:v>Move a brown cup into the bowl.</x:v>
      </x:c>
      <x:c r="O119" s="37" t="str"/>
      <x:c r="P119" s="37" t="str">
        <x:v>Preserves brown cup recognition and the recorded physical manipulation while omitting state language. Only one brown cup appears, so this row cannot train state-based selection.</x:v>
      </x:c>
      <x:c r="Q119" s="38"/>
    </x:row>
    <x:row r="120" ht="60" customHeight="1">
      <x:c r="A120" s="70" t="n">
        <x:v>118</x:v>
      </x:c>
      <x:c r="B120" s="37" t="str">
        <x:v>State Recognition</x:v>
      </x:c>
      <x:c r="C120" s="37" t="str">
        <x:v>Place the open brown cup in the bowl.</x:v>
      </x:c>
      <x:c r="D120" s="37" t="str">
        <x:v>Explicit seen-cell grounding</x:v>
      </x:c>
      <x:c r="E120" s="37" t="str">
        <x:v>open × brown cup; two same-category candidates; non-queried axis controlled</x:v>
      </x:c>
      <x:c r="F120" s="37" t="str">
        <x:v>state_brown_cup_open_explicit</x:v>
      </x:c>
      <x:c r="G120" s="37" t="str">
        <x:v>white-cup×upside-down; striped-cup×open; brown-cup×closed; spice-container×upright</x:v>
      </x:c>
      <x:c r="H120" s="37" t="str">
        <x:v>No</x:v>
      </x:c>
      <x:c r="I120" s="37" t="str">
        <x:v>Replace episode + assign prompt</x:v>
      </x:c>
      <x:c r="J120" s="37" t="str">
        <x:v>Use MT_State_Recognition_New episode 118 (Original 200 / source episode 118) in place of the original VLA benchmark episode.</x:v>
      </x:c>
      <x:c r="K120" s="37" t="str">
        <x:v>brown cup A (O, UR) [target]; brown cup B (C, UR); yellow-white striped cup A (C, UR); glass spice container B (C, UR)</x:v>
      </x:c>
      <x:c r="L120" s="37" t="str">
        <x:v>brown cup A</x:v>
      </x:c>
      <x:c r="M120" s="37" t="str">
        <x:v>Home</x:v>
      </x:c>
      <x:c r="N120" s="37" t="str">
        <x:v>Place the open brown cup in the bowl.</x:v>
      </x:c>
      <x:c r="O120" s="37" t="str"/>
      <x:c r="P120" s="37" t="str">
        <x:v>Explicitly grounds open with brown cup using two same-category candidates. The non-queried state axis is held constant, so only one candidate satisfies the instruction.</x:v>
      </x:c>
      <x:c r="Q120" s="38"/>
    </x:row>
    <x:row r="121" ht="60" customHeight="1">
      <x:c r="A121" s="70" t="n">
        <x:v>119</x:v>
      </x:c>
      <x:c r="B121" s="37" t="str">
        <x:v>State Recognition</x:v>
      </x:c>
      <x:c r="C121" s="37" t="str">
        <x:v>Put a brown cup in the bowl.</x:v>
      </x:c>
      <x:c r="D121" s="37" t="str">
        <x:v>State-masked physical exposure</x:v>
      </x:c>
      <x:c r="E121" s="37" t="str">
        <x:v>direct category=brown cup; physical state=O, UD; no state word</x:v>
      </x:c>
      <x:c r="F121" s="37" t="str">
        <x:v>state_brown_cup_o_ud_masked</x:v>
      </x:c>
      <x:c r="G121" s="37" t="str">
        <x:v>white-cup×upside-down; striped-cup×open; brown-cup×closed; spice-container×upright</x:v>
      </x:c>
      <x:c r="H121" s="37" t="str">
        <x:v>No</x:v>
      </x:c>
      <x:c r="I121" s="37" t="str">
        <x:v>Replace episode + assign prompt</x:v>
      </x:c>
      <x:c r="J121" s="37" t="str">
        <x:v>Use MT_State_Recognition_New episode 119 (Additional 40 / source episode 29) in place of the original VLA benchmark episode.</x:v>
      </x:c>
      <x:c r="K121" s="37" t="str">
        <x:v>brown cup A (O, UD) [target, P4]; White cup B (O, UR); yellow-white striped cup A (O, UD); glass spice container A (C, UR)</x:v>
      </x:c>
      <x:c r="L121" s="37" t="str">
        <x:v>brown cup A</x:v>
      </x:c>
      <x:c r="M121" s="37" t="str">
        <x:v>Recovery</x:v>
      </x:c>
      <x:c r="N121" s="37" t="str">
        <x:v>Put a brown cup in the bowl.</x:v>
      </x:c>
      <x:c r="O121" s="37" t="str"/>
      <x:c r="P121" s="37" t="str">
        <x:v>Preserves brown cup recognition and the recorded physical manipulation while omitting state language. Only one brown cup appears, so this row cannot train state-based selection.</x:v>
      </x:c>
      <x:c r="Q121" s="38"/>
    </x:row>
    <x:row r="122" ht="60" customHeight="1">
      <x:c r="A122" s="70" t="n">
        <x:v>120</x:v>
      </x:c>
      <x:c r="B122" s="37" t="str">
        <x:v>State Recognition</x:v>
      </x:c>
      <x:c r="C122" s="37" t="str">
        <x:v>Move the open brown cup into the bowl.</x:v>
      </x:c>
      <x:c r="D122" s="37" t="str">
        <x:v>Explicit seen-cell grounding</x:v>
      </x:c>
      <x:c r="E122" s="37" t="str">
        <x:v>open × brown cup; two same-category candidates; non-queried axis controlled</x:v>
      </x:c>
      <x:c r="F122" s="37" t="str">
        <x:v>state_brown_cup_open_explicit</x:v>
      </x:c>
      <x:c r="G122" s="37" t="str">
        <x:v>white-cup×upside-down; striped-cup×open; brown-cup×closed; spice-container×upright</x:v>
      </x:c>
      <x:c r="H122" s="37" t="str">
        <x:v>No</x:v>
      </x:c>
      <x:c r="I122" s="37" t="str">
        <x:v>Replace episode + assign prompt</x:v>
      </x:c>
      <x:c r="J122" s="37" t="str">
        <x:v>Use MT_State_Recognition_New episode 120 (Original 200 / source episode 120) in place of the original VLA benchmark episode.</x:v>
      </x:c>
      <x:c r="K122" s="37" t="str">
        <x:v>brown cup A (O, UR) [target]; brown cup B (C, UR); white cup A (C, UR); yellow-white striped cup B (C, UR)</x:v>
      </x:c>
      <x:c r="L122" s="37" t="str">
        <x:v>brown cup A</x:v>
      </x:c>
      <x:c r="M122" s="37" t="str">
        <x:v>Home</x:v>
      </x:c>
      <x:c r="N122" s="37" t="str">
        <x:v>Move the open brown cup into the bowl.</x:v>
      </x:c>
      <x:c r="O122" s="37" t="str"/>
      <x:c r="P122" s="37" t="str">
        <x:v>Explicitly grounds open with brown cup using two same-category candidates. The non-queried state axis is held constant, so only one candidate satisfies the instruction.</x:v>
      </x:c>
      <x:c r="Q122" s="38"/>
    </x:row>
    <x:row r="123" ht="60" customHeight="1">
      <x:c r="A123" s="70" t="n">
        <x:v>121</x:v>
      </x:c>
      <x:c r="B123" s="37" t="str">
        <x:v>State Recognition</x:v>
      </x:c>
      <x:c r="C123" s="37" t="str">
        <x:v>Place the open brown cup in the bowl.</x:v>
      </x:c>
      <x:c r="D123" s="37" t="str">
        <x:v>Explicit seen-cell grounding</x:v>
      </x:c>
      <x:c r="E123" s="37" t="str">
        <x:v>open × brown cup; two same-category candidates; non-queried axis controlled</x:v>
      </x:c>
      <x:c r="F123" s="37" t="str">
        <x:v>state_brown_cup_open_explicit</x:v>
      </x:c>
      <x:c r="G123" s="37" t="str">
        <x:v>white-cup×upside-down; striped-cup×open; brown-cup×closed; spice-container×upright</x:v>
      </x:c>
      <x:c r="H123" s="37" t="str">
        <x:v>No</x:v>
      </x:c>
      <x:c r="I123" s="37" t="str">
        <x:v>Replace episode + assign prompt</x:v>
      </x:c>
      <x:c r="J123" s="37" t="str">
        <x:v>Use MT_State_Recognition_New episode 121 (Original 200 / source episode 121) in place of the original VLA benchmark episode.</x:v>
      </x:c>
      <x:c r="K123" s="37" t="str">
        <x:v>brown cup B (O, UR) [target]; brown cup A (C, UR); yellow-white striped cup B (O, UR)</x:v>
      </x:c>
      <x:c r="L123" s="37" t="str">
        <x:v>brown cup B</x:v>
      </x:c>
      <x:c r="M123" s="37" t="str">
        <x:v>Home</x:v>
      </x:c>
      <x:c r="N123" s="37" t="str">
        <x:v>Place the open brown cup in the bowl.</x:v>
      </x:c>
      <x:c r="O123" s="37" t="str"/>
      <x:c r="P123" s="37" t="str">
        <x:v>Explicitly grounds open with brown cup using two same-category candidates. The non-queried state axis is held constant, so only one candidate satisfies the instruction.</x:v>
      </x:c>
      <x:c r="Q123" s="38"/>
    </x:row>
    <x:row r="124" ht="60" customHeight="1">
      <x:c r="A124" s="70" t="n">
        <x:v>122</x:v>
      </x:c>
      <x:c r="B124" s="37" t="str">
        <x:v>State Recognition</x:v>
      </x:c>
      <x:c r="C124" s="37" t="str">
        <x:v>Put a brown cup in the bowl.</x:v>
      </x:c>
      <x:c r="D124" s="37" t="str">
        <x:v>State-masked physical exposure</x:v>
      </x:c>
      <x:c r="E124" s="37" t="str">
        <x:v>direct category=brown cup; physical state=C, UR; no state word</x:v>
      </x:c>
      <x:c r="F124" s="37" t="str">
        <x:v>state_brown_cup_c_ur_masked</x:v>
      </x:c>
      <x:c r="G124" s="37" t="str">
        <x:v>white-cup×upside-down; striped-cup×open; brown-cup×closed; spice-container×upright</x:v>
      </x:c>
      <x:c r="H124" s="37" t="str">
        <x:v>No</x:v>
      </x:c>
      <x:c r="I124" s="37" t="str">
        <x:v>Replace episode + assign prompt</x:v>
      </x:c>
      <x:c r="J124" s="37" t="str">
        <x:v>Use MT_State_Recognition_New episode 122 (Original 200 / source episode 122) in place of the original VLA benchmark episode.</x:v>
      </x:c>
      <x:c r="K124" s="37" t="str">
        <x:v>brown cup B (C, UR) [target]; glass spice container B (O, UR); white cup B (O, UR); yellow-white striped cup B (O, UR)</x:v>
      </x:c>
      <x:c r="L124" s="37" t="str">
        <x:v>brown cup B</x:v>
      </x:c>
      <x:c r="M124" s="37" t="str">
        <x:v>Home</x:v>
      </x:c>
      <x:c r="N124" s="37" t="str">
        <x:v>Put a brown cup in the bowl.</x:v>
      </x:c>
      <x:c r="O124" s="37" t="str">
        <x:v>Move the closed brown cup into the bowl.</x:v>
      </x:c>
      <x:c r="P124" s="37" t="str">
        <x:v>Preserves brown cup recognition and the recorded physical manipulation while omitting state language. Only one brown cup appears, so this row cannot train state-based selection.</x:v>
      </x:c>
      <x:c r="Q124" s="38"/>
    </x:row>
    <x:row r="125" ht="60" customHeight="1">
      <x:c r="A125" s="70" t="n">
        <x:v>123</x:v>
      </x:c>
      <x:c r="B125" s="37" t="str">
        <x:v>State Recognition</x:v>
      </x:c>
      <x:c r="C125" s="37" t="str">
        <x:v>Move a brown cup into the bowl.</x:v>
      </x:c>
      <x:c r="D125" s="37" t="str">
        <x:v>State-masked physical exposure</x:v>
      </x:c>
      <x:c r="E125" s="37" t="str">
        <x:v>direct category=brown cup; physical state=C, UR; no state word</x:v>
      </x:c>
      <x:c r="F125" s="37" t="str">
        <x:v>state_brown_cup_c_ur_masked</x:v>
      </x:c>
      <x:c r="G125" s="37" t="str">
        <x:v>white-cup×upside-down; striped-cup×open; brown-cup×closed; spice-container×upright</x:v>
      </x:c>
      <x:c r="H125" s="37" t="str">
        <x:v>No</x:v>
      </x:c>
      <x:c r="I125" s="37" t="str">
        <x:v>Replace episode + assign prompt</x:v>
      </x:c>
      <x:c r="J125" s="37" t="str">
        <x:v>Use MT_State_Recognition_New episode 123 (Replacement 61 / source episode 35) in place of the original VLA benchmark episode.</x:v>
      </x:c>
      <x:c r="K125" s="37" t="str">
        <x:v>brown cup B (C, UR) [target, P4]; white cup B (O, UD) — P3; yellow-white striped cup A (C, UR) — P1; glass spice container A (C, UD) — P2</x:v>
      </x:c>
      <x:c r="L125" s="37" t="str">
        <x:v>brown cup B</x:v>
      </x:c>
      <x:c r="M125" s="37" t="str">
        <x:v>Home</x:v>
      </x:c>
      <x:c r="N125" s="37" t="str">
        <x:v>Move a brown cup into the bowl.</x:v>
      </x:c>
      <x:c r="O125" s="37" t="str">
        <x:v>Move the closed brown cup into the bowl.</x:v>
      </x:c>
      <x:c r="P125" s="37" t="str">
        <x:v>Preserves brown cup recognition and the recorded physical manipulation while omitting state language. Only one brown cup appears, so this row cannot train state-based selection.</x:v>
      </x:c>
      <x:c r="Q125" s="38"/>
    </x:row>
    <x:row r="126" ht="60" customHeight="1">
      <x:c r="A126" s="70" t="n">
        <x:v>124</x:v>
      </x:c>
      <x:c r="B126" s="37" t="str">
        <x:v>State Recognition</x:v>
      </x:c>
      <x:c r="C126" s="37" t="str">
        <x:v>Place the open brown cup in the bowl.</x:v>
      </x:c>
      <x:c r="D126" s="37" t="str">
        <x:v>Explicit seen-cell grounding</x:v>
      </x:c>
      <x:c r="E126" s="37" t="str">
        <x:v>open × brown cup; two same-category candidates; non-queried axis controlled</x:v>
      </x:c>
      <x:c r="F126" s="37" t="str">
        <x:v>state_brown_cup_open_explicit</x:v>
      </x:c>
      <x:c r="G126" s="37" t="str">
        <x:v>white-cup×upside-down; striped-cup×open; brown-cup×closed; spice-container×upright</x:v>
      </x:c>
      <x:c r="H126" s="37" t="str">
        <x:v>No</x:v>
      </x:c>
      <x:c r="I126" s="37" t="str">
        <x:v>Replace episode + assign prompt</x:v>
      </x:c>
      <x:c r="J126" s="37" t="str">
        <x:v>Use MT_State_Recognition_New episode 124 (Original 200 / source episode 124) in place of the original VLA benchmark episode.</x:v>
      </x:c>
      <x:c r="K126" s="37" t="str">
        <x:v>brown cup B (O, UR) [target]; brown cup A (C, UR); yellow-white striped cup A (C, UR); glass spice container B (C, UR)</x:v>
      </x:c>
      <x:c r="L126" s="37" t="str">
        <x:v>brown cup B</x:v>
      </x:c>
      <x:c r="M126" s="37" t="str">
        <x:v>Home</x:v>
      </x:c>
      <x:c r="N126" s="37" t="str">
        <x:v>Place the open brown cup in the bowl.</x:v>
      </x:c>
      <x:c r="O126" s="37" t="str"/>
      <x:c r="P126" s="37" t="str">
        <x:v>Explicitly grounds open with brown cup using two same-category candidates. The non-queried state axis is held constant, so only one candidate satisfies the instruction.</x:v>
      </x:c>
      <x:c r="Q126" s="38"/>
    </x:row>
    <x:row r="127" ht="60" customHeight="1">
      <x:c r="A127" s="70" t="n">
        <x:v>125</x:v>
      </x:c>
      <x:c r="B127" s="37" t="str">
        <x:v>State Recognition</x:v>
      </x:c>
      <x:c r="C127" s="37" t="str">
        <x:v>Put the upside-down brown cup in the bowl.</x:v>
      </x:c>
      <x:c r="D127" s="37" t="str">
        <x:v>Explicit seen-cell grounding</x:v>
      </x:c>
      <x:c r="E127" s="37" t="str">
        <x:v>upside-down × brown cup; two same-category candidates; non-queried axis controlled</x:v>
      </x:c>
      <x:c r="F127" s="37" t="str">
        <x:v>state_brown_cup_upside_down_explicit</x:v>
      </x:c>
      <x:c r="G127" s="37" t="str">
        <x:v>white-cup×upside-down; striped-cup×open; brown-cup×closed; spice-container×upright</x:v>
      </x:c>
      <x:c r="H127" s="37" t="str">
        <x:v>No</x:v>
      </x:c>
      <x:c r="I127" s="37" t="str">
        <x:v>Replace episode + assign prompt</x:v>
      </x:c>
      <x:c r="J127" s="37" t="str">
        <x:v>Use MT_State_Recognition_New episode 125 (New Recollection 20 / source episode 14) in place of the original VLA benchmark episode.</x:v>
      </x:c>
      <x:c r="K127" s="37" t="str">
        <x:v>brown cup A (O, UD) [target, P3]; brown cup B (O, UR) [same-category counterfactual, P1]</x:v>
      </x:c>
      <x:c r="L127" s="37" t="str">
        <x:v>brown cup A</x:v>
      </x:c>
      <x:c r="M127" s="37" t="str">
        <x:v>Home</x:v>
      </x:c>
      <x:c r="N127" s="37" t="str">
        <x:v>Put the upside-down brown cup in the bowl.</x:v>
      </x:c>
      <x:c r="O127" s="37" t="str"/>
      <x:c r="P127" s="37" t="str">
        <x:v>Explicitly grounds upside-down with brown cup using two same-category candidates. The non-queried state axis is held constant, so only one candidate satisfies the instruction.</x:v>
      </x:c>
      <x:c r="Q127" s="38"/>
    </x:row>
    <x:row r="128" ht="60" customHeight="1">
      <x:c r="A128" s="70" t="n">
        <x:v>126</x:v>
      </x:c>
      <x:c r="B128" s="37" t="str">
        <x:v>State Recognition</x:v>
      </x:c>
      <x:c r="C128" s="37" t="str">
        <x:v>Move a brown cup into the bowl.</x:v>
      </x:c>
      <x:c r="D128" s="37" t="str">
        <x:v>State-masked physical exposure</x:v>
      </x:c>
      <x:c r="E128" s="37" t="str">
        <x:v>direct category=brown cup; physical state=O, UD; no state word</x:v>
      </x:c>
      <x:c r="F128" s="37" t="str">
        <x:v>state_brown_cup_o_ud_masked</x:v>
      </x:c>
      <x:c r="G128" s="37" t="str">
        <x:v>white-cup×upside-down; striped-cup×open; brown-cup×closed; spice-container×upright</x:v>
      </x:c>
      <x:c r="H128" s="37" t="str">
        <x:v>No</x:v>
      </x:c>
      <x:c r="I128" s="37" t="str">
        <x:v>Replace episode + assign prompt</x:v>
      </x:c>
      <x:c r="J128" s="37" t="str">
        <x:v>Use MT_State_Recognition_New episode 126 (Original 200 / source episode 126) in place of the original VLA benchmark episode.</x:v>
      </x:c>
      <x:c r="K128" s="37" t="str">
        <x:v>brown cup B (O, UD) [target]; yellow-white striped cup A (C, UR); glass spice container B (O, UR)</x:v>
      </x:c>
      <x:c r="L128" s="37" t="str">
        <x:v>brown cup B</x:v>
      </x:c>
      <x:c r="M128" s="37" t="str">
        <x:v>Home</x:v>
      </x:c>
      <x:c r="N128" s="37" t="str">
        <x:v>Move a brown cup into the bowl.</x:v>
      </x:c>
      <x:c r="O128" s="37" t="str"/>
      <x:c r="P128" s="37" t="str">
        <x:v>Preserves brown cup recognition and the recorded physical manipulation while omitting state language. Only one brown cup appears, so this row cannot train state-based selection.</x:v>
      </x:c>
      <x:c r="Q128" s="38"/>
    </x:row>
    <x:row r="129" ht="60" customHeight="1">
      <x:c r="A129" s="70" t="n">
        <x:v>127</x:v>
      </x:c>
      <x:c r="B129" s="37" t="str">
        <x:v>State Recognition</x:v>
      </x:c>
      <x:c r="C129" s="37" t="str">
        <x:v>Place the upside-down brown cup in the bowl.</x:v>
      </x:c>
      <x:c r="D129" s="37" t="str">
        <x:v>Explicit seen-cell grounding</x:v>
      </x:c>
      <x:c r="E129" s="37" t="str">
        <x:v>upside-down × brown cup; two same-category candidates; non-queried axis controlled</x:v>
      </x:c>
      <x:c r="F129" s="37" t="str">
        <x:v>state_brown_cup_upside_down_explicit</x:v>
      </x:c>
      <x:c r="G129" s="37" t="str">
        <x:v>white-cup×upside-down; striped-cup×open; brown-cup×closed; spice-container×upright</x:v>
      </x:c>
      <x:c r="H129" s="37" t="str">
        <x:v>No</x:v>
      </x:c>
      <x:c r="I129" s="37" t="str">
        <x:v>Replace episode + assign prompt</x:v>
      </x:c>
      <x:c r="J129" s="37" t="str">
        <x:v>Use MT_State_Recognition_New episode 127 (Original 200 / source episode 127) in place of the original VLA benchmark episode.</x:v>
      </x:c>
      <x:c r="K129" s="37" t="str">
        <x:v>brown cup B (C, UD) [target]; brown cup A (C, UR); glass spice container B (C, UR)</x:v>
      </x:c>
      <x:c r="L129" s="37" t="str">
        <x:v>brown cup B</x:v>
      </x:c>
      <x:c r="M129" s="37" t="str">
        <x:v>Home</x:v>
      </x:c>
      <x:c r="N129" s="37" t="str">
        <x:v>Place the upside-down brown cup in the bowl.</x:v>
      </x:c>
      <x:c r="O129" s="37" t="str"/>
      <x:c r="P129" s="37" t="str">
        <x:v>Explicitly grounds upside-down with brown cup using two same-category candidates. The non-queried state axis is held constant, so only one candidate satisfies the instruction.</x:v>
      </x:c>
      <x:c r="Q129" s="38"/>
    </x:row>
    <x:row r="130" ht="60" customHeight="1">
      <x:c r="A130" s="70" t="n">
        <x:v>128</x:v>
      </x:c>
      <x:c r="B130" s="37" t="str">
        <x:v>State Recognition</x:v>
      </x:c>
      <x:c r="C130" s="37" t="str">
        <x:v>Put the upright brown cup in the bowl.</x:v>
      </x:c>
      <x:c r="D130" s="37" t="str">
        <x:v>Explicit seen-cell grounding</x:v>
      </x:c>
      <x:c r="E130" s="37" t="str">
        <x:v>upright × brown cup; two same-category candidates; non-queried axis controlled</x:v>
      </x:c>
      <x:c r="F130" s="37" t="str">
        <x:v>state_brown_cup_upright_explicit</x:v>
      </x:c>
      <x:c r="G130" s="37" t="str">
        <x:v>white-cup×upside-down; striped-cup×open; brown-cup×closed; spice-container×upright</x:v>
      </x:c>
      <x:c r="H130" s="37" t="str">
        <x:v>No</x:v>
      </x:c>
      <x:c r="I130" s="37" t="str">
        <x:v>Replace episode + assign prompt</x:v>
      </x:c>
      <x:c r="J130" s="37" t="str">
        <x:v>Use MT_State_Recognition_New episode 128 (Original 200 / source episode 128) in place of the original VLA benchmark episode.</x:v>
      </x:c>
      <x:c r="K130" s="37" t="str">
        <x:v>brown cup A (O, UR) [target]; brown cup B (O, UD); white cup A (C, UR); yellow-white striped cup B (O, UR)</x:v>
      </x:c>
      <x:c r="L130" s="37" t="str">
        <x:v>brown cup A</x:v>
      </x:c>
      <x:c r="M130" s="37" t="str">
        <x:v>Recovery</x:v>
      </x:c>
      <x:c r="N130" s="37" t="str">
        <x:v>Put the upright brown cup in the bowl.</x:v>
      </x:c>
      <x:c r="O130" s="37" t="str"/>
      <x:c r="P130" s="37" t="str">
        <x:v>Explicitly grounds upright with brown cup using two same-category candidates. The non-queried state axis is held constant, so only one candidate satisfies the instruction.</x:v>
      </x:c>
      <x:c r="Q130" s="38"/>
    </x:row>
    <x:row r="131" ht="60" customHeight="1">
      <x:c r="A131" s="70" t="n">
        <x:v>129</x:v>
      </x:c>
      <x:c r="B131" s="37" t="str">
        <x:v>State Recognition</x:v>
      </x:c>
      <x:c r="C131" s="37" t="str">
        <x:v>Move a brown cup into the bowl.</x:v>
      </x:c>
      <x:c r="D131" s="37" t="str">
        <x:v>State-masked physical exposure</x:v>
      </x:c>
      <x:c r="E131" s="37" t="str">
        <x:v>direct category=brown cup; physical state=C, UD; no state word</x:v>
      </x:c>
      <x:c r="F131" s="37" t="str">
        <x:v>state_brown_cup_c_ud_masked</x:v>
      </x:c>
      <x:c r="G131" s="37" t="str">
        <x:v>white-cup×upside-down; striped-cup×open; brown-cup×closed; spice-container×upright</x:v>
      </x:c>
      <x:c r="H131" s="37" t="str">
        <x:v>No</x:v>
      </x:c>
      <x:c r="I131" s="37" t="str">
        <x:v>Replace episode + assign prompt</x:v>
      </x:c>
      <x:c r="J131" s="37" t="str">
        <x:v>Use MT_State_Recognition_New episode 129 (Original 200 / source episode 129) in place of the original VLA benchmark episode.</x:v>
      </x:c>
      <x:c r="K131" s="37" t="str">
        <x:v>brown cup A (C, UD) [target]; glass spice container B (C, UR); white cup B (O, UR); yellow-white striped cup B (C, UR)</x:v>
      </x:c>
      <x:c r="L131" s="37" t="str">
        <x:v>brown cup A</x:v>
      </x:c>
      <x:c r="M131" s="37" t="str">
        <x:v>Home</x:v>
      </x:c>
      <x:c r="N131" s="37" t="str">
        <x:v>Move a brown cup into the bowl.</x:v>
      </x:c>
      <x:c r="O131" s="37" t="str">
        <x:v>Move the closed brown cup into the bowl.</x:v>
      </x:c>
      <x:c r="P131" s="37" t="str">
        <x:v>Preserves brown cup recognition and the recorded physical manipulation while omitting state language. Only one brown cup appears, so this row cannot train state-based selection.</x:v>
      </x:c>
      <x:c r="Q131" s="38"/>
    </x:row>
    <x:row r="132" ht="60" customHeight="1">
      <x:c r="A132" s="70" t="n">
        <x:v>130</x:v>
      </x:c>
      <x:c r="B132" s="37" t="str">
        <x:v>State Recognition</x:v>
      </x:c>
      <x:c r="C132" s="37" t="str">
        <x:v>Place the upright brown cup in the bowl.</x:v>
      </x:c>
      <x:c r="D132" s="37" t="str">
        <x:v>Explicit seen-cell grounding</x:v>
      </x:c>
      <x:c r="E132" s="37" t="str">
        <x:v>upright × brown cup; two same-category candidates; non-queried axis controlled</x:v>
      </x:c>
      <x:c r="F132" s="37" t="str">
        <x:v>state_brown_cup_upright_explicit</x:v>
      </x:c>
      <x:c r="G132" s="37" t="str">
        <x:v>white-cup×upside-down; striped-cup×open; brown-cup×closed; spice-container×upright</x:v>
      </x:c>
      <x:c r="H132" s="37" t="str">
        <x:v>No</x:v>
      </x:c>
      <x:c r="I132" s="37" t="str">
        <x:v>Replace episode + assign prompt</x:v>
      </x:c>
      <x:c r="J132" s="37" t="str">
        <x:v>Use MT_State_Recognition_New episode 130 (New Recollection 20 / source episode 10) in place of the original VLA benchmark episode.</x:v>
      </x:c>
      <x:c r="K132" s="37" t="str">
        <x:v>brown cup A (O, UR) [target, P3]; brown cup B (O, UD) [same-category counterfactual, P1]; yellow-white striped cup A (O, UR) [P2]; glass spice container B (C, UD) [P4]</x:v>
      </x:c>
      <x:c r="L132" s="37" t="str">
        <x:v>brown cup A</x:v>
      </x:c>
      <x:c r="M132" s="37" t="str">
        <x:v>Recovery</x:v>
      </x:c>
      <x:c r="N132" s="37" t="str">
        <x:v>Place the upright brown cup in the bowl.</x:v>
      </x:c>
      <x:c r="O132" s="37" t="str"/>
      <x:c r="P132" s="37" t="str">
        <x:v>Explicitly grounds upright with brown cup using two same-category candidates. The non-queried state axis is held constant, so only one candidate satisfies the instruction.</x:v>
      </x:c>
      <x:c r="Q132" s="38"/>
    </x:row>
    <x:row r="133" ht="60" customHeight="1">
      <x:c r="A133" s="70" t="n">
        <x:v>131</x:v>
      </x:c>
      <x:c r="B133" s="37" t="str">
        <x:v>State Recognition</x:v>
      </x:c>
      <x:c r="C133" s="37" t="str">
        <x:v>Put the upright brown cup in the bowl.</x:v>
      </x:c>
      <x:c r="D133" s="37" t="str">
        <x:v>Explicit seen-cell grounding</x:v>
      </x:c>
      <x:c r="E133" s="37" t="str">
        <x:v>upright × brown cup; two same-category candidates; non-queried axis controlled</x:v>
      </x:c>
      <x:c r="F133" s="37" t="str">
        <x:v>state_brown_cup_upright_explicit</x:v>
      </x:c>
      <x:c r="G133" s="37" t="str">
        <x:v>white-cup×upside-down; striped-cup×open; brown-cup×closed; spice-container×upright</x:v>
      </x:c>
      <x:c r="H133" s="37" t="str">
        <x:v>No</x:v>
      </x:c>
      <x:c r="I133" s="37" t="str">
        <x:v>Replace episode + assign prompt</x:v>
      </x:c>
      <x:c r="J133" s="37" t="str">
        <x:v>Use MT_State_Recognition_New episode 131 (Original 200 / source episode 131) in place of the original VLA benchmark episode.</x:v>
      </x:c>
      <x:c r="K133" s="37" t="str">
        <x:v>brown cup A (C, UR) [target]; brown cup B (C, UD); white cup B (C, UR); yellow-white striped cup A (O, UD)</x:v>
      </x:c>
      <x:c r="L133" s="37" t="str">
        <x:v>brown cup A</x:v>
      </x:c>
      <x:c r="M133" s="37" t="str">
        <x:v>Home</x:v>
      </x:c>
      <x:c r="N133" s="37" t="str">
        <x:v>Put the upright brown cup in the bowl.</x:v>
      </x:c>
      <x:c r="O133" s="37" t="str"/>
      <x:c r="P133" s="37" t="str">
        <x:v>Explicitly grounds upright with brown cup using two same-category candidates. The non-queried state axis is held constant, so only one candidate satisfies the instruction.</x:v>
      </x:c>
      <x:c r="Q133" s="38"/>
    </x:row>
    <x:row r="134" ht="60" customHeight="1">
      <x:c r="A134" s="70" t="n">
        <x:v>132</x:v>
      </x:c>
      <x:c r="B134" s="37" t="str">
        <x:v>State Recognition</x:v>
      </x:c>
      <x:c r="C134" s="37" t="str">
        <x:v>Move the upside-down brown cup into the bowl.</x:v>
      </x:c>
      <x:c r="D134" s="37" t="str">
        <x:v>Explicit seen-cell grounding</x:v>
      </x:c>
      <x:c r="E134" s="37" t="str">
        <x:v>upside-down × brown cup; two same-category candidates; non-queried axis controlled</x:v>
      </x:c>
      <x:c r="F134" s="37" t="str">
        <x:v>state_brown_cup_upside_down_explicit</x:v>
      </x:c>
      <x:c r="G134" s="37" t="str">
        <x:v>white-cup×upside-down; striped-cup×open; brown-cup×closed; spice-container×upright</x:v>
      </x:c>
      <x:c r="H134" s="37" t="str">
        <x:v>No</x:v>
      </x:c>
      <x:c r="I134" s="37" t="str">
        <x:v>Replace episode + assign prompt</x:v>
      </x:c>
      <x:c r="J134" s="37" t="str">
        <x:v>Use MT_State_Recognition_New episode 132 (Original 200 / source episode 132) in place of the original VLA benchmark episode.</x:v>
      </x:c>
      <x:c r="K134" s="37" t="str">
        <x:v>brown cup A (O, UD) [target]; brown cup B (O, UR); yellow-white striped cup A (C, UR)</x:v>
      </x:c>
      <x:c r="L134" s="37" t="str">
        <x:v>brown cup A</x:v>
      </x:c>
      <x:c r="M134" s="37" t="str">
        <x:v>Recovery</x:v>
      </x:c>
      <x:c r="N134" s="37" t="str">
        <x:v>Move the upside-down brown cup into the bowl.</x:v>
      </x:c>
      <x:c r="O134" s="37" t="str"/>
      <x:c r="P134" s="37" t="str">
        <x:v>Explicitly grounds upside-down with brown cup using two same-category candidates. The non-queried state axis is held constant, so only one candidate satisfies the instruction.</x:v>
      </x:c>
      <x:c r="Q134" s="38"/>
    </x:row>
    <x:row r="135" ht="60" customHeight="1">
      <x:c r="A135" s="70" t="n">
        <x:v>133</x:v>
      </x:c>
      <x:c r="B135" s="37" t="str">
        <x:v>State Recognition</x:v>
      </x:c>
      <x:c r="C135" s="37" t="str">
        <x:v>Place the upside-down brown cup in the bowl.</x:v>
      </x:c>
      <x:c r="D135" s="37" t="str">
        <x:v>Explicit seen-cell grounding</x:v>
      </x:c>
      <x:c r="E135" s="37" t="str">
        <x:v>upside-down × brown cup; two same-category candidates; non-queried axis controlled</x:v>
      </x:c>
      <x:c r="F135" s="37" t="str">
        <x:v>state_brown_cup_upside_down_explicit</x:v>
      </x:c>
      <x:c r="G135" s="37" t="str">
        <x:v>white-cup×upside-down; striped-cup×open; brown-cup×closed; spice-container×upright</x:v>
      </x:c>
      <x:c r="H135" s="37" t="str">
        <x:v>No</x:v>
      </x:c>
      <x:c r="I135" s="37" t="str">
        <x:v>Replace episode + assign prompt</x:v>
      </x:c>
      <x:c r="J135" s="37" t="str">
        <x:v>Use MT_State_Recognition_New episode 133 (New Recollection 20 / source episode 15) in place of the original VLA benchmark episode.</x:v>
      </x:c>
      <x:c r="K135" s="37" t="str">
        <x:v>brown cup B (C, UD) [target, P4]; brown cup A (C, UR) [same-category counterfactual, P2]; white cup B (C, UD) [P1]</x:v>
      </x:c>
      <x:c r="L135" s="37" t="str">
        <x:v>brown cup B</x:v>
      </x:c>
      <x:c r="M135" s="37" t="str">
        <x:v>Recovery</x:v>
      </x:c>
      <x:c r="N135" s="37" t="str">
        <x:v>Place the upside-down brown cup in the bowl.</x:v>
      </x:c>
      <x:c r="O135" s="37" t="str"/>
      <x:c r="P135" s="37" t="str">
        <x:v>Explicitly grounds upside-down with brown cup using two same-category candidates. The non-queried state axis is held constant, so only one candidate satisfies the instruction.</x:v>
      </x:c>
      <x:c r="Q135" s="38"/>
    </x:row>
    <x:row r="136" ht="60" customHeight="1">
      <x:c r="A136" s="70" t="n">
        <x:v>134</x:v>
      </x:c>
      <x:c r="B136" s="37" t="str">
        <x:v>State Recognition</x:v>
      </x:c>
      <x:c r="C136" s="37" t="str">
        <x:v>Put the upright brown cup in the bowl.</x:v>
      </x:c>
      <x:c r="D136" s="37" t="str">
        <x:v>Explicit seen-cell grounding</x:v>
      </x:c>
      <x:c r="E136" s="37" t="str">
        <x:v>upright × brown cup; two same-category candidates; non-queried axis controlled</x:v>
      </x:c>
      <x:c r="F136" s="37" t="str">
        <x:v>state_brown_cup_upright_explicit</x:v>
      </x:c>
      <x:c r="G136" s="37" t="str">
        <x:v>white-cup×upside-down; striped-cup×open; brown-cup×closed; spice-container×upright</x:v>
      </x:c>
      <x:c r="H136" s="37" t="str">
        <x:v>No</x:v>
      </x:c>
      <x:c r="I136" s="37" t="str">
        <x:v>Replace episode + assign prompt</x:v>
      </x:c>
      <x:c r="J136" s="37" t="str">
        <x:v>Use MT_State_Recognition_New episode 134 (New Recollection 20 / source episode 11) in place of the original VLA benchmark episode.</x:v>
      </x:c>
      <x:c r="K136" s="37" t="str">
        <x:v>brown cup B (C, UR) [target, P4]; brown cup A (C, UD) [same-category counterfactual, P2]</x:v>
      </x:c>
      <x:c r="L136" s="37" t="str">
        <x:v>brown cup B</x:v>
      </x:c>
      <x:c r="M136" s="37" t="str">
        <x:v>Home</x:v>
      </x:c>
      <x:c r="N136" s="37" t="str">
        <x:v>Put the upright brown cup in the bowl.</x:v>
      </x:c>
      <x:c r="O136" s="37" t="str"/>
      <x:c r="P136" s="37" t="str">
        <x:v>Explicitly grounds upright with brown cup using two same-category candidates. The non-queried state axis is held constant, so only one candidate satisfies the instruction.</x:v>
      </x:c>
      <x:c r="Q136" s="38"/>
    </x:row>
    <x:row r="137" ht="60" customHeight="1">
      <x:c r="A137" s="70" t="n">
        <x:v>135</x:v>
      </x:c>
      <x:c r="B137" s="37" t="str">
        <x:v>State Recognition</x:v>
      </x:c>
      <x:c r="C137" s="37" t="str">
        <x:v>Move the upside-down brown cup into the bowl.</x:v>
      </x:c>
      <x:c r="D137" s="37" t="str">
        <x:v>Explicit seen-cell grounding</x:v>
      </x:c>
      <x:c r="E137" s="37" t="str">
        <x:v>upside-down × brown cup; two same-category candidates; non-queried axis controlled</x:v>
      </x:c>
      <x:c r="F137" s="37" t="str">
        <x:v>state_brown_cup_upside_down_explicit</x:v>
      </x:c>
      <x:c r="G137" s="37" t="str">
        <x:v>white-cup×upside-down; striped-cup×open; brown-cup×closed; spice-container×upright</x:v>
      </x:c>
      <x:c r="H137" s="37" t="str">
        <x:v>No</x:v>
      </x:c>
      <x:c r="I137" s="37" t="str">
        <x:v>Replace episode + assign prompt</x:v>
      </x:c>
      <x:c r="J137" s="37" t="str">
        <x:v>Use MT_State_Recognition_New episode 135 (Original 200 / source episode 135) in place of the original VLA benchmark episode.</x:v>
      </x:c>
      <x:c r="K137" s="37" t="str">
        <x:v>brown cup A (C, UD) [target]; brown cup B (C, UR); yellow-white striped cup B (C, UD); glass spice container A (O, UR)</x:v>
      </x:c>
      <x:c r="L137" s="37" t="str">
        <x:v>brown cup A</x:v>
      </x:c>
      <x:c r="M137" s="37" t="str">
        <x:v>Home</x:v>
      </x:c>
      <x:c r="N137" s="37" t="str">
        <x:v>Move the upside-down brown cup into the bowl.</x:v>
      </x:c>
      <x:c r="O137" s="37" t="str"/>
      <x:c r="P137" s="37" t="str">
        <x:v>Explicitly grounds upside-down with brown cup using two same-category candidates. The non-queried state axis is held constant, so only one candidate satisfies the instruction.</x:v>
      </x:c>
      <x:c r="Q137" s="38"/>
    </x:row>
    <x:row r="138" ht="60" customHeight="1">
      <x:c r="A138" s="70" t="n">
        <x:v>136</x:v>
      </x:c>
      <x:c r="B138" s="37" t="str">
        <x:v>State Recognition</x:v>
      </x:c>
      <x:c r="C138" s="37" t="str">
        <x:v>Place a brown cup in the bowl.</x:v>
      </x:c>
      <x:c r="D138" s="37" t="str">
        <x:v>State-masked physical exposure</x:v>
      </x:c>
      <x:c r="E138" s="37" t="str">
        <x:v>direct category=brown cup; physical state=O, UR; no state word</x:v>
      </x:c>
      <x:c r="F138" s="37" t="str">
        <x:v>state_brown_cup_o_ur_masked</x:v>
      </x:c>
      <x:c r="G138" s="37" t="str">
        <x:v>white-cup×upside-down; striped-cup×open; brown-cup×closed; spice-container×upright</x:v>
      </x:c>
      <x:c r="H138" s="37" t="str">
        <x:v>No</x:v>
      </x:c>
      <x:c r="I138" s="37" t="str">
        <x:v>Replace episode + assign prompt</x:v>
      </x:c>
      <x:c r="J138" s="37" t="str">
        <x:v>Use MT_State_Recognition_New episode 136 (Original 200 / source episode 136) in place of the original VLA benchmark episode.</x:v>
      </x:c>
      <x:c r="K138" s="37" t="str">
        <x:v>brown cup A (O, UR) [target]; white cup B (C, UD); yellow-white striped cup B (O, UD)</x:v>
      </x:c>
      <x:c r="L138" s="37" t="str">
        <x:v>brown cup A</x:v>
      </x:c>
      <x:c r="M138" s="37" t="str">
        <x:v>Home</x:v>
      </x:c>
      <x:c r="N138" s="37" t="str">
        <x:v>Place a brown cup in the bowl.</x:v>
      </x:c>
      <x:c r="O138" s="37" t="str"/>
      <x:c r="P138" s="37" t="str">
        <x:v>Preserves brown cup recognition and the recorded physical manipulation while omitting state language. Only one brown cup appears, so this row cannot train state-based selection.</x:v>
      </x:c>
      <x:c r="Q138" s="38"/>
    </x:row>
    <x:row r="139" ht="60" customHeight="1">
      <x:c r="A139" s="70" t="n">
        <x:v>137</x:v>
      </x:c>
      <x:c r="B139" s="37" t="str">
        <x:v>State Recognition</x:v>
      </x:c>
      <x:c r="C139" s="37" t="str">
        <x:v>Put the upside-down brown cup in the bowl.</x:v>
      </x:c>
      <x:c r="D139" s="37" t="str">
        <x:v>Explicit seen-cell grounding</x:v>
      </x:c>
      <x:c r="E139" s="37" t="str">
        <x:v>upside-down × brown cup; two same-category candidates; non-queried axis controlled</x:v>
      </x:c>
      <x:c r="F139" s="37" t="str">
        <x:v>state_brown_cup_upside_down_explicit</x:v>
      </x:c>
      <x:c r="G139" s="37" t="str">
        <x:v>white-cup×upside-down; striped-cup×open; brown-cup×closed; spice-container×upright</x:v>
      </x:c>
      <x:c r="H139" s="37" t="str">
        <x:v>No</x:v>
      </x:c>
      <x:c r="I139" s="37" t="str">
        <x:v>Replace episode + assign prompt</x:v>
      </x:c>
      <x:c r="J139" s="37" t="str">
        <x:v>Use MT_State_Recognition_New episode 137 (New Recollection 20 / source episode 16) in place of the original VLA benchmark episode.</x:v>
      </x:c>
      <x:c r="K139" s="37" t="str">
        <x:v>brown cup B (O, UD) [target, P1]; brown cup A (O, UR) [same-category counterfactual, P3]; yellow-white striped cup A (O, UD) [P2]; glass spice container B (C, UR) [P4]</x:v>
      </x:c>
      <x:c r="L139" s="37" t="str">
        <x:v>brown cup B</x:v>
      </x:c>
      <x:c r="M139" s="37" t="str">
        <x:v>Home</x:v>
      </x:c>
      <x:c r="N139" s="37" t="str">
        <x:v>Put the upside-down brown cup in the bowl.</x:v>
      </x:c>
      <x:c r="O139" s="37" t="str"/>
      <x:c r="P139" s="37" t="str">
        <x:v>Explicitly grounds upside-down with brown cup using two same-category candidates. The non-queried state axis is held constant, so only one candidate satisfies the instruction.</x:v>
      </x:c>
      <x:c r="Q139" s="38"/>
    </x:row>
    <x:row r="140" ht="60" customHeight="1">
      <x:c r="A140" s="70" t="n">
        <x:v>138</x:v>
      </x:c>
      <x:c r="B140" s="37" t="str">
        <x:v>State Recognition</x:v>
      </x:c>
      <x:c r="C140" s="37" t="str">
        <x:v>Move the upright brown cup into the bowl.</x:v>
      </x:c>
      <x:c r="D140" s="37" t="str">
        <x:v>Explicit seen-cell grounding</x:v>
      </x:c>
      <x:c r="E140" s="37" t="str">
        <x:v>upright × brown cup; two same-category candidates; non-queried axis controlled</x:v>
      </x:c>
      <x:c r="F140" s="37" t="str">
        <x:v>state_brown_cup_upright_explicit</x:v>
      </x:c>
      <x:c r="G140" s="37" t="str">
        <x:v>white-cup×upside-down; striped-cup×open; brown-cup×closed; spice-container×upright</x:v>
      </x:c>
      <x:c r="H140" s="37" t="str">
        <x:v>No</x:v>
      </x:c>
      <x:c r="I140" s="37" t="str">
        <x:v>Replace episode + assign prompt</x:v>
      </x:c>
      <x:c r="J140" s="37" t="str">
        <x:v>Use MT_State_Recognition_New episode 138 (New Recollection 20 / source episode 12) in place of the original VLA benchmark episode.</x:v>
      </x:c>
      <x:c r="K140" s="37" t="str">
        <x:v>brown cup A (O, UR) [target, P1]; brown cup B (O, UD) [same-category counterfactual, P3]; white cup A (O, UR) [P2]</x:v>
      </x:c>
      <x:c r="L140" s="37" t="str">
        <x:v>brown cup A</x:v>
      </x:c>
      <x:c r="M140" s="37" t="str">
        <x:v>Home</x:v>
      </x:c>
      <x:c r="N140" s="37" t="str">
        <x:v>Move the upright brown cup into the bowl.</x:v>
      </x:c>
      <x:c r="O140" s="37" t="str"/>
      <x:c r="P140" s="37" t="str">
        <x:v>Explicitly grounds upright with brown cup using two same-category candidates. The non-queried state axis is held constant, so only one candidate satisfies the instruction.</x:v>
      </x:c>
      <x:c r="Q140" s="38"/>
    </x:row>
    <x:row r="141" ht="60" customHeight="1">
      <x:c r="A141" s="70" t="n">
        <x:v>139</x:v>
      </x:c>
      <x:c r="B141" s="37" t="str">
        <x:v>State Recognition</x:v>
      </x:c>
      <x:c r="C141" s="37" t="str">
        <x:v>Place the upright brown cup in the bowl.</x:v>
      </x:c>
      <x:c r="D141" s="37" t="str">
        <x:v>Explicit seen-cell grounding</x:v>
      </x:c>
      <x:c r="E141" s="37" t="str">
        <x:v>upright × brown cup; two same-category candidates; non-queried axis controlled</x:v>
      </x:c>
      <x:c r="F141" s="37" t="str">
        <x:v>state_brown_cup_upright_explicit</x:v>
      </x:c>
      <x:c r="G141" s="37" t="str">
        <x:v>white-cup×upside-down; striped-cup×open; brown-cup×closed; spice-container×upright</x:v>
      </x:c>
      <x:c r="H141" s="37" t="str">
        <x:v>No</x:v>
      </x:c>
      <x:c r="I141" s="37" t="str">
        <x:v>Replace episode + assign prompt</x:v>
      </x:c>
      <x:c r="J141" s="37" t="str">
        <x:v>Use MT_State_Recognition_New episode 139 (Original 200 / source episode 139) in place of the original VLA benchmark episode.</x:v>
      </x:c>
      <x:c r="K141" s="37" t="str">
        <x:v>brown cup A (C, UR) [target]; brown cup B (C, UD); glass spice container B (C, UD)</x:v>
      </x:c>
      <x:c r="L141" s="37" t="str">
        <x:v>brown cup A</x:v>
      </x:c>
      <x:c r="M141" s="37" t="str">
        <x:v>Home</x:v>
      </x:c>
      <x:c r="N141" s="37" t="str">
        <x:v>Place the upright brown cup in the bowl.</x:v>
      </x:c>
      <x:c r="O141" s="37" t="str"/>
      <x:c r="P141" s="37" t="str">
        <x:v>Explicitly grounds upright with brown cup using two same-category candidates. The non-queried state axis is held constant, so only one candidate satisfies the instruction.</x:v>
      </x:c>
      <x:c r="Q141" s="38"/>
    </x:row>
    <x:row r="142" ht="60" customHeight="1">
      <x:c r="A142" s="70" t="n">
        <x:v>140</x:v>
      </x:c>
      <x:c r="B142" s="37" t="str">
        <x:v>State Recognition</x:v>
      </x:c>
      <x:c r="C142" s="37" t="str">
        <x:v>Put the upright brown cup in the bowl.</x:v>
      </x:c>
      <x:c r="D142" s="37" t="str">
        <x:v>Explicit seen-cell grounding</x:v>
      </x:c>
      <x:c r="E142" s="37" t="str">
        <x:v>upright × brown cup; two same-category candidates; non-queried axis controlled</x:v>
      </x:c>
      <x:c r="F142" s="37" t="str">
        <x:v>state_brown_cup_upright_explicit</x:v>
      </x:c>
      <x:c r="G142" s="37" t="str">
        <x:v>white-cup×upside-down; striped-cup×open; brown-cup×closed; spice-container×upright</x:v>
      </x:c>
      <x:c r="H142" s="37" t="str">
        <x:v>No</x:v>
      </x:c>
      <x:c r="I142" s="37" t="str">
        <x:v>Replace episode + assign prompt</x:v>
      </x:c>
      <x:c r="J142" s="37" t="str">
        <x:v>Use MT_State_Recognition_New episode 140 (Original 200 / source episode 140) in place of the original VLA benchmark episode.</x:v>
      </x:c>
      <x:c r="K142" s="37" t="str">
        <x:v>brown cup A (O, UR) [target]; brown cup B (O, UD); white cup A (C, UR); yellow-white striped cup B (O, UR)</x:v>
      </x:c>
      <x:c r="L142" s="37" t="str">
        <x:v>brown cup A</x:v>
      </x:c>
      <x:c r="M142" s="37" t="str">
        <x:v>Home</x:v>
      </x:c>
      <x:c r="N142" s="37" t="str">
        <x:v>Put the upright brown cup in the bowl.</x:v>
      </x:c>
      <x:c r="O142" s="37" t="str"/>
      <x:c r="P142" s="37" t="str">
        <x:v>Explicitly grounds upright with brown cup using two same-category candidates. The non-queried state axis is held constant, so only one candidate satisfies the instruction.</x:v>
      </x:c>
      <x:c r="Q142" s="38"/>
    </x:row>
    <x:row r="143" ht="60" customHeight="1">
      <x:c r="A143" s="70" t="n">
        <x:v>141</x:v>
      </x:c>
      <x:c r="B143" s="37" t="str">
        <x:v>State Recognition</x:v>
      </x:c>
      <x:c r="C143" s="37" t="str">
        <x:v>Move a brown cup into the bowl.</x:v>
      </x:c>
      <x:c r="D143" s="37" t="str">
        <x:v>State-masked physical exposure</x:v>
      </x:c>
      <x:c r="E143" s="37" t="str">
        <x:v>direct category=brown cup; physical state=C, UD; no state word</x:v>
      </x:c>
      <x:c r="F143" s="37" t="str">
        <x:v>state_brown_cup_c_ud_masked</x:v>
      </x:c>
      <x:c r="G143" s="37" t="str">
        <x:v>white-cup×upside-down; striped-cup×open; brown-cup×closed; spice-container×upright</x:v>
      </x:c>
      <x:c r="H143" s="37" t="str">
        <x:v>No</x:v>
      </x:c>
      <x:c r="I143" s="37" t="str">
        <x:v>Replace episode + assign prompt</x:v>
      </x:c>
      <x:c r="J143" s="37" t="str">
        <x:v>Use MT_State_Recognition_New episode 141 (Original 200 / source episode 141) in place of the original VLA benchmark episode.</x:v>
      </x:c>
      <x:c r="K143" s="37" t="str">
        <x:v>brown cup B (C, UD) [target]; yellow-white striped cup B (C, UR); glass spice container A (O, UR)</x:v>
      </x:c>
      <x:c r="L143" s="37" t="str">
        <x:v>brown cup B</x:v>
      </x:c>
      <x:c r="M143" s="37" t="str">
        <x:v>Home</x:v>
      </x:c>
      <x:c r="N143" s="37" t="str">
        <x:v>Move a brown cup into the bowl.</x:v>
      </x:c>
      <x:c r="O143" s="37" t="str">
        <x:v>Move the closed brown cup into the bowl.</x:v>
      </x:c>
      <x:c r="P143" s="37" t="str">
        <x:v>Preserves brown cup recognition and the recorded physical manipulation while omitting state language. Only one brown cup appears, so this row cannot train state-based selection.</x:v>
      </x:c>
      <x:c r="Q143" s="38"/>
    </x:row>
    <x:row r="144" ht="60" customHeight="1">
      <x:c r="A144" s="70" t="n">
        <x:v>142</x:v>
      </x:c>
      <x:c r="B144" s="37" t="str">
        <x:v>State Recognition</x:v>
      </x:c>
      <x:c r="C144" s="37" t="str">
        <x:v>Place the upright brown cup in the bowl.</x:v>
      </x:c>
      <x:c r="D144" s="37" t="str">
        <x:v>Explicit seen-cell grounding</x:v>
      </x:c>
      <x:c r="E144" s="37" t="str">
        <x:v>upright × brown cup; two same-category candidates; non-queried axis controlled</x:v>
      </x:c>
      <x:c r="F144" s="37" t="str">
        <x:v>state_brown_cup_upright_explicit</x:v>
      </x:c>
      <x:c r="G144" s="37" t="str">
        <x:v>white-cup×upside-down; striped-cup×open; brown-cup×closed; spice-container×upright</x:v>
      </x:c>
      <x:c r="H144" s="37" t="str">
        <x:v>No</x:v>
      </x:c>
      <x:c r="I144" s="37" t="str">
        <x:v>Replace episode + assign prompt</x:v>
      </x:c>
      <x:c r="J144" s="37" t="str">
        <x:v>Use MT_State_Recognition_New episode 142 (New Recollection 20 / source episode 13) in place of the original VLA benchmark episode.</x:v>
      </x:c>
      <x:c r="K144" s="37" t="str">
        <x:v>brown cup B (C, UR) [target, P2]; brown cup A (C, UD) [same-category counterfactual, P4]; yellow-white striped cup B (C, UR) [P1]; glass spice container A (O, UD) [P3]</x:v>
      </x:c>
      <x:c r="L144" s="37" t="str">
        <x:v>brown cup B</x:v>
      </x:c>
      <x:c r="M144" s="37" t="str">
        <x:v>Home</x:v>
      </x:c>
      <x:c r="N144" s="37" t="str">
        <x:v>Place the upright brown cup in the bowl.</x:v>
      </x:c>
      <x:c r="O144" s="37" t="str"/>
      <x:c r="P144" s="37" t="str">
        <x:v>Explicitly grounds upright with brown cup using two same-category candidates. The non-queried state axis is held constant, so only one candidate satisfies the instruction.</x:v>
      </x:c>
      <x:c r="Q144" s="38"/>
    </x:row>
    <x:row r="145" ht="60" customHeight="1">
      <x:c r="A145" s="70" t="n">
        <x:v>143</x:v>
      </x:c>
      <x:c r="B145" s="37" t="str">
        <x:v>State Recognition</x:v>
      </x:c>
      <x:c r="C145" s="37" t="str">
        <x:v>Put a brown cup in the bowl.</x:v>
      </x:c>
      <x:c r="D145" s="37" t="str">
        <x:v>State-masked physical exposure</x:v>
      </x:c>
      <x:c r="E145" s="37" t="str">
        <x:v>direct category=brown cup; physical state=C, UR; no state word</x:v>
      </x:c>
      <x:c r="F145" s="37" t="str">
        <x:v>state_brown_cup_c_ur_masked</x:v>
      </x:c>
      <x:c r="G145" s="37" t="str">
        <x:v>white-cup×upside-down; striped-cup×open; brown-cup×closed; spice-container×upright</x:v>
      </x:c>
      <x:c r="H145" s="37" t="str">
        <x:v>No</x:v>
      </x:c>
      <x:c r="I145" s="37" t="str">
        <x:v>Replace episode + assign prompt</x:v>
      </x:c>
      <x:c r="J145" s="37" t="str">
        <x:v>Use MT_State_Recognition_New episode 143 (Original 200 / source episode 143) in place of the original VLA benchmark episode.</x:v>
      </x:c>
      <x:c r="K145" s="37" t="str">
        <x:v>brown cup A (C, UR) [target]; glass spice container A (O, UD); white cup A (C, UD); yellow-white striped cup A (O, UD)</x:v>
      </x:c>
      <x:c r="L145" s="37" t="str">
        <x:v>brown cup A</x:v>
      </x:c>
      <x:c r="M145" s="37" t="str">
        <x:v>Home</x:v>
      </x:c>
      <x:c r="N145" s="37" t="str">
        <x:v>Put a brown cup in the bowl.</x:v>
      </x:c>
      <x:c r="O145" s="37" t="str">
        <x:v>Move the closed brown cup into the bowl.</x:v>
      </x:c>
      <x:c r="P145" s="37" t="str">
        <x:v>Preserves brown cup recognition and the recorded physical manipulation while omitting state language. Only one brown cup appears, so this row cannot train state-based selection.</x:v>
      </x:c>
      <x:c r="Q145" s="38"/>
    </x:row>
    <x:row r="146" ht="60" customHeight="1">
      <x:c r="A146" s="70" t="n">
        <x:v>144</x:v>
      </x:c>
      <x:c r="B146" s="37" t="str">
        <x:v>State Recognition</x:v>
      </x:c>
      <x:c r="C146" s="37" t="str">
        <x:v>Move the upside-down brown cup into the bowl.</x:v>
      </x:c>
      <x:c r="D146" s="37" t="str">
        <x:v>Explicit seen-cell grounding</x:v>
      </x:c>
      <x:c r="E146" s="37" t="str">
        <x:v>upside-down × brown cup; two same-category candidates; non-queried axis controlled</x:v>
      </x:c>
      <x:c r="F146" s="37" t="str">
        <x:v>state_brown_cup_upside_down_explicit</x:v>
      </x:c>
      <x:c r="G146" s="37" t="str">
        <x:v>white-cup×upside-down; striped-cup×open; brown-cup×closed; spice-container×upright</x:v>
      </x:c>
      <x:c r="H146" s="37" t="str">
        <x:v>No</x:v>
      </x:c>
      <x:c r="I146" s="37" t="str">
        <x:v>Replace episode + assign prompt</x:v>
      </x:c>
      <x:c r="J146" s="37" t="str">
        <x:v>Use MT_State_Recognition_New episode 144 (Original 200 / source episode 144) in place of the original VLA benchmark episode.</x:v>
      </x:c>
      <x:c r="K146" s="37" t="str">
        <x:v>brown cup B (O, UD) [target]; brown cup A (O, UR); yellow-white striped cup A (C, UD); glass spice container B (O, UD)</x:v>
      </x:c>
      <x:c r="L146" s="37" t="str">
        <x:v>brown cup B</x:v>
      </x:c>
      <x:c r="M146" s="37" t="str">
        <x:v>Home</x:v>
      </x:c>
      <x:c r="N146" s="37" t="str">
        <x:v>Move the upside-down brown cup into the bowl.</x:v>
      </x:c>
      <x:c r="O146" s="37" t="str"/>
      <x:c r="P146" s="37" t="str">
        <x:v>Explicitly grounds upside-down with brown cup using two same-category candidates. The non-queried state axis is held constant, so only one candidate satisfies the instruction.</x:v>
      </x:c>
      <x:c r="Q146" s="38"/>
    </x:row>
    <x:row r="147" ht="60" customHeight="1">
      <x:c r="A147" s="70" t="n">
        <x:v>145</x:v>
      </x:c>
      <x:c r="B147" s="37" t="str">
        <x:v>State Recognition</x:v>
      </x:c>
      <x:c r="C147" s="37" t="str">
        <x:v>Place a brown cup in the bowl.</x:v>
      </x:c>
      <x:c r="D147" s="37" t="str">
        <x:v>State-masked physical exposure</x:v>
      </x:c>
      <x:c r="E147" s="37" t="str">
        <x:v>direct category=brown cup; physical state=C, UD; no state word</x:v>
      </x:c>
      <x:c r="F147" s="37" t="str">
        <x:v>state_brown_cup_c_ud_masked</x:v>
      </x:c>
      <x:c r="G147" s="37" t="str">
        <x:v>white-cup×upside-down; striped-cup×open; brown-cup×closed; spice-container×upright</x:v>
      </x:c>
      <x:c r="H147" s="37" t="str">
        <x:v>No</x:v>
      </x:c>
      <x:c r="I147" s="37" t="str">
        <x:v>Replace episode + assign prompt</x:v>
      </x:c>
      <x:c r="J147" s="37" t="str">
        <x:v>Use MT_State_Recognition_New episode 145 (Replacement 61 / source episode 37) in place of the original VLA benchmark episode.</x:v>
      </x:c>
      <x:c r="K147" s="37" t="str">
        <x:v>brown cup B (C, UD) [target, P2]; white cup B (O, UR) — P3; yellow-white striped cup A (C, UD) — P4; glass spice container A (C, UR) — P1</x:v>
      </x:c>
      <x:c r="L147" s="37" t="str">
        <x:v>brown cup B</x:v>
      </x:c>
      <x:c r="M147" s="37" t="str">
        <x:v>Home</x:v>
      </x:c>
      <x:c r="N147" s="37" t="str">
        <x:v>Place a brown cup in the bowl.</x:v>
      </x:c>
      <x:c r="O147" s="37" t="str">
        <x:v>Move the closed brown cup into the bowl.</x:v>
      </x:c>
      <x:c r="P147" s="37" t="str">
        <x:v>Preserves brown cup recognition and the recorded physical manipulation while omitting state language. Only one brown cup appears, so this row cannot train state-based selection.</x:v>
      </x:c>
      <x:c r="Q147" s="38"/>
    </x:row>
    <x:row r="148" ht="60" customHeight="1">
      <x:c r="A148" s="70" t="n">
        <x:v>146</x:v>
      </x:c>
      <x:c r="B148" s="37" t="str">
        <x:v>State Recognition</x:v>
      </x:c>
      <x:c r="C148" s="37" t="str">
        <x:v>Put a brown cup in the bowl.</x:v>
      </x:c>
      <x:c r="D148" s="37" t="str">
        <x:v>State-masked physical exposure</x:v>
      </x:c>
      <x:c r="E148" s="37" t="str">
        <x:v>direct category=brown cup; physical state=O, UD; no state word</x:v>
      </x:c>
      <x:c r="F148" s="37" t="str">
        <x:v>state_brown_cup_o_ud_masked</x:v>
      </x:c>
      <x:c r="G148" s="37" t="str">
        <x:v>white-cup×upside-down; striped-cup×open; brown-cup×closed; spice-container×upright</x:v>
      </x:c>
      <x:c r="H148" s="37" t="str">
        <x:v>No</x:v>
      </x:c>
      <x:c r="I148" s="37" t="str">
        <x:v>Replace episode + assign prompt</x:v>
      </x:c>
      <x:c r="J148" s="37" t="str">
        <x:v>Use MT_State_Recognition_New episode 146 (Replacement 61 / source episode 38) in place of the original VLA benchmark episode.</x:v>
      </x:c>
      <x:c r="K148" s="37" t="str">
        <x:v>brown cup B (O, UD) [target, P3]; white cup A (C, UR) — P4; yellow-white striped cup B (O, UR) — P1; glass spice container B (O, UD) — P2</x:v>
      </x:c>
      <x:c r="L148" s="37" t="str">
        <x:v>brown cup B</x:v>
      </x:c>
      <x:c r="M148" s="37" t="str">
        <x:v>Home</x:v>
      </x:c>
      <x:c r="N148" s="37" t="str">
        <x:v>Put a brown cup in the bowl.</x:v>
      </x:c>
      <x:c r="O148" s="37" t="str"/>
      <x:c r="P148" s="37" t="str">
        <x:v>Preserves brown cup recognition and the recorded physical manipulation while omitting state language. Only one brown cup appears, so this row cannot train state-based selection.</x:v>
      </x:c>
      <x:c r="Q148" s="38"/>
    </x:row>
    <x:row r="149" ht="60" customHeight="1">
      <x:c r="A149" s="70" t="n">
        <x:v>147</x:v>
      </x:c>
      <x:c r="B149" s="37" t="str">
        <x:v>State Recognition</x:v>
      </x:c>
      <x:c r="C149" s="37" t="str">
        <x:v>Move the upside-down brown cup into the bowl.</x:v>
      </x:c>
      <x:c r="D149" s="37" t="str">
        <x:v>Explicit seen-cell grounding</x:v>
      </x:c>
      <x:c r="E149" s="37" t="str">
        <x:v>upside-down × brown cup; two same-category candidates; non-queried axis controlled</x:v>
      </x:c>
      <x:c r="F149" s="37" t="str">
        <x:v>state_brown_cup_upside_down_explicit</x:v>
      </x:c>
      <x:c r="G149" s="37" t="str">
        <x:v>white-cup×upside-down; striped-cup×open; brown-cup×closed; spice-container×upright</x:v>
      </x:c>
      <x:c r="H149" s="37" t="str">
        <x:v>No</x:v>
      </x:c>
      <x:c r="I149" s="37" t="str">
        <x:v>Replace episode + assign prompt</x:v>
      </x:c>
      <x:c r="J149" s="37" t="str">
        <x:v>Use MT_State_Recognition_New episode 147 (Original 200 / source episode 147) in place of the original VLA benchmark episode.</x:v>
      </x:c>
      <x:c r="K149" s="37" t="str">
        <x:v>brown cup A (C, UD) [target]; brown cup B (C, UR); yellow-white striped cup B (C, UD); glass spice container A (O, UR)</x:v>
      </x:c>
      <x:c r="L149" s="37" t="str">
        <x:v>brown cup A</x:v>
      </x:c>
      <x:c r="M149" s="37" t="str">
        <x:v>Home</x:v>
      </x:c>
      <x:c r="N149" s="37" t="str">
        <x:v>Move the upside-down brown cup into the bowl.</x:v>
      </x:c>
      <x:c r="O149" s="37" t="str"/>
      <x:c r="P149" s="37" t="str">
        <x:v>Explicitly grounds upside-down with brown cup using two same-category candidates. The non-queried state axis is held constant, so only one candidate satisfies the instruction.</x:v>
      </x:c>
      <x:c r="Q149" s="38"/>
    </x:row>
    <x:row r="150" ht="60" customHeight="1">
      <x:c r="A150" s="70" t="n">
        <x:v>148</x:v>
      </x:c>
      <x:c r="B150" s="37" t="str">
        <x:v>State Recognition</x:v>
      </x:c>
      <x:c r="C150" s="37" t="str">
        <x:v>Place a brown cup in the bowl.</x:v>
      </x:c>
      <x:c r="D150" s="37" t="str">
        <x:v>State-masked physical exposure</x:v>
      </x:c>
      <x:c r="E150" s="37" t="str">
        <x:v>direct category=brown cup; physical state=O, UR; no state word</x:v>
      </x:c>
      <x:c r="F150" s="37" t="str">
        <x:v>state_brown_cup_o_ur_masked</x:v>
      </x:c>
      <x:c r="G150" s="37" t="str">
        <x:v>white-cup×upside-down; striped-cup×open; brown-cup×closed; spice-container×upright</x:v>
      </x:c>
      <x:c r="H150" s="37" t="str">
        <x:v>No</x:v>
      </x:c>
      <x:c r="I150" s="37" t="str">
        <x:v>Replace episode + assign prompt</x:v>
      </x:c>
      <x:c r="J150" s="37" t="str">
        <x:v>Use MT_State_Recognition_New episode 148 (Original 200 / source episode 148) in place of the original VLA benchmark episode.</x:v>
      </x:c>
      <x:c r="K150" s="37" t="str">
        <x:v>brown cup A (O, UR) [target]; white cup A (O, UD); yellow-white striped cup A (C, UD)</x:v>
      </x:c>
      <x:c r="L150" s="37" t="str">
        <x:v>brown cup A</x:v>
      </x:c>
      <x:c r="M150" s="37" t="str">
        <x:v>Home</x:v>
      </x:c>
      <x:c r="N150" s="37" t="str">
        <x:v>Place a brown cup in the bowl.</x:v>
      </x:c>
      <x:c r="O150" s="37" t="str"/>
      <x:c r="P150" s="37" t="str">
        <x:v>Preserves brown cup recognition and the recorded physical manipulation while omitting state language. Only one brown cup appears, so this row cannot train state-based selection.</x:v>
      </x:c>
      <x:c r="Q150" s="38"/>
    </x:row>
    <x:row r="151" ht="60" customHeight="1">
      <x:c r="A151" s="70" t="n">
        <x:v>149</x:v>
      </x:c>
      <x:c r="B151" s="37" t="str">
        <x:v>State Recognition</x:v>
      </x:c>
      <x:c r="C151" s="37" t="str">
        <x:v>Put a brown cup in the bowl.</x:v>
      </x:c>
      <x:c r="D151" s="37" t="str">
        <x:v>State-masked physical exposure</x:v>
      </x:c>
      <x:c r="E151" s="37" t="str">
        <x:v>direct category=brown cup; physical state=C, UD; no state word</x:v>
      </x:c>
      <x:c r="F151" s="37" t="str">
        <x:v>state_brown_cup_c_ud_masked</x:v>
      </x:c>
      <x:c r="G151" s="37" t="str">
        <x:v>white-cup×upside-down; striped-cup×open; brown-cup×closed; spice-container×upright</x:v>
      </x:c>
      <x:c r="H151" s="37" t="str">
        <x:v>No</x:v>
      </x:c>
      <x:c r="I151" s="37" t="str">
        <x:v>Replace episode + assign prompt</x:v>
      </x:c>
      <x:c r="J151" s="37" t="str">
        <x:v>Use MT_State_Recognition_New episode 149 (Replacement 61 / source episode 45) in place of the original VLA benchmark episode.</x:v>
      </x:c>
      <x:c r="K151" s="37" t="str">
        <x:v>brown cup B (C, UD) [target, P2]; white cup B (O, UR) — P1; yellow-white striped cup A (C, UD) — P3; glass spice container A (C, UR) — P4</x:v>
      </x:c>
      <x:c r="L151" s="37" t="str">
        <x:v>brown cup B</x:v>
      </x:c>
      <x:c r="M151" s="37" t="str">
        <x:v>Home</x:v>
      </x:c>
      <x:c r="N151" s="37" t="str">
        <x:v>Put a brown cup in the bowl.</x:v>
      </x:c>
      <x:c r="O151" s="37" t="str">
        <x:v>Move the closed brown cup into the bowl.</x:v>
      </x:c>
      <x:c r="P151" s="37" t="str">
        <x:v>Preserves brown cup recognition and the recorded physical manipulation while omitting state language. Only one brown cup appears, so this row cannot train state-based selection.</x:v>
      </x:c>
      <x:c r="Q151" s="38"/>
    </x:row>
    <x:row r="152" ht="60" customHeight="1">
      <x:c r="A152" s="70" t="n">
        <x:v>150</x:v>
      </x:c>
      <x:c r="B152" s="37" t="str">
        <x:v>State Recognition</x:v>
      </x:c>
      <x:c r="C152" s="37" t="str">
        <x:v>Move the open glass spice container into the bowl.</x:v>
      </x:c>
      <x:c r="D152" s="37" t="str">
        <x:v>Explicit seen-cell grounding</x:v>
      </x:c>
      <x:c r="E152" s="37" t="str">
        <x:v>open × glass spice container; two same-category candidates; non-queried axis controlled</x:v>
      </x:c>
      <x:c r="F152" s="37" t="str">
        <x:v>state_glass_spice_container_open_explicit</x:v>
      </x:c>
      <x:c r="G152" s="37" t="str">
        <x:v>white-cup×upside-down; striped-cup×open; brown-cup×closed; spice-container×upright</x:v>
      </x:c>
      <x:c r="H152" s="37" t="str">
        <x:v>No</x:v>
      </x:c>
      <x:c r="I152" s="37" t="str">
        <x:v>Replace episode + assign prompt</x:v>
      </x:c>
      <x:c r="J152" s="37" t="str">
        <x:v>Use MT_State_Recognition_New episode 150 (Original 200 / source episode 150) in place of the original VLA benchmark episode.</x:v>
      </x:c>
      <x:c r="K152" s="37" t="str">
        <x:v>glass spice container A (O, UR) [target]; glass spice container B (C, UR); white cup B (C, UR); yellow-white striped cup A (C, UR)</x:v>
      </x:c>
      <x:c r="L152" s="37" t="str">
        <x:v>glass spice container A</x:v>
      </x:c>
      <x:c r="M152" s="37" t="str">
        <x:v>Home</x:v>
      </x:c>
      <x:c r="N152" s="37" t="str">
        <x:v>Move the open glass spice container into the bowl.</x:v>
      </x:c>
      <x:c r="O152" s="37" t="str"/>
      <x:c r="P152" s="37" t="str">
        <x:v>Explicitly grounds open with glass spice container using two same-category candidates. The non-queried state axis is held constant, so only one candidate satisfies the instruction.</x:v>
      </x:c>
      <x:c r="Q152" s="38"/>
    </x:row>
    <x:row r="153" ht="60" customHeight="1">
      <x:c r="A153" s="70" t="n">
        <x:v>151</x:v>
      </x:c>
      <x:c r="B153" s="37" t="str">
        <x:v>State Recognition</x:v>
      </x:c>
      <x:c r="C153" s="37" t="str">
        <x:v>Place the closed glass spice container in the bowl.</x:v>
      </x:c>
      <x:c r="D153" s="37" t="str">
        <x:v>Explicit seen-cell grounding</x:v>
      </x:c>
      <x:c r="E153" s="37" t="str">
        <x:v>closed × glass spice container; two same-category candidates; non-queried axis controlled</x:v>
      </x:c>
      <x:c r="F153" s="37" t="str">
        <x:v>state_glass_spice_container_closed_explicit</x:v>
      </x:c>
      <x:c r="G153" s="37" t="str">
        <x:v>white-cup×upside-down; striped-cup×open; brown-cup×closed; spice-container×upright</x:v>
      </x:c>
      <x:c r="H153" s="37" t="str">
        <x:v>No</x:v>
      </x:c>
      <x:c r="I153" s="37" t="str">
        <x:v>Replace episode + assign prompt</x:v>
      </x:c>
      <x:c r="J153" s="37" t="str">
        <x:v>Use MT_State_Recognition_New episode 151 (Original 200 / source episode 151) in place of the original VLA benchmark episode.</x:v>
      </x:c>
      <x:c r="K153" s="37" t="str">
        <x:v>glass spice container A (C, UR) [target]; glass spice container B (O, UR); yellow-white striped cup A (C, UR)</x:v>
      </x:c>
      <x:c r="L153" s="37" t="str">
        <x:v>glass spice container A</x:v>
      </x:c>
      <x:c r="M153" s="37" t="str">
        <x:v>Home</x:v>
      </x:c>
      <x:c r="N153" s="37" t="str">
        <x:v>Place the closed glass spice container in the bowl.</x:v>
      </x:c>
      <x:c r="O153" s="37" t="str"/>
      <x:c r="P153" s="37" t="str">
        <x:v>Explicitly grounds closed with glass spice container using two same-category candidates. The non-queried state axis is held constant, so only one candidate satisfies the instruction.</x:v>
      </x:c>
      <x:c r="Q153" s="38"/>
    </x:row>
    <x:row r="154" ht="60" customHeight="1">
      <x:c r="A154" s="70" t="n">
        <x:v>152</x:v>
      </x:c>
      <x:c r="B154" s="37" t="str">
        <x:v>State Recognition</x:v>
      </x:c>
      <x:c r="C154" s="37" t="str">
        <x:v>Put the closed glass spice container in the bowl.</x:v>
      </x:c>
      <x:c r="D154" s="37" t="str">
        <x:v>Explicit seen-cell grounding</x:v>
      </x:c>
      <x:c r="E154" s="37" t="str">
        <x:v>closed × glass spice container; two same-category candidates; non-queried axis controlled</x:v>
      </x:c>
      <x:c r="F154" s="37" t="str">
        <x:v>state_glass_spice_container_closed_explicit</x:v>
      </x:c>
      <x:c r="G154" s="37" t="str">
        <x:v>white-cup×upside-down; striped-cup×open; brown-cup×closed; spice-container×upright</x:v>
      </x:c>
      <x:c r="H154" s="37" t="str">
        <x:v>No</x:v>
      </x:c>
      <x:c r="I154" s="37" t="str">
        <x:v>Replace episode + assign prompt</x:v>
      </x:c>
      <x:c r="J154" s="37" t="str">
        <x:v>Use MT_State_Recognition_New episode 152 (Original 200 / source episode 152) in place of the original VLA benchmark episode.</x:v>
      </x:c>
      <x:c r="K154" s="37" t="str">
        <x:v>glass spice container B (C, UR) [target]; glass spice container A (O, UR); brown cup B (C, UR)</x:v>
      </x:c>
      <x:c r="L154" s="37" t="str">
        <x:v>glass spice container B</x:v>
      </x:c>
      <x:c r="M154" s="37" t="str">
        <x:v>Home</x:v>
      </x:c>
      <x:c r="N154" s="37" t="str">
        <x:v>Put the closed glass spice container in the bowl.</x:v>
      </x:c>
      <x:c r="O154" s="37" t="str"/>
      <x:c r="P154" s="37" t="str">
        <x:v>Explicitly grounds closed with glass spice container using two same-category candidates. The non-queried state axis is held constant, so only one candidate satisfies the instruction.</x:v>
      </x:c>
      <x:c r="Q154" s="38"/>
    </x:row>
    <x:row r="155" ht="60" customHeight="1">
      <x:c r="A155" s="70" t="n">
        <x:v>153</x:v>
      </x:c>
      <x:c r="B155" s="37" t="str">
        <x:v>State Recognition</x:v>
      </x:c>
      <x:c r="C155" s="37" t="str">
        <x:v>Move a glass spice container into the bowl.</x:v>
      </x:c>
      <x:c r="D155" s="37" t="str">
        <x:v>State-masked physical exposure</x:v>
      </x:c>
      <x:c r="E155" s="37" t="str">
        <x:v>direct category=glass spice container; physical state=O, UR; no state word</x:v>
      </x:c>
      <x:c r="F155" s="37" t="str">
        <x:v>state_glass_spice_container_o_ur_masked</x:v>
      </x:c>
      <x:c r="G155" s="37" t="str">
        <x:v>white-cup×upside-down; striped-cup×open; brown-cup×closed; spice-container×upright</x:v>
      </x:c>
      <x:c r="H155" s="37" t="str">
        <x:v>No</x:v>
      </x:c>
      <x:c r="I155" s="37" t="str">
        <x:v>Replace episode + assign prompt</x:v>
      </x:c>
      <x:c r="J155" s="37" t="str">
        <x:v>Use MT_State_Recognition_New episode 153 (Original 200 / source episode 153) in place of the original VLA benchmark episode.</x:v>
      </x:c>
      <x:c r="K155" s="37" t="str">
        <x:v>glass spice container B (O, UR) [target]; white cup A (C, UR); yellow-white striped cup A (C, UR)</x:v>
      </x:c>
      <x:c r="L155" s="37" t="str">
        <x:v>glass spice container B</x:v>
      </x:c>
      <x:c r="M155" s="37" t="str">
        <x:v>Recovery</x:v>
      </x:c>
      <x:c r="N155" s="37" t="str">
        <x:v>Move a glass spice container into the bowl.</x:v>
      </x:c>
      <x:c r="O155" s="37" t="str">
        <x:v>Move the upright glass spice container into the bowl.</x:v>
      </x:c>
      <x:c r="P155" s="37" t="str">
        <x:v>Preserves glass spice container recognition and the recorded physical manipulation while omitting state language. Only one glass spice container appears, so this row cannot train state-based selection.</x:v>
      </x:c>
      <x:c r="Q155" s="38"/>
    </x:row>
    <x:row r="156" ht="60" customHeight="1">
      <x:c r="A156" s="70" t="n">
        <x:v>154</x:v>
      </x:c>
      <x:c r="B156" s="37" t="str">
        <x:v>State Recognition</x:v>
      </x:c>
      <x:c r="C156" s="37" t="str">
        <x:v>Place the open glass spice container in the bowl.</x:v>
      </x:c>
      <x:c r="D156" s="37" t="str">
        <x:v>Explicit seen-cell grounding</x:v>
      </x:c>
      <x:c r="E156" s="37" t="str">
        <x:v>open × glass spice container; two same-category candidates; non-queried axis controlled</x:v>
      </x:c>
      <x:c r="F156" s="37" t="str">
        <x:v>state_glass_spice_container_open_explicit</x:v>
      </x:c>
      <x:c r="G156" s="37" t="str">
        <x:v>white-cup×upside-down; striped-cup×open; brown-cup×closed; spice-container×upright</x:v>
      </x:c>
      <x:c r="H156" s="37" t="str">
        <x:v>No</x:v>
      </x:c>
      <x:c r="I156" s="37" t="str">
        <x:v>Replace episode + assign prompt</x:v>
      </x:c>
      <x:c r="J156" s="37" t="str">
        <x:v>Use MT_State_Recognition_New episode 154 (Original 200 / source episode 154) in place of the original VLA benchmark episode.</x:v>
      </x:c>
      <x:c r="K156" s="37" t="str">
        <x:v>glass spice container A (O, UR) [target]; glass spice container B (C, UR); yellow-white striped cup B (C, UR); brown cup A (C, UR)</x:v>
      </x:c>
      <x:c r="L156" s="37" t="str">
        <x:v>glass spice container A</x:v>
      </x:c>
      <x:c r="M156" s="37" t="str">
        <x:v>Home</x:v>
      </x:c>
      <x:c r="N156" s="37" t="str">
        <x:v>Place the open glass spice container in the bowl.</x:v>
      </x:c>
      <x:c r="O156" s="37" t="str"/>
      <x:c r="P156" s="37" t="str">
        <x:v>Explicitly grounds open with glass spice container using two same-category candidates. The non-queried state axis is held constant, so only one candidate satisfies the instruction.</x:v>
      </x:c>
      <x:c r="Q156" s="38"/>
    </x:row>
    <x:row r="157" ht="60" customHeight="1">
      <x:c r="A157" s="70" t="n">
        <x:v>155</x:v>
      </x:c>
      <x:c r="B157" s="37" t="str">
        <x:v>State Recognition</x:v>
      </x:c>
      <x:c r="C157" s="37" t="str">
        <x:v>Put the closed glass spice container in the bowl.</x:v>
      </x:c>
      <x:c r="D157" s="37" t="str">
        <x:v>Explicit seen-cell grounding</x:v>
      </x:c>
      <x:c r="E157" s="37" t="str">
        <x:v>closed × glass spice container; two same-category candidates; non-queried axis controlled</x:v>
      </x:c>
      <x:c r="F157" s="37" t="str">
        <x:v>state_glass_spice_container_closed_explicit</x:v>
      </x:c>
      <x:c r="G157" s="37" t="str">
        <x:v>white-cup×upside-down; striped-cup×open; brown-cup×closed; spice-container×upright</x:v>
      </x:c>
      <x:c r="H157" s="37" t="str">
        <x:v>No</x:v>
      </x:c>
      <x:c r="I157" s="37" t="str">
        <x:v>Replace episode + assign prompt</x:v>
      </x:c>
      <x:c r="J157" s="37" t="str">
        <x:v>Use MT_State_Recognition_New episode 155 (Original 200 / source episode 155) in place of the original VLA benchmark episode.</x:v>
      </x:c>
      <x:c r="K157" s="37" t="str">
        <x:v>glass spice container A (C, UR) [target]; glass spice container B (O, UR); brown cup A (C, UR); white cup B (O, UR)</x:v>
      </x:c>
      <x:c r="L157" s="37" t="str">
        <x:v>glass spice container A</x:v>
      </x:c>
      <x:c r="M157" s="37" t="str">
        <x:v>Home</x:v>
      </x:c>
      <x:c r="N157" s="37" t="str">
        <x:v>Put the closed glass spice container in the bowl.</x:v>
      </x:c>
      <x:c r="O157" s="37" t="str"/>
      <x:c r="P157" s="37" t="str">
        <x:v>Explicitly grounds closed with glass spice container using two same-category candidates. The non-queried state axis is held constant, so only one candidate satisfies the instruction.</x:v>
      </x:c>
      <x:c r="Q157" s="38"/>
    </x:row>
    <x:row r="158" ht="60" customHeight="1">
      <x:c r="A158" s="70" t="n">
        <x:v>156</x:v>
      </x:c>
      <x:c r="B158" s="37" t="str">
        <x:v>State Recognition</x:v>
      </x:c>
      <x:c r="C158" s="37" t="str">
        <x:v>Move the open glass spice container into the bowl.</x:v>
      </x:c>
      <x:c r="D158" s="37" t="str">
        <x:v>Explicit seen-cell grounding</x:v>
      </x:c>
      <x:c r="E158" s="37" t="str">
        <x:v>open × glass spice container; two same-category candidates; non-queried axis controlled</x:v>
      </x:c>
      <x:c r="F158" s="37" t="str">
        <x:v>state_glass_spice_container_open_explicit</x:v>
      </x:c>
      <x:c r="G158" s="37" t="str">
        <x:v>white-cup×upside-down; striped-cup×open; brown-cup×closed; spice-container×upright</x:v>
      </x:c>
      <x:c r="H158" s="37" t="str">
        <x:v>No</x:v>
      </x:c>
      <x:c r="I158" s="37" t="str">
        <x:v>Replace episode + assign prompt</x:v>
      </x:c>
      <x:c r="J158" s="37" t="str">
        <x:v>Use MT_State_Recognition_New episode 156 (Original 200 / source episode 156) in place of the original VLA benchmark episode.</x:v>
      </x:c>
      <x:c r="K158" s="37" t="str">
        <x:v>glass spice container B (O, UR) [target]; glass spice container A (C, UR); white cup B (O, UR)</x:v>
      </x:c>
      <x:c r="L158" s="37" t="str">
        <x:v>glass spice container B</x:v>
      </x:c>
      <x:c r="M158" s="37" t="str">
        <x:v>Recovery</x:v>
      </x:c>
      <x:c r="N158" s="37" t="str">
        <x:v>Move the open glass spice container into the bowl.</x:v>
      </x:c>
      <x:c r="O158" s="37" t="str"/>
      <x:c r="P158" s="37" t="str">
        <x:v>Explicitly grounds open with glass spice container using two same-category candidates. The non-queried state axis is held constant, so only one candidate satisfies the instruction.</x:v>
      </x:c>
      <x:c r="Q158" s="38"/>
    </x:row>
    <x:row r="159" ht="60" customHeight="1">
      <x:c r="A159" s="70" t="n">
        <x:v>157</x:v>
      </x:c>
      <x:c r="B159" s="37" t="str">
        <x:v>State Recognition</x:v>
      </x:c>
      <x:c r="C159" s="37" t="str">
        <x:v>Place a glass spice container in the bowl.</x:v>
      </x:c>
      <x:c r="D159" s="37" t="str">
        <x:v>State-masked physical exposure</x:v>
      </x:c>
      <x:c r="E159" s="37" t="str">
        <x:v>direct category=glass spice container; physical state=O, UR; no state word</x:v>
      </x:c>
      <x:c r="F159" s="37" t="str">
        <x:v>state_glass_spice_container_o_ur_masked</x:v>
      </x:c>
      <x:c r="G159" s="37" t="str">
        <x:v>white-cup×upside-down; striped-cup×open; brown-cup×closed; spice-container×upright</x:v>
      </x:c>
      <x:c r="H159" s="37" t="str">
        <x:v>No</x:v>
      </x:c>
      <x:c r="I159" s="37" t="str">
        <x:v>Replace episode + assign prompt</x:v>
      </x:c>
      <x:c r="J159" s="37" t="str">
        <x:v>Use MT_State_Recognition_New episode 157 (Original 200 / source episode 157) in place of the original VLA benchmark episode.</x:v>
      </x:c>
      <x:c r="K159" s="37" t="str">
        <x:v>glass spice container B (O, UR) [target]; yellow-white striped cup A (C, UR); brown cup A (C, UR); white cup B (C, UR)</x:v>
      </x:c>
      <x:c r="L159" s="37" t="str">
        <x:v>glass spice container B</x:v>
      </x:c>
      <x:c r="M159" s="37" t="str">
        <x:v>Home</x:v>
      </x:c>
      <x:c r="N159" s="37" t="str">
        <x:v>Place a glass spice container in the bowl.</x:v>
      </x:c>
      <x:c r="O159" s="37" t="str">
        <x:v>Move the upright glass spice container into the bowl.</x:v>
      </x:c>
      <x:c r="P159" s="37" t="str">
        <x:v>Preserves glass spice container recognition and the recorded physical manipulation while omitting state language. Only one glass spice container appears, so this row cannot train state-based selection.</x:v>
      </x:c>
      <x:c r="Q159" s="38"/>
    </x:row>
    <x:row r="160" ht="60" customHeight="1">
      <x:c r="A160" s="70" t="n">
        <x:v>158</x:v>
      </x:c>
      <x:c r="B160" s="37" t="str">
        <x:v>State Recognition</x:v>
      </x:c>
      <x:c r="C160" s="37" t="str">
        <x:v>Put the closed glass spice container in the bowl.</x:v>
      </x:c>
      <x:c r="D160" s="37" t="str">
        <x:v>Explicit seen-cell grounding</x:v>
      </x:c>
      <x:c r="E160" s="37" t="str">
        <x:v>closed × glass spice container; two same-category candidates; non-queried axis controlled</x:v>
      </x:c>
      <x:c r="F160" s="37" t="str">
        <x:v>state_glass_spice_container_closed_explicit</x:v>
      </x:c>
      <x:c r="G160" s="37" t="str">
        <x:v>white-cup×upside-down; striped-cup×open; brown-cup×closed; spice-container×upright</x:v>
      </x:c>
      <x:c r="H160" s="37" t="str">
        <x:v>No</x:v>
      </x:c>
      <x:c r="I160" s="37" t="str">
        <x:v>Replace episode + assign prompt</x:v>
      </x:c>
      <x:c r="J160" s="37" t="str">
        <x:v>Use MT_State_Recognition_New episode 158 (Original 200 / source episode 158) in place of the original VLA benchmark episode.</x:v>
      </x:c>
      <x:c r="K160" s="37" t="str">
        <x:v>glass spice container B (C, UR) [target]; glass spice container A (O, UR); brown cup B (C, UR)</x:v>
      </x:c>
      <x:c r="L160" s="37" t="str">
        <x:v>glass spice container B</x:v>
      </x:c>
      <x:c r="M160" s="37" t="str">
        <x:v>Home</x:v>
      </x:c>
      <x:c r="N160" s="37" t="str">
        <x:v>Put the closed glass spice container in the bowl.</x:v>
      </x:c>
      <x:c r="O160" s="37" t="str"/>
      <x:c r="P160" s="37" t="str">
        <x:v>Explicitly grounds closed with glass spice container using two same-category candidates. The non-queried state axis is held constant, so only one candidate satisfies the instruction.</x:v>
      </x:c>
      <x:c r="Q160" s="38"/>
    </x:row>
    <x:row r="161" ht="60" customHeight="1">
      <x:c r="A161" s="70" t="n">
        <x:v>159</x:v>
      </x:c>
      <x:c r="B161" s="37" t="str">
        <x:v>State Recognition</x:v>
      </x:c>
      <x:c r="C161" s="37" t="str">
        <x:v>Move the closed glass spice container into the bowl.</x:v>
      </x:c>
      <x:c r="D161" s="37" t="str">
        <x:v>Explicit seen-cell grounding</x:v>
      </x:c>
      <x:c r="E161" s="37" t="str">
        <x:v>closed × glass spice container; two same-category candidates; non-queried axis controlled</x:v>
      </x:c>
      <x:c r="F161" s="37" t="str">
        <x:v>state_glass_spice_container_closed_explicit</x:v>
      </x:c>
      <x:c r="G161" s="37" t="str">
        <x:v>white-cup×upside-down; striped-cup×open; brown-cup×closed; spice-container×upright</x:v>
      </x:c>
      <x:c r="H161" s="37" t="str">
        <x:v>No</x:v>
      </x:c>
      <x:c r="I161" s="37" t="str">
        <x:v>Replace episode + assign prompt</x:v>
      </x:c>
      <x:c r="J161" s="37" t="str">
        <x:v>Use MT_State_Recognition_New episode 159 (Original 200 / source episode 159) in place of the original VLA benchmark episode.</x:v>
      </x:c>
      <x:c r="K161" s="37" t="str">
        <x:v>glass spice container A (C, UR) [target]; glass spice container B (O, UR); white cup A (O, UR)</x:v>
      </x:c>
      <x:c r="L161" s="37" t="str">
        <x:v>glass spice container A</x:v>
      </x:c>
      <x:c r="M161" s="37" t="str">
        <x:v>Home</x:v>
      </x:c>
      <x:c r="N161" s="37" t="str">
        <x:v>Move the closed glass spice container into the bowl.</x:v>
      </x:c>
      <x:c r="O161" s="37" t="str"/>
      <x:c r="P161" s="37" t="str">
        <x:v>Explicitly grounds closed with glass spice container using two same-category candidates. The non-queried state axis is held constant, so only one candidate satisfies the instruction.</x:v>
      </x:c>
      <x:c r="Q161" s="38"/>
    </x:row>
    <x:row r="162" ht="60" customHeight="1">
      <x:c r="A162" s="70" t="n">
        <x:v>160</x:v>
      </x:c>
      <x:c r="B162" s="37" t="str">
        <x:v>State Recognition</x:v>
      </x:c>
      <x:c r="C162" s="37" t="str">
        <x:v>Place the open glass spice container in the bowl.</x:v>
      </x:c>
      <x:c r="D162" s="37" t="str">
        <x:v>Explicit seen-cell grounding</x:v>
      </x:c>
      <x:c r="E162" s="37" t="str">
        <x:v>open × glass spice container; two same-category candidates; non-queried axis controlled</x:v>
      </x:c>
      <x:c r="F162" s="37" t="str">
        <x:v>state_glass_spice_container_open_explicit</x:v>
      </x:c>
      <x:c r="G162" s="37" t="str">
        <x:v>white-cup×upside-down; striped-cup×open; brown-cup×closed; spice-container×upright</x:v>
      </x:c>
      <x:c r="H162" s="37" t="str">
        <x:v>No</x:v>
      </x:c>
      <x:c r="I162" s="37" t="str">
        <x:v>Replace episode + assign prompt</x:v>
      </x:c>
      <x:c r="J162" s="37" t="str">
        <x:v>Use MT_State_Recognition_New episode 160 (Original 200 / source episode 160) in place of the original VLA benchmark episode.</x:v>
      </x:c>
      <x:c r="K162" s="37" t="str">
        <x:v>glass spice container B (O, UR) [target]; glass spice container A (C, UR); yellow-white striped cup B (O, UR)</x:v>
      </x:c>
      <x:c r="L162" s="37" t="str">
        <x:v>glass spice container B</x:v>
      </x:c>
      <x:c r="M162" s="37" t="str">
        <x:v>Home</x:v>
      </x:c>
      <x:c r="N162" s="37" t="str">
        <x:v>Place the open glass spice container in the bowl.</x:v>
      </x:c>
      <x:c r="O162" s="37" t="str"/>
      <x:c r="P162" s="37" t="str">
        <x:v>Explicitly grounds open with glass spice container using two same-category candidates. The non-queried state axis is held constant, so only one candidate satisfies the instruction.</x:v>
      </x:c>
      <x:c r="Q162" s="38"/>
    </x:row>
    <x:row r="163" ht="60" customHeight="1">
      <x:c r="A163" s="70" t="n">
        <x:v>161</x:v>
      </x:c>
      <x:c r="B163" s="37" t="str">
        <x:v>State Recognition</x:v>
      </x:c>
      <x:c r="C163" s="37" t="str">
        <x:v>Put a glass spice container in the bowl.</x:v>
      </x:c>
      <x:c r="D163" s="37" t="str">
        <x:v>State-masked physical exposure</x:v>
      </x:c>
      <x:c r="E163" s="37" t="str">
        <x:v>direct category=glass spice container; physical state=C, UD; no state word</x:v>
      </x:c>
      <x:c r="F163" s="37" t="str">
        <x:v>state_glass_spice_container_c_ud_masked</x:v>
      </x:c>
      <x:c r="G163" s="37" t="str">
        <x:v>white-cup×upside-down; striped-cup×open; brown-cup×closed; spice-container×upright</x:v>
      </x:c>
      <x:c r="H163" s="37" t="str">
        <x:v>No</x:v>
      </x:c>
      <x:c r="I163" s="37" t="str">
        <x:v>Replace episode + assign prompt</x:v>
      </x:c>
      <x:c r="J163" s="37" t="str">
        <x:v>Use MT_State_Recognition_New episode 161 (Additional 40 / source episode 31) in place of the original VLA benchmark episode.</x:v>
      </x:c>
      <x:c r="K163" s="37" t="str">
        <x:v>glass spice container A (C, UD) [target, P1]; White cup A (C, UD); yellow-white striped cup A (C, UR); Brown cup A (O, UD)</x:v>
      </x:c>
      <x:c r="L163" s="37" t="str">
        <x:v>glass spice container A</x:v>
      </x:c>
      <x:c r="M163" s="37" t="str">
        <x:v>Home</x:v>
      </x:c>
      <x:c r="N163" s="37" t="str">
        <x:v>Put a glass spice container in the bowl.</x:v>
      </x:c>
      <x:c r="O163" s="37" t="str"/>
      <x:c r="P163" s="37" t="str">
        <x:v>Preserves glass spice container recognition and the recorded physical manipulation while omitting state language. Only one glass spice container appears, so this row cannot train state-based selection.</x:v>
      </x:c>
      <x:c r="Q163" s="38"/>
    </x:row>
    <x:row r="164" ht="60" customHeight="1">
      <x:c r="A164" s="70" t="n">
        <x:v>162</x:v>
      </x:c>
      <x:c r="B164" s="37" t="str">
        <x:v>State Recognition</x:v>
      </x:c>
      <x:c r="C164" s="37" t="str">
        <x:v>Move the open glass spice container into the bowl.</x:v>
      </x:c>
      <x:c r="D164" s="37" t="str">
        <x:v>Explicit seen-cell grounding</x:v>
      </x:c>
      <x:c r="E164" s="37" t="str">
        <x:v>open × glass spice container; two same-category candidates; non-queried axis controlled</x:v>
      </x:c>
      <x:c r="F164" s="37" t="str">
        <x:v>state_glass_spice_container_open_explicit</x:v>
      </x:c>
      <x:c r="G164" s="37" t="str">
        <x:v>white-cup×upside-down; striped-cup×open; brown-cup×closed; spice-container×upright</x:v>
      </x:c>
      <x:c r="H164" s="37" t="str">
        <x:v>No</x:v>
      </x:c>
      <x:c r="I164" s="37" t="str">
        <x:v>Replace episode + assign prompt</x:v>
      </x:c>
      <x:c r="J164" s="37" t="str">
        <x:v>Use MT_State_Recognition_New episode 162 (Original 200 / source episode 162) in place of the original VLA benchmark episode.</x:v>
      </x:c>
      <x:c r="K164" s="37" t="str">
        <x:v>glass spice container B (O, UR) [target]; glass spice container A (C, UR); white cup B (O, UR); yellow-white striped cup A (O, UR)</x:v>
      </x:c>
      <x:c r="L164" s="37" t="str">
        <x:v>glass spice container B</x:v>
      </x:c>
      <x:c r="M164" s="37" t="str">
        <x:v>Recovery</x:v>
      </x:c>
      <x:c r="N164" s="37" t="str">
        <x:v>Move the open glass spice container into the bowl.</x:v>
      </x:c>
      <x:c r="O164" s="37" t="str"/>
      <x:c r="P164" s="37" t="str">
        <x:v>Explicitly grounds open with glass spice container using two same-category candidates. The non-queried state axis is held constant, so only one candidate satisfies the instruction.</x:v>
      </x:c>
      <x:c r="Q164" s="38"/>
    </x:row>
    <x:row r="165" ht="60" customHeight="1">
      <x:c r="A165" s="70" t="n">
        <x:v>163</x:v>
      </x:c>
      <x:c r="B165" s="37" t="str">
        <x:v>State Recognition</x:v>
      </x:c>
      <x:c r="C165" s="37" t="str">
        <x:v>Place the closed glass spice container in the bowl.</x:v>
      </x:c>
      <x:c r="D165" s="37" t="str">
        <x:v>Explicit seen-cell grounding</x:v>
      </x:c>
      <x:c r="E165" s="37" t="str">
        <x:v>closed × glass spice container; two same-category candidates; non-queried axis controlled</x:v>
      </x:c>
      <x:c r="F165" s="37" t="str">
        <x:v>state_glass_spice_container_closed_explicit</x:v>
      </x:c>
      <x:c r="G165" s="37" t="str">
        <x:v>white-cup×upside-down; striped-cup×open; brown-cup×closed; spice-container×upright</x:v>
      </x:c>
      <x:c r="H165" s="37" t="str">
        <x:v>No</x:v>
      </x:c>
      <x:c r="I165" s="37" t="str">
        <x:v>Replace episode + assign prompt</x:v>
      </x:c>
      <x:c r="J165" s="37" t="str">
        <x:v>Use MT_State_Recognition_New episode 163 (Original 200 / source episode 163) in place of the original VLA benchmark episode.</x:v>
      </x:c>
      <x:c r="K165" s="37" t="str">
        <x:v>glass spice container A (C, UR) [target]; glass spice container B (O, UR); yellow-white striped cup A (O, UR); brown cup B (O, UR)</x:v>
      </x:c>
      <x:c r="L165" s="37" t="str">
        <x:v>glass spice container A</x:v>
      </x:c>
      <x:c r="M165" s="37" t="str">
        <x:v>Home</x:v>
      </x:c>
      <x:c r="N165" s="37" t="str">
        <x:v>Place the closed glass spice container in the bowl.</x:v>
      </x:c>
      <x:c r="O165" s="37" t="str"/>
      <x:c r="P165" s="37" t="str">
        <x:v>Explicitly grounds closed with glass spice container using two same-category candidates. The non-queried state axis is held constant, so only one candidate satisfies the instruction.</x:v>
      </x:c>
      <x:c r="Q165" s="38"/>
    </x:row>
    <x:row r="166" ht="60" customHeight="1">
      <x:c r="A166" s="70" t="n">
        <x:v>164</x:v>
      </x:c>
      <x:c r="B166" s="37" t="str">
        <x:v>State Recognition</x:v>
      </x:c>
      <x:c r="C166" s="37" t="str">
        <x:v>Put a glass spice container in the bowl.</x:v>
      </x:c>
      <x:c r="D166" s="37" t="str">
        <x:v>State-masked physical exposure</x:v>
      </x:c>
      <x:c r="E166" s="37" t="str">
        <x:v>direct category=glass spice container; physical state=O, UR; no state word</x:v>
      </x:c>
      <x:c r="F166" s="37" t="str">
        <x:v>state_glass_spice_container_o_ur_masked</x:v>
      </x:c>
      <x:c r="G166" s="37" t="str">
        <x:v>white-cup×upside-down; striped-cup×open; brown-cup×closed; spice-container×upright</x:v>
      </x:c>
      <x:c r="H166" s="37" t="str">
        <x:v>No</x:v>
      </x:c>
      <x:c r="I166" s="37" t="str">
        <x:v>Replace episode + assign prompt</x:v>
      </x:c>
      <x:c r="J166" s="37" t="str">
        <x:v>Use MT_State_Recognition_New episode 164 (Original 200 / source episode 164) in place of the original VLA benchmark episode.</x:v>
      </x:c>
      <x:c r="K166" s="37" t="str">
        <x:v>glass spice container A (O, UR) [target]; white cup B (C, UR); yellow-white striped cup B (C, UR)</x:v>
      </x:c>
      <x:c r="L166" s="37" t="str">
        <x:v>glass spice container A</x:v>
      </x:c>
      <x:c r="M166" s="37" t="str">
        <x:v>Home</x:v>
      </x:c>
      <x:c r="N166" s="37" t="str">
        <x:v>Put a glass spice container in the bowl.</x:v>
      </x:c>
      <x:c r="O166" s="37" t="str">
        <x:v>Move the upright glass spice container into the bowl.</x:v>
      </x:c>
      <x:c r="P166" s="37" t="str">
        <x:v>Preserves glass spice container recognition and the recorded physical manipulation while omitting state language. Only one glass spice container appears, so this row cannot train state-based selection.</x:v>
      </x:c>
      <x:c r="Q166" s="38"/>
    </x:row>
    <x:row r="167" ht="60" customHeight="1">
      <x:c r="A167" s="70" t="n">
        <x:v>165</x:v>
      </x:c>
      <x:c r="B167" s="37" t="str">
        <x:v>State Recognition</x:v>
      </x:c>
      <x:c r="C167" s="37" t="str">
        <x:v>Move the open glass spice container into the bowl.</x:v>
      </x:c>
      <x:c r="D167" s="37" t="str">
        <x:v>Explicit seen-cell grounding</x:v>
      </x:c>
      <x:c r="E167" s="37" t="str">
        <x:v>open × glass spice container; two same-category candidates; non-queried axis controlled</x:v>
      </x:c>
      <x:c r="F167" s="37" t="str">
        <x:v>state_glass_spice_container_open_explicit</x:v>
      </x:c>
      <x:c r="G167" s="37" t="str">
        <x:v>white-cup×upside-down; striped-cup×open; brown-cup×closed; spice-container×upright</x:v>
      </x:c>
      <x:c r="H167" s="37" t="str">
        <x:v>No</x:v>
      </x:c>
      <x:c r="I167" s="37" t="str">
        <x:v>Replace episode + assign prompt</x:v>
      </x:c>
      <x:c r="J167" s="37" t="str">
        <x:v>Use MT_State_Recognition_New episode 165 (Original 200 / source episode 165) in place of the original VLA benchmark episode.</x:v>
      </x:c>
      <x:c r="K167" s="37" t="str">
        <x:v>glass spice container B (O, UR) [target]; glass spice container A (C, UR); white cup A (O, UR); yellow-white striped cup B (C, UR)</x:v>
      </x:c>
      <x:c r="L167" s="37" t="str">
        <x:v>glass spice container B</x:v>
      </x:c>
      <x:c r="M167" s="37" t="str">
        <x:v>Home</x:v>
      </x:c>
      <x:c r="N167" s="37" t="str">
        <x:v>Move the open glass spice container into the bowl.</x:v>
      </x:c>
      <x:c r="O167" s="37" t="str"/>
      <x:c r="P167" s="37" t="str">
        <x:v>Explicitly grounds open with glass spice container using two same-category candidates. The non-queried state axis is held constant, so only one candidate satisfies the instruction.</x:v>
      </x:c>
      <x:c r="Q167" s="38"/>
    </x:row>
    <x:row r="168" ht="60" customHeight="1">
      <x:c r="A168" s="70" t="n">
        <x:v>166</x:v>
      </x:c>
      <x:c r="B168" s="37" t="str">
        <x:v>State Recognition</x:v>
      </x:c>
      <x:c r="C168" s="37" t="str">
        <x:v>Place a glass spice container in the bowl.</x:v>
      </x:c>
      <x:c r="D168" s="37" t="str">
        <x:v>State-masked physical exposure</x:v>
      </x:c>
      <x:c r="E168" s="37" t="str">
        <x:v>direct category=glass spice container; physical state=C, UR; no state word</x:v>
      </x:c>
      <x:c r="F168" s="37" t="str">
        <x:v>state_glass_spice_container_c_ur_masked</x:v>
      </x:c>
      <x:c r="G168" s="37" t="str">
        <x:v>white-cup×upside-down; striped-cup×open; brown-cup×closed; spice-container×upright</x:v>
      </x:c>
      <x:c r="H168" s="37" t="str">
        <x:v>No</x:v>
      </x:c>
      <x:c r="I168" s="37" t="str">
        <x:v>Replace episode + assign prompt</x:v>
      </x:c>
      <x:c r="J168" s="37" t="str">
        <x:v>Use MT_State_Recognition_New episode 166 (Original 200 / source episode 166) in place of the original VLA benchmark episode.</x:v>
      </x:c>
      <x:c r="K168" s="37" t="str">
        <x:v>glass spice container A (C, UR) [target]; yellow-white striped cup B (O, UR); brown cup B (O, UR); white cup A (O, UR)</x:v>
      </x:c>
      <x:c r="L168" s="37" t="str">
        <x:v>glass spice container A</x:v>
      </x:c>
      <x:c r="M168" s="37" t="str">
        <x:v>Recovery</x:v>
      </x:c>
      <x:c r="N168" s="37" t="str">
        <x:v>Place a glass spice container in the bowl.</x:v>
      </x:c>
      <x:c r="O168" s="37" t="str">
        <x:v>Move the upright glass spice container into the bowl.</x:v>
      </x:c>
      <x:c r="P168" s="37" t="str">
        <x:v>Preserves glass spice container recognition and the recorded physical manipulation while omitting state language. Only one glass spice container appears, so this row cannot train state-based selection.</x:v>
      </x:c>
      <x:c r="Q168" s="38"/>
    </x:row>
    <x:row r="169" ht="60" customHeight="1">
      <x:c r="A169" s="70" t="n">
        <x:v>167</x:v>
      </x:c>
      <x:c r="B169" s="37" t="str">
        <x:v>State Recognition</x:v>
      </x:c>
      <x:c r="C169" s="37" t="str">
        <x:v>Put the closed glass spice container in the bowl.</x:v>
      </x:c>
      <x:c r="D169" s="37" t="str">
        <x:v>Explicit seen-cell grounding</x:v>
      </x:c>
      <x:c r="E169" s="37" t="str">
        <x:v>closed × glass spice container; two same-category candidates; non-queried axis controlled</x:v>
      </x:c>
      <x:c r="F169" s="37" t="str">
        <x:v>state_glass_spice_container_closed_explicit</x:v>
      </x:c>
      <x:c r="G169" s="37" t="str">
        <x:v>white-cup×upside-down; striped-cup×open; brown-cup×closed; spice-container×upright</x:v>
      </x:c>
      <x:c r="H169" s="37" t="str">
        <x:v>No</x:v>
      </x:c>
      <x:c r="I169" s="37" t="str">
        <x:v>Replace episode + assign prompt</x:v>
      </x:c>
      <x:c r="J169" s="37" t="str">
        <x:v>Use MT_State_Recognition_New episode 167 (Original 200 / source episode 167) in place of the original VLA benchmark episode.</x:v>
      </x:c>
      <x:c r="K169" s="37" t="str">
        <x:v>glass spice container A (C, UR) [target]; glass spice container B (O, UR); brown cup A (C, UR)</x:v>
      </x:c>
      <x:c r="L169" s="37" t="str">
        <x:v>glass spice container A</x:v>
      </x:c>
      <x:c r="M169" s="37" t="str">
        <x:v>Home</x:v>
      </x:c>
      <x:c r="N169" s="37" t="str">
        <x:v>Put the closed glass spice container in the bowl.</x:v>
      </x:c>
      <x:c r="O169" s="37" t="str"/>
      <x:c r="P169" s="37" t="str">
        <x:v>Explicitly grounds closed with glass spice container using two same-category candidates. The non-queried state axis is held constant, so only one candidate satisfies the instruction.</x:v>
      </x:c>
      <x:c r="Q169" s="38"/>
    </x:row>
    <x:row r="170" ht="60" customHeight="1">
      <x:c r="A170" s="70" t="n">
        <x:v>168</x:v>
      </x:c>
      <x:c r="B170" s="37" t="str">
        <x:v>State Recognition</x:v>
      </x:c>
      <x:c r="C170" s="37" t="str">
        <x:v>Move the open glass spice container into the bowl.</x:v>
      </x:c>
      <x:c r="D170" s="37" t="str">
        <x:v>Explicit seen-cell grounding</x:v>
      </x:c>
      <x:c r="E170" s="37" t="str">
        <x:v>open × glass spice container; two same-category candidates; non-queried axis controlled</x:v>
      </x:c>
      <x:c r="F170" s="37" t="str">
        <x:v>state_glass_spice_container_open_explicit</x:v>
      </x:c>
      <x:c r="G170" s="37" t="str">
        <x:v>white-cup×upside-down; striped-cup×open; brown-cup×closed; spice-container×upright</x:v>
      </x:c>
      <x:c r="H170" s="37" t="str">
        <x:v>No</x:v>
      </x:c>
      <x:c r="I170" s="37" t="str">
        <x:v>Replace episode + assign prompt</x:v>
      </x:c>
      <x:c r="J170" s="37" t="str">
        <x:v>Use MT_State_Recognition_New episode 168 (Original 200 / source episode 168) in place of the original VLA benchmark episode.</x:v>
      </x:c>
      <x:c r="K170" s="37" t="str">
        <x:v>glass spice container B (O, UR) [target]; glass spice container A (C, UR); white cup B (C, UR)</x:v>
      </x:c>
      <x:c r="L170" s="37" t="str">
        <x:v>glass spice container B</x:v>
      </x:c>
      <x:c r="M170" s="37" t="str">
        <x:v>Home</x:v>
      </x:c>
      <x:c r="N170" s="37" t="str">
        <x:v>Move the open glass spice container into the bowl.</x:v>
      </x:c>
      <x:c r="O170" s="37" t="str"/>
      <x:c r="P170" s="37" t="str">
        <x:v>Explicitly grounds open with glass spice container using two same-category candidates. The non-queried state axis is held constant, so only one candidate satisfies the instruction.</x:v>
      </x:c>
      <x:c r="Q170" s="38"/>
    </x:row>
    <x:row r="171" ht="60" customHeight="1">
      <x:c r="A171" s="70" t="n">
        <x:v>169</x:v>
      </x:c>
      <x:c r="B171" s="37" t="str">
        <x:v>State Recognition</x:v>
      </x:c>
      <x:c r="C171" s="37" t="str">
        <x:v>Place a glass spice container in the bowl.</x:v>
      </x:c>
      <x:c r="D171" s="37" t="str">
        <x:v>State-masked physical exposure</x:v>
      </x:c>
      <x:c r="E171" s="37" t="str">
        <x:v>direct category=glass spice container; physical state=C, UR; no state word</x:v>
      </x:c>
      <x:c r="F171" s="37" t="str">
        <x:v>state_glass_spice_container_c_ur_masked</x:v>
      </x:c>
      <x:c r="G171" s="37" t="str">
        <x:v>white-cup×upside-down; striped-cup×open; brown-cup×closed; spice-container×upright</x:v>
      </x:c>
      <x:c r="H171" s="37" t="str">
        <x:v>No</x:v>
      </x:c>
      <x:c r="I171" s="37" t="str">
        <x:v>Replace episode + assign prompt</x:v>
      </x:c>
      <x:c r="J171" s="37" t="str">
        <x:v>Use MT_State_Recognition_New episode 169 (Original 200 / source episode 169) in place of the original VLA benchmark episode.</x:v>
      </x:c>
      <x:c r="K171" s="37" t="str">
        <x:v>glass spice container B (C, UR) [target]; brown cup B (O, UR); white cup A (O, UR)</x:v>
      </x:c>
      <x:c r="L171" s="37" t="str">
        <x:v>glass spice container B</x:v>
      </x:c>
      <x:c r="M171" s="37" t="str">
        <x:v>Home</x:v>
      </x:c>
      <x:c r="N171" s="37" t="str">
        <x:v>Place a glass spice container in the bowl.</x:v>
      </x:c>
      <x:c r="O171" s="37" t="str">
        <x:v>Move the upright glass spice container into the bowl.</x:v>
      </x:c>
      <x:c r="P171" s="37" t="str">
        <x:v>Preserves glass spice container recognition and the recorded physical manipulation while omitting state language. Only one glass spice container appears, so this row cannot train state-based selection.</x:v>
      </x:c>
      <x:c r="Q171" s="38"/>
    </x:row>
    <x:row r="172" ht="60" customHeight="1">
      <x:c r="A172" s="70" t="n">
        <x:v>170</x:v>
      </x:c>
      <x:c r="B172" s="37" t="str">
        <x:v>State Recognition</x:v>
      </x:c>
      <x:c r="C172" s="37" t="str">
        <x:v>Put the open glass spice container in the bowl.</x:v>
      </x:c>
      <x:c r="D172" s="37" t="str">
        <x:v>Explicit seen-cell grounding</x:v>
      </x:c>
      <x:c r="E172" s="37" t="str">
        <x:v>open × glass spice container; two same-category candidates; non-queried axis controlled</x:v>
      </x:c>
      <x:c r="F172" s="37" t="str">
        <x:v>state_glass_spice_container_open_explicit</x:v>
      </x:c>
      <x:c r="G172" s="37" t="str">
        <x:v>white-cup×upside-down; striped-cup×open; brown-cup×closed; spice-container×upright</x:v>
      </x:c>
      <x:c r="H172" s="37" t="str">
        <x:v>No</x:v>
      </x:c>
      <x:c r="I172" s="37" t="str">
        <x:v>Replace episode + assign prompt</x:v>
      </x:c>
      <x:c r="J172" s="37" t="str">
        <x:v>Use MT_State_Recognition_New episode 170 (Original 200 / source episode 170) in place of the original VLA benchmark episode.</x:v>
      </x:c>
      <x:c r="K172" s="37" t="str">
        <x:v>glass spice container A (O, UR) [target]; glass spice container B (C, UR); brown cup B (O, UR); white cup A (O, UR)</x:v>
      </x:c>
      <x:c r="L172" s="37" t="str">
        <x:v>glass spice container A</x:v>
      </x:c>
      <x:c r="M172" s="37" t="str">
        <x:v>Home</x:v>
      </x:c>
      <x:c r="N172" s="37" t="str">
        <x:v>Put the open glass spice container in the bowl.</x:v>
      </x:c>
      <x:c r="O172" s="37" t="str"/>
      <x:c r="P172" s="37" t="str">
        <x:v>Explicitly grounds open with glass spice container using two same-category candidates. The non-queried state axis is held constant, so only one candidate satisfies the instruction.</x:v>
      </x:c>
      <x:c r="Q172" s="38"/>
    </x:row>
    <x:row r="173" ht="60" customHeight="1">
      <x:c r="A173" s="70" t="n">
        <x:v>171</x:v>
      </x:c>
      <x:c r="B173" s="37" t="str">
        <x:v>State Recognition</x:v>
      </x:c>
      <x:c r="C173" s="37" t="str">
        <x:v>Move the closed glass spice container into the bowl.</x:v>
      </x:c>
      <x:c r="D173" s="37" t="str">
        <x:v>Explicit seen-cell grounding</x:v>
      </x:c>
      <x:c r="E173" s="37" t="str">
        <x:v>closed × glass spice container; two same-category candidates; non-queried axis controlled</x:v>
      </x:c>
      <x:c r="F173" s="37" t="str">
        <x:v>state_glass_spice_container_closed_explicit</x:v>
      </x:c>
      <x:c r="G173" s="37" t="str">
        <x:v>white-cup×upside-down; striped-cup×open; brown-cup×closed; spice-container×upright</x:v>
      </x:c>
      <x:c r="H173" s="37" t="str">
        <x:v>No</x:v>
      </x:c>
      <x:c r="I173" s="37" t="str">
        <x:v>Replace episode + assign prompt</x:v>
      </x:c>
      <x:c r="J173" s="37" t="str">
        <x:v>Use MT_State_Recognition_New episode 171 (Original 200 / source episode 171) in place of the original VLA benchmark episode.</x:v>
      </x:c>
      <x:c r="K173" s="37" t="str">
        <x:v>glass spice container A (C, UR) [target]; glass spice container B (O, UR); white cup A (O, UR); yellow-white striped cup B (O, UR)</x:v>
      </x:c>
      <x:c r="L173" s="37" t="str">
        <x:v>glass spice container A</x:v>
      </x:c>
      <x:c r="M173" s="37" t="str">
        <x:v>Recovery</x:v>
      </x:c>
      <x:c r="N173" s="37" t="str">
        <x:v>Move the closed glass spice container into the bowl.</x:v>
      </x:c>
      <x:c r="O173" s="37" t="str"/>
      <x:c r="P173" s="37" t="str">
        <x:v>Explicitly grounds closed with glass spice container using two same-category candidates. The non-queried state axis is held constant, so only one candidate satisfies the instruction.</x:v>
      </x:c>
      <x:c r="Q173" s="38"/>
    </x:row>
    <x:row r="174" ht="60" customHeight="1">
      <x:c r="A174" s="70" t="n">
        <x:v>172</x:v>
      </x:c>
      <x:c r="B174" s="37" t="str">
        <x:v>State Recognition</x:v>
      </x:c>
      <x:c r="C174" s="37" t="str">
        <x:v>Place a glass spice container in the bowl.</x:v>
      </x:c>
      <x:c r="D174" s="37" t="str">
        <x:v>State-masked physical exposure</x:v>
      </x:c>
      <x:c r="E174" s="37" t="str">
        <x:v>direct category=glass spice container; physical state=C, UR; no state word</x:v>
      </x:c>
      <x:c r="F174" s="37" t="str">
        <x:v>state_glass_spice_container_c_ur_masked</x:v>
      </x:c>
      <x:c r="G174" s="37" t="str">
        <x:v>white-cup×upside-down; striped-cup×open; brown-cup×closed; spice-container×upright</x:v>
      </x:c>
      <x:c r="H174" s="37" t="str">
        <x:v>No</x:v>
      </x:c>
      <x:c r="I174" s="37" t="str">
        <x:v>Replace episode + assign prompt</x:v>
      </x:c>
      <x:c r="J174" s="37" t="str">
        <x:v>Use MT_State_Recognition_New episode 172 (Original 200 / source episode 172) in place of the original VLA benchmark episode.</x:v>
      </x:c>
      <x:c r="K174" s="37" t="str">
        <x:v>glass spice container B (C, UR) [target]; white cup A (O, UR); yellow-white striped cup A (O, UR); brown cup A (O, UR)</x:v>
      </x:c>
      <x:c r="L174" s="37" t="str">
        <x:v>glass spice container B</x:v>
      </x:c>
      <x:c r="M174" s="37" t="str">
        <x:v>Home</x:v>
      </x:c>
      <x:c r="N174" s="37" t="str">
        <x:v>Place a glass spice container in the bowl.</x:v>
      </x:c>
      <x:c r="O174" s="37" t="str">
        <x:v>Move the upright glass spice container into the bowl.</x:v>
      </x:c>
      <x:c r="P174" s="37" t="str">
        <x:v>Preserves glass spice container recognition and the recorded physical manipulation while omitting state language. Only one glass spice container appears, so this row cannot train state-based selection.</x:v>
      </x:c>
      <x:c r="Q174" s="38"/>
    </x:row>
    <x:row r="175" ht="60" customHeight="1">
      <x:c r="A175" s="70" t="n">
        <x:v>173</x:v>
      </x:c>
      <x:c r="B175" s="37" t="str">
        <x:v>State Recognition</x:v>
      </x:c>
      <x:c r="C175" s="37" t="str">
        <x:v>Put the open glass spice container in the bowl.</x:v>
      </x:c>
      <x:c r="D175" s="37" t="str">
        <x:v>Explicit seen-cell grounding</x:v>
      </x:c>
      <x:c r="E175" s="37" t="str">
        <x:v>open × glass spice container; two same-category candidates; non-queried axis controlled</x:v>
      </x:c>
      <x:c r="F175" s="37" t="str">
        <x:v>state_glass_spice_container_open_explicit</x:v>
      </x:c>
      <x:c r="G175" s="37" t="str">
        <x:v>white-cup×upside-down; striped-cup×open; brown-cup×closed; spice-container×upright</x:v>
      </x:c>
      <x:c r="H175" s="37" t="str">
        <x:v>No</x:v>
      </x:c>
      <x:c r="I175" s="37" t="str">
        <x:v>Replace episode + assign prompt</x:v>
      </x:c>
      <x:c r="J175" s="37" t="str">
        <x:v>Use MT_State_Recognition_New episode 173 (Original 200 / source episode 173) in place of the original VLA benchmark episode.</x:v>
      </x:c>
      <x:c r="K175" s="37" t="str">
        <x:v>glass spice container A (O, UR) [target]; glass spice container B (C, UR); brown cup A (O, UR)</x:v>
      </x:c>
      <x:c r="L175" s="37" t="str">
        <x:v>glass spice container A</x:v>
      </x:c>
      <x:c r="M175" s="37" t="str">
        <x:v>Home</x:v>
      </x:c>
      <x:c r="N175" s="37" t="str">
        <x:v>Put the open glass spice container in the bowl.</x:v>
      </x:c>
      <x:c r="O175" s="37" t="str"/>
      <x:c r="P175" s="37" t="str">
        <x:v>Explicitly grounds open with glass spice container using two same-category candidates. The non-queried state axis is held constant, so only one candidate satisfies the instruction.</x:v>
      </x:c>
      <x:c r="Q175" s="38"/>
    </x:row>
    <x:row r="176" ht="60" customHeight="1">
      <x:c r="A176" s="70" t="n">
        <x:v>174</x:v>
      </x:c>
      <x:c r="B176" s="37" t="str">
        <x:v>State Recognition</x:v>
      </x:c>
      <x:c r="C176" s="37" t="str">
        <x:v>Move the closed glass spice container into the bowl.</x:v>
      </x:c>
      <x:c r="D176" s="37" t="str">
        <x:v>Explicit seen-cell grounding</x:v>
      </x:c>
      <x:c r="E176" s="37" t="str">
        <x:v>closed × glass spice container; two same-category candidates; non-queried axis controlled</x:v>
      </x:c>
      <x:c r="F176" s="37" t="str">
        <x:v>state_glass_spice_container_closed_explicit</x:v>
      </x:c>
      <x:c r="G176" s="37" t="str">
        <x:v>white-cup×upside-down; striped-cup×open; brown-cup×closed; spice-container×upright</x:v>
      </x:c>
      <x:c r="H176" s="37" t="str">
        <x:v>No</x:v>
      </x:c>
      <x:c r="I176" s="37" t="str">
        <x:v>Replace episode + assign prompt</x:v>
      </x:c>
      <x:c r="J176" s="37" t="str">
        <x:v>Use MT_State_Recognition_New episode 174 (Original 200 / source episode 174) in place of the original VLA benchmark episode.</x:v>
      </x:c>
      <x:c r="K176" s="37" t="str">
        <x:v>glass spice container B (C, UR) [target]; glass spice container A (O, UR); white cup B (C, UR)</x:v>
      </x:c>
      <x:c r="L176" s="37" t="str">
        <x:v>glass spice container B</x:v>
      </x:c>
      <x:c r="M176" s="37" t="str">
        <x:v>Home</x:v>
      </x:c>
      <x:c r="N176" s="37" t="str">
        <x:v>Move the closed glass spice container into the bowl.</x:v>
      </x:c>
      <x:c r="O176" s="37" t="str"/>
      <x:c r="P176" s="37" t="str">
        <x:v>Explicitly grounds closed with glass spice container using two same-category candidates. The non-queried state axis is held constant, so only one candidate satisfies the instruction.</x:v>
      </x:c>
      <x:c r="Q176" s="38"/>
    </x:row>
    <x:row r="177" ht="60" customHeight="1">
      <x:c r="A177" s="70" t="n">
        <x:v>175</x:v>
      </x:c>
      <x:c r="B177" s="37" t="str">
        <x:v>State Recognition</x:v>
      </x:c>
      <x:c r="C177" s="37" t="str">
        <x:v>Place a glass spice container in the bowl.</x:v>
      </x:c>
      <x:c r="D177" s="37" t="str">
        <x:v>State-masked physical exposure</x:v>
      </x:c>
      <x:c r="E177" s="37" t="str">
        <x:v>direct category=glass spice container; physical state=C, UD; no state word</x:v>
      </x:c>
      <x:c r="F177" s="37" t="str">
        <x:v>state_glass_spice_container_c_ud_masked</x:v>
      </x:c>
      <x:c r="G177" s="37" t="str">
        <x:v>white-cup×upside-down; striped-cup×open; brown-cup×closed; spice-container×upright</x:v>
      </x:c>
      <x:c r="H177" s="37" t="str">
        <x:v>No</x:v>
      </x:c>
      <x:c r="I177" s="37" t="str">
        <x:v>Replace episode + assign prompt</x:v>
      </x:c>
      <x:c r="J177" s="37" t="str">
        <x:v>Use MT_State_Recognition_New episode 175 (Original 200 / source episode 175) in place of the original VLA benchmark episode.</x:v>
      </x:c>
      <x:c r="K177" s="37" t="str">
        <x:v>glass spice container B (C, UD) [target]; brown cup B (C, UR); white cup A (O, UR); yellow-white striped cup A (C, UR)</x:v>
      </x:c>
      <x:c r="L177" s="37" t="str">
        <x:v>glass spice container B</x:v>
      </x:c>
      <x:c r="M177" s="37" t="str">
        <x:v>Home</x:v>
      </x:c>
      <x:c r="N177" s="37" t="str">
        <x:v>Place a glass spice container in the bowl.</x:v>
      </x:c>
      <x:c r="O177" s="37" t="str"/>
      <x:c r="P177" s="37" t="str">
        <x:v>Preserves glass spice container recognition and the recorded physical manipulation while omitting state language. Only one glass spice container appears, so this row cannot train state-based selection.</x:v>
      </x:c>
      <x:c r="Q177" s="38"/>
    </x:row>
    <x:row r="178" ht="60" customHeight="1">
      <x:c r="A178" s="70" t="n">
        <x:v>176</x:v>
      </x:c>
      <x:c r="B178" s="37" t="str">
        <x:v>State Recognition</x:v>
      </x:c>
      <x:c r="C178" s="37" t="str">
        <x:v>Put the upside-down glass spice container in the bowl.</x:v>
      </x:c>
      <x:c r="D178" s="37" t="str">
        <x:v>Explicit seen-cell grounding</x:v>
      </x:c>
      <x:c r="E178" s="37" t="str">
        <x:v>upside-down × glass spice container; two same-category candidates; non-queried axis controlled</x:v>
      </x:c>
      <x:c r="F178" s="37" t="str">
        <x:v>state_glass_spice_container_upside_down_explicit</x:v>
      </x:c>
      <x:c r="G178" s="37" t="str">
        <x:v>white-cup×upside-down; striped-cup×open; brown-cup×closed; spice-container×upright</x:v>
      </x:c>
      <x:c r="H178" s="37" t="str">
        <x:v>No</x:v>
      </x:c>
      <x:c r="I178" s="37" t="str">
        <x:v>Replace episode + assign prompt</x:v>
      </x:c>
      <x:c r="J178" s="37" t="str">
        <x:v>Use MT_State_Recognition_New episode 176 (New Recollection 20 / source episode 17) in place of the original VLA benchmark episode.</x:v>
      </x:c>
      <x:c r="K178" s="37" t="str">
        <x:v>glass spice container B (C, UD) [target, P2]; glass spice container A (C, UR) [same-category counterfactual, P4]</x:v>
      </x:c>
      <x:c r="L178" s="37" t="str">
        <x:v>glass spice container B</x:v>
      </x:c>
      <x:c r="M178" s="37" t="str">
        <x:v>Home</x:v>
      </x:c>
      <x:c r="N178" s="37" t="str">
        <x:v>Put the upside-down glass spice container in the bowl.</x:v>
      </x:c>
      <x:c r="O178" s="37" t="str"/>
      <x:c r="P178" s="37" t="str">
        <x:v>Explicitly grounds upside-down with glass spice container using two same-category candidates. The non-queried state axis is held constant, so only one candidate satisfies the instruction.</x:v>
      </x:c>
      <x:c r="Q178" s="38"/>
    </x:row>
    <x:row r="179" ht="60" customHeight="1">
      <x:c r="A179" s="70" t="n">
        <x:v>177</x:v>
      </x:c>
      <x:c r="B179" s="37" t="str">
        <x:v>State Recognition</x:v>
      </x:c>
      <x:c r="C179" s="37" t="str">
        <x:v>Move the upside-down glass spice container into the bowl.</x:v>
      </x:c>
      <x:c r="D179" s="37" t="str">
        <x:v>Explicit seen-cell grounding</x:v>
      </x:c>
      <x:c r="E179" s="37" t="str">
        <x:v>upside-down × glass spice container; two same-category candidates; non-queried axis controlled</x:v>
      </x:c>
      <x:c r="F179" s="37" t="str">
        <x:v>state_glass_spice_container_upside_down_explicit</x:v>
      </x:c>
      <x:c r="G179" s="37" t="str">
        <x:v>white-cup×upside-down; striped-cup×open; brown-cup×closed; spice-container×upright</x:v>
      </x:c>
      <x:c r="H179" s="37" t="str">
        <x:v>No</x:v>
      </x:c>
      <x:c r="I179" s="37" t="str">
        <x:v>Replace episode + assign prompt</x:v>
      </x:c>
      <x:c r="J179" s="37" t="str">
        <x:v>Use MT_State_Recognition_New episode 177 (Original 200 / source episode 177) in place of the original VLA benchmark episode.</x:v>
      </x:c>
      <x:c r="K179" s="37" t="str">
        <x:v>glass spice container A (C, UD) [target]; glass spice container B (C, UR); yellow-white striped cup A (C, UD); brown cup B (O, UR)</x:v>
      </x:c>
      <x:c r="L179" s="37" t="str">
        <x:v>glass spice container A</x:v>
      </x:c>
      <x:c r="M179" s="37" t="str">
        <x:v>Recovery</x:v>
      </x:c>
      <x:c r="N179" s="37" t="str">
        <x:v>Move the upside-down glass spice container into the bowl.</x:v>
      </x:c>
      <x:c r="O179" s="37" t="str"/>
      <x:c r="P179" s="37" t="str">
        <x:v>Explicitly grounds upside-down with glass spice container using two same-category candidates. The non-queried state axis is held constant, so only one candidate satisfies the instruction.</x:v>
      </x:c>
      <x:c r="Q179" s="38"/>
    </x:row>
    <x:row r="180" ht="60" customHeight="1">
      <x:c r="A180" s="70" t="n">
        <x:v>178</x:v>
      </x:c>
      <x:c r="B180" s="37" t="str">
        <x:v>State Recognition</x:v>
      </x:c>
      <x:c r="C180" s="37" t="str">
        <x:v>Place a glass spice container in the bowl.</x:v>
      </x:c>
      <x:c r="D180" s="37" t="str">
        <x:v>State-masked physical exposure</x:v>
      </x:c>
      <x:c r="E180" s="37" t="str">
        <x:v>direct category=glass spice container; physical state=O, UR; no state word</x:v>
      </x:c>
      <x:c r="F180" s="37" t="str">
        <x:v>state_glass_spice_container_o_ur_masked</x:v>
      </x:c>
      <x:c r="G180" s="37" t="str">
        <x:v>white-cup×upside-down; striped-cup×open; brown-cup×closed; spice-container×upright</x:v>
      </x:c>
      <x:c r="H180" s="37" t="str">
        <x:v>No</x:v>
      </x:c>
      <x:c r="I180" s="37" t="str">
        <x:v>Replace episode + assign prompt</x:v>
      </x:c>
      <x:c r="J180" s="37" t="str">
        <x:v>Use MT_State_Recognition_New episode 178 (Original 200 / source episode 178) in place of the original VLA benchmark episode.</x:v>
      </x:c>
      <x:c r="K180" s="37" t="str">
        <x:v>glass spice container A (O, UR) [target]; white cup A (C, UD); yellow-white striped cup A (O, UD); brown cup A (C, UD)</x:v>
      </x:c>
      <x:c r="L180" s="37" t="str">
        <x:v>glass spice container A</x:v>
      </x:c>
      <x:c r="M180" s="37" t="str">
        <x:v>Home</x:v>
      </x:c>
      <x:c r="N180" s="37" t="str">
        <x:v>Place a glass spice container in the bowl.</x:v>
      </x:c>
      <x:c r="O180" s="37" t="str">
        <x:v>Move the upright glass spice container into the bowl.</x:v>
      </x:c>
      <x:c r="P180" s="37" t="str">
        <x:v>Preserves glass spice container recognition and the recorded physical manipulation while omitting state language. Only one glass spice container appears, so this row cannot train state-based selection.</x:v>
      </x:c>
      <x:c r="Q180" s="38"/>
    </x:row>
    <x:row r="181" ht="60" customHeight="1">
      <x:c r="A181" s="70" t="n">
        <x:v>179</x:v>
      </x:c>
      <x:c r="B181" s="37" t="str">
        <x:v>State Recognition</x:v>
      </x:c>
      <x:c r="C181" s="37" t="str">
        <x:v>Put a glass spice container in the bowl.</x:v>
      </x:c>
      <x:c r="D181" s="37" t="str">
        <x:v>State-masked physical exposure</x:v>
      </x:c>
      <x:c r="E181" s="37" t="str">
        <x:v>direct category=glass spice container; physical state=C, UR; no state word</x:v>
      </x:c>
      <x:c r="F181" s="37" t="str">
        <x:v>state_glass_spice_container_c_ur_masked</x:v>
      </x:c>
      <x:c r="G181" s="37" t="str">
        <x:v>white-cup×upside-down; striped-cup×open; brown-cup×closed; spice-container×upright</x:v>
      </x:c>
      <x:c r="H181" s="37" t="str">
        <x:v>No</x:v>
      </x:c>
      <x:c r="I181" s="37" t="str">
        <x:v>Replace episode + assign prompt</x:v>
      </x:c>
      <x:c r="J181" s="37" t="str">
        <x:v>Use MT_State_Recognition_New episode 179 (Original 200 / source episode 179) in place of the original VLA benchmark episode.</x:v>
      </x:c>
      <x:c r="K181" s="37" t="str">
        <x:v>glass spice container B (C, UR) [target]; yellow-white striped cup A (C, UD); brown cup A (O, UD); white cup B (C, UD)</x:v>
      </x:c>
      <x:c r="L181" s="37" t="str">
        <x:v>glass spice container B</x:v>
      </x:c>
      <x:c r="M181" s="37" t="str">
        <x:v>Home</x:v>
      </x:c>
      <x:c r="N181" s="37" t="str">
        <x:v>Put a glass spice container in the bowl.</x:v>
      </x:c>
      <x:c r="O181" s="37" t="str">
        <x:v>Move the upright glass spice container into the bowl.</x:v>
      </x:c>
      <x:c r="P181" s="37" t="str">
        <x:v>Preserves glass spice container recognition and the recorded physical manipulation while omitting state language. Only one glass spice container appears, so this row cannot train state-based selection.</x:v>
      </x:c>
      <x:c r="Q181" s="38"/>
    </x:row>
    <x:row r="182" ht="60" customHeight="1">
      <x:c r="A182" s="70" t="n">
        <x:v>180</x:v>
      </x:c>
      <x:c r="B182" s="37" t="str">
        <x:v>State Recognition</x:v>
      </x:c>
      <x:c r="C182" s="37" t="str">
        <x:v>Move a glass spice container into the bowl.</x:v>
      </x:c>
      <x:c r="D182" s="37" t="str">
        <x:v>State-masked physical exposure</x:v>
      </x:c>
      <x:c r="E182" s="37" t="str">
        <x:v>direct category=glass spice container; physical state=C, UD; no state word</x:v>
      </x:c>
      <x:c r="F182" s="37" t="str">
        <x:v>state_glass_spice_container_c_ud_masked</x:v>
      </x:c>
      <x:c r="G182" s="37" t="str">
        <x:v>white-cup×upside-down; striped-cup×open; brown-cup×closed; spice-container×upright</x:v>
      </x:c>
      <x:c r="H182" s="37" t="str">
        <x:v>No</x:v>
      </x:c>
      <x:c r="I182" s="37" t="str">
        <x:v>Replace episode + assign prompt</x:v>
      </x:c>
      <x:c r="J182" s="37" t="str">
        <x:v>Use MT_State_Recognition_New episode 180 (Additional 40 / source episode 32) in place of the original VLA benchmark episode.</x:v>
      </x:c>
      <x:c r="K182" s="37" t="str">
        <x:v>glass spice container B (C, UD) [target, P2]; White cup B (O, UR); yellow-white striped cup A (C, UD); Brown cup B (O, UR)</x:v>
      </x:c>
      <x:c r="L182" s="37" t="str">
        <x:v>glass spice container B</x:v>
      </x:c>
      <x:c r="M182" s="37" t="str">
        <x:v>Recovery</x:v>
      </x:c>
      <x:c r="N182" s="37" t="str">
        <x:v>Move a glass spice container into the bowl.</x:v>
      </x:c>
      <x:c r="O182" s="37" t="str"/>
      <x:c r="P182" s="37" t="str">
        <x:v>Preserves glass spice container recognition and the recorded physical manipulation while omitting state language. Only one glass spice container appears, so this row cannot train state-based selection.</x:v>
      </x:c>
      <x:c r="Q182" s="38"/>
    </x:row>
    <x:row r="183" ht="60" customHeight="1">
      <x:c r="A183" s="70" t="n">
        <x:v>181</x:v>
      </x:c>
      <x:c r="B183" s="37" t="str">
        <x:v>State Recognition</x:v>
      </x:c>
      <x:c r="C183" s="37" t="str">
        <x:v>Place the upside-down glass spice container in the bowl.</x:v>
      </x:c>
      <x:c r="D183" s="37" t="str">
        <x:v>Explicit seen-cell grounding</x:v>
      </x:c>
      <x:c r="E183" s="37" t="str">
        <x:v>upside-down × glass spice container; two same-category candidates; non-queried axis controlled</x:v>
      </x:c>
      <x:c r="F183" s="37" t="str">
        <x:v>state_glass_spice_container_upside_down_explicit</x:v>
      </x:c>
      <x:c r="G183" s="37" t="str">
        <x:v>white-cup×upside-down; striped-cup×open; brown-cup×closed; spice-container×upright</x:v>
      </x:c>
      <x:c r="H183" s="37" t="str">
        <x:v>No</x:v>
      </x:c>
      <x:c r="I183" s="37" t="str">
        <x:v>Replace episode + assign prompt</x:v>
      </x:c>
      <x:c r="J183" s="37" t="str">
        <x:v>Use MT_State_Recognition_New episode 181 (Original 200 / source episode 181) in place of the original VLA benchmark episode.</x:v>
      </x:c>
      <x:c r="K183" s="37" t="str">
        <x:v>glass spice container A (C, UD) [target]; glass spice container B (C, UR); brown cup A (C, UD); white cup B (O, UR)</x:v>
      </x:c>
      <x:c r="L183" s="37" t="str">
        <x:v>glass spice container A</x:v>
      </x:c>
      <x:c r="M183" s="37" t="str">
        <x:v>Home</x:v>
      </x:c>
      <x:c r="N183" s="37" t="str">
        <x:v>Place the upside-down glass spice container in the bowl.</x:v>
      </x:c>
      <x:c r="O183" s="37" t="str"/>
      <x:c r="P183" s="37" t="str">
        <x:v>Explicitly grounds upside-down with glass spice container using two same-category candidates. The non-queried state axis is held constant, so only one candidate satisfies the instruction.</x:v>
      </x:c>
      <x:c r="Q183" s="38"/>
    </x:row>
    <x:row r="184" ht="60" customHeight="1">
      <x:c r="A184" s="70" t="n">
        <x:v>182</x:v>
      </x:c>
      <x:c r="B184" s="37" t="str">
        <x:v>State Recognition</x:v>
      </x:c>
      <x:c r="C184" s="37" t="str">
        <x:v>Put a glass spice container in the bowl.</x:v>
      </x:c>
      <x:c r="D184" s="37" t="str">
        <x:v>State-masked physical exposure</x:v>
      </x:c>
      <x:c r="E184" s="37" t="str">
        <x:v>direct category=glass spice container; physical state=C, UR; no state word</x:v>
      </x:c>
      <x:c r="F184" s="37" t="str">
        <x:v>state_glass_spice_container_c_ur_masked</x:v>
      </x:c>
      <x:c r="G184" s="37" t="str">
        <x:v>white-cup×upside-down; striped-cup×open; brown-cup×closed; spice-container×upright</x:v>
      </x:c>
      <x:c r="H184" s="37" t="str">
        <x:v>No</x:v>
      </x:c>
      <x:c r="I184" s="37" t="str">
        <x:v>Replace episode + assign prompt</x:v>
      </x:c>
      <x:c r="J184" s="37" t="str">
        <x:v>Use MT_State_Recognition_New episode 182 (Replacement 61 / source episode 55) in place of the original VLA benchmark episode.</x:v>
      </x:c>
      <x:c r="K184" s="37" t="str">
        <x:v>glass spice container B (C, UR) [target, P4]; white cup B (O, UD) — P2; yellow-white striped cup A (C, UR) — P3; brown cup B (O, UR) — P1</x:v>
      </x:c>
      <x:c r="L184" s="37" t="str">
        <x:v>glass spice container B</x:v>
      </x:c>
      <x:c r="M184" s="37" t="str">
        <x:v>Recovery</x:v>
      </x:c>
      <x:c r="N184" s="37" t="str">
        <x:v>Put a glass spice container in the bowl.</x:v>
      </x:c>
      <x:c r="O184" s="37" t="str">
        <x:v>Move the upright glass spice container into the bowl.</x:v>
      </x:c>
      <x:c r="P184" s="37" t="str">
        <x:v>Preserves glass spice container recognition and the recorded physical manipulation while omitting state language. Only one glass spice container appears, so this row cannot train state-based selection.</x:v>
      </x:c>
      <x:c r="Q184" s="38"/>
    </x:row>
    <x:row r="185" ht="60" customHeight="1">
      <x:c r="A185" s="70" t="n">
        <x:v>183</x:v>
      </x:c>
      <x:c r="B185" s="37" t="str">
        <x:v>State Recognition</x:v>
      </x:c>
      <x:c r="C185" s="37" t="str">
        <x:v>Move a glass spice container into the bowl.</x:v>
      </x:c>
      <x:c r="D185" s="37" t="str">
        <x:v>State-masked physical exposure</x:v>
      </x:c>
      <x:c r="E185" s="37" t="str">
        <x:v>direct category=glass spice container; physical state=O, UR; no state word</x:v>
      </x:c>
      <x:c r="F185" s="37" t="str">
        <x:v>state_glass_spice_container_o_ur_masked</x:v>
      </x:c>
      <x:c r="G185" s="37" t="str">
        <x:v>white-cup×upside-down; striped-cup×open; brown-cup×closed; spice-container×upright</x:v>
      </x:c>
      <x:c r="H185" s="37" t="str">
        <x:v>No</x:v>
      </x:c>
      <x:c r="I185" s="37" t="str">
        <x:v>Replace episode + assign prompt</x:v>
      </x:c>
      <x:c r="J185" s="37" t="str">
        <x:v>Use MT_State_Recognition_New episode 183 (Additional 40 / source episode 36) in place of the original VLA benchmark episode.</x:v>
      </x:c>
      <x:c r="K185" s="37" t="str">
        <x:v>glass spice container B (O, UR) [target, P2]; White cup B (C, UR); yellow-white striped cup B (O, UD); Brown cup A (C, UD)</x:v>
      </x:c>
      <x:c r="L185" s="37" t="str">
        <x:v>glass spice container B</x:v>
      </x:c>
      <x:c r="M185" s="37" t="str">
        <x:v>Home</x:v>
      </x:c>
      <x:c r="N185" s="37" t="str">
        <x:v>Move a glass spice container into the bowl.</x:v>
      </x:c>
      <x:c r="O185" s="37" t="str">
        <x:v>Move the upright glass spice container into the bowl.</x:v>
      </x:c>
      <x:c r="P185" s="37" t="str">
        <x:v>Preserves glass spice container recognition and the recorded physical manipulation while omitting state language. Only one glass spice container appears, so this row cannot train state-based selection.</x:v>
      </x:c>
      <x:c r="Q185" s="38"/>
    </x:row>
    <x:row r="186" ht="60" customHeight="1">
      <x:c r="A186" s="70" t="n">
        <x:v>184</x:v>
      </x:c>
      <x:c r="B186" s="37" t="str">
        <x:v>State Recognition</x:v>
      </x:c>
      <x:c r="C186" s="37" t="str">
        <x:v>Place the upside-down glass spice container in the bowl.</x:v>
      </x:c>
      <x:c r="D186" s="37" t="str">
        <x:v>Explicit seen-cell grounding</x:v>
      </x:c>
      <x:c r="E186" s="37" t="str">
        <x:v>upside-down × glass spice container; two same-category candidates; non-queried axis controlled</x:v>
      </x:c>
      <x:c r="F186" s="37" t="str">
        <x:v>state_glass_spice_container_upside_down_explicit</x:v>
      </x:c>
      <x:c r="G186" s="37" t="str">
        <x:v>white-cup×upside-down; striped-cup×open; brown-cup×closed; spice-container×upright</x:v>
      </x:c>
      <x:c r="H186" s="37" t="str">
        <x:v>No</x:v>
      </x:c>
      <x:c r="I186" s="37" t="str">
        <x:v>Replace episode + assign prompt</x:v>
      </x:c>
      <x:c r="J186" s="37" t="str">
        <x:v>Use MT_State_Recognition_New episode 184 (New Recollection 20 / source episode 18) in place of the original VLA benchmark episode.</x:v>
      </x:c>
      <x:c r="K186" s="37" t="str">
        <x:v>glass spice container B (O, UD) [target, P3]; glass spice container A (O, UR) [same-category counterfactual, P1]; white cup A (O, UD) [P2]</x:v>
      </x:c>
      <x:c r="L186" s="37" t="str">
        <x:v>glass spice container B</x:v>
      </x:c>
      <x:c r="M186" s="37" t="str">
        <x:v>Home</x:v>
      </x:c>
      <x:c r="N186" s="37" t="str">
        <x:v>Place the upside-down glass spice container in the bowl.</x:v>
      </x:c>
      <x:c r="O186" s="37" t="str"/>
      <x:c r="P186" s="37" t="str">
        <x:v>Explicitly grounds upside-down with glass spice container using two same-category candidates. The non-queried state axis is held constant, so only one candidate satisfies the instruction.</x:v>
      </x:c>
      <x:c r="Q186" s="38"/>
    </x:row>
    <x:row r="187" ht="60" customHeight="1">
      <x:c r="A187" s="70" t="n">
        <x:v>185</x:v>
      </x:c>
      <x:c r="B187" s="37" t="str">
        <x:v>State Recognition</x:v>
      </x:c>
      <x:c r="C187" s="37" t="str">
        <x:v>Put a glass spice container in the bowl.</x:v>
      </x:c>
      <x:c r="D187" s="37" t="str">
        <x:v>State-masked physical exposure</x:v>
      </x:c>
      <x:c r="E187" s="37" t="str">
        <x:v>direct category=glass spice container; physical state=C, UD; no state word</x:v>
      </x:c>
      <x:c r="F187" s="37" t="str">
        <x:v>state_glass_spice_container_c_ud_masked</x:v>
      </x:c>
      <x:c r="G187" s="37" t="str">
        <x:v>white-cup×upside-down; striped-cup×open; brown-cup×closed; spice-container×upright</x:v>
      </x:c>
      <x:c r="H187" s="37" t="str">
        <x:v>No</x:v>
      </x:c>
      <x:c r="I187" s="37" t="str">
        <x:v>Replace episode + assign prompt</x:v>
      </x:c>
      <x:c r="J187" s="37" t="str">
        <x:v>Use MT_State_Recognition_New episode 185 (Replacement 61 / source episode 57) in place of the original VLA benchmark episode.</x:v>
      </x:c>
      <x:c r="K187" s="37" t="str">
        <x:v>glass spice container A (C, UD) [target, P2]; white cup B (O, UR) — P1; yellow-white striped cup A (C, UD) — P3; brown cup B (O, UD) — P4</x:v>
      </x:c>
      <x:c r="L187" s="37" t="str">
        <x:v>glass spice container A</x:v>
      </x:c>
      <x:c r="M187" s="37" t="str">
        <x:v>Home</x:v>
      </x:c>
      <x:c r="N187" s="37" t="str">
        <x:v>Put a glass spice container in the bowl.</x:v>
      </x:c>
      <x:c r="O187" s="37" t="str"/>
      <x:c r="P187" s="37" t="str">
        <x:v>Preserves glass spice container recognition and the recorded physical manipulation while omitting state language. Only one glass spice container appears, so this row cannot train state-based selection.</x:v>
      </x:c>
      <x:c r="Q187" s="38"/>
    </x:row>
    <x:row r="188" ht="60" customHeight="1">
      <x:c r="A188" s="70" t="n">
        <x:v>186</x:v>
      </x:c>
      <x:c r="B188" s="37" t="str">
        <x:v>State Recognition</x:v>
      </x:c>
      <x:c r="C188" s="37" t="str">
        <x:v>Move the upside-down glass spice container into the bowl.</x:v>
      </x:c>
      <x:c r="D188" s="37" t="str">
        <x:v>Explicit seen-cell grounding</x:v>
      </x:c>
      <x:c r="E188" s="37" t="str">
        <x:v>upside-down × glass spice container; two same-category candidates; non-queried axis controlled</x:v>
      </x:c>
      <x:c r="F188" s="37" t="str">
        <x:v>state_glass_spice_container_upside_down_explicit</x:v>
      </x:c>
      <x:c r="G188" s="37" t="str">
        <x:v>white-cup×upside-down; striped-cup×open; brown-cup×closed; spice-container×upright</x:v>
      </x:c>
      <x:c r="H188" s="37" t="str">
        <x:v>No</x:v>
      </x:c>
      <x:c r="I188" s="37" t="str">
        <x:v>Replace episode + assign prompt</x:v>
      </x:c>
      <x:c r="J188" s="37" t="str">
        <x:v>Use MT_State_Recognition_New episode 186 (Original 200 / source episode 186) in place of the original VLA benchmark episode.</x:v>
      </x:c>
      <x:c r="K188" s="37" t="str">
        <x:v>glass spice container A (O, UD) [target]; glass spice container B (O, UR); yellow-white striped cup B (C, UD); brown cup A (O, UD)</x:v>
      </x:c>
      <x:c r="L188" s="37" t="str">
        <x:v>glass spice container A</x:v>
      </x:c>
      <x:c r="M188" s="37" t="str">
        <x:v>Home</x:v>
      </x:c>
      <x:c r="N188" s="37" t="str">
        <x:v>Move the upside-down glass spice container into the bowl.</x:v>
      </x:c>
      <x:c r="O188" s="37" t="str"/>
      <x:c r="P188" s="37" t="str">
        <x:v>Explicitly grounds upside-down with glass spice container using two same-category candidates. The non-queried state axis is held constant, so only one candidate satisfies the instruction.</x:v>
      </x:c>
      <x:c r="Q188" s="38"/>
    </x:row>
    <x:row r="189" ht="60" customHeight="1">
      <x:c r="A189" s="70" t="n">
        <x:v>187</x:v>
      </x:c>
      <x:c r="B189" s="37" t="str">
        <x:v>State Recognition</x:v>
      </x:c>
      <x:c r="C189" s="37" t="str">
        <x:v>Place the upside-down glass spice container in the bowl.</x:v>
      </x:c>
      <x:c r="D189" s="37" t="str">
        <x:v>Explicit seen-cell grounding</x:v>
      </x:c>
      <x:c r="E189" s="37" t="str">
        <x:v>upside-down × glass spice container; two same-category candidates; non-queried axis controlled</x:v>
      </x:c>
      <x:c r="F189" s="37" t="str">
        <x:v>state_glass_spice_container_upside_down_explicit</x:v>
      </x:c>
      <x:c r="G189" s="37" t="str">
        <x:v>white-cup×upside-down; striped-cup×open; brown-cup×closed; spice-container×upright</x:v>
      </x:c>
      <x:c r="H189" s="37" t="str">
        <x:v>No</x:v>
      </x:c>
      <x:c r="I189" s="37" t="str">
        <x:v>Replace episode + assign prompt</x:v>
      </x:c>
      <x:c r="J189" s="37" t="str">
        <x:v>Use MT_State_Recognition_New episode 187 (New Recollection 20 / source episode 19) in place of the original VLA benchmark episode.</x:v>
      </x:c>
      <x:c r="K189" s="37" t="str">
        <x:v>glass spice container B (C, UD) [target, P4]; glass spice container A (C, UR) [same-category counterfactual, P2]; yellow-white striped cup B (C, UD) [P1]; brown cup A (O, UR) [P3]</x:v>
      </x:c>
      <x:c r="L189" s="37" t="str">
        <x:v>glass spice container B</x:v>
      </x:c>
      <x:c r="M189" s="37" t="str">
        <x:v>Home</x:v>
      </x:c>
      <x:c r="N189" s="37" t="str">
        <x:v>Place the upside-down glass spice container in the bowl.</x:v>
      </x:c>
      <x:c r="O189" s="37" t="str"/>
      <x:c r="P189" s="37" t="str">
        <x:v>Explicitly grounds upside-down with glass spice container using two same-category candidates. The non-queried state axis is held constant, so only one candidate satisfies the instruction.</x:v>
      </x:c>
      <x:c r="Q189" s="38"/>
    </x:row>
    <x:row r="190" ht="60" customHeight="1">
      <x:c r="A190" s="70" t="n">
        <x:v>188</x:v>
      </x:c>
      <x:c r="B190" s="37" t="str">
        <x:v>State Recognition</x:v>
      </x:c>
      <x:c r="C190" s="37" t="str">
        <x:v>Put a glass spice container in the bowl.</x:v>
      </x:c>
      <x:c r="D190" s="37" t="str">
        <x:v>State-masked physical exposure</x:v>
      </x:c>
      <x:c r="E190" s="37" t="str">
        <x:v>direct category=glass spice container; physical state=O, UD; no state word</x:v>
      </x:c>
      <x:c r="F190" s="37" t="str">
        <x:v>state_glass_spice_container_o_ud_masked</x:v>
      </x:c>
      <x:c r="G190" s="37" t="str">
        <x:v>white-cup×upside-down; striped-cup×open; brown-cup×closed; spice-container×upright</x:v>
      </x:c>
      <x:c r="H190" s="37" t="str">
        <x:v>No</x:v>
      </x:c>
      <x:c r="I190" s="37" t="str">
        <x:v>Replace episode + assign prompt</x:v>
      </x:c>
      <x:c r="J190" s="37" t="str">
        <x:v>Use MT_State_Recognition_New episode 188 (Replacement 61 / source episode 46) in place of the original VLA benchmark episode.</x:v>
      </x:c>
      <x:c r="K190" s="37" t="str">
        <x:v>glass spice container B (O, UD) [target, P3]; white cup A (C, UR) — P2; yellow-white striped cup B (O, UR) — P4; brown cup A (C, UD) — P1</x:v>
      </x:c>
      <x:c r="L190" s="37" t="str">
        <x:v>glass spice container B</x:v>
      </x:c>
      <x:c r="M190" s="37" t="str">
        <x:v>Home</x:v>
      </x:c>
      <x:c r="N190" s="37" t="str">
        <x:v>Put a glass spice container in the bowl.</x:v>
      </x:c>
      <x:c r="O190" s="37" t="str"/>
      <x:c r="P190" s="37" t="str">
        <x:v>Preserves glass spice container recognition and the recorded physical manipulation while omitting state language. Only one glass spice container appears, so this row cannot train state-based selection.</x:v>
      </x:c>
      <x:c r="Q190" s="38"/>
    </x:row>
    <x:row r="191" ht="60" customHeight="1">
      <x:c r="A191" s="70" t="n">
        <x:v>189</x:v>
      </x:c>
      <x:c r="B191" s="37" t="str">
        <x:v>State Recognition</x:v>
      </x:c>
      <x:c r="C191" s="37" t="str">
        <x:v>Move the upside-down glass spice container into the bowl.</x:v>
      </x:c>
      <x:c r="D191" s="37" t="str">
        <x:v>Explicit seen-cell grounding</x:v>
      </x:c>
      <x:c r="E191" s="37" t="str">
        <x:v>upside-down × glass spice container; two same-category candidates; non-queried axis controlled</x:v>
      </x:c>
      <x:c r="F191" s="37" t="str">
        <x:v>state_glass_spice_container_upside_down_explicit</x:v>
      </x:c>
      <x:c r="G191" s="37" t="str">
        <x:v>white-cup×upside-down; striped-cup×open; brown-cup×closed; spice-container×upright</x:v>
      </x:c>
      <x:c r="H191" s="37" t="str">
        <x:v>No</x:v>
      </x:c>
      <x:c r="I191" s="37" t="str">
        <x:v>Replace episode + assign prompt</x:v>
      </x:c>
      <x:c r="J191" s="37" t="str">
        <x:v>Use MT_State_Recognition_New episode 189 (Original 200 / source episode 189) in place of the original VLA benchmark episode.</x:v>
      </x:c>
      <x:c r="K191" s="37" t="str">
        <x:v>glass spice container A (C, UD) [target]; glass spice container B (C, UR); yellow-white striped cup A (C, UD)</x:v>
      </x:c>
      <x:c r="L191" s="37" t="str">
        <x:v>glass spice container A</x:v>
      </x:c>
      <x:c r="M191" s="37" t="str">
        <x:v>Home</x:v>
      </x:c>
      <x:c r="N191" s="37" t="str">
        <x:v>Move the upside-down glass spice container into the bowl.</x:v>
      </x:c>
      <x:c r="O191" s="37" t="str"/>
      <x:c r="P191" s="37" t="str">
        <x:v>Explicitly grounds upside-down with glass spice container using two same-category candidates. The non-queried state axis is held constant, so only one candidate satisfies the instruction.</x:v>
      </x:c>
      <x:c r="Q191" s="38"/>
    </x:row>
    <x:row r="192" ht="60" customHeight="1">
      <x:c r="A192" s="70" t="n">
        <x:v>190</x:v>
      </x:c>
      <x:c r="B192" s="37" t="str">
        <x:v>State Recognition</x:v>
      </x:c>
      <x:c r="C192" s="37" t="str">
        <x:v>Place the upside-down glass spice container in the bowl.</x:v>
      </x:c>
      <x:c r="D192" s="37" t="str">
        <x:v>Explicit seen-cell grounding</x:v>
      </x:c>
      <x:c r="E192" s="37" t="str">
        <x:v>upside-down × glass spice container; two same-category candidates; non-queried axis controlled</x:v>
      </x:c>
      <x:c r="F192" s="37" t="str">
        <x:v>state_glass_spice_container_upside_down_explicit</x:v>
      </x:c>
      <x:c r="G192" s="37" t="str">
        <x:v>white-cup×upside-down; striped-cup×open; brown-cup×closed; spice-container×upright</x:v>
      </x:c>
      <x:c r="H192" s="37" t="str">
        <x:v>No</x:v>
      </x:c>
      <x:c r="I192" s="37" t="str">
        <x:v>Replace episode + assign prompt</x:v>
      </x:c>
      <x:c r="J192" s="37" t="str">
        <x:v>Use MT_State_Recognition_New episode 190 (Original 200 / source episode 190) in place of the original VLA benchmark episode.</x:v>
      </x:c>
      <x:c r="K192" s="37" t="str">
        <x:v>glass spice container B (O, UD) [target]; glass spice container A (O, UR); brown cup B (C, UD); white cup A (O, UD)</x:v>
      </x:c>
      <x:c r="L192" s="37" t="str">
        <x:v>glass spice container B</x:v>
      </x:c>
      <x:c r="M192" s="37" t="str">
        <x:v>Home</x:v>
      </x:c>
      <x:c r="N192" s="37" t="str">
        <x:v>Place the upside-down glass spice container in the bowl.</x:v>
      </x:c>
      <x:c r="O192" s="37" t="str"/>
      <x:c r="P192" s="37" t="str">
        <x:v>Explicitly grounds upside-down with glass spice container using two same-category candidates. The non-queried state axis is held constant, so only one candidate satisfies the instruction.</x:v>
      </x:c>
      <x:c r="Q192" s="38"/>
    </x:row>
    <x:row r="193" ht="60" customHeight="1">
      <x:c r="A193" s="70" t="n">
        <x:v>191</x:v>
      </x:c>
      <x:c r="B193" s="37" t="str">
        <x:v>State Recognition</x:v>
      </x:c>
      <x:c r="C193" s="37" t="str">
        <x:v>Put a glass spice container in the bowl.</x:v>
      </x:c>
      <x:c r="D193" s="37" t="str">
        <x:v>State-masked physical exposure</x:v>
      </x:c>
      <x:c r="E193" s="37" t="str">
        <x:v>direct category=glass spice container; physical state=C, UR; no state word</x:v>
      </x:c>
      <x:c r="F193" s="37" t="str">
        <x:v>state_glass_spice_container_c_ur_masked</x:v>
      </x:c>
      <x:c r="G193" s="37" t="str">
        <x:v>white-cup×upside-down; striped-cup×open; brown-cup×closed; spice-container×upright</x:v>
      </x:c>
      <x:c r="H193" s="37" t="str">
        <x:v>No</x:v>
      </x:c>
      <x:c r="I193" s="37" t="str">
        <x:v>Replace episode + assign prompt</x:v>
      </x:c>
      <x:c r="J193" s="37" t="str">
        <x:v>Use MT_State_Recognition_New episode 191 (Original 200 / source episode 191) in place of the original VLA benchmark episode.</x:v>
      </x:c>
      <x:c r="K193" s="37" t="str">
        <x:v>glass spice container A (C, UR) [target]; brown cup A (O, UD); white cup B (C, UD)</x:v>
      </x:c>
      <x:c r="L193" s="37" t="str">
        <x:v>glass spice container A</x:v>
      </x:c>
      <x:c r="M193" s="37" t="str">
        <x:v>Home</x:v>
      </x:c>
      <x:c r="N193" s="37" t="str">
        <x:v>Put a glass spice container in the bowl.</x:v>
      </x:c>
      <x:c r="O193" s="37" t="str">
        <x:v>Move the upright glass spice container into the bowl.</x:v>
      </x:c>
      <x:c r="P193" s="37" t="str">
        <x:v>Preserves glass spice container recognition and the recorded physical manipulation while omitting state language. Only one glass spice container appears, so this row cannot train state-based selection.</x:v>
      </x:c>
      <x:c r="Q193" s="38"/>
    </x:row>
    <x:row r="194" ht="60" customHeight="1">
      <x:c r="A194" s="70" t="n">
        <x:v>192</x:v>
      </x:c>
      <x:c r="B194" s="37" t="str">
        <x:v>State Recognition</x:v>
      </x:c>
      <x:c r="C194" s="37" t="str">
        <x:v>Move a glass spice container into the bowl.</x:v>
      </x:c>
      <x:c r="D194" s="37" t="str">
        <x:v>State-masked physical exposure</x:v>
      </x:c>
      <x:c r="E194" s="37" t="str">
        <x:v>direct category=glass spice container; physical state=C, UD; no state word</x:v>
      </x:c>
      <x:c r="F194" s="37" t="str">
        <x:v>state_glass_spice_container_c_ud_masked</x:v>
      </x:c>
      <x:c r="G194" s="37" t="str">
        <x:v>white-cup×upside-down; striped-cup×open; brown-cup×closed; spice-container×upright</x:v>
      </x:c>
      <x:c r="H194" s="37" t="str">
        <x:v>No</x:v>
      </x:c>
      <x:c r="I194" s="37" t="str">
        <x:v>Replace episode + assign prompt</x:v>
      </x:c>
      <x:c r="J194" s="37" t="str">
        <x:v>Use MT_State_Recognition_New episode 192 (Replacement 61 / source episode 49) in place of the original VLA benchmark episode.</x:v>
      </x:c>
      <x:c r="K194" s="37" t="str">
        <x:v>glass spice container B (C, UD) [target, P2]; white cup B (O, UR) — P3; yellow-white striped cup A (C, UD) — P4; brown cup B (O, UD) — P1</x:v>
      </x:c>
      <x:c r="L194" s="37" t="str">
        <x:v>glass spice container B</x:v>
      </x:c>
      <x:c r="M194" s="37" t="str">
        <x:v>Home</x:v>
      </x:c>
      <x:c r="N194" s="37" t="str">
        <x:v>Move a glass spice container into the bowl.</x:v>
      </x:c>
      <x:c r="O194" s="37" t="str"/>
      <x:c r="P194" s="37" t="str">
        <x:v>Preserves glass spice container recognition and the recorded physical manipulation while omitting state language. Only one glass spice container appears, so this row cannot train state-based selection.</x:v>
      </x:c>
      <x:c r="Q194" s="38"/>
    </x:row>
    <x:row r="195" ht="60" customHeight="1">
      <x:c r="A195" s="70" t="n">
        <x:v>193</x:v>
      </x:c>
      <x:c r="B195" s="37" t="str">
        <x:v>State Recognition</x:v>
      </x:c>
      <x:c r="C195" s="37" t="str">
        <x:v>Place a glass spice container in the bowl.</x:v>
      </x:c>
      <x:c r="D195" s="37" t="str">
        <x:v>State-masked physical exposure</x:v>
      </x:c>
      <x:c r="E195" s="37" t="str">
        <x:v>direct category=glass spice container; physical state=C, UR; no state word</x:v>
      </x:c>
      <x:c r="F195" s="37" t="str">
        <x:v>state_glass_spice_container_c_ur_masked</x:v>
      </x:c>
      <x:c r="G195" s="37" t="str">
        <x:v>white-cup×upside-down; striped-cup×open; brown-cup×closed; spice-container×upright</x:v>
      </x:c>
      <x:c r="H195" s="37" t="str">
        <x:v>No</x:v>
      </x:c>
      <x:c r="I195" s="37" t="str">
        <x:v>Replace episode + assign prompt</x:v>
      </x:c>
      <x:c r="J195" s="37" t="str">
        <x:v>Use MT_State_Recognition_New episode 193 (Original 200 / source episode 193) in place of the original VLA benchmark episode.</x:v>
      </x:c>
      <x:c r="K195" s="37" t="str">
        <x:v>glass spice container A (C, UR) [target]; white cup B (C, UD); yellow-white striped cup B (O, UD)</x:v>
      </x:c>
      <x:c r="L195" s="37" t="str">
        <x:v>glass spice container A</x:v>
      </x:c>
      <x:c r="M195" s="37" t="str">
        <x:v>Recovery</x:v>
      </x:c>
      <x:c r="N195" s="37" t="str">
        <x:v>Place a glass spice container in the bowl.</x:v>
      </x:c>
      <x:c r="O195" s="37" t="str">
        <x:v>Move the upright glass spice container into the bowl.</x:v>
      </x:c>
      <x:c r="P195" s="37" t="str">
        <x:v>Preserves glass spice container recognition and the recorded physical manipulation while omitting state language. Only one glass spice container appears, so this row cannot train state-based selection.</x:v>
      </x:c>
      <x:c r="Q195" s="38"/>
    </x:row>
    <x:row r="196" ht="60" customHeight="1">
      <x:c r="A196" s="70" t="n">
        <x:v>194</x:v>
      </x:c>
      <x:c r="B196" s="37" t="str">
        <x:v>State Recognition</x:v>
      </x:c>
      <x:c r="C196" s="37" t="str">
        <x:v>Put a glass spice container in the bowl.</x:v>
      </x:c>
      <x:c r="D196" s="37" t="str">
        <x:v>State-masked physical exposure</x:v>
      </x:c>
      <x:c r="E196" s="37" t="str">
        <x:v>direct category=glass spice container; physical state=O, UD; no state word</x:v>
      </x:c>
      <x:c r="F196" s="37" t="str">
        <x:v>state_glass_spice_container_o_ud_masked</x:v>
      </x:c>
      <x:c r="G196" s="37" t="str">
        <x:v>white-cup×upside-down; striped-cup×open; brown-cup×closed; spice-container×upright</x:v>
      </x:c>
      <x:c r="H196" s="37" t="str">
        <x:v>No</x:v>
      </x:c>
      <x:c r="I196" s="37" t="str">
        <x:v>Replace episode + assign prompt</x:v>
      </x:c>
      <x:c r="J196" s="37" t="str">
        <x:v>Use MT_State_Recognition_New episode 194 (Additional 40 / source episode 38) in place of the original VLA benchmark episode.</x:v>
      </x:c>
      <x:c r="K196" s="37" t="str">
        <x:v>glass spice container B (O, UD) [target, P4]; White cup B (O, UD); yellow-white striped cup A (O, UD); Brown cup A (C, UR)</x:v>
      </x:c>
      <x:c r="L196" s="37" t="str">
        <x:v>glass spice container B</x:v>
      </x:c>
      <x:c r="M196" s="37" t="str">
        <x:v>Home</x:v>
      </x:c>
      <x:c r="N196" s="37" t="str">
        <x:v>Put a glass spice container in the bowl.</x:v>
      </x:c>
      <x:c r="O196" s="37" t="str"/>
      <x:c r="P196" s="37" t="str">
        <x:v>Preserves glass spice container recognition and the recorded physical manipulation while omitting state language. Only one glass spice container appears, so this row cannot train state-based selection.</x:v>
      </x:c>
      <x:c r="Q196" s="38"/>
    </x:row>
    <x:row r="197" ht="60" customHeight="1">
      <x:c r="A197" s="70" t="n">
        <x:v>195</x:v>
      </x:c>
      <x:c r="B197" s="37" t="str">
        <x:v>State Recognition</x:v>
      </x:c>
      <x:c r="C197" s="37" t="str">
        <x:v>Move a glass spice container into the bowl.</x:v>
      </x:c>
      <x:c r="D197" s="37" t="str">
        <x:v>State-masked physical exposure</x:v>
      </x:c>
      <x:c r="E197" s="37" t="str">
        <x:v>direct category=glass spice container; physical state=O, UD; no state word</x:v>
      </x:c>
      <x:c r="F197" s="37" t="str">
        <x:v>state_glass_spice_container_o_ud_masked</x:v>
      </x:c>
      <x:c r="G197" s="37" t="str">
        <x:v>white-cup×upside-down; striped-cup×open; brown-cup×closed; spice-container×upright</x:v>
      </x:c>
      <x:c r="H197" s="37" t="str">
        <x:v>No</x:v>
      </x:c>
      <x:c r="I197" s="37" t="str">
        <x:v>Replace episode + assign prompt</x:v>
      </x:c>
      <x:c r="J197" s="37" t="str">
        <x:v>Use MT_State_Recognition_New episode 195 (Additional 40 / source episode 39) in place of the original VLA benchmark episode.</x:v>
      </x:c>
      <x:c r="K197" s="37" t="str">
        <x:v>glass spice container A (O, UD) [target, P1]; White cup A (O, UR); yellow-white striped cup B (C, UD); Brown cup A (O, UR)</x:v>
      </x:c>
      <x:c r="L197" s="37" t="str">
        <x:v>glass spice container A</x:v>
      </x:c>
      <x:c r="M197" s="37" t="str">
        <x:v>Home</x:v>
      </x:c>
      <x:c r="N197" s="37" t="str">
        <x:v>Move a glass spice container into the bowl.</x:v>
      </x:c>
      <x:c r="O197" s="37" t="str"/>
      <x:c r="P197" s="37" t="str">
        <x:v>Preserves glass spice container recognition and the recorded physical manipulation while omitting state language. Only one glass spice container appears, so this row cannot train state-based selection.</x:v>
      </x:c>
      <x:c r="Q197" s="38"/>
    </x:row>
    <x:row r="198" ht="60" customHeight="1">
      <x:c r="A198" s="70" t="n">
        <x:v>196</x:v>
      </x:c>
      <x:c r="B198" s="37" t="str">
        <x:v>State Recognition</x:v>
      </x:c>
      <x:c r="C198" s="37" t="str">
        <x:v>Place a glass spice container in the bowl.</x:v>
      </x:c>
      <x:c r="D198" s="37" t="str">
        <x:v>State-masked physical exposure</x:v>
      </x:c>
      <x:c r="E198" s="37" t="str">
        <x:v>direct category=glass spice container; physical state=O, UD; no state word</x:v>
      </x:c>
      <x:c r="F198" s="37" t="str">
        <x:v>state_glass_spice_container_o_ud_masked</x:v>
      </x:c>
      <x:c r="G198" s="37" t="str">
        <x:v>white-cup×upside-down; striped-cup×open; brown-cup×closed; spice-container×upright</x:v>
      </x:c>
      <x:c r="H198" s="37" t="str">
        <x:v>No</x:v>
      </x:c>
      <x:c r="I198" s="37" t="str">
        <x:v>Replace episode + assign prompt</x:v>
      </x:c>
      <x:c r="J198" s="37" t="str">
        <x:v>Use MT_State_Recognition_New episode 196 (Original 200 / source episode 196) in place of the original VLA benchmark episode.</x:v>
      </x:c>
      <x:c r="K198" s="37" t="str">
        <x:v>glass spice container A (O, UD) [target]; yellow-white striped cup B (C, UR); brown cup B (O, UR)</x:v>
      </x:c>
      <x:c r="L198" s="37" t="str">
        <x:v>glass spice container A</x:v>
      </x:c>
      <x:c r="M198" s="37" t="str">
        <x:v>Home</x:v>
      </x:c>
      <x:c r="N198" s="37" t="str">
        <x:v>Place a glass spice container in the bowl.</x:v>
      </x:c>
      <x:c r="O198" s="37" t="str"/>
      <x:c r="P198" s="37" t="str">
        <x:v>Preserves glass spice container recognition and the recorded physical manipulation while omitting state language. Only one glass spice container appears, so this row cannot train state-based selection.</x:v>
      </x:c>
      <x:c r="Q198" s="38"/>
    </x:row>
    <x:row r="199" ht="60" customHeight="1">
      <x:c r="A199" s="70" t="n">
        <x:v>197</x:v>
      </x:c>
      <x:c r="B199" s="37" t="str">
        <x:v>State Recognition</x:v>
      </x:c>
      <x:c r="C199" s="37" t="str">
        <x:v>Put a glass spice container in the bowl.</x:v>
      </x:c>
      <x:c r="D199" s="37" t="str">
        <x:v>State-masked physical exposure</x:v>
      </x:c>
      <x:c r="E199" s="37" t="str">
        <x:v>direct category=glass spice container; physical state=O, UR; no state word</x:v>
      </x:c>
      <x:c r="F199" s="37" t="str">
        <x:v>state_glass_spice_container_o_ur_masked</x:v>
      </x:c>
      <x:c r="G199" s="37" t="str">
        <x:v>white-cup×upside-down; striped-cup×open; brown-cup×closed; spice-container×upright</x:v>
      </x:c>
      <x:c r="H199" s="37" t="str">
        <x:v>No</x:v>
      </x:c>
      <x:c r="I199" s="37" t="str">
        <x:v>Replace episode + assign prompt</x:v>
      </x:c>
      <x:c r="J199" s="37" t="str">
        <x:v>Use MT_State_Recognition_New episode 197 (Replacement 61 / source episode 60) in place of the original VLA benchmark episode.</x:v>
      </x:c>
      <x:c r="K199" s="37" t="str">
        <x:v>glass spice container B (O, UR) [target, P1]; white cup A (C, UD) — P2; yellow-white striped cup B (O, UD) — P3; brown cup A (C, UR) — P4</x:v>
      </x:c>
      <x:c r="L199" s="37" t="str">
        <x:v>glass spice container B</x:v>
      </x:c>
      <x:c r="M199" s="37" t="str">
        <x:v>Home</x:v>
      </x:c>
      <x:c r="N199" s="37" t="str">
        <x:v>Put a glass spice container in the bowl.</x:v>
      </x:c>
      <x:c r="O199" s="37" t="str">
        <x:v>Move the upright glass spice container into the bowl.</x:v>
      </x:c>
      <x:c r="P199" s="37" t="str">
        <x:v>Preserves glass spice container recognition and the recorded physical manipulation while omitting state language. Only one glass spice container appears, so this row cannot train state-based selection.</x:v>
      </x:c>
      <x:c r="Q199" s="38"/>
    </x:row>
    <x:row r="200" ht="60" customHeight="1">
      <x:c r="A200" s="70" t="n">
        <x:v>198</x:v>
      </x:c>
      <x:c r="B200" s="37" t="str">
        <x:v>State Recognition</x:v>
      </x:c>
      <x:c r="C200" s="37" t="str">
        <x:v>Move a glass spice container into the bowl.</x:v>
      </x:c>
      <x:c r="D200" s="37" t="str">
        <x:v>State-masked physical exposure</x:v>
      </x:c>
      <x:c r="E200" s="37" t="str">
        <x:v>direct category=glass spice container; physical state=O, UD; no state word</x:v>
      </x:c>
      <x:c r="F200" s="37" t="str">
        <x:v>state_glass_spice_container_o_ud_masked</x:v>
      </x:c>
      <x:c r="G200" s="37" t="str">
        <x:v>white-cup×upside-down; striped-cup×open; brown-cup×closed; spice-container×upright</x:v>
      </x:c>
      <x:c r="H200" s="37" t="str">
        <x:v>No</x:v>
      </x:c>
      <x:c r="I200" s="37" t="str">
        <x:v>Replace episode + assign prompt</x:v>
      </x:c>
      <x:c r="J200" s="37" t="str">
        <x:v>Use MT_State_Recognition_New episode 198 (Replacement 61 / source episode 50) in place of the original VLA benchmark episode.</x:v>
      </x:c>
      <x:c r="K200" s="37" t="str">
        <x:v>glass spice container A (O, UD) [target, P3]; white cup A (C, UR) — P4; yellow-white striped cup B (O, UR) — P1; brown cup A (C, UD) — P2</x:v>
      </x:c>
      <x:c r="L200" s="37" t="str">
        <x:v>glass spice container A</x:v>
      </x:c>
      <x:c r="M200" s="37" t="str">
        <x:v>Home</x:v>
      </x:c>
      <x:c r="N200" s="37" t="str">
        <x:v>Move a glass spice container into the bowl.</x:v>
      </x:c>
      <x:c r="O200" s="37" t="str"/>
      <x:c r="P200" s="37" t="str">
        <x:v>Preserves glass spice container recognition and the recorded physical manipulation while omitting state language. Only one glass spice container appears, so this row cannot train state-based selection.</x:v>
      </x:c>
      <x:c r="Q200" s="38"/>
    </x:row>
    <x:row r="201" ht="60" customHeight="1">
      <x:c r="A201" s="70" t="n">
        <x:v>199</x:v>
      </x:c>
      <x:c r="B201" s="37" t="str">
        <x:v>State Recognition</x:v>
      </x:c>
      <x:c r="C201" s="37" t="str">
        <x:v>Place a glass spice container in the bowl.</x:v>
      </x:c>
      <x:c r="D201" s="37" t="str">
        <x:v>State-masked physical exposure</x:v>
      </x:c>
      <x:c r="E201" s="37" t="str">
        <x:v>direct category=glass spice container; physical state=C, UD; no state word</x:v>
      </x:c>
      <x:c r="F201" s="37" t="str">
        <x:v>state_glass_spice_container_c_ud_masked</x:v>
      </x:c>
      <x:c r="G201" s="37" t="str">
        <x:v>white-cup×upside-down; striped-cup×open; brown-cup×closed; spice-container×upright</x:v>
      </x:c>
      <x:c r="H201" s="37" t="str">
        <x:v>No</x:v>
      </x:c>
      <x:c r="I201" s="37" t="str">
        <x:v>Replace episode + assign prompt</x:v>
      </x:c>
      <x:c r="J201" s="37" t="str">
        <x:v>Use MT_State_Recognition_New episode 199 (Replacement 61 / source episode 53) in place of the original VLA benchmark episode.</x:v>
      </x:c>
      <x:c r="K201" s="37" t="str">
        <x:v>glass spice container A (C, UD) [target, P2]; white cup B (O, UR) — P4; yellow-white striped cup A (C, UD) — P1; brown cup B (O, UD) — P3</x:v>
      </x:c>
      <x:c r="L201" s="37" t="str">
        <x:v>glass spice container A</x:v>
      </x:c>
      <x:c r="M201" s="37" t="str">
        <x:v>Home</x:v>
      </x:c>
      <x:c r="N201" s="37" t="str">
        <x:v>Place a glass spice container in the bowl.</x:v>
      </x:c>
      <x:c r="O201" s="37" t="str"/>
      <x:c r="P201" s="37" t="str">
        <x:v>Preserves glass spice container recognition and the recorded physical manipulation while omitting state language. Only one glass spice container appears, so this row cannot train state-based selection.</x:v>
      </x:c>
      <x:c r="Q201" s="38"/>
    </x:row>
    <x:row r="202" ht="60" customHeight="1">
      <x:c r="A202" s="70" t="n">
        <x:v>200</x:v>
      </x:c>
      <x:c r="B202" s="37" t="str">
        <x:v>Relational Placement</x:v>
      </x:c>
      <x:c r="C202" s="37" t="str">
        <x:v>Move the green pen near the red block.</x:v>
      </x:c>
      <x:c r="D202" s="37" t="str">
        <x:v>Masked unordered-pair composition</x:v>
      </x:c>
      <x:c r="E202" s="37" t="str">
        <x:v>near / beside / next to with the green-pen/red-block pair</x:v>
      </x:c>
      <x:c r="F202" s="37" t="str">
        <x:v>relational_green_pen_red_block_direction_masked</x:v>
      </x:c>
      <x:c r="G202" s="37" t="str">
        <x:v>direction × ordered green-pen/red-block target/reference role</x:v>
      </x:c>
      <x:c r="H202" s="37" t="str">
        <x:v>No</x:v>
      </x:c>
      <x:c r="I202" s="37" t="str">
        <x:v>Keep prompt</x:v>
      </x:c>
      <x:c r="J202" s="37" t="str">
        <x:v>No prompt change required under the missing-cell design.</x:v>
      </x:c>
      <x:c r="K202" s="37" t="str">
        <x:v>green pen, red block</x:v>
      </x:c>
      <x:c r="L202" s="37" t="str">
        <x:v>green pen</x:v>
      </x:c>
      <x:c r="M202" s="37" t="str">
        <x:v>Home</x:v>
      </x:c>
      <x:c r="N202" s="37" t="str">
        <x:v>Move the green pen near the red block.</x:v>
      </x:c>
      <x:c r="O202" s="37" t="str">
        <x:v>Place the green pen in front of the red block.</x:v>
      </x:c>
      <x:c r="P202" s="37" t="str">
        <x:v>The green pen and red block are both named and manipulated with a familiar near relation, while directional language is withheld for this ordered pair.</x:v>
      </x:c>
      <x:c r="Q202" s="38"/>
    </x:row>
    <x:row r="203" ht="60" customHeight="1">
      <x:c r="A203" s="70" t="n">
        <x:v>201</x:v>
      </x:c>
      <x:c r="B203" s="37" t="str">
        <x:v>Relational Placement</x:v>
      </x:c>
      <x:c r="C203" s="37" t="str">
        <x:v>Place the green pen next to the red block.</x:v>
      </x:c>
      <x:c r="D203" s="37" t="str">
        <x:v>Masked unordered-pair composition</x:v>
      </x:c>
      <x:c r="E203" s="37" t="str">
        <x:v>near / beside / next to with the green-pen/red-block pair</x:v>
      </x:c>
      <x:c r="F203" s="37" t="str">
        <x:v>relational_green_pen_red_block_direction_masked</x:v>
      </x:c>
      <x:c r="G203" s="37" t="str">
        <x:v>direction × ordered green-pen/red-block target/reference role</x:v>
      </x:c>
      <x:c r="H203" s="37" t="str">
        <x:v>No</x:v>
      </x:c>
      <x:c r="I203" s="37" t="str">
        <x:v>Keep prompt</x:v>
      </x:c>
      <x:c r="J203" s="37" t="str">
        <x:v>No prompt change required under the missing-cell design.</x:v>
      </x:c>
      <x:c r="K203" s="37" t="str">
        <x:v>green pen, red block, pink marker</x:v>
      </x:c>
      <x:c r="L203" s="37" t="str">
        <x:v>green pen</x:v>
      </x:c>
      <x:c r="M203" s="37" t="str">
        <x:v>Home</x:v>
      </x:c>
      <x:c r="N203" s="37" t="str">
        <x:v>Place the green pen next to the red block.</x:v>
      </x:c>
      <x:c r="O203" s="37" t="str">
        <x:v>Place the green pen in front of the red block.</x:v>
      </x:c>
      <x:c r="P203" s="37" t="str">
        <x:v>The green pen and red block are both named and manipulated with a familiar near relation, while directional language is withheld for this ordered pair.</x:v>
      </x:c>
      <x:c r="Q203" s="38"/>
    </x:row>
    <x:row r="204" ht="60" customHeight="1">
      <x:c r="A204" s="70" t="n">
        <x:v>202</x:v>
      </x:c>
      <x:c r="B204" s="37" t="str">
        <x:v>Relational Placement</x:v>
      </x:c>
      <x:c r="C204" s="37" t="str">
        <x:v>Put the green pen beside the red block.</x:v>
      </x:c>
      <x:c r="D204" s="37" t="str">
        <x:v>Masked unordered-pair composition</x:v>
      </x:c>
      <x:c r="E204" s="37" t="str">
        <x:v>near / beside / next to with the green-pen/red-block pair</x:v>
      </x:c>
      <x:c r="F204" s="37" t="str">
        <x:v>relational_green_pen_red_block_direction_masked</x:v>
      </x:c>
      <x:c r="G204" s="37" t="str">
        <x:v>direction × ordered green-pen/red-block target/reference role</x:v>
      </x:c>
      <x:c r="H204" s="37" t="str">
        <x:v>No</x:v>
      </x:c>
      <x:c r="I204" s="37" t="str">
        <x:v>Keep prompt</x:v>
      </x:c>
      <x:c r="J204" s="37" t="str">
        <x:v>No prompt change required under the missing-cell design.</x:v>
      </x:c>
      <x:c r="K204" s="37" t="str">
        <x:v>green pen, red block, pink marker, blue block</x:v>
      </x:c>
      <x:c r="L204" s="37" t="str">
        <x:v>green pen</x:v>
      </x:c>
      <x:c r="M204" s="37" t="str">
        <x:v>Home</x:v>
      </x:c>
      <x:c r="N204" s="37" t="str">
        <x:v>Put the green pen beside the red block.</x:v>
      </x:c>
      <x:c r="O204" s="37" t="str">
        <x:v>Place the green pen in front of the red block.</x:v>
      </x:c>
      <x:c r="P204" s="37" t="str">
        <x:v>The green pen and red block are both named and manipulated with a familiar near relation, while directional language is withheld for this ordered pair.</x:v>
      </x:c>
      <x:c r="Q204" s="38"/>
    </x:row>
    <x:row r="205" ht="60" customHeight="1">
      <x:c r="A205" s="70" t="n">
        <x:v>203</x:v>
      </x:c>
      <x:c r="B205" s="37" t="str">
        <x:v>Relational Placement</x:v>
      </x:c>
      <x:c r="C205" s="37" t="str">
        <x:v>Move the green pen near the red block.</x:v>
      </x:c>
      <x:c r="D205" s="37" t="str">
        <x:v>Masked unordered-pair composition</x:v>
      </x:c>
      <x:c r="E205" s="37" t="str">
        <x:v>near / beside / next to with the green-pen/red-block pair</x:v>
      </x:c>
      <x:c r="F205" s="37" t="str">
        <x:v>relational_green_pen_red_block_direction_masked</x:v>
      </x:c>
      <x:c r="G205" s="37" t="str">
        <x:v>direction × ordered green-pen/red-block target/reference role</x:v>
      </x:c>
      <x:c r="H205" s="37" t="str">
        <x:v>No</x:v>
      </x:c>
      <x:c r="I205" s="37" t="str">
        <x:v>Keep prompt</x:v>
      </x:c>
      <x:c r="J205" s="37" t="str">
        <x:v>No prompt change required under the missing-cell design.</x:v>
      </x:c>
      <x:c r="K205" s="37" t="str">
        <x:v>green pen, red block, blue block</x:v>
      </x:c>
      <x:c r="L205" s="37" t="str">
        <x:v>green pen</x:v>
      </x:c>
      <x:c r="M205" s="37" t="str">
        <x:v>Recovery</x:v>
      </x:c>
      <x:c r="N205" s="37" t="str">
        <x:v>Move the green pen near the red block.</x:v>
      </x:c>
      <x:c r="O205" s="37" t="str">
        <x:v>Place the green pen in front of the red block.</x:v>
      </x:c>
      <x:c r="P205" s="37" t="str">
        <x:v>The green pen and red block are both named and manipulated with a familiar near relation, while directional language is withheld for this ordered pair.</x:v>
      </x:c>
      <x:c r="Q205" s="38"/>
    </x:row>
    <x:row r="206" ht="60" customHeight="1">
      <x:c r="A206" s="70" t="n">
        <x:v>204</x:v>
      </x:c>
      <x:c r="B206" s="37" t="str">
        <x:v>Relational Placement</x:v>
      </x:c>
      <x:c r="C206" s="37" t="str">
        <x:v>Move the green pen to the front of the pink marker.</x:v>
      </x:c>
      <x:c r="D206" s="37" t="str">
        <x:v>Explicit spatial-relation grounding</x:v>
      </x:c>
      <x:c r="E206" s="37" t="str">
        <x:v>left / right / front / behind with other ordered object pairs</x:v>
      </x:c>
      <x:c r="F206" s="37" t="str">
        <x:v>relational_direction_explicit_other_pair</x:v>
      </x:c>
      <x:c r="G206" s="37" t="str">
        <x:v>direction × ordered green-pen/red-block target/reference role</x:v>
      </x:c>
      <x:c r="H206" s="37" t="str">
        <x:v>No</x:v>
      </x:c>
      <x:c r="I206" s="37" t="str">
        <x:v>Keep prompt</x:v>
      </x:c>
      <x:c r="J206" s="37" t="str">
        <x:v>No prompt change required under the missing-cell design.</x:v>
      </x:c>
      <x:c r="K206" s="37" t="str">
        <x:v>green pen, pink marker</x:v>
      </x:c>
      <x:c r="L206" s="37" t="str">
        <x:v>green pen</x:v>
      </x:c>
      <x:c r="M206" s="37" t="str">
        <x:v>Home</x:v>
      </x:c>
      <x:c r="N206" s="37" t="str">
        <x:v>Move the green pen to the front of the pink marker.</x:v>
      </x:c>
      <x:c r="O206" s="37" t="str"/>
      <x:c r="P206" s="37" t="str">
        <x:v>Directional concepts are explicitly grounded on other ordered object pairs.</x:v>
      </x:c>
      <x:c r="Q206" s="38"/>
    </x:row>
    <x:row r="207" ht="60" customHeight="1">
      <x:c r="A207" s="70" t="n">
        <x:v>205</x:v>
      </x:c>
      <x:c r="B207" s="37" t="str">
        <x:v>Relational Placement</x:v>
      </x:c>
      <x:c r="C207" s="37" t="str">
        <x:v>Put the green pen on the table in front of the pink marker.</x:v>
      </x:c>
      <x:c r="D207" s="37" t="str">
        <x:v>Explicit spatial-relation grounding</x:v>
      </x:c>
      <x:c r="E207" s="37" t="str">
        <x:v>left / right / front / behind with other ordered object pairs</x:v>
      </x:c>
      <x:c r="F207" s="37" t="str">
        <x:v>relational_direction_explicit_other_pair</x:v>
      </x:c>
      <x:c r="G207" s="37" t="str">
        <x:v>direction × ordered green-pen/red-block target/reference role</x:v>
      </x:c>
      <x:c r="H207" s="37" t="str">
        <x:v>No</x:v>
      </x:c>
      <x:c r="I207" s="37" t="str">
        <x:v>Keep prompt</x:v>
      </x:c>
      <x:c r="J207" s="37" t="str">
        <x:v>No prompt change required under the missing-cell design.</x:v>
      </x:c>
      <x:c r="K207" s="37" t="str">
        <x:v>green pen, pink marker, red block</x:v>
      </x:c>
      <x:c r="L207" s="37" t="str">
        <x:v>green pen</x:v>
      </x:c>
      <x:c r="M207" s="37" t="str">
        <x:v>Home</x:v>
      </x:c>
      <x:c r="N207" s="37" t="str">
        <x:v>Put the green pen on the table in front of the pink marker.</x:v>
      </x:c>
      <x:c r="O207" s="37" t="str"/>
      <x:c r="P207" s="37" t="str">
        <x:v>Directional concepts are explicitly grounded on other ordered object pairs.</x:v>
      </x:c>
      <x:c r="Q207" s="38"/>
    </x:row>
    <x:row r="208" ht="60" customHeight="1">
      <x:c r="A208" s="70" t="n">
        <x:v>206</x:v>
      </x:c>
      <x:c r="B208" s="37" t="str">
        <x:v>Relational Placement</x:v>
      </x:c>
      <x:c r="C208" s="37" t="str">
        <x:v>Put the green pen on the table in front of the pink marker.</x:v>
      </x:c>
      <x:c r="D208" s="37" t="str">
        <x:v>Explicit spatial-relation grounding</x:v>
      </x:c>
      <x:c r="E208" s="37" t="str">
        <x:v>left / right / front / behind with other ordered object pairs</x:v>
      </x:c>
      <x:c r="F208" s="37" t="str">
        <x:v>relational_direction_explicit_other_pair</x:v>
      </x:c>
      <x:c r="G208" s="37" t="str">
        <x:v>direction × ordered green-pen/red-block target/reference role</x:v>
      </x:c>
      <x:c r="H208" s="37" t="str">
        <x:v>No</x:v>
      </x:c>
      <x:c r="I208" s="37" t="str">
        <x:v>Keep prompt</x:v>
      </x:c>
      <x:c r="J208" s="37" t="str">
        <x:v>No prompt change required under the missing-cell design.</x:v>
      </x:c>
      <x:c r="K208" s="37" t="str">
        <x:v>green pen, red block, pink marker, blue block</x:v>
      </x:c>
      <x:c r="L208" s="37" t="str">
        <x:v>green pen</x:v>
      </x:c>
      <x:c r="M208" s="37" t="str">
        <x:v>Home</x:v>
      </x:c>
      <x:c r="N208" s="37" t="str">
        <x:v>Put the green pen on the table in front of the pink marker.</x:v>
      </x:c>
      <x:c r="O208" s="37" t="str"/>
      <x:c r="P208" s="37" t="str">
        <x:v>Directional concepts are explicitly grounded on other ordered object pairs.</x:v>
      </x:c>
      <x:c r="Q208" s="38"/>
    </x:row>
    <x:row r="209" ht="60" customHeight="1">
      <x:c r="A209" s="70" t="n">
        <x:v>207</x:v>
      </x:c>
      <x:c r="B209" s="37" t="str">
        <x:v>Relational Placement</x:v>
      </x:c>
      <x:c r="C209" s="37" t="str">
        <x:v>Place the green pen in front of the pink marker.</x:v>
      </x:c>
      <x:c r="D209" s="37" t="str">
        <x:v>Explicit spatial-relation grounding</x:v>
      </x:c>
      <x:c r="E209" s="37" t="str">
        <x:v>left / right / front / behind with other ordered object pairs</x:v>
      </x:c>
      <x:c r="F209" s="37" t="str">
        <x:v>relational_direction_explicit_other_pair</x:v>
      </x:c>
      <x:c r="G209" s="37" t="str">
        <x:v>direction × ordered green-pen/red-block target/reference role</x:v>
      </x:c>
      <x:c r="H209" s="37" t="str">
        <x:v>No</x:v>
      </x:c>
      <x:c r="I209" s="37" t="str">
        <x:v>Keep prompt</x:v>
      </x:c>
      <x:c r="J209" s="37" t="str">
        <x:v>No prompt change required under the missing-cell design.</x:v>
      </x:c>
      <x:c r="K209" s="37" t="str">
        <x:v>green pen, pink marker, blue block</x:v>
      </x:c>
      <x:c r="L209" s="37" t="str">
        <x:v>green pen</x:v>
      </x:c>
      <x:c r="M209" s="37" t="str">
        <x:v>Recovery</x:v>
      </x:c>
      <x:c r="N209" s="37" t="str">
        <x:v>Place the green pen in front of the pink marker.</x:v>
      </x:c>
      <x:c r="O209" s="37" t="str"/>
      <x:c r="P209" s="37" t="str">
        <x:v>Directional concepts are explicitly grounded on other ordered object pairs.</x:v>
      </x:c>
      <x:c r="Q209" s="38"/>
    </x:row>
    <x:row r="210" ht="60" customHeight="1">
      <x:c r="A210" s="70" t="n">
        <x:v>208</x:v>
      </x:c>
      <x:c r="B210" s="37" t="str">
        <x:v>Relational Placement</x:v>
      </x:c>
      <x:c r="C210" s="37" t="str">
        <x:v>Move the green pen to the front of the blue block.</x:v>
      </x:c>
      <x:c r="D210" s="37" t="str">
        <x:v>Explicit spatial-relation grounding</x:v>
      </x:c>
      <x:c r="E210" s="37" t="str">
        <x:v>left / right / front / behind with other ordered object pairs</x:v>
      </x:c>
      <x:c r="F210" s="37" t="str">
        <x:v>relational_direction_explicit_other_pair</x:v>
      </x:c>
      <x:c r="G210" s="37" t="str">
        <x:v>direction × ordered green-pen/red-block target/reference role</x:v>
      </x:c>
      <x:c r="H210" s="37" t="str">
        <x:v>No</x:v>
      </x:c>
      <x:c r="I210" s="37" t="str">
        <x:v>Keep prompt</x:v>
      </x:c>
      <x:c r="J210" s="37" t="str">
        <x:v>No prompt change required under the missing-cell design.</x:v>
      </x:c>
      <x:c r="K210" s="37" t="str">
        <x:v>green pen, blue block</x:v>
      </x:c>
      <x:c r="L210" s="37" t="str">
        <x:v>green pen</x:v>
      </x:c>
      <x:c r="M210" s="37" t="str">
        <x:v>Home</x:v>
      </x:c>
      <x:c r="N210" s="37" t="str">
        <x:v>Move the green pen to the front of the blue block.</x:v>
      </x:c>
      <x:c r="O210" s="37" t="str"/>
      <x:c r="P210" s="37" t="str">
        <x:v>Directional concepts are explicitly grounded on other ordered object pairs.</x:v>
      </x:c>
      <x:c r="Q210" s="38"/>
    </x:row>
    <x:row r="211" ht="60" customHeight="1">
      <x:c r="A211" s="70" t="n">
        <x:v>209</x:v>
      </x:c>
      <x:c r="B211" s="37" t="str">
        <x:v>Relational Placement</x:v>
      </x:c>
      <x:c r="C211" s="37" t="str">
        <x:v>Put the green pen on the table in front of the blue block.</x:v>
      </x:c>
      <x:c r="D211" s="37" t="str">
        <x:v>Explicit spatial-relation grounding</x:v>
      </x:c>
      <x:c r="E211" s="37" t="str">
        <x:v>left / right / front / behind with other ordered object pairs</x:v>
      </x:c>
      <x:c r="F211" s="37" t="str">
        <x:v>relational_direction_explicit_other_pair</x:v>
      </x:c>
      <x:c r="G211" s="37" t="str">
        <x:v>direction × ordered green-pen/red-block target/reference role</x:v>
      </x:c>
      <x:c r="H211" s="37" t="str">
        <x:v>No</x:v>
      </x:c>
      <x:c r="I211" s="37" t="str">
        <x:v>Keep prompt</x:v>
      </x:c>
      <x:c r="J211" s="37" t="str">
        <x:v>No prompt change required under the missing-cell design.</x:v>
      </x:c>
      <x:c r="K211" s="37" t="str">
        <x:v>green pen, blue block, red block</x:v>
      </x:c>
      <x:c r="L211" s="37" t="str">
        <x:v>green pen</x:v>
      </x:c>
      <x:c r="M211" s="37" t="str">
        <x:v>Home</x:v>
      </x:c>
      <x:c r="N211" s="37" t="str">
        <x:v>Put the green pen on the table in front of the blue block.</x:v>
      </x:c>
      <x:c r="O211" s="37" t="str"/>
      <x:c r="P211" s="37" t="str">
        <x:v>Directional concepts are explicitly grounded on other ordered object pairs.</x:v>
      </x:c>
      <x:c r="Q211" s="38"/>
    </x:row>
    <x:row r="212" ht="60" customHeight="1">
      <x:c r="A212" s="70" t="n">
        <x:v>210</x:v>
      </x:c>
      <x:c r="B212" s="37" t="str">
        <x:v>Relational Placement</x:v>
      </x:c>
      <x:c r="C212" s="37" t="str">
        <x:v>Place the green pen in front of the blue block.</x:v>
      </x:c>
      <x:c r="D212" s="37" t="str">
        <x:v>Explicit spatial-relation grounding</x:v>
      </x:c>
      <x:c r="E212" s="37" t="str">
        <x:v>left / right / front / behind with other ordered object pairs</x:v>
      </x:c>
      <x:c r="F212" s="37" t="str">
        <x:v>relational_direction_explicit_other_pair</x:v>
      </x:c>
      <x:c r="G212" s="37" t="str">
        <x:v>direction × ordered green-pen/red-block target/reference role</x:v>
      </x:c>
      <x:c r="H212" s="37" t="str">
        <x:v>No</x:v>
      </x:c>
      <x:c r="I212" s="37" t="str">
        <x:v>Keep prompt</x:v>
      </x:c>
      <x:c r="J212" s="37" t="str">
        <x:v>No prompt change required under the missing-cell design.</x:v>
      </x:c>
      <x:c r="K212" s="37" t="str">
        <x:v>green pen, red block, pink marker, blue block</x:v>
      </x:c>
      <x:c r="L212" s="37" t="str">
        <x:v>green pen</x:v>
      </x:c>
      <x:c r="M212" s="37" t="str">
        <x:v>Home</x:v>
      </x:c>
      <x:c r="N212" s="37" t="str">
        <x:v>Place the green pen in front of the blue block.</x:v>
      </x:c>
      <x:c r="O212" s="37" t="str"/>
      <x:c r="P212" s="37" t="str">
        <x:v>Directional concepts are explicitly grounded on other ordered object pairs.</x:v>
      </x:c>
      <x:c r="Q212" s="38"/>
    </x:row>
    <x:row r="213" ht="60" customHeight="1">
      <x:c r="A213" s="70" t="n">
        <x:v>211</x:v>
      </x:c>
      <x:c r="B213" s="37" t="str">
        <x:v>Relational Placement</x:v>
      </x:c>
      <x:c r="C213" s="37" t="str">
        <x:v>Place the green pen in front of the blue block.</x:v>
      </x:c>
      <x:c r="D213" s="37" t="str">
        <x:v>Explicit spatial-relation grounding</x:v>
      </x:c>
      <x:c r="E213" s="37" t="str">
        <x:v>left / right / front / behind with other ordered object pairs</x:v>
      </x:c>
      <x:c r="F213" s="37" t="str">
        <x:v>relational_direction_explicit_other_pair</x:v>
      </x:c>
      <x:c r="G213" s="37" t="str">
        <x:v>direction × ordered green-pen/red-block target/reference role</x:v>
      </x:c>
      <x:c r="H213" s="37" t="str">
        <x:v>No</x:v>
      </x:c>
      <x:c r="I213" s="37" t="str">
        <x:v>Keep prompt</x:v>
      </x:c>
      <x:c r="J213" s="37" t="str">
        <x:v>No prompt change required under the missing-cell design.</x:v>
      </x:c>
      <x:c r="K213" s="37" t="str">
        <x:v>green pen, blue block, pink marker</x:v>
      </x:c>
      <x:c r="L213" s="37" t="str">
        <x:v>green pen</x:v>
      </x:c>
      <x:c r="M213" s="37" t="str">
        <x:v>Home</x:v>
      </x:c>
      <x:c r="N213" s="37" t="str">
        <x:v>Place the green pen in front of the blue block.</x:v>
      </x:c>
      <x:c r="O213" s="37" t="str"/>
      <x:c r="P213" s="37" t="str">
        <x:v>Directional concepts are explicitly grounded on other ordered object pairs.</x:v>
      </x:c>
      <x:c r="Q213" s="38"/>
    </x:row>
    <x:row r="214" ht="60" customHeight="1">
      <x:c r="A214" s="70" t="n">
        <x:v>212</x:v>
      </x:c>
      <x:c r="B214" s="37" t="str">
        <x:v>Relational Placement</x:v>
      </x:c>
      <x:c r="C214" s="37" t="str">
        <x:v>Move the green pen near the red block.</x:v>
      </x:c>
      <x:c r="D214" s="37" t="str">
        <x:v>Masked unordered-pair composition</x:v>
      </x:c>
      <x:c r="E214" s="37" t="str">
        <x:v>near / beside / next to with the green-pen/red-block pair</x:v>
      </x:c>
      <x:c r="F214" s="37" t="str">
        <x:v>relational_green_pen_red_block_direction_masked</x:v>
      </x:c>
      <x:c r="G214" s="37" t="str">
        <x:v>direction × ordered green-pen/red-block target/reference role</x:v>
      </x:c>
      <x:c r="H214" s="37" t="str">
        <x:v>No</x:v>
      </x:c>
      <x:c r="I214" s="37" t="str">
        <x:v>Keep prompt</x:v>
      </x:c>
      <x:c r="J214" s="37" t="str">
        <x:v>No prompt change required under the missing-cell design.</x:v>
      </x:c>
      <x:c r="K214" s="37" t="str">
        <x:v>green pen, red block</x:v>
      </x:c>
      <x:c r="L214" s="37" t="str">
        <x:v>green pen</x:v>
      </x:c>
      <x:c r="M214" s="37" t="str">
        <x:v>Home</x:v>
      </x:c>
      <x:c r="N214" s="37" t="str">
        <x:v>Move the green pen near the red block.</x:v>
      </x:c>
      <x:c r="O214" s="37" t="str">
        <x:v>Place the green pen behind the red block.</x:v>
      </x:c>
      <x:c r="P214" s="37" t="str">
        <x:v>The green pen and red block are both named and manipulated with a familiar near relation, while directional language is withheld for this ordered pair.</x:v>
      </x:c>
      <x:c r="Q214" s="38"/>
    </x:row>
    <x:row r="215" ht="60" customHeight="1">
      <x:c r="A215" s="70" t="n">
        <x:v>213</x:v>
      </x:c>
      <x:c r="B215" s="37" t="str">
        <x:v>Relational Placement</x:v>
      </x:c>
      <x:c r="C215" s="37" t="str">
        <x:v>Place the green pen next to the red block.</x:v>
      </x:c>
      <x:c r="D215" s="37" t="str">
        <x:v>Masked unordered-pair composition</x:v>
      </x:c>
      <x:c r="E215" s="37" t="str">
        <x:v>near / beside / next to with the green-pen/red-block pair</x:v>
      </x:c>
      <x:c r="F215" s="37" t="str">
        <x:v>relational_green_pen_red_block_direction_masked</x:v>
      </x:c>
      <x:c r="G215" s="37" t="str">
        <x:v>direction × ordered green-pen/red-block target/reference role</x:v>
      </x:c>
      <x:c r="H215" s="37" t="str">
        <x:v>No</x:v>
      </x:c>
      <x:c r="I215" s="37" t="str">
        <x:v>Keep prompt</x:v>
      </x:c>
      <x:c r="J215" s="37" t="str">
        <x:v>No prompt change required under the missing-cell design.</x:v>
      </x:c>
      <x:c r="K215" s="37" t="str">
        <x:v>green pen, red block, pink marker</x:v>
      </x:c>
      <x:c r="L215" s="37" t="str">
        <x:v>green pen</x:v>
      </x:c>
      <x:c r="M215" s="37" t="str">
        <x:v>Home</x:v>
      </x:c>
      <x:c r="N215" s="37" t="str">
        <x:v>Place the green pen next to the red block.</x:v>
      </x:c>
      <x:c r="O215" s="37" t="str">
        <x:v>Place the green pen behind the red block.</x:v>
      </x:c>
      <x:c r="P215" s="37" t="str">
        <x:v>The green pen and red block are both named and manipulated with a familiar near relation, while directional language is withheld for this ordered pair.</x:v>
      </x:c>
      <x:c r="Q215" s="38"/>
    </x:row>
    <x:row r="216" ht="60" customHeight="1">
      <x:c r="A216" s="70" t="n">
        <x:v>214</x:v>
      </x:c>
      <x:c r="B216" s="37" t="str">
        <x:v>Relational Placement</x:v>
      </x:c>
      <x:c r="C216" s="37" t="str">
        <x:v>Put the green pen beside the red block.</x:v>
      </x:c>
      <x:c r="D216" s="37" t="str">
        <x:v>Masked unordered-pair composition</x:v>
      </x:c>
      <x:c r="E216" s="37" t="str">
        <x:v>near / beside / next to with the green-pen/red-block pair</x:v>
      </x:c>
      <x:c r="F216" s="37" t="str">
        <x:v>relational_green_pen_red_block_direction_masked</x:v>
      </x:c>
      <x:c r="G216" s="37" t="str">
        <x:v>direction × ordered green-pen/red-block target/reference role</x:v>
      </x:c>
      <x:c r="H216" s="37" t="str">
        <x:v>No</x:v>
      </x:c>
      <x:c r="I216" s="37" t="str">
        <x:v>Keep prompt</x:v>
      </x:c>
      <x:c r="J216" s="37" t="str">
        <x:v>No prompt change required under the missing-cell design.</x:v>
      </x:c>
      <x:c r="K216" s="37" t="str">
        <x:v>green pen, red block, pink marker, blue block</x:v>
      </x:c>
      <x:c r="L216" s="37" t="str">
        <x:v>green pen</x:v>
      </x:c>
      <x:c r="M216" s="37" t="str">
        <x:v>Home</x:v>
      </x:c>
      <x:c r="N216" s="37" t="str">
        <x:v>Put the green pen beside the red block.</x:v>
      </x:c>
      <x:c r="O216" s="37" t="str">
        <x:v>Place the green pen behind the red block.</x:v>
      </x:c>
      <x:c r="P216" s="37" t="str">
        <x:v>The green pen and red block are both named and manipulated with a familiar near relation, while directional language is withheld for this ordered pair.</x:v>
      </x:c>
      <x:c r="Q216" s="38"/>
    </x:row>
    <x:row r="217" ht="60" customHeight="1">
      <x:c r="A217" s="70" t="n">
        <x:v>215</x:v>
      </x:c>
      <x:c r="B217" s="37" t="str">
        <x:v>Relational Placement</x:v>
      </x:c>
      <x:c r="C217" s="37" t="str">
        <x:v>Move the green pen near the red block.</x:v>
      </x:c>
      <x:c r="D217" s="37" t="str">
        <x:v>Masked unordered-pair composition</x:v>
      </x:c>
      <x:c r="E217" s="37" t="str">
        <x:v>near / beside / next to with the green-pen/red-block pair</x:v>
      </x:c>
      <x:c r="F217" s="37" t="str">
        <x:v>relational_green_pen_red_block_direction_masked</x:v>
      </x:c>
      <x:c r="G217" s="37" t="str">
        <x:v>direction × ordered green-pen/red-block target/reference role</x:v>
      </x:c>
      <x:c r="H217" s="37" t="str">
        <x:v>No</x:v>
      </x:c>
      <x:c r="I217" s="37" t="str">
        <x:v>Keep prompt</x:v>
      </x:c>
      <x:c r="J217" s="37" t="str">
        <x:v>No prompt change required under the missing-cell design.</x:v>
      </x:c>
      <x:c r="K217" s="37" t="str">
        <x:v>green pen, red block, blue block</x:v>
      </x:c>
      <x:c r="L217" s="37" t="str">
        <x:v>green pen</x:v>
      </x:c>
      <x:c r="M217" s="37" t="str">
        <x:v>Recovery</x:v>
      </x:c>
      <x:c r="N217" s="37" t="str">
        <x:v>Move the green pen near the red block.</x:v>
      </x:c>
      <x:c r="O217" s="37" t="str">
        <x:v>Place the green pen behind the red block.</x:v>
      </x:c>
      <x:c r="P217" s="37" t="str">
        <x:v>The green pen and red block are both named and manipulated with a familiar near relation, while directional language is withheld for this ordered pair.</x:v>
      </x:c>
      <x:c r="Q217" s="38"/>
    </x:row>
    <x:row r="218" ht="60" customHeight="1">
      <x:c r="A218" s="70" t="n">
        <x:v>216</x:v>
      </x:c>
      <x:c r="B218" s="37" t="str">
        <x:v>Relational Placement</x:v>
      </x:c>
      <x:c r="C218" s="37" t="str">
        <x:v>Place the green pen next to the red block.</x:v>
      </x:c>
      <x:c r="D218" s="37" t="str">
        <x:v>Masked unordered-pair composition</x:v>
      </x:c>
      <x:c r="E218" s="37" t="str">
        <x:v>near / beside / next to with the green-pen/red-block pair</x:v>
      </x:c>
      <x:c r="F218" s="37" t="str">
        <x:v>relational_green_pen_red_block_direction_masked</x:v>
      </x:c>
      <x:c r="G218" s="37" t="str">
        <x:v>direction × ordered green-pen/red-block target/reference role</x:v>
      </x:c>
      <x:c r="H218" s="37" t="str">
        <x:v>No</x:v>
      </x:c>
      <x:c r="I218" s="37" t="str">
        <x:v>Keep prompt</x:v>
      </x:c>
      <x:c r="J218" s="37" t="str">
        <x:v>No prompt change required under the missing-cell design.</x:v>
      </x:c>
      <x:c r="K218" s="37" t="str">
        <x:v>green pen, red block, pink marker, blue block</x:v>
      </x:c>
      <x:c r="L218" s="37" t="str">
        <x:v>green pen</x:v>
      </x:c>
      <x:c r="M218" s="37" t="str">
        <x:v>Home</x:v>
      </x:c>
      <x:c r="N218" s="37" t="str">
        <x:v>Place the green pen next to the red block.</x:v>
      </x:c>
      <x:c r="O218" s="37" t="str">
        <x:v>Place the green pen behind the red block.</x:v>
      </x:c>
      <x:c r="P218" s="37" t="str">
        <x:v>The green pen and red block are both named and manipulated with a familiar near relation, while directional language is withheld for this ordered pair.</x:v>
      </x:c>
      <x:c r="Q218" s="38"/>
    </x:row>
    <x:row r="219" ht="60" customHeight="1">
      <x:c r="A219" s="70" t="n">
        <x:v>217</x:v>
      </x:c>
      <x:c r="B219" s="37" t="str">
        <x:v>Relational Placement</x:v>
      </x:c>
      <x:c r="C219" s="37" t="str">
        <x:v>Move the green pen to the back of the pink marker.</x:v>
      </x:c>
      <x:c r="D219" s="37" t="str">
        <x:v>Explicit spatial-relation grounding</x:v>
      </x:c>
      <x:c r="E219" s="37" t="str">
        <x:v>left / right / front / behind with other ordered object pairs</x:v>
      </x:c>
      <x:c r="F219" s="37" t="str">
        <x:v>relational_direction_explicit_other_pair</x:v>
      </x:c>
      <x:c r="G219" s="37" t="str">
        <x:v>direction × ordered green-pen/red-block target/reference role</x:v>
      </x:c>
      <x:c r="H219" s="37" t="str">
        <x:v>No</x:v>
      </x:c>
      <x:c r="I219" s="37" t="str">
        <x:v>Keep prompt</x:v>
      </x:c>
      <x:c r="J219" s="37" t="str">
        <x:v>No prompt change required under the missing-cell design.</x:v>
      </x:c>
      <x:c r="K219" s="37" t="str">
        <x:v>green pen, pink marker</x:v>
      </x:c>
      <x:c r="L219" s="37" t="str">
        <x:v>green pen</x:v>
      </x:c>
      <x:c r="M219" s="37" t="str">
        <x:v>Home</x:v>
      </x:c>
      <x:c r="N219" s="37" t="str">
        <x:v>Move the green pen to the back of the pink marker.</x:v>
      </x:c>
      <x:c r="O219" s="37" t="str"/>
      <x:c r="P219" s="37" t="str">
        <x:v>Directional concepts are explicitly grounded on other ordered object pairs.</x:v>
      </x:c>
      <x:c r="Q219" s="38"/>
    </x:row>
    <x:row r="220" ht="60" customHeight="1">
      <x:c r="A220" s="70" t="n">
        <x:v>218</x:v>
      </x:c>
      <x:c r="B220" s="37" t="str">
        <x:v>Relational Placement</x:v>
      </x:c>
      <x:c r="C220" s="37" t="str">
        <x:v>Place the green pen behind the pink marker.</x:v>
      </x:c>
      <x:c r="D220" s="37" t="str">
        <x:v>Explicit spatial-relation grounding</x:v>
      </x:c>
      <x:c r="E220" s="37" t="str">
        <x:v>left / right / front / behind with other ordered object pairs</x:v>
      </x:c>
      <x:c r="F220" s="37" t="str">
        <x:v>relational_direction_explicit_other_pair</x:v>
      </x:c>
      <x:c r="G220" s="37" t="str">
        <x:v>direction × ordered green-pen/red-block target/reference role</x:v>
      </x:c>
      <x:c r="H220" s="37" t="str">
        <x:v>No</x:v>
      </x:c>
      <x:c r="I220" s="37" t="str">
        <x:v>Keep prompt</x:v>
      </x:c>
      <x:c r="J220" s="37" t="str">
        <x:v>No prompt change required under the missing-cell design.</x:v>
      </x:c>
      <x:c r="K220" s="37" t="str">
        <x:v>green pen, pink marker, red block</x:v>
      </x:c>
      <x:c r="L220" s="37" t="str">
        <x:v>green pen</x:v>
      </x:c>
      <x:c r="M220" s="37" t="str">
        <x:v>Home</x:v>
      </x:c>
      <x:c r="N220" s="37" t="str">
        <x:v>Place the green pen behind the pink marker.</x:v>
      </x:c>
      <x:c r="O220" s="37" t="str"/>
      <x:c r="P220" s="37" t="str">
        <x:v>Directional concepts are explicitly grounded on other ordered object pairs.</x:v>
      </x:c>
      <x:c r="Q220" s="38"/>
    </x:row>
    <x:row r="221" ht="60" customHeight="1">
      <x:c r="A221" s="70" t="n">
        <x:v>219</x:v>
      </x:c>
      <x:c r="B221" s="37" t="str">
        <x:v>Relational Placement</x:v>
      </x:c>
      <x:c r="C221" s="37" t="str">
        <x:v>Place the green pen behind the pink marker.</x:v>
      </x:c>
      <x:c r="D221" s="37" t="str">
        <x:v>Explicit spatial-relation grounding</x:v>
      </x:c>
      <x:c r="E221" s="37" t="str">
        <x:v>left / right / front / behind with other ordered object pairs</x:v>
      </x:c>
      <x:c r="F221" s="37" t="str">
        <x:v>relational_direction_explicit_other_pair</x:v>
      </x:c>
      <x:c r="G221" s="37" t="str">
        <x:v>direction × ordered green-pen/red-block target/reference role</x:v>
      </x:c>
      <x:c r="H221" s="37" t="str">
        <x:v>No</x:v>
      </x:c>
      <x:c r="I221" s="37" t="str">
        <x:v>Keep prompt</x:v>
      </x:c>
      <x:c r="J221" s="37" t="str">
        <x:v>No prompt change required under the missing-cell design.</x:v>
      </x:c>
      <x:c r="K221" s="37" t="str">
        <x:v>green pen, red block, pink marker, blue block</x:v>
      </x:c>
      <x:c r="L221" s="37" t="str">
        <x:v>green pen</x:v>
      </x:c>
      <x:c r="M221" s="37" t="str">
        <x:v>Home</x:v>
      </x:c>
      <x:c r="N221" s="37" t="str">
        <x:v>Place the green pen behind the pink marker.</x:v>
      </x:c>
      <x:c r="O221" s="37" t="str"/>
      <x:c r="P221" s="37" t="str">
        <x:v>Directional concepts are explicitly grounded on other ordered object pairs.</x:v>
      </x:c>
      <x:c r="Q221" s="38"/>
    </x:row>
    <x:row r="222" ht="60" customHeight="1">
      <x:c r="A222" s="70" t="n">
        <x:v>220</x:v>
      </x:c>
      <x:c r="B222" s="37" t="str">
        <x:v>Relational Placement</x:v>
      </x:c>
      <x:c r="C222" s="37" t="str">
        <x:v>Place the green pen behind the pink marker.</x:v>
      </x:c>
      <x:c r="D222" s="37" t="str">
        <x:v>Explicit spatial-relation grounding</x:v>
      </x:c>
      <x:c r="E222" s="37" t="str">
        <x:v>left / right / front / behind with other ordered object pairs</x:v>
      </x:c>
      <x:c r="F222" s="37" t="str">
        <x:v>relational_direction_explicit_other_pair</x:v>
      </x:c>
      <x:c r="G222" s="37" t="str">
        <x:v>direction × ordered green-pen/red-block target/reference role</x:v>
      </x:c>
      <x:c r="H222" s="37" t="str">
        <x:v>No</x:v>
      </x:c>
      <x:c r="I222" s="37" t="str">
        <x:v>Keep prompt</x:v>
      </x:c>
      <x:c r="J222" s="37" t="str">
        <x:v>No prompt change required under the missing-cell design.</x:v>
      </x:c>
      <x:c r="K222" s="37" t="str">
        <x:v>green pen, pink marker, blue block</x:v>
      </x:c>
      <x:c r="L222" s="37" t="str">
        <x:v>green pen</x:v>
      </x:c>
      <x:c r="M222" s="37" t="str">
        <x:v>Recovery</x:v>
      </x:c>
      <x:c r="N222" s="37" t="str">
        <x:v>Place the green pen behind the pink marker.</x:v>
      </x:c>
      <x:c r="O222" s="37" t="str"/>
      <x:c r="P222" s="37" t="str">
        <x:v>Directional concepts are explicitly grounded on other ordered object pairs.</x:v>
      </x:c>
      <x:c r="Q222" s="38"/>
    </x:row>
    <x:row r="223" ht="60" customHeight="1">
      <x:c r="A223" s="70" t="n">
        <x:v>221</x:v>
      </x:c>
      <x:c r="B223" s="37" t="str">
        <x:v>Relational Placement</x:v>
      </x:c>
      <x:c r="C223" s="37" t="str">
        <x:v>Move the green pen to the back of the blue block.</x:v>
      </x:c>
      <x:c r="D223" s="37" t="str">
        <x:v>Explicit spatial-relation grounding</x:v>
      </x:c>
      <x:c r="E223" s="37" t="str">
        <x:v>left / right / front / behind with other ordered object pairs</x:v>
      </x:c>
      <x:c r="F223" s="37" t="str">
        <x:v>relational_direction_explicit_other_pair</x:v>
      </x:c>
      <x:c r="G223" s="37" t="str">
        <x:v>direction × ordered green-pen/red-block target/reference role</x:v>
      </x:c>
      <x:c r="H223" s="37" t="str">
        <x:v>No</x:v>
      </x:c>
      <x:c r="I223" s="37" t="str">
        <x:v>Keep prompt</x:v>
      </x:c>
      <x:c r="J223" s="37" t="str">
        <x:v>No prompt change required under the missing-cell design.</x:v>
      </x:c>
      <x:c r="K223" s="37" t="str">
        <x:v>green pen, blue block</x:v>
      </x:c>
      <x:c r="L223" s="37" t="str">
        <x:v>green pen</x:v>
      </x:c>
      <x:c r="M223" s="37" t="str">
        <x:v>Home</x:v>
      </x:c>
      <x:c r="N223" s="37" t="str">
        <x:v>Move the green pen to the back of the blue block.</x:v>
      </x:c>
      <x:c r="O223" s="37" t="str"/>
      <x:c r="P223" s="37" t="str">
        <x:v>Directional concepts are explicitly grounded on other ordered object pairs.</x:v>
      </x:c>
      <x:c r="Q223" s="38"/>
    </x:row>
    <x:row r="224" ht="60" customHeight="1">
      <x:c r="A224" s="70" t="n">
        <x:v>222</x:v>
      </x:c>
      <x:c r="B224" s="37" t="str">
        <x:v>Relational Placement</x:v>
      </x:c>
      <x:c r="C224" s="37" t="str">
        <x:v>Move the green pen to the back of the blue block.</x:v>
      </x:c>
      <x:c r="D224" s="37" t="str">
        <x:v>Explicit spatial-relation grounding</x:v>
      </x:c>
      <x:c r="E224" s="37" t="str">
        <x:v>left / right / front / behind with other ordered object pairs</x:v>
      </x:c>
      <x:c r="F224" s="37" t="str">
        <x:v>relational_direction_explicit_other_pair</x:v>
      </x:c>
      <x:c r="G224" s="37" t="str">
        <x:v>direction × ordered green-pen/red-block target/reference role</x:v>
      </x:c>
      <x:c r="H224" s="37" t="str">
        <x:v>No</x:v>
      </x:c>
      <x:c r="I224" s="37" t="str">
        <x:v>Keep prompt</x:v>
      </x:c>
      <x:c r="J224" s="37" t="str">
        <x:v>No prompt change required under the missing-cell design.</x:v>
      </x:c>
      <x:c r="K224" s="37" t="str">
        <x:v>green pen, blue block, red block</x:v>
      </x:c>
      <x:c r="L224" s="37" t="str">
        <x:v>green pen</x:v>
      </x:c>
      <x:c r="M224" s="37" t="str">
        <x:v>Home</x:v>
      </x:c>
      <x:c r="N224" s="37" t="str">
        <x:v>Move the green pen to the back of the blue block.</x:v>
      </x:c>
      <x:c r="O224" s="37" t="str"/>
      <x:c r="P224" s="37" t="str">
        <x:v>Directional concepts are explicitly grounded on other ordered object pairs.</x:v>
      </x:c>
      <x:c r="Q224" s="38"/>
    </x:row>
    <x:row r="225" ht="60" customHeight="1">
      <x:c r="A225" s="70" t="n">
        <x:v>223</x:v>
      </x:c>
      <x:c r="B225" s="37" t="str">
        <x:v>Relational Placement</x:v>
      </x:c>
      <x:c r="C225" s="37" t="str">
        <x:v>Put the green pen on the table behind the blue block.</x:v>
      </x:c>
      <x:c r="D225" s="37" t="str">
        <x:v>Explicit spatial-relation grounding</x:v>
      </x:c>
      <x:c r="E225" s="37" t="str">
        <x:v>left / right / front / behind with other ordered object pairs</x:v>
      </x:c>
      <x:c r="F225" s="37" t="str">
        <x:v>relational_direction_explicit_other_pair</x:v>
      </x:c>
      <x:c r="G225" s="37" t="str">
        <x:v>direction × ordered green-pen/red-block target/reference role</x:v>
      </x:c>
      <x:c r="H225" s="37" t="str">
        <x:v>No</x:v>
      </x:c>
      <x:c r="I225" s="37" t="str">
        <x:v>Keep prompt</x:v>
      </x:c>
      <x:c r="J225" s="37" t="str">
        <x:v>No prompt change required under the missing-cell design.</x:v>
      </x:c>
      <x:c r="K225" s="37" t="str">
        <x:v>green pen, red block, pink marker, blue block</x:v>
      </x:c>
      <x:c r="L225" s="37" t="str">
        <x:v>green pen</x:v>
      </x:c>
      <x:c r="M225" s="37" t="str">
        <x:v>Home</x:v>
      </x:c>
      <x:c r="N225" s="37" t="str">
        <x:v>Put the green pen on the table behind the blue block.</x:v>
      </x:c>
      <x:c r="O225" s="37" t="str"/>
      <x:c r="P225" s="37" t="str">
        <x:v>Directional concepts are explicitly grounded on other ordered object pairs.</x:v>
      </x:c>
      <x:c r="Q225" s="38"/>
    </x:row>
    <x:row r="226" ht="60" customHeight="1">
      <x:c r="A226" s="70" t="n">
        <x:v>224</x:v>
      </x:c>
      <x:c r="B226" s="37" t="str">
        <x:v>Relational Placement</x:v>
      </x:c>
      <x:c r="C226" s="37" t="str">
        <x:v>Put the green pen on the table behind the blue block.</x:v>
      </x:c>
      <x:c r="D226" s="37" t="str">
        <x:v>Explicit spatial-relation grounding</x:v>
      </x:c>
      <x:c r="E226" s="37" t="str">
        <x:v>left / right / front / behind with other ordered object pairs</x:v>
      </x:c>
      <x:c r="F226" s="37" t="str">
        <x:v>relational_direction_explicit_other_pair</x:v>
      </x:c>
      <x:c r="G226" s="37" t="str">
        <x:v>direction × ordered green-pen/red-block target/reference role</x:v>
      </x:c>
      <x:c r="H226" s="37" t="str">
        <x:v>No</x:v>
      </x:c>
      <x:c r="I226" s="37" t="str">
        <x:v>Keep prompt</x:v>
      </x:c>
      <x:c r="J226" s="37" t="str">
        <x:v>No prompt change required under the missing-cell design.</x:v>
      </x:c>
      <x:c r="K226" s="37" t="str">
        <x:v>green pen, blue block, pink marker</x:v>
      </x:c>
      <x:c r="L226" s="37" t="str">
        <x:v>green pen</x:v>
      </x:c>
      <x:c r="M226" s="37" t="str">
        <x:v>Recovery</x:v>
      </x:c>
      <x:c r="N226" s="37" t="str">
        <x:v>Put the green pen on the table behind the blue block.</x:v>
      </x:c>
      <x:c r="O226" s="37" t="str"/>
      <x:c r="P226" s="37" t="str">
        <x:v>Directional concepts are explicitly grounded on other ordered object pairs.</x:v>
      </x:c>
      <x:c r="Q226" s="38"/>
    </x:row>
    <x:row r="227" ht="60" customHeight="1">
      <x:c r="A227" s="70" t="n">
        <x:v>225</x:v>
      </x:c>
      <x:c r="B227" s="37" t="str">
        <x:v>Relational Placement</x:v>
      </x:c>
      <x:c r="C227" s="37" t="str">
        <x:v>Place the green pen next to the red block.</x:v>
      </x:c>
      <x:c r="D227" s="37" t="str">
        <x:v>Masked unordered-pair composition</x:v>
      </x:c>
      <x:c r="E227" s="37" t="str">
        <x:v>near / beside / next to with the green-pen/red-block pair</x:v>
      </x:c>
      <x:c r="F227" s="37" t="str">
        <x:v>relational_green_pen_red_block_direction_masked</x:v>
      </x:c>
      <x:c r="G227" s="37" t="str">
        <x:v>direction × ordered green-pen/red-block target/reference role</x:v>
      </x:c>
      <x:c r="H227" s="37" t="str">
        <x:v>No</x:v>
      </x:c>
      <x:c r="I227" s="37" t="str">
        <x:v>Keep prompt</x:v>
      </x:c>
      <x:c r="J227" s="37" t="str">
        <x:v>No prompt change required under the missing-cell design.</x:v>
      </x:c>
      <x:c r="K227" s="37" t="str">
        <x:v>green pen, red block</x:v>
      </x:c>
      <x:c r="L227" s="37" t="str">
        <x:v>green pen</x:v>
      </x:c>
      <x:c r="M227" s="37" t="str">
        <x:v>Home</x:v>
      </x:c>
      <x:c r="N227" s="37" t="str">
        <x:v>Place the green pen next to the red block.</x:v>
      </x:c>
      <x:c r="O227" s="37" t="str">
        <x:v>Place the green pen to the left of the red block.</x:v>
      </x:c>
      <x:c r="P227" s="37" t="str">
        <x:v>The green pen and red block are both named and manipulated with a familiar near relation, while directional language is withheld for this ordered pair.</x:v>
      </x:c>
      <x:c r="Q227" s="38"/>
    </x:row>
    <x:row r="228" ht="60" customHeight="1">
      <x:c r="A228" s="70" t="n">
        <x:v>226</x:v>
      </x:c>
      <x:c r="B228" s="37" t="str">
        <x:v>Relational Placement</x:v>
      </x:c>
      <x:c r="C228" s="37" t="str">
        <x:v>Put the green pen beside the red block.</x:v>
      </x:c>
      <x:c r="D228" s="37" t="str">
        <x:v>Masked unordered-pair composition</x:v>
      </x:c>
      <x:c r="E228" s="37" t="str">
        <x:v>near / beside / next to with the green-pen/red-block pair</x:v>
      </x:c>
      <x:c r="F228" s="37" t="str">
        <x:v>relational_green_pen_red_block_direction_masked</x:v>
      </x:c>
      <x:c r="G228" s="37" t="str">
        <x:v>direction × ordered green-pen/red-block target/reference role</x:v>
      </x:c>
      <x:c r="H228" s="37" t="str">
        <x:v>No</x:v>
      </x:c>
      <x:c r="I228" s="37" t="str">
        <x:v>Keep prompt</x:v>
      </x:c>
      <x:c r="J228" s="37" t="str">
        <x:v>No prompt change required under the missing-cell design.</x:v>
      </x:c>
      <x:c r="K228" s="37" t="str">
        <x:v>green pen, red block, pink marker</x:v>
      </x:c>
      <x:c r="L228" s="37" t="str">
        <x:v>green pen</x:v>
      </x:c>
      <x:c r="M228" s="37" t="str">
        <x:v>Home</x:v>
      </x:c>
      <x:c r="N228" s="37" t="str">
        <x:v>Put the green pen beside the red block.</x:v>
      </x:c>
      <x:c r="O228" s="37" t="str">
        <x:v>Place the green pen to the left of the red block.</x:v>
      </x:c>
      <x:c r="P228" s="37" t="str">
        <x:v>The green pen and red block are both named and manipulated with a familiar near relation, while directional language is withheld for this ordered pair.</x:v>
      </x:c>
      <x:c r="Q228" s="38"/>
    </x:row>
    <x:row r="229" ht="60" customHeight="1">
      <x:c r="A229" s="70" t="n">
        <x:v>227</x:v>
      </x:c>
      <x:c r="B229" s="37" t="str">
        <x:v>Relational Placement</x:v>
      </x:c>
      <x:c r="C229" s="37" t="str">
        <x:v>Move the green pen near the red block.</x:v>
      </x:c>
      <x:c r="D229" s="37" t="str">
        <x:v>Masked unordered-pair composition</x:v>
      </x:c>
      <x:c r="E229" s="37" t="str">
        <x:v>near / beside / next to with the green-pen/red-block pair</x:v>
      </x:c>
      <x:c r="F229" s="37" t="str">
        <x:v>relational_green_pen_red_block_direction_masked</x:v>
      </x:c>
      <x:c r="G229" s="37" t="str">
        <x:v>direction × ordered green-pen/red-block target/reference role</x:v>
      </x:c>
      <x:c r="H229" s="37" t="str">
        <x:v>No</x:v>
      </x:c>
      <x:c r="I229" s="37" t="str">
        <x:v>Keep prompt</x:v>
      </x:c>
      <x:c r="J229" s="37" t="str">
        <x:v>No prompt change required under the missing-cell design.</x:v>
      </x:c>
      <x:c r="K229" s="37" t="str">
        <x:v>green pen, red block, pink marker, blue block</x:v>
      </x:c>
      <x:c r="L229" s="37" t="str">
        <x:v>green pen</x:v>
      </x:c>
      <x:c r="M229" s="37" t="str">
        <x:v>Home</x:v>
      </x:c>
      <x:c r="N229" s="37" t="str">
        <x:v>Move the green pen near the red block.</x:v>
      </x:c>
      <x:c r="O229" s="37" t="str">
        <x:v>Place the green pen to the left of the red block.</x:v>
      </x:c>
      <x:c r="P229" s="37" t="str">
        <x:v>The green pen and red block are both named and manipulated with a familiar near relation, while directional language is withheld for this ordered pair.</x:v>
      </x:c>
      <x:c r="Q229" s="38"/>
    </x:row>
    <x:row r="230" ht="60" customHeight="1">
      <x:c r="A230" s="70" t="n">
        <x:v>228</x:v>
      </x:c>
      <x:c r="B230" s="37" t="str">
        <x:v>Relational Placement</x:v>
      </x:c>
      <x:c r="C230" s="37" t="str">
        <x:v>Place the green pen next to the red block.</x:v>
      </x:c>
      <x:c r="D230" s="37" t="str">
        <x:v>Masked unordered-pair composition</x:v>
      </x:c>
      <x:c r="E230" s="37" t="str">
        <x:v>near / beside / next to with the green-pen/red-block pair</x:v>
      </x:c>
      <x:c r="F230" s="37" t="str">
        <x:v>relational_green_pen_red_block_direction_masked</x:v>
      </x:c>
      <x:c r="G230" s="37" t="str">
        <x:v>direction × ordered green-pen/red-block target/reference role</x:v>
      </x:c>
      <x:c r="H230" s="37" t="str">
        <x:v>No</x:v>
      </x:c>
      <x:c r="I230" s="37" t="str">
        <x:v>Keep prompt</x:v>
      </x:c>
      <x:c r="J230" s="37" t="str">
        <x:v>No prompt change required under the missing-cell design.</x:v>
      </x:c>
      <x:c r="K230" s="37" t="str">
        <x:v>green pen, red block, blue block</x:v>
      </x:c>
      <x:c r="L230" s="37" t="str">
        <x:v>green pen</x:v>
      </x:c>
      <x:c r="M230" s="37" t="str">
        <x:v>Home</x:v>
      </x:c>
      <x:c r="N230" s="37" t="str">
        <x:v>Place the green pen next to the red block.</x:v>
      </x:c>
      <x:c r="O230" s="37" t="str">
        <x:v>Place the green pen to the left of the red block.</x:v>
      </x:c>
      <x:c r="P230" s="37" t="str">
        <x:v>The green pen and red block are both named and manipulated with a familiar near relation, while directional language is withheld for this ordered pair.</x:v>
      </x:c>
      <x:c r="Q230" s="38"/>
    </x:row>
    <x:row r="231" ht="60" customHeight="1">
      <x:c r="A231" s="70" t="n">
        <x:v>229</x:v>
      </x:c>
      <x:c r="B231" s="37" t="str">
        <x:v>Relational Placement</x:v>
      </x:c>
      <x:c r="C231" s="37" t="str">
        <x:v>Place the green pen to the left of the pink marker.</x:v>
      </x:c>
      <x:c r="D231" s="37" t="str">
        <x:v>Explicit spatial-relation grounding</x:v>
      </x:c>
      <x:c r="E231" s="37" t="str">
        <x:v>left / right / front / behind with other ordered object pairs</x:v>
      </x:c>
      <x:c r="F231" s="37" t="str">
        <x:v>relational_direction_explicit_other_pair</x:v>
      </x:c>
      <x:c r="G231" s="37" t="str">
        <x:v>direction × ordered green-pen/red-block target/reference role</x:v>
      </x:c>
      <x:c r="H231" s="37" t="str">
        <x:v>No</x:v>
      </x:c>
      <x:c r="I231" s="37" t="str">
        <x:v>Keep prompt</x:v>
      </x:c>
      <x:c r="J231" s="37" t="str">
        <x:v>No prompt change required under the missing-cell design.</x:v>
      </x:c>
      <x:c r="K231" s="37" t="str">
        <x:v>green pen, pink marker</x:v>
      </x:c>
      <x:c r="L231" s="37" t="str">
        <x:v>green pen</x:v>
      </x:c>
      <x:c r="M231" s="37" t="str">
        <x:v>Home</x:v>
      </x:c>
      <x:c r="N231" s="37" t="str">
        <x:v>Place the green pen to the left of the pink marker.</x:v>
      </x:c>
      <x:c r="O231" s="37" t="str"/>
      <x:c r="P231" s="37" t="str">
        <x:v>Directional concepts are explicitly grounded on other ordered object pairs.</x:v>
      </x:c>
      <x:c r="Q231" s="38"/>
    </x:row>
    <x:row r="232" ht="60" customHeight="1">
      <x:c r="A232" s="70" t="n">
        <x:v>230</x:v>
      </x:c>
      <x:c r="B232" s="37" t="str">
        <x:v>Relational Placement</x:v>
      </x:c>
      <x:c r="C232" s="37" t="str">
        <x:v>Place the green pen to the left of the pink marker.</x:v>
      </x:c>
      <x:c r="D232" s="37" t="str">
        <x:v>Explicit spatial-relation grounding</x:v>
      </x:c>
      <x:c r="E232" s="37" t="str">
        <x:v>left / right / front / behind with other ordered object pairs</x:v>
      </x:c>
      <x:c r="F232" s="37" t="str">
        <x:v>relational_direction_explicit_other_pair</x:v>
      </x:c>
      <x:c r="G232" s="37" t="str">
        <x:v>direction × ordered green-pen/red-block target/reference role</x:v>
      </x:c>
      <x:c r="H232" s="37" t="str">
        <x:v>No</x:v>
      </x:c>
      <x:c r="I232" s="37" t="str">
        <x:v>Keep prompt</x:v>
      </x:c>
      <x:c r="J232" s="37" t="str">
        <x:v>No prompt change required under the missing-cell design.</x:v>
      </x:c>
      <x:c r="K232" s="37" t="str">
        <x:v>green pen, pink marker, red block</x:v>
      </x:c>
      <x:c r="L232" s="37" t="str">
        <x:v>green pen</x:v>
      </x:c>
      <x:c r="M232" s="37" t="str">
        <x:v>Home</x:v>
      </x:c>
      <x:c r="N232" s="37" t="str">
        <x:v>Place the green pen to the left of the pink marker.</x:v>
      </x:c>
      <x:c r="O232" s="37" t="str"/>
      <x:c r="P232" s="37" t="str">
        <x:v>Directional concepts are explicitly grounded on other ordered object pairs.</x:v>
      </x:c>
      <x:c r="Q232" s="38"/>
    </x:row>
    <x:row r="233" ht="60" customHeight="1">
      <x:c r="A233" s="70" t="n">
        <x:v>231</x:v>
      </x:c>
      <x:c r="B233" s="37" t="str">
        <x:v>Relational Placement</x:v>
      </x:c>
      <x:c r="C233" s="37" t="str">
        <x:v>Place the green pen to the left of the pink marker.</x:v>
      </x:c>
      <x:c r="D233" s="37" t="str">
        <x:v>Explicit spatial-relation grounding</x:v>
      </x:c>
      <x:c r="E233" s="37" t="str">
        <x:v>left / right / front / behind with other ordered object pairs</x:v>
      </x:c>
      <x:c r="F233" s="37" t="str">
        <x:v>relational_direction_explicit_other_pair</x:v>
      </x:c>
      <x:c r="G233" s="37" t="str">
        <x:v>direction × ordered green-pen/red-block target/reference role</x:v>
      </x:c>
      <x:c r="H233" s="37" t="str">
        <x:v>No</x:v>
      </x:c>
      <x:c r="I233" s="37" t="str">
        <x:v>Keep prompt</x:v>
      </x:c>
      <x:c r="J233" s="37" t="str">
        <x:v>No prompt change required under the missing-cell design.</x:v>
      </x:c>
      <x:c r="K233" s="37" t="str">
        <x:v>green pen, red block, pink marker, blue block</x:v>
      </x:c>
      <x:c r="L233" s="37" t="str">
        <x:v>green pen</x:v>
      </x:c>
      <x:c r="M233" s="37" t="str">
        <x:v>Home</x:v>
      </x:c>
      <x:c r="N233" s="37" t="str">
        <x:v>Place the green pen to the left of the pink marker.</x:v>
      </x:c>
      <x:c r="O233" s="37" t="str"/>
      <x:c r="P233" s="37" t="str">
        <x:v>Directional concepts are explicitly grounded on other ordered object pairs.</x:v>
      </x:c>
      <x:c r="Q233" s="38"/>
    </x:row>
    <x:row r="234" ht="60" customHeight="1">
      <x:c r="A234" s="70" t="n">
        <x:v>232</x:v>
      </x:c>
      <x:c r="B234" s="37" t="str">
        <x:v>Relational Placement</x:v>
      </x:c>
      <x:c r="C234" s="37" t="str">
        <x:v>Place the green pen to the left of the pink marker.</x:v>
      </x:c>
      <x:c r="D234" s="37" t="str">
        <x:v>Explicit spatial-relation grounding</x:v>
      </x:c>
      <x:c r="E234" s="37" t="str">
        <x:v>left / right / front / behind with other ordered object pairs</x:v>
      </x:c>
      <x:c r="F234" s="37" t="str">
        <x:v>relational_direction_explicit_other_pair</x:v>
      </x:c>
      <x:c r="G234" s="37" t="str">
        <x:v>direction × ordered green-pen/red-block target/reference role</x:v>
      </x:c>
      <x:c r="H234" s="37" t="str">
        <x:v>No</x:v>
      </x:c>
      <x:c r="I234" s="37" t="str">
        <x:v>Keep prompt</x:v>
      </x:c>
      <x:c r="J234" s="37" t="str">
        <x:v>No prompt change required under the missing-cell design.</x:v>
      </x:c>
      <x:c r="K234" s="37" t="str">
        <x:v>green pen, pink marker, blue block</x:v>
      </x:c>
      <x:c r="L234" s="37" t="str">
        <x:v>green pen</x:v>
      </x:c>
      <x:c r="M234" s="37" t="str">
        <x:v>Recovery</x:v>
      </x:c>
      <x:c r="N234" s="37" t="str">
        <x:v>Place the green pen to the left of the pink marker.</x:v>
      </x:c>
      <x:c r="O234" s="37" t="str"/>
      <x:c r="P234" s="37" t="str">
        <x:v>Directional concepts are explicitly grounded on other ordered object pairs.</x:v>
      </x:c>
      <x:c r="Q234" s="38"/>
    </x:row>
    <x:row r="235" ht="60" customHeight="1">
      <x:c r="A235" s="70" t="n">
        <x:v>233</x:v>
      </x:c>
      <x:c r="B235" s="37" t="str">
        <x:v>Relational Placement</x:v>
      </x:c>
      <x:c r="C235" s="37" t="str">
        <x:v>Place the green pen to the left of the blue block.</x:v>
      </x:c>
      <x:c r="D235" s="37" t="str">
        <x:v>Explicit spatial-relation grounding</x:v>
      </x:c>
      <x:c r="E235" s="37" t="str">
        <x:v>left / right / front / behind with other ordered object pairs</x:v>
      </x:c>
      <x:c r="F235" s="37" t="str">
        <x:v>relational_direction_explicit_other_pair</x:v>
      </x:c>
      <x:c r="G235" s="37" t="str">
        <x:v>direction × ordered green-pen/red-block target/reference role</x:v>
      </x:c>
      <x:c r="H235" s="37" t="str">
        <x:v>No</x:v>
      </x:c>
      <x:c r="I235" s="37" t="str">
        <x:v>Keep prompt</x:v>
      </x:c>
      <x:c r="J235" s="37" t="str">
        <x:v>No prompt change required under the missing-cell design.</x:v>
      </x:c>
      <x:c r="K235" s="37" t="str">
        <x:v>green pen, blue block</x:v>
      </x:c>
      <x:c r="L235" s="37" t="str">
        <x:v>green pen</x:v>
      </x:c>
      <x:c r="M235" s="37" t="str">
        <x:v>Home</x:v>
      </x:c>
      <x:c r="N235" s="37" t="str">
        <x:v>Place the green pen to the left of the blue block.</x:v>
      </x:c>
      <x:c r="O235" s="37" t="str"/>
      <x:c r="P235" s="37" t="str">
        <x:v>Directional concepts are explicitly grounded on other ordered object pairs.</x:v>
      </x:c>
      <x:c r="Q235" s="38"/>
    </x:row>
    <x:row r="236" ht="60" customHeight="1">
      <x:c r="A236" s="70" t="n">
        <x:v>234</x:v>
      </x:c>
      <x:c r="B236" s="37" t="str">
        <x:v>Relational Placement</x:v>
      </x:c>
      <x:c r="C236" s="37" t="str">
        <x:v>Place the green pen to the left of the blue block.</x:v>
      </x:c>
      <x:c r="D236" s="37" t="str">
        <x:v>Explicit spatial-relation grounding</x:v>
      </x:c>
      <x:c r="E236" s="37" t="str">
        <x:v>left / right / front / behind with other ordered object pairs</x:v>
      </x:c>
      <x:c r="F236" s="37" t="str">
        <x:v>relational_direction_explicit_other_pair</x:v>
      </x:c>
      <x:c r="G236" s="37" t="str">
        <x:v>direction × ordered green-pen/red-block target/reference role</x:v>
      </x:c>
      <x:c r="H236" s="37" t="str">
        <x:v>No</x:v>
      </x:c>
      <x:c r="I236" s="37" t="str">
        <x:v>Keep prompt</x:v>
      </x:c>
      <x:c r="J236" s="37" t="str">
        <x:v>No prompt change required under the missing-cell design.</x:v>
      </x:c>
      <x:c r="K236" s="37" t="str">
        <x:v>green pen, blue block, red block</x:v>
      </x:c>
      <x:c r="L236" s="37" t="str">
        <x:v>green pen</x:v>
      </x:c>
      <x:c r="M236" s="37" t="str">
        <x:v>Home</x:v>
      </x:c>
      <x:c r="N236" s="37" t="str">
        <x:v>Place the green pen to the left of the blue block.</x:v>
      </x:c>
      <x:c r="O236" s="37" t="str"/>
      <x:c r="P236" s="37" t="str">
        <x:v>Directional concepts are explicitly grounded on other ordered object pairs.</x:v>
      </x:c>
      <x:c r="Q236" s="38"/>
    </x:row>
    <x:row r="237" ht="60" customHeight="1">
      <x:c r="A237" s="70" t="n">
        <x:v>235</x:v>
      </x:c>
      <x:c r="B237" s="37" t="str">
        <x:v>Relational Placement</x:v>
      </x:c>
      <x:c r="C237" s="37" t="str">
        <x:v>Place the green pen to the left of the blue block.</x:v>
      </x:c>
      <x:c r="D237" s="37" t="str">
        <x:v>Explicit spatial-relation grounding</x:v>
      </x:c>
      <x:c r="E237" s="37" t="str">
        <x:v>left / right / front / behind with other ordered object pairs</x:v>
      </x:c>
      <x:c r="F237" s="37" t="str">
        <x:v>relational_direction_explicit_other_pair</x:v>
      </x:c>
      <x:c r="G237" s="37" t="str">
        <x:v>direction × ordered green-pen/red-block target/reference role</x:v>
      </x:c>
      <x:c r="H237" s="37" t="str">
        <x:v>No</x:v>
      </x:c>
      <x:c r="I237" s="37" t="str">
        <x:v>Keep prompt</x:v>
      </x:c>
      <x:c r="J237" s="37" t="str">
        <x:v>No prompt change required under the missing-cell design.</x:v>
      </x:c>
      <x:c r="K237" s="37" t="str">
        <x:v>green pen, red block, pink marker, blue block</x:v>
      </x:c>
      <x:c r="L237" s="37" t="str">
        <x:v>green pen</x:v>
      </x:c>
      <x:c r="M237" s="37" t="str">
        <x:v>Home</x:v>
      </x:c>
      <x:c r="N237" s="37" t="str">
        <x:v>Place the green pen to the left of the blue block.</x:v>
      </x:c>
      <x:c r="O237" s="37" t="str"/>
      <x:c r="P237" s="37" t="str">
        <x:v>Directional concepts are explicitly grounded on other ordered object pairs.</x:v>
      </x:c>
      <x:c r="Q237" s="38"/>
    </x:row>
    <x:row r="238" ht="60" customHeight="1">
      <x:c r="A238" s="70" t="n">
        <x:v>236</x:v>
      </x:c>
      <x:c r="B238" s="37" t="str">
        <x:v>Relational Placement</x:v>
      </x:c>
      <x:c r="C238" s="37" t="str">
        <x:v>Place the green pen to the left of the blue block.</x:v>
      </x:c>
      <x:c r="D238" s="37" t="str">
        <x:v>Explicit spatial-relation grounding</x:v>
      </x:c>
      <x:c r="E238" s="37" t="str">
        <x:v>left / right / front / behind with other ordered object pairs</x:v>
      </x:c>
      <x:c r="F238" s="37" t="str">
        <x:v>relational_direction_explicit_other_pair</x:v>
      </x:c>
      <x:c r="G238" s="37" t="str">
        <x:v>direction × ordered green-pen/red-block target/reference role</x:v>
      </x:c>
      <x:c r="H238" s="37" t="str">
        <x:v>No</x:v>
      </x:c>
      <x:c r="I238" s="37" t="str">
        <x:v>Keep prompt</x:v>
      </x:c>
      <x:c r="J238" s="37" t="str">
        <x:v>No prompt change required under the missing-cell design.</x:v>
      </x:c>
      <x:c r="K238" s="37" t="str">
        <x:v>green pen, blue block, pink marker</x:v>
      </x:c>
      <x:c r="L238" s="37" t="str">
        <x:v>green pen</x:v>
      </x:c>
      <x:c r="M238" s="37" t="str">
        <x:v>Recovery</x:v>
      </x:c>
      <x:c r="N238" s="37" t="str">
        <x:v>Place the green pen to the left of the blue block.</x:v>
      </x:c>
      <x:c r="O238" s="37" t="str"/>
      <x:c r="P238" s="37" t="str">
        <x:v>Directional concepts are explicitly grounded on other ordered object pairs.</x:v>
      </x:c>
      <x:c r="Q238" s="38"/>
    </x:row>
    <x:row r="239" ht="60" customHeight="1">
      <x:c r="A239" s="70" t="n">
        <x:v>237</x:v>
      </x:c>
      <x:c r="B239" s="37" t="str">
        <x:v>Relational Placement</x:v>
      </x:c>
      <x:c r="C239" s="37" t="str">
        <x:v>Place the green pen next to the red block.</x:v>
      </x:c>
      <x:c r="D239" s="37" t="str">
        <x:v>Masked unordered-pair composition</x:v>
      </x:c>
      <x:c r="E239" s="37" t="str">
        <x:v>near / beside / next to with the green-pen/red-block pair</x:v>
      </x:c>
      <x:c r="F239" s="37" t="str">
        <x:v>relational_green_pen_red_block_direction_masked</x:v>
      </x:c>
      <x:c r="G239" s="37" t="str">
        <x:v>direction × ordered green-pen/red-block target/reference role</x:v>
      </x:c>
      <x:c r="H239" s="37" t="str">
        <x:v>No</x:v>
      </x:c>
      <x:c r="I239" s="37" t="str">
        <x:v>Keep prompt</x:v>
      </x:c>
      <x:c r="J239" s="37" t="str">
        <x:v>No prompt change required under the missing-cell design.</x:v>
      </x:c>
      <x:c r="K239" s="37" t="str">
        <x:v>green pen, red block</x:v>
      </x:c>
      <x:c r="L239" s="37" t="str">
        <x:v>green pen</x:v>
      </x:c>
      <x:c r="M239" s="37" t="str">
        <x:v>Home</x:v>
      </x:c>
      <x:c r="N239" s="37" t="str">
        <x:v>Place the green pen next to the red block.</x:v>
      </x:c>
      <x:c r="O239" s="37" t="str">
        <x:v>Place the green pen to the right of the red block.</x:v>
      </x:c>
      <x:c r="P239" s="37" t="str">
        <x:v>The green pen and red block are both named and manipulated with a familiar near relation, while directional language is withheld for this ordered pair.</x:v>
      </x:c>
      <x:c r="Q239" s="38"/>
    </x:row>
    <x:row r="240" ht="60" customHeight="1">
      <x:c r="A240" s="70" t="n">
        <x:v>238</x:v>
      </x:c>
      <x:c r="B240" s="37" t="str">
        <x:v>Relational Placement</x:v>
      </x:c>
      <x:c r="C240" s="37" t="str">
        <x:v>Put the green pen beside the red block.</x:v>
      </x:c>
      <x:c r="D240" s="37" t="str">
        <x:v>Masked unordered-pair composition</x:v>
      </x:c>
      <x:c r="E240" s="37" t="str">
        <x:v>near / beside / next to with the green-pen/red-block pair</x:v>
      </x:c>
      <x:c r="F240" s="37" t="str">
        <x:v>relational_green_pen_red_block_direction_masked</x:v>
      </x:c>
      <x:c r="G240" s="37" t="str">
        <x:v>direction × ordered green-pen/red-block target/reference role</x:v>
      </x:c>
      <x:c r="H240" s="37" t="str">
        <x:v>No</x:v>
      </x:c>
      <x:c r="I240" s="37" t="str">
        <x:v>Keep prompt</x:v>
      </x:c>
      <x:c r="J240" s="37" t="str">
        <x:v>No prompt change required under the missing-cell design.</x:v>
      </x:c>
      <x:c r="K240" s="37" t="str">
        <x:v>green pen, red block, pink marker</x:v>
      </x:c>
      <x:c r="L240" s="37" t="str">
        <x:v>green pen</x:v>
      </x:c>
      <x:c r="M240" s="37" t="str">
        <x:v>Home</x:v>
      </x:c>
      <x:c r="N240" s="37" t="str">
        <x:v>Put the green pen beside the red block.</x:v>
      </x:c>
      <x:c r="O240" s="37" t="str">
        <x:v>Place the green pen to the right of the red block.</x:v>
      </x:c>
      <x:c r="P240" s="37" t="str">
        <x:v>The green pen and red block are both named and manipulated with a familiar near relation, while directional language is withheld for this ordered pair.</x:v>
      </x:c>
      <x:c r="Q240" s="38"/>
    </x:row>
    <x:row r="241" ht="60" customHeight="1">
      <x:c r="A241" s="70" t="n">
        <x:v>239</x:v>
      </x:c>
      <x:c r="B241" s="37" t="str">
        <x:v>Relational Placement</x:v>
      </x:c>
      <x:c r="C241" s="37" t="str">
        <x:v>Move the green pen near the red block.</x:v>
      </x:c>
      <x:c r="D241" s="37" t="str">
        <x:v>Masked unordered-pair composition</x:v>
      </x:c>
      <x:c r="E241" s="37" t="str">
        <x:v>near / beside / next to with the green-pen/red-block pair</x:v>
      </x:c>
      <x:c r="F241" s="37" t="str">
        <x:v>relational_green_pen_red_block_direction_masked</x:v>
      </x:c>
      <x:c r="G241" s="37" t="str">
        <x:v>direction × ordered green-pen/red-block target/reference role</x:v>
      </x:c>
      <x:c r="H241" s="37" t="str">
        <x:v>No</x:v>
      </x:c>
      <x:c r="I241" s="37" t="str">
        <x:v>Keep prompt</x:v>
      </x:c>
      <x:c r="J241" s="37" t="str">
        <x:v>No prompt change required under the missing-cell design.</x:v>
      </x:c>
      <x:c r="K241" s="37" t="str">
        <x:v>green pen, red block, pink marker, blue block</x:v>
      </x:c>
      <x:c r="L241" s="37" t="str">
        <x:v>green pen</x:v>
      </x:c>
      <x:c r="M241" s="37" t="str">
        <x:v>Home</x:v>
      </x:c>
      <x:c r="N241" s="37" t="str">
        <x:v>Move the green pen near the red block.</x:v>
      </x:c>
      <x:c r="O241" s="37" t="str">
        <x:v>Place the green pen to the right of the red block.</x:v>
      </x:c>
      <x:c r="P241" s="37" t="str">
        <x:v>The green pen and red block are both named and manipulated with a familiar near relation, while directional language is withheld for this ordered pair.</x:v>
      </x:c>
      <x:c r="Q241" s="38"/>
    </x:row>
    <x:row r="242" ht="60" customHeight="1">
      <x:c r="A242" s="70" t="n">
        <x:v>240</x:v>
      </x:c>
      <x:c r="B242" s="37" t="str">
        <x:v>Relational Placement</x:v>
      </x:c>
      <x:c r="C242" s="37" t="str">
        <x:v>Place the green pen next to the red block.</x:v>
      </x:c>
      <x:c r="D242" s="37" t="str">
        <x:v>Masked unordered-pair composition</x:v>
      </x:c>
      <x:c r="E242" s="37" t="str">
        <x:v>near / beside / next to with the green-pen/red-block pair</x:v>
      </x:c>
      <x:c r="F242" s="37" t="str">
        <x:v>relational_green_pen_red_block_direction_masked</x:v>
      </x:c>
      <x:c r="G242" s="37" t="str">
        <x:v>direction × ordered green-pen/red-block target/reference role</x:v>
      </x:c>
      <x:c r="H242" s="37" t="str">
        <x:v>No</x:v>
      </x:c>
      <x:c r="I242" s="37" t="str">
        <x:v>Keep prompt</x:v>
      </x:c>
      <x:c r="J242" s="37" t="str">
        <x:v>No prompt change required under the missing-cell design.</x:v>
      </x:c>
      <x:c r="K242" s="37" t="str">
        <x:v>green pen, red block, blue block</x:v>
      </x:c>
      <x:c r="L242" s="37" t="str">
        <x:v>green pen</x:v>
      </x:c>
      <x:c r="M242" s="37" t="str">
        <x:v>Recovery</x:v>
      </x:c>
      <x:c r="N242" s="37" t="str">
        <x:v>Place the green pen next to the red block.</x:v>
      </x:c>
      <x:c r="O242" s="37" t="str">
        <x:v>Place the green pen to the right of the red block.</x:v>
      </x:c>
      <x:c r="P242" s="37" t="str">
        <x:v>The green pen and red block are both named and manipulated with a familiar near relation, while directional language is withheld for this ordered pair.</x:v>
      </x:c>
      <x:c r="Q242" s="38"/>
    </x:row>
    <x:row r="243" ht="60" customHeight="1">
      <x:c r="A243" s="70" t="n">
        <x:v>241</x:v>
      </x:c>
      <x:c r="B243" s="37" t="str">
        <x:v>Relational Placement</x:v>
      </x:c>
      <x:c r="C243" s="37" t="str">
        <x:v>Put the green pen beside the red block.</x:v>
      </x:c>
      <x:c r="D243" s="37" t="str">
        <x:v>Masked unordered-pair composition</x:v>
      </x:c>
      <x:c r="E243" s="37" t="str">
        <x:v>near / beside / next to with the green-pen/red-block pair</x:v>
      </x:c>
      <x:c r="F243" s="37" t="str">
        <x:v>relational_green_pen_red_block_direction_masked</x:v>
      </x:c>
      <x:c r="G243" s="37" t="str">
        <x:v>direction × ordered green-pen/red-block target/reference role</x:v>
      </x:c>
      <x:c r="H243" s="37" t="str">
        <x:v>No</x:v>
      </x:c>
      <x:c r="I243" s="37" t="str">
        <x:v>Keep prompt</x:v>
      </x:c>
      <x:c r="J243" s="37" t="str">
        <x:v>No prompt change required under the missing-cell design.</x:v>
      </x:c>
      <x:c r="K243" s="37" t="str">
        <x:v>green pen, red block, pink marker, blue block</x:v>
      </x:c>
      <x:c r="L243" s="37" t="str">
        <x:v>green pen</x:v>
      </x:c>
      <x:c r="M243" s="37" t="str">
        <x:v>Home</x:v>
      </x:c>
      <x:c r="N243" s="37" t="str">
        <x:v>Put the green pen beside the red block.</x:v>
      </x:c>
      <x:c r="O243" s="37" t="str">
        <x:v>Place the green pen to the right of the red block.</x:v>
      </x:c>
      <x:c r="P243" s="37" t="str">
        <x:v>The green pen and red block are both named and manipulated with a familiar near relation, while directional language is withheld for this ordered pair.</x:v>
      </x:c>
      <x:c r="Q243" s="38"/>
    </x:row>
    <x:row r="244" ht="60" customHeight="1">
      <x:c r="A244" s="70" t="n">
        <x:v>242</x:v>
      </x:c>
      <x:c r="B244" s="37" t="str">
        <x:v>Relational Placement</x:v>
      </x:c>
      <x:c r="C244" s="37" t="str">
        <x:v>Place the green pen to the right of the pink marker.</x:v>
      </x:c>
      <x:c r="D244" s="37" t="str">
        <x:v>Explicit spatial-relation grounding</x:v>
      </x:c>
      <x:c r="E244" s="37" t="str">
        <x:v>left / right / front / behind with other ordered object pairs</x:v>
      </x:c>
      <x:c r="F244" s="37" t="str">
        <x:v>relational_direction_explicit_other_pair</x:v>
      </x:c>
      <x:c r="G244" s="37" t="str">
        <x:v>direction × ordered green-pen/red-block target/reference role</x:v>
      </x:c>
      <x:c r="H244" s="37" t="str">
        <x:v>No</x:v>
      </x:c>
      <x:c r="I244" s="37" t="str">
        <x:v>Keep prompt</x:v>
      </x:c>
      <x:c r="J244" s="37" t="str">
        <x:v>No prompt change required under the missing-cell design.</x:v>
      </x:c>
      <x:c r="K244" s="37" t="str">
        <x:v>green pen, pink marker</x:v>
      </x:c>
      <x:c r="L244" s="37" t="str">
        <x:v>green pen</x:v>
      </x:c>
      <x:c r="M244" s="37" t="str">
        <x:v>Home</x:v>
      </x:c>
      <x:c r="N244" s="37" t="str">
        <x:v>Place the green pen to the right of the pink marker.</x:v>
      </x:c>
      <x:c r="O244" s="37" t="str"/>
      <x:c r="P244" s="37" t="str">
        <x:v>Directional concepts are explicitly grounded on other ordered object pairs.</x:v>
      </x:c>
      <x:c r="Q244" s="38"/>
    </x:row>
    <x:row r="245" ht="60" customHeight="1">
      <x:c r="A245" s="70" t="n">
        <x:v>243</x:v>
      </x:c>
      <x:c r="B245" s="37" t="str">
        <x:v>Relational Placement</x:v>
      </x:c>
      <x:c r="C245" s="37" t="str">
        <x:v>Place the green pen to the right of the pink marker.</x:v>
      </x:c>
      <x:c r="D245" s="37" t="str">
        <x:v>Explicit spatial-relation grounding</x:v>
      </x:c>
      <x:c r="E245" s="37" t="str">
        <x:v>left / right / front / behind with other ordered object pairs</x:v>
      </x:c>
      <x:c r="F245" s="37" t="str">
        <x:v>relational_direction_explicit_other_pair</x:v>
      </x:c>
      <x:c r="G245" s="37" t="str">
        <x:v>direction × ordered green-pen/red-block target/reference role</x:v>
      </x:c>
      <x:c r="H245" s="37" t="str">
        <x:v>No</x:v>
      </x:c>
      <x:c r="I245" s="37" t="str">
        <x:v>Keep prompt</x:v>
      </x:c>
      <x:c r="J245" s="37" t="str">
        <x:v>No prompt change required under the missing-cell design.</x:v>
      </x:c>
      <x:c r="K245" s="37" t="str">
        <x:v>green pen, pink marker, red block</x:v>
      </x:c>
      <x:c r="L245" s="37" t="str">
        <x:v>green pen</x:v>
      </x:c>
      <x:c r="M245" s="37" t="str">
        <x:v>Home</x:v>
      </x:c>
      <x:c r="N245" s="37" t="str">
        <x:v>Place the green pen to the right of the pink marker.</x:v>
      </x:c>
      <x:c r="O245" s="37" t="str"/>
      <x:c r="P245" s="37" t="str">
        <x:v>Directional concepts are explicitly grounded on other ordered object pairs.</x:v>
      </x:c>
      <x:c r="Q245" s="38"/>
    </x:row>
    <x:row r="246" ht="60" customHeight="1">
      <x:c r="A246" s="70" t="n">
        <x:v>244</x:v>
      </x:c>
      <x:c r="B246" s="37" t="str">
        <x:v>Relational Placement</x:v>
      </x:c>
      <x:c r="C246" s="37" t="str">
        <x:v>Place the green pen to the right of the pink marker.</x:v>
      </x:c>
      <x:c r="D246" s="37" t="str">
        <x:v>Explicit spatial-relation grounding</x:v>
      </x:c>
      <x:c r="E246" s="37" t="str">
        <x:v>left / right / front / behind with other ordered object pairs</x:v>
      </x:c>
      <x:c r="F246" s="37" t="str">
        <x:v>relational_direction_explicit_other_pair</x:v>
      </x:c>
      <x:c r="G246" s="37" t="str">
        <x:v>direction × ordered green-pen/red-block target/reference role</x:v>
      </x:c>
      <x:c r="H246" s="37" t="str">
        <x:v>No</x:v>
      </x:c>
      <x:c r="I246" s="37" t="str">
        <x:v>Keep prompt</x:v>
      </x:c>
      <x:c r="J246" s="37" t="str">
        <x:v>No prompt change required under the missing-cell design.</x:v>
      </x:c>
      <x:c r="K246" s="37" t="str">
        <x:v>green pen, red block, pink marker, blue block</x:v>
      </x:c>
      <x:c r="L246" s="37" t="str">
        <x:v>green pen</x:v>
      </x:c>
      <x:c r="M246" s="37" t="str">
        <x:v>Home</x:v>
      </x:c>
      <x:c r="N246" s="37" t="str">
        <x:v>Place the green pen to the right of the pink marker.</x:v>
      </x:c>
      <x:c r="O246" s="37" t="str"/>
      <x:c r="P246" s="37" t="str">
        <x:v>Directional concepts are explicitly grounded on other ordered object pairs.</x:v>
      </x:c>
      <x:c r="Q246" s="38"/>
    </x:row>
    <x:row r="247" ht="60" customHeight="1">
      <x:c r="A247" s="70" t="n">
        <x:v>245</x:v>
      </x:c>
      <x:c r="B247" s="37" t="str">
        <x:v>Relational Placement</x:v>
      </x:c>
      <x:c r="C247" s="37" t="str">
        <x:v>Place the green pen to the right of the pink marker.</x:v>
      </x:c>
      <x:c r="D247" s="37" t="str">
        <x:v>Explicit spatial-relation grounding</x:v>
      </x:c>
      <x:c r="E247" s="37" t="str">
        <x:v>left / right / front / behind with other ordered object pairs</x:v>
      </x:c>
      <x:c r="F247" s="37" t="str">
        <x:v>relational_direction_explicit_other_pair</x:v>
      </x:c>
      <x:c r="G247" s="37" t="str">
        <x:v>direction × ordered green-pen/red-block target/reference role</x:v>
      </x:c>
      <x:c r="H247" s="37" t="str">
        <x:v>No</x:v>
      </x:c>
      <x:c r="I247" s="37" t="str">
        <x:v>Keep prompt</x:v>
      </x:c>
      <x:c r="J247" s="37" t="str">
        <x:v>No prompt change required under the missing-cell design.</x:v>
      </x:c>
      <x:c r="K247" s="37" t="str">
        <x:v>green pen, pink marker, blue block</x:v>
      </x:c>
      <x:c r="L247" s="37" t="str">
        <x:v>green pen</x:v>
      </x:c>
      <x:c r="M247" s="37" t="str">
        <x:v>Recovery</x:v>
      </x:c>
      <x:c r="N247" s="37" t="str">
        <x:v>Place the green pen to the right of the pink marker.</x:v>
      </x:c>
      <x:c r="O247" s="37" t="str"/>
      <x:c r="P247" s="37" t="str">
        <x:v>Directional concepts are explicitly grounded on other ordered object pairs.</x:v>
      </x:c>
      <x:c r="Q247" s="38"/>
    </x:row>
    <x:row r="248" ht="60" customHeight="1">
      <x:c r="A248" s="70" t="n">
        <x:v>246</x:v>
      </x:c>
      <x:c r="B248" s="37" t="str">
        <x:v>Relational Placement</x:v>
      </x:c>
      <x:c r="C248" s="37" t="str">
        <x:v>Place the green pen to the right of the blue block.</x:v>
      </x:c>
      <x:c r="D248" s="37" t="str">
        <x:v>Explicit spatial-relation grounding</x:v>
      </x:c>
      <x:c r="E248" s="37" t="str">
        <x:v>left / right / front / behind with other ordered object pairs</x:v>
      </x:c>
      <x:c r="F248" s="37" t="str">
        <x:v>relational_direction_explicit_other_pair</x:v>
      </x:c>
      <x:c r="G248" s="37" t="str">
        <x:v>direction × ordered green-pen/red-block target/reference role</x:v>
      </x:c>
      <x:c r="H248" s="37" t="str">
        <x:v>No</x:v>
      </x:c>
      <x:c r="I248" s="37" t="str">
        <x:v>Keep prompt</x:v>
      </x:c>
      <x:c r="J248" s="37" t="str">
        <x:v>No prompt change required under the missing-cell design.</x:v>
      </x:c>
      <x:c r="K248" s="37" t="str">
        <x:v>green pen, blue block</x:v>
      </x:c>
      <x:c r="L248" s="37" t="str">
        <x:v>green pen</x:v>
      </x:c>
      <x:c r="M248" s="37" t="str">
        <x:v>Home</x:v>
      </x:c>
      <x:c r="N248" s="37" t="str">
        <x:v>Place the green pen to the right of the blue block.</x:v>
      </x:c>
      <x:c r="O248" s="37" t="str"/>
      <x:c r="P248" s="37" t="str">
        <x:v>Directional concepts are explicitly grounded on other ordered object pairs.</x:v>
      </x:c>
      <x:c r="Q248" s="38"/>
    </x:row>
    <x:row r="249" ht="60" customHeight="1">
      <x:c r="A249" s="70" t="n">
        <x:v>247</x:v>
      </x:c>
      <x:c r="B249" s="37" t="str">
        <x:v>Relational Placement</x:v>
      </x:c>
      <x:c r="C249" s="37" t="str">
        <x:v>Place the green pen to the right of the blue block.</x:v>
      </x:c>
      <x:c r="D249" s="37" t="str">
        <x:v>Explicit spatial-relation grounding</x:v>
      </x:c>
      <x:c r="E249" s="37" t="str">
        <x:v>left / right / front / behind with other ordered object pairs</x:v>
      </x:c>
      <x:c r="F249" s="37" t="str">
        <x:v>relational_direction_explicit_other_pair</x:v>
      </x:c>
      <x:c r="G249" s="37" t="str">
        <x:v>direction × ordered green-pen/red-block target/reference role</x:v>
      </x:c>
      <x:c r="H249" s="37" t="str">
        <x:v>No</x:v>
      </x:c>
      <x:c r="I249" s="37" t="str">
        <x:v>Keep prompt</x:v>
      </x:c>
      <x:c r="J249" s="37" t="str">
        <x:v>No prompt change required under the missing-cell design.</x:v>
      </x:c>
      <x:c r="K249" s="37" t="str">
        <x:v>green pen, blue block, red block</x:v>
      </x:c>
      <x:c r="L249" s="37" t="str">
        <x:v>green pen</x:v>
      </x:c>
      <x:c r="M249" s="37" t="str">
        <x:v>Home</x:v>
      </x:c>
      <x:c r="N249" s="37" t="str">
        <x:v>Place the green pen to the right of the blue block.</x:v>
      </x:c>
      <x:c r="O249" s="37" t="str"/>
      <x:c r="P249" s="37" t="str">
        <x:v>Directional concepts are explicitly grounded on other ordered object pairs.</x:v>
      </x:c>
      <x:c r="Q249" s="38"/>
    </x:row>
    <x:row r="250" ht="60" customHeight="1">
      <x:c r="A250" s="70" t="n">
        <x:v>248</x:v>
      </x:c>
      <x:c r="B250" s="37" t="str">
        <x:v>Relational Placement</x:v>
      </x:c>
      <x:c r="C250" s="37" t="str">
        <x:v>Place the green pen to the right of the blue block.</x:v>
      </x:c>
      <x:c r="D250" s="37" t="str">
        <x:v>Explicit spatial-relation grounding</x:v>
      </x:c>
      <x:c r="E250" s="37" t="str">
        <x:v>left / right / front / behind with other ordered object pairs</x:v>
      </x:c>
      <x:c r="F250" s="37" t="str">
        <x:v>relational_direction_explicit_other_pair</x:v>
      </x:c>
      <x:c r="G250" s="37" t="str">
        <x:v>direction × ordered green-pen/red-block target/reference role</x:v>
      </x:c>
      <x:c r="H250" s="37" t="str">
        <x:v>No</x:v>
      </x:c>
      <x:c r="I250" s="37" t="str">
        <x:v>Keep prompt</x:v>
      </x:c>
      <x:c r="J250" s="37" t="str">
        <x:v>No prompt change required under the missing-cell design.</x:v>
      </x:c>
      <x:c r="K250" s="37" t="str">
        <x:v>green pen, red block, pink marker, blue block</x:v>
      </x:c>
      <x:c r="L250" s="37" t="str">
        <x:v>green pen</x:v>
      </x:c>
      <x:c r="M250" s="37" t="str">
        <x:v>Home</x:v>
      </x:c>
      <x:c r="N250" s="37" t="str">
        <x:v>Place the green pen to the right of the blue block.</x:v>
      </x:c>
      <x:c r="O250" s="37" t="str"/>
      <x:c r="P250" s="37" t="str">
        <x:v>Directional concepts are explicitly grounded on other ordered object pairs.</x:v>
      </x:c>
      <x:c r="Q250" s="38"/>
    </x:row>
    <x:row r="251" ht="60" customHeight="1">
      <x:c r="A251" s="70" t="n">
        <x:v>249</x:v>
      </x:c>
      <x:c r="B251" s="37" t="str">
        <x:v>Relational Placement</x:v>
      </x:c>
      <x:c r="C251" s="37" t="str">
        <x:v>Place the green pen to the right of the blue block.</x:v>
      </x:c>
      <x:c r="D251" s="37" t="str">
        <x:v>Explicit spatial-relation grounding</x:v>
      </x:c>
      <x:c r="E251" s="37" t="str">
        <x:v>left / right / front / behind with other ordered object pairs</x:v>
      </x:c>
      <x:c r="F251" s="37" t="str">
        <x:v>relational_direction_explicit_other_pair</x:v>
      </x:c>
      <x:c r="G251" s="37" t="str">
        <x:v>direction × ordered green-pen/red-block target/reference role</x:v>
      </x:c>
      <x:c r="H251" s="37" t="str">
        <x:v>No</x:v>
      </x:c>
      <x:c r="I251" s="37" t="str">
        <x:v>Keep prompt</x:v>
      </x:c>
      <x:c r="J251" s="37" t="str">
        <x:v>No prompt change required under the missing-cell design.</x:v>
      </x:c>
      <x:c r="K251" s="37" t="str">
        <x:v>green pen, blue block, pink marker</x:v>
      </x:c>
      <x:c r="L251" s="37" t="str">
        <x:v>green pen</x:v>
      </x:c>
      <x:c r="M251" s="37" t="str">
        <x:v>Recovery</x:v>
      </x:c>
      <x:c r="N251" s="37" t="str">
        <x:v>Place the green pen to the right of the blue block.</x:v>
      </x:c>
      <x:c r="O251" s="37" t="str"/>
      <x:c r="P251" s="37" t="str">
        <x:v>Directional concepts are explicitly grounded on other ordered object pairs.</x:v>
      </x:c>
      <x:c r="Q251" s="38"/>
    </x:row>
    <x:row r="252" ht="60" customHeight="1">
      <x:c r="A252" s="70" t="n">
        <x:v>250</x:v>
      </x:c>
      <x:c r="B252" s="37" t="str">
        <x:v>Relational Placement</x:v>
      </x:c>
      <x:c r="C252" s="37" t="str">
        <x:v>Move the red block to the front of the pink marker.</x:v>
      </x:c>
      <x:c r="D252" s="37" t="str">
        <x:v>Explicit spatial-relation grounding</x:v>
      </x:c>
      <x:c r="E252" s="37" t="str">
        <x:v>left / right / front / behind with other ordered object pairs</x:v>
      </x:c>
      <x:c r="F252" s="37" t="str">
        <x:v>relational_direction_explicit_other_pair</x:v>
      </x:c>
      <x:c r="G252" s="37" t="str">
        <x:v>direction × ordered green-pen/red-block target/reference role</x:v>
      </x:c>
      <x:c r="H252" s="37" t="str">
        <x:v>No</x:v>
      </x:c>
      <x:c r="I252" s="37" t="str">
        <x:v>Keep prompt</x:v>
      </x:c>
      <x:c r="J252" s="37" t="str">
        <x:v>No prompt change required under the missing-cell design.</x:v>
      </x:c>
      <x:c r="K252" s="37" t="str">
        <x:v>red block, pink marker</x:v>
      </x:c>
      <x:c r="L252" s="37" t="str">
        <x:v>red block</x:v>
      </x:c>
      <x:c r="M252" s="37" t="str">
        <x:v>Home</x:v>
      </x:c>
      <x:c r="N252" s="37" t="str">
        <x:v>Move the red block to the front of the pink marker.</x:v>
      </x:c>
      <x:c r="O252" s="37" t="str"/>
      <x:c r="P252" s="37" t="str">
        <x:v>Directional concepts are explicitly grounded on other ordered object pairs.</x:v>
      </x:c>
      <x:c r="Q252" s="38"/>
    </x:row>
    <x:row r="253" ht="60" customHeight="1">
      <x:c r="A253" s="70" t="n">
        <x:v>251</x:v>
      </x:c>
      <x:c r="B253" s="37" t="str">
        <x:v>Relational Placement</x:v>
      </x:c>
      <x:c r="C253" s="37" t="str">
        <x:v>Put the red block on the table in front of the pink marker.</x:v>
      </x:c>
      <x:c r="D253" s="37" t="str">
        <x:v>Explicit spatial-relation grounding</x:v>
      </x:c>
      <x:c r="E253" s="37" t="str">
        <x:v>left / right / front / behind with other ordered object pairs</x:v>
      </x:c>
      <x:c r="F253" s="37" t="str">
        <x:v>relational_direction_explicit_other_pair</x:v>
      </x:c>
      <x:c r="G253" s="37" t="str">
        <x:v>direction × ordered green-pen/red-block target/reference role</x:v>
      </x:c>
      <x:c r="H253" s="37" t="str">
        <x:v>No</x:v>
      </x:c>
      <x:c r="I253" s="37" t="str">
        <x:v>Keep prompt</x:v>
      </x:c>
      <x:c r="J253" s="37" t="str">
        <x:v>No prompt change required under the missing-cell design.</x:v>
      </x:c>
      <x:c r="K253" s="37" t="str">
        <x:v>red block, pink marker, blue block</x:v>
      </x:c>
      <x:c r="L253" s="37" t="str">
        <x:v>red block</x:v>
      </x:c>
      <x:c r="M253" s="37" t="str">
        <x:v>Home</x:v>
      </x:c>
      <x:c r="N253" s="37" t="str">
        <x:v>Put the red block on the table in front of the pink marker.</x:v>
      </x:c>
      <x:c r="O253" s="37" t="str"/>
      <x:c r="P253" s="37" t="str">
        <x:v>Directional concepts are explicitly grounded on other ordered object pairs.</x:v>
      </x:c>
      <x:c r="Q253" s="38"/>
    </x:row>
    <x:row r="254" ht="60" customHeight="1">
      <x:c r="A254" s="70" t="n">
        <x:v>252</x:v>
      </x:c>
      <x:c r="B254" s="37" t="str">
        <x:v>Relational Placement</x:v>
      </x:c>
      <x:c r="C254" s="37" t="str">
        <x:v>Move the red block to the front of the pink marker.</x:v>
      </x:c>
      <x:c r="D254" s="37" t="str">
        <x:v>Explicit spatial-relation grounding</x:v>
      </x:c>
      <x:c r="E254" s="37" t="str">
        <x:v>left / right / front / behind with other ordered object pairs</x:v>
      </x:c>
      <x:c r="F254" s="37" t="str">
        <x:v>relational_direction_explicit_other_pair</x:v>
      </x:c>
      <x:c r="G254" s="37" t="str">
        <x:v>direction × ordered green-pen/red-block target/reference role</x:v>
      </x:c>
      <x:c r="H254" s="37" t="str">
        <x:v>No</x:v>
      </x:c>
      <x:c r="I254" s="37" t="str">
        <x:v>Keep prompt</x:v>
      </x:c>
      <x:c r="J254" s="37" t="str">
        <x:v>No prompt change required under the missing-cell design.</x:v>
      </x:c>
      <x:c r="K254" s="37" t="str">
        <x:v>green pen, red block, pink marker, blue block</x:v>
      </x:c>
      <x:c r="L254" s="37" t="str">
        <x:v>red block</x:v>
      </x:c>
      <x:c r="M254" s="37" t="str">
        <x:v>Home</x:v>
      </x:c>
      <x:c r="N254" s="37" t="str">
        <x:v>Move the red block to the front of the pink marker.</x:v>
      </x:c>
      <x:c r="O254" s="37" t="str"/>
      <x:c r="P254" s="37" t="str">
        <x:v>Directional concepts are explicitly grounded on other ordered object pairs.</x:v>
      </x:c>
      <x:c r="Q254" s="38"/>
    </x:row>
    <x:row r="255" ht="60" customHeight="1">
      <x:c r="A255" s="70" t="n">
        <x:v>253</x:v>
      </x:c>
      <x:c r="B255" s="37" t="str">
        <x:v>Relational Placement</x:v>
      </x:c>
      <x:c r="C255" s="37" t="str">
        <x:v>Place the red block in front of the pink marker.</x:v>
      </x:c>
      <x:c r="D255" s="37" t="str">
        <x:v>Explicit spatial-relation grounding</x:v>
      </x:c>
      <x:c r="E255" s="37" t="str">
        <x:v>left / right / front / behind with other ordered object pairs</x:v>
      </x:c>
      <x:c r="F255" s="37" t="str">
        <x:v>relational_direction_explicit_other_pair</x:v>
      </x:c>
      <x:c r="G255" s="37" t="str">
        <x:v>direction × ordered green-pen/red-block target/reference role</x:v>
      </x:c>
      <x:c r="H255" s="37" t="str">
        <x:v>No</x:v>
      </x:c>
      <x:c r="I255" s="37" t="str">
        <x:v>Keep prompt</x:v>
      </x:c>
      <x:c r="J255" s="37" t="str">
        <x:v>No prompt change required under the missing-cell design.</x:v>
      </x:c>
      <x:c r="K255" s="37" t="str">
        <x:v>red block, pink marker, green pen</x:v>
      </x:c>
      <x:c r="L255" s="37" t="str">
        <x:v>red block</x:v>
      </x:c>
      <x:c r="M255" s="37" t="str">
        <x:v>Recovery</x:v>
      </x:c>
      <x:c r="N255" s="37" t="str">
        <x:v>Place the red block in front of the pink marker.</x:v>
      </x:c>
      <x:c r="O255" s="37" t="str"/>
      <x:c r="P255" s="37" t="str">
        <x:v>Directional concepts are explicitly grounded on other ordered object pairs.</x:v>
      </x:c>
      <x:c r="Q255" s="38"/>
    </x:row>
    <x:row r="256" ht="60" customHeight="1">
      <x:c r="A256" s="70" t="n">
        <x:v>254</x:v>
      </x:c>
      <x:c r="B256" s="37" t="str">
        <x:v>Relational Placement</x:v>
      </x:c>
      <x:c r="C256" s="37" t="str">
        <x:v>Move the red block to the front of the blue block.</x:v>
      </x:c>
      <x:c r="D256" s="37" t="str">
        <x:v>Explicit spatial-relation grounding</x:v>
      </x:c>
      <x:c r="E256" s="37" t="str">
        <x:v>left / right / front / behind with other ordered object pairs</x:v>
      </x:c>
      <x:c r="F256" s="37" t="str">
        <x:v>relational_direction_explicit_other_pair</x:v>
      </x:c>
      <x:c r="G256" s="37" t="str">
        <x:v>direction × ordered green-pen/red-block target/reference role</x:v>
      </x:c>
      <x:c r="H256" s="37" t="str">
        <x:v>No</x:v>
      </x:c>
      <x:c r="I256" s="37" t="str">
        <x:v>Keep prompt</x:v>
      </x:c>
      <x:c r="J256" s="37" t="str">
        <x:v>No prompt change required under the missing-cell design.</x:v>
      </x:c>
      <x:c r="K256" s="37" t="str">
        <x:v>red block, blue block</x:v>
      </x:c>
      <x:c r="L256" s="37" t="str">
        <x:v>red block</x:v>
      </x:c>
      <x:c r="M256" s="37" t="str">
        <x:v>Home</x:v>
      </x:c>
      <x:c r="N256" s="37" t="str">
        <x:v>Move the red block to the front of the blue block.</x:v>
      </x:c>
      <x:c r="O256" s="37" t="str"/>
      <x:c r="P256" s="37" t="str">
        <x:v>Directional concepts are explicitly grounded on other ordered object pairs.</x:v>
      </x:c>
      <x:c r="Q256" s="38"/>
    </x:row>
    <x:row r="257" ht="60" customHeight="1">
      <x:c r="A257" s="70" t="n">
        <x:v>255</x:v>
      </x:c>
      <x:c r="B257" s="37" t="str">
        <x:v>Relational Placement</x:v>
      </x:c>
      <x:c r="C257" s="37" t="str">
        <x:v>Put the red block on the table in front of the blue block.</x:v>
      </x:c>
      <x:c r="D257" s="37" t="str">
        <x:v>Explicit spatial-relation grounding</x:v>
      </x:c>
      <x:c r="E257" s="37" t="str">
        <x:v>left / right / front / behind with other ordered object pairs</x:v>
      </x:c>
      <x:c r="F257" s="37" t="str">
        <x:v>relational_direction_explicit_other_pair</x:v>
      </x:c>
      <x:c r="G257" s="37" t="str">
        <x:v>direction × ordered green-pen/red-block target/reference role</x:v>
      </x:c>
      <x:c r="H257" s="37" t="str">
        <x:v>No</x:v>
      </x:c>
      <x:c r="I257" s="37" t="str">
        <x:v>Keep prompt</x:v>
      </x:c>
      <x:c r="J257" s="37" t="str">
        <x:v>No prompt change required under the missing-cell design.</x:v>
      </x:c>
      <x:c r="K257" s="37" t="str">
        <x:v>red block, blue block, pink marker</x:v>
      </x:c>
      <x:c r="L257" s="37" t="str">
        <x:v>red block</x:v>
      </x:c>
      <x:c r="M257" s="37" t="str">
        <x:v>Home</x:v>
      </x:c>
      <x:c r="N257" s="37" t="str">
        <x:v>Put the red block on the table in front of the blue block.</x:v>
      </x:c>
      <x:c r="O257" s="37" t="str"/>
      <x:c r="P257" s="37" t="str">
        <x:v>Directional concepts are explicitly grounded on other ordered object pairs.</x:v>
      </x:c>
      <x:c r="Q257" s="38"/>
    </x:row>
    <x:row r="258" ht="60" customHeight="1">
      <x:c r="A258" s="70" t="n">
        <x:v>256</x:v>
      </x:c>
      <x:c r="B258" s="37" t="str">
        <x:v>Relational Placement</x:v>
      </x:c>
      <x:c r="C258" s="37" t="str">
        <x:v>Place the red block in front of the blue block.</x:v>
      </x:c>
      <x:c r="D258" s="37" t="str">
        <x:v>Explicit spatial-relation grounding</x:v>
      </x:c>
      <x:c r="E258" s="37" t="str">
        <x:v>left / right / front / behind with other ordered object pairs</x:v>
      </x:c>
      <x:c r="F258" s="37" t="str">
        <x:v>relational_direction_explicit_other_pair</x:v>
      </x:c>
      <x:c r="G258" s="37" t="str">
        <x:v>direction × ordered green-pen/red-block target/reference role</x:v>
      </x:c>
      <x:c r="H258" s="37" t="str">
        <x:v>No</x:v>
      </x:c>
      <x:c r="I258" s="37" t="str">
        <x:v>Keep prompt</x:v>
      </x:c>
      <x:c r="J258" s="37" t="str">
        <x:v>No prompt change required under the missing-cell design.</x:v>
      </x:c>
      <x:c r="K258" s="37" t="str">
        <x:v>green pen, red block, pink marker, blue block</x:v>
      </x:c>
      <x:c r="L258" s="37" t="str">
        <x:v>red block</x:v>
      </x:c>
      <x:c r="M258" s="37" t="str">
        <x:v>Home</x:v>
      </x:c>
      <x:c r="N258" s="37" t="str">
        <x:v>Place the red block in front of the blue block.</x:v>
      </x:c>
      <x:c r="O258" s="37" t="str"/>
      <x:c r="P258" s="37" t="str">
        <x:v>Directional concepts are explicitly grounded on other ordered object pairs.</x:v>
      </x:c>
      <x:c r="Q258" s="38"/>
    </x:row>
    <x:row r="259" ht="60" customHeight="1">
      <x:c r="A259" s="70" t="n">
        <x:v>257</x:v>
      </x:c>
      <x:c r="B259" s="37" t="str">
        <x:v>Relational Placement</x:v>
      </x:c>
      <x:c r="C259" s="37" t="str">
        <x:v>Move the red block to the front of the blue block.</x:v>
      </x:c>
      <x:c r="D259" s="37" t="str">
        <x:v>Explicit spatial-relation grounding</x:v>
      </x:c>
      <x:c r="E259" s="37" t="str">
        <x:v>left / right / front / behind with other ordered object pairs</x:v>
      </x:c>
      <x:c r="F259" s="37" t="str">
        <x:v>relational_direction_explicit_other_pair</x:v>
      </x:c>
      <x:c r="G259" s="37" t="str">
        <x:v>direction × ordered green-pen/red-block target/reference role</x:v>
      </x:c>
      <x:c r="H259" s="37" t="str">
        <x:v>No</x:v>
      </x:c>
      <x:c r="I259" s="37" t="str">
        <x:v>Keep prompt</x:v>
      </x:c>
      <x:c r="J259" s="37" t="str">
        <x:v>No prompt change required under the missing-cell design.</x:v>
      </x:c>
      <x:c r="K259" s="37" t="str">
        <x:v>red block, blue block, green pen</x:v>
      </x:c>
      <x:c r="L259" s="37" t="str">
        <x:v>red block</x:v>
      </x:c>
      <x:c r="M259" s="37" t="str">
        <x:v>Recovery</x:v>
      </x:c>
      <x:c r="N259" s="37" t="str">
        <x:v>Move the red block to the front of the blue block.</x:v>
      </x:c>
      <x:c r="O259" s="37" t="str"/>
      <x:c r="P259" s="37" t="str">
        <x:v>Directional concepts are explicitly grounded on other ordered object pairs.</x:v>
      </x:c>
      <x:c r="Q259" s="38"/>
    </x:row>
    <x:row r="260" ht="60" customHeight="1">
      <x:c r="A260" s="70" t="n">
        <x:v>258</x:v>
      </x:c>
      <x:c r="B260" s="37" t="str">
        <x:v>Relational Placement</x:v>
      </x:c>
      <x:c r="C260" s="37" t="str">
        <x:v>Place the red block next to the green pen.</x:v>
      </x:c>
      <x:c r="D260" s="37" t="str">
        <x:v>Masked unordered-pair composition</x:v>
      </x:c>
      <x:c r="E260" s="37" t="str">
        <x:v>near / beside / next to with the green-pen/red-block pair</x:v>
      </x:c>
      <x:c r="F260" s="37" t="str">
        <x:v>relational_green_pen_red_block_direction_masked</x:v>
      </x:c>
      <x:c r="G260" s="37" t="str">
        <x:v>direction × ordered green-pen/red-block target/reference role</x:v>
      </x:c>
      <x:c r="H260" s="37" t="str">
        <x:v>No</x:v>
      </x:c>
      <x:c r="I260" s="37" t="str">
        <x:v>Keep prompt</x:v>
      </x:c>
      <x:c r="J260" s="37" t="str">
        <x:v>No prompt change required under the missing-cell design.</x:v>
      </x:c>
      <x:c r="K260" s="37" t="str">
        <x:v>red block, green pen</x:v>
      </x:c>
      <x:c r="L260" s="37" t="str">
        <x:v>red block</x:v>
      </x:c>
      <x:c r="M260" s="37" t="str">
        <x:v>Home</x:v>
      </x:c>
      <x:c r="N260" s="37" t="str">
        <x:v>Place the red block next to the green pen.</x:v>
      </x:c>
      <x:c r="O260" s="37" t="str">
        <x:v>Place the red block in front of the green pen.</x:v>
      </x:c>
      <x:c r="P260" s="37" t="str">
        <x:v>The green pen and red block are both named and manipulated with a familiar near relation, while directional language is withheld for this ordered pair.</x:v>
      </x:c>
      <x:c r="Q260" s="38"/>
    </x:row>
    <x:row r="261" ht="60" customHeight="1">
      <x:c r="A261" s="70" t="n">
        <x:v>259</x:v>
      </x:c>
      <x:c r="B261" s="37" t="str">
        <x:v>Relational Placement</x:v>
      </x:c>
      <x:c r="C261" s="37" t="str">
        <x:v>Put the red block beside the green pen.</x:v>
      </x:c>
      <x:c r="D261" s="37" t="str">
        <x:v>Masked unordered-pair composition</x:v>
      </x:c>
      <x:c r="E261" s="37" t="str">
        <x:v>near / beside / next to with the green-pen/red-block pair</x:v>
      </x:c>
      <x:c r="F261" s="37" t="str">
        <x:v>relational_green_pen_red_block_direction_masked</x:v>
      </x:c>
      <x:c r="G261" s="37" t="str">
        <x:v>direction × ordered green-pen/red-block target/reference role</x:v>
      </x:c>
      <x:c r="H261" s="37" t="str">
        <x:v>No</x:v>
      </x:c>
      <x:c r="I261" s="37" t="str">
        <x:v>Keep prompt</x:v>
      </x:c>
      <x:c r="J261" s="37" t="str">
        <x:v>No prompt change required under the missing-cell design.</x:v>
      </x:c>
      <x:c r="K261" s="37" t="str">
        <x:v>red block, green pen, pink marker</x:v>
      </x:c>
      <x:c r="L261" s="37" t="str">
        <x:v>red block</x:v>
      </x:c>
      <x:c r="M261" s="37" t="str">
        <x:v>Home</x:v>
      </x:c>
      <x:c r="N261" s="37" t="str">
        <x:v>Put the red block beside the green pen.</x:v>
      </x:c>
      <x:c r="O261" s="37" t="str">
        <x:v>Put the red block on the table in front of the green pen.</x:v>
      </x:c>
      <x:c r="P261" s="37" t="str">
        <x:v>The green pen and red block are both named and manipulated with a familiar near relation, while directional language is withheld for this ordered pair.</x:v>
      </x:c>
      <x:c r="Q261" s="38"/>
    </x:row>
    <x:row r="262" ht="60" customHeight="1">
      <x:c r="A262" s="70" t="n">
        <x:v>260</x:v>
      </x:c>
      <x:c r="B262" s="37" t="str">
        <x:v>Relational Placement</x:v>
      </x:c>
      <x:c r="C262" s="37" t="str">
        <x:v>Move the red block near the green pen.</x:v>
      </x:c>
      <x:c r="D262" s="37" t="str">
        <x:v>Masked unordered-pair composition</x:v>
      </x:c>
      <x:c r="E262" s="37" t="str">
        <x:v>near / beside / next to with the green-pen/red-block pair</x:v>
      </x:c>
      <x:c r="F262" s="37" t="str">
        <x:v>relational_green_pen_red_block_direction_masked</x:v>
      </x:c>
      <x:c r="G262" s="37" t="str">
        <x:v>direction × ordered green-pen/red-block target/reference role</x:v>
      </x:c>
      <x:c r="H262" s="37" t="str">
        <x:v>No</x:v>
      </x:c>
      <x:c r="I262" s="37" t="str">
        <x:v>Keep prompt</x:v>
      </x:c>
      <x:c r="J262" s="37" t="str">
        <x:v>No prompt change required under the missing-cell design.</x:v>
      </x:c>
      <x:c r="K262" s="37" t="str">
        <x:v>green pen, red block, pink marker, blue block</x:v>
      </x:c>
      <x:c r="L262" s="37" t="str">
        <x:v>red block</x:v>
      </x:c>
      <x:c r="M262" s="37" t="str">
        <x:v>Home</x:v>
      </x:c>
      <x:c r="N262" s="37" t="str">
        <x:v>Move the red block near the green pen.</x:v>
      </x:c>
      <x:c r="O262" s="37" t="str">
        <x:v>Place the red block in front of the green pen.</x:v>
      </x:c>
      <x:c r="P262" s="37" t="str">
        <x:v>The green pen and red block are both named and manipulated with a familiar near relation, while directional language is withheld for this ordered pair.</x:v>
      </x:c>
      <x:c r="Q262" s="38"/>
    </x:row>
    <x:row r="263" ht="60" customHeight="1">
      <x:c r="A263" s="70" t="n">
        <x:v>261</x:v>
      </x:c>
      <x:c r="B263" s="37" t="str">
        <x:v>Relational Placement</x:v>
      </x:c>
      <x:c r="C263" s="37" t="str">
        <x:v>Place the red block next to the green pen.</x:v>
      </x:c>
      <x:c r="D263" s="37" t="str">
        <x:v>Masked unordered-pair composition</x:v>
      </x:c>
      <x:c r="E263" s="37" t="str">
        <x:v>near / beside / next to with the green-pen/red-block pair</x:v>
      </x:c>
      <x:c r="F263" s="37" t="str">
        <x:v>relational_green_pen_red_block_direction_masked</x:v>
      </x:c>
      <x:c r="G263" s="37" t="str">
        <x:v>direction × ordered green-pen/red-block target/reference role</x:v>
      </x:c>
      <x:c r="H263" s="37" t="str">
        <x:v>No</x:v>
      </x:c>
      <x:c r="I263" s="37" t="str">
        <x:v>Keep prompt</x:v>
      </x:c>
      <x:c r="J263" s="37" t="str">
        <x:v>No prompt change required under the missing-cell design.</x:v>
      </x:c>
      <x:c r="K263" s="37" t="str">
        <x:v>red block, green pen, blue block</x:v>
      </x:c>
      <x:c r="L263" s="37" t="str">
        <x:v>red block</x:v>
      </x:c>
      <x:c r="M263" s="37" t="str">
        <x:v>Home</x:v>
      </x:c>
      <x:c r="N263" s="37" t="str">
        <x:v>Place the red block next to the green pen.</x:v>
      </x:c>
      <x:c r="O263" s="37" t="str">
        <x:v>Put the red block on the table in front of the green pen.</x:v>
      </x:c>
      <x:c r="P263" s="37" t="str">
        <x:v>The green pen and red block are both named and manipulated with a familiar near relation, while directional language is withheld for this ordered pair.</x:v>
      </x:c>
      <x:c r="Q263" s="38"/>
    </x:row>
    <x:row r="264" ht="60" customHeight="1">
      <x:c r="A264" s="70" t="n">
        <x:v>262</x:v>
      </x:c>
      <x:c r="B264" s="37" t="str">
        <x:v>Relational Placement</x:v>
      </x:c>
      <x:c r="C264" s="37" t="str">
        <x:v>Place the red block behind the pink marker.</x:v>
      </x:c>
      <x:c r="D264" s="37" t="str">
        <x:v>Explicit spatial-relation grounding</x:v>
      </x:c>
      <x:c r="E264" s="37" t="str">
        <x:v>left / right / front / behind with other ordered object pairs</x:v>
      </x:c>
      <x:c r="F264" s="37" t="str">
        <x:v>relational_direction_explicit_other_pair</x:v>
      </x:c>
      <x:c r="G264" s="37" t="str">
        <x:v>direction × ordered green-pen/red-block target/reference role</x:v>
      </x:c>
      <x:c r="H264" s="37" t="str">
        <x:v>No</x:v>
      </x:c>
      <x:c r="I264" s="37" t="str">
        <x:v>Keep prompt</x:v>
      </x:c>
      <x:c r="J264" s="37" t="str">
        <x:v>No prompt change required under the missing-cell design.</x:v>
      </x:c>
      <x:c r="K264" s="37" t="str">
        <x:v>red block, pink marker</x:v>
      </x:c>
      <x:c r="L264" s="37" t="str">
        <x:v>red block</x:v>
      </x:c>
      <x:c r="M264" s="37" t="str">
        <x:v>Home</x:v>
      </x:c>
      <x:c r="N264" s="37" t="str">
        <x:v>Place the red block behind the pink marker.</x:v>
      </x:c>
      <x:c r="O264" s="37" t="str"/>
      <x:c r="P264" s="37" t="str">
        <x:v>Directional concepts are explicitly grounded on other ordered object pairs.</x:v>
      </x:c>
      <x:c r="Q264" s="38"/>
    </x:row>
    <x:row r="265" ht="60" customHeight="1">
      <x:c r="A265" s="70" t="n">
        <x:v>263</x:v>
      </x:c>
      <x:c r="B265" s="37" t="str">
        <x:v>Relational Placement</x:v>
      </x:c>
      <x:c r="C265" s="37" t="str">
        <x:v>Place the red block behind the pink marker.</x:v>
      </x:c>
      <x:c r="D265" s="37" t="str">
        <x:v>Explicit spatial-relation grounding</x:v>
      </x:c>
      <x:c r="E265" s="37" t="str">
        <x:v>left / right / front / behind with other ordered object pairs</x:v>
      </x:c>
      <x:c r="F265" s="37" t="str">
        <x:v>relational_direction_explicit_other_pair</x:v>
      </x:c>
      <x:c r="G265" s="37" t="str">
        <x:v>direction × ordered green-pen/red-block target/reference role</x:v>
      </x:c>
      <x:c r="H265" s="37" t="str">
        <x:v>No</x:v>
      </x:c>
      <x:c r="I265" s="37" t="str">
        <x:v>Keep prompt</x:v>
      </x:c>
      <x:c r="J265" s="37" t="str">
        <x:v>No prompt change required under the missing-cell design.</x:v>
      </x:c>
      <x:c r="K265" s="37" t="str">
        <x:v>red block, pink marker, blue block</x:v>
      </x:c>
      <x:c r="L265" s="37" t="str">
        <x:v>red block</x:v>
      </x:c>
      <x:c r="M265" s="37" t="str">
        <x:v>Home</x:v>
      </x:c>
      <x:c r="N265" s="37" t="str">
        <x:v>Place the red block behind the pink marker.</x:v>
      </x:c>
      <x:c r="O265" s="37" t="str"/>
      <x:c r="P265" s="37" t="str">
        <x:v>Directional concepts are explicitly grounded on other ordered object pairs.</x:v>
      </x:c>
      <x:c r="Q265" s="38"/>
    </x:row>
    <x:row r="266" ht="60" customHeight="1">
      <x:c r="A266" s="70" t="n">
        <x:v>264</x:v>
      </x:c>
      <x:c r="B266" s="37" t="str">
        <x:v>Relational Placement</x:v>
      </x:c>
      <x:c r="C266" s="37" t="str">
        <x:v>Move the red block to the back of the pink marker.</x:v>
      </x:c>
      <x:c r="D266" s="37" t="str">
        <x:v>Explicit spatial-relation grounding</x:v>
      </x:c>
      <x:c r="E266" s="37" t="str">
        <x:v>left / right / front / behind with other ordered object pairs</x:v>
      </x:c>
      <x:c r="F266" s="37" t="str">
        <x:v>relational_direction_explicit_other_pair</x:v>
      </x:c>
      <x:c r="G266" s="37" t="str">
        <x:v>direction × ordered green-pen/red-block target/reference role</x:v>
      </x:c>
      <x:c r="H266" s="37" t="str">
        <x:v>No</x:v>
      </x:c>
      <x:c r="I266" s="37" t="str">
        <x:v>Keep prompt</x:v>
      </x:c>
      <x:c r="J266" s="37" t="str">
        <x:v>No prompt change required under the missing-cell design.</x:v>
      </x:c>
      <x:c r="K266" s="37" t="str">
        <x:v>green pen, red block, pink marker, blue block</x:v>
      </x:c>
      <x:c r="L266" s="37" t="str">
        <x:v>red block</x:v>
      </x:c>
      <x:c r="M266" s="37" t="str">
        <x:v>Home</x:v>
      </x:c>
      <x:c r="N266" s="37" t="str">
        <x:v>Move the red block to the back of the pink marker.</x:v>
      </x:c>
      <x:c r="O266" s="37" t="str"/>
      <x:c r="P266" s="37" t="str">
        <x:v>Directional concepts are explicitly grounded on other ordered object pairs.</x:v>
      </x:c>
      <x:c r="Q266" s="38"/>
    </x:row>
    <x:row r="267" ht="60" customHeight="1">
      <x:c r="A267" s="70" t="n">
        <x:v>265</x:v>
      </x:c>
      <x:c r="B267" s="37" t="str">
        <x:v>Relational Placement</x:v>
      </x:c>
      <x:c r="C267" s="37" t="str">
        <x:v>Put the red block on the table behind the pink marker.</x:v>
      </x:c>
      <x:c r="D267" s="37" t="str">
        <x:v>Explicit spatial-relation grounding</x:v>
      </x:c>
      <x:c r="E267" s="37" t="str">
        <x:v>left / right / front / behind with other ordered object pairs</x:v>
      </x:c>
      <x:c r="F267" s="37" t="str">
        <x:v>relational_direction_explicit_other_pair</x:v>
      </x:c>
      <x:c r="G267" s="37" t="str">
        <x:v>direction × ordered green-pen/red-block target/reference role</x:v>
      </x:c>
      <x:c r="H267" s="37" t="str">
        <x:v>No</x:v>
      </x:c>
      <x:c r="I267" s="37" t="str">
        <x:v>Keep prompt</x:v>
      </x:c>
      <x:c r="J267" s="37" t="str">
        <x:v>No prompt change required under the missing-cell design.</x:v>
      </x:c>
      <x:c r="K267" s="37" t="str">
        <x:v>red block, pink marker, green pen</x:v>
      </x:c>
      <x:c r="L267" s="37" t="str">
        <x:v>red block</x:v>
      </x:c>
      <x:c r="M267" s="37" t="str">
        <x:v>Home</x:v>
      </x:c>
      <x:c r="N267" s="37" t="str">
        <x:v>Put the red block on the table behind the pink marker.</x:v>
      </x:c>
      <x:c r="O267" s="37" t="str"/>
      <x:c r="P267" s="37" t="str">
        <x:v>Directional concepts are explicitly grounded on other ordered object pairs.</x:v>
      </x:c>
      <x:c r="Q267" s="38"/>
    </x:row>
    <x:row r="268" ht="60" customHeight="1">
      <x:c r="A268" s="70" t="n">
        <x:v>266</x:v>
      </x:c>
      <x:c r="B268" s="37" t="str">
        <x:v>Relational Placement</x:v>
      </x:c>
      <x:c r="C268" s="37" t="str">
        <x:v>Put the red block on the table behind the pink marker.</x:v>
      </x:c>
      <x:c r="D268" s="37" t="str">
        <x:v>Explicit spatial-relation grounding</x:v>
      </x:c>
      <x:c r="E268" s="37" t="str">
        <x:v>left / right / front / behind with other ordered object pairs</x:v>
      </x:c>
      <x:c r="F268" s="37" t="str">
        <x:v>relational_direction_explicit_other_pair</x:v>
      </x:c>
      <x:c r="G268" s="37" t="str">
        <x:v>direction × ordered green-pen/red-block target/reference role</x:v>
      </x:c>
      <x:c r="H268" s="37" t="str">
        <x:v>No</x:v>
      </x:c>
      <x:c r="I268" s="37" t="str">
        <x:v>Keep prompt</x:v>
      </x:c>
      <x:c r="J268" s="37" t="str">
        <x:v>No prompt change required under the missing-cell design.</x:v>
      </x:c>
      <x:c r="K268" s="37" t="str">
        <x:v>green pen, red block, pink marker, blue block</x:v>
      </x:c>
      <x:c r="L268" s="37" t="str">
        <x:v>red block</x:v>
      </x:c>
      <x:c r="M268" s="37" t="str">
        <x:v>Recovery</x:v>
      </x:c>
      <x:c r="N268" s="37" t="str">
        <x:v>Put the red block on the table behind the pink marker.</x:v>
      </x:c>
      <x:c r="O268" s="37" t="str"/>
      <x:c r="P268" s="37" t="str">
        <x:v>Directional concepts are explicitly grounded on other ordered object pairs.</x:v>
      </x:c>
      <x:c r="Q268" s="38"/>
    </x:row>
    <x:row r="269" ht="60" customHeight="1">
      <x:c r="A269" s="70" t="n">
        <x:v>267</x:v>
      </x:c>
      <x:c r="B269" s="37" t="str">
        <x:v>Relational Placement</x:v>
      </x:c>
      <x:c r="C269" s="37" t="str">
        <x:v>Place the red block behind the blue block.</x:v>
      </x:c>
      <x:c r="D269" s="37" t="str">
        <x:v>Explicit spatial-relation grounding</x:v>
      </x:c>
      <x:c r="E269" s="37" t="str">
        <x:v>left / right / front / behind with other ordered object pairs</x:v>
      </x:c>
      <x:c r="F269" s="37" t="str">
        <x:v>relational_direction_explicit_other_pair</x:v>
      </x:c>
      <x:c r="G269" s="37" t="str">
        <x:v>direction × ordered green-pen/red-block target/reference role</x:v>
      </x:c>
      <x:c r="H269" s="37" t="str">
        <x:v>No</x:v>
      </x:c>
      <x:c r="I269" s="37" t="str">
        <x:v>Keep prompt</x:v>
      </x:c>
      <x:c r="J269" s="37" t="str">
        <x:v>No prompt change required under the missing-cell design.</x:v>
      </x:c>
      <x:c r="K269" s="37" t="str">
        <x:v>red block, blue block</x:v>
      </x:c>
      <x:c r="L269" s="37" t="str">
        <x:v>red block</x:v>
      </x:c>
      <x:c r="M269" s="37" t="str">
        <x:v>Home</x:v>
      </x:c>
      <x:c r="N269" s="37" t="str">
        <x:v>Place the red block behind the blue block.</x:v>
      </x:c>
      <x:c r="O269" s="37" t="str"/>
      <x:c r="P269" s="37" t="str">
        <x:v>Directional concepts are explicitly grounded on other ordered object pairs.</x:v>
      </x:c>
      <x:c r="Q269" s="38"/>
    </x:row>
    <x:row r="270" ht="60" customHeight="1">
      <x:c r="A270" s="70" t="n">
        <x:v>268</x:v>
      </x:c>
      <x:c r="B270" s="37" t="str">
        <x:v>Relational Placement</x:v>
      </x:c>
      <x:c r="C270" s="37" t="str">
        <x:v>Place the red block behind the blue block.</x:v>
      </x:c>
      <x:c r="D270" s="37" t="str">
        <x:v>Explicit spatial-relation grounding</x:v>
      </x:c>
      <x:c r="E270" s="37" t="str">
        <x:v>left / right / front / behind with other ordered object pairs</x:v>
      </x:c>
      <x:c r="F270" s="37" t="str">
        <x:v>relational_direction_explicit_other_pair</x:v>
      </x:c>
      <x:c r="G270" s="37" t="str">
        <x:v>direction × ordered green-pen/red-block target/reference role</x:v>
      </x:c>
      <x:c r="H270" s="37" t="str">
        <x:v>No</x:v>
      </x:c>
      <x:c r="I270" s="37" t="str">
        <x:v>Keep prompt</x:v>
      </x:c>
      <x:c r="J270" s="37" t="str">
        <x:v>No prompt change required under the missing-cell design.</x:v>
      </x:c>
      <x:c r="K270" s="37" t="str">
        <x:v>red block, blue block, pink marker</x:v>
      </x:c>
      <x:c r="L270" s="37" t="str">
        <x:v>red block</x:v>
      </x:c>
      <x:c r="M270" s="37" t="str">
        <x:v>Home</x:v>
      </x:c>
      <x:c r="N270" s="37" t="str">
        <x:v>Place the red block behind the blue block.</x:v>
      </x:c>
      <x:c r="O270" s="37" t="str"/>
      <x:c r="P270" s="37" t="str">
        <x:v>Directional concepts are explicitly grounded on other ordered object pairs.</x:v>
      </x:c>
      <x:c r="Q270" s="38"/>
    </x:row>
    <x:row r="271" ht="60" customHeight="1">
      <x:c r="A271" s="70" t="n">
        <x:v>269</x:v>
      </x:c>
      <x:c r="B271" s="37" t="str">
        <x:v>Relational Placement</x:v>
      </x:c>
      <x:c r="C271" s="37" t="str">
        <x:v>Move the red block to the back of the blue block.</x:v>
      </x:c>
      <x:c r="D271" s="37" t="str">
        <x:v>Explicit spatial-relation grounding</x:v>
      </x:c>
      <x:c r="E271" s="37" t="str">
        <x:v>left / right / front / behind with other ordered object pairs</x:v>
      </x:c>
      <x:c r="F271" s="37" t="str">
        <x:v>relational_direction_explicit_other_pair</x:v>
      </x:c>
      <x:c r="G271" s="37" t="str">
        <x:v>direction × ordered green-pen/red-block target/reference role</x:v>
      </x:c>
      <x:c r="H271" s="37" t="str">
        <x:v>No</x:v>
      </x:c>
      <x:c r="I271" s="37" t="str">
        <x:v>Keep prompt</x:v>
      </x:c>
      <x:c r="J271" s="37" t="str">
        <x:v>No prompt change required under the missing-cell design.</x:v>
      </x:c>
      <x:c r="K271" s="37" t="str">
        <x:v>green pen, red block, pink marker, blue block</x:v>
      </x:c>
      <x:c r="L271" s="37" t="str">
        <x:v>red block</x:v>
      </x:c>
      <x:c r="M271" s="37" t="str">
        <x:v>Home</x:v>
      </x:c>
      <x:c r="N271" s="37" t="str">
        <x:v>Move the red block to the back of the blue block.</x:v>
      </x:c>
      <x:c r="O271" s="37" t="str"/>
      <x:c r="P271" s="37" t="str">
        <x:v>Directional concepts are explicitly grounded on other ordered object pairs.</x:v>
      </x:c>
      <x:c r="Q271" s="38"/>
    </x:row>
    <x:row r="272" ht="60" customHeight="1">
      <x:c r="A272" s="70" t="n">
        <x:v>270</x:v>
      </x:c>
      <x:c r="B272" s="37" t="str">
        <x:v>Relational Placement</x:v>
      </x:c>
      <x:c r="C272" s="37" t="str">
        <x:v>Put the red block on the table behind the blue block.</x:v>
      </x:c>
      <x:c r="D272" s="37" t="str">
        <x:v>Explicit spatial-relation grounding</x:v>
      </x:c>
      <x:c r="E272" s="37" t="str">
        <x:v>left / right / front / behind with other ordered object pairs</x:v>
      </x:c>
      <x:c r="F272" s="37" t="str">
        <x:v>relational_direction_explicit_other_pair</x:v>
      </x:c>
      <x:c r="G272" s="37" t="str">
        <x:v>direction × ordered green-pen/red-block target/reference role</x:v>
      </x:c>
      <x:c r="H272" s="37" t="str">
        <x:v>No</x:v>
      </x:c>
      <x:c r="I272" s="37" t="str">
        <x:v>Keep prompt</x:v>
      </x:c>
      <x:c r="J272" s="37" t="str">
        <x:v>No prompt change required under the missing-cell design.</x:v>
      </x:c>
      <x:c r="K272" s="37" t="str">
        <x:v>red block, blue block, green pen</x:v>
      </x:c>
      <x:c r="L272" s="37" t="str">
        <x:v>red block</x:v>
      </x:c>
      <x:c r="M272" s="37" t="str">
        <x:v>Recovery</x:v>
      </x:c>
      <x:c r="N272" s="37" t="str">
        <x:v>Put the red block on the table behind the blue block.</x:v>
      </x:c>
      <x:c r="O272" s="37" t="str"/>
      <x:c r="P272" s="37" t="str">
        <x:v>Directional concepts are explicitly grounded on other ordered object pairs.</x:v>
      </x:c>
      <x:c r="Q272" s="38"/>
    </x:row>
    <x:row r="273" ht="60" customHeight="1">
      <x:c r="A273" s="70" t="n">
        <x:v>271</x:v>
      </x:c>
      <x:c r="B273" s="37" t="str">
        <x:v>Relational Placement</x:v>
      </x:c>
      <x:c r="C273" s="37" t="str">
        <x:v>Put the red block beside the green pen.</x:v>
      </x:c>
      <x:c r="D273" s="37" t="str">
        <x:v>Masked unordered-pair composition</x:v>
      </x:c>
      <x:c r="E273" s="37" t="str">
        <x:v>near / beside / next to with the green-pen/red-block pair</x:v>
      </x:c>
      <x:c r="F273" s="37" t="str">
        <x:v>relational_green_pen_red_block_direction_masked</x:v>
      </x:c>
      <x:c r="G273" s="37" t="str">
        <x:v>direction × ordered green-pen/red-block target/reference role</x:v>
      </x:c>
      <x:c r="H273" s="37" t="str">
        <x:v>No</x:v>
      </x:c>
      <x:c r="I273" s="37" t="str">
        <x:v>Keep prompt</x:v>
      </x:c>
      <x:c r="J273" s="37" t="str">
        <x:v>No prompt change required under the missing-cell design.</x:v>
      </x:c>
      <x:c r="K273" s="37" t="str">
        <x:v>red block, green pen</x:v>
      </x:c>
      <x:c r="L273" s="37" t="str">
        <x:v>red block</x:v>
      </x:c>
      <x:c r="M273" s="37" t="str">
        <x:v>Home</x:v>
      </x:c>
      <x:c r="N273" s="37" t="str">
        <x:v>Put the red block beside the green pen.</x:v>
      </x:c>
      <x:c r="O273" s="37" t="str">
        <x:v>Put the red block on the table behind the green pen.</x:v>
      </x:c>
      <x:c r="P273" s="37" t="str">
        <x:v>The green pen and red block are both named and manipulated with a familiar near relation, while directional language is withheld for this ordered pair.</x:v>
      </x:c>
      <x:c r="Q273" s="38"/>
    </x:row>
    <x:row r="274" ht="60" customHeight="1">
      <x:c r="A274" s="70" t="n">
        <x:v>272</x:v>
      </x:c>
      <x:c r="B274" s="37" t="str">
        <x:v>Relational Placement</x:v>
      </x:c>
      <x:c r="C274" s="37" t="str">
        <x:v>Move the red block near the green pen.</x:v>
      </x:c>
      <x:c r="D274" s="37" t="str">
        <x:v>Masked unordered-pair composition</x:v>
      </x:c>
      <x:c r="E274" s="37" t="str">
        <x:v>near / beside / next to with the green-pen/red-block pair</x:v>
      </x:c>
      <x:c r="F274" s="37" t="str">
        <x:v>relational_green_pen_red_block_direction_masked</x:v>
      </x:c>
      <x:c r="G274" s="37" t="str">
        <x:v>direction × ordered green-pen/red-block target/reference role</x:v>
      </x:c>
      <x:c r="H274" s="37" t="str">
        <x:v>No</x:v>
      </x:c>
      <x:c r="I274" s="37" t="str">
        <x:v>Keep prompt</x:v>
      </x:c>
      <x:c r="J274" s="37" t="str">
        <x:v>No prompt change required under the missing-cell design.</x:v>
      </x:c>
      <x:c r="K274" s="37" t="str">
        <x:v>red block, green pen, pink marker</x:v>
      </x:c>
      <x:c r="L274" s="37" t="str">
        <x:v>red block</x:v>
      </x:c>
      <x:c r="M274" s="37" t="str">
        <x:v>Home</x:v>
      </x:c>
      <x:c r="N274" s="37" t="str">
        <x:v>Move the red block near the green pen.</x:v>
      </x:c>
      <x:c r="O274" s="37" t="str">
        <x:v>Place the red block behind the green pen.</x:v>
      </x:c>
      <x:c r="P274" s="37" t="str">
        <x:v>The green pen and red block are both named and manipulated with a familiar near relation, while directional language is withheld for this ordered pair.</x:v>
      </x:c>
      <x:c r="Q274" s="38"/>
    </x:row>
    <x:row r="275" ht="60" customHeight="1">
      <x:c r="A275" s="70" t="n">
        <x:v>273</x:v>
      </x:c>
      <x:c r="B275" s="37" t="str">
        <x:v>Relational Placement</x:v>
      </x:c>
      <x:c r="C275" s="37" t="str">
        <x:v>Place the red block next to the green pen.</x:v>
      </x:c>
      <x:c r="D275" s="37" t="str">
        <x:v>Masked unordered-pair composition</x:v>
      </x:c>
      <x:c r="E275" s="37" t="str">
        <x:v>near / beside / next to with the green-pen/red-block pair</x:v>
      </x:c>
      <x:c r="F275" s="37" t="str">
        <x:v>relational_green_pen_red_block_direction_masked</x:v>
      </x:c>
      <x:c r="G275" s="37" t="str">
        <x:v>direction × ordered green-pen/red-block target/reference role</x:v>
      </x:c>
      <x:c r="H275" s="37" t="str">
        <x:v>No</x:v>
      </x:c>
      <x:c r="I275" s="37" t="str">
        <x:v>Keep prompt</x:v>
      </x:c>
      <x:c r="J275" s="37" t="str">
        <x:v>No prompt change required under the missing-cell design.</x:v>
      </x:c>
      <x:c r="K275" s="37" t="str">
        <x:v>green pen, red block, pink marker, blue block</x:v>
      </x:c>
      <x:c r="L275" s="37" t="str">
        <x:v>red block</x:v>
      </x:c>
      <x:c r="M275" s="37" t="str">
        <x:v>Home</x:v>
      </x:c>
      <x:c r="N275" s="37" t="str">
        <x:v>Place the red block next to the green pen.</x:v>
      </x:c>
      <x:c r="O275" s="37" t="str">
        <x:v>Place the red block behind the green pen.</x:v>
      </x:c>
      <x:c r="P275" s="37" t="str">
        <x:v>The green pen and red block are both named and manipulated with a familiar near relation, while directional language is withheld for this ordered pair.</x:v>
      </x:c>
      <x:c r="Q275" s="38"/>
    </x:row>
    <x:row r="276" ht="60" customHeight="1">
      <x:c r="A276" s="70" t="n">
        <x:v>274</x:v>
      </x:c>
      <x:c r="B276" s="37" t="str">
        <x:v>Relational Placement</x:v>
      </x:c>
      <x:c r="C276" s="37" t="str">
        <x:v>Put the red block beside the green pen.</x:v>
      </x:c>
      <x:c r="D276" s="37" t="str">
        <x:v>Masked unordered-pair composition</x:v>
      </x:c>
      <x:c r="E276" s="37" t="str">
        <x:v>near / beside / next to with the green-pen/red-block pair</x:v>
      </x:c>
      <x:c r="F276" s="37" t="str">
        <x:v>relational_green_pen_red_block_direction_masked</x:v>
      </x:c>
      <x:c r="G276" s="37" t="str">
        <x:v>direction × ordered green-pen/red-block target/reference role</x:v>
      </x:c>
      <x:c r="H276" s="37" t="str">
        <x:v>No</x:v>
      </x:c>
      <x:c r="I276" s="37" t="str">
        <x:v>Keep prompt</x:v>
      </x:c>
      <x:c r="J276" s="37" t="str">
        <x:v>No prompt change required under the missing-cell design.</x:v>
      </x:c>
      <x:c r="K276" s="37" t="str">
        <x:v>red block, green pen, blue block</x:v>
      </x:c>
      <x:c r="L276" s="37" t="str">
        <x:v>red block</x:v>
      </x:c>
      <x:c r="M276" s="37" t="str">
        <x:v>Recovery</x:v>
      </x:c>
      <x:c r="N276" s="37" t="str">
        <x:v>Put the red block beside the green pen.</x:v>
      </x:c>
      <x:c r="O276" s="37" t="str">
        <x:v>Move the red block to the back of the green pen.</x:v>
      </x:c>
      <x:c r="P276" s="37" t="str">
        <x:v>The green pen and red block are both named and manipulated with a familiar near relation, while directional language is withheld for this ordered pair.</x:v>
      </x:c>
      <x:c r="Q276" s="38"/>
    </x:row>
    <x:row r="277" ht="60" customHeight="1">
      <x:c r="A277" s="70" t="n">
        <x:v>275</x:v>
      </x:c>
      <x:c r="B277" s="37" t="str">
        <x:v>Relational Placement</x:v>
      </x:c>
      <x:c r="C277" s="37" t="str">
        <x:v>Place the red block to the left of the pink marker.</x:v>
      </x:c>
      <x:c r="D277" s="37" t="str">
        <x:v>Explicit spatial-relation grounding</x:v>
      </x:c>
      <x:c r="E277" s="37" t="str">
        <x:v>left / right / front / behind with other ordered object pairs</x:v>
      </x:c>
      <x:c r="F277" s="37" t="str">
        <x:v>relational_direction_explicit_other_pair</x:v>
      </x:c>
      <x:c r="G277" s="37" t="str">
        <x:v>direction × ordered green-pen/red-block target/reference role</x:v>
      </x:c>
      <x:c r="H277" s="37" t="str">
        <x:v>No</x:v>
      </x:c>
      <x:c r="I277" s="37" t="str">
        <x:v>Keep prompt</x:v>
      </x:c>
      <x:c r="J277" s="37" t="str">
        <x:v>No prompt change required under the missing-cell design.</x:v>
      </x:c>
      <x:c r="K277" s="37" t="str">
        <x:v>red block, pink marker</x:v>
      </x:c>
      <x:c r="L277" s="37" t="str">
        <x:v>red block</x:v>
      </x:c>
      <x:c r="M277" s="37" t="str">
        <x:v>Home</x:v>
      </x:c>
      <x:c r="N277" s="37" t="str">
        <x:v>Place the red block to the left of the pink marker.</x:v>
      </x:c>
      <x:c r="O277" s="37" t="str"/>
      <x:c r="P277" s="37" t="str">
        <x:v>Directional concepts are explicitly grounded on other ordered object pairs.</x:v>
      </x:c>
      <x:c r="Q277" s="38"/>
    </x:row>
    <x:row r="278" ht="60" customHeight="1">
      <x:c r="A278" s="70" t="n">
        <x:v>276</x:v>
      </x:c>
      <x:c r="B278" s="37" t="str">
        <x:v>Relational Placement</x:v>
      </x:c>
      <x:c r="C278" s="37" t="str">
        <x:v>Place the red block to the left of the pink marker.</x:v>
      </x:c>
      <x:c r="D278" s="37" t="str">
        <x:v>Explicit spatial-relation grounding</x:v>
      </x:c>
      <x:c r="E278" s="37" t="str">
        <x:v>left / right / front / behind with other ordered object pairs</x:v>
      </x:c>
      <x:c r="F278" s="37" t="str">
        <x:v>relational_direction_explicit_other_pair</x:v>
      </x:c>
      <x:c r="G278" s="37" t="str">
        <x:v>direction × ordered green-pen/red-block target/reference role</x:v>
      </x:c>
      <x:c r="H278" s="37" t="str">
        <x:v>No</x:v>
      </x:c>
      <x:c r="I278" s="37" t="str">
        <x:v>Keep prompt</x:v>
      </x:c>
      <x:c r="J278" s="37" t="str">
        <x:v>No prompt change required under the missing-cell design.</x:v>
      </x:c>
      <x:c r="K278" s="37" t="str">
        <x:v>red block, pink marker, blue block</x:v>
      </x:c>
      <x:c r="L278" s="37" t="str">
        <x:v>red block</x:v>
      </x:c>
      <x:c r="M278" s="37" t="str">
        <x:v>Home</x:v>
      </x:c>
      <x:c r="N278" s="37" t="str">
        <x:v>Place the red block to the left of the pink marker.</x:v>
      </x:c>
      <x:c r="O278" s="37" t="str"/>
      <x:c r="P278" s="37" t="str">
        <x:v>Directional concepts are explicitly grounded on other ordered object pairs.</x:v>
      </x:c>
      <x:c r="Q278" s="38"/>
    </x:row>
    <x:row r="279" ht="60" customHeight="1">
      <x:c r="A279" s="70" t="n">
        <x:v>277</x:v>
      </x:c>
      <x:c r="B279" s="37" t="str">
        <x:v>Relational Placement</x:v>
      </x:c>
      <x:c r="C279" s="37" t="str">
        <x:v>Place the red block to the left of the pink marker.</x:v>
      </x:c>
      <x:c r="D279" s="37" t="str">
        <x:v>Explicit spatial-relation grounding</x:v>
      </x:c>
      <x:c r="E279" s="37" t="str">
        <x:v>left / right / front / behind with other ordered object pairs</x:v>
      </x:c>
      <x:c r="F279" s="37" t="str">
        <x:v>relational_direction_explicit_other_pair</x:v>
      </x:c>
      <x:c r="G279" s="37" t="str">
        <x:v>direction × ordered green-pen/red-block target/reference role</x:v>
      </x:c>
      <x:c r="H279" s="37" t="str">
        <x:v>No</x:v>
      </x:c>
      <x:c r="I279" s="37" t="str">
        <x:v>Keep prompt</x:v>
      </x:c>
      <x:c r="J279" s="37" t="str">
        <x:v>No prompt change required under the missing-cell design.</x:v>
      </x:c>
      <x:c r="K279" s="37" t="str">
        <x:v>green pen, red block, pink marker, blue block</x:v>
      </x:c>
      <x:c r="L279" s="37" t="str">
        <x:v>red block</x:v>
      </x:c>
      <x:c r="M279" s="37" t="str">
        <x:v>Home</x:v>
      </x:c>
      <x:c r="N279" s="37" t="str">
        <x:v>Place the red block to the left of the pink marker.</x:v>
      </x:c>
      <x:c r="O279" s="37" t="str"/>
      <x:c r="P279" s="37" t="str">
        <x:v>Directional concepts are explicitly grounded on other ordered object pairs.</x:v>
      </x:c>
      <x:c r="Q279" s="38"/>
    </x:row>
    <x:row r="280" ht="60" customHeight="1">
      <x:c r="A280" s="70" t="n">
        <x:v>278</x:v>
      </x:c>
      <x:c r="B280" s="37" t="str">
        <x:v>Relational Placement</x:v>
      </x:c>
      <x:c r="C280" s="37" t="str">
        <x:v>Place the red block to the left of the pink marker.</x:v>
      </x:c>
      <x:c r="D280" s="37" t="str">
        <x:v>Explicit spatial-relation grounding</x:v>
      </x:c>
      <x:c r="E280" s="37" t="str">
        <x:v>left / right / front / behind with other ordered object pairs</x:v>
      </x:c>
      <x:c r="F280" s="37" t="str">
        <x:v>relational_direction_explicit_other_pair</x:v>
      </x:c>
      <x:c r="G280" s="37" t="str">
        <x:v>direction × ordered green-pen/red-block target/reference role</x:v>
      </x:c>
      <x:c r="H280" s="37" t="str">
        <x:v>No</x:v>
      </x:c>
      <x:c r="I280" s="37" t="str">
        <x:v>Keep prompt</x:v>
      </x:c>
      <x:c r="J280" s="37" t="str">
        <x:v>No prompt change required under the missing-cell design.</x:v>
      </x:c>
      <x:c r="K280" s="37" t="str">
        <x:v>red block, pink marker, green pen</x:v>
      </x:c>
      <x:c r="L280" s="37" t="str">
        <x:v>red block</x:v>
      </x:c>
      <x:c r="M280" s="37" t="str">
        <x:v>Home</x:v>
      </x:c>
      <x:c r="N280" s="37" t="str">
        <x:v>Place the red block to the left of the pink marker.</x:v>
      </x:c>
      <x:c r="O280" s="37" t="str"/>
      <x:c r="P280" s="37" t="str">
        <x:v>Directional concepts are explicitly grounded on other ordered object pairs.</x:v>
      </x:c>
      <x:c r="Q280" s="38"/>
    </x:row>
    <x:row r="281" ht="60" customHeight="1">
      <x:c r="A281" s="70" t="n">
        <x:v>279</x:v>
      </x:c>
      <x:c r="B281" s="37" t="str">
        <x:v>Relational Placement</x:v>
      </x:c>
      <x:c r="C281" s="37" t="str">
        <x:v>Place the red block to the left of the blue block.</x:v>
      </x:c>
      <x:c r="D281" s="37" t="str">
        <x:v>Explicit spatial-relation grounding</x:v>
      </x:c>
      <x:c r="E281" s="37" t="str">
        <x:v>left / right / front / behind with other ordered object pairs</x:v>
      </x:c>
      <x:c r="F281" s="37" t="str">
        <x:v>relational_direction_explicit_other_pair</x:v>
      </x:c>
      <x:c r="G281" s="37" t="str">
        <x:v>direction × ordered green-pen/red-block target/reference role</x:v>
      </x:c>
      <x:c r="H281" s="37" t="str">
        <x:v>No</x:v>
      </x:c>
      <x:c r="I281" s="37" t="str">
        <x:v>Keep prompt</x:v>
      </x:c>
      <x:c r="J281" s="37" t="str">
        <x:v>No prompt change required under the missing-cell design.</x:v>
      </x:c>
      <x:c r="K281" s="37" t="str">
        <x:v>red block, blue block</x:v>
      </x:c>
      <x:c r="L281" s="37" t="str">
        <x:v>red block</x:v>
      </x:c>
      <x:c r="M281" s="37" t="str">
        <x:v>Home</x:v>
      </x:c>
      <x:c r="N281" s="37" t="str">
        <x:v>Place the red block to the left of the blue block.</x:v>
      </x:c>
      <x:c r="O281" s="37" t="str"/>
      <x:c r="P281" s="37" t="str">
        <x:v>Directional concepts are explicitly grounded on other ordered object pairs.</x:v>
      </x:c>
      <x:c r="Q281" s="38"/>
    </x:row>
    <x:row r="282" ht="60" customHeight="1">
      <x:c r="A282" s="70" t="n">
        <x:v>280</x:v>
      </x:c>
      <x:c r="B282" s="37" t="str">
        <x:v>Relational Placement</x:v>
      </x:c>
      <x:c r="C282" s="37" t="str">
        <x:v>Place the red block to the left of the blue block.</x:v>
      </x:c>
      <x:c r="D282" s="37" t="str">
        <x:v>Explicit spatial-relation grounding</x:v>
      </x:c>
      <x:c r="E282" s="37" t="str">
        <x:v>left / right / front / behind with other ordered object pairs</x:v>
      </x:c>
      <x:c r="F282" s="37" t="str">
        <x:v>relational_direction_explicit_other_pair</x:v>
      </x:c>
      <x:c r="G282" s="37" t="str">
        <x:v>direction × ordered green-pen/red-block target/reference role</x:v>
      </x:c>
      <x:c r="H282" s="37" t="str">
        <x:v>No</x:v>
      </x:c>
      <x:c r="I282" s="37" t="str">
        <x:v>Keep prompt</x:v>
      </x:c>
      <x:c r="J282" s="37" t="str">
        <x:v>No prompt change required under the missing-cell design.</x:v>
      </x:c>
      <x:c r="K282" s="37" t="str">
        <x:v>red block, blue block, pink marker</x:v>
      </x:c>
      <x:c r="L282" s="37" t="str">
        <x:v>red block</x:v>
      </x:c>
      <x:c r="M282" s="37" t="str">
        <x:v>Home</x:v>
      </x:c>
      <x:c r="N282" s="37" t="str">
        <x:v>Place the red block to the left of the blue block.</x:v>
      </x:c>
      <x:c r="O282" s="37" t="str"/>
      <x:c r="P282" s="37" t="str">
        <x:v>Directional concepts are explicitly grounded on other ordered object pairs.</x:v>
      </x:c>
      <x:c r="Q282" s="38"/>
    </x:row>
    <x:row r="283" ht="60" customHeight="1">
      <x:c r="A283" s="70" t="n">
        <x:v>281</x:v>
      </x:c>
      <x:c r="B283" s="37" t="str">
        <x:v>Relational Placement</x:v>
      </x:c>
      <x:c r="C283" s="37" t="str">
        <x:v>Place the red block to the left of the blue block.</x:v>
      </x:c>
      <x:c r="D283" s="37" t="str">
        <x:v>Explicit spatial-relation grounding</x:v>
      </x:c>
      <x:c r="E283" s="37" t="str">
        <x:v>left / right / front / behind with other ordered object pairs</x:v>
      </x:c>
      <x:c r="F283" s="37" t="str">
        <x:v>relational_direction_explicit_other_pair</x:v>
      </x:c>
      <x:c r="G283" s="37" t="str">
        <x:v>direction × ordered green-pen/red-block target/reference role</x:v>
      </x:c>
      <x:c r="H283" s="37" t="str">
        <x:v>No</x:v>
      </x:c>
      <x:c r="I283" s="37" t="str">
        <x:v>Keep prompt</x:v>
      </x:c>
      <x:c r="J283" s="37" t="str">
        <x:v>No prompt change required under the missing-cell design.</x:v>
      </x:c>
      <x:c r="K283" s="37" t="str">
        <x:v>green pen, red block, pink marker, blue block</x:v>
      </x:c>
      <x:c r="L283" s="37" t="str">
        <x:v>red block</x:v>
      </x:c>
      <x:c r="M283" s="37" t="str">
        <x:v>Home</x:v>
      </x:c>
      <x:c r="N283" s="37" t="str">
        <x:v>Place the red block to the left of the blue block.</x:v>
      </x:c>
      <x:c r="O283" s="37" t="str"/>
      <x:c r="P283" s="37" t="str">
        <x:v>Directional concepts are explicitly grounded on other ordered object pairs.</x:v>
      </x:c>
      <x:c r="Q283" s="38"/>
    </x:row>
    <x:row r="284" ht="60" customHeight="1">
      <x:c r="A284" s="70" t="n">
        <x:v>282</x:v>
      </x:c>
      <x:c r="B284" s="37" t="str">
        <x:v>Relational Placement</x:v>
      </x:c>
      <x:c r="C284" s="37" t="str">
        <x:v>Place the red block to the left of the blue block.</x:v>
      </x:c>
      <x:c r="D284" s="37" t="str">
        <x:v>Explicit spatial-relation grounding</x:v>
      </x:c>
      <x:c r="E284" s="37" t="str">
        <x:v>left / right / front / behind with other ordered object pairs</x:v>
      </x:c>
      <x:c r="F284" s="37" t="str">
        <x:v>relational_direction_explicit_other_pair</x:v>
      </x:c>
      <x:c r="G284" s="37" t="str">
        <x:v>direction × ordered green-pen/red-block target/reference role</x:v>
      </x:c>
      <x:c r="H284" s="37" t="str">
        <x:v>No</x:v>
      </x:c>
      <x:c r="I284" s="37" t="str">
        <x:v>Keep prompt</x:v>
      </x:c>
      <x:c r="J284" s="37" t="str">
        <x:v>No prompt change required under the missing-cell design.</x:v>
      </x:c>
      <x:c r="K284" s="37" t="str">
        <x:v>red block, blue block, green pen</x:v>
      </x:c>
      <x:c r="L284" s="37" t="str">
        <x:v>red block</x:v>
      </x:c>
      <x:c r="M284" s="37" t="str">
        <x:v>Recovery</x:v>
      </x:c>
      <x:c r="N284" s="37" t="str">
        <x:v>Place the red block to the left of the blue block.</x:v>
      </x:c>
      <x:c r="O284" s="37" t="str"/>
      <x:c r="P284" s="37" t="str">
        <x:v>Directional concepts are explicitly grounded on other ordered object pairs.</x:v>
      </x:c>
      <x:c r="Q284" s="38"/>
    </x:row>
    <x:row r="285" ht="60" customHeight="1">
      <x:c r="A285" s="70" t="n">
        <x:v>283</x:v>
      </x:c>
      <x:c r="B285" s="37" t="str">
        <x:v>Relational Placement</x:v>
      </x:c>
      <x:c r="C285" s="37" t="str">
        <x:v>Put the red block beside the green pen.</x:v>
      </x:c>
      <x:c r="D285" s="37" t="str">
        <x:v>Masked unordered-pair composition</x:v>
      </x:c>
      <x:c r="E285" s="37" t="str">
        <x:v>near / beside / next to with the green-pen/red-block pair</x:v>
      </x:c>
      <x:c r="F285" s="37" t="str">
        <x:v>relational_green_pen_red_block_direction_masked</x:v>
      </x:c>
      <x:c r="G285" s="37" t="str">
        <x:v>direction × ordered green-pen/red-block target/reference role</x:v>
      </x:c>
      <x:c r="H285" s="37" t="str">
        <x:v>No</x:v>
      </x:c>
      <x:c r="I285" s="37" t="str">
        <x:v>Keep prompt</x:v>
      </x:c>
      <x:c r="J285" s="37" t="str">
        <x:v>No prompt change required under the missing-cell design.</x:v>
      </x:c>
      <x:c r="K285" s="37" t="str">
        <x:v>red block, green pen</x:v>
      </x:c>
      <x:c r="L285" s="37" t="str">
        <x:v>red block</x:v>
      </x:c>
      <x:c r="M285" s="37" t="str">
        <x:v>Home</x:v>
      </x:c>
      <x:c r="N285" s="37" t="str">
        <x:v>Put the red block beside the green pen.</x:v>
      </x:c>
      <x:c r="O285" s="37" t="str">
        <x:v>Place the red block to the left of the green pen.</x:v>
      </x:c>
      <x:c r="P285" s="37" t="str">
        <x:v>The green pen and red block are both named and manipulated with a familiar near relation, while directional language is withheld for this ordered pair.</x:v>
      </x:c>
      <x:c r="Q285" s="38"/>
    </x:row>
    <x:row r="286" ht="60" customHeight="1">
      <x:c r="A286" s="70" t="n">
        <x:v>284</x:v>
      </x:c>
      <x:c r="B286" s="37" t="str">
        <x:v>Relational Placement</x:v>
      </x:c>
      <x:c r="C286" s="37" t="str">
        <x:v>Move the red block near the green pen.</x:v>
      </x:c>
      <x:c r="D286" s="37" t="str">
        <x:v>Masked unordered-pair composition</x:v>
      </x:c>
      <x:c r="E286" s="37" t="str">
        <x:v>near / beside / next to with the green-pen/red-block pair</x:v>
      </x:c>
      <x:c r="F286" s="37" t="str">
        <x:v>relational_green_pen_red_block_direction_masked</x:v>
      </x:c>
      <x:c r="G286" s="37" t="str">
        <x:v>direction × ordered green-pen/red-block target/reference role</x:v>
      </x:c>
      <x:c r="H286" s="37" t="str">
        <x:v>No</x:v>
      </x:c>
      <x:c r="I286" s="37" t="str">
        <x:v>Keep prompt</x:v>
      </x:c>
      <x:c r="J286" s="37" t="str">
        <x:v>No prompt change required under the missing-cell design.</x:v>
      </x:c>
      <x:c r="K286" s="37" t="str">
        <x:v>red block, green pen, pink marker</x:v>
      </x:c>
      <x:c r="L286" s="37" t="str">
        <x:v>red block</x:v>
      </x:c>
      <x:c r="M286" s="37" t="str">
        <x:v>Home</x:v>
      </x:c>
      <x:c r="N286" s="37" t="str">
        <x:v>Move the red block near the green pen.</x:v>
      </x:c>
      <x:c r="O286" s="37" t="str">
        <x:v>Place the red block to the left of the green pen.</x:v>
      </x:c>
      <x:c r="P286" s="37" t="str">
        <x:v>The green pen and red block are both named and manipulated with a familiar near relation, while directional language is withheld for this ordered pair.</x:v>
      </x:c>
      <x:c r="Q286" s="38"/>
    </x:row>
    <x:row r="287" ht="60" customHeight="1">
      <x:c r="A287" s="70" t="n">
        <x:v>285</x:v>
      </x:c>
      <x:c r="B287" s="37" t="str">
        <x:v>Relational Placement</x:v>
      </x:c>
      <x:c r="C287" s="37" t="str">
        <x:v>Place the red block next to the green pen.</x:v>
      </x:c>
      <x:c r="D287" s="37" t="str">
        <x:v>Masked unordered-pair composition</x:v>
      </x:c>
      <x:c r="E287" s="37" t="str">
        <x:v>near / beside / next to with the green-pen/red-block pair</x:v>
      </x:c>
      <x:c r="F287" s="37" t="str">
        <x:v>relational_green_pen_red_block_direction_masked</x:v>
      </x:c>
      <x:c r="G287" s="37" t="str">
        <x:v>direction × ordered green-pen/red-block target/reference role</x:v>
      </x:c>
      <x:c r="H287" s="37" t="str">
        <x:v>No</x:v>
      </x:c>
      <x:c r="I287" s="37" t="str">
        <x:v>Keep prompt</x:v>
      </x:c>
      <x:c r="J287" s="37" t="str">
        <x:v>No prompt change required under the missing-cell design.</x:v>
      </x:c>
      <x:c r="K287" s="37" t="str">
        <x:v>green pen, red block, pink marker, blue block</x:v>
      </x:c>
      <x:c r="L287" s="37" t="str">
        <x:v>red block</x:v>
      </x:c>
      <x:c r="M287" s="37" t="str">
        <x:v>Home</x:v>
      </x:c>
      <x:c r="N287" s="37" t="str">
        <x:v>Place the red block next to the green pen.</x:v>
      </x:c>
      <x:c r="O287" s="37" t="str">
        <x:v>Place the red block to the left of the green pen.</x:v>
      </x:c>
      <x:c r="P287" s="37" t="str">
        <x:v>The green pen and red block are both named and manipulated with a familiar near relation, while directional language is withheld for this ordered pair.</x:v>
      </x:c>
      <x:c r="Q287" s="38"/>
    </x:row>
    <x:row r="288" ht="60" customHeight="1">
      <x:c r="A288" s="70" t="n">
        <x:v>286</x:v>
      </x:c>
      <x:c r="B288" s="37" t="str">
        <x:v>Relational Placement</x:v>
      </x:c>
      <x:c r="C288" s="37" t="str">
        <x:v>Put the red block beside the green pen.</x:v>
      </x:c>
      <x:c r="D288" s="37" t="str">
        <x:v>Masked unordered-pair composition</x:v>
      </x:c>
      <x:c r="E288" s="37" t="str">
        <x:v>near / beside / next to with the green-pen/red-block pair</x:v>
      </x:c>
      <x:c r="F288" s="37" t="str">
        <x:v>relational_green_pen_red_block_direction_masked</x:v>
      </x:c>
      <x:c r="G288" s="37" t="str">
        <x:v>direction × ordered green-pen/red-block target/reference role</x:v>
      </x:c>
      <x:c r="H288" s="37" t="str">
        <x:v>No</x:v>
      </x:c>
      <x:c r="I288" s="37" t="str">
        <x:v>Keep prompt</x:v>
      </x:c>
      <x:c r="J288" s="37" t="str">
        <x:v>No prompt change required under the missing-cell design.</x:v>
      </x:c>
      <x:c r="K288" s="37" t="str">
        <x:v>red block, green pen, blue block</x:v>
      </x:c>
      <x:c r="L288" s="37" t="str">
        <x:v>red block</x:v>
      </x:c>
      <x:c r="M288" s="37" t="str">
        <x:v>Recovery</x:v>
      </x:c>
      <x:c r="N288" s="37" t="str">
        <x:v>Put the red block beside the green pen.</x:v>
      </x:c>
      <x:c r="O288" s="37" t="str">
        <x:v>Place the red block to the left of the green pen.</x:v>
      </x:c>
      <x:c r="P288" s="37" t="str">
        <x:v>The green pen and red block are both named and manipulated with a familiar near relation, while directional language is withheld for this ordered pair.</x:v>
      </x:c>
      <x:c r="Q288" s="38"/>
    </x:row>
    <x:row r="289" ht="60" customHeight="1">
      <x:c r="A289" s="70" t="n">
        <x:v>287</x:v>
      </x:c>
      <x:c r="B289" s="37" t="str">
        <x:v>Relational Placement</x:v>
      </x:c>
      <x:c r="C289" s="37" t="str">
        <x:v>Place the red block to the right of the pink marker.</x:v>
      </x:c>
      <x:c r="D289" s="37" t="str">
        <x:v>Explicit spatial-relation grounding</x:v>
      </x:c>
      <x:c r="E289" s="37" t="str">
        <x:v>left / right / front / behind with other ordered object pairs</x:v>
      </x:c>
      <x:c r="F289" s="37" t="str">
        <x:v>relational_direction_explicit_other_pair</x:v>
      </x:c>
      <x:c r="G289" s="37" t="str">
        <x:v>direction × ordered green-pen/red-block target/reference role</x:v>
      </x:c>
      <x:c r="H289" s="37" t="str">
        <x:v>No</x:v>
      </x:c>
      <x:c r="I289" s="37" t="str">
        <x:v>Keep prompt</x:v>
      </x:c>
      <x:c r="J289" s="37" t="str">
        <x:v>No prompt change required under the missing-cell design.</x:v>
      </x:c>
      <x:c r="K289" s="37" t="str">
        <x:v>red block, pink marker</x:v>
      </x:c>
      <x:c r="L289" s="37" t="str">
        <x:v>red block</x:v>
      </x:c>
      <x:c r="M289" s="37" t="str">
        <x:v>Home</x:v>
      </x:c>
      <x:c r="N289" s="37" t="str">
        <x:v>Place the red block to the right of the pink marker.</x:v>
      </x:c>
      <x:c r="O289" s="37" t="str"/>
      <x:c r="P289" s="37" t="str">
        <x:v>Directional concepts are explicitly grounded on other ordered object pairs.</x:v>
      </x:c>
      <x:c r="Q289" s="38"/>
    </x:row>
    <x:row r="290" ht="60" customHeight="1">
      <x:c r="A290" s="70" t="n">
        <x:v>288</x:v>
      </x:c>
      <x:c r="B290" s="37" t="str">
        <x:v>Relational Placement</x:v>
      </x:c>
      <x:c r="C290" s="37" t="str">
        <x:v>Place the red block to the right of the pink marker.</x:v>
      </x:c>
      <x:c r="D290" s="37" t="str">
        <x:v>Explicit spatial-relation grounding</x:v>
      </x:c>
      <x:c r="E290" s="37" t="str">
        <x:v>left / right / front / behind with other ordered object pairs</x:v>
      </x:c>
      <x:c r="F290" s="37" t="str">
        <x:v>relational_direction_explicit_other_pair</x:v>
      </x:c>
      <x:c r="G290" s="37" t="str">
        <x:v>direction × ordered green-pen/red-block target/reference role</x:v>
      </x:c>
      <x:c r="H290" s="37" t="str">
        <x:v>No</x:v>
      </x:c>
      <x:c r="I290" s="37" t="str">
        <x:v>Keep prompt</x:v>
      </x:c>
      <x:c r="J290" s="37" t="str">
        <x:v>No prompt change required under the missing-cell design.</x:v>
      </x:c>
      <x:c r="K290" s="37" t="str">
        <x:v>red block, pink marker, blue block</x:v>
      </x:c>
      <x:c r="L290" s="37" t="str">
        <x:v>red block</x:v>
      </x:c>
      <x:c r="M290" s="37" t="str">
        <x:v>Home</x:v>
      </x:c>
      <x:c r="N290" s="37" t="str">
        <x:v>Place the red block to the right of the pink marker.</x:v>
      </x:c>
      <x:c r="O290" s="37" t="str"/>
      <x:c r="P290" s="37" t="str">
        <x:v>Directional concepts are explicitly grounded on other ordered object pairs.</x:v>
      </x:c>
      <x:c r="Q290" s="38"/>
    </x:row>
    <x:row r="291" ht="60" customHeight="1">
      <x:c r="A291" s="70" t="n">
        <x:v>289</x:v>
      </x:c>
      <x:c r="B291" s="37" t="str">
        <x:v>Relational Placement</x:v>
      </x:c>
      <x:c r="C291" s="37" t="str">
        <x:v>Place the red block to the right of the pink marker.</x:v>
      </x:c>
      <x:c r="D291" s="37" t="str">
        <x:v>Explicit spatial-relation grounding</x:v>
      </x:c>
      <x:c r="E291" s="37" t="str">
        <x:v>left / right / front / behind with other ordered object pairs</x:v>
      </x:c>
      <x:c r="F291" s="37" t="str">
        <x:v>relational_direction_explicit_other_pair</x:v>
      </x:c>
      <x:c r="G291" s="37" t="str">
        <x:v>direction × ordered green-pen/red-block target/reference role</x:v>
      </x:c>
      <x:c r="H291" s="37" t="str">
        <x:v>No</x:v>
      </x:c>
      <x:c r="I291" s="37" t="str">
        <x:v>Keep prompt</x:v>
      </x:c>
      <x:c r="J291" s="37" t="str">
        <x:v>No prompt change required under the missing-cell design.</x:v>
      </x:c>
      <x:c r="K291" s="37" t="str">
        <x:v>green pen, red block, pink marker, blue block</x:v>
      </x:c>
      <x:c r="L291" s="37" t="str">
        <x:v>red block</x:v>
      </x:c>
      <x:c r="M291" s="37" t="str">
        <x:v>Home</x:v>
      </x:c>
      <x:c r="N291" s="37" t="str">
        <x:v>Place the red block to the right of the pink marker.</x:v>
      </x:c>
      <x:c r="O291" s="37" t="str"/>
      <x:c r="P291" s="37" t="str">
        <x:v>Directional concepts are explicitly grounded on other ordered object pairs.</x:v>
      </x:c>
      <x:c r="Q291" s="38"/>
    </x:row>
    <x:row r="292" ht="60" customHeight="1">
      <x:c r="A292" s="70" t="n">
        <x:v>290</x:v>
      </x:c>
      <x:c r="B292" s="37" t="str">
        <x:v>Relational Placement</x:v>
      </x:c>
      <x:c r="C292" s="37" t="str">
        <x:v>Place the red block to the right of the pink marker.</x:v>
      </x:c>
      <x:c r="D292" s="37" t="str">
        <x:v>Explicit spatial-relation grounding</x:v>
      </x:c>
      <x:c r="E292" s="37" t="str">
        <x:v>left / right / front / behind with other ordered object pairs</x:v>
      </x:c>
      <x:c r="F292" s="37" t="str">
        <x:v>relational_direction_explicit_other_pair</x:v>
      </x:c>
      <x:c r="G292" s="37" t="str">
        <x:v>direction × ordered green-pen/red-block target/reference role</x:v>
      </x:c>
      <x:c r="H292" s="37" t="str">
        <x:v>No</x:v>
      </x:c>
      <x:c r="I292" s="37" t="str">
        <x:v>Keep prompt</x:v>
      </x:c>
      <x:c r="J292" s="37" t="str">
        <x:v>No prompt change required under the missing-cell design.</x:v>
      </x:c>
      <x:c r="K292" s="37" t="str">
        <x:v>red block, pink marker, green pen</x:v>
      </x:c>
      <x:c r="L292" s="37" t="str">
        <x:v>red block</x:v>
      </x:c>
      <x:c r="M292" s="37" t="str">
        <x:v>Recovery</x:v>
      </x:c>
      <x:c r="N292" s="37" t="str">
        <x:v>Place the red block to the right of the pink marker.</x:v>
      </x:c>
      <x:c r="O292" s="37" t="str"/>
      <x:c r="P292" s="37" t="str">
        <x:v>Directional concepts are explicitly grounded on other ordered object pairs.</x:v>
      </x:c>
      <x:c r="Q292" s="38"/>
    </x:row>
    <x:row r="293" ht="60" customHeight="1">
      <x:c r="A293" s="70" t="n">
        <x:v>291</x:v>
      </x:c>
      <x:c r="B293" s="37" t="str">
        <x:v>Relational Placement</x:v>
      </x:c>
      <x:c r="C293" s="37" t="str">
        <x:v>Place the red block to the right of the pink marker.</x:v>
      </x:c>
      <x:c r="D293" s="37" t="str">
        <x:v>Explicit spatial-relation grounding</x:v>
      </x:c>
      <x:c r="E293" s="37" t="str">
        <x:v>left / right / front / behind with other ordered object pairs</x:v>
      </x:c>
      <x:c r="F293" s="37" t="str">
        <x:v>relational_direction_explicit_other_pair</x:v>
      </x:c>
      <x:c r="G293" s="37" t="str">
        <x:v>direction × ordered green-pen/red-block target/reference role</x:v>
      </x:c>
      <x:c r="H293" s="37" t="str">
        <x:v>No</x:v>
      </x:c>
      <x:c r="I293" s="37" t="str">
        <x:v>Keep prompt</x:v>
      </x:c>
      <x:c r="J293" s="37" t="str">
        <x:v>No prompt change required under the missing-cell design.</x:v>
      </x:c>
      <x:c r="K293" s="37" t="str">
        <x:v>green pen, red block, pink marker, blue block</x:v>
      </x:c>
      <x:c r="L293" s="37" t="str">
        <x:v>red block</x:v>
      </x:c>
      <x:c r="M293" s="37" t="str">
        <x:v>Home</x:v>
      </x:c>
      <x:c r="N293" s="37" t="str">
        <x:v>Place the red block to the right of the pink marker.</x:v>
      </x:c>
      <x:c r="O293" s="37" t="str"/>
      <x:c r="P293" s="37" t="str">
        <x:v>Directional concepts are explicitly grounded on other ordered object pairs.</x:v>
      </x:c>
      <x:c r="Q293" s="38"/>
    </x:row>
    <x:row r="294" ht="60" customHeight="1">
      <x:c r="A294" s="70" t="n">
        <x:v>292</x:v>
      </x:c>
      <x:c r="B294" s="37" t="str">
        <x:v>Relational Placement</x:v>
      </x:c>
      <x:c r="C294" s="37" t="str">
        <x:v>Place the red block to the right of the blue block.</x:v>
      </x:c>
      <x:c r="D294" s="37" t="str">
        <x:v>Explicit spatial-relation grounding</x:v>
      </x:c>
      <x:c r="E294" s="37" t="str">
        <x:v>left / right / front / behind with other ordered object pairs</x:v>
      </x:c>
      <x:c r="F294" s="37" t="str">
        <x:v>relational_direction_explicit_other_pair</x:v>
      </x:c>
      <x:c r="G294" s="37" t="str">
        <x:v>direction × ordered green-pen/red-block target/reference role</x:v>
      </x:c>
      <x:c r="H294" s="37" t="str">
        <x:v>No</x:v>
      </x:c>
      <x:c r="I294" s="37" t="str">
        <x:v>Keep prompt</x:v>
      </x:c>
      <x:c r="J294" s="37" t="str">
        <x:v>No prompt change required under the missing-cell design.</x:v>
      </x:c>
      <x:c r="K294" s="37" t="str">
        <x:v>red block, blue block</x:v>
      </x:c>
      <x:c r="L294" s="37" t="str">
        <x:v>red block</x:v>
      </x:c>
      <x:c r="M294" s="37" t="str">
        <x:v>Home</x:v>
      </x:c>
      <x:c r="N294" s="37" t="str">
        <x:v>Place the red block to the right of the blue block.</x:v>
      </x:c>
      <x:c r="O294" s="37" t="str"/>
      <x:c r="P294" s="37" t="str">
        <x:v>Directional concepts are explicitly grounded on other ordered object pairs.</x:v>
      </x:c>
      <x:c r="Q294" s="38"/>
    </x:row>
    <x:row r="295" ht="60" customHeight="1">
      <x:c r="A295" s="70" t="n">
        <x:v>293</x:v>
      </x:c>
      <x:c r="B295" s="37" t="str">
        <x:v>Relational Placement</x:v>
      </x:c>
      <x:c r="C295" s="37" t="str">
        <x:v>Place the red block to the right of the blue block.</x:v>
      </x:c>
      <x:c r="D295" s="37" t="str">
        <x:v>Explicit spatial-relation grounding</x:v>
      </x:c>
      <x:c r="E295" s="37" t="str">
        <x:v>left / right / front / behind with other ordered object pairs</x:v>
      </x:c>
      <x:c r="F295" s="37" t="str">
        <x:v>relational_direction_explicit_other_pair</x:v>
      </x:c>
      <x:c r="G295" s="37" t="str">
        <x:v>direction × ordered green-pen/red-block target/reference role</x:v>
      </x:c>
      <x:c r="H295" s="37" t="str">
        <x:v>No</x:v>
      </x:c>
      <x:c r="I295" s="37" t="str">
        <x:v>Keep prompt</x:v>
      </x:c>
      <x:c r="J295" s="37" t="str">
        <x:v>No prompt change required under the missing-cell design.</x:v>
      </x:c>
      <x:c r="K295" s="37" t="str">
        <x:v>red block, blue block, pink marker</x:v>
      </x:c>
      <x:c r="L295" s="37" t="str">
        <x:v>red block</x:v>
      </x:c>
      <x:c r="M295" s="37" t="str">
        <x:v>Home</x:v>
      </x:c>
      <x:c r="N295" s="37" t="str">
        <x:v>Place the red block to the right of the blue block.</x:v>
      </x:c>
      <x:c r="O295" s="37" t="str"/>
      <x:c r="P295" s="37" t="str">
        <x:v>Directional concepts are explicitly grounded on other ordered object pairs.</x:v>
      </x:c>
      <x:c r="Q295" s="38"/>
    </x:row>
    <x:row r="296" ht="60" customHeight="1">
      <x:c r="A296" s="70" t="n">
        <x:v>294</x:v>
      </x:c>
      <x:c r="B296" s="37" t="str">
        <x:v>Relational Placement</x:v>
      </x:c>
      <x:c r="C296" s="37" t="str">
        <x:v>Place the red block to the right of the blue block.</x:v>
      </x:c>
      <x:c r="D296" s="37" t="str">
        <x:v>Explicit spatial-relation grounding</x:v>
      </x:c>
      <x:c r="E296" s="37" t="str">
        <x:v>left / right / front / behind with other ordered object pairs</x:v>
      </x:c>
      <x:c r="F296" s="37" t="str">
        <x:v>relational_direction_explicit_other_pair</x:v>
      </x:c>
      <x:c r="G296" s="37" t="str">
        <x:v>direction × ordered green-pen/red-block target/reference role</x:v>
      </x:c>
      <x:c r="H296" s="37" t="str">
        <x:v>No</x:v>
      </x:c>
      <x:c r="I296" s="37" t="str">
        <x:v>Keep prompt</x:v>
      </x:c>
      <x:c r="J296" s="37" t="str">
        <x:v>No prompt change required under the missing-cell design.</x:v>
      </x:c>
      <x:c r="K296" s="37" t="str">
        <x:v>green pen, red block, pink marker, blue block</x:v>
      </x:c>
      <x:c r="L296" s="37" t="str">
        <x:v>red block</x:v>
      </x:c>
      <x:c r="M296" s="37" t="str">
        <x:v>Home</x:v>
      </x:c>
      <x:c r="N296" s="37" t="str">
        <x:v>Place the red block to the right of the blue block.</x:v>
      </x:c>
      <x:c r="O296" s="37" t="str"/>
      <x:c r="P296" s="37" t="str">
        <x:v>Directional concepts are explicitly grounded on other ordered object pairs.</x:v>
      </x:c>
      <x:c r="Q296" s="38"/>
    </x:row>
    <x:row r="297" ht="60" customHeight="1">
      <x:c r="A297" s="70" t="n">
        <x:v>295</x:v>
      </x:c>
      <x:c r="B297" s="37" t="str">
        <x:v>Relational Placement</x:v>
      </x:c>
      <x:c r="C297" s="37" t="str">
        <x:v>Place the red block to the right of the blue block.</x:v>
      </x:c>
      <x:c r="D297" s="37" t="str">
        <x:v>Explicit spatial-relation grounding</x:v>
      </x:c>
      <x:c r="E297" s="37" t="str">
        <x:v>left / right / front / behind with other ordered object pairs</x:v>
      </x:c>
      <x:c r="F297" s="37" t="str">
        <x:v>relational_direction_explicit_other_pair</x:v>
      </x:c>
      <x:c r="G297" s="37" t="str">
        <x:v>direction × ordered green-pen/red-block target/reference role</x:v>
      </x:c>
      <x:c r="H297" s="37" t="str">
        <x:v>No</x:v>
      </x:c>
      <x:c r="I297" s="37" t="str">
        <x:v>Keep prompt</x:v>
      </x:c>
      <x:c r="J297" s="37" t="str">
        <x:v>No prompt change required under the missing-cell design.</x:v>
      </x:c>
      <x:c r="K297" s="37" t="str">
        <x:v>red block, blue block, green pen</x:v>
      </x:c>
      <x:c r="L297" s="37" t="str">
        <x:v>red block</x:v>
      </x:c>
      <x:c r="M297" s="37" t="str">
        <x:v>Recovery</x:v>
      </x:c>
      <x:c r="N297" s="37" t="str">
        <x:v>Place the red block to the right of the blue block.</x:v>
      </x:c>
      <x:c r="O297" s="37" t="str"/>
      <x:c r="P297" s="37" t="str">
        <x:v>Directional concepts are explicitly grounded on other ordered object pairs.</x:v>
      </x:c>
      <x:c r="Q297" s="38"/>
    </x:row>
    <x:row r="298" ht="60" customHeight="1">
      <x:c r="A298" s="70" t="n">
        <x:v>296</x:v>
      </x:c>
      <x:c r="B298" s="37" t="str">
        <x:v>Relational Placement</x:v>
      </x:c>
      <x:c r="C298" s="37" t="str">
        <x:v>Move the red block near the green pen.</x:v>
      </x:c>
      <x:c r="D298" s="37" t="str">
        <x:v>Masked unordered-pair composition</x:v>
      </x:c>
      <x:c r="E298" s="37" t="str">
        <x:v>near / beside / next to with the green-pen/red-block pair</x:v>
      </x:c>
      <x:c r="F298" s="37" t="str">
        <x:v>relational_green_pen_red_block_direction_masked</x:v>
      </x:c>
      <x:c r="G298" s="37" t="str">
        <x:v>direction × ordered green-pen/red-block target/reference role</x:v>
      </x:c>
      <x:c r="H298" s="37" t="str">
        <x:v>No</x:v>
      </x:c>
      <x:c r="I298" s="37" t="str">
        <x:v>Keep prompt</x:v>
      </x:c>
      <x:c r="J298" s="37" t="str">
        <x:v>No prompt change required under the missing-cell design.</x:v>
      </x:c>
      <x:c r="K298" s="37" t="str">
        <x:v>red block, green pen</x:v>
      </x:c>
      <x:c r="L298" s="37" t="str">
        <x:v>red block</x:v>
      </x:c>
      <x:c r="M298" s="37" t="str">
        <x:v>Home</x:v>
      </x:c>
      <x:c r="N298" s="37" t="str">
        <x:v>Move the red block near the green pen.</x:v>
      </x:c>
      <x:c r="O298" s="37" t="str">
        <x:v>Place the red block to the right of the green pen.</x:v>
      </x:c>
      <x:c r="P298" s="37" t="str">
        <x:v>The green pen and red block are both named and manipulated with a familiar near relation, while directional language is withheld for this ordered pair.</x:v>
      </x:c>
      <x:c r="Q298" s="38"/>
    </x:row>
    <x:row r="299" ht="60" customHeight="1">
      <x:c r="A299" s="70" t="n">
        <x:v>297</x:v>
      </x:c>
      <x:c r="B299" s="37" t="str">
        <x:v>Relational Placement</x:v>
      </x:c>
      <x:c r="C299" s="37" t="str">
        <x:v>Place the red block next to the green pen.</x:v>
      </x:c>
      <x:c r="D299" s="37" t="str">
        <x:v>Masked unordered-pair composition</x:v>
      </x:c>
      <x:c r="E299" s="37" t="str">
        <x:v>near / beside / next to with the green-pen/red-block pair</x:v>
      </x:c>
      <x:c r="F299" s="37" t="str">
        <x:v>relational_green_pen_red_block_direction_masked</x:v>
      </x:c>
      <x:c r="G299" s="37" t="str">
        <x:v>direction × ordered green-pen/red-block target/reference role</x:v>
      </x:c>
      <x:c r="H299" s="37" t="str">
        <x:v>No</x:v>
      </x:c>
      <x:c r="I299" s="37" t="str">
        <x:v>Keep prompt</x:v>
      </x:c>
      <x:c r="J299" s="37" t="str">
        <x:v>No prompt change required under the missing-cell design.</x:v>
      </x:c>
      <x:c r="K299" s="37" t="str">
        <x:v>red block, green pen, pink marker</x:v>
      </x:c>
      <x:c r="L299" s="37" t="str">
        <x:v>red block</x:v>
      </x:c>
      <x:c r="M299" s="37" t="str">
        <x:v>Home</x:v>
      </x:c>
      <x:c r="N299" s="37" t="str">
        <x:v>Place the red block next to the green pen.</x:v>
      </x:c>
      <x:c r="O299" s="37" t="str">
        <x:v>Place the red block to the right of the green pen.</x:v>
      </x:c>
      <x:c r="P299" s="37" t="str">
        <x:v>The green pen and red block are both named and manipulated with a familiar near relation, while directional language is withheld for this ordered pair.</x:v>
      </x:c>
      <x:c r="Q299" s="38"/>
    </x:row>
    <x:row r="300" ht="60" customHeight="1">
      <x:c r="A300" s="70" t="n">
        <x:v>298</x:v>
      </x:c>
      <x:c r="B300" s="37" t="str">
        <x:v>Relational Placement</x:v>
      </x:c>
      <x:c r="C300" s="37" t="str">
        <x:v>Put the red block beside the green pen.</x:v>
      </x:c>
      <x:c r="D300" s="37" t="str">
        <x:v>Masked unordered-pair composition</x:v>
      </x:c>
      <x:c r="E300" s="37" t="str">
        <x:v>near / beside / next to with the green-pen/red-block pair</x:v>
      </x:c>
      <x:c r="F300" s="37" t="str">
        <x:v>relational_green_pen_red_block_direction_masked</x:v>
      </x:c>
      <x:c r="G300" s="37" t="str">
        <x:v>direction × ordered green-pen/red-block target/reference role</x:v>
      </x:c>
      <x:c r="H300" s="37" t="str">
        <x:v>No</x:v>
      </x:c>
      <x:c r="I300" s="37" t="str">
        <x:v>Keep prompt</x:v>
      </x:c>
      <x:c r="J300" s="37" t="str">
        <x:v>No prompt change required under the missing-cell design.</x:v>
      </x:c>
      <x:c r="K300" s="37" t="str">
        <x:v>green pen, red block, pink marker, blue block</x:v>
      </x:c>
      <x:c r="L300" s="37" t="str">
        <x:v>red block</x:v>
      </x:c>
      <x:c r="M300" s="37" t="str">
        <x:v>Home</x:v>
      </x:c>
      <x:c r="N300" s="37" t="str">
        <x:v>Put the red block beside the green pen.</x:v>
      </x:c>
      <x:c r="O300" s="37" t="str">
        <x:v>Place the red block to the right of the green pen.</x:v>
      </x:c>
      <x:c r="P300" s="37" t="str">
        <x:v>The green pen and red block are both named and manipulated with a familiar near relation, while directional language is withheld for this ordered pair.</x:v>
      </x:c>
      <x:c r="Q300" s="38"/>
    </x:row>
    <x:row r="301" ht="60" customHeight="1">
      <x:c r="A301" s="70" t="n">
        <x:v>299</x:v>
      </x:c>
      <x:c r="B301" s="37" t="str">
        <x:v>Relational Placement</x:v>
      </x:c>
      <x:c r="C301" s="37" t="str">
        <x:v>Move the red block near the green pen.</x:v>
      </x:c>
      <x:c r="D301" s="37" t="str">
        <x:v>Masked unordered-pair composition</x:v>
      </x:c>
      <x:c r="E301" s="37" t="str">
        <x:v>near / beside / next to with the green-pen/red-block pair</x:v>
      </x:c>
      <x:c r="F301" s="37" t="str">
        <x:v>relational_green_pen_red_block_direction_masked</x:v>
      </x:c>
      <x:c r="G301" s="37" t="str">
        <x:v>direction × ordered green-pen/red-block target/reference role</x:v>
      </x:c>
      <x:c r="H301" s="37" t="str">
        <x:v>No</x:v>
      </x:c>
      <x:c r="I301" s="37" t="str">
        <x:v>Keep prompt</x:v>
      </x:c>
      <x:c r="J301" s="37" t="str">
        <x:v>No prompt change required under the missing-cell design.</x:v>
      </x:c>
      <x:c r="K301" s="37" t="str">
        <x:v>red block, green pen, blue block</x:v>
      </x:c>
      <x:c r="L301" s="37" t="str">
        <x:v>red block</x:v>
      </x:c>
      <x:c r="M301" s="37" t="str">
        <x:v>Recovery</x:v>
      </x:c>
      <x:c r="N301" s="37" t="str">
        <x:v>Move the red block near the green pen.</x:v>
      </x:c>
      <x:c r="O301" s="37" t="str">
        <x:v>Place the red block to the right of the green pen.</x:v>
      </x:c>
      <x:c r="P301" s="37" t="str">
        <x:v>The green pen and red block are both named and manipulated with a familiar near relation, while directional language is withheld for this ordered pair.</x:v>
      </x:c>
      <x:c r="Q301" s="38"/>
    </x:row>
    <x:row r="302" ht="60" customHeight="1">
      <x:c r="A302" s="70" t="n">
        <x:v>300</x:v>
      </x:c>
      <x:c r="B302" s="37" t="str">
        <x:v>Relational Placement</x:v>
      </x:c>
      <x:c r="C302" s="37" t="str">
        <x:v>Move the pink marker to the front of the blue block.</x:v>
      </x:c>
      <x:c r="D302" s="37" t="str">
        <x:v>Explicit spatial-relation grounding</x:v>
      </x:c>
      <x:c r="E302" s="37" t="str">
        <x:v>left / right / front / behind with other ordered object pairs</x:v>
      </x:c>
      <x:c r="F302" s="37" t="str">
        <x:v>relational_direction_explicit_other_pair</x:v>
      </x:c>
      <x:c r="G302" s="37" t="str">
        <x:v>direction × ordered green-pen/red-block target/reference role</x:v>
      </x:c>
      <x:c r="H302" s="37" t="str">
        <x:v>No</x:v>
      </x:c>
      <x:c r="I302" s="37" t="str">
        <x:v>Keep prompt</x:v>
      </x:c>
      <x:c r="J302" s="37" t="str">
        <x:v>No prompt change required under the missing-cell design.</x:v>
      </x:c>
      <x:c r="K302" s="37" t="str">
        <x:v>pink marker, blue block</x:v>
      </x:c>
      <x:c r="L302" s="37" t="str">
        <x:v>pink marker</x:v>
      </x:c>
      <x:c r="M302" s="37" t="str">
        <x:v>Home</x:v>
      </x:c>
      <x:c r="N302" s="37" t="str">
        <x:v>Move the pink marker to the front of the blue block.</x:v>
      </x:c>
      <x:c r="O302" s="37" t="str"/>
      <x:c r="P302" s="37" t="str">
        <x:v>Directional concepts are explicitly grounded on other ordered object pairs.</x:v>
      </x:c>
      <x:c r="Q302" s="38"/>
    </x:row>
    <x:row r="303" ht="60" customHeight="1">
      <x:c r="A303" s="70" t="n">
        <x:v>301</x:v>
      </x:c>
      <x:c r="B303" s="37" t="str">
        <x:v>Relational Placement</x:v>
      </x:c>
      <x:c r="C303" s="37" t="str">
        <x:v>Put the pink marker on the table in front of the blue block.</x:v>
      </x:c>
      <x:c r="D303" s="37" t="str">
        <x:v>Explicit spatial-relation grounding</x:v>
      </x:c>
      <x:c r="E303" s="37" t="str">
        <x:v>left / right / front / behind with other ordered object pairs</x:v>
      </x:c>
      <x:c r="F303" s="37" t="str">
        <x:v>relational_direction_explicit_other_pair</x:v>
      </x:c>
      <x:c r="G303" s="37" t="str">
        <x:v>direction × ordered green-pen/red-block target/reference role</x:v>
      </x:c>
      <x:c r="H303" s="37" t="str">
        <x:v>No</x:v>
      </x:c>
      <x:c r="I303" s="37" t="str">
        <x:v>Keep prompt</x:v>
      </x:c>
      <x:c r="J303" s="37" t="str">
        <x:v>No prompt change required under the missing-cell design.</x:v>
      </x:c>
      <x:c r="K303" s="37" t="str">
        <x:v>pink marker, blue block, green pen</x:v>
      </x:c>
      <x:c r="L303" s="37" t="str">
        <x:v>pink marker</x:v>
      </x:c>
      <x:c r="M303" s="37" t="str">
        <x:v>Home</x:v>
      </x:c>
      <x:c r="N303" s="37" t="str">
        <x:v>Put the pink marker on the table in front of the blue block.</x:v>
      </x:c>
      <x:c r="O303" s="37" t="str"/>
      <x:c r="P303" s="37" t="str">
        <x:v>Directional concepts are explicitly grounded on other ordered object pairs.</x:v>
      </x:c>
      <x:c r="Q303" s="38"/>
    </x:row>
    <x:row r="304" ht="60" customHeight="1">
      <x:c r="A304" s="70" t="n">
        <x:v>302</x:v>
      </x:c>
      <x:c r="B304" s="37" t="str">
        <x:v>Relational Placement</x:v>
      </x:c>
      <x:c r="C304" s="37" t="str">
        <x:v>Move the pink marker to the front of the blue block.</x:v>
      </x:c>
      <x:c r="D304" s="37" t="str">
        <x:v>Explicit spatial-relation grounding</x:v>
      </x:c>
      <x:c r="E304" s="37" t="str">
        <x:v>left / right / front / behind with other ordered object pairs</x:v>
      </x:c>
      <x:c r="F304" s="37" t="str">
        <x:v>relational_direction_explicit_other_pair</x:v>
      </x:c>
      <x:c r="G304" s="37" t="str">
        <x:v>direction × ordered green-pen/red-block target/reference role</x:v>
      </x:c>
      <x:c r="H304" s="37" t="str">
        <x:v>No</x:v>
      </x:c>
      <x:c r="I304" s="37" t="str">
        <x:v>Keep prompt</x:v>
      </x:c>
      <x:c r="J304" s="37" t="str">
        <x:v>No prompt change required under the missing-cell design.</x:v>
      </x:c>
      <x:c r="K304" s="37" t="str">
        <x:v>green pen, red block, pink marker, blue block</x:v>
      </x:c>
      <x:c r="L304" s="37" t="str">
        <x:v>pink marker</x:v>
      </x:c>
      <x:c r="M304" s="37" t="str">
        <x:v>Home</x:v>
      </x:c>
      <x:c r="N304" s="37" t="str">
        <x:v>Move the pink marker to the front of the blue block.</x:v>
      </x:c>
      <x:c r="O304" s="37" t="str"/>
      <x:c r="P304" s="37" t="str">
        <x:v>Directional concepts are explicitly grounded on other ordered object pairs.</x:v>
      </x:c>
      <x:c r="Q304" s="38"/>
    </x:row>
    <x:row r="305" ht="60" customHeight="1">
      <x:c r="A305" s="70" t="n">
        <x:v>303</x:v>
      </x:c>
      <x:c r="B305" s="37" t="str">
        <x:v>Relational Placement</x:v>
      </x:c>
      <x:c r="C305" s="37" t="str">
        <x:v>Put the pink marker on the table in front of the blue block.</x:v>
      </x:c>
      <x:c r="D305" s="37" t="str">
        <x:v>Explicit spatial-relation grounding</x:v>
      </x:c>
      <x:c r="E305" s="37" t="str">
        <x:v>left / right / front / behind with other ordered object pairs</x:v>
      </x:c>
      <x:c r="F305" s="37" t="str">
        <x:v>relational_direction_explicit_other_pair</x:v>
      </x:c>
      <x:c r="G305" s="37" t="str">
        <x:v>direction × ordered green-pen/red-block target/reference role</x:v>
      </x:c>
      <x:c r="H305" s="37" t="str">
        <x:v>No</x:v>
      </x:c>
      <x:c r="I305" s="37" t="str">
        <x:v>Keep prompt</x:v>
      </x:c>
      <x:c r="J305" s="37" t="str">
        <x:v>No prompt change required under the missing-cell design.</x:v>
      </x:c>
      <x:c r="K305" s="37" t="str">
        <x:v>pink marker, blue block, red block</x:v>
      </x:c>
      <x:c r="L305" s="37" t="str">
        <x:v>pink marker</x:v>
      </x:c>
      <x:c r="M305" s="37" t="str">
        <x:v>Recovery</x:v>
      </x:c>
      <x:c r="N305" s="37" t="str">
        <x:v>Put the pink marker on the table in front of the blue block.</x:v>
      </x:c>
      <x:c r="O305" s="37" t="str"/>
      <x:c r="P305" s="37" t="str">
        <x:v>Directional concepts are explicitly grounded on other ordered object pairs.</x:v>
      </x:c>
      <x:c r="Q305" s="38"/>
    </x:row>
    <x:row r="306" ht="60" customHeight="1">
      <x:c r="A306" s="70" t="n">
        <x:v>304</x:v>
      </x:c>
      <x:c r="B306" s="37" t="str">
        <x:v>Relational Placement</x:v>
      </x:c>
      <x:c r="C306" s="37" t="str">
        <x:v>Put the pink marker on the table in front of the green pen.</x:v>
      </x:c>
      <x:c r="D306" s="37" t="str">
        <x:v>Explicit spatial-relation grounding</x:v>
      </x:c>
      <x:c r="E306" s="37" t="str">
        <x:v>left / right / front / behind with other ordered object pairs</x:v>
      </x:c>
      <x:c r="F306" s="37" t="str">
        <x:v>relational_direction_explicit_other_pair</x:v>
      </x:c>
      <x:c r="G306" s="37" t="str">
        <x:v>direction × ordered green-pen/red-block target/reference role</x:v>
      </x:c>
      <x:c r="H306" s="37" t="str">
        <x:v>No</x:v>
      </x:c>
      <x:c r="I306" s="37" t="str">
        <x:v>Keep prompt</x:v>
      </x:c>
      <x:c r="J306" s="37" t="str">
        <x:v>No prompt change required under the missing-cell design.</x:v>
      </x:c>
      <x:c r="K306" s="37" t="str">
        <x:v>pink marker, green pen</x:v>
      </x:c>
      <x:c r="L306" s="37" t="str">
        <x:v>pink marker</x:v>
      </x:c>
      <x:c r="M306" s="37" t="str">
        <x:v>Home</x:v>
      </x:c>
      <x:c r="N306" s="37" t="str">
        <x:v>Put the pink marker on the table in front of the green pen.</x:v>
      </x:c>
      <x:c r="O306" s="37" t="str"/>
      <x:c r="P306" s="37" t="str">
        <x:v>Directional concepts are explicitly grounded on other ordered object pairs.</x:v>
      </x:c>
      <x:c r="Q306" s="38"/>
    </x:row>
    <x:row r="307" ht="60" customHeight="1">
      <x:c r="A307" s="70" t="n">
        <x:v>305</x:v>
      </x:c>
      <x:c r="B307" s="37" t="str">
        <x:v>Relational Placement</x:v>
      </x:c>
      <x:c r="C307" s="37" t="str">
        <x:v>Move the pink marker to the front of the green pen.</x:v>
      </x:c>
      <x:c r="D307" s="37" t="str">
        <x:v>Explicit spatial-relation grounding</x:v>
      </x:c>
      <x:c r="E307" s="37" t="str">
        <x:v>left / right / front / behind with other ordered object pairs</x:v>
      </x:c>
      <x:c r="F307" s="37" t="str">
        <x:v>relational_direction_explicit_other_pair</x:v>
      </x:c>
      <x:c r="G307" s="37" t="str">
        <x:v>direction × ordered green-pen/red-block target/reference role</x:v>
      </x:c>
      <x:c r="H307" s="37" t="str">
        <x:v>No</x:v>
      </x:c>
      <x:c r="I307" s="37" t="str">
        <x:v>Keep prompt</x:v>
      </x:c>
      <x:c r="J307" s="37" t="str">
        <x:v>No prompt change required under the missing-cell design.</x:v>
      </x:c>
      <x:c r="K307" s="37" t="str">
        <x:v>pink marker, green pen, blue block</x:v>
      </x:c>
      <x:c r="L307" s="37" t="str">
        <x:v>pink marker</x:v>
      </x:c>
      <x:c r="M307" s="37" t="str">
        <x:v>Home</x:v>
      </x:c>
      <x:c r="N307" s="37" t="str">
        <x:v>Move the pink marker to the front of the green pen.</x:v>
      </x:c>
      <x:c r="O307" s="37" t="str"/>
      <x:c r="P307" s="37" t="str">
        <x:v>Directional concepts are explicitly grounded on other ordered object pairs.</x:v>
      </x:c>
      <x:c r="Q307" s="38"/>
    </x:row>
    <x:row r="308" ht="60" customHeight="1">
      <x:c r="A308" s="70" t="n">
        <x:v>306</x:v>
      </x:c>
      <x:c r="B308" s="37" t="str">
        <x:v>Relational Placement</x:v>
      </x:c>
      <x:c r="C308" s="37" t="str">
        <x:v>Place the pink marker in front of the green pen.</x:v>
      </x:c>
      <x:c r="D308" s="37" t="str">
        <x:v>Explicit spatial-relation grounding</x:v>
      </x:c>
      <x:c r="E308" s="37" t="str">
        <x:v>left / right / front / behind with other ordered object pairs</x:v>
      </x:c>
      <x:c r="F308" s="37" t="str">
        <x:v>relational_direction_explicit_other_pair</x:v>
      </x:c>
      <x:c r="G308" s="37" t="str">
        <x:v>direction × ordered green-pen/red-block target/reference role</x:v>
      </x:c>
      <x:c r="H308" s="37" t="str">
        <x:v>No</x:v>
      </x:c>
      <x:c r="I308" s="37" t="str">
        <x:v>Keep prompt</x:v>
      </x:c>
      <x:c r="J308" s="37" t="str">
        <x:v>No prompt change required under the missing-cell design.</x:v>
      </x:c>
      <x:c r="K308" s="37" t="str">
        <x:v>green pen, red block, pink marker, blue block</x:v>
      </x:c>
      <x:c r="L308" s="37" t="str">
        <x:v>pink marker</x:v>
      </x:c>
      <x:c r="M308" s="37" t="str">
        <x:v>Home</x:v>
      </x:c>
      <x:c r="N308" s="37" t="str">
        <x:v>Place the pink marker in front of the green pen.</x:v>
      </x:c>
      <x:c r="O308" s="37" t="str"/>
      <x:c r="P308" s="37" t="str">
        <x:v>Directional concepts are explicitly grounded on other ordered object pairs.</x:v>
      </x:c>
      <x:c r="Q308" s="38"/>
    </x:row>
    <x:row r="309" ht="60" customHeight="1">
      <x:c r="A309" s="70" t="n">
        <x:v>307</x:v>
      </x:c>
      <x:c r="B309" s="37" t="str">
        <x:v>Relational Placement</x:v>
      </x:c>
      <x:c r="C309" s="37" t="str">
        <x:v>Place the pink marker in front of the green pen.</x:v>
      </x:c>
      <x:c r="D309" s="37" t="str">
        <x:v>Explicit spatial-relation grounding</x:v>
      </x:c>
      <x:c r="E309" s="37" t="str">
        <x:v>left / right / front / behind with other ordered object pairs</x:v>
      </x:c>
      <x:c r="F309" s="37" t="str">
        <x:v>relational_direction_explicit_other_pair</x:v>
      </x:c>
      <x:c r="G309" s="37" t="str">
        <x:v>direction × ordered green-pen/red-block target/reference role</x:v>
      </x:c>
      <x:c r="H309" s="37" t="str">
        <x:v>No</x:v>
      </x:c>
      <x:c r="I309" s="37" t="str">
        <x:v>Keep prompt</x:v>
      </x:c>
      <x:c r="J309" s="37" t="str">
        <x:v>No prompt change required under the missing-cell design.</x:v>
      </x:c>
      <x:c r="K309" s="37" t="str">
        <x:v>pink marker, green pen, red block</x:v>
      </x:c>
      <x:c r="L309" s="37" t="str">
        <x:v>pink marker</x:v>
      </x:c>
      <x:c r="M309" s="37" t="str">
        <x:v>Recovery</x:v>
      </x:c>
      <x:c r="N309" s="37" t="str">
        <x:v>Place the pink marker in front of the green pen.</x:v>
      </x:c>
      <x:c r="O309" s="37" t="str"/>
      <x:c r="P309" s="37" t="str">
        <x:v>Directional concepts are explicitly grounded on other ordered object pairs.</x:v>
      </x:c>
      <x:c r="Q309" s="38"/>
    </x:row>
    <x:row r="310" ht="60" customHeight="1">
      <x:c r="A310" s="70" t="n">
        <x:v>308</x:v>
      </x:c>
      <x:c r="B310" s="37" t="str">
        <x:v>Relational Placement</x:v>
      </x:c>
      <x:c r="C310" s="37" t="str">
        <x:v>Move the pink marker to the front of the red block.</x:v>
      </x:c>
      <x:c r="D310" s="37" t="str">
        <x:v>Explicit spatial-relation grounding</x:v>
      </x:c>
      <x:c r="E310" s="37" t="str">
        <x:v>left / right / front / behind with other ordered object pairs</x:v>
      </x:c>
      <x:c r="F310" s="37" t="str">
        <x:v>relational_direction_explicit_other_pair</x:v>
      </x:c>
      <x:c r="G310" s="37" t="str">
        <x:v>direction × ordered green-pen/red-block target/reference role</x:v>
      </x:c>
      <x:c r="H310" s="37" t="str">
        <x:v>No</x:v>
      </x:c>
      <x:c r="I310" s="37" t="str">
        <x:v>Keep prompt</x:v>
      </x:c>
      <x:c r="J310" s="37" t="str">
        <x:v>No prompt change required under the missing-cell design.</x:v>
      </x:c>
      <x:c r="K310" s="37" t="str">
        <x:v>pink marker, red block</x:v>
      </x:c>
      <x:c r="L310" s="37" t="str">
        <x:v>pink marker</x:v>
      </x:c>
      <x:c r="M310" s="37" t="str">
        <x:v>Home</x:v>
      </x:c>
      <x:c r="N310" s="37" t="str">
        <x:v>Move the pink marker to the front of the red block.</x:v>
      </x:c>
      <x:c r="O310" s="37" t="str"/>
      <x:c r="P310" s="37" t="str">
        <x:v>Directional concepts are explicitly grounded on other ordered object pairs.</x:v>
      </x:c>
      <x:c r="Q310" s="38"/>
    </x:row>
    <x:row r="311" ht="60" customHeight="1">
      <x:c r="A311" s="70" t="n">
        <x:v>309</x:v>
      </x:c>
      <x:c r="B311" s="37" t="str">
        <x:v>Relational Placement</x:v>
      </x:c>
      <x:c r="C311" s="37" t="str">
        <x:v>Place the pink marker in front of the red block.</x:v>
      </x:c>
      <x:c r="D311" s="37" t="str">
        <x:v>Explicit spatial-relation grounding</x:v>
      </x:c>
      <x:c r="E311" s="37" t="str">
        <x:v>left / right / front / behind with other ordered object pairs</x:v>
      </x:c>
      <x:c r="F311" s="37" t="str">
        <x:v>relational_direction_explicit_other_pair</x:v>
      </x:c>
      <x:c r="G311" s="37" t="str">
        <x:v>direction × ordered green-pen/red-block target/reference role</x:v>
      </x:c>
      <x:c r="H311" s="37" t="str">
        <x:v>No</x:v>
      </x:c>
      <x:c r="I311" s="37" t="str">
        <x:v>Keep prompt</x:v>
      </x:c>
      <x:c r="J311" s="37" t="str">
        <x:v>No prompt change required under the missing-cell design.</x:v>
      </x:c>
      <x:c r="K311" s="37" t="str">
        <x:v>pink marker, red block, blue block</x:v>
      </x:c>
      <x:c r="L311" s="37" t="str">
        <x:v>pink marker</x:v>
      </x:c>
      <x:c r="M311" s="37" t="str">
        <x:v>Home</x:v>
      </x:c>
      <x:c r="N311" s="37" t="str">
        <x:v>Place the pink marker in front of the red block.</x:v>
      </x:c>
      <x:c r="O311" s="37" t="str"/>
      <x:c r="P311" s="37" t="str">
        <x:v>Directional concepts are explicitly grounded on other ordered object pairs.</x:v>
      </x:c>
      <x:c r="Q311" s="38"/>
    </x:row>
    <x:row r="312" ht="60" customHeight="1">
      <x:c r="A312" s="70" t="n">
        <x:v>310</x:v>
      </x:c>
      <x:c r="B312" s="37" t="str">
        <x:v>Relational Placement</x:v>
      </x:c>
      <x:c r="C312" s="37" t="str">
        <x:v>Place the pink marker in front of the red block.</x:v>
      </x:c>
      <x:c r="D312" s="37" t="str">
        <x:v>Explicit spatial-relation grounding</x:v>
      </x:c>
      <x:c r="E312" s="37" t="str">
        <x:v>left / right / front / behind with other ordered object pairs</x:v>
      </x:c>
      <x:c r="F312" s="37" t="str">
        <x:v>relational_direction_explicit_other_pair</x:v>
      </x:c>
      <x:c r="G312" s="37" t="str">
        <x:v>direction × ordered green-pen/red-block target/reference role</x:v>
      </x:c>
      <x:c r="H312" s="37" t="str">
        <x:v>No</x:v>
      </x:c>
      <x:c r="I312" s="37" t="str">
        <x:v>Keep prompt</x:v>
      </x:c>
      <x:c r="J312" s="37" t="str">
        <x:v>No prompt change required under the missing-cell design.</x:v>
      </x:c>
      <x:c r="K312" s="37" t="str">
        <x:v>green pen, red block, pink marker, blue block</x:v>
      </x:c>
      <x:c r="L312" s="37" t="str">
        <x:v>pink marker</x:v>
      </x:c>
      <x:c r="M312" s="37" t="str">
        <x:v>Home</x:v>
      </x:c>
      <x:c r="N312" s="37" t="str">
        <x:v>Place the pink marker in front of the red block.</x:v>
      </x:c>
      <x:c r="O312" s="37" t="str"/>
      <x:c r="P312" s="37" t="str">
        <x:v>Directional concepts are explicitly grounded on other ordered object pairs.</x:v>
      </x:c>
      <x:c r="Q312" s="38"/>
    </x:row>
    <x:row r="313" ht="60" customHeight="1">
      <x:c r="A313" s="70" t="n">
        <x:v>311</x:v>
      </x:c>
      <x:c r="B313" s="37" t="str">
        <x:v>Relational Placement</x:v>
      </x:c>
      <x:c r="C313" s="37" t="str">
        <x:v>Move the pink marker to the front of the red block.</x:v>
      </x:c>
      <x:c r="D313" s="37" t="str">
        <x:v>Explicit spatial-relation grounding</x:v>
      </x:c>
      <x:c r="E313" s="37" t="str">
        <x:v>left / right / front / behind with other ordered object pairs</x:v>
      </x:c>
      <x:c r="F313" s="37" t="str">
        <x:v>relational_direction_explicit_other_pair</x:v>
      </x:c>
      <x:c r="G313" s="37" t="str">
        <x:v>direction × ordered green-pen/red-block target/reference role</x:v>
      </x:c>
      <x:c r="H313" s="37" t="str">
        <x:v>No</x:v>
      </x:c>
      <x:c r="I313" s="37" t="str">
        <x:v>Keep prompt</x:v>
      </x:c>
      <x:c r="J313" s="37" t="str">
        <x:v>No prompt change required under the missing-cell design.</x:v>
      </x:c>
      <x:c r="K313" s="37" t="str">
        <x:v>pink marker, red block, green pen</x:v>
      </x:c>
      <x:c r="L313" s="37" t="str">
        <x:v>pink marker</x:v>
      </x:c>
      <x:c r="M313" s="37" t="str">
        <x:v>Home</x:v>
      </x:c>
      <x:c r="N313" s="37" t="str">
        <x:v>Move the pink marker to the front of the red block.</x:v>
      </x:c>
      <x:c r="O313" s="37" t="str"/>
      <x:c r="P313" s="37" t="str">
        <x:v>Directional concepts are explicitly grounded on other ordered object pairs.</x:v>
      </x:c>
      <x:c r="Q313" s="38"/>
    </x:row>
    <x:row r="314" ht="60" customHeight="1">
      <x:c r="A314" s="70" t="n">
        <x:v>312</x:v>
      </x:c>
      <x:c r="B314" s="37" t="str">
        <x:v>Relational Placement</x:v>
      </x:c>
      <x:c r="C314" s="37" t="str">
        <x:v>Move the pink marker to the back of the blue block.</x:v>
      </x:c>
      <x:c r="D314" s="37" t="str">
        <x:v>Explicit spatial-relation grounding</x:v>
      </x:c>
      <x:c r="E314" s="37" t="str">
        <x:v>left / right / front / behind with other ordered object pairs</x:v>
      </x:c>
      <x:c r="F314" s="37" t="str">
        <x:v>relational_direction_explicit_other_pair</x:v>
      </x:c>
      <x:c r="G314" s="37" t="str">
        <x:v>direction × ordered green-pen/red-block target/reference role</x:v>
      </x:c>
      <x:c r="H314" s="37" t="str">
        <x:v>No</x:v>
      </x:c>
      <x:c r="I314" s="37" t="str">
        <x:v>Keep prompt</x:v>
      </x:c>
      <x:c r="J314" s="37" t="str">
        <x:v>No prompt change required under the missing-cell design.</x:v>
      </x:c>
      <x:c r="K314" s="37" t="str">
        <x:v>pink marker, blue block</x:v>
      </x:c>
      <x:c r="L314" s="37" t="str">
        <x:v>pink marker</x:v>
      </x:c>
      <x:c r="M314" s="37" t="str">
        <x:v>Home</x:v>
      </x:c>
      <x:c r="N314" s="37" t="str">
        <x:v>Move the pink marker to the back of the blue block.</x:v>
      </x:c>
      <x:c r="O314" s="37" t="str"/>
      <x:c r="P314" s="37" t="str">
        <x:v>Directional concepts are explicitly grounded on other ordered object pairs.</x:v>
      </x:c>
      <x:c r="Q314" s="38"/>
    </x:row>
    <x:row r="315" ht="60" customHeight="1">
      <x:c r="A315" s="70" t="n">
        <x:v>313</x:v>
      </x:c>
      <x:c r="B315" s="37" t="str">
        <x:v>Relational Placement</x:v>
      </x:c>
      <x:c r="C315" s="37" t="str">
        <x:v>Move the pink marker to the back of the blue block.</x:v>
      </x:c>
      <x:c r="D315" s="37" t="str">
        <x:v>Explicit spatial-relation grounding</x:v>
      </x:c>
      <x:c r="E315" s="37" t="str">
        <x:v>left / right / front / behind with other ordered object pairs</x:v>
      </x:c>
      <x:c r="F315" s="37" t="str">
        <x:v>relational_direction_explicit_other_pair</x:v>
      </x:c>
      <x:c r="G315" s="37" t="str">
        <x:v>direction × ordered green-pen/red-block target/reference role</x:v>
      </x:c>
      <x:c r="H315" s="37" t="str">
        <x:v>No</x:v>
      </x:c>
      <x:c r="I315" s="37" t="str">
        <x:v>Keep prompt</x:v>
      </x:c>
      <x:c r="J315" s="37" t="str">
        <x:v>No prompt change required under the missing-cell design.</x:v>
      </x:c>
      <x:c r="K315" s="37" t="str">
        <x:v>pink marker, blue block, green pen</x:v>
      </x:c>
      <x:c r="L315" s="37" t="str">
        <x:v>pink marker</x:v>
      </x:c>
      <x:c r="M315" s="37" t="str">
        <x:v>Home</x:v>
      </x:c>
      <x:c r="N315" s="37" t="str">
        <x:v>Move the pink marker to the back of the blue block.</x:v>
      </x:c>
      <x:c r="O315" s="37" t="str"/>
      <x:c r="P315" s="37" t="str">
        <x:v>Directional concepts are explicitly grounded on other ordered object pairs.</x:v>
      </x:c>
      <x:c r="Q315" s="38"/>
    </x:row>
    <x:row r="316" ht="60" customHeight="1">
      <x:c r="A316" s="70" t="n">
        <x:v>314</x:v>
      </x:c>
      <x:c r="B316" s="37" t="str">
        <x:v>Relational Placement</x:v>
      </x:c>
      <x:c r="C316" s="37" t="str">
        <x:v>Move the pink marker to the back of the blue block.</x:v>
      </x:c>
      <x:c r="D316" s="37" t="str">
        <x:v>Explicit spatial-relation grounding</x:v>
      </x:c>
      <x:c r="E316" s="37" t="str">
        <x:v>left / right / front / behind with other ordered object pairs</x:v>
      </x:c>
      <x:c r="F316" s="37" t="str">
        <x:v>relational_direction_explicit_other_pair</x:v>
      </x:c>
      <x:c r="G316" s="37" t="str">
        <x:v>direction × ordered green-pen/red-block target/reference role</x:v>
      </x:c>
      <x:c r="H316" s="37" t="str">
        <x:v>No</x:v>
      </x:c>
      <x:c r="I316" s="37" t="str">
        <x:v>Keep prompt</x:v>
      </x:c>
      <x:c r="J316" s="37" t="str">
        <x:v>No prompt change required under the missing-cell design.</x:v>
      </x:c>
      <x:c r="K316" s="37" t="str">
        <x:v>green pen, red block, pink marker, blue block</x:v>
      </x:c>
      <x:c r="L316" s="37" t="str">
        <x:v>pink marker</x:v>
      </x:c>
      <x:c r="M316" s="37" t="str">
        <x:v>Home</x:v>
      </x:c>
      <x:c r="N316" s="37" t="str">
        <x:v>Move the pink marker to the back of the blue block.</x:v>
      </x:c>
      <x:c r="O316" s="37" t="str"/>
      <x:c r="P316" s="37" t="str">
        <x:v>Directional concepts are explicitly grounded on other ordered object pairs.</x:v>
      </x:c>
      <x:c r="Q316" s="38"/>
    </x:row>
    <x:row r="317" ht="60" customHeight="1">
      <x:c r="A317" s="70" t="n">
        <x:v>315</x:v>
      </x:c>
      <x:c r="B317" s="37" t="str">
        <x:v>Relational Placement</x:v>
      </x:c>
      <x:c r="C317" s="37" t="str">
        <x:v>Move the pink marker to the back of the blue block.</x:v>
      </x:c>
      <x:c r="D317" s="37" t="str">
        <x:v>Explicit spatial-relation grounding</x:v>
      </x:c>
      <x:c r="E317" s="37" t="str">
        <x:v>left / right / front / behind with other ordered object pairs</x:v>
      </x:c>
      <x:c r="F317" s="37" t="str">
        <x:v>relational_direction_explicit_other_pair</x:v>
      </x:c>
      <x:c r="G317" s="37" t="str">
        <x:v>direction × ordered green-pen/red-block target/reference role</x:v>
      </x:c>
      <x:c r="H317" s="37" t="str">
        <x:v>No</x:v>
      </x:c>
      <x:c r="I317" s="37" t="str">
        <x:v>Keep prompt</x:v>
      </x:c>
      <x:c r="J317" s="37" t="str">
        <x:v>No prompt change required under the missing-cell design.</x:v>
      </x:c>
      <x:c r="K317" s="37" t="str">
        <x:v>pink marker, blue block, red block</x:v>
      </x:c>
      <x:c r="L317" s="37" t="str">
        <x:v>pink marker</x:v>
      </x:c>
      <x:c r="M317" s="37" t="str">
        <x:v>Recovery</x:v>
      </x:c>
      <x:c r="N317" s="37" t="str">
        <x:v>Move the pink marker to the back of the blue block.</x:v>
      </x:c>
      <x:c r="O317" s="37" t="str"/>
      <x:c r="P317" s="37" t="str">
        <x:v>Directional concepts are explicitly grounded on other ordered object pairs.</x:v>
      </x:c>
      <x:c r="Q317" s="38"/>
    </x:row>
    <x:row r="318" ht="60" customHeight="1">
      <x:c r="A318" s="70" t="n">
        <x:v>316</x:v>
      </x:c>
      <x:c r="B318" s="37" t="str">
        <x:v>Relational Placement</x:v>
      </x:c>
      <x:c r="C318" s="37" t="str">
        <x:v>Put the pink marker on the table behind the blue block.</x:v>
      </x:c>
      <x:c r="D318" s="37" t="str">
        <x:v>Explicit spatial-relation grounding</x:v>
      </x:c>
      <x:c r="E318" s="37" t="str">
        <x:v>left / right / front / behind with other ordered object pairs</x:v>
      </x:c>
      <x:c r="F318" s="37" t="str">
        <x:v>relational_direction_explicit_other_pair</x:v>
      </x:c>
      <x:c r="G318" s="37" t="str">
        <x:v>direction × ordered green-pen/red-block target/reference role</x:v>
      </x:c>
      <x:c r="H318" s="37" t="str">
        <x:v>No</x:v>
      </x:c>
      <x:c r="I318" s="37" t="str">
        <x:v>Keep prompt</x:v>
      </x:c>
      <x:c r="J318" s="37" t="str">
        <x:v>No prompt change required under the missing-cell design.</x:v>
      </x:c>
      <x:c r="K318" s="37" t="str">
        <x:v>green pen, red block, pink marker, blue block</x:v>
      </x:c>
      <x:c r="L318" s="37" t="str">
        <x:v>pink marker</x:v>
      </x:c>
      <x:c r="M318" s="37" t="str">
        <x:v>Home</x:v>
      </x:c>
      <x:c r="N318" s="37" t="str">
        <x:v>Put the pink marker on the table behind the blue block.</x:v>
      </x:c>
      <x:c r="O318" s="37" t="str"/>
      <x:c r="P318" s="37" t="str">
        <x:v>Directional concepts are explicitly grounded on other ordered object pairs.</x:v>
      </x:c>
      <x:c r="Q318" s="38"/>
    </x:row>
    <x:row r="319" ht="60" customHeight="1">
      <x:c r="A319" s="70" t="n">
        <x:v>317</x:v>
      </x:c>
      <x:c r="B319" s="37" t="str">
        <x:v>Relational Placement</x:v>
      </x:c>
      <x:c r="C319" s="37" t="str">
        <x:v>Move the pink marker to the back of the green pen.</x:v>
      </x:c>
      <x:c r="D319" s="37" t="str">
        <x:v>Explicit spatial-relation grounding</x:v>
      </x:c>
      <x:c r="E319" s="37" t="str">
        <x:v>left / right / front / behind with other ordered object pairs</x:v>
      </x:c>
      <x:c r="F319" s="37" t="str">
        <x:v>relational_direction_explicit_other_pair</x:v>
      </x:c>
      <x:c r="G319" s="37" t="str">
        <x:v>direction × ordered green-pen/red-block target/reference role</x:v>
      </x:c>
      <x:c r="H319" s="37" t="str">
        <x:v>No</x:v>
      </x:c>
      <x:c r="I319" s="37" t="str">
        <x:v>Keep prompt</x:v>
      </x:c>
      <x:c r="J319" s="37" t="str">
        <x:v>No prompt change required under the missing-cell design.</x:v>
      </x:c>
      <x:c r="K319" s="37" t="str">
        <x:v>pink marker, green pen</x:v>
      </x:c>
      <x:c r="L319" s="37" t="str">
        <x:v>pink marker</x:v>
      </x:c>
      <x:c r="M319" s="37" t="str">
        <x:v>Home</x:v>
      </x:c>
      <x:c r="N319" s="37" t="str">
        <x:v>Move the pink marker to the back of the green pen.</x:v>
      </x:c>
      <x:c r="O319" s="37" t="str"/>
      <x:c r="P319" s="37" t="str">
        <x:v>Directional concepts are explicitly grounded on other ordered object pairs.</x:v>
      </x:c>
      <x:c r="Q319" s="38"/>
    </x:row>
    <x:row r="320" ht="60" customHeight="1">
      <x:c r="A320" s="70" t="n">
        <x:v>318</x:v>
      </x:c>
      <x:c r="B320" s="37" t="str">
        <x:v>Relational Placement</x:v>
      </x:c>
      <x:c r="C320" s="37" t="str">
        <x:v>Move the pink marker to the back of the green pen.</x:v>
      </x:c>
      <x:c r="D320" s="37" t="str">
        <x:v>Explicit spatial-relation grounding</x:v>
      </x:c>
      <x:c r="E320" s="37" t="str">
        <x:v>left / right / front / behind with other ordered object pairs</x:v>
      </x:c>
      <x:c r="F320" s="37" t="str">
        <x:v>relational_direction_explicit_other_pair</x:v>
      </x:c>
      <x:c r="G320" s="37" t="str">
        <x:v>direction × ordered green-pen/red-block target/reference role</x:v>
      </x:c>
      <x:c r="H320" s="37" t="str">
        <x:v>No</x:v>
      </x:c>
      <x:c r="I320" s="37" t="str">
        <x:v>Keep prompt</x:v>
      </x:c>
      <x:c r="J320" s="37" t="str">
        <x:v>No prompt change required under the missing-cell design.</x:v>
      </x:c>
      <x:c r="K320" s="37" t="str">
        <x:v>pink marker, green pen, blue block</x:v>
      </x:c>
      <x:c r="L320" s="37" t="str">
        <x:v>pink marker</x:v>
      </x:c>
      <x:c r="M320" s="37" t="str">
        <x:v>Home</x:v>
      </x:c>
      <x:c r="N320" s="37" t="str">
        <x:v>Move the pink marker to the back of the green pen.</x:v>
      </x:c>
      <x:c r="O320" s="37" t="str"/>
      <x:c r="P320" s="37" t="str">
        <x:v>Directional concepts are explicitly grounded on other ordered object pairs.</x:v>
      </x:c>
      <x:c r="Q320" s="38"/>
    </x:row>
    <x:row r="321" ht="60" customHeight="1">
      <x:c r="A321" s="70" t="n">
        <x:v>319</x:v>
      </x:c>
      <x:c r="B321" s="37" t="str">
        <x:v>Relational Placement</x:v>
      </x:c>
      <x:c r="C321" s="37" t="str">
        <x:v>Move the pink marker to the back of the green pen.</x:v>
      </x:c>
      <x:c r="D321" s="37" t="str">
        <x:v>Explicit spatial-relation grounding</x:v>
      </x:c>
      <x:c r="E321" s="37" t="str">
        <x:v>left / right / front / behind with other ordered object pairs</x:v>
      </x:c>
      <x:c r="F321" s="37" t="str">
        <x:v>relational_direction_explicit_other_pair</x:v>
      </x:c>
      <x:c r="G321" s="37" t="str">
        <x:v>direction × ordered green-pen/red-block target/reference role</x:v>
      </x:c>
      <x:c r="H321" s="37" t="str">
        <x:v>No</x:v>
      </x:c>
      <x:c r="I321" s="37" t="str">
        <x:v>Keep prompt</x:v>
      </x:c>
      <x:c r="J321" s="37" t="str">
        <x:v>No prompt change required under the missing-cell design.</x:v>
      </x:c>
      <x:c r="K321" s="37" t="str">
        <x:v>green pen, red block, pink marker, blue block</x:v>
      </x:c>
      <x:c r="L321" s="37" t="str">
        <x:v>pink marker</x:v>
      </x:c>
      <x:c r="M321" s="37" t="str">
        <x:v>Home</x:v>
      </x:c>
      <x:c r="N321" s="37" t="str">
        <x:v>Move the pink marker to the back of the green pen.</x:v>
      </x:c>
      <x:c r="O321" s="37" t="str"/>
      <x:c r="P321" s="37" t="str">
        <x:v>Directional concepts are explicitly grounded on other ordered object pairs.</x:v>
      </x:c>
      <x:c r="Q321" s="38"/>
    </x:row>
    <x:row r="322" ht="60" customHeight="1">
      <x:c r="A322" s="70" t="n">
        <x:v>320</x:v>
      </x:c>
      <x:c r="B322" s="37" t="str">
        <x:v>Relational Placement</x:v>
      </x:c>
      <x:c r="C322" s="37" t="str">
        <x:v>Put the pink marker on the table behind the green pen.</x:v>
      </x:c>
      <x:c r="D322" s="37" t="str">
        <x:v>Explicit spatial-relation grounding</x:v>
      </x:c>
      <x:c r="E322" s="37" t="str">
        <x:v>left / right / front / behind with other ordered object pairs</x:v>
      </x:c>
      <x:c r="F322" s="37" t="str">
        <x:v>relational_direction_explicit_other_pair</x:v>
      </x:c>
      <x:c r="G322" s="37" t="str">
        <x:v>direction × ordered green-pen/red-block target/reference role</x:v>
      </x:c>
      <x:c r="H322" s="37" t="str">
        <x:v>No</x:v>
      </x:c>
      <x:c r="I322" s="37" t="str">
        <x:v>Keep prompt</x:v>
      </x:c>
      <x:c r="J322" s="37" t="str">
        <x:v>No prompt change required under the missing-cell design.</x:v>
      </x:c>
      <x:c r="K322" s="37" t="str">
        <x:v>pink marker, green pen, red block</x:v>
      </x:c>
      <x:c r="L322" s="37" t="str">
        <x:v>pink marker</x:v>
      </x:c>
      <x:c r="M322" s="37" t="str">
        <x:v>Recovery</x:v>
      </x:c>
      <x:c r="N322" s="37" t="str">
        <x:v>Put the pink marker on the table behind the green pen.</x:v>
      </x:c>
      <x:c r="O322" s="37" t="str"/>
      <x:c r="P322" s="37" t="str">
        <x:v>Directional concepts are explicitly grounded on other ordered object pairs.</x:v>
      </x:c>
      <x:c r="Q322" s="38"/>
    </x:row>
    <x:row r="323" ht="60" customHeight="1">
      <x:c r="A323" s="70" t="n">
        <x:v>321</x:v>
      </x:c>
      <x:c r="B323" s="37" t="str">
        <x:v>Relational Placement</x:v>
      </x:c>
      <x:c r="C323" s="37" t="str">
        <x:v>Put the pink marker on the table behind the red block.</x:v>
      </x:c>
      <x:c r="D323" s="37" t="str">
        <x:v>Explicit spatial-relation grounding</x:v>
      </x:c>
      <x:c r="E323" s="37" t="str">
        <x:v>left / right / front / behind with other ordered object pairs</x:v>
      </x:c>
      <x:c r="F323" s="37" t="str">
        <x:v>relational_direction_explicit_other_pair</x:v>
      </x:c>
      <x:c r="G323" s="37" t="str">
        <x:v>direction × ordered green-pen/red-block target/reference role</x:v>
      </x:c>
      <x:c r="H323" s="37" t="str">
        <x:v>No</x:v>
      </x:c>
      <x:c r="I323" s="37" t="str">
        <x:v>Keep prompt</x:v>
      </x:c>
      <x:c r="J323" s="37" t="str">
        <x:v>No prompt change required under the missing-cell design.</x:v>
      </x:c>
      <x:c r="K323" s="37" t="str">
        <x:v>pink marker, red block</x:v>
      </x:c>
      <x:c r="L323" s="37" t="str">
        <x:v>pink marker</x:v>
      </x:c>
      <x:c r="M323" s="37" t="str">
        <x:v>Home</x:v>
      </x:c>
      <x:c r="N323" s="37" t="str">
        <x:v>Put the pink marker on the table behind the red block.</x:v>
      </x:c>
      <x:c r="O323" s="37" t="str"/>
      <x:c r="P323" s="37" t="str">
        <x:v>Directional concepts are explicitly grounded on other ordered object pairs.</x:v>
      </x:c>
      <x:c r="Q323" s="38"/>
    </x:row>
    <x:row r="324" ht="60" customHeight="1">
      <x:c r="A324" s="70" t="n">
        <x:v>322</x:v>
      </x:c>
      <x:c r="B324" s="37" t="str">
        <x:v>Relational Placement</x:v>
      </x:c>
      <x:c r="C324" s="37" t="str">
        <x:v>Place the pink marker behind the red block.</x:v>
      </x:c>
      <x:c r="D324" s="37" t="str">
        <x:v>Explicit spatial-relation grounding</x:v>
      </x:c>
      <x:c r="E324" s="37" t="str">
        <x:v>left / right / front / behind with other ordered object pairs</x:v>
      </x:c>
      <x:c r="F324" s="37" t="str">
        <x:v>relational_direction_explicit_other_pair</x:v>
      </x:c>
      <x:c r="G324" s="37" t="str">
        <x:v>direction × ordered green-pen/red-block target/reference role</x:v>
      </x:c>
      <x:c r="H324" s="37" t="str">
        <x:v>No</x:v>
      </x:c>
      <x:c r="I324" s="37" t="str">
        <x:v>Keep prompt</x:v>
      </x:c>
      <x:c r="J324" s="37" t="str">
        <x:v>No prompt change required under the missing-cell design.</x:v>
      </x:c>
      <x:c r="K324" s="37" t="str">
        <x:v>pink marker, red block, blue block</x:v>
      </x:c>
      <x:c r="L324" s="37" t="str">
        <x:v>pink marker</x:v>
      </x:c>
      <x:c r="M324" s="37" t="str">
        <x:v>Home</x:v>
      </x:c>
      <x:c r="N324" s="37" t="str">
        <x:v>Place the pink marker behind the red block.</x:v>
      </x:c>
      <x:c r="O324" s="37" t="str"/>
      <x:c r="P324" s="37" t="str">
        <x:v>Directional concepts are explicitly grounded on other ordered object pairs.</x:v>
      </x:c>
      <x:c r="Q324" s="38"/>
    </x:row>
    <x:row r="325" ht="60" customHeight="1">
      <x:c r="A325" s="70" t="n">
        <x:v>323</x:v>
      </x:c>
      <x:c r="B325" s="37" t="str">
        <x:v>Relational Placement</x:v>
      </x:c>
      <x:c r="C325" s="37" t="str">
        <x:v>Put the pink marker on the table behind the red block.</x:v>
      </x:c>
      <x:c r="D325" s="37" t="str">
        <x:v>Explicit spatial-relation grounding</x:v>
      </x:c>
      <x:c r="E325" s="37" t="str">
        <x:v>left / right / front / behind with other ordered object pairs</x:v>
      </x:c>
      <x:c r="F325" s="37" t="str">
        <x:v>relational_direction_explicit_other_pair</x:v>
      </x:c>
      <x:c r="G325" s="37" t="str">
        <x:v>direction × ordered green-pen/red-block target/reference role</x:v>
      </x:c>
      <x:c r="H325" s="37" t="str">
        <x:v>No</x:v>
      </x:c>
      <x:c r="I325" s="37" t="str">
        <x:v>Keep prompt</x:v>
      </x:c>
      <x:c r="J325" s="37" t="str">
        <x:v>No prompt change required under the missing-cell design.</x:v>
      </x:c>
      <x:c r="K325" s="37" t="str">
        <x:v>green pen, red block, pink marker, blue block</x:v>
      </x:c>
      <x:c r="L325" s="37" t="str">
        <x:v>pink marker</x:v>
      </x:c>
      <x:c r="M325" s="37" t="str">
        <x:v>Home</x:v>
      </x:c>
      <x:c r="N325" s="37" t="str">
        <x:v>Put the pink marker on the table behind the red block.</x:v>
      </x:c>
      <x:c r="O325" s="37" t="str"/>
      <x:c r="P325" s="37" t="str">
        <x:v>Directional concepts are explicitly grounded on other ordered object pairs.</x:v>
      </x:c>
      <x:c r="Q325" s="38"/>
    </x:row>
    <x:row r="326" ht="60" customHeight="1">
      <x:c r="A326" s="70" t="n">
        <x:v>324</x:v>
      </x:c>
      <x:c r="B326" s="37" t="str">
        <x:v>Relational Placement</x:v>
      </x:c>
      <x:c r="C326" s="37" t="str">
        <x:v>Put the pink marker on the table behind the red block.</x:v>
      </x:c>
      <x:c r="D326" s="37" t="str">
        <x:v>Explicit spatial-relation grounding</x:v>
      </x:c>
      <x:c r="E326" s="37" t="str">
        <x:v>left / right / front / behind with other ordered object pairs</x:v>
      </x:c>
      <x:c r="F326" s="37" t="str">
        <x:v>relational_direction_explicit_other_pair</x:v>
      </x:c>
      <x:c r="G326" s="37" t="str">
        <x:v>direction × ordered green-pen/red-block target/reference role</x:v>
      </x:c>
      <x:c r="H326" s="37" t="str">
        <x:v>No</x:v>
      </x:c>
      <x:c r="I326" s="37" t="str">
        <x:v>Keep prompt</x:v>
      </x:c>
      <x:c r="J326" s="37" t="str">
        <x:v>No prompt change required under the missing-cell design.</x:v>
      </x:c>
      <x:c r="K326" s="37" t="str">
        <x:v>pink marker, red block, green pen</x:v>
      </x:c>
      <x:c r="L326" s="37" t="str">
        <x:v>pink marker</x:v>
      </x:c>
      <x:c r="M326" s="37" t="str">
        <x:v>Recovery</x:v>
      </x:c>
      <x:c r="N326" s="37" t="str">
        <x:v>Put the pink marker on the table behind the red block.</x:v>
      </x:c>
      <x:c r="O326" s="37" t="str"/>
      <x:c r="P326" s="37" t="str">
        <x:v>Directional concepts are explicitly grounded on other ordered object pairs.</x:v>
      </x:c>
      <x:c r="Q326" s="38"/>
    </x:row>
    <x:row r="327" ht="60" customHeight="1">
      <x:c r="A327" s="70" t="n">
        <x:v>325</x:v>
      </x:c>
      <x:c r="B327" s="37" t="str">
        <x:v>Relational Placement</x:v>
      </x:c>
      <x:c r="C327" s="37" t="str">
        <x:v>Place the pink marker to the left of the blue block.</x:v>
      </x:c>
      <x:c r="D327" s="37" t="str">
        <x:v>Explicit spatial-relation grounding</x:v>
      </x:c>
      <x:c r="E327" s="37" t="str">
        <x:v>left / right / front / behind with other ordered object pairs</x:v>
      </x:c>
      <x:c r="F327" s="37" t="str">
        <x:v>relational_direction_explicit_other_pair</x:v>
      </x:c>
      <x:c r="G327" s="37" t="str">
        <x:v>direction × ordered green-pen/red-block target/reference role</x:v>
      </x:c>
      <x:c r="H327" s="37" t="str">
        <x:v>No</x:v>
      </x:c>
      <x:c r="I327" s="37" t="str">
        <x:v>Keep prompt</x:v>
      </x:c>
      <x:c r="J327" s="37" t="str">
        <x:v>No prompt change required under the missing-cell design.</x:v>
      </x:c>
      <x:c r="K327" s="37" t="str">
        <x:v>pink marker, blue block</x:v>
      </x:c>
      <x:c r="L327" s="37" t="str">
        <x:v>pink marker</x:v>
      </x:c>
      <x:c r="M327" s="37" t="str">
        <x:v>Home</x:v>
      </x:c>
      <x:c r="N327" s="37" t="str">
        <x:v>Place the pink marker to the left of the blue block.</x:v>
      </x:c>
      <x:c r="O327" s="37" t="str"/>
      <x:c r="P327" s="37" t="str">
        <x:v>Directional concepts are explicitly grounded on other ordered object pairs.</x:v>
      </x:c>
      <x:c r="Q327" s="38"/>
    </x:row>
    <x:row r="328" ht="60" customHeight="1">
      <x:c r="A328" s="70" t="n">
        <x:v>326</x:v>
      </x:c>
      <x:c r="B328" s="37" t="str">
        <x:v>Relational Placement</x:v>
      </x:c>
      <x:c r="C328" s="37" t="str">
        <x:v>Place the pink marker to the left of the blue block.</x:v>
      </x:c>
      <x:c r="D328" s="37" t="str">
        <x:v>Explicit spatial-relation grounding</x:v>
      </x:c>
      <x:c r="E328" s="37" t="str">
        <x:v>left / right / front / behind with other ordered object pairs</x:v>
      </x:c>
      <x:c r="F328" s="37" t="str">
        <x:v>relational_direction_explicit_other_pair</x:v>
      </x:c>
      <x:c r="G328" s="37" t="str">
        <x:v>direction × ordered green-pen/red-block target/reference role</x:v>
      </x:c>
      <x:c r="H328" s="37" t="str">
        <x:v>No</x:v>
      </x:c>
      <x:c r="I328" s="37" t="str">
        <x:v>Keep prompt</x:v>
      </x:c>
      <x:c r="J328" s="37" t="str">
        <x:v>No prompt change required under the missing-cell design.</x:v>
      </x:c>
      <x:c r="K328" s="37" t="str">
        <x:v>pink marker, blue block, green pen</x:v>
      </x:c>
      <x:c r="L328" s="37" t="str">
        <x:v>pink marker</x:v>
      </x:c>
      <x:c r="M328" s="37" t="str">
        <x:v>Home</x:v>
      </x:c>
      <x:c r="N328" s="37" t="str">
        <x:v>Place the pink marker to the left of the blue block.</x:v>
      </x:c>
      <x:c r="O328" s="37" t="str"/>
      <x:c r="P328" s="37" t="str">
        <x:v>Directional concepts are explicitly grounded on other ordered object pairs.</x:v>
      </x:c>
      <x:c r="Q328" s="38"/>
    </x:row>
    <x:row r="329" ht="60" customHeight="1">
      <x:c r="A329" s="70" t="n">
        <x:v>327</x:v>
      </x:c>
      <x:c r="B329" s="37" t="str">
        <x:v>Relational Placement</x:v>
      </x:c>
      <x:c r="C329" s="37" t="str">
        <x:v>Place the pink marker to the left of the blue block.</x:v>
      </x:c>
      <x:c r="D329" s="37" t="str">
        <x:v>Explicit spatial-relation grounding</x:v>
      </x:c>
      <x:c r="E329" s="37" t="str">
        <x:v>left / right / front / behind with other ordered object pairs</x:v>
      </x:c>
      <x:c r="F329" s="37" t="str">
        <x:v>relational_direction_explicit_other_pair</x:v>
      </x:c>
      <x:c r="G329" s="37" t="str">
        <x:v>direction × ordered green-pen/red-block target/reference role</x:v>
      </x:c>
      <x:c r="H329" s="37" t="str">
        <x:v>No</x:v>
      </x:c>
      <x:c r="I329" s="37" t="str">
        <x:v>Keep prompt</x:v>
      </x:c>
      <x:c r="J329" s="37" t="str">
        <x:v>No prompt change required under the missing-cell design.</x:v>
      </x:c>
      <x:c r="K329" s="37" t="str">
        <x:v>green pen, red block, pink marker, blue block</x:v>
      </x:c>
      <x:c r="L329" s="37" t="str">
        <x:v>pink marker</x:v>
      </x:c>
      <x:c r="M329" s="37" t="str">
        <x:v>Home</x:v>
      </x:c>
      <x:c r="N329" s="37" t="str">
        <x:v>Place the pink marker to the left of the blue block.</x:v>
      </x:c>
      <x:c r="O329" s="37" t="str"/>
      <x:c r="P329" s="37" t="str">
        <x:v>Directional concepts are explicitly grounded on other ordered object pairs.</x:v>
      </x:c>
      <x:c r="Q329" s="38"/>
    </x:row>
    <x:row r="330" ht="60" customHeight="1">
      <x:c r="A330" s="70" t="n">
        <x:v>328</x:v>
      </x:c>
      <x:c r="B330" s="37" t="str">
        <x:v>Relational Placement</x:v>
      </x:c>
      <x:c r="C330" s="37" t="str">
        <x:v>Place the pink marker to the left of the blue block.</x:v>
      </x:c>
      <x:c r="D330" s="37" t="str">
        <x:v>Explicit spatial-relation grounding</x:v>
      </x:c>
      <x:c r="E330" s="37" t="str">
        <x:v>left / right / front / behind with other ordered object pairs</x:v>
      </x:c>
      <x:c r="F330" s="37" t="str">
        <x:v>relational_direction_explicit_other_pair</x:v>
      </x:c>
      <x:c r="G330" s="37" t="str">
        <x:v>direction × ordered green-pen/red-block target/reference role</x:v>
      </x:c>
      <x:c r="H330" s="37" t="str">
        <x:v>No</x:v>
      </x:c>
      <x:c r="I330" s="37" t="str">
        <x:v>Keep prompt</x:v>
      </x:c>
      <x:c r="J330" s="37" t="str">
        <x:v>No prompt change required under the missing-cell design.</x:v>
      </x:c>
      <x:c r="K330" s="37" t="str">
        <x:v>pink marker, blue block, red block</x:v>
      </x:c>
      <x:c r="L330" s="37" t="str">
        <x:v>pink marker</x:v>
      </x:c>
      <x:c r="M330" s="37" t="str">
        <x:v>Home</x:v>
      </x:c>
      <x:c r="N330" s="37" t="str">
        <x:v>Place the pink marker to the left of the blue block.</x:v>
      </x:c>
      <x:c r="O330" s="37" t="str"/>
      <x:c r="P330" s="37" t="str">
        <x:v>Directional concepts are explicitly grounded on other ordered object pairs.</x:v>
      </x:c>
      <x:c r="Q330" s="38"/>
    </x:row>
    <x:row r="331" ht="60" customHeight="1">
      <x:c r="A331" s="70" t="n">
        <x:v>329</x:v>
      </x:c>
      <x:c r="B331" s="37" t="str">
        <x:v>Relational Placement</x:v>
      </x:c>
      <x:c r="C331" s="37" t="str">
        <x:v>Place the pink marker to the left of the green pen.</x:v>
      </x:c>
      <x:c r="D331" s="37" t="str">
        <x:v>Explicit spatial-relation grounding</x:v>
      </x:c>
      <x:c r="E331" s="37" t="str">
        <x:v>left / right / front / behind with other ordered object pairs</x:v>
      </x:c>
      <x:c r="F331" s="37" t="str">
        <x:v>relational_direction_explicit_other_pair</x:v>
      </x:c>
      <x:c r="G331" s="37" t="str">
        <x:v>direction × ordered green-pen/red-block target/reference role</x:v>
      </x:c>
      <x:c r="H331" s="37" t="str">
        <x:v>No</x:v>
      </x:c>
      <x:c r="I331" s="37" t="str">
        <x:v>Keep prompt</x:v>
      </x:c>
      <x:c r="J331" s="37" t="str">
        <x:v>No prompt change required under the missing-cell design.</x:v>
      </x:c>
      <x:c r="K331" s="37" t="str">
        <x:v>pink marker, green pen</x:v>
      </x:c>
      <x:c r="L331" s="37" t="str">
        <x:v>pink marker</x:v>
      </x:c>
      <x:c r="M331" s="37" t="str">
        <x:v>Home</x:v>
      </x:c>
      <x:c r="N331" s="37" t="str">
        <x:v>Place the pink marker to the left of the green pen.</x:v>
      </x:c>
      <x:c r="O331" s="37" t="str"/>
      <x:c r="P331" s="37" t="str">
        <x:v>Directional concepts are explicitly grounded on other ordered object pairs.</x:v>
      </x:c>
      <x:c r="Q331" s="38"/>
    </x:row>
    <x:row r="332" ht="60" customHeight="1">
      <x:c r="A332" s="70" t="n">
        <x:v>330</x:v>
      </x:c>
      <x:c r="B332" s="37" t="str">
        <x:v>Relational Placement</x:v>
      </x:c>
      <x:c r="C332" s="37" t="str">
        <x:v>Place the pink marker to the left of the green pen.</x:v>
      </x:c>
      <x:c r="D332" s="37" t="str">
        <x:v>Explicit spatial-relation grounding</x:v>
      </x:c>
      <x:c r="E332" s="37" t="str">
        <x:v>left / right / front / behind with other ordered object pairs</x:v>
      </x:c>
      <x:c r="F332" s="37" t="str">
        <x:v>relational_direction_explicit_other_pair</x:v>
      </x:c>
      <x:c r="G332" s="37" t="str">
        <x:v>direction × ordered green-pen/red-block target/reference role</x:v>
      </x:c>
      <x:c r="H332" s="37" t="str">
        <x:v>No</x:v>
      </x:c>
      <x:c r="I332" s="37" t="str">
        <x:v>Keep prompt</x:v>
      </x:c>
      <x:c r="J332" s="37" t="str">
        <x:v>No prompt change required under the missing-cell design.</x:v>
      </x:c>
      <x:c r="K332" s="37" t="str">
        <x:v>pink marker, green pen, blue block</x:v>
      </x:c>
      <x:c r="L332" s="37" t="str">
        <x:v>pink marker</x:v>
      </x:c>
      <x:c r="M332" s="37" t="str">
        <x:v>Home</x:v>
      </x:c>
      <x:c r="N332" s="37" t="str">
        <x:v>Place the pink marker to the left of the green pen.</x:v>
      </x:c>
      <x:c r="O332" s="37" t="str"/>
      <x:c r="P332" s="37" t="str">
        <x:v>Directional concepts are explicitly grounded on other ordered object pairs.</x:v>
      </x:c>
      <x:c r="Q332" s="38"/>
    </x:row>
    <x:row r="333" ht="60" customHeight="1">
      <x:c r="A333" s="70" t="n">
        <x:v>331</x:v>
      </x:c>
      <x:c r="B333" s="37" t="str">
        <x:v>Relational Placement</x:v>
      </x:c>
      <x:c r="C333" s="37" t="str">
        <x:v>Place the pink marker to the left of the green pen.</x:v>
      </x:c>
      <x:c r="D333" s="37" t="str">
        <x:v>Explicit spatial-relation grounding</x:v>
      </x:c>
      <x:c r="E333" s="37" t="str">
        <x:v>left / right / front / behind with other ordered object pairs</x:v>
      </x:c>
      <x:c r="F333" s="37" t="str">
        <x:v>relational_direction_explicit_other_pair</x:v>
      </x:c>
      <x:c r="G333" s="37" t="str">
        <x:v>direction × ordered green-pen/red-block target/reference role</x:v>
      </x:c>
      <x:c r="H333" s="37" t="str">
        <x:v>No</x:v>
      </x:c>
      <x:c r="I333" s="37" t="str">
        <x:v>Keep prompt</x:v>
      </x:c>
      <x:c r="J333" s="37" t="str">
        <x:v>No prompt change required under the missing-cell design.</x:v>
      </x:c>
      <x:c r="K333" s="37" t="str">
        <x:v>green pen, red block, pink marker, blue block</x:v>
      </x:c>
      <x:c r="L333" s="37" t="str">
        <x:v>pink marker</x:v>
      </x:c>
      <x:c r="M333" s="37" t="str">
        <x:v>Home</x:v>
      </x:c>
      <x:c r="N333" s="37" t="str">
        <x:v>Place the pink marker to the left of the green pen.</x:v>
      </x:c>
      <x:c r="O333" s="37" t="str"/>
      <x:c r="P333" s="37" t="str">
        <x:v>Directional concepts are explicitly grounded on other ordered object pairs.</x:v>
      </x:c>
      <x:c r="Q333" s="38"/>
    </x:row>
    <x:row r="334" ht="60" customHeight="1">
      <x:c r="A334" s="70" t="n">
        <x:v>332</x:v>
      </x:c>
      <x:c r="B334" s="37" t="str">
        <x:v>Relational Placement</x:v>
      </x:c>
      <x:c r="C334" s="37" t="str">
        <x:v>Place the pink marker to the left of the green pen.</x:v>
      </x:c>
      <x:c r="D334" s="37" t="str">
        <x:v>Explicit spatial-relation grounding</x:v>
      </x:c>
      <x:c r="E334" s="37" t="str">
        <x:v>left / right / front / behind with other ordered object pairs</x:v>
      </x:c>
      <x:c r="F334" s="37" t="str">
        <x:v>relational_direction_explicit_other_pair</x:v>
      </x:c>
      <x:c r="G334" s="37" t="str">
        <x:v>direction × ordered green-pen/red-block target/reference role</x:v>
      </x:c>
      <x:c r="H334" s="37" t="str">
        <x:v>No</x:v>
      </x:c>
      <x:c r="I334" s="37" t="str">
        <x:v>Keep prompt</x:v>
      </x:c>
      <x:c r="J334" s="37" t="str">
        <x:v>No prompt change required under the missing-cell design.</x:v>
      </x:c>
      <x:c r="K334" s="37" t="str">
        <x:v>pink marker, green pen, red block</x:v>
      </x:c>
      <x:c r="L334" s="37" t="str">
        <x:v>pink marker</x:v>
      </x:c>
      <x:c r="M334" s="37" t="str">
        <x:v>Recovery</x:v>
      </x:c>
      <x:c r="N334" s="37" t="str">
        <x:v>Place the pink marker to the left of the green pen.</x:v>
      </x:c>
      <x:c r="O334" s="37" t="str"/>
      <x:c r="P334" s="37" t="str">
        <x:v>Directional concepts are explicitly grounded on other ordered object pairs.</x:v>
      </x:c>
      <x:c r="Q334" s="38"/>
    </x:row>
    <x:row r="335" ht="60" customHeight="1">
      <x:c r="A335" s="70" t="n">
        <x:v>333</x:v>
      </x:c>
      <x:c r="B335" s="37" t="str">
        <x:v>Relational Placement</x:v>
      </x:c>
      <x:c r="C335" s="37" t="str">
        <x:v>Place the pink marker to the left of the red block.</x:v>
      </x:c>
      <x:c r="D335" s="37" t="str">
        <x:v>Explicit spatial-relation grounding</x:v>
      </x:c>
      <x:c r="E335" s="37" t="str">
        <x:v>left / right / front / behind with other ordered object pairs</x:v>
      </x:c>
      <x:c r="F335" s="37" t="str">
        <x:v>relational_direction_explicit_other_pair</x:v>
      </x:c>
      <x:c r="G335" s="37" t="str">
        <x:v>direction × ordered green-pen/red-block target/reference role</x:v>
      </x:c>
      <x:c r="H335" s="37" t="str">
        <x:v>No</x:v>
      </x:c>
      <x:c r="I335" s="37" t="str">
        <x:v>Keep prompt</x:v>
      </x:c>
      <x:c r="J335" s="37" t="str">
        <x:v>No prompt change required under the missing-cell design.</x:v>
      </x:c>
      <x:c r="K335" s="37" t="str">
        <x:v>pink marker, red block</x:v>
      </x:c>
      <x:c r="L335" s="37" t="str">
        <x:v>pink marker</x:v>
      </x:c>
      <x:c r="M335" s="37" t="str">
        <x:v>Home</x:v>
      </x:c>
      <x:c r="N335" s="37" t="str">
        <x:v>Place the pink marker to the left of the red block.</x:v>
      </x:c>
      <x:c r="O335" s="37" t="str"/>
      <x:c r="P335" s="37" t="str">
        <x:v>Directional concepts are explicitly grounded on other ordered object pairs.</x:v>
      </x:c>
      <x:c r="Q335" s="38"/>
    </x:row>
    <x:row r="336" ht="60" customHeight="1">
      <x:c r="A336" s="70" t="n">
        <x:v>334</x:v>
      </x:c>
      <x:c r="B336" s="37" t="str">
        <x:v>Relational Placement</x:v>
      </x:c>
      <x:c r="C336" s="37" t="str">
        <x:v>Place the pink marker to the left of the red block.</x:v>
      </x:c>
      <x:c r="D336" s="37" t="str">
        <x:v>Explicit spatial-relation grounding</x:v>
      </x:c>
      <x:c r="E336" s="37" t="str">
        <x:v>left / right / front / behind with other ordered object pairs</x:v>
      </x:c>
      <x:c r="F336" s="37" t="str">
        <x:v>relational_direction_explicit_other_pair</x:v>
      </x:c>
      <x:c r="G336" s="37" t="str">
        <x:v>direction × ordered green-pen/red-block target/reference role</x:v>
      </x:c>
      <x:c r="H336" s="37" t="str">
        <x:v>No</x:v>
      </x:c>
      <x:c r="I336" s="37" t="str">
        <x:v>Keep prompt</x:v>
      </x:c>
      <x:c r="J336" s="37" t="str">
        <x:v>No prompt change required under the missing-cell design.</x:v>
      </x:c>
      <x:c r="K336" s="37" t="str">
        <x:v>pink marker, red block, blue block</x:v>
      </x:c>
      <x:c r="L336" s="37" t="str">
        <x:v>pink marker</x:v>
      </x:c>
      <x:c r="M336" s="37" t="str">
        <x:v>Home</x:v>
      </x:c>
      <x:c r="N336" s="37" t="str">
        <x:v>Place the pink marker to the left of the red block.</x:v>
      </x:c>
      <x:c r="O336" s="37" t="str"/>
      <x:c r="P336" s="37" t="str">
        <x:v>Directional concepts are explicitly grounded on other ordered object pairs.</x:v>
      </x:c>
      <x:c r="Q336" s="38"/>
    </x:row>
    <x:row r="337" ht="60" customHeight="1">
      <x:c r="A337" s="70" t="n">
        <x:v>335</x:v>
      </x:c>
      <x:c r="B337" s="37" t="str">
        <x:v>Relational Placement</x:v>
      </x:c>
      <x:c r="C337" s="37" t="str">
        <x:v>Place the pink marker to the left of the red block.</x:v>
      </x:c>
      <x:c r="D337" s="37" t="str">
        <x:v>Explicit spatial-relation grounding</x:v>
      </x:c>
      <x:c r="E337" s="37" t="str">
        <x:v>left / right / front / behind with other ordered object pairs</x:v>
      </x:c>
      <x:c r="F337" s="37" t="str">
        <x:v>relational_direction_explicit_other_pair</x:v>
      </x:c>
      <x:c r="G337" s="37" t="str">
        <x:v>direction × ordered green-pen/red-block target/reference role</x:v>
      </x:c>
      <x:c r="H337" s="37" t="str">
        <x:v>No</x:v>
      </x:c>
      <x:c r="I337" s="37" t="str">
        <x:v>Keep prompt</x:v>
      </x:c>
      <x:c r="J337" s="37" t="str">
        <x:v>No prompt change required under the missing-cell design.</x:v>
      </x:c>
      <x:c r="K337" s="37" t="str">
        <x:v>green pen, red block, pink marker, blue block</x:v>
      </x:c>
      <x:c r="L337" s="37" t="str">
        <x:v>pink marker</x:v>
      </x:c>
      <x:c r="M337" s="37" t="str">
        <x:v>Home</x:v>
      </x:c>
      <x:c r="N337" s="37" t="str">
        <x:v>Place the pink marker to the left of the red block.</x:v>
      </x:c>
      <x:c r="O337" s="37" t="str"/>
      <x:c r="P337" s="37" t="str">
        <x:v>Directional concepts are explicitly grounded on other ordered object pairs.</x:v>
      </x:c>
      <x:c r="Q337" s="38"/>
    </x:row>
    <x:row r="338" ht="60" customHeight="1">
      <x:c r="A338" s="70" t="n">
        <x:v>336</x:v>
      </x:c>
      <x:c r="B338" s="37" t="str">
        <x:v>Relational Placement</x:v>
      </x:c>
      <x:c r="C338" s="37" t="str">
        <x:v>Place the pink marker to the left of the red block.</x:v>
      </x:c>
      <x:c r="D338" s="37" t="str">
        <x:v>Explicit spatial-relation grounding</x:v>
      </x:c>
      <x:c r="E338" s="37" t="str">
        <x:v>left / right / front / behind with other ordered object pairs</x:v>
      </x:c>
      <x:c r="F338" s="37" t="str">
        <x:v>relational_direction_explicit_other_pair</x:v>
      </x:c>
      <x:c r="G338" s="37" t="str">
        <x:v>direction × ordered green-pen/red-block target/reference role</x:v>
      </x:c>
      <x:c r="H338" s="37" t="str">
        <x:v>No</x:v>
      </x:c>
      <x:c r="I338" s="37" t="str">
        <x:v>Keep prompt</x:v>
      </x:c>
      <x:c r="J338" s="37" t="str">
        <x:v>No prompt change required under the missing-cell design.</x:v>
      </x:c>
      <x:c r="K338" s="37" t="str">
        <x:v>pink marker, red block, green pen</x:v>
      </x:c>
      <x:c r="L338" s="37" t="str">
        <x:v>pink marker</x:v>
      </x:c>
      <x:c r="M338" s="37" t="str">
        <x:v>Recovery</x:v>
      </x:c>
      <x:c r="N338" s="37" t="str">
        <x:v>Place the pink marker to the left of the red block.</x:v>
      </x:c>
      <x:c r="O338" s="37" t="str"/>
      <x:c r="P338" s="37" t="str">
        <x:v>Directional concepts are explicitly grounded on other ordered object pairs.</x:v>
      </x:c>
      <x:c r="Q338" s="38"/>
    </x:row>
    <x:row r="339" ht="60" customHeight="1">
      <x:c r="A339" s="70" t="n">
        <x:v>337</x:v>
      </x:c>
      <x:c r="B339" s="37" t="str">
        <x:v>Relational Placement</x:v>
      </x:c>
      <x:c r="C339" s="37" t="str">
        <x:v>Place the pink marker to the right of the blue block.</x:v>
      </x:c>
      <x:c r="D339" s="37" t="str">
        <x:v>Explicit spatial-relation grounding</x:v>
      </x:c>
      <x:c r="E339" s="37" t="str">
        <x:v>left / right / front / behind with other ordered object pairs</x:v>
      </x:c>
      <x:c r="F339" s="37" t="str">
        <x:v>relational_direction_explicit_other_pair</x:v>
      </x:c>
      <x:c r="G339" s="37" t="str">
        <x:v>direction × ordered green-pen/red-block target/reference role</x:v>
      </x:c>
      <x:c r="H339" s="37" t="str">
        <x:v>No</x:v>
      </x:c>
      <x:c r="I339" s="37" t="str">
        <x:v>Keep prompt</x:v>
      </x:c>
      <x:c r="J339" s="37" t="str">
        <x:v>No prompt change required under the missing-cell design.</x:v>
      </x:c>
      <x:c r="K339" s="37" t="str">
        <x:v>pink marker, blue block</x:v>
      </x:c>
      <x:c r="L339" s="37" t="str">
        <x:v>pink marker</x:v>
      </x:c>
      <x:c r="M339" s="37" t="str">
        <x:v>Home</x:v>
      </x:c>
      <x:c r="N339" s="37" t="str">
        <x:v>Place the pink marker to the right of the blue block.</x:v>
      </x:c>
      <x:c r="O339" s="37" t="str"/>
      <x:c r="P339" s="37" t="str">
        <x:v>Directional concepts are explicitly grounded on other ordered object pairs.</x:v>
      </x:c>
      <x:c r="Q339" s="38"/>
    </x:row>
    <x:row r="340" ht="60" customHeight="1">
      <x:c r="A340" s="70" t="n">
        <x:v>338</x:v>
      </x:c>
      <x:c r="B340" s="37" t="str">
        <x:v>Relational Placement</x:v>
      </x:c>
      <x:c r="C340" s="37" t="str">
        <x:v>Place the pink marker to the right of the blue block.</x:v>
      </x:c>
      <x:c r="D340" s="37" t="str">
        <x:v>Explicit spatial-relation grounding</x:v>
      </x:c>
      <x:c r="E340" s="37" t="str">
        <x:v>left / right / front / behind with other ordered object pairs</x:v>
      </x:c>
      <x:c r="F340" s="37" t="str">
        <x:v>relational_direction_explicit_other_pair</x:v>
      </x:c>
      <x:c r="G340" s="37" t="str">
        <x:v>direction × ordered green-pen/red-block target/reference role</x:v>
      </x:c>
      <x:c r="H340" s="37" t="str">
        <x:v>No</x:v>
      </x:c>
      <x:c r="I340" s="37" t="str">
        <x:v>Keep prompt</x:v>
      </x:c>
      <x:c r="J340" s="37" t="str">
        <x:v>No prompt change required under the missing-cell design.</x:v>
      </x:c>
      <x:c r="K340" s="37" t="str">
        <x:v>pink marker, blue block, green pen</x:v>
      </x:c>
      <x:c r="L340" s="37" t="str">
        <x:v>pink marker</x:v>
      </x:c>
      <x:c r="M340" s="37" t="str">
        <x:v>Home</x:v>
      </x:c>
      <x:c r="N340" s="37" t="str">
        <x:v>Place the pink marker to the right of the blue block.</x:v>
      </x:c>
      <x:c r="O340" s="37" t="str"/>
      <x:c r="P340" s="37" t="str">
        <x:v>Directional concepts are explicitly grounded on other ordered object pairs.</x:v>
      </x:c>
      <x:c r="Q340" s="38"/>
    </x:row>
    <x:row r="341" ht="60" customHeight="1">
      <x:c r="A341" s="70" t="n">
        <x:v>339</x:v>
      </x:c>
      <x:c r="B341" s="37" t="str">
        <x:v>Relational Placement</x:v>
      </x:c>
      <x:c r="C341" s="37" t="str">
        <x:v>Place the pink marker to the right of the blue block.</x:v>
      </x:c>
      <x:c r="D341" s="37" t="str">
        <x:v>Explicit spatial-relation grounding</x:v>
      </x:c>
      <x:c r="E341" s="37" t="str">
        <x:v>left / right / front / behind with other ordered object pairs</x:v>
      </x:c>
      <x:c r="F341" s="37" t="str">
        <x:v>relational_direction_explicit_other_pair</x:v>
      </x:c>
      <x:c r="G341" s="37" t="str">
        <x:v>direction × ordered green-pen/red-block target/reference role</x:v>
      </x:c>
      <x:c r="H341" s="37" t="str">
        <x:v>No</x:v>
      </x:c>
      <x:c r="I341" s="37" t="str">
        <x:v>Keep prompt</x:v>
      </x:c>
      <x:c r="J341" s="37" t="str">
        <x:v>No prompt change required under the missing-cell design.</x:v>
      </x:c>
      <x:c r="K341" s="37" t="str">
        <x:v>green pen, red block, pink marker, blue block</x:v>
      </x:c>
      <x:c r="L341" s="37" t="str">
        <x:v>pink marker</x:v>
      </x:c>
      <x:c r="M341" s="37" t="str">
        <x:v>Home</x:v>
      </x:c>
      <x:c r="N341" s="37" t="str">
        <x:v>Place the pink marker to the right of the blue block.</x:v>
      </x:c>
      <x:c r="O341" s="37" t="str"/>
      <x:c r="P341" s="37" t="str">
        <x:v>Directional concepts are explicitly grounded on other ordered object pairs.</x:v>
      </x:c>
      <x:c r="Q341" s="38"/>
    </x:row>
    <x:row r="342" ht="60" customHeight="1">
      <x:c r="A342" s="70" t="n">
        <x:v>340</x:v>
      </x:c>
      <x:c r="B342" s="37" t="str">
        <x:v>Relational Placement</x:v>
      </x:c>
      <x:c r="C342" s="37" t="str">
        <x:v>Place the pink marker to the right of the blue block.</x:v>
      </x:c>
      <x:c r="D342" s="37" t="str">
        <x:v>Explicit spatial-relation grounding</x:v>
      </x:c>
      <x:c r="E342" s="37" t="str">
        <x:v>left / right / front / behind with other ordered object pairs</x:v>
      </x:c>
      <x:c r="F342" s="37" t="str">
        <x:v>relational_direction_explicit_other_pair</x:v>
      </x:c>
      <x:c r="G342" s="37" t="str">
        <x:v>direction × ordered green-pen/red-block target/reference role</x:v>
      </x:c>
      <x:c r="H342" s="37" t="str">
        <x:v>No</x:v>
      </x:c>
      <x:c r="I342" s="37" t="str">
        <x:v>Keep prompt</x:v>
      </x:c>
      <x:c r="J342" s="37" t="str">
        <x:v>No prompt change required under the missing-cell design.</x:v>
      </x:c>
      <x:c r="K342" s="37" t="str">
        <x:v>pink marker, blue block, red block</x:v>
      </x:c>
      <x:c r="L342" s="37" t="str">
        <x:v>pink marker</x:v>
      </x:c>
      <x:c r="M342" s="37" t="str">
        <x:v>Recovery</x:v>
      </x:c>
      <x:c r="N342" s="37" t="str">
        <x:v>Place the pink marker to the right of the blue block.</x:v>
      </x:c>
      <x:c r="O342" s="37" t="str"/>
      <x:c r="P342" s="37" t="str">
        <x:v>Directional concepts are explicitly grounded on other ordered object pairs.</x:v>
      </x:c>
      <x:c r="Q342" s="38"/>
    </x:row>
    <x:row r="343" ht="60" customHeight="1">
      <x:c r="A343" s="70" t="n">
        <x:v>341</x:v>
      </x:c>
      <x:c r="B343" s="37" t="str">
        <x:v>Relational Placement</x:v>
      </x:c>
      <x:c r="C343" s="37" t="str">
        <x:v>Place the pink marker to the right of the blue block.</x:v>
      </x:c>
      <x:c r="D343" s="37" t="str">
        <x:v>Explicit spatial-relation grounding</x:v>
      </x:c>
      <x:c r="E343" s="37" t="str">
        <x:v>left / right / front / behind with other ordered object pairs</x:v>
      </x:c>
      <x:c r="F343" s="37" t="str">
        <x:v>relational_direction_explicit_other_pair</x:v>
      </x:c>
      <x:c r="G343" s="37" t="str">
        <x:v>direction × ordered green-pen/red-block target/reference role</x:v>
      </x:c>
      <x:c r="H343" s="37" t="str">
        <x:v>No</x:v>
      </x:c>
      <x:c r="I343" s="37" t="str">
        <x:v>Keep prompt</x:v>
      </x:c>
      <x:c r="J343" s="37" t="str">
        <x:v>No prompt change required under the missing-cell design.</x:v>
      </x:c>
      <x:c r="K343" s="37" t="str">
        <x:v>green pen, red block, pink marker, blue block</x:v>
      </x:c>
      <x:c r="L343" s="37" t="str">
        <x:v>pink marker</x:v>
      </x:c>
      <x:c r="M343" s="37" t="str">
        <x:v>Home</x:v>
      </x:c>
      <x:c r="N343" s="37" t="str">
        <x:v>Place the pink marker to the right of the blue block.</x:v>
      </x:c>
      <x:c r="O343" s="37" t="str"/>
      <x:c r="P343" s="37" t="str">
        <x:v>Directional concepts are explicitly grounded on other ordered object pairs.</x:v>
      </x:c>
      <x:c r="Q343" s="38"/>
    </x:row>
    <x:row r="344" ht="60" customHeight="1">
      <x:c r="A344" s="70" t="n">
        <x:v>342</x:v>
      </x:c>
      <x:c r="B344" s="37" t="str">
        <x:v>Relational Placement</x:v>
      </x:c>
      <x:c r="C344" s="37" t="str">
        <x:v>Place the pink marker to the right of the green pen.</x:v>
      </x:c>
      <x:c r="D344" s="37" t="str">
        <x:v>Explicit spatial-relation grounding</x:v>
      </x:c>
      <x:c r="E344" s="37" t="str">
        <x:v>left / right / front / behind with other ordered object pairs</x:v>
      </x:c>
      <x:c r="F344" s="37" t="str">
        <x:v>relational_direction_explicit_other_pair</x:v>
      </x:c>
      <x:c r="G344" s="37" t="str">
        <x:v>direction × ordered green-pen/red-block target/reference role</x:v>
      </x:c>
      <x:c r="H344" s="37" t="str">
        <x:v>No</x:v>
      </x:c>
      <x:c r="I344" s="37" t="str">
        <x:v>Keep prompt</x:v>
      </x:c>
      <x:c r="J344" s="37" t="str">
        <x:v>No prompt change required under the missing-cell design.</x:v>
      </x:c>
      <x:c r="K344" s="37" t="str">
        <x:v>pink marker, green pen</x:v>
      </x:c>
      <x:c r="L344" s="37" t="str">
        <x:v>pink marker</x:v>
      </x:c>
      <x:c r="M344" s="37" t="str">
        <x:v>Home</x:v>
      </x:c>
      <x:c r="N344" s="37" t="str">
        <x:v>Place the pink marker to the right of the green pen.</x:v>
      </x:c>
      <x:c r="O344" s="37" t="str"/>
      <x:c r="P344" s="37" t="str">
        <x:v>Directional concepts are explicitly grounded on other ordered object pairs.</x:v>
      </x:c>
      <x:c r="Q344" s="38"/>
    </x:row>
    <x:row r="345" ht="60" customHeight="1">
      <x:c r="A345" s="70" t="n">
        <x:v>343</x:v>
      </x:c>
      <x:c r="B345" s="37" t="str">
        <x:v>Relational Placement</x:v>
      </x:c>
      <x:c r="C345" s="37" t="str">
        <x:v>Place the pink marker to the right of the green pen.</x:v>
      </x:c>
      <x:c r="D345" s="37" t="str">
        <x:v>Explicit spatial-relation grounding</x:v>
      </x:c>
      <x:c r="E345" s="37" t="str">
        <x:v>left / right / front / behind with other ordered object pairs</x:v>
      </x:c>
      <x:c r="F345" s="37" t="str">
        <x:v>relational_direction_explicit_other_pair</x:v>
      </x:c>
      <x:c r="G345" s="37" t="str">
        <x:v>direction × ordered green-pen/red-block target/reference role</x:v>
      </x:c>
      <x:c r="H345" s="37" t="str">
        <x:v>No</x:v>
      </x:c>
      <x:c r="I345" s="37" t="str">
        <x:v>Keep prompt</x:v>
      </x:c>
      <x:c r="J345" s="37" t="str">
        <x:v>No prompt change required under the missing-cell design.</x:v>
      </x:c>
      <x:c r="K345" s="37" t="str">
        <x:v>pink marker, green pen, blue block</x:v>
      </x:c>
      <x:c r="L345" s="37" t="str">
        <x:v>pink marker</x:v>
      </x:c>
      <x:c r="M345" s="37" t="str">
        <x:v>Home</x:v>
      </x:c>
      <x:c r="N345" s="37" t="str">
        <x:v>Place the pink marker to the right of the green pen.</x:v>
      </x:c>
      <x:c r="O345" s="37" t="str"/>
      <x:c r="P345" s="37" t="str">
        <x:v>Directional concepts are explicitly grounded on other ordered object pairs.</x:v>
      </x:c>
      <x:c r="Q345" s="38"/>
    </x:row>
    <x:row r="346" ht="60" customHeight="1">
      <x:c r="A346" s="70" t="n">
        <x:v>344</x:v>
      </x:c>
      <x:c r="B346" s="37" t="str">
        <x:v>Relational Placement</x:v>
      </x:c>
      <x:c r="C346" s="37" t="str">
        <x:v>Place the pink marker to the right of the green pen.</x:v>
      </x:c>
      <x:c r="D346" s="37" t="str">
        <x:v>Explicit spatial-relation grounding</x:v>
      </x:c>
      <x:c r="E346" s="37" t="str">
        <x:v>left / right / front / behind with other ordered object pairs</x:v>
      </x:c>
      <x:c r="F346" s="37" t="str">
        <x:v>relational_direction_explicit_other_pair</x:v>
      </x:c>
      <x:c r="G346" s="37" t="str">
        <x:v>direction × ordered green-pen/red-block target/reference role</x:v>
      </x:c>
      <x:c r="H346" s="37" t="str">
        <x:v>No</x:v>
      </x:c>
      <x:c r="I346" s="37" t="str">
        <x:v>Keep prompt</x:v>
      </x:c>
      <x:c r="J346" s="37" t="str">
        <x:v>No prompt change required under the missing-cell design.</x:v>
      </x:c>
      <x:c r="K346" s="37" t="str">
        <x:v>green pen, red block, pink marker, blue block</x:v>
      </x:c>
      <x:c r="L346" s="37" t="str">
        <x:v>pink marker</x:v>
      </x:c>
      <x:c r="M346" s="37" t="str">
        <x:v>Home</x:v>
      </x:c>
      <x:c r="N346" s="37" t="str">
        <x:v>Place the pink marker to the right of the green pen.</x:v>
      </x:c>
      <x:c r="O346" s="37" t="str"/>
      <x:c r="P346" s="37" t="str">
        <x:v>Directional concepts are explicitly grounded on other ordered object pairs.</x:v>
      </x:c>
      <x:c r="Q346" s="38"/>
    </x:row>
    <x:row r="347" ht="60" customHeight="1">
      <x:c r="A347" s="70" t="n">
        <x:v>345</x:v>
      </x:c>
      <x:c r="B347" s="37" t="str">
        <x:v>Relational Placement</x:v>
      </x:c>
      <x:c r="C347" s="37" t="str">
        <x:v>Place the pink marker to the right of the green pen.</x:v>
      </x:c>
      <x:c r="D347" s="37" t="str">
        <x:v>Explicit spatial-relation grounding</x:v>
      </x:c>
      <x:c r="E347" s="37" t="str">
        <x:v>left / right / front / behind with other ordered object pairs</x:v>
      </x:c>
      <x:c r="F347" s="37" t="str">
        <x:v>relational_direction_explicit_other_pair</x:v>
      </x:c>
      <x:c r="G347" s="37" t="str">
        <x:v>direction × ordered green-pen/red-block target/reference role</x:v>
      </x:c>
      <x:c r="H347" s="37" t="str">
        <x:v>No</x:v>
      </x:c>
      <x:c r="I347" s="37" t="str">
        <x:v>Keep prompt</x:v>
      </x:c>
      <x:c r="J347" s="37" t="str">
        <x:v>No prompt change required under the missing-cell design.</x:v>
      </x:c>
      <x:c r="K347" s="37" t="str">
        <x:v>pink marker, green pen, red block</x:v>
      </x:c>
      <x:c r="L347" s="37" t="str">
        <x:v>pink marker</x:v>
      </x:c>
      <x:c r="M347" s="37" t="str">
        <x:v>Recovery</x:v>
      </x:c>
      <x:c r="N347" s="37" t="str">
        <x:v>Place the pink marker to the right of the green pen.</x:v>
      </x:c>
      <x:c r="O347" s="37" t="str"/>
      <x:c r="P347" s="37" t="str">
        <x:v>Directional concepts are explicitly grounded on other ordered object pairs.</x:v>
      </x:c>
      <x:c r="Q347" s="38"/>
    </x:row>
    <x:row r="348" ht="60" customHeight="1">
      <x:c r="A348" s="70" t="n">
        <x:v>346</x:v>
      </x:c>
      <x:c r="B348" s="37" t="str">
        <x:v>Relational Placement</x:v>
      </x:c>
      <x:c r="C348" s="37" t="str">
        <x:v>Place the pink marker to the right of the red block.</x:v>
      </x:c>
      <x:c r="D348" s="37" t="str">
        <x:v>Explicit spatial-relation grounding</x:v>
      </x:c>
      <x:c r="E348" s="37" t="str">
        <x:v>left / right / front / behind with other ordered object pairs</x:v>
      </x:c>
      <x:c r="F348" s="37" t="str">
        <x:v>relational_direction_explicit_other_pair</x:v>
      </x:c>
      <x:c r="G348" s="37" t="str">
        <x:v>direction × ordered green-pen/red-block target/reference role</x:v>
      </x:c>
      <x:c r="H348" s="37" t="str">
        <x:v>No</x:v>
      </x:c>
      <x:c r="I348" s="37" t="str">
        <x:v>Keep prompt</x:v>
      </x:c>
      <x:c r="J348" s="37" t="str">
        <x:v>No prompt change required under the missing-cell design.</x:v>
      </x:c>
      <x:c r="K348" s="37" t="str">
        <x:v>pink marker, red block</x:v>
      </x:c>
      <x:c r="L348" s="37" t="str">
        <x:v>pink marker</x:v>
      </x:c>
      <x:c r="M348" s="37" t="str">
        <x:v>Home</x:v>
      </x:c>
      <x:c r="N348" s="37" t="str">
        <x:v>Place the pink marker to the right of the red block.</x:v>
      </x:c>
      <x:c r="O348" s="37" t="str"/>
      <x:c r="P348" s="37" t="str">
        <x:v>Directional concepts are explicitly grounded on other ordered object pairs.</x:v>
      </x:c>
      <x:c r="Q348" s="38"/>
    </x:row>
    <x:row r="349" ht="60" customHeight="1">
      <x:c r="A349" s="70" t="n">
        <x:v>347</x:v>
      </x:c>
      <x:c r="B349" s="37" t="str">
        <x:v>Relational Placement</x:v>
      </x:c>
      <x:c r="C349" s="37" t="str">
        <x:v>Place the pink marker to the right of the red block.</x:v>
      </x:c>
      <x:c r="D349" s="37" t="str">
        <x:v>Explicit spatial-relation grounding</x:v>
      </x:c>
      <x:c r="E349" s="37" t="str">
        <x:v>left / right / front / behind with other ordered object pairs</x:v>
      </x:c>
      <x:c r="F349" s="37" t="str">
        <x:v>relational_direction_explicit_other_pair</x:v>
      </x:c>
      <x:c r="G349" s="37" t="str">
        <x:v>direction × ordered green-pen/red-block target/reference role</x:v>
      </x:c>
      <x:c r="H349" s="37" t="str">
        <x:v>No</x:v>
      </x:c>
      <x:c r="I349" s="37" t="str">
        <x:v>Keep prompt</x:v>
      </x:c>
      <x:c r="J349" s="37" t="str">
        <x:v>No prompt change required under the missing-cell design.</x:v>
      </x:c>
      <x:c r="K349" s="37" t="str">
        <x:v>pink marker, red block, blue block</x:v>
      </x:c>
      <x:c r="L349" s="37" t="str">
        <x:v>pink marker</x:v>
      </x:c>
      <x:c r="M349" s="37" t="str">
        <x:v>Home</x:v>
      </x:c>
      <x:c r="N349" s="37" t="str">
        <x:v>Place the pink marker to the right of the red block.</x:v>
      </x:c>
      <x:c r="O349" s="37" t="str"/>
      <x:c r="P349" s="37" t="str">
        <x:v>Directional concepts are explicitly grounded on other ordered object pairs.</x:v>
      </x:c>
      <x:c r="Q349" s="38"/>
    </x:row>
    <x:row r="350" ht="60" customHeight="1">
      <x:c r="A350" s="70" t="n">
        <x:v>348</x:v>
      </x:c>
      <x:c r="B350" s="37" t="str">
        <x:v>Relational Placement</x:v>
      </x:c>
      <x:c r="C350" s="37" t="str">
        <x:v>Place the pink marker to the right of the red block.</x:v>
      </x:c>
      <x:c r="D350" s="37" t="str">
        <x:v>Explicit spatial-relation grounding</x:v>
      </x:c>
      <x:c r="E350" s="37" t="str">
        <x:v>left / right / front / behind with other ordered object pairs</x:v>
      </x:c>
      <x:c r="F350" s="37" t="str">
        <x:v>relational_direction_explicit_other_pair</x:v>
      </x:c>
      <x:c r="G350" s="37" t="str">
        <x:v>direction × ordered green-pen/red-block target/reference role</x:v>
      </x:c>
      <x:c r="H350" s="37" t="str">
        <x:v>No</x:v>
      </x:c>
      <x:c r="I350" s="37" t="str">
        <x:v>Keep prompt</x:v>
      </x:c>
      <x:c r="J350" s="37" t="str">
        <x:v>No prompt change required under the missing-cell design.</x:v>
      </x:c>
      <x:c r="K350" s="37" t="str">
        <x:v>green pen, red block, pink marker, blue block</x:v>
      </x:c>
      <x:c r="L350" s="37" t="str">
        <x:v>pink marker</x:v>
      </x:c>
      <x:c r="M350" s="37" t="str">
        <x:v>Home</x:v>
      </x:c>
      <x:c r="N350" s="37" t="str">
        <x:v>Place the pink marker to the right of the red block.</x:v>
      </x:c>
      <x:c r="O350" s="37" t="str"/>
      <x:c r="P350" s="37" t="str">
        <x:v>Directional concepts are explicitly grounded on other ordered object pairs.</x:v>
      </x:c>
      <x:c r="Q350" s="38"/>
    </x:row>
    <x:row r="351" ht="60" customHeight="1">
      <x:c r="A351" s="70" t="n">
        <x:v>349</x:v>
      </x:c>
      <x:c r="B351" s="37" t="str">
        <x:v>Relational Placement</x:v>
      </x:c>
      <x:c r="C351" s="37" t="str">
        <x:v>Place the pink marker to the right of the red block.</x:v>
      </x:c>
      <x:c r="D351" s="37" t="str">
        <x:v>Explicit spatial-relation grounding</x:v>
      </x:c>
      <x:c r="E351" s="37" t="str">
        <x:v>left / right / front / behind with other ordered object pairs</x:v>
      </x:c>
      <x:c r="F351" s="37" t="str">
        <x:v>relational_direction_explicit_other_pair</x:v>
      </x:c>
      <x:c r="G351" s="37" t="str">
        <x:v>direction × ordered green-pen/red-block target/reference role</x:v>
      </x:c>
      <x:c r="H351" s="37" t="str">
        <x:v>No</x:v>
      </x:c>
      <x:c r="I351" s="37" t="str">
        <x:v>Keep prompt</x:v>
      </x:c>
      <x:c r="J351" s="37" t="str">
        <x:v>No prompt change required under the missing-cell design.</x:v>
      </x:c>
      <x:c r="K351" s="37" t="str">
        <x:v>pink marker, red block, green pen</x:v>
      </x:c>
      <x:c r="L351" s="37" t="str">
        <x:v>pink marker</x:v>
      </x:c>
      <x:c r="M351" s="37" t="str">
        <x:v>Recovery</x:v>
      </x:c>
      <x:c r="N351" s="37" t="str">
        <x:v>Place the pink marker to the right of the red block.</x:v>
      </x:c>
      <x:c r="O351" s="37" t="str"/>
      <x:c r="P351" s="37" t="str">
        <x:v>Directional concepts are explicitly grounded on other ordered object pairs.</x:v>
      </x:c>
      <x:c r="Q351" s="38"/>
    </x:row>
    <x:row r="352" ht="60" customHeight="1">
      <x:c r="A352" s="70" t="n">
        <x:v>350</x:v>
      </x:c>
      <x:c r="B352" s="37" t="str">
        <x:v>Relational Placement</x:v>
      </x:c>
      <x:c r="C352" s="37" t="str">
        <x:v>Put the blue block on the table in front of the green pen.</x:v>
      </x:c>
      <x:c r="D352" s="37" t="str">
        <x:v>Explicit spatial-relation grounding</x:v>
      </x:c>
      <x:c r="E352" s="37" t="str">
        <x:v>left / right / front / behind with other ordered object pairs</x:v>
      </x:c>
      <x:c r="F352" s="37" t="str">
        <x:v>relational_direction_explicit_other_pair</x:v>
      </x:c>
      <x:c r="G352" s="37" t="str">
        <x:v>direction × ordered green-pen/red-block target/reference role</x:v>
      </x:c>
      <x:c r="H352" s="37" t="str">
        <x:v>No</x:v>
      </x:c>
      <x:c r="I352" s="37" t="str">
        <x:v>Keep prompt</x:v>
      </x:c>
      <x:c r="J352" s="37" t="str">
        <x:v>No prompt change required under the missing-cell design.</x:v>
      </x:c>
      <x:c r="K352" s="37" t="str">
        <x:v>blue block, green pen</x:v>
      </x:c>
      <x:c r="L352" s="37" t="str">
        <x:v>blue block</x:v>
      </x:c>
      <x:c r="M352" s="37" t="str">
        <x:v>Home</x:v>
      </x:c>
      <x:c r="N352" s="37" t="str">
        <x:v>Put the blue block on the table in front of the green pen.</x:v>
      </x:c>
      <x:c r="O352" s="37" t="str"/>
      <x:c r="P352" s="37" t="str">
        <x:v>Directional concepts are explicitly grounded on other ordered object pairs.</x:v>
      </x:c>
      <x:c r="Q352" s="38"/>
    </x:row>
    <x:row r="353" ht="60" customHeight="1">
      <x:c r="A353" s="70" t="n">
        <x:v>351</x:v>
      </x:c>
      <x:c r="B353" s="37" t="str">
        <x:v>Relational Placement</x:v>
      </x:c>
      <x:c r="C353" s="37" t="str">
        <x:v>Move the blue block to the front of the green pen.</x:v>
      </x:c>
      <x:c r="D353" s="37" t="str">
        <x:v>Explicit spatial-relation grounding</x:v>
      </x:c>
      <x:c r="E353" s="37" t="str">
        <x:v>left / right / front / behind with other ordered object pairs</x:v>
      </x:c>
      <x:c r="F353" s="37" t="str">
        <x:v>relational_direction_explicit_other_pair</x:v>
      </x:c>
      <x:c r="G353" s="37" t="str">
        <x:v>direction × ordered green-pen/red-block target/reference role</x:v>
      </x:c>
      <x:c r="H353" s="37" t="str">
        <x:v>No</x:v>
      </x:c>
      <x:c r="I353" s="37" t="str">
        <x:v>Keep prompt</x:v>
      </x:c>
      <x:c r="J353" s="37" t="str">
        <x:v>No prompt change required under the missing-cell design.</x:v>
      </x:c>
      <x:c r="K353" s="37" t="str">
        <x:v>blue block, green pen, red block</x:v>
      </x:c>
      <x:c r="L353" s="37" t="str">
        <x:v>blue block</x:v>
      </x:c>
      <x:c r="M353" s="37" t="str">
        <x:v>Home</x:v>
      </x:c>
      <x:c r="N353" s="37" t="str">
        <x:v>Move the blue block to the front of the green pen.</x:v>
      </x:c>
      <x:c r="O353" s="37" t="str"/>
      <x:c r="P353" s="37" t="str">
        <x:v>Directional concepts are explicitly grounded on other ordered object pairs.</x:v>
      </x:c>
      <x:c r="Q353" s="38"/>
    </x:row>
    <x:row r="354" ht="60" customHeight="1">
      <x:c r="A354" s="70" t="n">
        <x:v>352</x:v>
      </x:c>
      <x:c r="B354" s="37" t="str">
        <x:v>Relational Placement</x:v>
      </x:c>
      <x:c r="C354" s="37" t="str">
        <x:v>Place the blue block in front of the green pen.</x:v>
      </x:c>
      <x:c r="D354" s="37" t="str">
        <x:v>Explicit spatial-relation grounding</x:v>
      </x:c>
      <x:c r="E354" s="37" t="str">
        <x:v>left / right / front / behind with other ordered object pairs</x:v>
      </x:c>
      <x:c r="F354" s="37" t="str">
        <x:v>relational_direction_explicit_other_pair</x:v>
      </x:c>
      <x:c r="G354" s="37" t="str">
        <x:v>direction × ordered green-pen/red-block target/reference role</x:v>
      </x:c>
      <x:c r="H354" s="37" t="str">
        <x:v>No</x:v>
      </x:c>
      <x:c r="I354" s="37" t="str">
        <x:v>Keep prompt</x:v>
      </x:c>
      <x:c r="J354" s="37" t="str">
        <x:v>No prompt change required under the missing-cell design.</x:v>
      </x:c>
      <x:c r="K354" s="37" t="str">
        <x:v>green pen, red block, pink marker, blue block</x:v>
      </x:c>
      <x:c r="L354" s="37" t="str">
        <x:v>blue block</x:v>
      </x:c>
      <x:c r="M354" s="37" t="str">
        <x:v>Home</x:v>
      </x:c>
      <x:c r="N354" s="37" t="str">
        <x:v>Place the blue block in front of the green pen.</x:v>
      </x:c>
      <x:c r="O354" s="37" t="str"/>
      <x:c r="P354" s="37" t="str">
        <x:v>Directional concepts are explicitly grounded on other ordered object pairs.</x:v>
      </x:c>
      <x:c r="Q354" s="38"/>
    </x:row>
    <x:row r="355" ht="60" customHeight="1">
      <x:c r="A355" s="70" t="n">
        <x:v>353</x:v>
      </x:c>
      <x:c r="B355" s="37" t="str">
        <x:v>Relational Placement</x:v>
      </x:c>
      <x:c r="C355" s="37" t="str">
        <x:v>Move the blue block to the front of the green pen.</x:v>
      </x:c>
      <x:c r="D355" s="37" t="str">
        <x:v>Explicit spatial-relation grounding</x:v>
      </x:c>
      <x:c r="E355" s="37" t="str">
        <x:v>left / right / front / behind with other ordered object pairs</x:v>
      </x:c>
      <x:c r="F355" s="37" t="str">
        <x:v>relational_direction_explicit_other_pair</x:v>
      </x:c>
      <x:c r="G355" s="37" t="str">
        <x:v>direction × ordered green-pen/red-block target/reference role</x:v>
      </x:c>
      <x:c r="H355" s="37" t="str">
        <x:v>No</x:v>
      </x:c>
      <x:c r="I355" s="37" t="str">
        <x:v>Keep prompt</x:v>
      </x:c>
      <x:c r="J355" s="37" t="str">
        <x:v>No prompt change required under the missing-cell design.</x:v>
      </x:c>
      <x:c r="K355" s="37" t="str">
        <x:v>blue block, green pen, pink marker</x:v>
      </x:c>
      <x:c r="L355" s="37" t="str">
        <x:v>blue block</x:v>
      </x:c>
      <x:c r="M355" s="37" t="str">
        <x:v>Recovery</x:v>
      </x:c>
      <x:c r="N355" s="37" t="str">
        <x:v>Move the blue block to the front of the green pen.</x:v>
      </x:c>
      <x:c r="O355" s="37" t="str"/>
      <x:c r="P355" s="37" t="str">
        <x:v>Directional concepts are explicitly grounded on other ordered object pairs.</x:v>
      </x:c>
      <x:c r="Q355" s="38"/>
    </x:row>
    <x:row r="356" ht="60" customHeight="1">
      <x:c r="A356" s="70" t="n">
        <x:v>354</x:v>
      </x:c>
      <x:c r="B356" s="37" t="str">
        <x:v>Relational Placement</x:v>
      </x:c>
      <x:c r="C356" s="37" t="str">
        <x:v>Place the blue block in front of the red block.</x:v>
      </x:c>
      <x:c r="D356" s="37" t="str">
        <x:v>Explicit spatial-relation grounding</x:v>
      </x:c>
      <x:c r="E356" s="37" t="str">
        <x:v>left / right / front / behind with other ordered object pairs</x:v>
      </x:c>
      <x:c r="F356" s="37" t="str">
        <x:v>relational_direction_explicit_other_pair</x:v>
      </x:c>
      <x:c r="G356" s="37" t="str">
        <x:v>direction × ordered green-pen/red-block target/reference role</x:v>
      </x:c>
      <x:c r="H356" s="37" t="str">
        <x:v>No</x:v>
      </x:c>
      <x:c r="I356" s="37" t="str">
        <x:v>Keep prompt</x:v>
      </x:c>
      <x:c r="J356" s="37" t="str">
        <x:v>No prompt change required under the missing-cell design.</x:v>
      </x:c>
      <x:c r="K356" s="37" t="str">
        <x:v>blue block, red block</x:v>
      </x:c>
      <x:c r="L356" s="37" t="str">
        <x:v>blue block</x:v>
      </x:c>
      <x:c r="M356" s="37" t="str">
        <x:v>Home</x:v>
      </x:c>
      <x:c r="N356" s="37" t="str">
        <x:v>Place the blue block in front of the red block.</x:v>
      </x:c>
      <x:c r="O356" s="37" t="str"/>
      <x:c r="P356" s="37" t="str">
        <x:v>Directional concepts are explicitly grounded on other ordered object pairs.</x:v>
      </x:c>
      <x:c r="Q356" s="38"/>
    </x:row>
    <x:row r="357" ht="60" customHeight="1">
      <x:c r="A357" s="70" t="n">
        <x:v>355</x:v>
      </x:c>
      <x:c r="B357" s="37" t="str">
        <x:v>Relational Placement</x:v>
      </x:c>
      <x:c r="C357" s="37" t="str">
        <x:v>Put the blue block on the table in front of the red block.</x:v>
      </x:c>
      <x:c r="D357" s="37" t="str">
        <x:v>Explicit spatial-relation grounding</x:v>
      </x:c>
      <x:c r="E357" s="37" t="str">
        <x:v>left / right / front / behind with other ordered object pairs</x:v>
      </x:c>
      <x:c r="F357" s="37" t="str">
        <x:v>relational_direction_explicit_other_pair</x:v>
      </x:c>
      <x:c r="G357" s="37" t="str">
        <x:v>direction × ordered green-pen/red-block target/reference role</x:v>
      </x:c>
      <x:c r="H357" s="37" t="str">
        <x:v>No</x:v>
      </x:c>
      <x:c r="I357" s="37" t="str">
        <x:v>Keep prompt</x:v>
      </x:c>
      <x:c r="J357" s="37" t="str">
        <x:v>No prompt change required under the missing-cell design.</x:v>
      </x:c>
      <x:c r="K357" s="37" t="str">
        <x:v>blue block, red block, green pen</x:v>
      </x:c>
      <x:c r="L357" s="37" t="str">
        <x:v>blue block</x:v>
      </x:c>
      <x:c r="M357" s="37" t="str">
        <x:v>Home</x:v>
      </x:c>
      <x:c r="N357" s="37" t="str">
        <x:v>Put the blue block on the table in front of the red block.</x:v>
      </x:c>
      <x:c r="O357" s="37" t="str"/>
      <x:c r="P357" s="37" t="str">
        <x:v>Directional concepts are explicitly grounded on other ordered object pairs.</x:v>
      </x:c>
      <x:c r="Q357" s="38"/>
    </x:row>
    <x:row r="358" ht="60" customHeight="1">
      <x:c r="A358" s="70" t="n">
        <x:v>356</x:v>
      </x:c>
      <x:c r="B358" s="37" t="str">
        <x:v>Relational Placement</x:v>
      </x:c>
      <x:c r="C358" s="37" t="str">
        <x:v>Place the blue block in front of the red block.</x:v>
      </x:c>
      <x:c r="D358" s="37" t="str">
        <x:v>Explicit spatial-relation grounding</x:v>
      </x:c>
      <x:c r="E358" s="37" t="str">
        <x:v>left / right / front / behind with other ordered object pairs</x:v>
      </x:c>
      <x:c r="F358" s="37" t="str">
        <x:v>relational_direction_explicit_other_pair</x:v>
      </x:c>
      <x:c r="G358" s="37" t="str">
        <x:v>direction × ordered green-pen/red-block target/reference role</x:v>
      </x:c>
      <x:c r="H358" s="37" t="str">
        <x:v>No</x:v>
      </x:c>
      <x:c r="I358" s="37" t="str">
        <x:v>Keep prompt</x:v>
      </x:c>
      <x:c r="J358" s="37" t="str">
        <x:v>No prompt change required under the missing-cell design.</x:v>
      </x:c>
      <x:c r="K358" s="37" t="str">
        <x:v>green pen, red block, pink marker, blue block</x:v>
      </x:c>
      <x:c r="L358" s="37" t="str">
        <x:v>blue block</x:v>
      </x:c>
      <x:c r="M358" s="37" t="str">
        <x:v>Home</x:v>
      </x:c>
      <x:c r="N358" s="37" t="str">
        <x:v>Place the blue block in front of the red block.</x:v>
      </x:c>
      <x:c r="O358" s="37" t="str"/>
      <x:c r="P358" s="37" t="str">
        <x:v>Directional concepts are explicitly grounded on other ordered object pairs.</x:v>
      </x:c>
      <x:c r="Q358" s="38"/>
    </x:row>
    <x:row r="359" ht="60" customHeight="1">
      <x:c r="A359" s="70" t="n">
        <x:v>357</x:v>
      </x:c>
      <x:c r="B359" s="37" t="str">
        <x:v>Relational Placement</x:v>
      </x:c>
      <x:c r="C359" s="37" t="str">
        <x:v>Move the blue block to the front of the red block.</x:v>
      </x:c>
      <x:c r="D359" s="37" t="str">
        <x:v>Explicit spatial-relation grounding</x:v>
      </x:c>
      <x:c r="E359" s="37" t="str">
        <x:v>left / right / front / behind with other ordered object pairs</x:v>
      </x:c>
      <x:c r="F359" s="37" t="str">
        <x:v>relational_direction_explicit_other_pair</x:v>
      </x:c>
      <x:c r="G359" s="37" t="str">
        <x:v>direction × ordered green-pen/red-block target/reference role</x:v>
      </x:c>
      <x:c r="H359" s="37" t="str">
        <x:v>No</x:v>
      </x:c>
      <x:c r="I359" s="37" t="str">
        <x:v>Keep prompt</x:v>
      </x:c>
      <x:c r="J359" s="37" t="str">
        <x:v>No prompt change required under the missing-cell design.</x:v>
      </x:c>
      <x:c r="K359" s="37" t="str">
        <x:v>blue block, red block, pink marker</x:v>
      </x:c>
      <x:c r="L359" s="37" t="str">
        <x:v>blue block</x:v>
      </x:c>
      <x:c r="M359" s="37" t="str">
        <x:v>Recovery</x:v>
      </x:c>
      <x:c r="N359" s="37" t="str">
        <x:v>Move the blue block to the front of the red block.</x:v>
      </x:c>
      <x:c r="O359" s="37" t="str"/>
      <x:c r="P359" s="37" t="str">
        <x:v>Directional concepts are explicitly grounded on other ordered object pairs.</x:v>
      </x:c>
      <x:c r="Q359" s="38"/>
    </x:row>
    <x:row r="360" ht="60" customHeight="1">
      <x:c r="A360" s="70" t="n">
        <x:v>358</x:v>
      </x:c>
      <x:c r="B360" s="37" t="str">
        <x:v>Relational Placement</x:v>
      </x:c>
      <x:c r="C360" s="37" t="str">
        <x:v>Put the blue block on the table in front of the pink marker.</x:v>
      </x:c>
      <x:c r="D360" s="37" t="str">
        <x:v>Explicit spatial-relation grounding</x:v>
      </x:c>
      <x:c r="E360" s="37" t="str">
        <x:v>left / right / front / behind with other ordered object pairs</x:v>
      </x:c>
      <x:c r="F360" s="37" t="str">
        <x:v>relational_direction_explicit_other_pair</x:v>
      </x:c>
      <x:c r="G360" s="37" t="str">
        <x:v>direction × ordered green-pen/red-block target/reference role</x:v>
      </x:c>
      <x:c r="H360" s="37" t="str">
        <x:v>No</x:v>
      </x:c>
      <x:c r="I360" s="37" t="str">
        <x:v>Keep prompt</x:v>
      </x:c>
      <x:c r="J360" s="37" t="str">
        <x:v>No prompt change required under the missing-cell design.</x:v>
      </x:c>
      <x:c r="K360" s="37" t="str">
        <x:v>blue block, pink marker</x:v>
      </x:c>
      <x:c r="L360" s="37" t="str">
        <x:v>blue block</x:v>
      </x:c>
      <x:c r="M360" s="37" t="str">
        <x:v>Home</x:v>
      </x:c>
      <x:c r="N360" s="37" t="str">
        <x:v>Put the blue block on the table in front of the pink marker.</x:v>
      </x:c>
      <x:c r="O360" s="37" t="str"/>
      <x:c r="P360" s="37" t="str">
        <x:v>Directional concepts are explicitly grounded on other ordered object pairs.</x:v>
      </x:c>
      <x:c r="Q360" s="38"/>
    </x:row>
    <x:row r="361" ht="60" customHeight="1">
      <x:c r="A361" s="70" t="n">
        <x:v>359</x:v>
      </x:c>
      <x:c r="B361" s="37" t="str">
        <x:v>Relational Placement</x:v>
      </x:c>
      <x:c r="C361" s="37" t="str">
        <x:v>Place the blue block in front of the pink marker.</x:v>
      </x:c>
      <x:c r="D361" s="37" t="str">
        <x:v>Explicit spatial-relation grounding</x:v>
      </x:c>
      <x:c r="E361" s="37" t="str">
        <x:v>left / right / front / behind with other ordered object pairs</x:v>
      </x:c>
      <x:c r="F361" s="37" t="str">
        <x:v>relational_direction_explicit_other_pair</x:v>
      </x:c>
      <x:c r="G361" s="37" t="str">
        <x:v>direction × ordered green-pen/red-block target/reference role</x:v>
      </x:c>
      <x:c r="H361" s="37" t="str">
        <x:v>No</x:v>
      </x:c>
      <x:c r="I361" s="37" t="str">
        <x:v>Keep prompt</x:v>
      </x:c>
      <x:c r="J361" s="37" t="str">
        <x:v>No prompt change required under the missing-cell design.</x:v>
      </x:c>
      <x:c r="K361" s="37" t="str">
        <x:v>blue block, pink marker, green pen</x:v>
      </x:c>
      <x:c r="L361" s="37" t="str">
        <x:v>blue block</x:v>
      </x:c>
      <x:c r="M361" s="37" t="str">
        <x:v>Home</x:v>
      </x:c>
      <x:c r="N361" s="37" t="str">
        <x:v>Place the blue block in front of the pink marker.</x:v>
      </x:c>
      <x:c r="O361" s="37" t="str"/>
      <x:c r="P361" s="37" t="str">
        <x:v>Directional concepts are explicitly grounded on other ordered object pairs.</x:v>
      </x:c>
      <x:c r="Q361" s="38"/>
    </x:row>
    <x:row r="362" ht="60" customHeight="1">
      <x:c r="A362" s="70" t="n">
        <x:v>360</x:v>
      </x:c>
      <x:c r="B362" s="37" t="str">
        <x:v>Relational Placement</x:v>
      </x:c>
      <x:c r="C362" s="37" t="str">
        <x:v>Put the blue block on the table in front of the pink marker.</x:v>
      </x:c>
      <x:c r="D362" s="37" t="str">
        <x:v>Explicit spatial-relation grounding</x:v>
      </x:c>
      <x:c r="E362" s="37" t="str">
        <x:v>left / right / front / behind with other ordered object pairs</x:v>
      </x:c>
      <x:c r="F362" s="37" t="str">
        <x:v>relational_direction_explicit_other_pair</x:v>
      </x:c>
      <x:c r="G362" s="37" t="str">
        <x:v>direction × ordered green-pen/red-block target/reference role</x:v>
      </x:c>
      <x:c r="H362" s="37" t="str">
        <x:v>No</x:v>
      </x:c>
      <x:c r="I362" s="37" t="str">
        <x:v>Keep prompt</x:v>
      </x:c>
      <x:c r="J362" s="37" t="str">
        <x:v>No prompt change required under the missing-cell design.</x:v>
      </x:c>
      <x:c r="K362" s="37" t="str">
        <x:v>green pen, red block, pink marker, blue block</x:v>
      </x:c>
      <x:c r="L362" s="37" t="str">
        <x:v>blue block</x:v>
      </x:c>
      <x:c r="M362" s="37" t="str">
        <x:v>Home</x:v>
      </x:c>
      <x:c r="N362" s="37" t="str">
        <x:v>Put the blue block on the table in front of the pink marker.</x:v>
      </x:c>
      <x:c r="O362" s="37" t="str"/>
      <x:c r="P362" s="37" t="str">
        <x:v>Directional concepts are explicitly grounded on other ordered object pairs.</x:v>
      </x:c>
      <x:c r="Q362" s="38"/>
    </x:row>
    <x:row r="363" ht="60" customHeight="1">
      <x:c r="A363" s="70" t="n">
        <x:v>361</x:v>
      </x:c>
      <x:c r="B363" s="37" t="str">
        <x:v>Relational Placement</x:v>
      </x:c>
      <x:c r="C363" s="37" t="str">
        <x:v>Move the blue block to the front of the pink marker.</x:v>
      </x:c>
      <x:c r="D363" s="37" t="str">
        <x:v>Explicit spatial-relation grounding</x:v>
      </x:c>
      <x:c r="E363" s="37" t="str">
        <x:v>left / right / front / behind with other ordered object pairs</x:v>
      </x:c>
      <x:c r="F363" s="37" t="str">
        <x:v>relational_direction_explicit_other_pair</x:v>
      </x:c>
      <x:c r="G363" s="37" t="str">
        <x:v>direction × ordered green-pen/red-block target/reference role</x:v>
      </x:c>
      <x:c r="H363" s="37" t="str">
        <x:v>No</x:v>
      </x:c>
      <x:c r="I363" s="37" t="str">
        <x:v>Keep prompt</x:v>
      </x:c>
      <x:c r="J363" s="37" t="str">
        <x:v>No prompt change required under the missing-cell design.</x:v>
      </x:c>
      <x:c r="K363" s="37" t="str">
        <x:v>blue block, pink marker, red block</x:v>
      </x:c>
      <x:c r="L363" s="37" t="str">
        <x:v>blue block</x:v>
      </x:c>
      <x:c r="M363" s="37" t="str">
        <x:v>Home</x:v>
      </x:c>
      <x:c r="N363" s="37" t="str">
        <x:v>Move the blue block to the front of the pink marker.</x:v>
      </x:c>
      <x:c r="O363" s="37" t="str"/>
      <x:c r="P363" s="37" t="str">
        <x:v>Directional concepts are explicitly grounded on other ordered object pairs.</x:v>
      </x:c>
      <x:c r="Q363" s="38"/>
    </x:row>
    <x:row r="364" ht="60" customHeight="1">
      <x:c r="A364" s="70" t="n">
        <x:v>362</x:v>
      </x:c>
      <x:c r="B364" s="37" t="str">
        <x:v>Relational Placement</x:v>
      </x:c>
      <x:c r="C364" s="37" t="str">
        <x:v>Put the blue block on the table behind the green pen.</x:v>
      </x:c>
      <x:c r="D364" s="37" t="str">
        <x:v>Explicit spatial-relation grounding</x:v>
      </x:c>
      <x:c r="E364" s="37" t="str">
        <x:v>left / right / front / behind with other ordered object pairs</x:v>
      </x:c>
      <x:c r="F364" s="37" t="str">
        <x:v>relational_direction_explicit_other_pair</x:v>
      </x:c>
      <x:c r="G364" s="37" t="str">
        <x:v>direction × ordered green-pen/red-block target/reference role</x:v>
      </x:c>
      <x:c r="H364" s="37" t="str">
        <x:v>No</x:v>
      </x:c>
      <x:c r="I364" s="37" t="str">
        <x:v>Keep prompt</x:v>
      </x:c>
      <x:c r="J364" s="37" t="str">
        <x:v>No prompt change required under the missing-cell design.</x:v>
      </x:c>
      <x:c r="K364" s="37" t="str">
        <x:v>blue block, green pen</x:v>
      </x:c>
      <x:c r="L364" s="37" t="str">
        <x:v>blue block</x:v>
      </x:c>
      <x:c r="M364" s="37" t="str">
        <x:v>Home</x:v>
      </x:c>
      <x:c r="N364" s="37" t="str">
        <x:v>Put the blue block on the table behind the green pen.</x:v>
      </x:c>
      <x:c r="O364" s="37" t="str"/>
      <x:c r="P364" s="37" t="str">
        <x:v>Directional concepts are explicitly grounded on other ordered object pairs.</x:v>
      </x:c>
      <x:c r="Q364" s="38"/>
    </x:row>
    <x:row r="365" ht="60" customHeight="1">
      <x:c r="A365" s="70" t="n">
        <x:v>363</x:v>
      </x:c>
      <x:c r="B365" s="37" t="str">
        <x:v>Relational Placement</x:v>
      </x:c>
      <x:c r="C365" s="37" t="str">
        <x:v>Place the blue block behind the green pen.</x:v>
      </x:c>
      <x:c r="D365" s="37" t="str">
        <x:v>Explicit spatial-relation grounding</x:v>
      </x:c>
      <x:c r="E365" s="37" t="str">
        <x:v>left / right / front / behind with other ordered object pairs</x:v>
      </x:c>
      <x:c r="F365" s="37" t="str">
        <x:v>relational_direction_explicit_other_pair</x:v>
      </x:c>
      <x:c r="G365" s="37" t="str">
        <x:v>direction × ordered green-pen/red-block target/reference role</x:v>
      </x:c>
      <x:c r="H365" s="37" t="str">
        <x:v>No</x:v>
      </x:c>
      <x:c r="I365" s="37" t="str">
        <x:v>Keep prompt</x:v>
      </x:c>
      <x:c r="J365" s="37" t="str">
        <x:v>No prompt change required under the missing-cell design.</x:v>
      </x:c>
      <x:c r="K365" s="37" t="str">
        <x:v>blue block, green pen, red block</x:v>
      </x:c>
      <x:c r="L365" s="37" t="str">
        <x:v>blue block</x:v>
      </x:c>
      <x:c r="M365" s="37" t="str">
        <x:v>Home</x:v>
      </x:c>
      <x:c r="N365" s="37" t="str">
        <x:v>Place the blue block behind the green pen.</x:v>
      </x:c>
      <x:c r="O365" s="37" t="str"/>
      <x:c r="P365" s="37" t="str">
        <x:v>Directional concepts are explicitly grounded on other ordered object pairs.</x:v>
      </x:c>
      <x:c r="Q365" s="38"/>
    </x:row>
    <x:row r="366" ht="60" customHeight="1">
      <x:c r="A366" s="70" t="n">
        <x:v>364</x:v>
      </x:c>
      <x:c r="B366" s="37" t="str">
        <x:v>Relational Placement</x:v>
      </x:c>
      <x:c r="C366" s="37" t="str">
        <x:v>Place the blue block behind the green pen.</x:v>
      </x:c>
      <x:c r="D366" s="37" t="str">
        <x:v>Explicit spatial-relation grounding</x:v>
      </x:c>
      <x:c r="E366" s="37" t="str">
        <x:v>left / right / front / behind with other ordered object pairs</x:v>
      </x:c>
      <x:c r="F366" s="37" t="str">
        <x:v>relational_direction_explicit_other_pair</x:v>
      </x:c>
      <x:c r="G366" s="37" t="str">
        <x:v>direction × ordered green-pen/red-block target/reference role</x:v>
      </x:c>
      <x:c r="H366" s="37" t="str">
        <x:v>No</x:v>
      </x:c>
      <x:c r="I366" s="37" t="str">
        <x:v>Keep prompt</x:v>
      </x:c>
      <x:c r="J366" s="37" t="str">
        <x:v>No prompt change required under the missing-cell design.</x:v>
      </x:c>
      <x:c r="K366" s="37" t="str">
        <x:v>green pen, red block, pink marker, blue block</x:v>
      </x:c>
      <x:c r="L366" s="37" t="str">
        <x:v>blue block</x:v>
      </x:c>
      <x:c r="M366" s="37" t="str">
        <x:v>Home</x:v>
      </x:c>
      <x:c r="N366" s="37" t="str">
        <x:v>Place the blue block behind the green pen.</x:v>
      </x:c>
      <x:c r="O366" s="37" t="str"/>
      <x:c r="P366" s="37" t="str">
        <x:v>Directional concepts are explicitly grounded on other ordered object pairs.</x:v>
      </x:c>
      <x:c r="Q366" s="38"/>
    </x:row>
    <x:row r="367" ht="60" customHeight="1">
      <x:c r="A367" s="70" t="n">
        <x:v>365</x:v>
      </x:c>
      <x:c r="B367" s="37" t="str">
        <x:v>Relational Placement</x:v>
      </x:c>
      <x:c r="C367" s="37" t="str">
        <x:v>Put the blue block on the table behind the green pen.</x:v>
      </x:c>
      <x:c r="D367" s="37" t="str">
        <x:v>Explicit spatial-relation grounding</x:v>
      </x:c>
      <x:c r="E367" s="37" t="str">
        <x:v>left / right / front / behind with other ordered object pairs</x:v>
      </x:c>
      <x:c r="F367" s="37" t="str">
        <x:v>relational_direction_explicit_other_pair</x:v>
      </x:c>
      <x:c r="G367" s="37" t="str">
        <x:v>direction × ordered green-pen/red-block target/reference role</x:v>
      </x:c>
      <x:c r="H367" s="37" t="str">
        <x:v>No</x:v>
      </x:c>
      <x:c r="I367" s="37" t="str">
        <x:v>Keep prompt</x:v>
      </x:c>
      <x:c r="J367" s="37" t="str">
        <x:v>No prompt change required under the missing-cell design.</x:v>
      </x:c>
      <x:c r="K367" s="37" t="str">
        <x:v>blue block, green pen, pink marker</x:v>
      </x:c>
      <x:c r="L367" s="37" t="str">
        <x:v>blue block</x:v>
      </x:c>
      <x:c r="M367" s="37" t="str">
        <x:v>Recovery</x:v>
      </x:c>
      <x:c r="N367" s="37" t="str">
        <x:v>Put the blue block on the table behind the green pen.</x:v>
      </x:c>
      <x:c r="O367" s="37" t="str"/>
      <x:c r="P367" s="37" t="str">
        <x:v>Directional concepts are explicitly grounded on other ordered object pairs.</x:v>
      </x:c>
      <x:c r="Q367" s="38"/>
    </x:row>
    <x:row r="368" ht="60" customHeight="1">
      <x:c r="A368" s="70" t="n">
        <x:v>366</x:v>
      </x:c>
      <x:c r="B368" s="37" t="str">
        <x:v>Relational Placement</x:v>
      </x:c>
      <x:c r="C368" s="37" t="str">
        <x:v>Move the blue block to the back of the green pen.</x:v>
      </x:c>
      <x:c r="D368" s="37" t="str">
        <x:v>Explicit spatial-relation grounding</x:v>
      </x:c>
      <x:c r="E368" s="37" t="str">
        <x:v>left / right / front / behind with other ordered object pairs</x:v>
      </x:c>
      <x:c r="F368" s="37" t="str">
        <x:v>relational_direction_explicit_other_pair</x:v>
      </x:c>
      <x:c r="G368" s="37" t="str">
        <x:v>direction × ordered green-pen/red-block target/reference role</x:v>
      </x:c>
      <x:c r="H368" s="37" t="str">
        <x:v>No</x:v>
      </x:c>
      <x:c r="I368" s="37" t="str">
        <x:v>Keep prompt</x:v>
      </x:c>
      <x:c r="J368" s="37" t="str">
        <x:v>No prompt change required under the missing-cell design.</x:v>
      </x:c>
      <x:c r="K368" s="37" t="str">
        <x:v>green pen, red block, pink marker, blue block</x:v>
      </x:c>
      <x:c r="L368" s="37" t="str">
        <x:v>blue block</x:v>
      </x:c>
      <x:c r="M368" s="37" t="str">
        <x:v>Home</x:v>
      </x:c>
      <x:c r="N368" s="37" t="str">
        <x:v>Move the blue block to the back of the green pen.</x:v>
      </x:c>
      <x:c r="O368" s="37" t="str"/>
      <x:c r="P368" s="37" t="str">
        <x:v>Directional concepts are explicitly grounded on other ordered object pairs.</x:v>
      </x:c>
      <x:c r="Q368" s="38"/>
    </x:row>
    <x:row r="369" ht="60" customHeight="1">
      <x:c r="A369" s="70" t="n">
        <x:v>367</x:v>
      </x:c>
      <x:c r="B369" s="37" t="str">
        <x:v>Relational Placement</x:v>
      </x:c>
      <x:c r="C369" s="37" t="str">
        <x:v>Place the blue block behind the red block.</x:v>
      </x:c>
      <x:c r="D369" s="37" t="str">
        <x:v>Explicit spatial-relation grounding</x:v>
      </x:c>
      <x:c r="E369" s="37" t="str">
        <x:v>left / right / front / behind with other ordered object pairs</x:v>
      </x:c>
      <x:c r="F369" s="37" t="str">
        <x:v>relational_direction_explicit_other_pair</x:v>
      </x:c>
      <x:c r="G369" s="37" t="str">
        <x:v>direction × ordered green-pen/red-block target/reference role</x:v>
      </x:c>
      <x:c r="H369" s="37" t="str">
        <x:v>No</x:v>
      </x:c>
      <x:c r="I369" s="37" t="str">
        <x:v>Keep prompt</x:v>
      </x:c>
      <x:c r="J369" s="37" t="str">
        <x:v>No prompt change required under the missing-cell design.</x:v>
      </x:c>
      <x:c r="K369" s="37" t="str">
        <x:v>blue block, red block</x:v>
      </x:c>
      <x:c r="L369" s="37" t="str">
        <x:v>blue block</x:v>
      </x:c>
      <x:c r="M369" s="37" t="str">
        <x:v>Home</x:v>
      </x:c>
      <x:c r="N369" s="37" t="str">
        <x:v>Place the blue block behind the red block.</x:v>
      </x:c>
      <x:c r="O369" s="37" t="str"/>
      <x:c r="P369" s="37" t="str">
        <x:v>Directional concepts are explicitly grounded on other ordered object pairs.</x:v>
      </x:c>
      <x:c r="Q369" s="38"/>
    </x:row>
    <x:row r="370" ht="60" customHeight="1">
      <x:c r="A370" s="70" t="n">
        <x:v>368</x:v>
      </x:c>
      <x:c r="B370" s="37" t="str">
        <x:v>Relational Placement</x:v>
      </x:c>
      <x:c r="C370" s="37" t="str">
        <x:v>Place the blue block behind the red block.</x:v>
      </x:c>
      <x:c r="D370" s="37" t="str">
        <x:v>Explicit spatial-relation grounding</x:v>
      </x:c>
      <x:c r="E370" s="37" t="str">
        <x:v>left / right / front / behind with other ordered object pairs</x:v>
      </x:c>
      <x:c r="F370" s="37" t="str">
        <x:v>relational_direction_explicit_other_pair</x:v>
      </x:c>
      <x:c r="G370" s="37" t="str">
        <x:v>direction × ordered green-pen/red-block target/reference role</x:v>
      </x:c>
      <x:c r="H370" s="37" t="str">
        <x:v>No</x:v>
      </x:c>
      <x:c r="I370" s="37" t="str">
        <x:v>Keep prompt</x:v>
      </x:c>
      <x:c r="J370" s="37" t="str">
        <x:v>No prompt change required under the missing-cell design.</x:v>
      </x:c>
      <x:c r="K370" s="37" t="str">
        <x:v>blue block, red block, green pen</x:v>
      </x:c>
      <x:c r="L370" s="37" t="str">
        <x:v>blue block</x:v>
      </x:c>
      <x:c r="M370" s="37" t="str">
        <x:v>Home</x:v>
      </x:c>
      <x:c r="N370" s="37" t="str">
        <x:v>Place the blue block behind the red block.</x:v>
      </x:c>
      <x:c r="O370" s="37" t="str"/>
      <x:c r="P370" s="37" t="str">
        <x:v>Directional concepts are explicitly grounded on other ordered object pairs.</x:v>
      </x:c>
      <x:c r="Q370" s="38"/>
    </x:row>
    <x:row r="371" ht="60" customHeight="1">
      <x:c r="A371" s="70" t="n">
        <x:v>369</x:v>
      </x:c>
      <x:c r="B371" s="37" t="str">
        <x:v>Relational Placement</x:v>
      </x:c>
      <x:c r="C371" s="37" t="str">
        <x:v>Put the blue block on the table behind the red block.</x:v>
      </x:c>
      <x:c r="D371" s="37" t="str">
        <x:v>Explicit spatial-relation grounding</x:v>
      </x:c>
      <x:c r="E371" s="37" t="str">
        <x:v>left / right / front / behind with other ordered object pairs</x:v>
      </x:c>
      <x:c r="F371" s="37" t="str">
        <x:v>relational_direction_explicit_other_pair</x:v>
      </x:c>
      <x:c r="G371" s="37" t="str">
        <x:v>direction × ordered green-pen/red-block target/reference role</x:v>
      </x:c>
      <x:c r="H371" s="37" t="str">
        <x:v>No</x:v>
      </x:c>
      <x:c r="I371" s="37" t="str">
        <x:v>Keep prompt</x:v>
      </x:c>
      <x:c r="J371" s="37" t="str">
        <x:v>No prompt change required under the missing-cell design.</x:v>
      </x:c>
      <x:c r="K371" s="37" t="str">
        <x:v>green pen, red block, pink marker, blue block</x:v>
      </x:c>
      <x:c r="L371" s="37" t="str">
        <x:v>blue block</x:v>
      </x:c>
      <x:c r="M371" s="37" t="str">
        <x:v>Home</x:v>
      </x:c>
      <x:c r="N371" s="37" t="str">
        <x:v>Put the blue block on the table behind the red block.</x:v>
      </x:c>
      <x:c r="O371" s="37" t="str"/>
      <x:c r="P371" s="37" t="str">
        <x:v>Directional concepts are explicitly grounded on other ordered object pairs.</x:v>
      </x:c>
      <x:c r="Q371" s="38"/>
    </x:row>
    <x:row r="372" ht="60" customHeight="1">
      <x:c r="A372" s="70" t="n">
        <x:v>370</x:v>
      </x:c>
      <x:c r="B372" s="37" t="str">
        <x:v>Relational Placement</x:v>
      </x:c>
      <x:c r="C372" s="37" t="str">
        <x:v>Place the blue block behind the red block.</x:v>
      </x:c>
      <x:c r="D372" s="37" t="str">
        <x:v>Explicit spatial-relation grounding</x:v>
      </x:c>
      <x:c r="E372" s="37" t="str">
        <x:v>left / right / front / behind with other ordered object pairs</x:v>
      </x:c>
      <x:c r="F372" s="37" t="str">
        <x:v>relational_direction_explicit_other_pair</x:v>
      </x:c>
      <x:c r="G372" s="37" t="str">
        <x:v>direction × ordered green-pen/red-block target/reference role</x:v>
      </x:c>
      <x:c r="H372" s="37" t="str">
        <x:v>No</x:v>
      </x:c>
      <x:c r="I372" s="37" t="str">
        <x:v>Keep prompt</x:v>
      </x:c>
      <x:c r="J372" s="37" t="str">
        <x:v>No prompt change required under the missing-cell design.</x:v>
      </x:c>
      <x:c r="K372" s="37" t="str">
        <x:v>blue block, red block, pink marker</x:v>
      </x:c>
      <x:c r="L372" s="37" t="str">
        <x:v>blue block</x:v>
      </x:c>
      <x:c r="M372" s="37" t="str">
        <x:v>Recovery</x:v>
      </x:c>
      <x:c r="N372" s="37" t="str">
        <x:v>Place the blue block behind the red block.</x:v>
      </x:c>
      <x:c r="O372" s="37" t="str"/>
      <x:c r="P372" s="37" t="str">
        <x:v>Directional concepts are explicitly grounded on other ordered object pairs.</x:v>
      </x:c>
      <x:c r="Q372" s="38"/>
    </x:row>
    <x:row r="373" ht="60" customHeight="1">
      <x:c r="A373" s="70" t="n">
        <x:v>371</x:v>
      </x:c>
      <x:c r="B373" s="37" t="str">
        <x:v>Relational Placement</x:v>
      </x:c>
      <x:c r="C373" s="37" t="str">
        <x:v>Move the blue block to the back of the pink marker.</x:v>
      </x:c>
      <x:c r="D373" s="37" t="str">
        <x:v>Explicit spatial-relation grounding</x:v>
      </x:c>
      <x:c r="E373" s="37" t="str">
        <x:v>left / right / front / behind with other ordered object pairs</x:v>
      </x:c>
      <x:c r="F373" s="37" t="str">
        <x:v>relational_direction_explicit_other_pair</x:v>
      </x:c>
      <x:c r="G373" s="37" t="str">
        <x:v>direction × ordered green-pen/red-block target/reference role</x:v>
      </x:c>
      <x:c r="H373" s="37" t="str">
        <x:v>No</x:v>
      </x:c>
      <x:c r="I373" s="37" t="str">
        <x:v>Keep prompt</x:v>
      </x:c>
      <x:c r="J373" s="37" t="str">
        <x:v>No prompt change required under the missing-cell design.</x:v>
      </x:c>
      <x:c r="K373" s="37" t="str">
        <x:v>blue block, pink marker</x:v>
      </x:c>
      <x:c r="L373" s="37" t="str">
        <x:v>blue block</x:v>
      </x:c>
      <x:c r="M373" s="37" t="str">
        <x:v>Home</x:v>
      </x:c>
      <x:c r="N373" s="37" t="str">
        <x:v>Move the blue block to the back of the pink marker.</x:v>
      </x:c>
      <x:c r="O373" s="37" t="str"/>
      <x:c r="P373" s="37" t="str">
        <x:v>Directional concepts are explicitly grounded on other ordered object pairs.</x:v>
      </x:c>
      <x:c r="Q373" s="38"/>
    </x:row>
    <x:row r="374" ht="60" customHeight="1">
      <x:c r="A374" s="70" t="n">
        <x:v>372</x:v>
      </x:c>
      <x:c r="B374" s="37" t="str">
        <x:v>Relational Placement</x:v>
      </x:c>
      <x:c r="C374" s="37" t="str">
        <x:v>Put the blue block on the table behind the pink marker.</x:v>
      </x:c>
      <x:c r="D374" s="37" t="str">
        <x:v>Explicit spatial-relation grounding</x:v>
      </x:c>
      <x:c r="E374" s="37" t="str">
        <x:v>left / right / front / behind with other ordered object pairs</x:v>
      </x:c>
      <x:c r="F374" s="37" t="str">
        <x:v>relational_direction_explicit_other_pair</x:v>
      </x:c>
      <x:c r="G374" s="37" t="str">
        <x:v>direction × ordered green-pen/red-block target/reference role</x:v>
      </x:c>
      <x:c r="H374" s="37" t="str">
        <x:v>No</x:v>
      </x:c>
      <x:c r="I374" s="37" t="str">
        <x:v>Keep prompt</x:v>
      </x:c>
      <x:c r="J374" s="37" t="str">
        <x:v>No prompt change required under the missing-cell design.</x:v>
      </x:c>
      <x:c r="K374" s="37" t="str">
        <x:v>blue block, pink marker, red block</x:v>
      </x:c>
      <x:c r="L374" s="37" t="str">
        <x:v>blue block</x:v>
      </x:c>
      <x:c r="M374" s="37" t="str">
        <x:v>Home</x:v>
      </x:c>
      <x:c r="N374" s="37" t="str">
        <x:v>Put the blue block on the table behind the pink marker.</x:v>
      </x:c>
      <x:c r="O374" s="37" t="str"/>
      <x:c r="P374" s="37" t="str">
        <x:v>Directional concepts are explicitly grounded on other ordered object pairs.</x:v>
      </x:c>
      <x:c r="Q374" s="38"/>
    </x:row>
    <x:row r="375" ht="60" customHeight="1">
      <x:c r="A375" s="70" t="n">
        <x:v>373</x:v>
      </x:c>
      <x:c r="B375" s="37" t="str">
        <x:v>Relational Placement</x:v>
      </x:c>
      <x:c r="C375" s="37" t="str">
        <x:v>Move the blue block to the back of the pink marker.</x:v>
      </x:c>
      <x:c r="D375" s="37" t="str">
        <x:v>Explicit spatial-relation grounding</x:v>
      </x:c>
      <x:c r="E375" s="37" t="str">
        <x:v>left / right / front / behind with other ordered object pairs</x:v>
      </x:c>
      <x:c r="F375" s="37" t="str">
        <x:v>relational_direction_explicit_other_pair</x:v>
      </x:c>
      <x:c r="G375" s="37" t="str">
        <x:v>direction × ordered green-pen/red-block target/reference role</x:v>
      </x:c>
      <x:c r="H375" s="37" t="str">
        <x:v>No</x:v>
      </x:c>
      <x:c r="I375" s="37" t="str">
        <x:v>Keep prompt</x:v>
      </x:c>
      <x:c r="J375" s="37" t="str">
        <x:v>No prompt change required under the missing-cell design.</x:v>
      </x:c>
      <x:c r="K375" s="37" t="str">
        <x:v>green pen, red block, pink marker, blue block</x:v>
      </x:c>
      <x:c r="L375" s="37" t="str">
        <x:v>blue block</x:v>
      </x:c>
      <x:c r="M375" s="37" t="str">
        <x:v>Home</x:v>
      </x:c>
      <x:c r="N375" s="37" t="str">
        <x:v>Move the blue block to the back of the pink marker.</x:v>
      </x:c>
      <x:c r="O375" s="37" t="str"/>
      <x:c r="P375" s="37" t="str">
        <x:v>Directional concepts are explicitly grounded on other ordered object pairs.</x:v>
      </x:c>
      <x:c r="Q375" s="38"/>
    </x:row>
    <x:row r="376" ht="60" customHeight="1">
      <x:c r="A376" s="70" t="n">
        <x:v>374</x:v>
      </x:c>
      <x:c r="B376" s="37" t="str">
        <x:v>Relational Placement</x:v>
      </x:c>
      <x:c r="C376" s="37" t="str">
        <x:v>Put the blue block on the table behind the pink marker.</x:v>
      </x:c>
      <x:c r="D376" s="37" t="str">
        <x:v>Explicit spatial-relation grounding</x:v>
      </x:c>
      <x:c r="E376" s="37" t="str">
        <x:v>left / right / front / behind with other ordered object pairs</x:v>
      </x:c>
      <x:c r="F376" s="37" t="str">
        <x:v>relational_direction_explicit_other_pair</x:v>
      </x:c>
      <x:c r="G376" s="37" t="str">
        <x:v>direction × ordered green-pen/red-block target/reference role</x:v>
      </x:c>
      <x:c r="H376" s="37" t="str">
        <x:v>No</x:v>
      </x:c>
      <x:c r="I376" s="37" t="str">
        <x:v>Keep prompt</x:v>
      </x:c>
      <x:c r="J376" s="37" t="str">
        <x:v>No prompt change required under the missing-cell design.</x:v>
      </x:c>
      <x:c r="K376" s="37" t="str">
        <x:v>blue block, pink marker, green pen</x:v>
      </x:c>
      <x:c r="L376" s="37" t="str">
        <x:v>blue block</x:v>
      </x:c>
      <x:c r="M376" s="37" t="str">
        <x:v>Recovery</x:v>
      </x:c>
      <x:c r="N376" s="37" t="str">
        <x:v>Put the blue block on the table behind the pink marker.</x:v>
      </x:c>
      <x:c r="O376" s="37" t="str"/>
      <x:c r="P376" s="37" t="str">
        <x:v>Directional concepts are explicitly grounded on other ordered object pairs.</x:v>
      </x:c>
      <x:c r="Q376" s="38"/>
    </x:row>
    <x:row r="377" ht="60" customHeight="1">
      <x:c r="A377" s="70" t="n">
        <x:v>375</x:v>
      </x:c>
      <x:c r="B377" s="37" t="str">
        <x:v>Relational Placement</x:v>
      </x:c>
      <x:c r="C377" s="37" t="str">
        <x:v>Place the blue block to the left of the green pen.</x:v>
      </x:c>
      <x:c r="D377" s="37" t="str">
        <x:v>Explicit spatial-relation grounding</x:v>
      </x:c>
      <x:c r="E377" s="37" t="str">
        <x:v>left / right / front / behind with other ordered object pairs</x:v>
      </x:c>
      <x:c r="F377" s="37" t="str">
        <x:v>relational_direction_explicit_other_pair</x:v>
      </x:c>
      <x:c r="G377" s="37" t="str">
        <x:v>direction × ordered green-pen/red-block target/reference role</x:v>
      </x:c>
      <x:c r="H377" s="37" t="str">
        <x:v>No</x:v>
      </x:c>
      <x:c r="I377" s="37" t="str">
        <x:v>Keep prompt</x:v>
      </x:c>
      <x:c r="J377" s="37" t="str">
        <x:v>No prompt change required under the missing-cell design.</x:v>
      </x:c>
      <x:c r="K377" s="37" t="str">
        <x:v>blue block, green pen</x:v>
      </x:c>
      <x:c r="L377" s="37" t="str">
        <x:v>blue block</x:v>
      </x:c>
      <x:c r="M377" s="37" t="str">
        <x:v>Home</x:v>
      </x:c>
      <x:c r="N377" s="37" t="str">
        <x:v>Place the blue block to the left of the green pen.</x:v>
      </x:c>
      <x:c r="O377" s="37" t="str"/>
      <x:c r="P377" s="37" t="str">
        <x:v>Directional concepts are explicitly grounded on other ordered object pairs.</x:v>
      </x:c>
      <x:c r="Q377" s="38"/>
    </x:row>
    <x:row r="378" ht="60" customHeight="1">
      <x:c r="A378" s="70" t="n">
        <x:v>376</x:v>
      </x:c>
      <x:c r="B378" s="37" t="str">
        <x:v>Relational Placement</x:v>
      </x:c>
      <x:c r="C378" s="37" t="str">
        <x:v>Place the blue block to the left of the green pen.</x:v>
      </x:c>
      <x:c r="D378" s="37" t="str">
        <x:v>Explicit spatial-relation grounding</x:v>
      </x:c>
      <x:c r="E378" s="37" t="str">
        <x:v>left / right / front / behind with other ordered object pairs</x:v>
      </x:c>
      <x:c r="F378" s="37" t="str">
        <x:v>relational_direction_explicit_other_pair</x:v>
      </x:c>
      <x:c r="G378" s="37" t="str">
        <x:v>direction × ordered green-pen/red-block target/reference role</x:v>
      </x:c>
      <x:c r="H378" s="37" t="str">
        <x:v>No</x:v>
      </x:c>
      <x:c r="I378" s="37" t="str">
        <x:v>Keep prompt</x:v>
      </x:c>
      <x:c r="J378" s="37" t="str">
        <x:v>No prompt change required under the missing-cell design.</x:v>
      </x:c>
      <x:c r="K378" s="37" t="str">
        <x:v>blue block, green pen, red block</x:v>
      </x:c>
      <x:c r="L378" s="37" t="str">
        <x:v>blue block</x:v>
      </x:c>
      <x:c r="M378" s="37" t="str">
        <x:v>Home</x:v>
      </x:c>
      <x:c r="N378" s="37" t="str">
        <x:v>Place the blue block to the left of the green pen.</x:v>
      </x:c>
      <x:c r="O378" s="37" t="str"/>
      <x:c r="P378" s="37" t="str">
        <x:v>Directional concepts are explicitly grounded on other ordered object pairs.</x:v>
      </x:c>
      <x:c r="Q378" s="38"/>
    </x:row>
    <x:row r="379" ht="60" customHeight="1">
      <x:c r="A379" s="70" t="n">
        <x:v>377</x:v>
      </x:c>
      <x:c r="B379" s="37" t="str">
        <x:v>Relational Placement</x:v>
      </x:c>
      <x:c r="C379" s="37" t="str">
        <x:v>Place the blue block to the left of the green pen.</x:v>
      </x:c>
      <x:c r="D379" s="37" t="str">
        <x:v>Explicit spatial-relation grounding</x:v>
      </x:c>
      <x:c r="E379" s="37" t="str">
        <x:v>left / right / front / behind with other ordered object pairs</x:v>
      </x:c>
      <x:c r="F379" s="37" t="str">
        <x:v>relational_direction_explicit_other_pair</x:v>
      </x:c>
      <x:c r="G379" s="37" t="str">
        <x:v>direction × ordered green-pen/red-block target/reference role</x:v>
      </x:c>
      <x:c r="H379" s="37" t="str">
        <x:v>No</x:v>
      </x:c>
      <x:c r="I379" s="37" t="str">
        <x:v>Keep prompt</x:v>
      </x:c>
      <x:c r="J379" s="37" t="str">
        <x:v>No prompt change required under the missing-cell design.</x:v>
      </x:c>
      <x:c r="K379" s="37" t="str">
        <x:v>green pen, red block, pink marker, blue block</x:v>
      </x:c>
      <x:c r="L379" s="37" t="str">
        <x:v>blue block</x:v>
      </x:c>
      <x:c r="M379" s="37" t="str">
        <x:v>Home</x:v>
      </x:c>
      <x:c r="N379" s="37" t="str">
        <x:v>Place the blue block to the left of the green pen.</x:v>
      </x:c>
      <x:c r="O379" s="37" t="str"/>
      <x:c r="P379" s="37" t="str">
        <x:v>Directional concepts are explicitly grounded on other ordered object pairs.</x:v>
      </x:c>
      <x:c r="Q379" s="38"/>
    </x:row>
    <x:row r="380" ht="60" customHeight="1">
      <x:c r="A380" s="70" t="n">
        <x:v>378</x:v>
      </x:c>
      <x:c r="B380" s="37" t="str">
        <x:v>Relational Placement</x:v>
      </x:c>
      <x:c r="C380" s="37" t="str">
        <x:v>Place the blue block to the left of the green pen.</x:v>
      </x:c>
      <x:c r="D380" s="37" t="str">
        <x:v>Explicit spatial-relation grounding</x:v>
      </x:c>
      <x:c r="E380" s="37" t="str">
        <x:v>left / right / front / behind with other ordered object pairs</x:v>
      </x:c>
      <x:c r="F380" s="37" t="str">
        <x:v>relational_direction_explicit_other_pair</x:v>
      </x:c>
      <x:c r="G380" s="37" t="str">
        <x:v>direction × ordered green-pen/red-block target/reference role</x:v>
      </x:c>
      <x:c r="H380" s="37" t="str">
        <x:v>No</x:v>
      </x:c>
      <x:c r="I380" s="37" t="str">
        <x:v>Keep prompt</x:v>
      </x:c>
      <x:c r="J380" s="37" t="str">
        <x:v>No prompt change required under the missing-cell design.</x:v>
      </x:c>
      <x:c r="K380" s="37" t="str">
        <x:v>blue block, green pen, pink marker</x:v>
      </x:c>
      <x:c r="L380" s="37" t="str">
        <x:v>blue block</x:v>
      </x:c>
      <x:c r="M380" s="37" t="str">
        <x:v>Home</x:v>
      </x:c>
      <x:c r="N380" s="37" t="str">
        <x:v>Place the blue block to the left of the green pen.</x:v>
      </x:c>
      <x:c r="O380" s="37" t="str"/>
      <x:c r="P380" s="37" t="str">
        <x:v>Directional concepts are explicitly grounded on other ordered object pairs.</x:v>
      </x:c>
      <x:c r="Q380" s="38"/>
    </x:row>
    <x:row r="381" ht="60" customHeight="1">
      <x:c r="A381" s="70" t="n">
        <x:v>379</x:v>
      </x:c>
      <x:c r="B381" s="37" t="str">
        <x:v>Relational Placement</x:v>
      </x:c>
      <x:c r="C381" s="37" t="str">
        <x:v>Place the blue block to the left of the red block.</x:v>
      </x:c>
      <x:c r="D381" s="37" t="str">
        <x:v>Explicit spatial-relation grounding</x:v>
      </x:c>
      <x:c r="E381" s="37" t="str">
        <x:v>left / right / front / behind with other ordered object pairs</x:v>
      </x:c>
      <x:c r="F381" s="37" t="str">
        <x:v>relational_direction_explicit_other_pair</x:v>
      </x:c>
      <x:c r="G381" s="37" t="str">
        <x:v>direction × ordered green-pen/red-block target/reference role</x:v>
      </x:c>
      <x:c r="H381" s="37" t="str">
        <x:v>No</x:v>
      </x:c>
      <x:c r="I381" s="37" t="str">
        <x:v>Keep prompt</x:v>
      </x:c>
      <x:c r="J381" s="37" t="str">
        <x:v>No prompt change required under the missing-cell design.</x:v>
      </x:c>
      <x:c r="K381" s="37" t="str">
        <x:v>blue block, red block</x:v>
      </x:c>
      <x:c r="L381" s="37" t="str">
        <x:v>blue block</x:v>
      </x:c>
      <x:c r="M381" s="37" t="str">
        <x:v>Home</x:v>
      </x:c>
      <x:c r="N381" s="37" t="str">
        <x:v>Place the blue block to the left of the red block.</x:v>
      </x:c>
      <x:c r="O381" s="37" t="str"/>
      <x:c r="P381" s="37" t="str">
        <x:v>Directional concepts are explicitly grounded on other ordered object pairs.</x:v>
      </x:c>
      <x:c r="Q381" s="38"/>
    </x:row>
    <x:row r="382" ht="60" customHeight="1">
      <x:c r="A382" s="70" t="n">
        <x:v>380</x:v>
      </x:c>
      <x:c r="B382" s="37" t="str">
        <x:v>Relational Placement</x:v>
      </x:c>
      <x:c r="C382" s="37" t="str">
        <x:v>Place the blue block to the left of the red block.</x:v>
      </x:c>
      <x:c r="D382" s="37" t="str">
        <x:v>Explicit spatial-relation grounding</x:v>
      </x:c>
      <x:c r="E382" s="37" t="str">
        <x:v>left / right / front / behind with other ordered object pairs</x:v>
      </x:c>
      <x:c r="F382" s="37" t="str">
        <x:v>relational_direction_explicit_other_pair</x:v>
      </x:c>
      <x:c r="G382" s="37" t="str">
        <x:v>direction × ordered green-pen/red-block target/reference role</x:v>
      </x:c>
      <x:c r="H382" s="37" t="str">
        <x:v>No</x:v>
      </x:c>
      <x:c r="I382" s="37" t="str">
        <x:v>Keep prompt</x:v>
      </x:c>
      <x:c r="J382" s="37" t="str">
        <x:v>No prompt change required under the missing-cell design.</x:v>
      </x:c>
      <x:c r="K382" s="37" t="str">
        <x:v>blue block, red block, green pen</x:v>
      </x:c>
      <x:c r="L382" s="37" t="str">
        <x:v>blue block</x:v>
      </x:c>
      <x:c r="M382" s="37" t="str">
        <x:v>Home</x:v>
      </x:c>
      <x:c r="N382" s="37" t="str">
        <x:v>Place the blue block to the left of the red block.</x:v>
      </x:c>
      <x:c r="O382" s="37" t="str"/>
      <x:c r="P382" s="37" t="str">
        <x:v>Directional concepts are explicitly grounded on other ordered object pairs.</x:v>
      </x:c>
      <x:c r="Q382" s="38"/>
    </x:row>
    <x:row r="383" ht="60" customHeight="1">
      <x:c r="A383" s="70" t="n">
        <x:v>381</x:v>
      </x:c>
      <x:c r="B383" s="37" t="str">
        <x:v>Relational Placement</x:v>
      </x:c>
      <x:c r="C383" s="37" t="str">
        <x:v>Place the blue block to the left of the red block.</x:v>
      </x:c>
      <x:c r="D383" s="37" t="str">
        <x:v>Explicit spatial-relation grounding</x:v>
      </x:c>
      <x:c r="E383" s="37" t="str">
        <x:v>left / right / front / behind with other ordered object pairs</x:v>
      </x:c>
      <x:c r="F383" s="37" t="str">
        <x:v>relational_direction_explicit_other_pair</x:v>
      </x:c>
      <x:c r="G383" s="37" t="str">
        <x:v>direction × ordered green-pen/red-block target/reference role</x:v>
      </x:c>
      <x:c r="H383" s="37" t="str">
        <x:v>No</x:v>
      </x:c>
      <x:c r="I383" s="37" t="str">
        <x:v>Keep prompt</x:v>
      </x:c>
      <x:c r="J383" s="37" t="str">
        <x:v>No prompt change required under the missing-cell design.</x:v>
      </x:c>
      <x:c r="K383" s="37" t="str">
        <x:v>green pen, red block, pink marker, blue block</x:v>
      </x:c>
      <x:c r="L383" s="37" t="str">
        <x:v>blue block</x:v>
      </x:c>
      <x:c r="M383" s="37" t="str">
        <x:v>Home</x:v>
      </x:c>
      <x:c r="N383" s="37" t="str">
        <x:v>Place the blue block to the left of the red block.</x:v>
      </x:c>
      <x:c r="O383" s="37" t="str"/>
      <x:c r="P383" s="37" t="str">
        <x:v>Directional concepts are explicitly grounded on other ordered object pairs.</x:v>
      </x:c>
      <x:c r="Q383" s="38"/>
    </x:row>
    <x:row r="384" ht="60" customHeight="1">
      <x:c r="A384" s="70" t="n">
        <x:v>382</x:v>
      </x:c>
      <x:c r="B384" s="37" t="str">
        <x:v>Relational Placement</x:v>
      </x:c>
      <x:c r="C384" s="37" t="str">
        <x:v>Place the blue block to the left of the red block.</x:v>
      </x:c>
      <x:c r="D384" s="37" t="str">
        <x:v>Explicit spatial-relation grounding</x:v>
      </x:c>
      <x:c r="E384" s="37" t="str">
        <x:v>left / right / front / behind with other ordered object pairs</x:v>
      </x:c>
      <x:c r="F384" s="37" t="str">
        <x:v>relational_direction_explicit_other_pair</x:v>
      </x:c>
      <x:c r="G384" s="37" t="str">
        <x:v>direction × ordered green-pen/red-block target/reference role</x:v>
      </x:c>
      <x:c r="H384" s="37" t="str">
        <x:v>No</x:v>
      </x:c>
      <x:c r="I384" s="37" t="str">
        <x:v>Keep prompt</x:v>
      </x:c>
      <x:c r="J384" s="37" t="str">
        <x:v>No prompt change required under the missing-cell design.</x:v>
      </x:c>
      <x:c r="K384" s="37" t="str">
        <x:v>blue block, red block, pink marker</x:v>
      </x:c>
      <x:c r="L384" s="37" t="str">
        <x:v>blue block</x:v>
      </x:c>
      <x:c r="M384" s="37" t="str">
        <x:v>Recovery</x:v>
      </x:c>
      <x:c r="N384" s="37" t="str">
        <x:v>Place the blue block to the left of the red block.</x:v>
      </x:c>
      <x:c r="O384" s="37" t="str"/>
      <x:c r="P384" s="37" t="str">
        <x:v>Directional concepts are explicitly grounded on other ordered object pairs.</x:v>
      </x:c>
      <x:c r="Q384" s="38"/>
    </x:row>
    <x:row r="385" ht="60" customHeight="1">
      <x:c r="A385" s="70" t="n">
        <x:v>383</x:v>
      </x:c>
      <x:c r="B385" s="37" t="str">
        <x:v>Relational Placement</x:v>
      </x:c>
      <x:c r="C385" s="37" t="str">
        <x:v>Place the blue block to the left of the pink marker.</x:v>
      </x:c>
      <x:c r="D385" s="37" t="str">
        <x:v>Explicit spatial-relation grounding</x:v>
      </x:c>
      <x:c r="E385" s="37" t="str">
        <x:v>left / right / front / behind with other ordered object pairs</x:v>
      </x:c>
      <x:c r="F385" s="37" t="str">
        <x:v>relational_direction_explicit_other_pair</x:v>
      </x:c>
      <x:c r="G385" s="37" t="str">
        <x:v>direction × ordered green-pen/red-block target/reference role</x:v>
      </x:c>
      <x:c r="H385" s="37" t="str">
        <x:v>No</x:v>
      </x:c>
      <x:c r="I385" s="37" t="str">
        <x:v>Keep prompt</x:v>
      </x:c>
      <x:c r="J385" s="37" t="str">
        <x:v>No prompt change required under the missing-cell design.</x:v>
      </x:c>
      <x:c r="K385" s="37" t="str">
        <x:v>blue block, pink marker</x:v>
      </x:c>
      <x:c r="L385" s="37" t="str">
        <x:v>blue block</x:v>
      </x:c>
      <x:c r="M385" s="37" t="str">
        <x:v>Home</x:v>
      </x:c>
      <x:c r="N385" s="37" t="str">
        <x:v>Place the blue block to the left of the pink marker.</x:v>
      </x:c>
      <x:c r="O385" s="37" t="str"/>
      <x:c r="P385" s="37" t="str">
        <x:v>Directional concepts are explicitly grounded on other ordered object pairs.</x:v>
      </x:c>
      <x:c r="Q385" s="38"/>
    </x:row>
    <x:row r="386" ht="60" customHeight="1">
      <x:c r="A386" s="70" t="n">
        <x:v>384</x:v>
      </x:c>
      <x:c r="B386" s="37" t="str">
        <x:v>Relational Placement</x:v>
      </x:c>
      <x:c r="C386" s="37" t="str">
        <x:v>Place the blue block to the left of the pink marker.</x:v>
      </x:c>
      <x:c r="D386" s="37" t="str">
        <x:v>Explicit spatial-relation grounding</x:v>
      </x:c>
      <x:c r="E386" s="37" t="str">
        <x:v>left / right / front / behind with other ordered object pairs</x:v>
      </x:c>
      <x:c r="F386" s="37" t="str">
        <x:v>relational_direction_explicit_other_pair</x:v>
      </x:c>
      <x:c r="G386" s="37" t="str">
        <x:v>direction × ordered green-pen/red-block target/reference role</x:v>
      </x:c>
      <x:c r="H386" s="37" t="str">
        <x:v>No</x:v>
      </x:c>
      <x:c r="I386" s="37" t="str">
        <x:v>Keep prompt</x:v>
      </x:c>
      <x:c r="J386" s="37" t="str">
        <x:v>No prompt change required under the missing-cell design.</x:v>
      </x:c>
      <x:c r="K386" s="37" t="str">
        <x:v>blue block, pink marker, green pen</x:v>
      </x:c>
      <x:c r="L386" s="37" t="str">
        <x:v>blue block</x:v>
      </x:c>
      <x:c r="M386" s="37" t="str">
        <x:v>Home</x:v>
      </x:c>
      <x:c r="N386" s="37" t="str">
        <x:v>Place the blue block to the left of the pink marker.</x:v>
      </x:c>
      <x:c r="O386" s="37" t="str"/>
      <x:c r="P386" s="37" t="str">
        <x:v>Directional concepts are explicitly grounded on other ordered object pairs.</x:v>
      </x:c>
      <x:c r="Q386" s="38"/>
    </x:row>
    <x:row r="387" ht="60" customHeight="1">
      <x:c r="A387" s="70" t="n">
        <x:v>385</x:v>
      </x:c>
      <x:c r="B387" s="37" t="str">
        <x:v>Relational Placement</x:v>
      </x:c>
      <x:c r="C387" s="37" t="str">
        <x:v>Place the blue block to the left of the pink marker.</x:v>
      </x:c>
      <x:c r="D387" s="37" t="str">
        <x:v>Explicit spatial-relation grounding</x:v>
      </x:c>
      <x:c r="E387" s="37" t="str">
        <x:v>left / right / front / behind with other ordered object pairs</x:v>
      </x:c>
      <x:c r="F387" s="37" t="str">
        <x:v>relational_direction_explicit_other_pair</x:v>
      </x:c>
      <x:c r="G387" s="37" t="str">
        <x:v>direction × ordered green-pen/red-block target/reference role</x:v>
      </x:c>
      <x:c r="H387" s="37" t="str">
        <x:v>No</x:v>
      </x:c>
      <x:c r="I387" s="37" t="str">
        <x:v>Keep prompt</x:v>
      </x:c>
      <x:c r="J387" s="37" t="str">
        <x:v>No prompt change required under the missing-cell design.</x:v>
      </x:c>
      <x:c r="K387" s="37" t="str">
        <x:v>green pen, red block, pink marker, blue block</x:v>
      </x:c>
      <x:c r="L387" s="37" t="str">
        <x:v>blue block</x:v>
      </x:c>
      <x:c r="M387" s="37" t="str">
        <x:v>Home</x:v>
      </x:c>
      <x:c r="N387" s="37" t="str">
        <x:v>Place the blue block to the left of the pink marker.</x:v>
      </x:c>
      <x:c r="O387" s="37" t="str"/>
      <x:c r="P387" s="37" t="str">
        <x:v>Directional concepts are explicitly grounded on other ordered object pairs.</x:v>
      </x:c>
      <x:c r="Q387" s="38"/>
    </x:row>
    <x:row r="388" ht="60" customHeight="1">
      <x:c r="A388" s="70" t="n">
        <x:v>386</x:v>
      </x:c>
      <x:c r="B388" s="37" t="str">
        <x:v>Relational Placement</x:v>
      </x:c>
      <x:c r="C388" s="37" t="str">
        <x:v>Place the blue block to the left of the pink marker.</x:v>
      </x:c>
      <x:c r="D388" s="37" t="str">
        <x:v>Explicit spatial-relation grounding</x:v>
      </x:c>
      <x:c r="E388" s="37" t="str">
        <x:v>left / right / front / behind with other ordered object pairs</x:v>
      </x:c>
      <x:c r="F388" s="37" t="str">
        <x:v>relational_direction_explicit_other_pair</x:v>
      </x:c>
      <x:c r="G388" s="37" t="str">
        <x:v>direction × ordered green-pen/red-block target/reference role</x:v>
      </x:c>
      <x:c r="H388" s="37" t="str">
        <x:v>No</x:v>
      </x:c>
      <x:c r="I388" s="37" t="str">
        <x:v>Keep prompt</x:v>
      </x:c>
      <x:c r="J388" s="37" t="str">
        <x:v>No prompt change required under the missing-cell design.</x:v>
      </x:c>
      <x:c r="K388" s="37" t="str">
        <x:v>blue block, pink marker, red block</x:v>
      </x:c>
      <x:c r="L388" s="37" t="str">
        <x:v>blue block</x:v>
      </x:c>
      <x:c r="M388" s="37" t="str">
        <x:v>Recovery</x:v>
      </x:c>
      <x:c r="N388" s="37" t="str">
        <x:v>Place the blue block to the left of the pink marker.</x:v>
      </x:c>
      <x:c r="O388" s="37" t="str"/>
      <x:c r="P388" s="37" t="str">
        <x:v>Directional concepts are explicitly grounded on other ordered object pairs.</x:v>
      </x:c>
      <x:c r="Q388" s="38"/>
    </x:row>
    <x:row r="389" ht="60" customHeight="1">
      <x:c r="A389" s="70" t="n">
        <x:v>387</x:v>
      </x:c>
      <x:c r="B389" s="37" t="str">
        <x:v>Relational Placement</x:v>
      </x:c>
      <x:c r="C389" s="37" t="str">
        <x:v>Place the blue block to the right of the green pen.</x:v>
      </x:c>
      <x:c r="D389" s="37" t="str">
        <x:v>Explicit spatial-relation grounding</x:v>
      </x:c>
      <x:c r="E389" s="37" t="str">
        <x:v>left / right / front / behind with other ordered object pairs</x:v>
      </x:c>
      <x:c r="F389" s="37" t="str">
        <x:v>relational_direction_explicit_other_pair</x:v>
      </x:c>
      <x:c r="G389" s="37" t="str">
        <x:v>direction × ordered green-pen/red-block target/reference role</x:v>
      </x:c>
      <x:c r="H389" s="37" t="str">
        <x:v>No</x:v>
      </x:c>
      <x:c r="I389" s="37" t="str">
        <x:v>Keep prompt</x:v>
      </x:c>
      <x:c r="J389" s="37" t="str">
        <x:v>No prompt change required under the missing-cell design.</x:v>
      </x:c>
      <x:c r="K389" s="37" t="str">
        <x:v>blue block, green pen</x:v>
      </x:c>
      <x:c r="L389" s="37" t="str">
        <x:v>blue block</x:v>
      </x:c>
      <x:c r="M389" s="37" t="str">
        <x:v>Home</x:v>
      </x:c>
      <x:c r="N389" s="37" t="str">
        <x:v>Place the blue block to the right of the green pen.</x:v>
      </x:c>
      <x:c r="O389" s="37" t="str"/>
      <x:c r="P389" s="37" t="str">
        <x:v>Directional concepts are explicitly grounded on other ordered object pairs.</x:v>
      </x:c>
      <x:c r="Q389" s="38"/>
    </x:row>
    <x:row r="390" ht="60" customHeight="1">
      <x:c r="A390" s="70" t="n">
        <x:v>388</x:v>
      </x:c>
      <x:c r="B390" s="37" t="str">
        <x:v>Relational Placement</x:v>
      </x:c>
      <x:c r="C390" s="37" t="str">
        <x:v>Place the blue block to the right of the green pen.</x:v>
      </x:c>
      <x:c r="D390" s="37" t="str">
        <x:v>Explicit spatial-relation grounding</x:v>
      </x:c>
      <x:c r="E390" s="37" t="str">
        <x:v>left / right / front / behind with other ordered object pairs</x:v>
      </x:c>
      <x:c r="F390" s="37" t="str">
        <x:v>relational_direction_explicit_other_pair</x:v>
      </x:c>
      <x:c r="G390" s="37" t="str">
        <x:v>direction × ordered green-pen/red-block target/reference role</x:v>
      </x:c>
      <x:c r="H390" s="37" t="str">
        <x:v>No</x:v>
      </x:c>
      <x:c r="I390" s="37" t="str">
        <x:v>Keep prompt</x:v>
      </x:c>
      <x:c r="J390" s="37" t="str">
        <x:v>No prompt change required under the missing-cell design.</x:v>
      </x:c>
      <x:c r="K390" s="37" t="str">
        <x:v>blue block, green pen, red block</x:v>
      </x:c>
      <x:c r="L390" s="37" t="str">
        <x:v>blue block</x:v>
      </x:c>
      <x:c r="M390" s="37" t="str">
        <x:v>Home</x:v>
      </x:c>
      <x:c r="N390" s="37" t="str">
        <x:v>Place the blue block to the right of the green pen.</x:v>
      </x:c>
      <x:c r="O390" s="37" t="str"/>
      <x:c r="P390" s="37" t="str">
        <x:v>Directional concepts are explicitly grounded on other ordered object pairs.</x:v>
      </x:c>
      <x:c r="Q390" s="38"/>
    </x:row>
    <x:row r="391" ht="60" customHeight="1">
      <x:c r="A391" s="70" t="n">
        <x:v>389</x:v>
      </x:c>
      <x:c r="B391" s="37" t="str">
        <x:v>Relational Placement</x:v>
      </x:c>
      <x:c r="C391" s="37" t="str">
        <x:v>Place the blue block to the right of the green pen.</x:v>
      </x:c>
      <x:c r="D391" s="37" t="str">
        <x:v>Explicit spatial-relation grounding</x:v>
      </x:c>
      <x:c r="E391" s="37" t="str">
        <x:v>left / right / front / behind with other ordered object pairs</x:v>
      </x:c>
      <x:c r="F391" s="37" t="str">
        <x:v>relational_direction_explicit_other_pair</x:v>
      </x:c>
      <x:c r="G391" s="37" t="str">
        <x:v>direction × ordered green-pen/red-block target/reference role</x:v>
      </x:c>
      <x:c r="H391" s="37" t="str">
        <x:v>No</x:v>
      </x:c>
      <x:c r="I391" s="37" t="str">
        <x:v>Keep prompt</x:v>
      </x:c>
      <x:c r="J391" s="37" t="str">
        <x:v>No prompt change required under the missing-cell design.</x:v>
      </x:c>
      <x:c r="K391" s="37" t="str">
        <x:v>green pen, red block, pink marker, blue block</x:v>
      </x:c>
      <x:c r="L391" s="37" t="str">
        <x:v>blue block</x:v>
      </x:c>
      <x:c r="M391" s="37" t="str">
        <x:v>Home</x:v>
      </x:c>
      <x:c r="N391" s="37" t="str">
        <x:v>Place the blue block to the right of the green pen.</x:v>
      </x:c>
      <x:c r="O391" s="37" t="str"/>
      <x:c r="P391" s="37" t="str">
        <x:v>Directional concepts are explicitly grounded on other ordered object pairs.</x:v>
      </x:c>
      <x:c r="Q391" s="38"/>
    </x:row>
    <x:row r="392" ht="60" customHeight="1">
      <x:c r="A392" s="70" t="n">
        <x:v>390</x:v>
      </x:c>
      <x:c r="B392" s="37" t="str">
        <x:v>Relational Placement</x:v>
      </x:c>
      <x:c r="C392" s="37" t="str">
        <x:v>Place the blue block to the right of the green pen.</x:v>
      </x:c>
      <x:c r="D392" s="37" t="str">
        <x:v>Explicit spatial-relation grounding</x:v>
      </x:c>
      <x:c r="E392" s="37" t="str">
        <x:v>left / right / front / behind with other ordered object pairs</x:v>
      </x:c>
      <x:c r="F392" s="37" t="str">
        <x:v>relational_direction_explicit_other_pair</x:v>
      </x:c>
      <x:c r="G392" s="37" t="str">
        <x:v>direction × ordered green-pen/red-block target/reference role</x:v>
      </x:c>
      <x:c r="H392" s="37" t="str">
        <x:v>No</x:v>
      </x:c>
      <x:c r="I392" s="37" t="str">
        <x:v>Keep prompt</x:v>
      </x:c>
      <x:c r="J392" s="37" t="str">
        <x:v>No prompt change required under the missing-cell design.</x:v>
      </x:c>
      <x:c r="K392" s="37" t="str">
        <x:v>blue block, green pen, pink marker</x:v>
      </x:c>
      <x:c r="L392" s="37" t="str">
        <x:v>blue block</x:v>
      </x:c>
      <x:c r="M392" s="37" t="str">
        <x:v>Recovery</x:v>
      </x:c>
      <x:c r="N392" s="37" t="str">
        <x:v>Place the blue block to the right of the green pen.</x:v>
      </x:c>
      <x:c r="O392" s="37" t="str"/>
      <x:c r="P392" s="37" t="str">
        <x:v>Directional concepts are explicitly grounded on other ordered object pairs.</x:v>
      </x:c>
      <x:c r="Q392" s="38"/>
    </x:row>
    <x:row r="393" ht="60" customHeight="1">
      <x:c r="A393" s="70" t="n">
        <x:v>391</x:v>
      </x:c>
      <x:c r="B393" s="37" t="str">
        <x:v>Relational Placement</x:v>
      </x:c>
      <x:c r="C393" s="37" t="str">
        <x:v>Place the blue block to the right of the green pen.</x:v>
      </x:c>
      <x:c r="D393" s="37" t="str">
        <x:v>Explicit spatial-relation grounding</x:v>
      </x:c>
      <x:c r="E393" s="37" t="str">
        <x:v>left / right / front / behind with other ordered object pairs</x:v>
      </x:c>
      <x:c r="F393" s="37" t="str">
        <x:v>relational_direction_explicit_other_pair</x:v>
      </x:c>
      <x:c r="G393" s="37" t="str">
        <x:v>direction × ordered green-pen/red-block target/reference role</x:v>
      </x:c>
      <x:c r="H393" s="37" t="str">
        <x:v>No</x:v>
      </x:c>
      <x:c r="I393" s="37" t="str">
        <x:v>Keep prompt</x:v>
      </x:c>
      <x:c r="J393" s="37" t="str">
        <x:v>No prompt change required under the missing-cell design.</x:v>
      </x:c>
      <x:c r="K393" s="37" t="str">
        <x:v>green pen, red block, pink marker, blue block</x:v>
      </x:c>
      <x:c r="L393" s="37" t="str">
        <x:v>blue block</x:v>
      </x:c>
      <x:c r="M393" s="37" t="str">
        <x:v>Home</x:v>
      </x:c>
      <x:c r="N393" s="37" t="str">
        <x:v>Place the blue block to the right of the green pen.</x:v>
      </x:c>
      <x:c r="O393" s="37" t="str"/>
      <x:c r="P393" s="37" t="str">
        <x:v>Directional concepts are explicitly grounded on other ordered object pairs.</x:v>
      </x:c>
      <x:c r="Q393" s="38"/>
    </x:row>
    <x:row r="394" ht="60" customHeight="1">
      <x:c r="A394" s="70" t="n">
        <x:v>392</x:v>
      </x:c>
      <x:c r="B394" s="37" t="str">
        <x:v>Relational Placement</x:v>
      </x:c>
      <x:c r="C394" s="37" t="str">
        <x:v>Place the blue block to the right of the red block.</x:v>
      </x:c>
      <x:c r="D394" s="37" t="str">
        <x:v>Explicit spatial-relation grounding</x:v>
      </x:c>
      <x:c r="E394" s="37" t="str">
        <x:v>left / right / front / behind with other ordered object pairs</x:v>
      </x:c>
      <x:c r="F394" s="37" t="str">
        <x:v>relational_direction_explicit_other_pair</x:v>
      </x:c>
      <x:c r="G394" s="37" t="str">
        <x:v>direction × ordered green-pen/red-block target/reference role</x:v>
      </x:c>
      <x:c r="H394" s="37" t="str">
        <x:v>No</x:v>
      </x:c>
      <x:c r="I394" s="37" t="str">
        <x:v>Keep prompt</x:v>
      </x:c>
      <x:c r="J394" s="37" t="str">
        <x:v>No prompt change required under the missing-cell design.</x:v>
      </x:c>
      <x:c r="K394" s="37" t="str">
        <x:v>blue block, red block</x:v>
      </x:c>
      <x:c r="L394" s="37" t="str">
        <x:v>blue block</x:v>
      </x:c>
      <x:c r="M394" s="37" t="str">
        <x:v>Home</x:v>
      </x:c>
      <x:c r="N394" s="37" t="str">
        <x:v>Place the blue block to the right of the red block.</x:v>
      </x:c>
      <x:c r="O394" s="37" t="str"/>
      <x:c r="P394" s="37" t="str">
        <x:v>Directional concepts are explicitly grounded on other ordered object pairs.</x:v>
      </x:c>
      <x:c r="Q394" s="38"/>
    </x:row>
    <x:row r="395" ht="60" customHeight="1">
      <x:c r="A395" s="70" t="n">
        <x:v>393</x:v>
      </x:c>
      <x:c r="B395" s="37" t="str">
        <x:v>Relational Placement</x:v>
      </x:c>
      <x:c r="C395" s="37" t="str">
        <x:v>Place the blue block to the right of the red block.</x:v>
      </x:c>
      <x:c r="D395" s="37" t="str">
        <x:v>Explicit spatial-relation grounding</x:v>
      </x:c>
      <x:c r="E395" s="37" t="str">
        <x:v>left / right / front / behind with other ordered object pairs</x:v>
      </x:c>
      <x:c r="F395" s="37" t="str">
        <x:v>relational_direction_explicit_other_pair</x:v>
      </x:c>
      <x:c r="G395" s="37" t="str">
        <x:v>direction × ordered green-pen/red-block target/reference role</x:v>
      </x:c>
      <x:c r="H395" s="37" t="str">
        <x:v>No</x:v>
      </x:c>
      <x:c r="I395" s="37" t="str">
        <x:v>Keep prompt</x:v>
      </x:c>
      <x:c r="J395" s="37" t="str">
        <x:v>No prompt change required under the missing-cell design.</x:v>
      </x:c>
      <x:c r="K395" s="37" t="str">
        <x:v>blue block, red block, green pen</x:v>
      </x:c>
      <x:c r="L395" s="37" t="str">
        <x:v>blue block</x:v>
      </x:c>
      <x:c r="M395" s="37" t="str">
        <x:v>Home</x:v>
      </x:c>
      <x:c r="N395" s="37" t="str">
        <x:v>Place the blue block to the right of the red block.</x:v>
      </x:c>
      <x:c r="O395" s="37" t="str"/>
      <x:c r="P395" s="37" t="str">
        <x:v>Directional concepts are explicitly grounded on other ordered object pairs.</x:v>
      </x:c>
      <x:c r="Q395" s="38"/>
    </x:row>
    <x:row r="396" ht="60" customHeight="1">
      <x:c r="A396" s="70" t="n">
        <x:v>394</x:v>
      </x:c>
      <x:c r="B396" s="37" t="str">
        <x:v>Relational Placement</x:v>
      </x:c>
      <x:c r="C396" s="37" t="str">
        <x:v>Place the blue block to the right of the red block.</x:v>
      </x:c>
      <x:c r="D396" s="37" t="str">
        <x:v>Explicit spatial-relation grounding</x:v>
      </x:c>
      <x:c r="E396" s="37" t="str">
        <x:v>left / right / front / behind with other ordered object pairs</x:v>
      </x:c>
      <x:c r="F396" s="37" t="str">
        <x:v>relational_direction_explicit_other_pair</x:v>
      </x:c>
      <x:c r="G396" s="37" t="str">
        <x:v>direction × ordered green-pen/red-block target/reference role</x:v>
      </x:c>
      <x:c r="H396" s="37" t="str">
        <x:v>No</x:v>
      </x:c>
      <x:c r="I396" s="37" t="str">
        <x:v>Keep prompt</x:v>
      </x:c>
      <x:c r="J396" s="37" t="str">
        <x:v>No prompt change required under the missing-cell design.</x:v>
      </x:c>
      <x:c r="K396" s="37" t="str">
        <x:v>green pen, red block, pink marker, blue block</x:v>
      </x:c>
      <x:c r="L396" s="37" t="str">
        <x:v>blue block</x:v>
      </x:c>
      <x:c r="M396" s="37" t="str">
        <x:v>Home</x:v>
      </x:c>
      <x:c r="N396" s="37" t="str">
        <x:v>Place the blue block to the right of the red block.</x:v>
      </x:c>
      <x:c r="O396" s="37" t="str"/>
      <x:c r="P396" s="37" t="str">
        <x:v>Directional concepts are explicitly grounded on other ordered object pairs.</x:v>
      </x:c>
      <x:c r="Q396" s="38"/>
    </x:row>
    <x:row r="397" ht="60" customHeight="1">
      <x:c r="A397" s="70" t="n">
        <x:v>395</x:v>
      </x:c>
      <x:c r="B397" s="37" t="str">
        <x:v>Relational Placement</x:v>
      </x:c>
      <x:c r="C397" s="37" t="str">
        <x:v>Place the blue block to the right of the red block.</x:v>
      </x:c>
      <x:c r="D397" s="37" t="str">
        <x:v>Explicit spatial-relation grounding</x:v>
      </x:c>
      <x:c r="E397" s="37" t="str">
        <x:v>left / right / front / behind with other ordered object pairs</x:v>
      </x:c>
      <x:c r="F397" s="37" t="str">
        <x:v>relational_direction_explicit_other_pair</x:v>
      </x:c>
      <x:c r="G397" s="37" t="str">
        <x:v>direction × ordered green-pen/red-block target/reference role</x:v>
      </x:c>
      <x:c r="H397" s="37" t="str">
        <x:v>No</x:v>
      </x:c>
      <x:c r="I397" s="37" t="str">
        <x:v>Keep prompt</x:v>
      </x:c>
      <x:c r="J397" s="37" t="str">
        <x:v>No prompt change required under the missing-cell design.</x:v>
      </x:c>
      <x:c r="K397" s="37" t="str">
        <x:v>blue block, red block, pink marker</x:v>
      </x:c>
      <x:c r="L397" s="37" t="str">
        <x:v>blue block</x:v>
      </x:c>
      <x:c r="M397" s="37" t="str">
        <x:v>Recovery</x:v>
      </x:c>
      <x:c r="N397" s="37" t="str">
        <x:v>Place the blue block to the right of the red block.</x:v>
      </x:c>
      <x:c r="O397" s="37" t="str"/>
      <x:c r="P397" s="37" t="str">
        <x:v>Directional concepts are explicitly grounded on other ordered object pairs.</x:v>
      </x:c>
      <x:c r="Q397" s="38"/>
    </x:row>
    <x:row r="398" ht="60" customHeight="1">
      <x:c r="A398" s="70" t="n">
        <x:v>396</x:v>
      </x:c>
      <x:c r="B398" s="37" t="str">
        <x:v>Relational Placement</x:v>
      </x:c>
      <x:c r="C398" s="37" t="str">
        <x:v>Place the blue block to the right of the pink marker.</x:v>
      </x:c>
      <x:c r="D398" s="37" t="str">
        <x:v>Explicit spatial-relation grounding</x:v>
      </x:c>
      <x:c r="E398" s="37" t="str">
        <x:v>left / right / front / behind with other ordered object pairs</x:v>
      </x:c>
      <x:c r="F398" s="37" t="str">
        <x:v>relational_direction_explicit_other_pair</x:v>
      </x:c>
      <x:c r="G398" s="37" t="str">
        <x:v>direction × ordered green-pen/red-block target/reference role</x:v>
      </x:c>
      <x:c r="H398" s="37" t="str">
        <x:v>No</x:v>
      </x:c>
      <x:c r="I398" s="37" t="str">
        <x:v>Keep prompt</x:v>
      </x:c>
      <x:c r="J398" s="37" t="str">
        <x:v>No prompt change required under the missing-cell design.</x:v>
      </x:c>
      <x:c r="K398" s="37" t="str">
        <x:v>blue block, pink marker</x:v>
      </x:c>
      <x:c r="L398" s="37" t="str">
        <x:v>blue block</x:v>
      </x:c>
      <x:c r="M398" s="37" t="str">
        <x:v>Home</x:v>
      </x:c>
      <x:c r="N398" s="37" t="str">
        <x:v>Place the blue block to the right of the pink marker.</x:v>
      </x:c>
      <x:c r="O398" s="37" t="str"/>
      <x:c r="P398" s="37" t="str">
        <x:v>Directional concepts are explicitly grounded on other ordered object pairs.</x:v>
      </x:c>
      <x:c r="Q398" s="38"/>
    </x:row>
    <x:row r="399" ht="60" customHeight="1">
      <x:c r="A399" s="70" t="n">
        <x:v>397</x:v>
      </x:c>
      <x:c r="B399" s="37" t="str">
        <x:v>Relational Placement</x:v>
      </x:c>
      <x:c r="C399" s="37" t="str">
        <x:v>Place the blue block to the right of the pink marker.</x:v>
      </x:c>
      <x:c r="D399" s="37" t="str">
        <x:v>Explicit spatial-relation grounding</x:v>
      </x:c>
      <x:c r="E399" s="37" t="str">
        <x:v>left / right / front / behind with other ordered object pairs</x:v>
      </x:c>
      <x:c r="F399" s="37" t="str">
        <x:v>relational_direction_explicit_other_pair</x:v>
      </x:c>
      <x:c r="G399" s="37" t="str">
        <x:v>direction × ordered green-pen/red-block target/reference role</x:v>
      </x:c>
      <x:c r="H399" s="37" t="str">
        <x:v>No</x:v>
      </x:c>
      <x:c r="I399" s="37" t="str">
        <x:v>Keep prompt</x:v>
      </x:c>
      <x:c r="J399" s="37" t="str">
        <x:v>No prompt change required under the missing-cell design.</x:v>
      </x:c>
      <x:c r="K399" s="37" t="str">
        <x:v>blue block, pink marker, red block</x:v>
      </x:c>
      <x:c r="L399" s="37" t="str">
        <x:v>blue block</x:v>
      </x:c>
      <x:c r="M399" s="37" t="str">
        <x:v>Home</x:v>
      </x:c>
      <x:c r="N399" s="37" t="str">
        <x:v>Place the blue block to the right of the pink marker.</x:v>
      </x:c>
      <x:c r="O399" s="37" t="str"/>
      <x:c r="P399" s="37" t="str">
        <x:v>Directional concepts are explicitly grounded on other ordered object pairs.</x:v>
      </x:c>
      <x:c r="Q399" s="38"/>
    </x:row>
    <x:row r="400" ht="60" customHeight="1">
      <x:c r="A400" s="70" t="n">
        <x:v>398</x:v>
      </x:c>
      <x:c r="B400" s="37" t="str">
        <x:v>Relational Placement</x:v>
      </x:c>
      <x:c r="C400" s="37" t="str">
        <x:v>Place the blue block to the right of the pink marker.</x:v>
      </x:c>
      <x:c r="D400" s="37" t="str">
        <x:v>Explicit spatial-relation grounding</x:v>
      </x:c>
      <x:c r="E400" s="37" t="str">
        <x:v>left / right / front / behind with other ordered object pairs</x:v>
      </x:c>
      <x:c r="F400" s="37" t="str">
        <x:v>relational_direction_explicit_other_pair</x:v>
      </x:c>
      <x:c r="G400" s="37" t="str">
        <x:v>direction × ordered green-pen/red-block target/reference role</x:v>
      </x:c>
      <x:c r="H400" s="37" t="str">
        <x:v>No</x:v>
      </x:c>
      <x:c r="I400" s="37" t="str">
        <x:v>Keep prompt</x:v>
      </x:c>
      <x:c r="J400" s="37" t="str">
        <x:v>No prompt change required under the missing-cell design.</x:v>
      </x:c>
      <x:c r="K400" s="37" t="str">
        <x:v>green pen, red block, pink marker, blue block</x:v>
      </x:c>
      <x:c r="L400" s="37" t="str">
        <x:v>blue block</x:v>
      </x:c>
      <x:c r="M400" s="37" t="str">
        <x:v>Home</x:v>
      </x:c>
      <x:c r="N400" s="37" t="str">
        <x:v>Place the blue block to the right of the pink marker.</x:v>
      </x:c>
      <x:c r="O400" s="37" t="str"/>
      <x:c r="P400" s="37" t="str">
        <x:v>Directional concepts are explicitly grounded on other ordered object pairs.</x:v>
      </x:c>
      <x:c r="Q400" s="38"/>
    </x:row>
    <x:row r="401" ht="60" customHeight="1">
      <x:c r="A401" s="70" t="n">
        <x:v>399</x:v>
      </x:c>
      <x:c r="B401" s="37" t="str">
        <x:v>Relational Placement</x:v>
      </x:c>
      <x:c r="C401" s="37" t="str">
        <x:v>Place the blue block to the right of the pink marker.</x:v>
      </x:c>
      <x:c r="D401" s="37" t="str">
        <x:v>Explicit spatial-relation grounding</x:v>
      </x:c>
      <x:c r="E401" s="37" t="str">
        <x:v>left / right / front / behind with other ordered object pairs</x:v>
      </x:c>
      <x:c r="F401" s="37" t="str">
        <x:v>relational_direction_explicit_other_pair</x:v>
      </x:c>
      <x:c r="G401" s="37" t="str">
        <x:v>direction × ordered green-pen/red-block target/reference role</x:v>
      </x:c>
      <x:c r="H401" s="37" t="str">
        <x:v>No</x:v>
      </x:c>
      <x:c r="I401" s="37" t="str">
        <x:v>Keep prompt</x:v>
      </x:c>
      <x:c r="J401" s="37" t="str">
        <x:v>No prompt change required under the missing-cell design.</x:v>
      </x:c>
      <x:c r="K401" s="37" t="str">
        <x:v>blue block, pink marker, green pen</x:v>
      </x:c>
      <x:c r="L401" s="37" t="str">
        <x:v>blue block</x:v>
      </x:c>
      <x:c r="M401" s="37" t="str">
        <x:v>Recovery</x:v>
      </x:c>
      <x:c r="N401" s="37" t="str">
        <x:v>Place the blue block to the right of the pink marker.</x:v>
      </x:c>
      <x:c r="O401" s="37" t="str"/>
      <x:c r="P401" s="37" t="str">
        <x:v>Directional concepts are explicitly grounded on other ordered object pairs.</x:v>
      </x:c>
      <x:c r="Q401" s="38"/>
    </x:row>
    <x:row r="402" ht="60" customHeight="1">
      <x:c r="A402" s="70" t="n">
        <x:v>400</x:v>
      </x:c>
      <x:c r="B402" s="37" t="str">
        <x:v>Referential Disambiguation</x:v>
      </x:c>
      <x:c r="C402" s="37" t="str">
        <x:v>Put the crushed Coke can in the bowl.</x:v>
      </x:c>
      <x:c r="D402" s="37" t="str">
        <x:v>Masked relation × candidate-category composition</x:v>
      </x:c>
      <x:c r="E402" s="37" t="str">
        <x:v>direct identity=crushed Coke can; hidden relation=closest; candidate category=crushed soda can</x:v>
      </x:c>
      <x:c r="F402" s="37" t="str">
        <x:v>referential_crushed_soda_can_closest_masked</x:v>
      </x:c>
      <x:c r="G402" s="37" t="str">
        <x:v>airplane×furthest; crushed-soda-can×closest; pencil-sharpener×between; pen fully crossed</x:v>
      </x:c>
      <x:c r="H402" s="37" t="str">
        <x:v>Yes</x:v>
      </x:c>
      <x:c r="I402" s="37" t="str">
        <x:v>Replace prompt only</x:v>
      </x:c>
      <x:c r="J402" s="37" t="str">
        <x:v>Prompt-only relabeling; preserve episode 400 video, scene, trajectory, target, and start position.</x:v>
      </x:c>
      <x:c r="K402" s="37" t="str">
        <x:v>crushed Coke can, crushed Pepsi can, green pencil sharpener</x:v>
      </x:c>
      <x:c r="L402" s="37" t="str">
        <x:v>crushed Coke can</x:v>
      </x:c>
      <x:c r="M402" s="37" t="str">
        <x:v>Home</x:v>
      </x:c>
      <x:c r="N402" s="37" t="str">
        <x:v>Pick up the crushed soda can nearest to the green pencil sharpener and place it in the bowl.</x:v>
      </x:c>
      <x:c r="O402" s="37" t="str">
        <x:v>Pick up the crushed soda can nearest to the green pencil sharpener and place it in the bowl.</x:v>
      </x:c>
      <x:c r="P402" s="37" t="str">
        <x:v>The crushed soda can is still named and manipulated directly, but closest is never used to select this candidate category during training.</x:v>
      </x:c>
      <x:c r="Q402" s="38"/>
    </x:row>
    <x:row r="403" ht="60" customHeight="1">
      <x:c r="A403" s="70" t="n">
        <x:v>401</x:v>
      </x:c>
      <x:c r="B403" s="37" t="str">
        <x:v>Referential Disambiguation</x:v>
      </x:c>
      <x:c r="C403" s="37" t="str">
        <x:v>Pick up the crushed Pepsi can and place it in the bowl.</x:v>
      </x:c>
      <x:c r="D403" s="37" t="str">
        <x:v>Masked relation × candidate-category composition</x:v>
      </x:c>
      <x:c r="E403" s="37" t="str">
        <x:v>direct identity=crushed Pepsi can; hidden relation=closest; candidate category=crushed soda can</x:v>
      </x:c>
      <x:c r="F403" s="37" t="str">
        <x:v>referential_crushed_soda_can_closest_masked</x:v>
      </x:c>
      <x:c r="G403" s="37" t="str">
        <x:v>airplane×furthest; crushed-soda-can×closest; pencil-sharpener×between; pen fully crossed</x:v>
      </x:c>
      <x:c r="H403" s="37" t="str">
        <x:v>Yes</x:v>
      </x:c>
      <x:c r="I403" s="37" t="str">
        <x:v>Replace prompt only</x:v>
      </x:c>
      <x:c r="J403" s="37" t="str">
        <x:v>Prompt-only relabeling; preserve episode 401 video, scene, trajectory, target, and start position.</x:v>
      </x:c>
      <x:c r="K403" s="37" t="str">
        <x:v>crushed Coke can, crushed Pepsi can, red pencil sharpener, yellow pen</x:v>
      </x:c>
      <x:c r="L403" s="37" t="str">
        <x:v>crushed Pepsi can</x:v>
      </x:c>
      <x:c r="M403" s="37" t="str">
        <x:v>Home</x:v>
      </x:c>
      <x:c r="N403" s="37" t="str">
        <x:v>Pick up the crushed soda can nearest to the red pencil sharpener and place it in the bowl.</x:v>
      </x:c>
      <x:c r="O403" s="37" t="str">
        <x:v>Pick up the crushed soda can nearest to the red pencil sharpener and place it in the bowl.</x:v>
      </x:c>
      <x:c r="P403" s="37" t="str">
        <x:v>The crushed soda can is still named and manipulated directly, but closest is never used to select this candidate category during training.</x:v>
      </x:c>
      <x:c r="Q403" s="38"/>
    </x:row>
    <x:row r="404" ht="60" customHeight="1">
      <x:c r="A404" s="70" t="n">
        <x:v>402</x:v>
      </x:c>
      <x:c r="B404" s="37" t="str">
        <x:v>Referential Disambiguation</x:v>
      </x:c>
      <x:c r="C404" s="37" t="str">
        <x:v>Move the crushed Coke can into the bowl.</x:v>
      </x:c>
      <x:c r="D404" s="37" t="str">
        <x:v>Masked relation × candidate-category composition</x:v>
      </x:c>
      <x:c r="E404" s="37" t="str">
        <x:v>direct identity=crushed Coke can; hidden relation=closest; candidate category=crushed soda can</x:v>
      </x:c>
      <x:c r="F404" s="37" t="str">
        <x:v>referential_crushed_soda_can_closest_masked</x:v>
      </x:c>
      <x:c r="G404" s="37" t="str">
        <x:v>airplane×furthest; crushed-soda-can×closest; pencil-sharpener×between; pen fully crossed</x:v>
      </x:c>
      <x:c r="H404" s="37" t="str">
        <x:v>Yes</x:v>
      </x:c>
      <x:c r="I404" s="37" t="str">
        <x:v>Replace prompt only</x:v>
      </x:c>
      <x:c r="J404" s="37" t="str">
        <x:v>Prompt-only relabeling; preserve episode 402 video, scene, trajectory, target, and start position.</x:v>
      </x:c>
      <x:c r="K404" s="37" t="str">
        <x:v>crushed Coke can, crushed Pepsi can, green pen</x:v>
      </x:c>
      <x:c r="L404" s="37" t="str">
        <x:v>crushed Coke can</x:v>
      </x:c>
      <x:c r="M404" s="37" t="str">
        <x:v>Home</x:v>
      </x:c>
      <x:c r="N404" s="37" t="str">
        <x:v>Put the crushed soda can closest to the green pen in the bowl.</x:v>
      </x:c>
      <x:c r="O404" s="37" t="str">
        <x:v>Put the crushed soda can closest to the green pen in the bowl.</x:v>
      </x:c>
      <x:c r="P404" s="37" t="str">
        <x:v>The crushed soda can is still named and manipulated directly, but closest is never used to select this candidate category during training.</x:v>
      </x:c>
      <x:c r="Q404" s="38"/>
    </x:row>
    <x:row r="405" ht="60" customHeight="1">
      <x:c r="A405" s="70" t="n">
        <x:v>403</x:v>
      </x:c>
      <x:c r="B405" s="37" t="str">
        <x:v>Referential Disambiguation</x:v>
      </x:c>
      <x:c r="C405" s="37" t="str">
        <x:v>Put the crushed Pepsi can in the bowl.</x:v>
      </x:c>
      <x:c r="D405" s="37" t="str">
        <x:v>Masked relation × candidate-category composition</x:v>
      </x:c>
      <x:c r="E405" s="37" t="str">
        <x:v>direct identity=crushed Pepsi can; hidden relation=closest; candidate category=crushed soda can</x:v>
      </x:c>
      <x:c r="F405" s="37" t="str">
        <x:v>referential_crushed_soda_can_closest_masked</x:v>
      </x:c>
      <x:c r="G405" s="37" t="str">
        <x:v>airplane×furthest; crushed-soda-can×closest; pencil-sharpener×between; pen fully crossed</x:v>
      </x:c>
      <x:c r="H405" s="37" t="str">
        <x:v>Yes</x:v>
      </x:c>
      <x:c r="I405" s="37" t="str">
        <x:v>Replace prompt only</x:v>
      </x:c>
      <x:c r="J405" s="37" t="str">
        <x:v>Prompt-only relabeling; preserve episode 403 video, scene, trajectory, target, and start position.</x:v>
      </x:c>
      <x:c r="K405" s="37" t="str">
        <x:v>crushed Coke can, crushed Pepsi can, yellow pen, airplane toy without propellers</x:v>
      </x:c>
      <x:c r="L405" s="37" t="str">
        <x:v>crushed Pepsi can</x:v>
      </x:c>
      <x:c r="M405" s="37" t="str">
        <x:v>Home</x:v>
      </x:c>
      <x:c r="N405" s="37" t="str">
        <x:v>Pick up the crushed soda can nearest to the yellow pen and place it in the bowl.</x:v>
      </x:c>
      <x:c r="O405" s="37" t="str">
        <x:v>Pick up the crushed soda can nearest to the yellow pen and place it in the bowl.</x:v>
      </x:c>
      <x:c r="P405" s="37" t="str">
        <x:v>The crushed soda can is still named and manipulated directly, but closest is never used to select this candidate category during training.</x:v>
      </x:c>
      <x:c r="Q405" s="38"/>
    </x:row>
    <x:row r="406" ht="60" customHeight="1">
      <x:c r="A406" s="70" t="n">
        <x:v>404</x:v>
      </x:c>
      <x:c r="B406" s="37" t="str">
        <x:v>Referential Disambiguation</x:v>
      </x:c>
      <x:c r="C406" s="37" t="str">
        <x:v>Pick up the crushed Coke can and place it in the bowl.</x:v>
      </x:c>
      <x:c r="D406" s="37" t="str">
        <x:v>Masked relation × candidate-category composition</x:v>
      </x:c>
      <x:c r="E406" s="37" t="str">
        <x:v>direct identity=crushed Coke can; hidden relation=closest; candidate category=crushed soda can</x:v>
      </x:c>
      <x:c r="F406" s="37" t="str">
        <x:v>referential_crushed_soda_can_closest_masked</x:v>
      </x:c>
      <x:c r="G406" s="37" t="str">
        <x:v>airplane×furthest; crushed-soda-can×closest; pencil-sharpener×between; pen fully crossed</x:v>
      </x:c>
      <x:c r="H406" s="37" t="str">
        <x:v>Yes</x:v>
      </x:c>
      <x:c r="I406" s="37" t="str">
        <x:v>Replace prompt only</x:v>
      </x:c>
      <x:c r="J406" s="37" t="str">
        <x:v>Prompt-only relabeling; preserve episode 404 video, scene, trajectory, target, and start position.</x:v>
      </x:c>
      <x:c r="K406" s="37" t="str">
        <x:v>crushed Coke can, crushed Pepsi can, airplane toy with propellers</x:v>
      </x:c>
      <x:c r="L406" s="37" t="str">
        <x:v>crushed Coke can</x:v>
      </x:c>
      <x:c r="M406" s="37" t="str">
        <x:v>Recovery</x:v>
      </x:c>
      <x:c r="N406" s="37" t="str">
        <x:v>Pick up the crushed soda can nearest to the airplane toy with propellers and place it in the bowl.</x:v>
      </x:c>
      <x:c r="O406" s="37" t="str">
        <x:v>Pick up the crushed soda can nearest to the airplane toy with propellers and place it in the bowl.</x:v>
      </x:c>
      <x:c r="P406" s="37" t="str">
        <x:v>The crushed soda can is still named and manipulated directly, but closest is never used to select this candidate category during training.</x:v>
      </x:c>
      <x:c r="Q406" s="38"/>
    </x:row>
    <x:row r="407" ht="60" customHeight="1">
      <x:c r="A407" s="70" t="n">
        <x:v>405</x:v>
      </x:c>
      <x:c r="B407" s="37" t="str">
        <x:v>Referential Disambiguation</x:v>
      </x:c>
      <x:c r="C407" s="37" t="str">
        <x:v>Move the crushed Pepsi can into the bowl.</x:v>
      </x:c>
      <x:c r="D407" s="37" t="str">
        <x:v>Masked relation × candidate-category composition</x:v>
      </x:c>
      <x:c r="E407" s="37" t="str">
        <x:v>direct identity=crushed Pepsi can; hidden relation=closest; candidate category=crushed soda can</x:v>
      </x:c>
      <x:c r="F407" s="37" t="str">
        <x:v>referential_crushed_soda_can_closest_masked</x:v>
      </x:c>
      <x:c r="G407" s="37" t="str">
        <x:v>airplane×furthest; crushed-soda-can×closest; pencil-sharpener×between; pen fully crossed</x:v>
      </x:c>
      <x:c r="H407" s="37" t="str">
        <x:v>Yes</x:v>
      </x:c>
      <x:c r="I407" s="37" t="str">
        <x:v>Replace prompt only</x:v>
      </x:c>
      <x:c r="J407" s="37" t="str">
        <x:v>Prompt-only relabeling; preserve episode 405 video, scene, trajectory, target, and start position.</x:v>
      </x:c>
      <x:c r="K407" s="37" t="str">
        <x:v>crushed Coke can, crushed Pepsi can, airplane toy without propellers, red pencil sharpener</x:v>
      </x:c>
      <x:c r="L407" s="37" t="str">
        <x:v>crushed Pepsi can</x:v>
      </x:c>
      <x:c r="M407" s="37" t="str">
        <x:v>Home</x:v>
      </x:c>
      <x:c r="N407" s="37" t="str">
        <x:v>Move the crushed soda can that is closest to the airplane toy without propellers into the bowl.</x:v>
      </x:c>
      <x:c r="O407" s="37" t="str">
        <x:v>Move the crushed soda can that is closest to the airplane toy without propellers into the bowl.</x:v>
      </x:c>
      <x:c r="P407" s="37" t="str">
        <x:v>The crushed soda can is still named and manipulated directly, but closest is never used to select this candidate category during training.</x:v>
      </x:c>
      <x:c r="Q407" s="38"/>
    </x:row>
    <x:row r="408" ht="60" customHeight="1">
      <x:c r="A408" s="70" t="n">
        <x:v>406</x:v>
      </x:c>
      <x:c r="B408" s="37" t="str">
        <x:v>Referential Disambiguation</x:v>
      </x:c>
      <x:c r="C408" s="37" t="str">
        <x:v>Put the crushed Coke can in the bowl.</x:v>
      </x:c>
      <x:c r="D408" s="37" t="str">
        <x:v>Masked relation × candidate-category composition</x:v>
      </x:c>
      <x:c r="E408" s="37" t="str">
        <x:v>direct identity=crushed Coke can; hidden relation=closest; candidate category=crushed soda can</x:v>
      </x:c>
      <x:c r="F408" s="37" t="str">
        <x:v>referential_crushed_soda_can_closest_masked</x:v>
      </x:c>
      <x:c r="G408" s="37" t="str">
        <x:v>airplane×furthest; crushed-soda-can×closest; pencil-sharpener×between; pen fully crossed</x:v>
      </x:c>
      <x:c r="H408" s="37" t="str">
        <x:v>Yes</x:v>
      </x:c>
      <x:c r="I408" s="37" t="str">
        <x:v>Replace prompt only</x:v>
      </x:c>
      <x:c r="J408" s="37" t="str">
        <x:v>Prompt-only relabeling; preserve episode 406 video, scene, trajectory, target, and start position.</x:v>
      </x:c>
      <x:c r="K408" s="37" t="str">
        <x:v>crushed Coke can, crushed Pepsi can, green pencil sharpener</x:v>
      </x:c>
      <x:c r="L408" s="37" t="str">
        <x:v>crushed Coke can</x:v>
      </x:c>
      <x:c r="M408" s="37" t="str">
        <x:v>Home</x:v>
      </x:c>
      <x:c r="N408" s="37" t="str">
        <x:v>Put the crushed soda can closest to the green pencil sharpener in the bowl.</x:v>
      </x:c>
      <x:c r="O408" s="37" t="str">
        <x:v>Put the crushed soda can closest to the green pencil sharpener in the bowl.</x:v>
      </x:c>
      <x:c r="P408" s="37" t="str">
        <x:v>The crushed soda can is still named and manipulated directly, but closest is never used to select this candidate category during training.</x:v>
      </x:c>
      <x:c r="Q408" s="38"/>
    </x:row>
    <x:row r="409" ht="60" customHeight="1">
      <x:c r="A409" s="70" t="n">
        <x:v>407</x:v>
      </x:c>
      <x:c r="B409" s="37" t="str">
        <x:v>Referential Disambiguation</x:v>
      </x:c>
      <x:c r="C409" s="37" t="str">
        <x:v>Pick up the crushed Pepsi can and place it in the bowl.</x:v>
      </x:c>
      <x:c r="D409" s="37" t="str">
        <x:v>Masked relation × candidate-category composition</x:v>
      </x:c>
      <x:c r="E409" s="37" t="str">
        <x:v>direct identity=crushed Pepsi can; hidden relation=closest; candidate category=crushed soda can</x:v>
      </x:c>
      <x:c r="F409" s="37" t="str">
        <x:v>referential_crushed_soda_can_closest_masked</x:v>
      </x:c>
      <x:c r="G409" s="37" t="str">
        <x:v>airplane×furthest; crushed-soda-can×closest; pencil-sharpener×between; pen fully crossed</x:v>
      </x:c>
      <x:c r="H409" s="37" t="str">
        <x:v>Yes</x:v>
      </x:c>
      <x:c r="I409" s="37" t="str">
        <x:v>Replace prompt only</x:v>
      </x:c>
      <x:c r="J409" s="37" t="str">
        <x:v>Prompt-only relabeling; preserve episode 407 video, scene, trajectory, target, and start position.</x:v>
      </x:c>
      <x:c r="K409" s="37" t="str">
        <x:v>crushed Coke can, crushed Pepsi can, red pencil sharpener, green pencil sharpener</x:v>
      </x:c>
      <x:c r="L409" s="37" t="str">
        <x:v>crushed Pepsi can</x:v>
      </x:c>
      <x:c r="M409" s="37" t="str">
        <x:v>Home</x:v>
      </x:c>
      <x:c r="N409" s="37" t="str">
        <x:v>Put the crushed soda can closest to the red pencil sharpener in the bowl.</x:v>
      </x:c>
      <x:c r="O409" s="37" t="str">
        <x:v>Put the crushed soda can closest to the red pencil sharpener in the bowl.</x:v>
      </x:c>
      <x:c r="P409" s="37" t="str">
        <x:v>The crushed soda can is still named and manipulated directly, but closest is never used to select this candidate category during training.</x:v>
      </x:c>
      <x:c r="Q409" s="38"/>
    </x:row>
    <x:row r="410" ht="60" customHeight="1">
      <x:c r="A410" s="70" t="n">
        <x:v>408</x:v>
      </x:c>
      <x:c r="B410" s="37" t="str">
        <x:v>Referential Disambiguation</x:v>
      </x:c>
      <x:c r="C410" s="37" t="str">
        <x:v>Move the crushed Coke can into the bowl.</x:v>
      </x:c>
      <x:c r="D410" s="37" t="str">
        <x:v>Masked relation × candidate-category composition</x:v>
      </x:c>
      <x:c r="E410" s="37" t="str">
        <x:v>direct identity=crushed Coke can; hidden relation=closest; candidate category=crushed soda can</x:v>
      </x:c>
      <x:c r="F410" s="37" t="str">
        <x:v>referential_crushed_soda_can_closest_masked</x:v>
      </x:c>
      <x:c r="G410" s="37" t="str">
        <x:v>airplane×furthest; crushed-soda-can×closest; pencil-sharpener×between; pen fully crossed</x:v>
      </x:c>
      <x:c r="H410" s="37" t="str">
        <x:v>Yes</x:v>
      </x:c>
      <x:c r="I410" s="37" t="str">
        <x:v>Replace prompt only</x:v>
      </x:c>
      <x:c r="J410" s="37" t="str">
        <x:v>Prompt-only relabeling; preserve episode 408 video, scene, trajectory, target, and start position.</x:v>
      </x:c>
      <x:c r="K410" s="37" t="str">
        <x:v>crushed Coke can, crushed Pepsi can, green pen</x:v>
      </x:c>
      <x:c r="L410" s="37" t="str">
        <x:v>crushed Coke can</x:v>
      </x:c>
      <x:c r="M410" s="37" t="str">
        <x:v>Home</x:v>
      </x:c>
      <x:c r="N410" s="37" t="str">
        <x:v>Pick up the crushed soda can nearest to the green pen and place it in the bowl.</x:v>
      </x:c>
      <x:c r="O410" s="37" t="str">
        <x:v>Pick up the crushed soda can nearest to the green pen and place it in the bowl.</x:v>
      </x:c>
      <x:c r="P410" s="37" t="str">
        <x:v>The crushed soda can is still named and manipulated directly, but closest is never used to select this candidate category during training.</x:v>
      </x:c>
      <x:c r="Q410" s="38"/>
    </x:row>
    <x:row r="411" ht="60" customHeight="1">
      <x:c r="A411" s="70" t="n">
        <x:v>409</x:v>
      </x:c>
      <x:c r="B411" s="37" t="str">
        <x:v>Referential Disambiguation</x:v>
      </x:c>
      <x:c r="C411" s="37" t="str">
        <x:v>Put the crushed Pepsi can in the bowl.</x:v>
      </x:c>
      <x:c r="D411" s="37" t="str">
        <x:v>Masked relation × candidate-category composition</x:v>
      </x:c>
      <x:c r="E411" s="37" t="str">
        <x:v>direct identity=crushed Pepsi can; hidden relation=closest; candidate category=crushed soda can</x:v>
      </x:c>
      <x:c r="F411" s="37" t="str">
        <x:v>referential_crushed_soda_can_closest_masked</x:v>
      </x:c>
      <x:c r="G411" s="37" t="str">
        <x:v>airplane×furthest; crushed-soda-can×closest; pencil-sharpener×between; pen fully crossed</x:v>
      </x:c>
      <x:c r="H411" s="37" t="str">
        <x:v>Yes</x:v>
      </x:c>
      <x:c r="I411" s="37" t="str">
        <x:v>Replace prompt only</x:v>
      </x:c>
      <x:c r="J411" s="37" t="str">
        <x:v>Prompt-only relabeling; preserve episode 409 video, scene, trajectory, target, and start position.</x:v>
      </x:c>
      <x:c r="K411" s="37" t="str">
        <x:v>crushed Coke can, crushed Pepsi can, yellow pen, red pencil sharpener</x:v>
      </x:c>
      <x:c r="L411" s="37" t="str">
        <x:v>crushed Pepsi can</x:v>
      </x:c>
      <x:c r="M411" s="37" t="str">
        <x:v>Recovery</x:v>
      </x:c>
      <x:c r="N411" s="37" t="str">
        <x:v>Pick up the crushed soda can nearest to the yellow pen and place it in the bowl.</x:v>
      </x:c>
      <x:c r="O411" s="37" t="str">
        <x:v>Pick up the crushed soda can nearest to the yellow pen and place it in the bowl.</x:v>
      </x:c>
      <x:c r="P411" s="37" t="str">
        <x:v>The crushed soda can is still named and manipulated directly, but closest is never used to select this candidate category during training.</x:v>
      </x:c>
      <x:c r="Q411" s="38"/>
    </x:row>
    <x:row r="412" ht="60" customHeight="1">
      <x:c r="A412" s="70" t="n">
        <x:v>410</x:v>
      </x:c>
      <x:c r="B412" s="37" t="str">
        <x:v>Referential Disambiguation</x:v>
      </x:c>
      <x:c r="C412" s="37" t="str">
        <x:v>Pick up the crushed Coke can and place it in the bowl.</x:v>
      </x:c>
      <x:c r="D412" s="37" t="str">
        <x:v>Masked relation × candidate-category composition</x:v>
      </x:c>
      <x:c r="E412" s="37" t="str">
        <x:v>direct identity=crushed Coke can; hidden relation=closest; candidate category=crushed soda can</x:v>
      </x:c>
      <x:c r="F412" s="37" t="str">
        <x:v>referential_crushed_soda_can_closest_masked</x:v>
      </x:c>
      <x:c r="G412" s="37" t="str">
        <x:v>airplane×furthest; crushed-soda-can×closest; pencil-sharpener×between; pen fully crossed</x:v>
      </x:c>
      <x:c r="H412" s="37" t="str">
        <x:v>Yes</x:v>
      </x:c>
      <x:c r="I412" s="37" t="str">
        <x:v>Replace prompt only</x:v>
      </x:c>
      <x:c r="J412" s="37" t="str">
        <x:v>Prompt-only relabeling; preserve episode 410 video, scene, trajectory, target, and start position.</x:v>
      </x:c>
      <x:c r="K412" s="37" t="str">
        <x:v>crushed Coke can, crushed Pepsi can, airplane toy with propellers</x:v>
      </x:c>
      <x:c r="L412" s="37" t="str">
        <x:v>crushed Coke can</x:v>
      </x:c>
      <x:c r="M412" s="37" t="str">
        <x:v>Home</x:v>
      </x:c>
      <x:c r="N412" s="37" t="str">
        <x:v>Pick up the crushed soda can nearest to the airplane toy with propellers and place it in the bowl.</x:v>
      </x:c>
      <x:c r="O412" s="37" t="str">
        <x:v>Pick up the crushed soda can nearest to the airplane toy with propellers and place it in the bowl.</x:v>
      </x:c>
      <x:c r="P412" s="37" t="str">
        <x:v>The crushed soda can is still named and manipulated directly, but closest is never used to select this candidate category during training.</x:v>
      </x:c>
      <x:c r="Q412" s="38"/>
    </x:row>
    <x:row r="413" ht="60" customHeight="1">
      <x:c r="A413" s="70" t="n">
        <x:v>411</x:v>
      </x:c>
      <x:c r="B413" s="37" t="str">
        <x:v>Referential Disambiguation</x:v>
      </x:c>
      <x:c r="C413" s="37" t="str">
        <x:v>Move the crushed Pepsi can into the bowl.</x:v>
      </x:c>
      <x:c r="D413" s="37" t="str">
        <x:v>Masked relation × candidate-category composition</x:v>
      </x:c>
      <x:c r="E413" s="37" t="str">
        <x:v>direct identity=crushed Pepsi can; hidden relation=closest; candidate category=crushed soda can</x:v>
      </x:c>
      <x:c r="F413" s="37" t="str">
        <x:v>referential_crushed_soda_can_closest_masked</x:v>
      </x:c>
      <x:c r="G413" s="37" t="str">
        <x:v>airplane×furthest; crushed-soda-can×closest; pencil-sharpener×between; pen fully crossed</x:v>
      </x:c>
      <x:c r="H413" s="37" t="str">
        <x:v>Yes</x:v>
      </x:c>
      <x:c r="I413" s="37" t="str">
        <x:v>Replace prompt only</x:v>
      </x:c>
      <x:c r="J413" s="37" t="str">
        <x:v>Prompt-only relabeling; preserve episode 411 video, scene, trajectory, target, and start position.</x:v>
      </x:c>
      <x:c r="K413" s="37" t="str">
        <x:v>crushed Coke can, crushed Pepsi can, airplane toy without propellers, yellow pen</x:v>
      </x:c>
      <x:c r="L413" s="37" t="str">
        <x:v>crushed Pepsi can</x:v>
      </x:c>
      <x:c r="M413" s="37" t="str">
        <x:v>Home</x:v>
      </x:c>
      <x:c r="N413" s="37" t="str">
        <x:v>Move the crushed soda can that is closest to the airplane toy without propellers into the bowl.</x:v>
      </x:c>
      <x:c r="O413" s="37" t="str">
        <x:v>Move the crushed soda can that is closest to the airplane toy without propellers into the bowl.</x:v>
      </x:c>
      <x:c r="P413" s="37" t="str">
        <x:v>The crushed soda can is still named and manipulated directly, but closest is never used to select this candidate category during training.</x:v>
      </x:c>
      <x:c r="Q413" s="38"/>
    </x:row>
    <x:row r="414" ht="60" customHeight="1">
      <x:c r="A414" s="70" t="n">
        <x:v>412</x:v>
      </x:c>
      <x:c r="B414" s="37" t="str">
        <x:v>Referential Disambiguation</x:v>
      </x:c>
      <x:c r="C414" s="37" t="str">
        <x:v>Put the crushed Coke can in the bowl.</x:v>
      </x:c>
      <x:c r="D414" s="37" t="str">
        <x:v>Masked relation × candidate-category composition</x:v>
      </x:c>
      <x:c r="E414" s="37" t="str">
        <x:v>direct identity=crushed Coke can; hidden relation=closest; candidate category=crushed soda can</x:v>
      </x:c>
      <x:c r="F414" s="37" t="str">
        <x:v>referential_crushed_soda_can_closest_masked</x:v>
      </x:c>
      <x:c r="G414" s="37" t="str">
        <x:v>airplane×furthest; crushed-soda-can×closest; pencil-sharpener×between; pen fully crossed</x:v>
      </x:c>
      <x:c r="H414" s="37" t="str">
        <x:v>Yes</x:v>
      </x:c>
      <x:c r="I414" s="37" t="str">
        <x:v>Replace prompt only</x:v>
      </x:c>
      <x:c r="J414" s="37" t="str">
        <x:v>Prompt-only relabeling; preserve episode 412 video, scene, trajectory, target, and start position.</x:v>
      </x:c>
      <x:c r="K414" s="37" t="str">
        <x:v>crushed Coke can, crushed Pepsi can, green pencil sharpener</x:v>
      </x:c>
      <x:c r="L414" s="37" t="str">
        <x:v>crushed Coke can</x:v>
      </x:c>
      <x:c r="M414" s="37" t="str">
        <x:v>Home</x:v>
      </x:c>
      <x:c r="N414" s="37" t="str">
        <x:v>Pick up the crushed soda can nearest to the green pencil sharpener and place it in the bowl.</x:v>
      </x:c>
      <x:c r="O414" s="37" t="str">
        <x:v>Pick up the crushed soda can nearest to the green pencil sharpener and place it in the bowl.</x:v>
      </x:c>
      <x:c r="P414" s="37" t="str">
        <x:v>The crushed soda can is still named and manipulated directly, but closest is never used to select this candidate category during training.</x:v>
      </x:c>
      <x:c r="Q414" s="38"/>
    </x:row>
    <x:row r="415" ht="60" customHeight="1">
      <x:c r="A415" s="70" t="n">
        <x:v>413</x:v>
      </x:c>
      <x:c r="B415" s="37" t="str">
        <x:v>Referential Disambiguation</x:v>
      </x:c>
      <x:c r="C415" s="37" t="str">
        <x:v>Pick up the crushed Pepsi can and place it in the bowl.</x:v>
      </x:c>
      <x:c r="D415" s="37" t="str">
        <x:v>Masked relation × candidate-category composition</x:v>
      </x:c>
      <x:c r="E415" s="37" t="str">
        <x:v>direct identity=crushed Pepsi can; hidden relation=closest; candidate category=crushed soda can</x:v>
      </x:c>
      <x:c r="F415" s="37" t="str">
        <x:v>referential_crushed_soda_can_closest_masked</x:v>
      </x:c>
      <x:c r="G415" s="37" t="str">
        <x:v>airplane×furthest; crushed-soda-can×closest; pencil-sharpener×between; pen fully crossed</x:v>
      </x:c>
      <x:c r="H415" s="37" t="str">
        <x:v>Yes</x:v>
      </x:c>
      <x:c r="I415" s="37" t="str">
        <x:v>Replace prompt only</x:v>
      </x:c>
      <x:c r="J415" s="37" t="str">
        <x:v>Prompt-only relabeling; preserve episode 413 video, scene, trajectory, target, and start position.</x:v>
      </x:c>
      <x:c r="K415" s="37" t="str">
        <x:v>crushed Coke can, crushed Pepsi can, red pencil sharpener, yellow pen</x:v>
      </x:c>
      <x:c r="L415" s="37" t="str">
        <x:v>crushed Pepsi can</x:v>
      </x:c>
      <x:c r="M415" s="37" t="str">
        <x:v>Home</x:v>
      </x:c>
      <x:c r="N415" s="37" t="str">
        <x:v>Pick up the crushed soda can nearest to the red pencil sharpener and place it in the bowl.</x:v>
      </x:c>
      <x:c r="O415" s="37" t="str">
        <x:v>Pick up the crushed soda can nearest to the red pencil sharpener and place it in the bowl.</x:v>
      </x:c>
      <x:c r="P415" s="37" t="str">
        <x:v>The crushed soda can is still named and manipulated directly, but closest is never used to select this candidate category during training.</x:v>
      </x:c>
      <x:c r="Q415" s="38"/>
    </x:row>
    <x:row r="416" ht="60" customHeight="1">
      <x:c r="A416" s="70" t="n">
        <x:v>414</x:v>
      </x:c>
      <x:c r="B416" s="37" t="str">
        <x:v>Referential Disambiguation</x:v>
      </x:c>
      <x:c r="C416" s="37" t="str">
        <x:v>Move the crushed Coke can into the bowl.</x:v>
      </x:c>
      <x:c r="D416" s="37" t="str">
        <x:v>Masked relation × candidate-category composition</x:v>
      </x:c>
      <x:c r="E416" s="37" t="str">
        <x:v>direct identity=crushed Coke can; hidden relation=closest; candidate category=crushed soda can</x:v>
      </x:c>
      <x:c r="F416" s="37" t="str">
        <x:v>referential_crushed_soda_can_closest_masked</x:v>
      </x:c>
      <x:c r="G416" s="37" t="str">
        <x:v>airplane×furthest; crushed-soda-can×closest; pencil-sharpener×between; pen fully crossed</x:v>
      </x:c>
      <x:c r="H416" s="37" t="str">
        <x:v>Yes</x:v>
      </x:c>
      <x:c r="I416" s="37" t="str">
        <x:v>Replace prompt only</x:v>
      </x:c>
      <x:c r="J416" s="37" t="str">
        <x:v>Prompt-only relabeling; preserve episode 414 video, scene, trajectory, target, and start position.</x:v>
      </x:c>
      <x:c r="K416" s="37" t="str">
        <x:v>crushed Coke can, crushed Pepsi can, green pen, yellow pen</x:v>
      </x:c>
      <x:c r="L416" s="37" t="str">
        <x:v>crushed Coke can</x:v>
      </x:c>
      <x:c r="M416" s="37" t="str">
        <x:v>Recovery</x:v>
      </x:c>
      <x:c r="N416" s="37" t="str">
        <x:v>Pick up the crushed soda can nearest to the green pen and place it in the bowl.</x:v>
      </x:c>
      <x:c r="O416" s="37" t="str">
        <x:v>Pick up the crushed soda can nearest to the green pen and place it in the bowl.</x:v>
      </x:c>
      <x:c r="P416" s="37" t="str">
        <x:v>The crushed soda can is still named and manipulated directly, but closest is never used to select this candidate category during training.</x:v>
      </x:c>
      <x:c r="Q416" s="38"/>
    </x:row>
    <x:row r="417" ht="60" customHeight="1">
      <x:c r="A417" s="70" t="n">
        <x:v>415</x:v>
      </x:c>
      <x:c r="B417" s="37" t="str">
        <x:v>Referential Disambiguation</x:v>
      </x:c>
      <x:c r="C417" s="37" t="str">
        <x:v>Pick up the crushed soda can furthest from the green pen and place it in the bowl.</x:v>
      </x:c>
      <x:c r="D417" s="37" t="str">
        <x:v>Explicit furthest grounding</x:v>
      </x:c>
      <x:c r="E417" s="37" t="str">
        <x:v>furthest × crushed soda can candidate category</x:v>
      </x:c>
      <x:c r="F417" s="37" t="str">
        <x:v>referential_crushed_soda_can_furthest_explicit</x:v>
      </x:c>
      <x:c r="G417" s="37" t="str">
        <x:v>airplane×furthest; crushed-soda-can×closest; pencil-sharpener×between; pen fully crossed</x:v>
      </x:c>
      <x:c r="H417" s="37" t="str">
        <x:v>Yes</x:v>
      </x:c>
      <x:c r="I417" s="37" t="str">
        <x:v>Replace prompt only</x:v>
      </x:c>
      <x:c r="J417" s="37" t="str">
        <x:v>Prompt-only relabeling; preserve episode 415 video, scene, trajectory, target, and start position.</x:v>
      </x:c>
      <x:c r="K417" s="37" t="str">
        <x:v>crushed Coke can, crushed Pepsi can, green pen</x:v>
      </x:c>
      <x:c r="L417" s="37" t="str">
        <x:v>crushed Pepsi can</x:v>
      </x:c>
      <x:c r="M417" s="37" t="str">
        <x:v>Home</x:v>
      </x:c>
      <x:c r="N417" s="37" t="str">
        <x:v>Move the crushed Pepsi can into the bowl.</x:v>
      </x:c>
      <x:c r="O417" s="37" t="str"/>
      <x:c r="P417" s="37" t="str">
        <x:v>Explicitly grounds furthest with crushed soda can candidates; only the selected category-specific missing cell is withheld.</x:v>
      </x:c>
      <x:c r="Q417" s="38"/>
    </x:row>
    <x:row r="418" ht="60" customHeight="1">
      <x:c r="A418" s="70" t="n">
        <x:v>416</x:v>
      </x:c>
      <x:c r="B418" s="37" t="str">
        <x:v>Referential Disambiguation</x:v>
      </x:c>
      <x:c r="C418" s="37" t="str">
        <x:v>Pick up the crushed soda can furthest from the yellow pen and place it in the bowl.</x:v>
      </x:c>
      <x:c r="D418" s="37" t="str">
        <x:v>Explicit furthest grounding</x:v>
      </x:c>
      <x:c r="E418" s="37" t="str">
        <x:v>furthest × crushed soda can candidate category</x:v>
      </x:c>
      <x:c r="F418" s="37" t="str">
        <x:v>referential_crushed_soda_can_furthest_explicit</x:v>
      </x:c>
      <x:c r="G418" s="37" t="str">
        <x:v>airplane×furthest; crushed-soda-can×closest; pencil-sharpener×between; pen fully crossed</x:v>
      </x:c>
      <x:c r="H418" s="37" t="str">
        <x:v>Yes</x:v>
      </x:c>
      <x:c r="I418" s="37" t="str">
        <x:v>Replace prompt only</x:v>
      </x:c>
      <x:c r="J418" s="37" t="str">
        <x:v>Prompt-only relabeling; preserve episode 416 video, scene, trajectory, target, and start position.</x:v>
      </x:c>
      <x:c r="K418" s="37" t="str">
        <x:v>crushed Coke can, crushed Pepsi can, yellow pen, airplane toy with propellers</x:v>
      </x:c>
      <x:c r="L418" s="37" t="str">
        <x:v>crushed Coke can</x:v>
      </x:c>
      <x:c r="M418" s="37" t="str">
        <x:v>Home</x:v>
      </x:c>
      <x:c r="N418" s="37" t="str">
        <x:v>Put the crushed Coke can in the bowl.</x:v>
      </x:c>
      <x:c r="O418" s="37" t="str"/>
      <x:c r="P418" s="37" t="str">
        <x:v>Explicitly grounds furthest with crushed soda can candidates; only the selected category-specific missing cell is withheld.</x:v>
      </x:c>
      <x:c r="Q418" s="38"/>
    </x:row>
    <x:row r="419" ht="60" customHeight="1">
      <x:c r="A419" s="70" t="n">
        <x:v>417</x:v>
      </x:c>
      <x:c r="B419" s="37" t="str">
        <x:v>Referential Disambiguation</x:v>
      </x:c>
      <x:c r="C419" s="37" t="str">
        <x:v>Pick up the crushed soda can furthest from the airplane toy with propellers and place it in the bowl.</x:v>
      </x:c>
      <x:c r="D419" s="37" t="str">
        <x:v>Explicit furthest grounding</x:v>
      </x:c>
      <x:c r="E419" s="37" t="str">
        <x:v>furthest × crushed soda can candidate category</x:v>
      </x:c>
      <x:c r="F419" s="37" t="str">
        <x:v>referential_crushed_soda_can_furthest_explicit</x:v>
      </x:c>
      <x:c r="G419" s="37" t="str">
        <x:v>airplane×furthest; crushed-soda-can×closest; pencil-sharpener×between; pen fully crossed</x:v>
      </x:c>
      <x:c r="H419" s="37" t="str">
        <x:v>Yes</x:v>
      </x:c>
      <x:c r="I419" s="37" t="str">
        <x:v>Replace prompt only</x:v>
      </x:c>
      <x:c r="J419" s="37" t="str">
        <x:v>Prompt-only relabeling; preserve episode 417 video, scene, trajectory, target, and start position.</x:v>
      </x:c>
      <x:c r="K419" s="37" t="str">
        <x:v>crushed Coke can, crushed Pepsi can, airplane toy with propellers</x:v>
      </x:c>
      <x:c r="L419" s="37" t="str">
        <x:v>crushed Pepsi can</x:v>
      </x:c>
      <x:c r="M419" s="37" t="str">
        <x:v>Home</x:v>
      </x:c>
      <x:c r="N419" s="37" t="str">
        <x:v>Pick up the crushed Pepsi can and place it in the bowl.</x:v>
      </x:c>
      <x:c r="O419" s="37" t="str"/>
      <x:c r="P419" s="37" t="str">
        <x:v>Explicitly grounds furthest with crushed soda can candidates; only the selected category-specific missing cell is withheld.</x:v>
      </x:c>
      <x:c r="Q419" s="38"/>
    </x:row>
    <x:row r="420" ht="60" customHeight="1">
      <x:c r="A420" s="70" t="n">
        <x:v>418</x:v>
      </x:c>
      <x:c r="B420" s="37" t="str">
        <x:v>Referential Disambiguation</x:v>
      </x:c>
      <x:c r="C420" s="37" t="str">
        <x:v>Pick up the crushed soda can furthest from the airplane toy without propellers and place it in the bowl.</x:v>
      </x:c>
      <x:c r="D420" s="37" t="str">
        <x:v>Explicit furthest grounding</x:v>
      </x:c>
      <x:c r="E420" s="37" t="str">
        <x:v>furthest × crushed soda can candidate category</x:v>
      </x:c>
      <x:c r="F420" s="37" t="str">
        <x:v>referential_crushed_soda_can_furthest_explicit</x:v>
      </x:c>
      <x:c r="G420" s="37" t="str">
        <x:v>airplane×furthest; crushed-soda-can×closest; pencil-sharpener×between; pen fully crossed</x:v>
      </x:c>
      <x:c r="H420" s="37" t="str">
        <x:v>Yes</x:v>
      </x:c>
      <x:c r="I420" s="37" t="str">
        <x:v>Replace prompt only</x:v>
      </x:c>
      <x:c r="J420" s="37" t="str">
        <x:v>Prompt-only relabeling; preserve episode 418 video, scene, trajectory, target, and start position.</x:v>
      </x:c>
      <x:c r="K420" s="37" t="str">
        <x:v>crushed Coke can, crushed Pepsi can, airplane toy without propellers, green pencil sharpener</x:v>
      </x:c>
      <x:c r="L420" s="37" t="str">
        <x:v>crushed Coke can</x:v>
      </x:c>
      <x:c r="M420" s="37" t="str">
        <x:v>Recovery</x:v>
      </x:c>
      <x:c r="N420" s="37" t="str">
        <x:v>Put the crushed Coke can in the bowl.</x:v>
      </x:c>
      <x:c r="O420" s="37" t="str"/>
      <x:c r="P420" s="37" t="str">
        <x:v>Explicitly grounds furthest with crushed soda can candidates; only the selected category-specific missing cell is withheld.</x:v>
      </x:c>
      <x:c r="Q420" s="38"/>
    </x:row>
    <x:row r="421" ht="60" customHeight="1">
      <x:c r="A421" s="70" t="n">
        <x:v>419</x:v>
      </x:c>
      <x:c r="B421" s="37" t="str">
        <x:v>Referential Disambiguation</x:v>
      </x:c>
      <x:c r="C421" s="37" t="str">
        <x:v>Pick up the crushed soda can furthest from the green pencil sharpener and place it in the bowl.</x:v>
      </x:c>
      <x:c r="D421" s="37" t="str">
        <x:v>Explicit furthest grounding</x:v>
      </x:c>
      <x:c r="E421" s="37" t="str">
        <x:v>furthest × crushed soda can candidate category</x:v>
      </x:c>
      <x:c r="F421" s="37" t="str">
        <x:v>referential_crushed_soda_can_furthest_explicit</x:v>
      </x:c>
      <x:c r="G421" s="37" t="str">
        <x:v>airplane×furthest; crushed-soda-can×closest; pencil-sharpener×between; pen fully crossed</x:v>
      </x:c>
      <x:c r="H421" s="37" t="str">
        <x:v>Yes</x:v>
      </x:c>
      <x:c r="I421" s="37" t="str">
        <x:v>Replace prompt only</x:v>
      </x:c>
      <x:c r="J421" s="37" t="str">
        <x:v>Prompt-only relabeling; preserve episode 419 video, scene, trajectory, target, and start position.</x:v>
      </x:c>
      <x:c r="K421" s="37" t="str">
        <x:v>crushed Coke can, crushed Pepsi can, green pencil sharpener</x:v>
      </x:c>
      <x:c r="L421" s="37" t="str">
        <x:v>crushed Pepsi can</x:v>
      </x:c>
      <x:c r="M421" s="37" t="str">
        <x:v>Home</x:v>
      </x:c>
      <x:c r="N421" s="37" t="str">
        <x:v>Put the crushed Pepsi can in the bowl.</x:v>
      </x:c>
      <x:c r="O421" s="37" t="str"/>
      <x:c r="P421" s="37" t="str">
        <x:v>Explicitly grounds furthest with crushed soda can candidates; only the selected category-specific missing cell is withheld.</x:v>
      </x:c>
      <x:c r="Q421" s="38"/>
    </x:row>
    <x:row r="422" ht="60" customHeight="1">
      <x:c r="A422" s="70" t="n">
        <x:v>420</x:v>
      </x:c>
      <x:c r="B422" s="37" t="str">
        <x:v>Referential Disambiguation</x:v>
      </x:c>
      <x:c r="C422" s="37" t="str">
        <x:v>Pick up the crushed soda can furthest from the red pencil sharpener and place it in the bowl.</x:v>
      </x:c>
      <x:c r="D422" s="37" t="str">
        <x:v>Explicit furthest grounding</x:v>
      </x:c>
      <x:c r="E422" s="37" t="str">
        <x:v>furthest × crushed soda can candidate category</x:v>
      </x:c>
      <x:c r="F422" s="37" t="str">
        <x:v>referential_crushed_soda_can_furthest_explicit</x:v>
      </x:c>
      <x:c r="G422" s="37" t="str">
        <x:v>airplane×furthest; crushed-soda-can×closest; pencil-sharpener×between; pen fully crossed</x:v>
      </x:c>
      <x:c r="H422" s="37" t="str">
        <x:v>Yes</x:v>
      </x:c>
      <x:c r="I422" s="37" t="str">
        <x:v>Replace prompt only</x:v>
      </x:c>
      <x:c r="J422" s="37" t="str">
        <x:v>Prompt-only relabeling; preserve episode 420 video, scene, trajectory, target, and start position.</x:v>
      </x:c>
      <x:c r="K422" s="37" t="str">
        <x:v>crushed Coke can, crushed Pepsi can, red pencil sharpener, green pencil sharpener</x:v>
      </x:c>
      <x:c r="L422" s="37" t="str">
        <x:v>crushed Coke can</x:v>
      </x:c>
      <x:c r="M422" s="37" t="str">
        <x:v>Home</x:v>
      </x:c>
      <x:c r="N422" s="37" t="str">
        <x:v>Move the crushed Coke can into the bowl.</x:v>
      </x:c>
      <x:c r="O422" s="37" t="str"/>
      <x:c r="P422" s="37" t="str">
        <x:v>Explicitly grounds furthest with crushed soda can candidates; only the selected category-specific missing cell is withheld.</x:v>
      </x:c>
      <x:c r="Q422" s="38"/>
    </x:row>
    <x:row r="423" ht="60" customHeight="1">
      <x:c r="A423" s="70" t="n">
        <x:v>421</x:v>
      </x:c>
      <x:c r="B423" s="37" t="str">
        <x:v>Referential Disambiguation</x:v>
      </x:c>
      <x:c r="C423" s="37" t="str">
        <x:v>Pick up the crushed soda can furthest from the green pen and place it in the bowl.</x:v>
      </x:c>
      <x:c r="D423" s="37" t="str">
        <x:v>Explicit furthest grounding</x:v>
      </x:c>
      <x:c r="E423" s="37" t="str">
        <x:v>furthest × crushed soda can candidate category</x:v>
      </x:c>
      <x:c r="F423" s="37" t="str">
        <x:v>referential_crushed_soda_can_furthest_explicit</x:v>
      </x:c>
      <x:c r="G423" s="37" t="str">
        <x:v>airplane×furthest; crushed-soda-can×closest; pencil-sharpener×between; pen fully crossed</x:v>
      </x:c>
      <x:c r="H423" s="37" t="str">
        <x:v>Yes</x:v>
      </x:c>
      <x:c r="I423" s="37" t="str">
        <x:v>Replace prompt only</x:v>
      </x:c>
      <x:c r="J423" s="37" t="str">
        <x:v>Prompt-only relabeling; preserve episode 421 video, scene, trajectory, target, and start position.</x:v>
      </x:c>
      <x:c r="K423" s="37" t="str">
        <x:v>crushed Coke can, crushed Pepsi can, green pen</x:v>
      </x:c>
      <x:c r="L423" s="37" t="str">
        <x:v>crushed Pepsi can</x:v>
      </x:c>
      <x:c r="M423" s="37" t="str">
        <x:v>Home</x:v>
      </x:c>
      <x:c r="N423" s="37" t="str">
        <x:v>Put the crushed Pepsi can in the bowl.</x:v>
      </x:c>
      <x:c r="O423" s="37" t="str"/>
      <x:c r="P423" s="37" t="str">
        <x:v>Explicitly grounds furthest with crushed soda can candidates; only the selected category-specific missing cell is withheld.</x:v>
      </x:c>
      <x:c r="Q423" s="38"/>
    </x:row>
    <x:row r="424" ht="60" customHeight="1">
      <x:c r="A424" s="70" t="n">
        <x:v>422</x:v>
      </x:c>
      <x:c r="B424" s="37" t="str">
        <x:v>Referential Disambiguation</x:v>
      </x:c>
      <x:c r="C424" s="37" t="str">
        <x:v>Pick up the crushed soda can furthest from the yellow pen and place it in the bowl.</x:v>
      </x:c>
      <x:c r="D424" s="37" t="str">
        <x:v>Explicit furthest grounding</x:v>
      </x:c>
      <x:c r="E424" s="37" t="str">
        <x:v>furthest × crushed soda can candidate category</x:v>
      </x:c>
      <x:c r="F424" s="37" t="str">
        <x:v>referential_crushed_soda_can_furthest_explicit</x:v>
      </x:c>
      <x:c r="G424" s="37" t="str">
        <x:v>airplane×furthest; crushed-soda-can×closest; pencil-sharpener×between; pen fully crossed</x:v>
      </x:c>
      <x:c r="H424" s="37" t="str">
        <x:v>Yes</x:v>
      </x:c>
      <x:c r="I424" s="37" t="str">
        <x:v>Replace prompt only</x:v>
      </x:c>
      <x:c r="J424" s="37" t="str">
        <x:v>Prompt-only relabeling; preserve episode 422 video, scene, trajectory, target, and start position.</x:v>
      </x:c>
      <x:c r="K424" s="37" t="str">
        <x:v>crushed Coke can, crushed Pepsi can, yellow pen, green pencil sharpener</x:v>
      </x:c>
      <x:c r="L424" s="37" t="str">
        <x:v>crushed Coke can</x:v>
      </x:c>
      <x:c r="M424" s="37" t="str">
        <x:v>Home</x:v>
      </x:c>
      <x:c r="N424" s="37" t="str">
        <x:v>Pick up the crushed Coke can and place it in the bowl.</x:v>
      </x:c>
      <x:c r="O424" s="37" t="str"/>
      <x:c r="P424" s="37" t="str">
        <x:v>Explicitly grounds furthest with crushed soda can candidates; only the selected category-specific missing cell is withheld.</x:v>
      </x:c>
      <x:c r="Q424" s="38"/>
    </x:row>
    <x:row r="425" ht="60" customHeight="1">
      <x:c r="A425" s="70" t="n">
        <x:v>423</x:v>
      </x:c>
      <x:c r="B425" s="37" t="str">
        <x:v>Referential Disambiguation</x:v>
      </x:c>
      <x:c r="C425" s="37" t="str">
        <x:v>Pick up the crushed soda can furthest from the airplane toy with propellers and place it in the bowl.</x:v>
      </x:c>
      <x:c r="D425" s="37" t="str">
        <x:v>Explicit furthest grounding</x:v>
      </x:c>
      <x:c r="E425" s="37" t="str">
        <x:v>furthest × crushed soda can candidate category</x:v>
      </x:c>
      <x:c r="F425" s="37" t="str">
        <x:v>referential_crushed_soda_can_furthest_explicit</x:v>
      </x:c>
      <x:c r="G425" s="37" t="str">
        <x:v>airplane×furthest; crushed-soda-can×closest; pencil-sharpener×between; pen fully crossed</x:v>
      </x:c>
      <x:c r="H425" s="37" t="str">
        <x:v>Yes</x:v>
      </x:c>
      <x:c r="I425" s="37" t="str">
        <x:v>Replace prompt only</x:v>
      </x:c>
      <x:c r="J425" s="37" t="str">
        <x:v>Prompt-only relabeling; preserve episode 423 video, scene, trajectory, target, and start position.</x:v>
      </x:c>
      <x:c r="K425" s="37" t="str">
        <x:v>crushed Coke can, crushed Pepsi can, airplane toy with propellers</x:v>
      </x:c>
      <x:c r="L425" s="37" t="str">
        <x:v>crushed Pepsi can</x:v>
      </x:c>
      <x:c r="M425" s="37" t="str">
        <x:v>Recovery</x:v>
      </x:c>
      <x:c r="N425" s="37" t="str">
        <x:v>Put the crushed Pepsi can in the bowl.</x:v>
      </x:c>
      <x:c r="O425" s="37" t="str"/>
      <x:c r="P425" s="37" t="str">
        <x:v>Explicitly grounds furthest with crushed soda can candidates; only the selected category-specific missing cell is withheld.</x:v>
      </x:c>
      <x:c r="Q425" s="38"/>
    </x:row>
    <x:row r="426" ht="60" customHeight="1">
      <x:c r="A426" s="70" t="n">
        <x:v>424</x:v>
      </x:c>
      <x:c r="B426" s="37" t="str">
        <x:v>Referential Disambiguation</x:v>
      </x:c>
      <x:c r="C426" s="37" t="str">
        <x:v>Pick up the crushed soda can furthest from the airplane toy without propellers and place it in the bowl.</x:v>
      </x:c>
      <x:c r="D426" s="37" t="str">
        <x:v>Explicit furthest grounding</x:v>
      </x:c>
      <x:c r="E426" s="37" t="str">
        <x:v>furthest × crushed soda can candidate category</x:v>
      </x:c>
      <x:c r="F426" s="37" t="str">
        <x:v>referential_crushed_soda_can_furthest_explicit</x:v>
      </x:c>
      <x:c r="G426" s="37" t="str">
        <x:v>airplane×furthest; crushed-soda-can×closest; pencil-sharpener×between; pen fully crossed</x:v>
      </x:c>
      <x:c r="H426" s="37" t="str">
        <x:v>Yes</x:v>
      </x:c>
      <x:c r="I426" s="37" t="str">
        <x:v>Replace prompt only</x:v>
      </x:c>
      <x:c r="J426" s="37" t="str">
        <x:v>Prompt-only relabeling; preserve episode 424 video, scene, trajectory, target, and start position.</x:v>
      </x:c>
      <x:c r="K426" s="37" t="str">
        <x:v>crushed Coke can, crushed Pepsi can, airplane toy without propellers, green pen</x:v>
      </x:c>
      <x:c r="L426" s="37" t="str">
        <x:v>crushed Coke can</x:v>
      </x:c>
      <x:c r="M426" s="37" t="str">
        <x:v>Home</x:v>
      </x:c>
      <x:c r="N426" s="37" t="str">
        <x:v>Pick up the crushed Coke can and place it in the bowl.</x:v>
      </x:c>
      <x:c r="O426" s="37" t="str"/>
      <x:c r="P426" s="37" t="str">
        <x:v>Explicitly grounds furthest with crushed soda can candidates; only the selected category-specific missing cell is withheld.</x:v>
      </x:c>
      <x:c r="Q426" s="38"/>
    </x:row>
    <x:row r="427" ht="60" customHeight="1">
      <x:c r="A427" s="70" t="n">
        <x:v>425</x:v>
      </x:c>
      <x:c r="B427" s="37" t="str">
        <x:v>Referential Disambiguation</x:v>
      </x:c>
      <x:c r="C427" s="37" t="str">
        <x:v>Pick up the crushed soda can furthest from the green pencil sharpener and place it in the bowl.</x:v>
      </x:c>
      <x:c r="D427" s="37" t="str">
        <x:v>Explicit furthest grounding</x:v>
      </x:c>
      <x:c r="E427" s="37" t="str">
        <x:v>furthest × crushed soda can candidate category</x:v>
      </x:c>
      <x:c r="F427" s="37" t="str">
        <x:v>referential_crushed_soda_can_furthest_explicit</x:v>
      </x:c>
      <x:c r="G427" s="37" t="str">
        <x:v>airplane×furthest; crushed-soda-can×closest; pencil-sharpener×between; pen fully crossed</x:v>
      </x:c>
      <x:c r="H427" s="37" t="str">
        <x:v>Yes</x:v>
      </x:c>
      <x:c r="I427" s="37" t="str">
        <x:v>Replace prompt only</x:v>
      </x:c>
      <x:c r="J427" s="37" t="str">
        <x:v>Prompt-only relabeling; preserve episode 425 video, scene, trajectory, target, and start position.</x:v>
      </x:c>
      <x:c r="K427" s="37" t="str">
        <x:v>crushed Coke can, crushed Pepsi can, green pencil sharpener</x:v>
      </x:c>
      <x:c r="L427" s="37" t="str">
        <x:v>crushed Pepsi can</x:v>
      </x:c>
      <x:c r="M427" s="37" t="str">
        <x:v>Home</x:v>
      </x:c>
      <x:c r="N427" s="37" t="str">
        <x:v>Move the crushed Pepsi can into the bowl.</x:v>
      </x:c>
      <x:c r="O427" s="37" t="str"/>
      <x:c r="P427" s="37" t="str">
        <x:v>Explicitly grounds furthest with crushed soda can candidates; only the selected category-specific missing cell is withheld.</x:v>
      </x:c>
      <x:c r="Q427" s="38"/>
    </x:row>
    <x:row r="428" ht="60" customHeight="1">
      <x:c r="A428" s="70" t="n">
        <x:v>426</x:v>
      </x:c>
      <x:c r="B428" s="37" t="str">
        <x:v>Referential Disambiguation</x:v>
      </x:c>
      <x:c r="C428" s="37" t="str">
        <x:v>Pick up the crushed soda can furthest from the red pencil sharpener and place it in the bowl.</x:v>
      </x:c>
      <x:c r="D428" s="37" t="str">
        <x:v>Explicit furthest grounding</x:v>
      </x:c>
      <x:c r="E428" s="37" t="str">
        <x:v>furthest × crushed soda can candidate category</x:v>
      </x:c>
      <x:c r="F428" s="37" t="str">
        <x:v>referential_crushed_soda_can_furthest_explicit</x:v>
      </x:c>
      <x:c r="G428" s="37" t="str">
        <x:v>airplane×furthest; crushed-soda-can×closest; pencil-sharpener×between; pen fully crossed</x:v>
      </x:c>
      <x:c r="H428" s="37" t="str">
        <x:v>Yes</x:v>
      </x:c>
      <x:c r="I428" s="37" t="str">
        <x:v>Replace prompt only</x:v>
      </x:c>
      <x:c r="J428" s="37" t="str">
        <x:v>Prompt-only relabeling; preserve episode 426 video, scene, trajectory, target, and start position.</x:v>
      </x:c>
      <x:c r="K428" s="37" t="str">
        <x:v>crushed Coke can, crushed Pepsi can, red pencil sharpener, green pen</x:v>
      </x:c>
      <x:c r="L428" s="37" t="str">
        <x:v>crushed Coke can</x:v>
      </x:c>
      <x:c r="M428" s="37" t="str">
        <x:v>Home</x:v>
      </x:c>
      <x:c r="N428" s="37" t="str">
        <x:v>Move the crushed Coke can into the bowl.</x:v>
      </x:c>
      <x:c r="O428" s="37" t="str"/>
      <x:c r="P428" s="37" t="str">
        <x:v>Explicitly grounds furthest with crushed soda can candidates; only the selected category-specific missing cell is withheld.</x:v>
      </x:c>
      <x:c r="Q428" s="38"/>
    </x:row>
    <x:row r="429" ht="60" customHeight="1">
      <x:c r="A429" s="70" t="n">
        <x:v>427</x:v>
      </x:c>
      <x:c r="B429" s="37" t="str">
        <x:v>Referential Disambiguation</x:v>
      </x:c>
      <x:c r="C429" s="37" t="str">
        <x:v>Pick up the crushed soda can furthest from the green pen and place it in the bowl.</x:v>
      </x:c>
      <x:c r="D429" s="37" t="str">
        <x:v>Explicit furthest grounding</x:v>
      </x:c>
      <x:c r="E429" s="37" t="str">
        <x:v>furthest × crushed soda can candidate category</x:v>
      </x:c>
      <x:c r="F429" s="37" t="str">
        <x:v>referential_crushed_soda_can_furthest_explicit</x:v>
      </x:c>
      <x:c r="G429" s="37" t="str">
        <x:v>airplane×furthest; crushed-soda-can×closest; pencil-sharpener×between; pen fully crossed</x:v>
      </x:c>
      <x:c r="H429" s="37" t="str">
        <x:v>Yes</x:v>
      </x:c>
      <x:c r="I429" s="37" t="str">
        <x:v>Replace prompt only</x:v>
      </x:c>
      <x:c r="J429" s="37" t="str">
        <x:v>Prompt-only relabeling; preserve episode 427 video, scene, trajectory, target, and start position.</x:v>
      </x:c>
      <x:c r="K429" s="37" t="str">
        <x:v>crushed Coke can, crushed Pepsi can, green pen</x:v>
      </x:c>
      <x:c r="L429" s="37" t="str">
        <x:v>crushed Pepsi can</x:v>
      </x:c>
      <x:c r="M429" s="37" t="str">
        <x:v>Home</x:v>
      </x:c>
      <x:c r="N429" s="37" t="str">
        <x:v>Pick up the crushed Pepsi can and place it in the bowl.</x:v>
      </x:c>
      <x:c r="O429" s="37" t="str"/>
      <x:c r="P429" s="37" t="str">
        <x:v>Explicitly grounds furthest with crushed soda can candidates; only the selected category-specific missing cell is withheld.</x:v>
      </x:c>
      <x:c r="Q429" s="38"/>
    </x:row>
    <x:row r="430" ht="60" customHeight="1">
      <x:c r="A430" s="70" t="n">
        <x:v>428</x:v>
      </x:c>
      <x:c r="B430" s="37" t="str">
        <x:v>Referential Disambiguation</x:v>
      </x:c>
      <x:c r="C430" s="37" t="str">
        <x:v>Pick up the crushed soda can furthest from the yellow pen and place it in the bowl.</x:v>
      </x:c>
      <x:c r="D430" s="37" t="str">
        <x:v>Explicit furthest grounding</x:v>
      </x:c>
      <x:c r="E430" s="37" t="str">
        <x:v>furthest × crushed soda can candidate category</x:v>
      </x:c>
      <x:c r="F430" s="37" t="str">
        <x:v>referential_crushed_soda_can_furthest_explicit</x:v>
      </x:c>
      <x:c r="G430" s="37" t="str">
        <x:v>airplane×furthest; crushed-soda-can×closest; pencil-sharpener×between; pen fully crossed</x:v>
      </x:c>
      <x:c r="H430" s="37" t="str">
        <x:v>Yes</x:v>
      </x:c>
      <x:c r="I430" s="37" t="str">
        <x:v>Replace prompt only</x:v>
      </x:c>
      <x:c r="J430" s="37" t="str">
        <x:v>Prompt-only relabeling; preserve episode 428 video, scene, trajectory, target, and start position.</x:v>
      </x:c>
      <x:c r="K430" s="37" t="str">
        <x:v>crushed Coke can, crushed Pepsi can, yellow pen, green pen</x:v>
      </x:c>
      <x:c r="L430" s="37" t="str">
        <x:v>crushed Coke can</x:v>
      </x:c>
      <x:c r="M430" s="37" t="str">
        <x:v>Recovery</x:v>
      </x:c>
      <x:c r="N430" s="37" t="str">
        <x:v>Put the crushed Coke can in the bowl.</x:v>
      </x:c>
      <x:c r="O430" s="37" t="str"/>
      <x:c r="P430" s="37" t="str">
        <x:v>Explicitly grounds furthest with crushed soda can candidates; only the selected category-specific missing cell is withheld.</x:v>
      </x:c>
      <x:c r="Q430" s="38"/>
    </x:row>
    <x:row r="431" ht="60" customHeight="1">
      <x:c r="A431" s="70" t="n">
        <x:v>429</x:v>
      </x:c>
      <x:c r="B431" s="37" t="str">
        <x:v>Referential Disambiguation</x:v>
      </x:c>
      <x:c r="C431" s="37" t="str">
        <x:v>Pick up the crushed soda can furthest from the airplane toy with propellers and place it in the bowl.</x:v>
      </x:c>
      <x:c r="D431" s="37" t="str">
        <x:v>Explicit furthest grounding</x:v>
      </x:c>
      <x:c r="E431" s="37" t="str">
        <x:v>furthest × crushed soda can candidate category</x:v>
      </x:c>
      <x:c r="F431" s="37" t="str">
        <x:v>referential_crushed_soda_can_furthest_explicit</x:v>
      </x:c>
      <x:c r="G431" s="37" t="str">
        <x:v>airplane×furthest; crushed-soda-can×closest; pencil-sharpener×between; pen fully crossed</x:v>
      </x:c>
      <x:c r="H431" s="37" t="str">
        <x:v>Yes</x:v>
      </x:c>
      <x:c r="I431" s="37" t="str">
        <x:v>Replace prompt only</x:v>
      </x:c>
      <x:c r="J431" s="37" t="str">
        <x:v>Prompt-only relabeling; preserve episode 429 video, scene, trajectory, target, and start position.</x:v>
      </x:c>
      <x:c r="K431" s="37" t="str">
        <x:v>crushed Coke can, crushed Pepsi can, airplane toy with propellers</x:v>
      </x:c>
      <x:c r="L431" s="37" t="str">
        <x:v>crushed Pepsi can</x:v>
      </x:c>
      <x:c r="M431" s="37" t="str">
        <x:v>Home</x:v>
      </x:c>
      <x:c r="N431" s="37" t="str">
        <x:v>Pick up the crushed Pepsi can and place it in the bowl.</x:v>
      </x:c>
      <x:c r="O431" s="37" t="str"/>
      <x:c r="P431" s="37" t="str">
        <x:v>Explicitly grounds furthest with crushed soda can candidates; only the selected category-specific missing cell is withheld.</x:v>
      </x:c>
      <x:c r="Q431" s="38"/>
    </x:row>
    <x:row r="432" ht="60" customHeight="1">
      <x:c r="A432" s="70" t="n">
        <x:v>430</x:v>
      </x:c>
      <x:c r="B432" s="37" t="str">
        <x:v>Referential Disambiguation</x:v>
      </x:c>
      <x:c r="C432" s="37" t="str">
        <x:v>Move the crushed soda can lying between the green pencil sharpener and the green pen into the bowl.</x:v>
      </x:c>
      <x:c r="D432" s="37" t="str">
        <x:v>Explicit between grounding</x:v>
      </x:c>
      <x:c r="E432" s="37" t="str">
        <x:v>between × crushed soda can candidate category</x:v>
      </x:c>
      <x:c r="F432" s="37" t="str">
        <x:v>referential_crushed_soda_can_between_explicit</x:v>
      </x:c>
      <x:c r="G432" s="37" t="str">
        <x:v>airplane×furthest; crushed-soda-can×closest; pencil-sharpener×between; pen fully crossed</x:v>
      </x:c>
      <x:c r="H432" s="37" t="str">
        <x:v>No</x:v>
      </x:c>
      <x:c r="I432" s="37" t="str">
        <x:v>Keep prompt</x:v>
      </x:c>
      <x:c r="J432" s="37" t="str">
        <x:v>No prompt change required under the missing-cell design.</x:v>
      </x:c>
      <x:c r="K432" s="37" t="str">
        <x:v>crushed Coke can, crushed Pepsi can, green pencil sharpener, green pen</x:v>
      </x:c>
      <x:c r="L432" s="37" t="str">
        <x:v>crushed Coke can</x:v>
      </x:c>
      <x:c r="M432" s="37" t="str">
        <x:v>Home</x:v>
      </x:c>
      <x:c r="N432" s="37" t="str">
        <x:v>Move the crushed soda can lying between the green pencil sharpener and the green pen into the bowl.</x:v>
      </x:c>
      <x:c r="O432" s="37" t="str"/>
      <x:c r="P432" s="37" t="str">
        <x:v>Explicitly grounds between with crushed soda can candidates; only the selected category-specific missing cell is withheld.</x:v>
      </x:c>
      <x:c r="Q432" s="38"/>
    </x:row>
    <x:row r="433" ht="60" customHeight="1">
      <x:c r="A433" s="70" t="n">
        <x:v>431</x:v>
      </x:c>
      <x:c r="B433" s="37" t="str">
        <x:v>Referential Disambiguation</x:v>
      </x:c>
      <x:c r="C433" s="37" t="str">
        <x:v>Pick up the crushed soda can positioned between the airplane toy with propellers and the green pencil sharpener, then place it in the bowl.</x:v>
      </x:c>
      <x:c r="D433" s="37" t="str">
        <x:v>Explicit between grounding</x:v>
      </x:c>
      <x:c r="E433" s="37" t="str">
        <x:v>between × crushed soda can candidate category</x:v>
      </x:c>
      <x:c r="F433" s="37" t="str">
        <x:v>referential_crushed_soda_can_between_explicit</x:v>
      </x:c>
      <x:c r="G433" s="37" t="str">
        <x:v>airplane×furthest; crushed-soda-can×closest; pencil-sharpener×between; pen fully crossed</x:v>
      </x:c>
      <x:c r="H433" s="37" t="str">
        <x:v>No</x:v>
      </x:c>
      <x:c r="I433" s="37" t="str">
        <x:v>Keep prompt</x:v>
      </x:c>
      <x:c r="J433" s="37" t="str">
        <x:v>No prompt change required under the missing-cell design.</x:v>
      </x:c>
      <x:c r="K433" s="37" t="str">
        <x:v>crushed Coke can, crushed Pepsi can, airplane toy with propellers, green pencil sharpener</x:v>
      </x:c>
      <x:c r="L433" s="37" t="str">
        <x:v>crushed Coke can</x:v>
      </x:c>
      <x:c r="M433" s="37" t="str">
        <x:v>Home</x:v>
      </x:c>
      <x:c r="N433" s="37" t="str">
        <x:v>Pick up the crushed soda can positioned between the airplane toy with propellers and the green pencil sharpener, then place it in the bowl.</x:v>
      </x:c>
      <x:c r="O433" s="37" t="str"/>
      <x:c r="P433" s="37" t="str">
        <x:v>Explicitly grounds between with crushed soda can candidates; only the selected category-specific missing cell is withheld.</x:v>
      </x:c>
      <x:c r="Q433" s="38"/>
    </x:row>
    <x:row r="434" ht="60" customHeight="1">
      <x:c r="A434" s="70" t="n">
        <x:v>432</x:v>
      </x:c>
      <x:c r="B434" s="37" t="str">
        <x:v>Referential Disambiguation</x:v>
      </x:c>
      <x:c r="C434" s="37" t="str">
        <x:v>Pick up the crushed soda can positioned between the airplane toy with propellers and the green pen, then place it in the bowl.</x:v>
      </x:c>
      <x:c r="D434" s="37" t="str">
        <x:v>Explicit between grounding</x:v>
      </x:c>
      <x:c r="E434" s="37" t="str">
        <x:v>between × crushed soda can candidate category</x:v>
      </x:c>
      <x:c r="F434" s="37" t="str">
        <x:v>referential_crushed_soda_can_between_explicit</x:v>
      </x:c>
      <x:c r="G434" s="37" t="str">
        <x:v>airplane×furthest; crushed-soda-can×closest; pencil-sharpener×between; pen fully crossed</x:v>
      </x:c>
      <x:c r="H434" s="37" t="str">
        <x:v>No</x:v>
      </x:c>
      <x:c r="I434" s="37" t="str">
        <x:v>Keep prompt</x:v>
      </x:c>
      <x:c r="J434" s="37" t="str">
        <x:v>No prompt change required under the missing-cell design.</x:v>
      </x:c>
      <x:c r="K434" s="37" t="str">
        <x:v>crushed Coke can, crushed Pepsi can, airplane toy with propellers, green pen, green pencil sharpener</x:v>
      </x:c>
      <x:c r="L434" s="37" t="str">
        <x:v>crushed Pepsi can</x:v>
      </x:c>
      <x:c r="M434" s="37" t="str">
        <x:v>Home</x:v>
      </x:c>
      <x:c r="N434" s="37" t="str">
        <x:v>Pick up the crushed soda can positioned between the airplane toy with propellers and the green pen, then place it in the bowl.</x:v>
      </x:c>
      <x:c r="O434" s="37" t="str"/>
      <x:c r="P434" s="37" t="str">
        <x:v>Explicitly grounds between with crushed soda can candidates; only the selected category-specific missing cell is withheld.</x:v>
      </x:c>
      <x:c r="Q434" s="38"/>
    </x:row>
    <x:row r="435" ht="60" customHeight="1">
      <x:c r="A435" s="70" t="n">
        <x:v>433</x:v>
      </x:c>
      <x:c r="B435" s="37" t="str">
        <x:v>Referential Disambiguation</x:v>
      </x:c>
      <x:c r="C435" s="37" t="str">
        <x:v>Move the crushed soda can lying between the green pencil sharpener and the yellow pen into the bowl.</x:v>
      </x:c>
      <x:c r="D435" s="37" t="str">
        <x:v>Explicit between grounding</x:v>
      </x:c>
      <x:c r="E435" s="37" t="str">
        <x:v>between × crushed soda can candidate category</x:v>
      </x:c>
      <x:c r="F435" s="37" t="str">
        <x:v>referential_crushed_soda_can_between_explicit</x:v>
      </x:c>
      <x:c r="G435" s="37" t="str">
        <x:v>airplane×furthest; crushed-soda-can×closest; pencil-sharpener×between; pen fully crossed</x:v>
      </x:c>
      <x:c r="H435" s="37" t="str">
        <x:v>No</x:v>
      </x:c>
      <x:c r="I435" s="37" t="str">
        <x:v>Keep prompt</x:v>
      </x:c>
      <x:c r="J435" s="37" t="str">
        <x:v>No prompt change required under the missing-cell design.</x:v>
      </x:c>
      <x:c r="K435" s="37" t="str">
        <x:v>crushed Coke can, crushed Pepsi can, green pencil sharpener, yellow pen, green pen</x:v>
      </x:c>
      <x:c r="L435" s="37" t="str">
        <x:v>crushed Pepsi can</x:v>
      </x:c>
      <x:c r="M435" s="37" t="str">
        <x:v>Recovery</x:v>
      </x:c>
      <x:c r="N435" s="37" t="str">
        <x:v>Move the crushed soda can lying between the green pencil sharpener and the yellow pen into the bowl.</x:v>
      </x:c>
      <x:c r="O435" s="37" t="str"/>
      <x:c r="P435" s="37" t="str">
        <x:v>Explicitly grounds between with crushed soda can candidates; only the selected category-specific missing cell is withheld.</x:v>
      </x:c>
      <x:c r="Q435" s="38"/>
    </x:row>
    <x:row r="436" ht="60" customHeight="1">
      <x:c r="A436" s="70" t="n">
        <x:v>434</x:v>
      </x:c>
      <x:c r="B436" s="37" t="str">
        <x:v>Referential Disambiguation</x:v>
      </x:c>
      <x:c r="C436" s="37" t="str">
        <x:v>Move the crushed soda can lying between the red pencil sharpener and the airplane toy with propellers into the bowl.</x:v>
      </x:c>
      <x:c r="D436" s="37" t="str">
        <x:v>Explicit between grounding</x:v>
      </x:c>
      <x:c r="E436" s="37" t="str">
        <x:v>between × crushed soda can candidate category</x:v>
      </x:c>
      <x:c r="F436" s="37" t="str">
        <x:v>referential_crushed_soda_can_between_explicit</x:v>
      </x:c>
      <x:c r="G436" s="37" t="str">
        <x:v>airplane×furthest; crushed-soda-can×closest; pencil-sharpener×between; pen fully crossed</x:v>
      </x:c>
      <x:c r="H436" s="37" t="str">
        <x:v>No</x:v>
      </x:c>
      <x:c r="I436" s="37" t="str">
        <x:v>Keep prompt</x:v>
      </x:c>
      <x:c r="J436" s="37" t="str">
        <x:v>No prompt change required under the missing-cell design.</x:v>
      </x:c>
      <x:c r="K436" s="37" t="str">
        <x:v>crushed Coke can, crushed Pepsi can, red pencil sharpener, airplane toy with propellers</x:v>
      </x:c>
      <x:c r="L436" s="37" t="str">
        <x:v>crushed Coke can</x:v>
      </x:c>
      <x:c r="M436" s="37" t="str">
        <x:v>Home</x:v>
      </x:c>
      <x:c r="N436" s="37" t="str">
        <x:v>Move the crushed soda can lying between the red pencil sharpener and the airplane toy with propellers into the bowl.</x:v>
      </x:c>
      <x:c r="O436" s="37" t="str"/>
      <x:c r="P436" s="37" t="str">
        <x:v>Explicitly grounds between with crushed soda can candidates; only the selected category-specific missing cell is withheld.</x:v>
      </x:c>
      <x:c r="Q436" s="38"/>
    </x:row>
    <x:row r="437" ht="60" customHeight="1">
      <x:c r="A437" s="70" t="n">
        <x:v>435</x:v>
      </x:c>
      <x:c r="B437" s="37" t="str">
        <x:v>Referential Disambiguation</x:v>
      </x:c>
      <x:c r="C437" s="37" t="str">
        <x:v>Pick up the crushed soda can positioned between the airplane toy without propellers and the yellow pen, then place it in the bowl.</x:v>
      </x:c>
      <x:c r="D437" s="37" t="str">
        <x:v>Explicit between grounding</x:v>
      </x:c>
      <x:c r="E437" s="37" t="str">
        <x:v>between × crushed soda can candidate category</x:v>
      </x:c>
      <x:c r="F437" s="37" t="str">
        <x:v>referential_crushed_soda_can_between_explicit</x:v>
      </x:c>
      <x:c r="G437" s="37" t="str">
        <x:v>airplane×furthest; crushed-soda-can×closest; pencil-sharpener×between; pen fully crossed</x:v>
      </x:c>
      <x:c r="H437" s="37" t="str">
        <x:v>No</x:v>
      </x:c>
      <x:c r="I437" s="37" t="str">
        <x:v>Keep prompt</x:v>
      </x:c>
      <x:c r="J437" s="37" t="str">
        <x:v>No prompt change required under the missing-cell design.</x:v>
      </x:c>
      <x:c r="K437" s="37" t="str">
        <x:v>crushed Coke can, crushed Pepsi can, airplane toy without propellers, yellow pen, red pencil sharpener</x:v>
      </x:c>
      <x:c r="L437" s="37" t="str">
        <x:v>crushed Pepsi can</x:v>
      </x:c>
      <x:c r="M437" s="37" t="str">
        <x:v>Recovery</x:v>
      </x:c>
      <x:c r="N437" s="37" t="str">
        <x:v>Pick up the crushed soda can positioned between the airplane toy without propellers and the yellow pen, then place it in the bowl.</x:v>
      </x:c>
      <x:c r="O437" s="37" t="str"/>
      <x:c r="P437" s="37" t="str">
        <x:v>Explicitly grounds between with crushed soda can candidates; only the selected category-specific missing cell is withheld.</x:v>
      </x:c>
      <x:c r="Q437" s="38"/>
    </x:row>
    <x:row r="438" ht="60" customHeight="1">
      <x:c r="A438" s="70" t="n">
        <x:v>436</x:v>
      </x:c>
      <x:c r="B438" s="37" t="str">
        <x:v>Referential Disambiguation</x:v>
      </x:c>
      <x:c r="C438" s="37" t="str">
        <x:v>Pick up the crushed soda can positioned between the green pen and the red pencil sharpener, then place it in the bowl.</x:v>
      </x:c>
      <x:c r="D438" s="37" t="str">
        <x:v>Explicit between grounding</x:v>
      </x:c>
      <x:c r="E438" s="37" t="str">
        <x:v>between × crushed soda can candidate category</x:v>
      </x:c>
      <x:c r="F438" s="37" t="str">
        <x:v>referential_crushed_soda_can_between_explicit</x:v>
      </x:c>
      <x:c r="G438" s="37" t="str">
        <x:v>airplane×furthest; crushed-soda-can×closest; pencil-sharpener×between; pen fully crossed</x:v>
      </x:c>
      <x:c r="H438" s="37" t="str">
        <x:v>No</x:v>
      </x:c>
      <x:c r="I438" s="37" t="str">
        <x:v>Keep prompt</x:v>
      </x:c>
      <x:c r="J438" s="37" t="str">
        <x:v>No prompt change required under the missing-cell design.</x:v>
      </x:c>
      <x:c r="K438" s="37" t="str">
        <x:v>crushed Coke can, crushed Pepsi can, green pen, red pencil sharpener, green pencil sharpener</x:v>
      </x:c>
      <x:c r="L438" s="37" t="str">
        <x:v>crushed Coke can</x:v>
      </x:c>
      <x:c r="M438" s="37" t="str">
        <x:v>Home</x:v>
      </x:c>
      <x:c r="N438" s="37" t="str">
        <x:v>Pick up the crushed soda can positioned between the green pen and the red pencil sharpener, then place it in the bowl.</x:v>
      </x:c>
      <x:c r="O438" s="37" t="str"/>
      <x:c r="P438" s="37" t="str">
        <x:v>Explicitly grounds between with crushed soda can candidates; only the selected category-specific missing cell is withheld.</x:v>
      </x:c>
      <x:c r="Q438" s="38"/>
    </x:row>
    <x:row r="439" ht="60" customHeight="1">
      <x:c r="A439" s="70" t="n">
        <x:v>437</x:v>
      </x:c>
      <x:c r="B439" s="37" t="str">
        <x:v>Referential Disambiguation</x:v>
      </x:c>
      <x:c r="C439" s="37" t="str">
        <x:v>Put the crushed soda can between the red pencil sharpener and the airplane toy without propellers in the bowl.</x:v>
      </x:c>
      <x:c r="D439" s="37" t="str">
        <x:v>Explicit between grounding</x:v>
      </x:c>
      <x:c r="E439" s="37" t="str">
        <x:v>between × crushed soda can candidate category</x:v>
      </x:c>
      <x:c r="F439" s="37" t="str">
        <x:v>referential_crushed_soda_can_between_explicit</x:v>
      </x:c>
      <x:c r="G439" s="37" t="str">
        <x:v>airplane×furthest; crushed-soda-can×closest; pencil-sharpener×between; pen fully crossed</x:v>
      </x:c>
      <x:c r="H439" s="37" t="str">
        <x:v>No</x:v>
      </x:c>
      <x:c r="I439" s="37" t="str">
        <x:v>Keep prompt</x:v>
      </x:c>
      <x:c r="J439" s="37" t="str">
        <x:v>No prompt change required under the missing-cell design.</x:v>
      </x:c>
      <x:c r="K439" s="37" t="str">
        <x:v>crushed Coke can, crushed Pepsi can, red pencil sharpener, airplane toy without propellers</x:v>
      </x:c>
      <x:c r="L439" s="37" t="str">
        <x:v>crushed Pepsi can</x:v>
      </x:c>
      <x:c r="M439" s="37" t="str">
        <x:v>Home</x:v>
      </x:c>
      <x:c r="N439" s="37" t="str">
        <x:v>Put the crushed soda can between the red pencil sharpener and the airplane toy without propellers in the bowl.</x:v>
      </x:c>
      <x:c r="O439" s="37" t="str"/>
      <x:c r="P439" s="37" t="str">
        <x:v>Explicitly grounds between with crushed soda can candidates; only the selected category-specific missing cell is withheld.</x:v>
      </x:c>
      <x:c r="Q439" s="38"/>
    </x:row>
    <x:row r="440" ht="60" customHeight="1">
      <x:c r="A440" s="70" t="n">
        <x:v>438</x:v>
      </x:c>
      <x:c r="B440" s="37" t="str">
        <x:v>Referential Disambiguation</x:v>
      </x:c>
      <x:c r="C440" s="37" t="str">
        <x:v>Put the crushed soda can between the green pen and the airplane toy without propellers in the bowl.</x:v>
      </x:c>
      <x:c r="D440" s="37" t="str">
        <x:v>Explicit between grounding</x:v>
      </x:c>
      <x:c r="E440" s="37" t="str">
        <x:v>between × crushed soda can candidate category</x:v>
      </x:c>
      <x:c r="F440" s="37" t="str">
        <x:v>referential_crushed_soda_can_between_explicit</x:v>
      </x:c>
      <x:c r="G440" s="37" t="str">
        <x:v>airplane×furthest; crushed-soda-can×closest; pencil-sharpener×between; pen fully crossed</x:v>
      </x:c>
      <x:c r="H440" s="37" t="str">
        <x:v>No</x:v>
      </x:c>
      <x:c r="I440" s="37" t="str">
        <x:v>Keep prompt</x:v>
      </x:c>
      <x:c r="J440" s="37" t="str">
        <x:v>No prompt change required under the missing-cell design.</x:v>
      </x:c>
      <x:c r="K440" s="37" t="str">
        <x:v>crushed Coke can, crushed Pepsi can, green pen, airplane toy without propellers, airplane toy with propellers</x:v>
      </x:c>
      <x:c r="L440" s="37" t="str">
        <x:v>crushed Coke can</x:v>
      </x:c>
      <x:c r="M440" s="37" t="str">
        <x:v>Home</x:v>
      </x:c>
      <x:c r="N440" s="37" t="str">
        <x:v>Put the crushed soda can between the green pen and the airplane toy without propellers in the bowl.</x:v>
      </x:c>
      <x:c r="O440" s="37" t="str"/>
      <x:c r="P440" s="37" t="str">
        <x:v>Explicitly grounds between with crushed soda can candidates; only the selected category-specific missing cell is withheld.</x:v>
      </x:c>
      <x:c r="Q440" s="38"/>
    </x:row>
    <x:row r="441" ht="60" customHeight="1">
      <x:c r="A441" s="70" t="n">
        <x:v>439</x:v>
      </x:c>
      <x:c r="B441" s="37" t="str">
        <x:v>Referential Disambiguation</x:v>
      </x:c>
      <x:c r="C441" s="37" t="str">
        <x:v>Move the crushed soda can lying between the yellow pen and the red pencil sharpener into the bowl.</x:v>
      </x:c>
      <x:c r="D441" s="37" t="str">
        <x:v>Explicit between grounding</x:v>
      </x:c>
      <x:c r="E441" s="37" t="str">
        <x:v>between × crushed soda can candidate category</x:v>
      </x:c>
      <x:c r="F441" s="37" t="str">
        <x:v>referential_crushed_soda_can_between_explicit</x:v>
      </x:c>
      <x:c r="G441" s="37" t="str">
        <x:v>airplane×furthest; crushed-soda-can×closest; pencil-sharpener×between; pen fully crossed</x:v>
      </x:c>
      <x:c r="H441" s="37" t="str">
        <x:v>No</x:v>
      </x:c>
      <x:c r="I441" s="37" t="str">
        <x:v>Keep prompt</x:v>
      </x:c>
      <x:c r="J441" s="37" t="str">
        <x:v>No prompt change required under the missing-cell design.</x:v>
      </x:c>
      <x:c r="K441" s="37" t="str">
        <x:v>crushed Coke can, crushed Pepsi can, yellow pen, red pencil sharpener</x:v>
      </x:c>
      <x:c r="L441" s="37" t="str">
        <x:v>crushed Pepsi can</x:v>
      </x:c>
      <x:c r="M441" s="37" t="str">
        <x:v>Home</x:v>
      </x:c>
      <x:c r="N441" s="37" t="str">
        <x:v>Move the crushed soda can lying between the yellow pen and the red pencil sharpener into the bowl.</x:v>
      </x:c>
      <x:c r="O441" s="37" t="str"/>
      <x:c r="P441" s="37" t="str">
        <x:v>Explicitly grounds between with crushed soda can candidates; only the selected category-specific missing cell is withheld.</x:v>
      </x:c>
      <x:c r="Q441" s="38"/>
    </x:row>
    <x:row r="442" ht="60" customHeight="1">
      <x:c r="A442" s="70" t="n">
        <x:v>440</x:v>
      </x:c>
      <x:c r="B442" s="37" t="str">
        <x:v>Referential Disambiguation</x:v>
      </x:c>
      <x:c r="C442" s="37" t="str">
        <x:v>Put the crushed soda can between the airplane toy without propellers and the green pencil sharpener in the bowl.</x:v>
      </x:c>
      <x:c r="D442" s="37" t="str">
        <x:v>Explicit between grounding</x:v>
      </x:c>
      <x:c r="E442" s="37" t="str">
        <x:v>between × crushed soda can candidate category</x:v>
      </x:c>
      <x:c r="F442" s="37" t="str">
        <x:v>referential_crushed_soda_can_between_explicit</x:v>
      </x:c>
      <x:c r="G442" s="37" t="str">
        <x:v>airplane×furthest; crushed-soda-can×closest; pencil-sharpener×between; pen fully crossed</x:v>
      </x:c>
      <x:c r="H442" s="37" t="str">
        <x:v>No</x:v>
      </x:c>
      <x:c r="I442" s="37" t="str">
        <x:v>Keep prompt</x:v>
      </x:c>
      <x:c r="J442" s="37" t="str">
        <x:v>No prompt change required under the missing-cell design.</x:v>
      </x:c>
      <x:c r="K442" s="37" t="str">
        <x:v>crushed Coke can, crushed Pepsi can, airplane toy without propellers, green pencil sharpener</x:v>
      </x:c>
      <x:c r="L442" s="37" t="str">
        <x:v>crushed Pepsi can</x:v>
      </x:c>
      <x:c r="M442" s="37" t="str">
        <x:v>Home</x:v>
      </x:c>
      <x:c r="N442" s="37" t="str">
        <x:v>Put the crushed soda can between the airplane toy without propellers and the green pencil sharpener in the bowl.</x:v>
      </x:c>
      <x:c r="O442" s="37" t="str"/>
      <x:c r="P442" s="37" t="str">
        <x:v>Explicitly grounds between with crushed soda can candidates; only the selected category-specific missing cell is withheld.</x:v>
      </x:c>
      <x:c r="Q442" s="38"/>
    </x:row>
    <x:row r="443" ht="60" customHeight="1">
      <x:c r="A443" s="70" t="n">
        <x:v>441</x:v>
      </x:c>
      <x:c r="B443" s="37" t="str">
        <x:v>Referential Disambiguation</x:v>
      </x:c>
      <x:c r="C443" s="37" t="str">
        <x:v>Move the crushed soda can lying between the yellow pen and the airplane toy with propellers into the bowl.</x:v>
      </x:c>
      <x:c r="D443" s="37" t="str">
        <x:v>Explicit between grounding</x:v>
      </x:c>
      <x:c r="E443" s="37" t="str">
        <x:v>between × crushed soda can candidate category</x:v>
      </x:c>
      <x:c r="F443" s="37" t="str">
        <x:v>referential_crushed_soda_can_between_explicit</x:v>
      </x:c>
      <x:c r="G443" s="37" t="str">
        <x:v>airplane×furthest; crushed-soda-can×closest; pencil-sharpener×between; pen fully crossed</x:v>
      </x:c>
      <x:c r="H443" s="37" t="str">
        <x:v>No</x:v>
      </x:c>
      <x:c r="I443" s="37" t="str">
        <x:v>Keep prompt</x:v>
      </x:c>
      <x:c r="J443" s="37" t="str">
        <x:v>No prompt change required under the missing-cell design.</x:v>
      </x:c>
      <x:c r="K443" s="37" t="str">
        <x:v>crushed Coke can, crushed Pepsi can, yellow pen, airplane toy with propellers, red pencil sharpener</x:v>
      </x:c>
      <x:c r="L443" s="37" t="str">
        <x:v>crushed Coke can</x:v>
      </x:c>
      <x:c r="M443" s="37" t="str">
        <x:v>Home</x:v>
      </x:c>
      <x:c r="N443" s="37" t="str">
        <x:v>Move the crushed soda can lying between the yellow pen and the airplane toy with propellers into the bowl.</x:v>
      </x:c>
      <x:c r="O443" s="37" t="str"/>
      <x:c r="P443" s="37" t="str">
        <x:v>Explicitly grounds between with crushed soda can candidates; only the selected category-specific missing cell is withheld.</x:v>
      </x:c>
      <x:c r="Q443" s="38"/>
    </x:row>
    <x:row r="444" ht="60" customHeight="1">
      <x:c r="A444" s="70" t="n">
        <x:v>442</x:v>
      </x:c>
      <x:c r="B444" s="37" t="str">
        <x:v>Referential Disambiguation</x:v>
      </x:c>
      <x:c r="C444" s="37" t="str">
        <x:v>Pick up the crushed soda can positioned between the green pencil sharpener and the green pen, then place it in the bowl.</x:v>
      </x:c>
      <x:c r="D444" s="37" t="str">
        <x:v>Explicit between grounding</x:v>
      </x:c>
      <x:c r="E444" s="37" t="str">
        <x:v>between × crushed soda can candidate category</x:v>
      </x:c>
      <x:c r="F444" s="37" t="str">
        <x:v>referential_crushed_soda_can_between_explicit</x:v>
      </x:c>
      <x:c r="G444" s="37" t="str">
        <x:v>airplane×furthest; crushed-soda-can×closest; pencil-sharpener×between; pen fully crossed</x:v>
      </x:c>
      <x:c r="H444" s="37" t="str">
        <x:v>No</x:v>
      </x:c>
      <x:c r="I444" s="37" t="str">
        <x:v>Keep prompt</x:v>
      </x:c>
      <x:c r="J444" s="37" t="str">
        <x:v>No prompt change required under the missing-cell design.</x:v>
      </x:c>
      <x:c r="K444" s="37" t="str">
        <x:v>crushed Coke can, crushed Pepsi can, green pencil sharpener, green pen, airplane toy without propellers</x:v>
      </x:c>
      <x:c r="L444" s="37" t="str">
        <x:v>crushed Pepsi can</x:v>
      </x:c>
      <x:c r="M444" s="37" t="str">
        <x:v>Home</x:v>
      </x:c>
      <x:c r="N444" s="37" t="str">
        <x:v>Pick up the crushed soda can positioned between the green pencil sharpener and the green pen, then place it in the bowl.</x:v>
      </x:c>
      <x:c r="O444" s="37" t="str"/>
      <x:c r="P444" s="37" t="str">
        <x:v>Explicitly grounds between with crushed soda can candidates; only the selected category-specific missing cell is withheld.</x:v>
      </x:c>
      <x:c r="Q444" s="38"/>
    </x:row>
    <x:row r="445" ht="60" customHeight="1">
      <x:c r="A445" s="70" t="n">
        <x:v>443</x:v>
      </x:c>
      <x:c r="B445" s="37" t="str">
        <x:v>Referential Disambiguation</x:v>
      </x:c>
      <x:c r="C445" s="37" t="str">
        <x:v>Pick up the crushed soda can positioned between the airplane toy with propellers and the green pencil sharpener, then place it in the bowl.</x:v>
      </x:c>
      <x:c r="D445" s="37" t="str">
        <x:v>Explicit between grounding</x:v>
      </x:c>
      <x:c r="E445" s="37" t="str">
        <x:v>between × crushed soda can candidate category</x:v>
      </x:c>
      <x:c r="F445" s="37" t="str">
        <x:v>referential_crushed_soda_can_between_explicit</x:v>
      </x:c>
      <x:c r="G445" s="37" t="str">
        <x:v>airplane×furthest; crushed-soda-can×closest; pencil-sharpener×between; pen fully crossed</x:v>
      </x:c>
      <x:c r="H445" s="37" t="str">
        <x:v>No</x:v>
      </x:c>
      <x:c r="I445" s="37" t="str">
        <x:v>Keep prompt</x:v>
      </x:c>
      <x:c r="J445" s="37" t="str">
        <x:v>No prompt change required under the missing-cell design.</x:v>
      </x:c>
      <x:c r="K445" s="37" t="str">
        <x:v>crushed Coke can, crushed Pepsi can, airplane toy with propellers, green pencil sharpener, green pen</x:v>
      </x:c>
      <x:c r="L445" s="37" t="str">
        <x:v>crushed Coke can</x:v>
      </x:c>
      <x:c r="M445" s="37" t="str">
        <x:v>Home</x:v>
      </x:c>
      <x:c r="N445" s="37" t="str">
        <x:v>Pick up the crushed soda can positioned between the airplane toy with propellers and the green pencil sharpener, then place it in the bowl.</x:v>
      </x:c>
      <x:c r="O445" s="37" t="str"/>
      <x:c r="P445" s="37" t="str">
        <x:v>Explicitly grounds between with crushed soda can candidates; only the selected category-specific missing cell is withheld.</x:v>
      </x:c>
      <x:c r="Q445" s="38"/>
    </x:row>
    <x:row r="446" ht="60" customHeight="1">
      <x:c r="A446" s="70" t="n">
        <x:v>444</x:v>
      </x:c>
      <x:c r="B446" s="37" t="str">
        <x:v>Referential Disambiguation</x:v>
      </x:c>
      <x:c r="C446" s="37" t="str">
        <x:v>Move the crushed soda can lying between the airplane toy with propellers and the green pen into the bowl.</x:v>
      </x:c>
      <x:c r="D446" s="37" t="str">
        <x:v>Explicit between grounding</x:v>
      </x:c>
      <x:c r="E446" s="37" t="str">
        <x:v>between × crushed soda can candidate category</x:v>
      </x:c>
      <x:c r="F446" s="37" t="str">
        <x:v>referential_crushed_soda_can_between_explicit</x:v>
      </x:c>
      <x:c r="G446" s="37" t="str">
        <x:v>airplane×furthest; crushed-soda-can×closest; pencil-sharpener×between; pen fully crossed</x:v>
      </x:c>
      <x:c r="H446" s="37" t="str">
        <x:v>No</x:v>
      </x:c>
      <x:c r="I446" s="37" t="str">
        <x:v>Keep prompt</x:v>
      </x:c>
      <x:c r="J446" s="37" t="str">
        <x:v>No prompt change required under the missing-cell design.</x:v>
      </x:c>
      <x:c r="K446" s="37" t="str">
        <x:v>crushed Coke can, crushed Pepsi can, airplane toy with propellers, green pen</x:v>
      </x:c>
      <x:c r="L446" s="37" t="str">
        <x:v>crushed Coke can</x:v>
      </x:c>
      <x:c r="M446" s="37" t="str">
        <x:v>Recovery</x:v>
      </x:c>
      <x:c r="N446" s="37" t="str">
        <x:v>Move the crushed soda can lying between the airplane toy with propellers and the green pen into the bowl.</x:v>
      </x:c>
      <x:c r="O446" s="37" t="str"/>
      <x:c r="P446" s="37" t="str">
        <x:v>Explicitly grounds between with crushed soda can candidates; only the selected category-specific missing cell is withheld.</x:v>
      </x:c>
      <x:c r="Q446" s="38"/>
    </x:row>
    <x:row r="447" ht="60" customHeight="1">
      <x:c r="A447" s="70" t="n">
        <x:v>445</x:v>
      </x:c>
      <x:c r="B447" s="37" t="str">
        <x:v>Referential Disambiguation</x:v>
      </x:c>
      <x:c r="C447" s="37" t="str">
        <x:v>Move the crushed soda can lying between the green pencil sharpener and the yellow pen into the bowl.</x:v>
      </x:c>
      <x:c r="D447" s="37" t="str">
        <x:v>Explicit between grounding</x:v>
      </x:c>
      <x:c r="E447" s="37" t="str">
        <x:v>between × crushed soda can candidate category</x:v>
      </x:c>
      <x:c r="F447" s="37" t="str">
        <x:v>referential_crushed_soda_can_between_explicit</x:v>
      </x:c>
      <x:c r="G447" s="37" t="str">
        <x:v>airplane×furthest; crushed-soda-can×closest; pencil-sharpener×between; pen fully crossed</x:v>
      </x:c>
      <x:c r="H447" s="37" t="str">
        <x:v>No</x:v>
      </x:c>
      <x:c r="I447" s="37" t="str">
        <x:v>Keep prompt</x:v>
      </x:c>
      <x:c r="J447" s="37" t="str">
        <x:v>No prompt change required under the missing-cell design.</x:v>
      </x:c>
      <x:c r="K447" s="37" t="str">
        <x:v>crushed Coke can, crushed Pepsi can, green pencil sharpener, yellow pen</x:v>
      </x:c>
      <x:c r="L447" s="37" t="str">
        <x:v>crushed Pepsi can</x:v>
      </x:c>
      <x:c r="M447" s="37" t="str">
        <x:v>Home</x:v>
      </x:c>
      <x:c r="N447" s="37" t="str">
        <x:v>Move the crushed soda can lying between the green pencil sharpener and the yellow pen into the bowl.</x:v>
      </x:c>
      <x:c r="O447" s="37" t="str"/>
      <x:c r="P447" s="37" t="str">
        <x:v>Explicitly grounds between with crushed soda can candidates; only the selected category-specific missing cell is withheld.</x:v>
      </x:c>
      <x:c r="Q447" s="38"/>
    </x:row>
    <x:row r="448" ht="60" customHeight="1">
      <x:c r="A448" s="70" t="n">
        <x:v>446</x:v>
      </x:c>
      <x:c r="B448" s="37" t="str">
        <x:v>Referential Disambiguation</x:v>
      </x:c>
      <x:c r="C448" s="37" t="str">
        <x:v>Pick up the crushed soda can positioned between the red pencil sharpener and the airplane toy with propellers, then place it in the bowl.</x:v>
      </x:c>
      <x:c r="D448" s="37" t="str">
        <x:v>Explicit between grounding</x:v>
      </x:c>
      <x:c r="E448" s="37" t="str">
        <x:v>between × crushed soda can candidate category</x:v>
      </x:c>
      <x:c r="F448" s="37" t="str">
        <x:v>referential_crushed_soda_can_between_explicit</x:v>
      </x:c>
      <x:c r="G448" s="37" t="str">
        <x:v>airplane×furthest; crushed-soda-can×closest; pencil-sharpener×between; pen fully crossed</x:v>
      </x:c>
      <x:c r="H448" s="37" t="str">
        <x:v>No</x:v>
      </x:c>
      <x:c r="I448" s="37" t="str">
        <x:v>Keep prompt</x:v>
      </x:c>
      <x:c r="J448" s="37" t="str">
        <x:v>No prompt change required under the missing-cell design.</x:v>
      </x:c>
      <x:c r="K448" s="37" t="str">
        <x:v>crushed Coke can, crushed Pepsi can, red pencil sharpener, airplane toy with propellers</x:v>
      </x:c>
      <x:c r="L448" s="37" t="str">
        <x:v>crushed Pepsi can</x:v>
      </x:c>
      <x:c r="M448" s="37" t="str">
        <x:v>Home</x:v>
      </x:c>
      <x:c r="N448" s="37" t="str">
        <x:v>Pick up the crushed soda can positioned between the red pencil sharpener and the airplane toy with propellers, then place it in the bowl.</x:v>
      </x:c>
      <x:c r="O448" s="37" t="str"/>
      <x:c r="P448" s="37" t="str">
        <x:v>Explicitly grounds between with crushed soda can candidates; only the selected category-specific missing cell is withheld.</x:v>
      </x:c>
      <x:c r="Q448" s="38"/>
    </x:row>
    <x:row r="449" ht="60" customHeight="1">
      <x:c r="A449" s="70" t="n">
        <x:v>447</x:v>
      </x:c>
      <x:c r="B449" s="37" t="str">
        <x:v>Referential Disambiguation</x:v>
      </x:c>
      <x:c r="C449" s="37" t="str">
        <x:v>Move the crushed soda can lying between the airplane toy without propellers and the yellow pen into the bowl.</x:v>
      </x:c>
      <x:c r="D449" s="37" t="str">
        <x:v>Explicit between grounding</x:v>
      </x:c>
      <x:c r="E449" s="37" t="str">
        <x:v>between × crushed soda can candidate category</x:v>
      </x:c>
      <x:c r="F449" s="37" t="str">
        <x:v>referential_crushed_soda_can_between_explicit</x:v>
      </x:c>
      <x:c r="G449" s="37" t="str">
        <x:v>airplane×furthest; crushed-soda-can×closest; pencil-sharpener×between; pen fully crossed</x:v>
      </x:c>
      <x:c r="H449" s="37" t="str">
        <x:v>No</x:v>
      </x:c>
      <x:c r="I449" s="37" t="str">
        <x:v>Keep prompt</x:v>
      </x:c>
      <x:c r="J449" s="37" t="str">
        <x:v>No prompt change required under the missing-cell design.</x:v>
      </x:c>
      <x:c r="K449" s="37" t="str">
        <x:v>crushed Coke can, crushed Pepsi can, airplane toy without propellers, yellow pen, green pen</x:v>
      </x:c>
      <x:c r="L449" s="37" t="str">
        <x:v>crushed Pepsi can</x:v>
      </x:c>
      <x:c r="M449" s="37" t="str">
        <x:v>Recovery</x:v>
      </x:c>
      <x:c r="N449" s="37" t="str">
        <x:v>Move the crushed soda can lying between the airplane toy without propellers and the yellow pen into the bowl.</x:v>
      </x:c>
      <x:c r="O449" s="37" t="str"/>
      <x:c r="P449" s="37" t="str">
        <x:v>Explicitly grounds between with crushed soda can candidates; only the selected category-specific missing cell is withheld.</x:v>
      </x:c>
      <x:c r="Q449" s="38"/>
    </x:row>
    <x:row r="450" ht="60" customHeight="1">
      <x:c r="A450" s="70" t="n">
        <x:v>448</x:v>
      </x:c>
      <x:c r="B450" s="37" t="str">
        <x:v>Referential Disambiguation</x:v>
      </x:c>
      <x:c r="C450" s="37" t="str">
        <x:v>Put the crushed soda can between the green pen and the red pencil sharpener in the bowl.</x:v>
      </x:c>
      <x:c r="D450" s="37" t="str">
        <x:v>Explicit between grounding</x:v>
      </x:c>
      <x:c r="E450" s="37" t="str">
        <x:v>between × crushed soda can candidate category</x:v>
      </x:c>
      <x:c r="F450" s="37" t="str">
        <x:v>referential_crushed_soda_can_between_explicit</x:v>
      </x:c>
      <x:c r="G450" s="37" t="str">
        <x:v>airplane×furthest; crushed-soda-can×closest; pencil-sharpener×between; pen fully crossed</x:v>
      </x:c>
      <x:c r="H450" s="37" t="str">
        <x:v>No</x:v>
      </x:c>
      <x:c r="I450" s="37" t="str">
        <x:v>Keep prompt</x:v>
      </x:c>
      <x:c r="J450" s="37" t="str">
        <x:v>No prompt change required under the missing-cell design.</x:v>
      </x:c>
      <x:c r="K450" s="37" t="str">
        <x:v>crushed Coke can, crushed Pepsi can, green pen, red pencil sharpener</x:v>
      </x:c>
      <x:c r="L450" s="37" t="str">
        <x:v>crushed Coke can</x:v>
      </x:c>
      <x:c r="M450" s="37" t="str">
        <x:v>Home</x:v>
      </x:c>
      <x:c r="N450" s="37" t="str">
        <x:v>Put the crushed soda can between the green pen and the red pencil sharpener in the bowl.</x:v>
      </x:c>
      <x:c r="O450" s="37" t="str"/>
      <x:c r="P450" s="37" t="str">
        <x:v>Explicitly grounds between with crushed soda can candidates; only the selected category-specific missing cell is withheld.</x:v>
      </x:c>
      <x:c r="Q450" s="38"/>
    </x:row>
    <x:row r="451" ht="60" customHeight="1">
      <x:c r="A451" s="70" t="n">
        <x:v>449</x:v>
      </x:c>
      <x:c r="B451" s="37" t="str">
        <x:v>Referential Disambiguation</x:v>
      </x:c>
      <x:c r="C451" s="37" t="str">
        <x:v>Pick up the crushed soda can positioned between the red pencil sharpener and the airplane toy without propellers, then place it in the bowl.</x:v>
      </x:c>
      <x:c r="D451" s="37" t="str">
        <x:v>Explicit between grounding</x:v>
      </x:c>
      <x:c r="E451" s="37" t="str">
        <x:v>between × crushed soda can candidate category</x:v>
      </x:c>
      <x:c r="F451" s="37" t="str">
        <x:v>referential_crushed_soda_can_between_explicit</x:v>
      </x:c>
      <x:c r="G451" s="37" t="str">
        <x:v>airplane×furthest; crushed-soda-can×closest; pencil-sharpener×between; pen fully crossed</x:v>
      </x:c>
      <x:c r="H451" s="37" t="str">
        <x:v>No</x:v>
      </x:c>
      <x:c r="I451" s="37" t="str">
        <x:v>Keep prompt</x:v>
      </x:c>
      <x:c r="J451" s="37" t="str">
        <x:v>No prompt change required under the missing-cell design.</x:v>
      </x:c>
      <x:c r="K451" s="37" t="str">
        <x:v>crushed Coke can, crushed Pepsi can, red pencil sharpener, airplane toy without propellers, yellow pen</x:v>
      </x:c>
      <x:c r="L451" s="37" t="str">
        <x:v>crushed Coke can</x:v>
      </x:c>
      <x:c r="M451" s="37" t="str">
        <x:v>Home</x:v>
      </x:c>
      <x:c r="N451" s="37" t="str">
        <x:v>Pick up the crushed soda can positioned between the red pencil sharpener and the airplane toy without propellers, then place it in the bowl.</x:v>
      </x:c>
      <x:c r="O451" s="37" t="str"/>
      <x:c r="P451" s="37" t="str">
        <x:v>Explicitly grounds between with crushed soda can candidates; only the selected category-specific missing cell is withheld.</x:v>
      </x:c>
      <x:c r="Q451" s="38"/>
    </x:row>
    <x:row r="452" ht="60" customHeight="1">
      <x:c r="A452" s="70" t="n">
        <x:v>450</x:v>
      </x:c>
      <x:c r="B452" s="37" t="str">
        <x:v>Referential Disambiguation</x:v>
      </x:c>
      <x:c r="C452" s="37" t="str">
        <x:v>Pick up the pencil sharpener nearest to the crushed Coke can and place it in the bowl.</x:v>
      </x:c>
      <x:c r="D452" s="37" t="str">
        <x:v>Explicit closest grounding</x:v>
      </x:c>
      <x:c r="E452" s="37" t="str">
        <x:v>closest × pencil sharpener candidate category</x:v>
      </x:c>
      <x:c r="F452" s="37" t="str">
        <x:v>referential_pencil_sharpener_closest_explicit</x:v>
      </x:c>
      <x:c r="G452" s="37" t="str">
        <x:v>airplane×furthest; crushed-soda-can×closest; pencil-sharpener×between; pen fully crossed</x:v>
      </x:c>
      <x:c r="H452" s="37" t="str">
        <x:v>No</x:v>
      </x:c>
      <x:c r="I452" s="37" t="str">
        <x:v>Keep prompt</x:v>
      </x:c>
      <x:c r="J452" s="37" t="str">
        <x:v>No prompt change required under the missing-cell design.</x:v>
      </x:c>
      <x:c r="K452" s="37" t="str">
        <x:v>green pencil sharpener, red pencil sharpener, crushed Coke can</x:v>
      </x:c>
      <x:c r="L452" s="37" t="str">
        <x:v>green pencil sharpener</x:v>
      </x:c>
      <x:c r="M452" s="37" t="str">
        <x:v>Home</x:v>
      </x:c>
      <x:c r="N452" s="37" t="str">
        <x:v>Pick up the pencil sharpener nearest to the crushed Coke can and place it in the bowl.</x:v>
      </x:c>
      <x:c r="O452" s="37" t="str"/>
      <x:c r="P452" s="37" t="str">
        <x:v>Explicitly grounds closest with pencil sharpener candidates; only the selected category-specific missing cell is withheld.</x:v>
      </x:c>
      <x:c r="Q452" s="38"/>
    </x:row>
    <x:row r="453" ht="60" customHeight="1">
      <x:c r="A453" s="70" t="n">
        <x:v>451</x:v>
      </x:c>
      <x:c r="B453" s="37" t="str">
        <x:v>Referential Disambiguation</x:v>
      </x:c>
      <x:c r="C453" s="37" t="str">
        <x:v>Move the pencil sharpener that is closest to the crushed Pepsi can into the bowl.</x:v>
      </x:c>
      <x:c r="D453" s="37" t="str">
        <x:v>Explicit closest grounding</x:v>
      </x:c>
      <x:c r="E453" s="37" t="str">
        <x:v>closest × pencil sharpener candidate category</x:v>
      </x:c>
      <x:c r="F453" s="37" t="str">
        <x:v>referential_pencil_sharpener_closest_explicit</x:v>
      </x:c>
      <x:c r="G453" s="37" t="str">
        <x:v>airplane×furthest; crushed-soda-can×closest; pencil-sharpener×between; pen fully crossed</x:v>
      </x:c>
      <x:c r="H453" s="37" t="str">
        <x:v>No</x:v>
      </x:c>
      <x:c r="I453" s="37" t="str">
        <x:v>Keep prompt</x:v>
      </x:c>
      <x:c r="J453" s="37" t="str">
        <x:v>No prompt change required under the missing-cell design.</x:v>
      </x:c>
      <x:c r="K453" s="37" t="str">
        <x:v>green pencil sharpener, red pencil sharpener, crushed Pepsi can, airplane toy with propellers</x:v>
      </x:c>
      <x:c r="L453" s="37" t="str">
        <x:v>red pencil sharpener</x:v>
      </x:c>
      <x:c r="M453" s="37" t="str">
        <x:v>Home</x:v>
      </x:c>
      <x:c r="N453" s="37" t="str">
        <x:v>Move the pencil sharpener that is closest to the crushed Pepsi can into the bowl.</x:v>
      </x:c>
      <x:c r="O453" s="37" t="str"/>
      <x:c r="P453" s="37" t="str">
        <x:v>Explicitly grounds closest with pencil sharpener candidates; only the selected category-specific missing cell is withheld.</x:v>
      </x:c>
      <x:c r="Q453" s="38"/>
    </x:row>
    <x:row r="454" ht="60" customHeight="1">
      <x:c r="A454" s="70" t="n">
        <x:v>452</x:v>
      </x:c>
      <x:c r="B454" s="37" t="str">
        <x:v>Referential Disambiguation</x:v>
      </x:c>
      <x:c r="C454" s="37" t="str">
        <x:v>Move the pencil sharpener that is closest to the green pen into the bowl.</x:v>
      </x:c>
      <x:c r="D454" s="37" t="str">
        <x:v>Explicit closest grounding</x:v>
      </x:c>
      <x:c r="E454" s="37" t="str">
        <x:v>closest × pencil sharpener candidate category</x:v>
      </x:c>
      <x:c r="F454" s="37" t="str">
        <x:v>referential_pencil_sharpener_closest_explicit</x:v>
      </x:c>
      <x:c r="G454" s="37" t="str">
        <x:v>airplane×furthest; crushed-soda-can×closest; pencil-sharpener×between; pen fully crossed</x:v>
      </x:c>
      <x:c r="H454" s="37" t="str">
        <x:v>No</x:v>
      </x:c>
      <x:c r="I454" s="37" t="str">
        <x:v>Keep prompt</x:v>
      </x:c>
      <x:c r="J454" s="37" t="str">
        <x:v>No prompt change required under the missing-cell design.</x:v>
      </x:c>
      <x:c r="K454" s="37" t="str">
        <x:v>green pencil sharpener, red pencil sharpener, green pen</x:v>
      </x:c>
      <x:c r="L454" s="37" t="str">
        <x:v>green pencil sharpener</x:v>
      </x:c>
      <x:c r="M454" s="37" t="str">
        <x:v>Home</x:v>
      </x:c>
      <x:c r="N454" s="37" t="str">
        <x:v>Move the pencil sharpener that is closest to the green pen into the bowl.</x:v>
      </x:c>
      <x:c r="O454" s="37" t="str"/>
      <x:c r="P454" s="37" t="str">
        <x:v>Explicitly grounds closest with pencil sharpener candidates; only the selected category-specific missing cell is withheld.</x:v>
      </x:c>
      <x:c r="Q454" s="38"/>
    </x:row>
    <x:row r="455" ht="60" customHeight="1">
      <x:c r="A455" s="70" t="n">
        <x:v>453</x:v>
      </x:c>
      <x:c r="B455" s="37" t="str">
        <x:v>Referential Disambiguation</x:v>
      </x:c>
      <x:c r="C455" s="37" t="str">
        <x:v>Put the pencil sharpener closest to the yellow pen in the bowl.</x:v>
      </x:c>
      <x:c r="D455" s="37" t="str">
        <x:v>Explicit closest grounding</x:v>
      </x:c>
      <x:c r="E455" s="37" t="str">
        <x:v>closest × pencil sharpener candidate category</x:v>
      </x:c>
      <x:c r="F455" s="37" t="str">
        <x:v>referential_pencil_sharpener_closest_explicit</x:v>
      </x:c>
      <x:c r="G455" s="37" t="str">
        <x:v>airplane×furthest; crushed-soda-can×closest; pencil-sharpener×between; pen fully crossed</x:v>
      </x:c>
      <x:c r="H455" s="37" t="str">
        <x:v>No</x:v>
      </x:c>
      <x:c r="I455" s="37" t="str">
        <x:v>Keep prompt</x:v>
      </x:c>
      <x:c r="J455" s="37" t="str">
        <x:v>No prompt change required under the missing-cell design.</x:v>
      </x:c>
      <x:c r="K455" s="37" t="str">
        <x:v>green pencil sharpener, red pencil sharpener, yellow pen, crushed Coke can</x:v>
      </x:c>
      <x:c r="L455" s="37" t="str">
        <x:v>red pencil sharpener</x:v>
      </x:c>
      <x:c r="M455" s="37" t="str">
        <x:v>Home</x:v>
      </x:c>
      <x:c r="N455" s="37" t="str">
        <x:v>Put the pencil sharpener closest to the yellow pen in the bowl.</x:v>
      </x:c>
      <x:c r="O455" s="37" t="str"/>
      <x:c r="P455" s="37" t="str">
        <x:v>Explicitly grounds closest with pencil sharpener candidates; only the selected category-specific missing cell is withheld.</x:v>
      </x:c>
      <x:c r="Q455" s="38"/>
    </x:row>
    <x:row r="456" ht="60" customHeight="1">
      <x:c r="A456" s="70" t="n">
        <x:v>454</x:v>
      </x:c>
      <x:c r="B456" s="37" t="str">
        <x:v>Referential Disambiguation</x:v>
      </x:c>
      <x:c r="C456" s="37" t="str">
        <x:v>Put the pencil sharpener closest to the airplane toy with propellers in the bowl.</x:v>
      </x:c>
      <x:c r="D456" s="37" t="str">
        <x:v>Explicit closest grounding</x:v>
      </x:c>
      <x:c r="E456" s="37" t="str">
        <x:v>closest × pencil sharpener candidate category</x:v>
      </x:c>
      <x:c r="F456" s="37" t="str">
        <x:v>referential_pencil_sharpener_closest_explicit</x:v>
      </x:c>
      <x:c r="G456" s="37" t="str">
        <x:v>airplane×furthest; crushed-soda-can×closest; pencil-sharpener×between; pen fully crossed</x:v>
      </x:c>
      <x:c r="H456" s="37" t="str">
        <x:v>No</x:v>
      </x:c>
      <x:c r="I456" s="37" t="str">
        <x:v>Keep prompt</x:v>
      </x:c>
      <x:c r="J456" s="37" t="str">
        <x:v>No prompt change required under the missing-cell design.</x:v>
      </x:c>
      <x:c r="K456" s="37" t="str">
        <x:v>green pencil sharpener, red pencil sharpener, airplane toy with propellers</x:v>
      </x:c>
      <x:c r="L456" s="37" t="str">
        <x:v>green pencil sharpener</x:v>
      </x:c>
      <x:c r="M456" s="37" t="str">
        <x:v>Recovery</x:v>
      </x:c>
      <x:c r="N456" s="37" t="str">
        <x:v>Put the pencil sharpener closest to the airplane toy with propellers in the bowl.</x:v>
      </x:c>
      <x:c r="O456" s="37" t="str"/>
      <x:c r="P456" s="37" t="str">
        <x:v>Explicitly grounds closest with pencil sharpener candidates; only the selected category-specific missing cell is withheld.</x:v>
      </x:c>
      <x:c r="Q456" s="38"/>
    </x:row>
    <x:row r="457" ht="60" customHeight="1">
      <x:c r="A457" s="70" t="n">
        <x:v>455</x:v>
      </x:c>
      <x:c r="B457" s="37" t="str">
        <x:v>Referential Disambiguation</x:v>
      </x:c>
      <x:c r="C457" s="37" t="str">
        <x:v>Move the pencil sharpener that is closest to the airplane toy without propellers into the bowl.</x:v>
      </x:c>
      <x:c r="D457" s="37" t="str">
        <x:v>Explicit closest grounding</x:v>
      </x:c>
      <x:c r="E457" s="37" t="str">
        <x:v>closest × pencil sharpener candidate category</x:v>
      </x:c>
      <x:c r="F457" s="37" t="str">
        <x:v>referential_pencil_sharpener_closest_explicit</x:v>
      </x:c>
      <x:c r="G457" s="37" t="str">
        <x:v>airplane×furthest; crushed-soda-can×closest; pencil-sharpener×between; pen fully crossed</x:v>
      </x:c>
      <x:c r="H457" s="37" t="str">
        <x:v>No</x:v>
      </x:c>
      <x:c r="I457" s="37" t="str">
        <x:v>Keep prompt</x:v>
      </x:c>
      <x:c r="J457" s="37" t="str">
        <x:v>No prompt change required under the missing-cell design.</x:v>
      </x:c>
      <x:c r="K457" s="37" t="str">
        <x:v>green pencil sharpener, red pencil sharpener, airplane toy without propellers, green pen</x:v>
      </x:c>
      <x:c r="L457" s="37" t="str">
        <x:v>red pencil sharpener</x:v>
      </x:c>
      <x:c r="M457" s="37" t="str">
        <x:v>Home</x:v>
      </x:c>
      <x:c r="N457" s="37" t="str">
        <x:v>Move the pencil sharpener that is closest to the airplane toy without propellers into the bowl.</x:v>
      </x:c>
      <x:c r="O457" s="37" t="str"/>
      <x:c r="P457" s="37" t="str">
        <x:v>Explicitly grounds closest with pencil sharpener candidates; only the selected category-specific missing cell is withheld.</x:v>
      </x:c>
      <x:c r="Q457" s="38"/>
    </x:row>
    <x:row r="458" ht="60" customHeight="1">
      <x:c r="A458" s="70" t="n">
        <x:v>456</x:v>
      </x:c>
      <x:c r="B458" s="37" t="str">
        <x:v>Referential Disambiguation</x:v>
      </x:c>
      <x:c r="C458" s="37" t="str">
        <x:v>Move the pencil sharpener that is closest to the crushed Coke can into the bowl.</x:v>
      </x:c>
      <x:c r="D458" s="37" t="str">
        <x:v>Explicit closest grounding</x:v>
      </x:c>
      <x:c r="E458" s="37" t="str">
        <x:v>closest × pencil sharpener candidate category</x:v>
      </x:c>
      <x:c r="F458" s="37" t="str">
        <x:v>referential_pencil_sharpener_closest_explicit</x:v>
      </x:c>
      <x:c r="G458" s="37" t="str">
        <x:v>airplane×furthest; crushed-soda-can×closest; pencil-sharpener×between; pen fully crossed</x:v>
      </x:c>
      <x:c r="H458" s="37" t="str">
        <x:v>No</x:v>
      </x:c>
      <x:c r="I458" s="37" t="str">
        <x:v>Keep prompt</x:v>
      </x:c>
      <x:c r="J458" s="37" t="str">
        <x:v>No prompt change required under the missing-cell design.</x:v>
      </x:c>
      <x:c r="K458" s="37" t="str">
        <x:v>green pencil sharpener, red pencil sharpener, crushed Coke can</x:v>
      </x:c>
      <x:c r="L458" s="37" t="str">
        <x:v>green pencil sharpener</x:v>
      </x:c>
      <x:c r="M458" s="37" t="str">
        <x:v>Home</x:v>
      </x:c>
      <x:c r="N458" s="37" t="str">
        <x:v>Move the pencil sharpener that is closest to the crushed Coke can into the bowl.</x:v>
      </x:c>
      <x:c r="O458" s="37" t="str"/>
      <x:c r="P458" s="37" t="str">
        <x:v>Explicitly grounds closest with pencil sharpener candidates; only the selected category-specific missing cell is withheld.</x:v>
      </x:c>
      <x:c r="Q458" s="38"/>
    </x:row>
    <x:row r="459" ht="60" customHeight="1">
      <x:c r="A459" s="70" t="n">
        <x:v>457</x:v>
      </x:c>
      <x:c r="B459" s="37" t="str">
        <x:v>Referential Disambiguation</x:v>
      </x:c>
      <x:c r="C459" s="37" t="str">
        <x:v>Put the pencil sharpener closest to the crushed Pepsi can in the bowl.</x:v>
      </x:c>
      <x:c r="D459" s="37" t="str">
        <x:v>Explicit closest grounding</x:v>
      </x:c>
      <x:c r="E459" s="37" t="str">
        <x:v>closest × pencil sharpener candidate category</x:v>
      </x:c>
      <x:c r="F459" s="37" t="str">
        <x:v>referential_pencil_sharpener_closest_explicit</x:v>
      </x:c>
      <x:c r="G459" s="37" t="str">
        <x:v>airplane×furthest; crushed-soda-can×closest; pencil-sharpener×between; pen fully crossed</x:v>
      </x:c>
      <x:c r="H459" s="37" t="str">
        <x:v>No</x:v>
      </x:c>
      <x:c r="I459" s="37" t="str">
        <x:v>Keep prompt</x:v>
      </x:c>
      <x:c r="J459" s="37" t="str">
        <x:v>No prompt change required under the missing-cell design.</x:v>
      </x:c>
      <x:c r="K459" s="37" t="str">
        <x:v>green pencil sharpener, red pencil sharpener, crushed Pepsi can, crushed Coke can</x:v>
      </x:c>
      <x:c r="L459" s="37" t="str">
        <x:v>red pencil sharpener</x:v>
      </x:c>
      <x:c r="M459" s="37" t="str">
        <x:v>Home</x:v>
      </x:c>
      <x:c r="N459" s="37" t="str">
        <x:v>Put the pencil sharpener closest to the crushed Pepsi can in the bowl.</x:v>
      </x:c>
      <x:c r="O459" s="37" t="str"/>
      <x:c r="P459" s="37" t="str">
        <x:v>Explicitly grounds closest with pencil sharpener candidates; only the selected category-specific missing cell is withheld.</x:v>
      </x:c>
      <x:c r="Q459" s="38"/>
    </x:row>
    <x:row r="460" ht="60" customHeight="1">
      <x:c r="A460" s="70" t="n">
        <x:v>458</x:v>
      </x:c>
      <x:c r="B460" s="37" t="str">
        <x:v>Referential Disambiguation</x:v>
      </x:c>
      <x:c r="C460" s="37" t="str">
        <x:v>Move the pencil sharpener that is closest to the green pen into the bowl.</x:v>
      </x:c>
      <x:c r="D460" s="37" t="str">
        <x:v>Explicit closest grounding</x:v>
      </x:c>
      <x:c r="E460" s="37" t="str">
        <x:v>closest × pencil sharpener candidate category</x:v>
      </x:c>
      <x:c r="F460" s="37" t="str">
        <x:v>referential_pencil_sharpener_closest_explicit</x:v>
      </x:c>
      <x:c r="G460" s="37" t="str">
        <x:v>airplane×furthest; crushed-soda-can×closest; pencil-sharpener×between; pen fully crossed</x:v>
      </x:c>
      <x:c r="H460" s="37" t="str">
        <x:v>No</x:v>
      </x:c>
      <x:c r="I460" s="37" t="str">
        <x:v>Keep prompt</x:v>
      </x:c>
      <x:c r="J460" s="37" t="str">
        <x:v>No prompt change required under the missing-cell design.</x:v>
      </x:c>
      <x:c r="K460" s="37" t="str">
        <x:v>green pencil sharpener, red pencil sharpener, green pen</x:v>
      </x:c>
      <x:c r="L460" s="37" t="str">
        <x:v>green pencil sharpener</x:v>
      </x:c>
      <x:c r="M460" s="37" t="str">
        <x:v>Home</x:v>
      </x:c>
      <x:c r="N460" s="37" t="str">
        <x:v>Move the pencil sharpener that is closest to the green pen into the bowl.</x:v>
      </x:c>
      <x:c r="O460" s="37" t="str"/>
      <x:c r="P460" s="37" t="str">
        <x:v>Explicitly grounds closest with pencil sharpener candidates; only the selected category-specific missing cell is withheld.</x:v>
      </x:c>
      <x:c r="Q460" s="38"/>
    </x:row>
    <x:row r="461" ht="60" customHeight="1">
      <x:c r="A461" s="70" t="n">
        <x:v>459</x:v>
      </x:c>
      <x:c r="B461" s="37" t="str">
        <x:v>Referential Disambiguation</x:v>
      </x:c>
      <x:c r="C461" s="37" t="str">
        <x:v>Put the pencil sharpener closest to the yellow pen in the bowl.</x:v>
      </x:c>
      <x:c r="D461" s="37" t="str">
        <x:v>Explicit closest grounding</x:v>
      </x:c>
      <x:c r="E461" s="37" t="str">
        <x:v>closest × pencil sharpener candidate category</x:v>
      </x:c>
      <x:c r="F461" s="37" t="str">
        <x:v>referential_pencil_sharpener_closest_explicit</x:v>
      </x:c>
      <x:c r="G461" s="37" t="str">
        <x:v>airplane×furthest; crushed-soda-can×closest; pencil-sharpener×between; pen fully crossed</x:v>
      </x:c>
      <x:c r="H461" s="37" t="str">
        <x:v>No</x:v>
      </x:c>
      <x:c r="I461" s="37" t="str">
        <x:v>Keep prompt</x:v>
      </x:c>
      <x:c r="J461" s="37" t="str">
        <x:v>No prompt change required under the missing-cell design.</x:v>
      </x:c>
      <x:c r="K461" s="37" t="str">
        <x:v>green pencil sharpener, red pencil sharpener, yellow pen, airplane toy with propellers</x:v>
      </x:c>
      <x:c r="L461" s="37" t="str">
        <x:v>red pencil sharpener</x:v>
      </x:c>
      <x:c r="M461" s="37" t="str">
        <x:v>Recovery</x:v>
      </x:c>
      <x:c r="N461" s="37" t="str">
        <x:v>Put the pencil sharpener closest to the yellow pen in the bowl.</x:v>
      </x:c>
      <x:c r="O461" s="37" t="str"/>
      <x:c r="P461" s="37" t="str">
        <x:v>Explicitly grounds closest with pencil sharpener candidates; only the selected category-specific missing cell is withheld.</x:v>
      </x:c>
      <x:c r="Q461" s="38"/>
    </x:row>
    <x:row r="462" ht="60" customHeight="1">
      <x:c r="A462" s="70" t="n">
        <x:v>460</x:v>
      </x:c>
      <x:c r="B462" s="37" t="str">
        <x:v>Referential Disambiguation</x:v>
      </x:c>
      <x:c r="C462" s="37" t="str">
        <x:v>Pick up the pencil sharpener nearest to the airplane toy with propellers and place it in the bowl.</x:v>
      </x:c>
      <x:c r="D462" s="37" t="str">
        <x:v>Explicit closest grounding</x:v>
      </x:c>
      <x:c r="E462" s="37" t="str">
        <x:v>closest × pencil sharpener candidate category</x:v>
      </x:c>
      <x:c r="F462" s="37" t="str">
        <x:v>referential_pencil_sharpener_closest_explicit</x:v>
      </x:c>
      <x:c r="G462" s="37" t="str">
        <x:v>airplane×furthest; crushed-soda-can×closest; pencil-sharpener×between; pen fully crossed</x:v>
      </x:c>
      <x:c r="H462" s="37" t="str">
        <x:v>No</x:v>
      </x:c>
      <x:c r="I462" s="37" t="str">
        <x:v>Keep prompt</x:v>
      </x:c>
      <x:c r="J462" s="37" t="str">
        <x:v>No prompt change required under the missing-cell design.</x:v>
      </x:c>
      <x:c r="K462" s="37" t="str">
        <x:v>green pencil sharpener, red pencil sharpener, airplane toy with propellers</x:v>
      </x:c>
      <x:c r="L462" s="37" t="str">
        <x:v>green pencil sharpener</x:v>
      </x:c>
      <x:c r="M462" s="37" t="str">
        <x:v>Home</x:v>
      </x:c>
      <x:c r="N462" s="37" t="str">
        <x:v>Pick up the pencil sharpener nearest to the airplane toy with propellers and place it in the bowl.</x:v>
      </x:c>
      <x:c r="O462" s="37" t="str"/>
      <x:c r="P462" s="37" t="str">
        <x:v>Explicitly grounds closest with pencil sharpener candidates; only the selected category-specific missing cell is withheld.</x:v>
      </x:c>
      <x:c r="Q462" s="38"/>
    </x:row>
    <x:row r="463" ht="60" customHeight="1">
      <x:c r="A463" s="70" t="n">
        <x:v>461</x:v>
      </x:c>
      <x:c r="B463" s="37" t="str">
        <x:v>Referential Disambiguation</x:v>
      </x:c>
      <x:c r="C463" s="37" t="str">
        <x:v>Pick up the pencil sharpener nearest to the airplane toy without propellers and place it in the bowl.</x:v>
      </x:c>
      <x:c r="D463" s="37" t="str">
        <x:v>Explicit closest grounding</x:v>
      </x:c>
      <x:c r="E463" s="37" t="str">
        <x:v>closest × pencil sharpener candidate category</x:v>
      </x:c>
      <x:c r="F463" s="37" t="str">
        <x:v>referential_pencil_sharpener_closest_explicit</x:v>
      </x:c>
      <x:c r="G463" s="37" t="str">
        <x:v>airplane×furthest; crushed-soda-can×closest; pencil-sharpener×between; pen fully crossed</x:v>
      </x:c>
      <x:c r="H463" s="37" t="str">
        <x:v>No</x:v>
      </x:c>
      <x:c r="I463" s="37" t="str">
        <x:v>Keep prompt</x:v>
      </x:c>
      <x:c r="J463" s="37" t="str">
        <x:v>No prompt change required under the missing-cell design.</x:v>
      </x:c>
      <x:c r="K463" s="37" t="str">
        <x:v>green pencil sharpener, red pencil sharpener, airplane toy without propellers, crushed Coke can</x:v>
      </x:c>
      <x:c r="L463" s="37" t="str">
        <x:v>red pencil sharpener</x:v>
      </x:c>
      <x:c r="M463" s="37" t="str">
        <x:v>Home</x:v>
      </x:c>
      <x:c r="N463" s="37" t="str">
        <x:v>Pick up the pencil sharpener nearest to the airplane toy without propellers and place it in the bowl.</x:v>
      </x:c>
      <x:c r="O463" s="37" t="str"/>
      <x:c r="P463" s="37" t="str">
        <x:v>Explicitly grounds closest with pencil sharpener candidates; only the selected category-specific missing cell is withheld.</x:v>
      </x:c>
      <x:c r="Q463" s="38"/>
    </x:row>
    <x:row r="464" ht="60" customHeight="1">
      <x:c r="A464" s="70" t="n">
        <x:v>462</x:v>
      </x:c>
      <x:c r="B464" s="37" t="str">
        <x:v>Referential Disambiguation</x:v>
      </x:c>
      <x:c r="C464" s="37" t="str">
        <x:v>Put the pencil sharpener closest to the crushed Coke can in the bowl.</x:v>
      </x:c>
      <x:c r="D464" s="37" t="str">
        <x:v>Explicit closest grounding</x:v>
      </x:c>
      <x:c r="E464" s="37" t="str">
        <x:v>closest × pencil sharpener candidate category</x:v>
      </x:c>
      <x:c r="F464" s="37" t="str">
        <x:v>referential_pencil_sharpener_closest_explicit</x:v>
      </x:c>
      <x:c r="G464" s="37" t="str">
        <x:v>airplane×furthest; crushed-soda-can×closest; pencil-sharpener×between; pen fully crossed</x:v>
      </x:c>
      <x:c r="H464" s="37" t="str">
        <x:v>No</x:v>
      </x:c>
      <x:c r="I464" s="37" t="str">
        <x:v>Keep prompt</x:v>
      </x:c>
      <x:c r="J464" s="37" t="str">
        <x:v>No prompt change required under the missing-cell design.</x:v>
      </x:c>
      <x:c r="K464" s="37" t="str">
        <x:v>green pencil sharpener, red pencil sharpener, crushed Coke can</x:v>
      </x:c>
      <x:c r="L464" s="37" t="str">
        <x:v>green pencil sharpener</x:v>
      </x:c>
      <x:c r="M464" s="37" t="str">
        <x:v>Home</x:v>
      </x:c>
      <x:c r="N464" s="37" t="str">
        <x:v>Put the pencil sharpener closest to the crushed Coke can in the bowl.</x:v>
      </x:c>
      <x:c r="O464" s="37" t="str"/>
      <x:c r="P464" s="37" t="str">
        <x:v>Explicitly grounds closest with pencil sharpener candidates; only the selected category-specific missing cell is withheld.</x:v>
      </x:c>
      <x:c r="Q464" s="38"/>
    </x:row>
    <x:row r="465" ht="60" customHeight="1">
      <x:c r="A465" s="70" t="n">
        <x:v>463</x:v>
      </x:c>
      <x:c r="B465" s="37" t="str">
        <x:v>Referential Disambiguation</x:v>
      </x:c>
      <x:c r="C465" s="37" t="str">
        <x:v>Pick up the pencil sharpener nearest to the crushed Pepsi can and place it in the bowl.</x:v>
      </x:c>
      <x:c r="D465" s="37" t="str">
        <x:v>Explicit closest grounding</x:v>
      </x:c>
      <x:c r="E465" s="37" t="str">
        <x:v>closest × pencil sharpener candidate category</x:v>
      </x:c>
      <x:c r="F465" s="37" t="str">
        <x:v>referential_pencil_sharpener_closest_explicit</x:v>
      </x:c>
      <x:c r="G465" s="37" t="str">
        <x:v>airplane×furthest; crushed-soda-can×closest; pencil-sharpener×between; pen fully crossed</x:v>
      </x:c>
      <x:c r="H465" s="37" t="str">
        <x:v>No</x:v>
      </x:c>
      <x:c r="I465" s="37" t="str">
        <x:v>Keep prompt</x:v>
      </x:c>
      <x:c r="J465" s="37" t="str">
        <x:v>No prompt change required under the missing-cell design.</x:v>
      </x:c>
      <x:c r="K465" s="37" t="str">
        <x:v>green pencil sharpener, red pencil sharpener, crushed Pepsi can, airplane toy with propellers</x:v>
      </x:c>
      <x:c r="L465" s="37" t="str">
        <x:v>red pencil sharpener</x:v>
      </x:c>
      <x:c r="M465" s="37" t="str">
        <x:v>Home</x:v>
      </x:c>
      <x:c r="N465" s="37" t="str">
        <x:v>Pick up the pencil sharpener nearest to the crushed Pepsi can and place it in the bowl.</x:v>
      </x:c>
      <x:c r="O465" s="37" t="str"/>
      <x:c r="P465" s="37" t="str">
        <x:v>Explicitly grounds closest with pencil sharpener candidates; only the selected category-specific missing cell is withheld.</x:v>
      </x:c>
      <x:c r="Q465" s="38"/>
    </x:row>
    <x:row r="466" ht="60" customHeight="1">
      <x:c r="A466" s="70" t="n">
        <x:v>464</x:v>
      </x:c>
      <x:c r="B466" s="37" t="str">
        <x:v>Referential Disambiguation</x:v>
      </x:c>
      <x:c r="C466" s="37" t="str">
        <x:v>Move the pencil sharpener that is closest to the green pen into the bowl.</x:v>
      </x:c>
      <x:c r="D466" s="37" t="str">
        <x:v>Explicit closest grounding</x:v>
      </x:c>
      <x:c r="E466" s="37" t="str">
        <x:v>closest × pencil sharpener candidate category</x:v>
      </x:c>
      <x:c r="F466" s="37" t="str">
        <x:v>referential_pencil_sharpener_closest_explicit</x:v>
      </x:c>
      <x:c r="G466" s="37" t="str">
        <x:v>airplane×furthest; crushed-soda-can×closest; pencil-sharpener×between; pen fully crossed</x:v>
      </x:c>
      <x:c r="H466" s="37" t="str">
        <x:v>No</x:v>
      </x:c>
      <x:c r="I466" s="37" t="str">
        <x:v>Keep prompt</x:v>
      </x:c>
      <x:c r="J466" s="37" t="str">
        <x:v>No prompt change required under the missing-cell design.</x:v>
      </x:c>
      <x:c r="K466" s="37" t="str">
        <x:v>green pencil sharpener, red pencil sharpener, green pen, yellow pen</x:v>
      </x:c>
      <x:c r="L466" s="37" t="str">
        <x:v>green pencil sharpener</x:v>
      </x:c>
      <x:c r="M466" s="37" t="str">
        <x:v>Recovery</x:v>
      </x:c>
      <x:c r="N466" s="37" t="str">
        <x:v>Move the pencil sharpener that is closest to the green pen into the bowl.</x:v>
      </x:c>
      <x:c r="O466" s="37" t="str"/>
      <x:c r="P466" s="37" t="str">
        <x:v>Explicitly grounds closest with pencil sharpener candidates; only the selected category-specific missing cell is withheld.</x:v>
      </x:c>
      <x:c r="Q466" s="38"/>
    </x:row>
    <x:row r="467" ht="60" customHeight="1">
      <x:c r="A467" s="70" t="n">
        <x:v>465</x:v>
      </x:c>
      <x:c r="B467" s="37" t="str">
        <x:v>Referential Disambiguation</x:v>
      </x:c>
      <x:c r="C467" s="37" t="str">
        <x:v>Pick up the pencil sharpener furthest from the green pen and place it in the bowl.</x:v>
      </x:c>
      <x:c r="D467" s="37" t="str">
        <x:v>Explicit furthest grounding</x:v>
      </x:c>
      <x:c r="E467" s="37" t="str">
        <x:v>furthest × pencil sharpener candidate category</x:v>
      </x:c>
      <x:c r="F467" s="37" t="str">
        <x:v>referential_pencil_sharpener_furthest_explicit</x:v>
      </x:c>
      <x:c r="G467" s="37" t="str">
        <x:v>airplane×furthest; crushed-soda-can×closest; pencil-sharpener×between; pen fully crossed</x:v>
      </x:c>
      <x:c r="H467" s="37" t="str">
        <x:v>Yes</x:v>
      </x:c>
      <x:c r="I467" s="37" t="str">
        <x:v>Replace prompt only</x:v>
      </x:c>
      <x:c r="J467" s="37" t="str">
        <x:v>Prompt-only relabeling; preserve episode 465 video, scene, trajectory, target, and start position.</x:v>
      </x:c>
      <x:c r="K467" s="37" t="str">
        <x:v>green pencil sharpener, red pencil sharpener, green pen</x:v>
      </x:c>
      <x:c r="L467" s="37" t="str">
        <x:v>red pencil sharpener</x:v>
      </x:c>
      <x:c r="M467" s="37" t="str">
        <x:v>Home</x:v>
      </x:c>
      <x:c r="N467" s="37" t="str">
        <x:v>Pick up the red pencil sharpener and place it in the bowl.</x:v>
      </x:c>
      <x:c r="O467" s="37" t="str"/>
      <x:c r="P467" s="37" t="str">
        <x:v>Explicitly grounds furthest with pencil sharpener candidates; only the selected category-specific missing cell is withheld.</x:v>
      </x:c>
      <x:c r="Q467" s="38"/>
    </x:row>
    <x:row r="468" ht="60" customHeight="1">
      <x:c r="A468" s="70" t="n">
        <x:v>466</x:v>
      </x:c>
      <x:c r="B468" s="37" t="str">
        <x:v>Referential Disambiguation</x:v>
      </x:c>
      <x:c r="C468" s="37" t="str">
        <x:v>Pick up the pencil sharpener furthest from the yellow pen and place it in the bowl.</x:v>
      </x:c>
      <x:c r="D468" s="37" t="str">
        <x:v>Explicit furthest grounding</x:v>
      </x:c>
      <x:c r="E468" s="37" t="str">
        <x:v>furthest × pencil sharpener candidate category</x:v>
      </x:c>
      <x:c r="F468" s="37" t="str">
        <x:v>referential_pencil_sharpener_furthest_explicit</x:v>
      </x:c>
      <x:c r="G468" s="37" t="str">
        <x:v>airplane×furthest; crushed-soda-can×closest; pencil-sharpener×between; pen fully crossed</x:v>
      </x:c>
      <x:c r="H468" s="37" t="str">
        <x:v>Yes</x:v>
      </x:c>
      <x:c r="I468" s="37" t="str">
        <x:v>Replace prompt only</x:v>
      </x:c>
      <x:c r="J468" s="37" t="str">
        <x:v>Prompt-only relabeling; preserve episode 466 video, scene, trajectory, target, and start position.</x:v>
      </x:c>
      <x:c r="K468" s="37" t="str">
        <x:v>green pencil sharpener, red pencil sharpener, yellow pen, airplane toy without propellers</x:v>
      </x:c>
      <x:c r="L468" s="37" t="str">
        <x:v>green pencil sharpener</x:v>
      </x:c>
      <x:c r="M468" s="37" t="str">
        <x:v>Home</x:v>
      </x:c>
      <x:c r="N468" s="37" t="str">
        <x:v>Move the green pencil sharpener into the bowl.</x:v>
      </x:c>
      <x:c r="O468" s="37" t="str"/>
      <x:c r="P468" s="37" t="str">
        <x:v>Explicitly grounds furthest with pencil sharpener candidates; only the selected category-specific missing cell is withheld.</x:v>
      </x:c>
      <x:c r="Q468" s="38"/>
    </x:row>
    <x:row r="469" ht="60" customHeight="1">
      <x:c r="A469" s="70" t="n">
        <x:v>467</x:v>
      </x:c>
      <x:c r="B469" s="37" t="str">
        <x:v>Referential Disambiguation</x:v>
      </x:c>
      <x:c r="C469" s="37" t="str">
        <x:v>Pick up the pencil sharpener furthest from the airplane toy with propellers and place it in the bowl.</x:v>
      </x:c>
      <x:c r="D469" s="37" t="str">
        <x:v>Explicit furthest grounding</x:v>
      </x:c>
      <x:c r="E469" s="37" t="str">
        <x:v>furthest × pencil sharpener candidate category</x:v>
      </x:c>
      <x:c r="F469" s="37" t="str">
        <x:v>referential_pencil_sharpener_furthest_explicit</x:v>
      </x:c>
      <x:c r="G469" s="37" t="str">
        <x:v>airplane×furthest; crushed-soda-can×closest; pencil-sharpener×between; pen fully crossed</x:v>
      </x:c>
      <x:c r="H469" s="37" t="str">
        <x:v>Yes</x:v>
      </x:c>
      <x:c r="I469" s="37" t="str">
        <x:v>Replace prompt only</x:v>
      </x:c>
      <x:c r="J469" s="37" t="str">
        <x:v>Prompt-only relabeling; preserve episode 467 video, scene, trajectory, target, and start position.</x:v>
      </x:c>
      <x:c r="K469" s="37" t="str">
        <x:v>green pencil sharpener, red pencil sharpener, airplane toy with propellers</x:v>
      </x:c>
      <x:c r="L469" s="37" t="str">
        <x:v>red pencil sharpener</x:v>
      </x:c>
      <x:c r="M469" s="37" t="str">
        <x:v>Home</x:v>
      </x:c>
      <x:c r="N469" s="37" t="str">
        <x:v>Move the red pencil sharpener into the bowl.</x:v>
      </x:c>
      <x:c r="O469" s="37" t="str"/>
      <x:c r="P469" s="37" t="str">
        <x:v>Explicitly grounds furthest with pencil sharpener candidates; only the selected category-specific missing cell is withheld.</x:v>
      </x:c>
      <x:c r="Q469" s="38"/>
    </x:row>
    <x:row r="470" ht="60" customHeight="1">
      <x:c r="A470" s="70" t="n">
        <x:v>468</x:v>
      </x:c>
      <x:c r="B470" s="37" t="str">
        <x:v>Referential Disambiguation</x:v>
      </x:c>
      <x:c r="C470" s="37" t="str">
        <x:v>Pick up the pencil sharpener furthest from the airplane toy without propellers and place it in the bowl.</x:v>
      </x:c>
      <x:c r="D470" s="37" t="str">
        <x:v>Explicit furthest grounding</x:v>
      </x:c>
      <x:c r="E470" s="37" t="str">
        <x:v>furthest × pencil sharpener candidate category</x:v>
      </x:c>
      <x:c r="F470" s="37" t="str">
        <x:v>referential_pencil_sharpener_furthest_explicit</x:v>
      </x:c>
      <x:c r="G470" s="37" t="str">
        <x:v>airplane×furthest; crushed-soda-can×closest; pencil-sharpener×between; pen fully crossed</x:v>
      </x:c>
      <x:c r="H470" s="37" t="str">
        <x:v>Yes</x:v>
      </x:c>
      <x:c r="I470" s="37" t="str">
        <x:v>Replace prompt only</x:v>
      </x:c>
      <x:c r="J470" s="37" t="str">
        <x:v>Prompt-only relabeling; preserve episode 468 video, scene, trajectory, target, and start position.</x:v>
      </x:c>
      <x:c r="K470" s="37" t="str">
        <x:v>green pencil sharpener, red pencil sharpener, airplane toy without propellers, crushed Pepsi can</x:v>
      </x:c>
      <x:c r="L470" s="37" t="str">
        <x:v>green pencil sharpener</x:v>
      </x:c>
      <x:c r="M470" s="37" t="str">
        <x:v>Recovery</x:v>
      </x:c>
      <x:c r="N470" s="37" t="str">
        <x:v>Move the green pencil sharpener into the bowl.</x:v>
      </x:c>
      <x:c r="O470" s="37" t="str"/>
      <x:c r="P470" s="37" t="str">
        <x:v>Explicitly grounds furthest with pencil sharpener candidates; only the selected category-specific missing cell is withheld.</x:v>
      </x:c>
      <x:c r="Q470" s="38"/>
    </x:row>
    <x:row r="471" ht="60" customHeight="1">
      <x:c r="A471" s="70" t="n">
        <x:v>469</x:v>
      </x:c>
      <x:c r="B471" s="37" t="str">
        <x:v>Referential Disambiguation</x:v>
      </x:c>
      <x:c r="C471" s="37" t="str">
        <x:v>Pick up the pencil sharpener furthest from the crushed Coke can and place it in the bowl.</x:v>
      </x:c>
      <x:c r="D471" s="37" t="str">
        <x:v>Explicit furthest grounding</x:v>
      </x:c>
      <x:c r="E471" s="37" t="str">
        <x:v>furthest × pencil sharpener candidate category</x:v>
      </x:c>
      <x:c r="F471" s="37" t="str">
        <x:v>referential_pencil_sharpener_furthest_explicit</x:v>
      </x:c>
      <x:c r="G471" s="37" t="str">
        <x:v>airplane×furthest; crushed-soda-can×closest; pencil-sharpener×between; pen fully crossed</x:v>
      </x:c>
      <x:c r="H471" s="37" t="str">
        <x:v>Yes</x:v>
      </x:c>
      <x:c r="I471" s="37" t="str">
        <x:v>Replace prompt only</x:v>
      </x:c>
      <x:c r="J471" s="37" t="str">
        <x:v>Prompt-only relabeling; preserve episode 469 video, scene, trajectory, target, and start position.</x:v>
      </x:c>
      <x:c r="K471" s="37" t="str">
        <x:v>green pencil sharpener, red pencil sharpener, crushed Coke can</x:v>
      </x:c>
      <x:c r="L471" s="37" t="str">
        <x:v>red pencil sharpener</x:v>
      </x:c>
      <x:c r="M471" s="37" t="str">
        <x:v>Home</x:v>
      </x:c>
      <x:c r="N471" s="37" t="str">
        <x:v>Put the red pencil sharpener in the bowl.</x:v>
      </x:c>
      <x:c r="O471" s="37" t="str"/>
      <x:c r="P471" s="37" t="str">
        <x:v>Explicitly grounds furthest with pencil sharpener candidates; only the selected category-specific missing cell is withheld.</x:v>
      </x:c>
      <x:c r="Q471" s="38"/>
    </x:row>
    <x:row r="472" ht="60" customHeight="1">
      <x:c r="A472" s="70" t="n">
        <x:v>470</x:v>
      </x:c>
      <x:c r="B472" s="37" t="str">
        <x:v>Referential Disambiguation</x:v>
      </x:c>
      <x:c r="C472" s="37" t="str">
        <x:v>Pick up the pencil sharpener furthest from the crushed Pepsi can and place it in the bowl.</x:v>
      </x:c>
      <x:c r="D472" s="37" t="str">
        <x:v>Explicit furthest grounding</x:v>
      </x:c>
      <x:c r="E472" s="37" t="str">
        <x:v>furthest × pencil sharpener candidate category</x:v>
      </x:c>
      <x:c r="F472" s="37" t="str">
        <x:v>referential_pencil_sharpener_furthest_explicit</x:v>
      </x:c>
      <x:c r="G472" s="37" t="str">
        <x:v>airplane×furthest; crushed-soda-can×closest; pencil-sharpener×between; pen fully crossed</x:v>
      </x:c>
      <x:c r="H472" s="37" t="str">
        <x:v>Yes</x:v>
      </x:c>
      <x:c r="I472" s="37" t="str">
        <x:v>Replace prompt only</x:v>
      </x:c>
      <x:c r="J472" s="37" t="str">
        <x:v>Prompt-only relabeling; preserve episode 470 video, scene, trajectory, target, and start position.</x:v>
      </x:c>
      <x:c r="K472" s="37" t="str">
        <x:v>green pencil sharpener, red pencil sharpener, crushed Pepsi can, crushed Coke can</x:v>
      </x:c>
      <x:c r="L472" s="37" t="str">
        <x:v>green pencil sharpener</x:v>
      </x:c>
      <x:c r="M472" s="37" t="str">
        <x:v>Home</x:v>
      </x:c>
      <x:c r="N472" s="37" t="str">
        <x:v>Pick up the green pencil sharpener and place it in the bowl.</x:v>
      </x:c>
      <x:c r="O472" s="37" t="str"/>
      <x:c r="P472" s="37" t="str">
        <x:v>Explicitly grounds furthest with pencil sharpener candidates; only the selected category-specific missing cell is withheld.</x:v>
      </x:c>
      <x:c r="Q472" s="38"/>
    </x:row>
    <x:row r="473" ht="60" customHeight="1">
      <x:c r="A473" s="70" t="n">
        <x:v>471</x:v>
      </x:c>
      <x:c r="B473" s="37" t="str">
        <x:v>Referential Disambiguation</x:v>
      </x:c>
      <x:c r="C473" s="37" t="str">
        <x:v>Pick up the pencil sharpener furthest from the green pen and place it in the bowl.</x:v>
      </x:c>
      <x:c r="D473" s="37" t="str">
        <x:v>Explicit furthest grounding</x:v>
      </x:c>
      <x:c r="E473" s="37" t="str">
        <x:v>furthest × pencil sharpener candidate category</x:v>
      </x:c>
      <x:c r="F473" s="37" t="str">
        <x:v>referential_pencil_sharpener_furthest_explicit</x:v>
      </x:c>
      <x:c r="G473" s="37" t="str">
        <x:v>airplane×furthest; crushed-soda-can×closest; pencil-sharpener×between; pen fully crossed</x:v>
      </x:c>
      <x:c r="H473" s="37" t="str">
        <x:v>Yes</x:v>
      </x:c>
      <x:c r="I473" s="37" t="str">
        <x:v>Replace prompt only</x:v>
      </x:c>
      <x:c r="J473" s="37" t="str">
        <x:v>Prompt-only relabeling; preserve episode 471 video, scene, trajectory, target, and start position.</x:v>
      </x:c>
      <x:c r="K473" s="37" t="str">
        <x:v>green pencil sharpener, red pencil sharpener, green pen</x:v>
      </x:c>
      <x:c r="L473" s="37" t="str">
        <x:v>red pencil sharpener</x:v>
      </x:c>
      <x:c r="M473" s="37" t="str">
        <x:v>Home</x:v>
      </x:c>
      <x:c r="N473" s="37" t="str">
        <x:v>Put the red pencil sharpener in the bowl.</x:v>
      </x:c>
      <x:c r="O473" s="37" t="str"/>
      <x:c r="P473" s="37" t="str">
        <x:v>Explicitly grounds furthest with pencil sharpener candidates; only the selected category-specific missing cell is withheld.</x:v>
      </x:c>
      <x:c r="Q473" s="38"/>
    </x:row>
    <x:row r="474" ht="60" customHeight="1">
      <x:c r="A474" s="70" t="n">
        <x:v>472</x:v>
      </x:c>
      <x:c r="B474" s="37" t="str">
        <x:v>Referential Disambiguation</x:v>
      </x:c>
      <x:c r="C474" s="37" t="str">
        <x:v>Pick up the pencil sharpener furthest from the yellow pen and place it in the bowl.</x:v>
      </x:c>
      <x:c r="D474" s="37" t="str">
        <x:v>Explicit furthest grounding</x:v>
      </x:c>
      <x:c r="E474" s="37" t="str">
        <x:v>furthest × pencil sharpener candidate category</x:v>
      </x:c>
      <x:c r="F474" s="37" t="str">
        <x:v>referential_pencil_sharpener_furthest_explicit</x:v>
      </x:c>
      <x:c r="G474" s="37" t="str">
        <x:v>airplane×furthest; crushed-soda-can×closest; pencil-sharpener×between; pen fully crossed</x:v>
      </x:c>
      <x:c r="H474" s="37" t="str">
        <x:v>Yes</x:v>
      </x:c>
      <x:c r="I474" s="37" t="str">
        <x:v>Replace prompt only</x:v>
      </x:c>
      <x:c r="J474" s="37" t="str">
        <x:v>Prompt-only relabeling; preserve episode 472 video, scene, trajectory, target, and start position.</x:v>
      </x:c>
      <x:c r="K474" s="37" t="str">
        <x:v>green pencil sharpener, red pencil sharpener, yellow pen, crushed Pepsi can</x:v>
      </x:c>
      <x:c r="L474" s="37" t="str">
        <x:v>green pencil sharpener</x:v>
      </x:c>
      <x:c r="M474" s="37" t="str">
        <x:v>Home</x:v>
      </x:c>
      <x:c r="N474" s="37" t="str">
        <x:v>Put the green pencil sharpener in the bowl.</x:v>
      </x:c>
      <x:c r="O474" s="37" t="str"/>
      <x:c r="P474" s="37" t="str">
        <x:v>Explicitly grounds furthest with pencil sharpener candidates; only the selected category-specific missing cell is withheld.</x:v>
      </x:c>
      <x:c r="Q474" s="38"/>
    </x:row>
    <x:row r="475" ht="60" customHeight="1">
      <x:c r="A475" s="70" t="n">
        <x:v>473</x:v>
      </x:c>
      <x:c r="B475" s="37" t="str">
        <x:v>Referential Disambiguation</x:v>
      </x:c>
      <x:c r="C475" s="37" t="str">
        <x:v>Pick up the pencil sharpener furthest from the airplane toy with propellers and place it in the bowl.</x:v>
      </x:c>
      <x:c r="D475" s="37" t="str">
        <x:v>Explicit furthest grounding</x:v>
      </x:c>
      <x:c r="E475" s="37" t="str">
        <x:v>furthest × pencil sharpener candidate category</x:v>
      </x:c>
      <x:c r="F475" s="37" t="str">
        <x:v>referential_pencil_sharpener_furthest_explicit</x:v>
      </x:c>
      <x:c r="G475" s="37" t="str">
        <x:v>airplane×furthest; crushed-soda-can×closest; pencil-sharpener×between; pen fully crossed</x:v>
      </x:c>
      <x:c r="H475" s="37" t="str">
        <x:v>Yes</x:v>
      </x:c>
      <x:c r="I475" s="37" t="str">
        <x:v>Replace prompt only</x:v>
      </x:c>
      <x:c r="J475" s="37" t="str">
        <x:v>Prompt-only relabeling; preserve episode 473 video, scene, trajectory, target, and start position.</x:v>
      </x:c>
      <x:c r="K475" s="37" t="str">
        <x:v>green pencil sharpener, red pencil sharpener, airplane toy with propellers</x:v>
      </x:c>
      <x:c r="L475" s="37" t="str">
        <x:v>red pencil sharpener</x:v>
      </x:c>
      <x:c r="M475" s="37" t="str">
        <x:v>Recovery</x:v>
      </x:c>
      <x:c r="N475" s="37" t="str">
        <x:v>Pick up the red pencil sharpener and place it in the bowl.</x:v>
      </x:c>
      <x:c r="O475" s="37" t="str"/>
      <x:c r="P475" s="37" t="str">
        <x:v>Explicitly grounds furthest with pencil sharpener candidates; only the selected category-specific missing cell is withheld.</x:v>
      </x:c>
      <x:c r="Q475" s="38"/>
    </x:row>
    <x:row r="476" ht="60" customHeight="1">
      <x:c r="A476" s="70" t="n">
        <x:v>474</x:v>
      </x:c>
      <x:c r="B476" s="37" t="str">
        <x:v>Referential Disambiguation</x:v>
      </x:c>
      <x:c r="C476" s="37" t="str">
        <x:v>Pick up the pencil sharpener furthest from the airplane toy without propellers and place it in the bowl.</x:v>
      </x:c>
      <x:c r="D476" s="37" t="str">
        <x:v>Explicit furthest grounding</x:v>
      </x:c>
      <x:c r="E476" s="37" t="str">
        <x:v>furthest × pencil sharpener candidate category</x:v>
      </x:c>
      <x:c r="F476" s="37" t="str">
        <x:v>referential_pencil_sharpener_furthest_explicit</x:v>
      </x:c>
      <x:c r="G476" s="37" t="str">
        <x:v>airplane×furthest; crushed-soda-can×closest; pencil-sharpener×between; pen fully crossed</x:v>
      </x:c>
      <x:c r="H476" s="37" t="str">
        <x:v>Yes</x:v>
      </x:c>
      <x:c r="I476" s="37" t="str">
        <x:v>Replace prompt only</x:v>
      </x:c>
      <x:c r="J476" s="37" t="str">
        <x:v>Prompt-only relabeling; preserve episode 474 video, scene, trajectory, target, and start position.</x:v>
      </x:c>
      <x:c r="K476" s="37" t="str">
        <x:v>green pencil sharpener, red pencil sharpener, airplane toy without propellers, yellow pen</x:v>
      </x:c>
      <x:c r="L476" s="37" t="str">
        <x:v>green pencil sharpener</x:v>
      </x:c>
      <x:c r="M476" s="37" t="str">
        <x:v>Home</x:v>
      </x:c>
      <x:c r="N476" s="37" t="str">
        <x:v>Pick up the green pencil sharpener and place it in the bowl.</x:v>
      </x:c>
      <x:c r="O476" s="37" t="str"/>
      <x:c r="P476" s="37" t="str">
        <x:v>Explicitly grounds furthest with pencil sharpener candidates; only the selected category-specific missing cell is withheld.</x:v>
      </x:c>
      <x:c r="Q476" s="38"/>
    </x:row>
    <x:row r="477" ht="60" customHeight="1">
      <x:c r="A477" s="70" t="n">
        <x:v>475</x:v>
      </x:c>
      <x:c r="B477" s="37" t="str">
        <x:v>Referential Disambiguation</x:v>
      </x:c>
      <x:c r="C477" s="37" t="str">
        <x:v>Pick up the pencil sharpener furthest from the crushed Coke can and place it in the bowl.</x:v>
      </x:c>
      <x:c r="D477" s="37" t="str">
        <x:v>Explicit furthest grounding</x:v>
      </x:c>
      <x:c r="E477" s="37" t="str">
        <x:v>furthest × pencil sharpener candidate category</x:v>
      </x:c>
      <x:c r="F477" s="37" t="str">
        <x:v>referential_pencil_sharpener_furthest_explicit</x:v>
      </x:c>
      <x:c r="G477" s="37" t="str">
        <x:v>airplane×furthest; crushed-soda-can×closest; pencil-sharpener×between; pen fully crossed</x:v>
      </x:c>
      <x:c r="H477" s="37" t="str">
        <x:v>Yes</x:v>
      </x:c>
      <x:c r="I477" s="37" t="str">
        <x:v>Replace prompt only</x:v>
      </x:c>
      <x:c r="J477" s="37" t="str">
        <x:v>Prompt-only relabeling; preserve episode 475 video, scene, trajectory, target, and start position.</x:v>
      </x:c>
      <x:c r="K477" s="37" t="str">
        <x:v>green pencil sharpener, red pencil sharpener, crushed Coke can</x:v>
      </x:c>
      <x:c r="L477" s="37" t="str">
        <x:v>red pencil sharpener</x:v>
      </x:c>
      <x:c r="M477" s="37" t="str">
        <x:v>Home</x:v>
      </x:c>
      <x:c r="N477" s="37" t="str">
        <x:v>Pick up the red pencil sharpener and place it in the bowl.</x:v>
      </x:c>
      <x:c r="O477" s="37" t="str"/>
      <x:c r="P477" s="37" t="str">
        <x:v>Explicitly grounds furthest with pencil sharpener candidates; only the selected category-specific missing cell is withheld.</x:v>
      </x:c>
      <x:c r="Q477" s="38"/>
    </x:row>
    <x:row r="478" ht="60" customHeight="1">
      <x:c r="A478" s="70" t="n">
        <x:v>476</x:v>
      </x:c>
      <x:c r="B478" s="37" t="str">
        <x:v>Referential Disambiguation</x:v>
      </x:c>
      <x:c r="C478" s="37" t="str">
        <x:v>Pick up the pencil sharpener furthest from the crushed Pepsi can and place it in the bowl.</x:v>
      </x:c>
      <x:c r="D478" s="37" t="str">
        <x:v>Explicit furthest grounding</x:v>
      </x:c>
      <x:c r="E478" s="37" t="str">
        <x:v>furthest × pencil sharpener candidate category</x:v>
      </x:c>
      <x:c r="F478" s="37" t="str">
        <x:v>referential_pencil_sharpener_furthest_explicit</x:v>
      </x:c>
      <x:c r="G478" s="37" t="str">
        <x:v>airplane×furthest; crushed-soda-can×closest; pencil-sharpener×between; pen fully crossed</x:v>
      </x:c>
      <x:c r="H478" s="37" t="str">
        <x:v>Yes</x:v>
      </x:c>
      <x:c r="I478" s="37" t="str">
        <x:v>Replace prompt only</x:v>
      </x:c>
      <x:c r="J478" s="37" t="str">
        <x:v>Prompt-only relabeling; preserve episode 476 video, scene, trajectory, target, and start position.</x:v>
      </x:c>
      <x:c r="K478" s="37" t="str">
        <x:v>green pencil sharpener, red pencil sharpener, crushed Pepsi can, yellow pen</x:v>
      </x:c>
      <x:c r="L478" s="37" t="str">
        <x:v>green pencil sharpener</x:v>
      </x:c>
      <x:c r="M478" s="37" t="str">
        <x:v>Home</x:v>
      </x:c>
      <x:c r="N478" s="37" t="str">
        <x:v>Put the green pencil sharpener in the bowl.</x:v>
      </x:c>
      <x:c r="O478" s="37" t="str"/>
      <x:c r="P478" s="37" t="str">
        <x:v>Explicitly grounds furthest with pencil sharpener candidates; only the selected category-specific missing cell is withheld.</x:v>
      </x:c>
      <x:c r="Q478" s="38"/>
    </x:row>
    <x:row r="479" ht="60" customHeight="1">
      <x:c r="A479" s="70" t="n">
        <x:v>477</x:v>
      </x:c>
      <x:c r="B479" s="37" t="str">
        <x:v>Referential Disambiguation</x:v>
      </x:c>
      <x:c r="C479" s="37" t="str">
        <x:v>Pick up the pencil sharpener furthest from the green pen and place it in the bowl.</x:v>
      </x:c>
      <x:c r="D479" s="37" t="str">
        <x:v>Explicit furthest grounding</x:v>
      </x:c>
      <x:c r="E479" s="37" t="str">
        <x:v>furthest × pencil sharpener candidate category</x:v>
      </x:c>
      <x:c r="F479" s="37" t="str">
        <x:v>referential_pencil_sharpener_furthest_explicit</x:v>
      </x:c>
      <x:c r="G479" s="37" t="str">
        <x:v>airplane×furthest; crushed-soda-can×closest; pencil-sharpener×between; pen fully crossed</x:v>
      </x:c>
      <x:c r="H479" s="37" t="str">
        <x:v>Yes</x:v>
      </x:c>
      <x:c r="I479" s="37" t="str">
        <x:v>Replace prompt only</x:v>
      </x:c>
      <x:c r="J479" s="37" t="str">
        <x:v>Prompt-only relabeling; preserve episode 477 video, scene, trajectory, target, and start position.</x:v>
      </x:c>
      <x:c r="K479" s="37" t="str">
        <x:v>green pencil sharpener, red pencil sharpener, green pen</x:v>
      </x:c>
      <x:c r="L479" s="37" t="str">
        <x:v>red pencil sharpener</x:v>
      </x:c>
      <x:c r="M479" s="37" t="str">
        <x:v>Home</x:v>
      </x:c>
      <x:c r="N479" s="37" t="str">
        <x:v>Move the red pencil sharpener into the bowl.</x:v>
      </x:c>
      <x:c r="O479" s="37" t="str"/>
      <x:c r="P479" s="37" t="str">
        <x:v>Explicitly grounds furthest with pencil sharpener candidates; only the selected category-specific missing cell is withheld.</x:v>
      </x:c>
      <x:c r="Q479" s="38"/>
    </x:row>
    <x:row r="480" ht="60" customHeight="1">
      <x:c r="A480" s="70" t="n">
        <x:v>478</x:v>
      </x:c>
      <x:c r="B480" s="37" t="str">
        <x:v>Referential Disambiguation</x:v>
      </x:c>
      <x:c r="C480" s="37" t="str">
        <x:v>Pick up the pencil sharpener furthest from the yellow pen and place it in the bowl.</x:v>
      </x:c>
      <x:c r="D480" s="37" t="str">
        <x:v>Explicit furthest grounding</x:v>
      </x:c>
      <x:c r="E480" s="37" t="str">
        <x:v>furthest × pencil sharpener candidate category</x:v>
      </x:c>
      <x:c r="F480" s="37" t="str">
        <x:v>referential_pencil_sharpener_furthest_explicit</x:v>
      </x:c>
      <x:c r="G480" s="37" t="str">
        <x:v>airplane×furthest; crushed-soda-can×closest; pencil-sharpener×between; pen fully crossed</x:v>
      </x:c>
      <x:c r="H480" s="37" t="str">
        <x:v>Yes</x:v>
      </x:c>
      <x:c r="I480" s="37" t="str">
        <x:v>Replace prompt only</x:v>
      </x:c>
      <x:c r="J480" s="37" t="str">
        <x:v>Prompt-only relabeling; preserve episode 478 video, scene, trajectory, target, and start position.</x:v>
      </x:c>
      <x:c r="K480" s="37" t="str">
        <x:v>green pencil sharpener, red pencil sharpener, yellow pen, green pen</x:v>
      </x:c>
      <x:c r="L480" s="37" t="str">
        <x:v>green pencil sharpener</x:v>
      </x:c>
      <x:c r="M480" s="37" t="str">
        <x:v>Recovery</x:v>
      </x:c>
      <x:c r="N480" s="37" t="str">
        <x:v>Put the green pencil sharpener in the bowl.</x:v>
      </x:c>
      <x:c r="O480" s="37" t="str"/>
      <x:c r="P480" s="37" t="str">
        <x:v>Explicitly grounds furthest with pencil sharpener candidates; only the selected category-specific missing cell is withheld.</x:v>
      </x:c>
      <x:c r="Q480" s="38"/>
    </x:row>
    <x:row r="481" ht="60" customHeight="1">
      <x:c r="A481" s="70" t="n">
        <x:v>479</x:v>
      </x:c>
      <x:c r="B481" s="37" t="str">
        <x:v>Referential Disambiguation</x:v>
      </x:c>
      <x:c r="C481" s="37" t="str">
        <x:v>Pick up the pencil sharpener furthest from the airplane toy with propellers and place it in the bowl.</x:v>
      </x:c>
      <x:c r="D481" s="37" t="str">
        <x:v>Explicit furthest grounding</x:v>
      </x:c>
      <x:c r="E481" s="37" t="str">
        <x:v>furthest × pencil sharpener candidate category</x:v>
      </x:c>
      <x:c r="F481" s="37" t="str">
        <x:v>referential_pencil_sharpener_furthest_explicit</x:v>
      </x:c>
      <x:c r="G481" s="37" t="str">
        <x:v>airplane×furthest; crushed-soda-can×closest; pencil-sharpener×between; pen fully crossed</x:v>
      </x:c>
      <x:c r="H481" s="37" t="str">
        <x:v>Yes</x:v>
      </x:c>
      <x:c r="I481" s="37" t="str">
        <x:v>Replace prompt only</x:v>
      </x:c>
      <x:c r="J481" s="37" t="str">
        <x:v>Prompt-only relabeling; preserve episode 479 video, scene, trajectory, target, and start position.</x:v>
      </x:c>
      <x:c r="K481" s="37" t="str">
        <x:v>green pencil sharpener, red pencil sharpener, airplane toy with propellers</x:v>
      </x:c>
      <x:c r="L481" s="37" t="str">
        <x:v>red pencil sharpener</x:v>
      </x:c>
      <x:c r="M481" s="37" t="str">
        <x:v>Home</x:v>
      </x:c>
      <x:c r="N481" s="37" t="str">
        <x:v>Put the red pencil sharpener in the bowl.</x:v>
      </x:c>
      <x:c r="O481" s="37" t="str"/>
      <x:c r="P481" s="37" t="str">
        <x:v>Explicitly grounds furthest with pencil sharpener candidates; only the selected category-specific missing cell is withheld.</x:v>
      </x:c>
      <x:c r="Q481" s="38"/>
    </x:row>
    <x:row r="482" ht="60" customHeight="1">
      <x:c r="A482" s="70" t="n">
        <x:v>480</x:v>
      </x:c>
      <x:c r="B482" s="37" t="str">
        <x:v>Referential Disambiguation</x:v>
      </x:c>
      <x:c r="C482" s="37" t="str">
        <x:v>Move the red pencil sharpener into the bowl.</x:v>
      </x:c>
      <x:c r="D482" s="37" t="str">
        <x:v>Masked relation × candidate-category composition</x:v>
      </x:c>
      <x:c r="E482" s="37" t="str">
        <x:v>direct identity=red pencil sharpener; hidden relation=between; candidate category=pencil sharpener</x:v>
      </x:c>
      <x:c r="F482" s="37" t="str">
        <x:v>referential_pencil_sharpener_between_masked</x:v>
      </x:c>
      <x:c r="G482" s="37" t="str">
        <x:v>airplane×furthest; crushed-soda-can×closest; pencil-sharpener×between; pen fully crossed</x:v>
      </x:c>
      <x:c r="H482" s="37" t="str">
        <x:v>Yes</x:v>
      </x:c>
      <x:c r="I482" s="37" t="str">
        <x:v>Replace prompt only</x:v>
      </x:c>
      <x:c r="J482" s="37" t="str">
        <x:v>Prompt-only relabeling; preserve episode 480 video, scene, trajectory, target, and start position.</x:v>
      </x:c>
      <x:c r="K482" s="37" t="str">
        <x:v>green pencil sharpener, red pencil sharpener, airplane toy without propellers, yellow pen, crushed Pepsi can</x:v>
      </x:c>
      <x:c r="L482" s="37" t="str">
        <x:v>red pencil sharpener</x:v>
      </x:c>
      <x:c r="M482" s="37" t="str">
        <x:v>Home</x:v>
      </x:c>
      <x:c r="N482" s="37" t="str">
        <x:v>Put the pencil sharpener between the airplane toy without propellers and the yellow pen in the bowl.</x:v>
      </x:c>
      <x:c r="O482" s="37" t="str">
        <x:v>Put the pencil sharpener between the airplane toy without propellers and the yellow pen in the bowl.</x:v>
      </x:c>
      <x:c r="P482" s="37" t="str">
        <x:v>The pencil sharpener is still named and manipulated directly, but between is never used to select this candidate category during training.</x:v>
      </x:c>
      <x:c r="Q482" s="38"/>
    </x:row>
    <x:row r="483" ht="60" customHeight="1">
      <x:c r="A483" s="70" t="n">
        <x:v>481</x:v>
      </x:c>
      <x:c r="B483" s="37" t="str">
        <x:v>Referential Disambiguation</x:v>
      </x:c>
      <x:c r="C483" s="37" t="str">
        <x:v>Put the red pencil sharpener in the bowl.</x:v>
      </x:c>
      <x:c r="D483" s="37" t="str">
        <x:v>Masked relation × candidate-category composition</x:v>
      </x:c>
      <x:c r="E483" s="37" t="str">
        <x:v>direct identity=red pencil sharpener; hidden relation=between; candidate category=pencil sharpener</x:v>
      </x:c>
      <x:c r="F483" s="37" t="str">
        <x:v>referential_pencil_sharpener_between_masked</x:v>
      </x:c>
      <x:c r="G483" s="37" t="str">
        <x:v>airplane×furthest; crushed-soda-can×closest; pencil-sharpener×between; pen fully crossed</x:v>
      </x:c>
      <x:c r="H483" s="37" t="str">
        <x:v>Yes</x:v>
      </x:c>
      <x:c r="I483" s="37" t="str">
        <x:v>Replace prompt only</x:v>
      </x:c>
      <x:c r="J483" s="37" t="str">
        <x:v>Prompt-only relabeling; preserve episode 481 video, scene, trajectory, target, and start position.</x:v>
      </x:c>
      <x:c r="K483" s="37" t="str">
        <x:v>green pencil sharpener, red pencil sharpener, green pen, crushed Pepsi can, airplane toy with propellers</x:v>
      </x:c>
      <x:c r="L483" s="37" t="str">
        <x:v>red pencil sharpener</x:v>
      </x:c>
      <x:c r="M483" s="37" t="str">
        <x:v>Home</x:v>
      </x:c>
      <x:c r="N483" s="37" t="str">
        <x:v>Move the pencil sharpener lying between the green pen and the crushed Pepsi can into the bowl.</x:v>
      </x:c>
      <x:c r="O483" s="37" t="str">
        <x:v>Move the pencil sharpener lying between the green pen and the crushed Pepsi can into the bowl.</x:v>
      </x:c>
      <x:c r="P483" s="37" t="str">
        <x:v>The pencil sharpener is still named and manipulated directly, but between is never used to select this candidate category during training.</x:v>
      </x:c>
      <x:c r="Q483" s="38"/>
    </x:row>
    <x:row r="484" ht="60" customHeight="1">
      <x:c r="A484" s="70" t="n">
        <x:v>482</x:v>
      </x:c>
      <x:c r="B484" s="37" t="str">
        <x:v>Referential Disambiguation</x:v>
      </x:c>
      <x:c r="C484" s="37" t="str">
        <x:v>Pick up the green pencil sharpener and place it in the bowl.</x:v>
      </x:c>
      <x:c r="D484" s="37" t="str">
        <x:v>Masked relation × candidate-category composition</x:v>
      </x:c>
      <x:c r="E484" s="37" t="str">
        <x:v>direct identity=green pencil sharpener; hidden relation=between; candidate category=pencil sharpener</x:v>
      </x:c>
      <x:c r="F484" s="37" t="str">
        <x:v>referential_pencil_sharpener_between_masked</x:v>
      </x:c>
      <x:c r="G484" s="37" t="str">
        <x:v>airplane×furthest; crushed-soda-can×closest; pencil-sharpener×between; pen fully crossed</x:v>
      </x:c>
      <x:c r="H484" s="37" t="str">
        <x:v>Yes</x:v>
      </x:c>
      <x:c r="I484" s="37" t="str">
        <x:v>Replace prompt only</x:v>
      </x:c>
      <x:c r="J484" s="37" t="str">
        <x:v>Prompt-only relabeling; preserve episode 482 video, scene, trajectory, target, and start position.</x:v>
      </x:c>
      <x:c r="K484" s="37" t="str">
        <x:v>green pencil sharpener, red pencil sharpener, crushed Pepsi can, airplane toy without propellers</x:v>
      </x:c>
      <x:c r="L484" s="37" t="str">
        <x:v>green pencil sharpener</x:v>
      </x:c>
      <x:c r="M484" s="37" t="str">
        <x:v>Home</x:v>
      </x:c>
      <x:c r="N484" s="37" t="str">
        <x:v>Put the pencil sharpener between the crushed Pepsi can and the airplane toy without propellers in the bowl.</x:v>
      </x:c>
      <x:c r="O484" s="37" t="str">
        <x:v>Put the pencil sharpener between the crushed Pepsi can and the airplane toy without propellers in the bowl.</x:v>
      </x:c>
      <x:c r="P484" s="37" t="str">
        <x:v>The pencil sharpener is still named and manipulated directly, but between is never used to select this candidate category during training.</x:v>
      </x:c>
      <x:c r="Q484" s="38"/>
    </x:row>
    <x:row r="485" ht="60" customHeight="1">
      <x:c r="A485" s="70" t="n">
        <x:v>483</x:v>
      </x:c>
      <x:c r="B485" s="37" t="str">
        <x:v>Referential Disambiguation</x:v>
      </x:c>
      <x:c r="C485" s="37" t="str">
        <x:v>Move the green pencil sharpener into the bowl.</x:v>
      </x:c>
      <x:c r="D485" s="37" t="str">
        <x:v>Masked relation × candidate-category composition</x:v>
      </x:c>
      <x:c r="E485" s="37" t="str">
        <x:v>direct identity=green pencil sharpener; hidden relation=between; candidate category=pencil sharpener</x:v>
      </x:c>
      <x:c r="F485" s="37" t="str">
        <x:v>referential_pencil_sharpener_between_masked</x:v>
      </x:c>
      <x:c r="G485" s="37" t="str">
        <x:v>airplane×furthest; crushed-soda-can×closest; pencil-sharpener×between; pen fully crossed</x:v>
      </x:c>
      <x:c r="H485" s="37" t="str">
        <x:v>Yes</x:v>
      </x:c>
      <x:c r="I485" s="37" t="str">
        <x:v>Replace prompt only</x:v>
      </x:c>
      <x:c r="J485" s="37" t="str">
        <x:v>Prompt-only relabeling; preserve episode 483 video, scene, trajectory, target, and start position.</x:v>
      </x:c>
      <x:c r="K485" s="37" t="str">
        <x:v>green pencil sharpener, red pencil sharpener, green pen, airplane toy without propellers</x:v>
      </x:c>
      <x:c r="L485" s="37" t="str">
        <x:v>green pencil sharpener</x:v>
      </x:c>
      <x:c r="M485" s="37" t="str">
        <x:v>Recovery</x:v>
      </x:c>
      <x:c r="N485" s="37" t="str">
        <x:v>Move the pencil sharpener lying between the green pen and the airplane toy without propellers into the bowl.</x:v>
      </x:c>
      <x:c r="O485" s="37" t="str">
        <x:v>Move the pencil sharpener lying between the green pen and the airplane toy without propellers into the bowl.</x:v>
      </x:c>
      <x:c r="P485" s="37" t="str">
        <x:v>The pencil sharpener is still named and manipulated directly, but between is never used to select this candidate category during training.</x:v>
      </x:c>
      <x:c r="Q485" s="38"/>
    </x:row>
    <x:row r="486" ht="60" customHeight="1">
      <x:c r="A486" s="70" t="n">
        <x:v>484</x:v>
      </x:c>
      <x:c r="B486" s="37" t="str">
        <x:v>Referential Disambiguation</x:v>
      </x:c>
      <x:c r="C486" s="37" t="str">
        <x:v>Put the red pencil sharpener in the bowl.</x:v>
      </x:c>
      <x:c r="D486" s="37" t="str">
        <x:v>Masked relation × candidate-category composition</x:v>
      </x:c>
      <x:c r="E486" s="37" t="str">
        <x:v>direct identity=red pencil sharpener; hidden relation=between; candidate category=pencil sharpener</x:v>
      </x:c>
      <x:c r="F486" s="37" t="str">
        <x:v>referential_pencil_sharpener_between_masked</x:v>
      </x:c>
      <x:c r="G486" s="37" t="str">
        <x:v>airplane×furthest; crushed-soda-can×closest; pencil-sharpener×between; pen fully crossed</x:v>
      </x:c>
      <x:c r="H486" s="37" t="str">
        <x:v>Yes</x:v>
      </x:c>
      <x:c r="I486" s="37" t="str">
        <x:v>Replace prompt only</x:v>
      </x:c>
      <x:c r="J486" s="37" t="str">
        <x:v>Prompt-only relabeling; preserve episode 484 video, scene, trajectory, target, and start position.</x:v>
      </x:c>
      <x:c r="K486" s="37" t="str">
        <x:v>green pencil sharpener, red pencil sharpener, yellow pen, crushed Pepsi can, green pen</x:v>
      </x:c>
      <x:c r="L486" s="37" t="str">
        <x:v>red pencil sharpener</x:v>
      </x:c>
      <x:c r="M486" s="37" t="str">
        <x:v>Recovery</x:v>
      </x:c>
      <x:c r="N486" s="37" t="str">
        <x:v>Put the pencil sharpener between the yellow pen and the crushed Pepsi can in the bowl.</x:v>
      </x:c>
      <x:c r="O486" s="37" t="str">
        <x:v>Put the pencil sharpener between the yellow pen and the crushed Pepsi can in the bowl.</x:v>
      </x:c>
      <x:c r="P486" s="37" t="str">
        <x:v>The pencil sharpener is still named and manipulated directly, but between is never used to select this candidate category during training.</x:v>
      </x:c>
      <x:c r="Q486" s="38"/>
    </x:row>
    <x:row r="487" ht="60" customHeight="1">
      <x:c r="A487" s="70" t="n">
        <x:v>485</x:v>
      </x:c>
      <x:c r="B487" s="37" t="str">
        <x:v>Referential Disambiguation</x:v>
      </x:c>
      <x:c r="C487" s="37" t="str">
        <x:v>Pick up the green pencil sharpener and place it in the bowl.</x:v>
      </x:c>
      <x:c r="D487" s="37" t="str">
        <x:v>Masked relation × candidate-category composition</x:v>
      </x:c>
      <x:c r="E487" s="37" t="str">
        <x:v>direct identity=green pencil sharpener; hidden relation=between; candidate category=pencil sharpener</x:v>
      </x:c>
      <x:c r="F487" s="37" t="str">
        <x:v>referential_pencil_sharpener_between_masked</x:v>
      </x:c>
      <x:c r="G487" s="37" t="str">
        <x:v>airplane×furthest; crushed-soda-can×closest; pencil-sharpener×between; pen fully crossed</x:v>
      </x:c>
      <x:c r="H487" s="37" t="str">
        <x:v>Yes</x:v>
      </x:c>
      <x:c r="I487" s="37" t="str">
        <x:v>Replace prompt only</x:v>
      </x:c>
      <x:c r="J487" s="37" t="str">
        <x:v>Prompt-only relabeling; preserve episode 485 video, scene, trajectory, target, and start position.</x:v>
      </x:c>
      <x:c r="K487" s="37" t="str">
        <x:v>green pencil sharpener, red pencil sharpener, airplane toy without propellers, crushed Coke can</x:v>
      </x:c>
      <x:c r="L487" s="37" t="str">
        <x:v>green pencil sharpener</x:v>
      </x:c>
      <x:c r="M487" s="37" t="str">
        <x:v>Home</x:v>
      </x:c>
      <x:c r="N487" s="37" t="str">
        <x:v>Put the pencil sharpener between the airplane toy without propellers and the crushed Coke can in the bowl.</x:v>
      </x:c>
      <x:c r="O487" s="37" t="str">
        <x:v>Put the pencil sharpener between the airplane toy without propellers and the crushed Coke can in the bowl.</x:v>
      </x:c>
      <x:c r="P487" s="37" t="str">
        <x:v>The pencil sharpener is still named and manipulated directly, but between is never used to select this candidate category during training.</x:v>
      </x:c>
      <x:c r="Q487" s="38"/>
    </x:row>
    <x:row r="488" ht="60" customHeight="1">
      <x:c r="A488" s="70" t="n">
        <x:v>486</x:v>
      </x:c>
      <x:c r="B488" s="37" t="str">
        <x:v>Referential Disambiguation</x:v>
      </x:c>
      <x:c r="C488" s="37" t="str">
        <x:v>Move the red pencil sharpener into the bowl.</x:v>
      </x:c>
      <x:c r="D488" s="37" t="str">
        <x:v>Masked relation × candidate-category composition</x:v>
      </x:c>
      <x:c r="E488" s="37" t="str">
        <x:v>direct identity=red pencil sharpener; hidden relation=between; candidate category=pencil sharpener</x:v>
      </x:c>
      <x:c r="F488" s="37" t="str">
        <x:v>referential_pencil_sharpener_between_masked</x:v>
      </x:c>
      <x:c r="G488" s="37" t="str">
        <x:v>airplane×furthest; crushed-soda-can×closest; pencil-sharpener×between; pen fully crossed</x:v>
      </x:c>
      <x:c r="H488" s="37" t="str">
        <x:v>Yes</x:v>
      </x:c>
      <x:c r="I488" s="37" t="str">
        <x:v>Replace prompt only</x:v>
      </x:c>
      <x:c r="J488" s="37" t="str">
        <x:v>Prompt-only relabeling; preserve episode 486 video, scene, trajectory, target, and start position.</x:v>
      </x:c>
      <x:c r="K488" s="37" t="str">
        <x:v>green pencil sharpener, red pencil sharpener, yellow pen, airplane toy with propellers</x:v>
      </x:c>
      <x:c r="L488" s="37" t="str">
        <x:v>red pencil sharpener</x:v>
      </x:c>
      <x:c r="M488" s="37" t="str">
        <x:v>Home</x:v>
      </x:c>
      <x:c r="N488" s="37" t="str">
        <x:v>Put the pencil sharpener between the yellow pen and the airplane toy with propellers in the bowl.</x:v>
      </x:c>
      <x:c r="O488" s="37" t="str">
        <x:v>Put the pencil sharpener between the yellow pen and the airplane toy with propellers in the bowl.</x:v>
      </x:c>
      <x:c r="P488" s="37" t="str">
        <x:v>The pencil sharpener is still named and manipulated directly, but between is never used to select this candidate category during training.</x:v>
      </x:c>
      <x:c r="Q488" s="38"/>
    </x:row>
    <x:row r="489" ht="60" customHeight="1">
      <x:c r="A489" s="70" t="n">
        <x:v>487</x:v>
      </x:c>
      <x:c r="B489" s="37" t="str">
        <x:v>Referential Disambiguation</x:v>
      </x:c>
      <x:c r="C489" s="37" t="str">
        <x:v>Put the green pencil sharpener in the bowl.</x:v>
      </x:c>
      <x:c r="D489" s="37" t="str">
        <x:v>Masked relation × candidate-category composition</x:v>
      </x:c>
      <x:c r="E489" s="37" t="str">
        <x:v>direct identity=green pencil sharpener; hidden relation=between; candidate category=pencil sharpener</x:v>
      </x:c>
      <x:c r="F489" s="37" t="str">
        <x:v>referential_pencil_sharpener_between_masked</x:v>
      </x:c>
      <x:c r="G489" s="37" t="str">
        <x:v>airplane×furthest; crushed-soda-can×closest; pencil-sharpener×between; pen fully crossed</x:v>
      </x:c>
      <x:c r="H489" s="37" t="str">
        <x:v>Yes</x:v>
      </x:c>
      <x:c r="I489" s="37" t="str">
        <x:v>Replace prompt only</x:v>
      </x:c>
      <x:c r="J489" s="37" t="str">
        <x:v>Prompt-only relabeling; preserve episode 487 video, scene, trajectory, target, and start position.</x:v>
      </x:c>
      <x:c r="K489" s="37" t="str">
        <x:v>green pencil sharpener, red pencil sharpener, crushed Coke can, green pen, crushed Pepsi can</x:v>
      </x:c>
      <x:c r="L489" s="37" t="str">
        <x:v>green pencil sharpener</x:v>
      </x:c>
      <x:c r="M489" s="37" t="str">
        <x:v>Home</x:v>
      </x:c>
      <x:c r="N489" s="37" t="str">
        <x:v>Put the pencil sharpener between the crushed Coke can and the green pen in the bowl.</x:v>
      </x:c>
      <x:c r="O489" s="37" t="str">
        <x:v>Put the pencil sharpener between the crushed Coke can and the green pen in the bowl.</x:v>
      </x:c>
      <x:c r="P489" s="37" t="str">
        <x:v>The pencil sharpener is still named and manipulated directly, but between is never used to select this candidate category during training.</x:v>
      </x:c>
      <x:c r="Q489" s="38"/>
    </x:row>
    <x:row r="490" ht="60" customHeight="1">
      <x:c r="A490" s="70" t="n">
        <x:v>488</x:v>
      </x:c>
      <x:c r="B490" s="37" t="str">
        <x:v>Referential Disambiguation</x:v>
      </x:c>
      <x:c r="C490" s="37" t="str">
        <x:v>Pick up the red pencil sharpener and place it in the bowl.</x:v>
      </x:c>
      <x:c r="D490" s="37" t="str">
        <x:v>Masked relation × candidate-category composition</x:v>
      </x:c>
      <x:c r="E490" s="37" t="str">
        <x:v>direct identity=red pencil sharpener; hidden relation=between; candidate category=pencil sharpener</x:v>
      </x:c>
      <x:c r="F490" s="37" t="str">
        <x:v>referential_pencil_sharpener_between_masked</x:v>
      </x:c>
      <x:c r="G490" s="37" t="str">
        <x:v>airplane×furthest; crushed-soda-can×closest; pencil-sharpener×between; pen fully crossed</x:v>
      </x:c>
      <x:c r="H490" s="37" t="str">
        <x:v>Yes</x:v>
      </x:c>
      <x:c r="I490" s="37" t="str">
        <x:v>Replace prompt only</x:v>
      </x:c>
      <x:c r="J490" s="37" t="str">
        <x:v>Prompt-only relabeling; preserve episode 488 video, scene, trajectory, target, and start position.</x:v>
      </x:c>
      <x:c r="K490" s="37" t="str">
        <x:v>green pencil sharpener, red pencil sharpener, airplane toy with propellers, crushed Coke can</x:v>
      </x:c>
      <x:c r="L490" s="37" t="str">
        <x:v>red pencil sharpener</x:v>
      </x:c>
      <x:c r="M490" s="37" t="str">
        <x:v>Home</x:v>
      </x:c>
      <x:c r="N490" s="37" t="str">
        <x:v>Pick up the pencil sharpener positioned between the airplane toy with propellers and the crushed Coke can, then place it in the bowl.</x:v>
      </x:c>
      <x:c r="O490" s="37" t="str">
        <x:v>Pick up the pencil sharpener positioned between the airplane toy with propellers and the crushed Coke can, then place it in the bowl.</x:v>
      </x:c>
      <x:c r="P490" s="37" t="str">
        <x:v>The pencil sharpener is still named and manipulated directly, but between is never used to select this candidate category during training.</x:v>
      </x:c>
      <x:c r="Q490" s="38"/>
    </x:row>
    <x:row r="491" ht="60" customHeight="1">
      <x:c r="A491" s="70" t="n">
        <x:v>489</x:v>
      </x:c>
      <x:c r="B491" s="37" t="str">
        <x:v>Referential Disambiguation</x:v>
      </x:c>
      <x:c r="C491" s="37" t="str">
        <x:v>Move the green pencil sharpener into the bowl.</x:v>
      </x:c>
      <x:c r="D491" s="37" t="str">
        <x:v>Masked relation × candidate-category composition</x:v>
      </x:c>
      <x:c r="E491" s="37" t="str">
        <x:v>direct identity=green pencil sharpener; hidden relation=between; candidate category=pencil sharpener</x:v>
      </x:c>
      <x:c r="F491" s="37" t="str">
        <x:v>referential_pencil_sharpener_between_masked</x:v>
      </x:c>
      <x:c r="G491" s="37" t="str">
        <x:v>airplane×furthest; crushed-soda-can×closest; pencil-sharpener×between; pen fully crossed</x:v>
      </x:c>
      <x:c r="H491" s="37" t="str">
        <x:v>Yes</x:v>
      </x:c>
      <x:c r="I491" s="37" t="str">
        <x:v>Replace prompt only</x:v>
      </x:c>
      <x:c r="J491" s="37" t="str">
        <x:v>Prompt-only relabeling; preserve episode 489 video, scene, trajectory, target, and start position.</x:v>
      </x:c>
      <x:c r="K491" s="37" t="str">
        <x:v>green pencil sharpener, red pencil sharpener, airplane toy with propellers, green pen, yellow pen</x:v>
      </x:c>
      <x:c r="L491" s="37" t="str">
        <x:v>green pencil sharpener</x:v>
      </x:c>
      <x:c r="M491" s="37" t="str">
        <x:v>Home</x:v>
      </x:c>
      <x:c r="N491" s="37" t="str">
        <x:v>Pick up the pencil sharpener positioned between the airplane toy with propellers and the green pen, then place it in the bowl.</x:v>
      </x:c>
      <x:c r="O491" s="37" t="str">
        <x:v>Pick up the pencil sharpener positioned between the airplane toy with propellers and the green pen, then place it in the bowl.</x:v>
      </x:c>
      <x:c r="P491" s="37" t="str">
        <x:v>The pencil sharpener is still named and manipulated directly, but between is never used to select this candidate category during training.</x:v>
      </x:c>
      <x:c r="Q491" s="38"/>
    </x:row>
    <x:row r="492" ht="60" customHeight="1">
      <x:c r="A492" s="70" t="n">
        <x:v>490</x:v>
      </x:c>
      <x:c r="B492" s="37" t="str">
        <x:v>Referential Disambiguation</x:v>
      </x:c>
      <x:c r="C492" s="37" t="str">
        <x:v>Put the green pencil sharpener in the bowl.</x:v>
      </x:c>
      <x:c r="D492" s="37" t="str">
        <x:v>Masked relation × candidate-category composition</x:v>
      </x:c>
      <x:c r="E492" s="37" t="str">
        <x:v>direct identity=green pencil sharpener; hidden relation=between; candidate category=pencil sharpener</x:v>
      </x:c>
      <x:c r="F492" s="37" t="str">
        <x:v>referential_pencil_sharpener_between_masked</x:v>
      </x:c>
      <x:c r="G492" s="37" t="str">
        <x:v>airplane×furthest; crushed-soda-can×closest; pencil-sharpener×between; pen fully crossed</x:v>
      </x:c>
      <x:c r="H492" s="37" t="str">
        <x:v>Yes</x:v>
      </x:c>
      <x:c r="I492" s="37" t="str">
        <x:v>Replace prompt only</x:v>
      </x:c>
      <x:c r="J492" s="37" t="str">
        <x:v>Prompt-only relabeling; preserve episode 490 video, scene, trajectory, target, and start position.</x:v>
      </x:c>
      <x:c r="K492" s="37" t="str">
        <x:v>green pencil sharpener, red pencil sharpener, crushed Coke can, yellow pen, airplane toy with propellers</x:v>
      </x:c>
      <x:c r="L492" s="37" t="str">
        <x:v>green pencil sharpener</x:v>
      </x:c>
      <x:c r="M492" s="37" t="str">
        <x:v>Home</x:v>
      </x:c>
      <x:c r="N492" s="37" t="str">
        <x:v>Put the pencil sharpener between the crushed Coke can and the yellow pen in the bowl.</x:v>
      </x:c>
      <x:c r="O492" s="37" t="str">
        <x:v>Put the pencil sharpener between the crushed Coke can and the yellow pen in the bowl.</x:v>
      </x:c>
      <x:c r="P492" s="37" t="str">
        <x:v>The pencil sharpener is still named and manipulated directly, but between is never used to select this candidate category during training.</x:v>
      </x:c>
      <x:c r="Q492" s="38"/>
    </x:row>
    <x:row r="493" ht="60" customHeight="1">
      <x:c r="A493" s="70" t="n">
        <x:v>491</x:v>
      </x:c>
      <x:c r="B493" s="37" t="str">
        <x:v>Referential Disambiguation</x:v>
      </x:c>
      <x:c r="C493" s="37" t="str">
        <x:v>Pick up the red pencil sharpener and place it in the bowl.</x:v>
      </x:c>
      <x:c r="D493" s="37" t="str">
        <x:v>Masked relation × candidate-category composition</x:v>
      </x:c>
      <x:c r="E493" s="37" t="str">
        <x:v>direct identity=red pencil sharpener; hidden relation=between; candidate category=pencil sharpener</x:v>
      </x:c>
      <x:c r="F493" s="37" t="str">
        <x:v>referential_pencil_sharpener_between_masked</x:v>
      </x:c>
      <x:c r="G493" s="37" t="str">
        <x:v>airplane×furthest; crushed-soda-can×closest; pencil-sharpener×between; pen fully crossed</x:v>
      </x:c>
      <x:c r="H493" s="37" t="str">
        <x:v>Yes</x:v>
      </x:c>
      <x:c r="I493" s="37" t="str">
        <x:v>Replace prompt only</x:v>
      </x:c>
      <x:c r="J493" s="37" t="str">
        <x:v>Prompt-only relabeling; preserve episode 491 video, scene, trajectory, target, and start position.</x:v>
      </x:c>
      <x:c r="K493" s="37" t="str">
        <x:v>green pencil sharpener, red pencil sharpener, crushed Pepsi can, airplane toy with propellers</x:v>
      </x:c>
      <x:c r="L493" s="37" t="str">
        <x:v>red pencil sharpener</x:v>
      </x:c>
      <x:c r="M493" s="37" t="str">
        <x:v>Home</x:v>
      </x:c>
      <x:c r="N493" s="37" t="str">
        <x:v>Put the pencil sharpener between the crushed Pepsi can and the airplane toy with propellers in the bowl.</x:v>
      </x:c>
      <x:c r="O493" s="37" t="str">
        <x:v>Put the pencil sharpener between the crushed Pepsi can and the airplane toy with propellers in the bowl.</x:v>
      </x:c>
      <x:c r="P493" s="37" t="str">
        <x:v>The pencil sharpener is still named and manipulated directly, but between is never used to select this candidate category during training.</x:v>
      </x:c>
      <x:c r="Q493" s="38"/>
    </x:row>
    <x:row r="494" ht="60" customHeight="1">
      <x:c r="A494" s="70" t="n">
        <x:v>492</x:v>
      </x:c>
      <x:c r="B494" s="37" t="str">
        <x:v>Referential Disambiguation</x:v>
      </x:c>
      <x:c r="C494" s="37" t="str">
        <x:v>Move the green pencil sharpener into the bowl.</x:v>
      </x:c>
      <x:c r="D494" s="37" t="str">
        <x:v>Masked relation × candidate-category composition</x:v>
      </x:c>
      <x:c r="E494" s="37" t="str">
        <x:v>direct identity=green pencil sharpener; hidden relation=between; candidate category=pencil sharpener</x:v>
      </x:c>
      <x:c r="F494" s="37" t="str">
        <x:v>referential_pencil_sharpener_between_masked</x:v>
      </x:c>
      <x:c r="G494" s="37" t="str">
        <x:v>airplane×furthest; crushed-soda-can×closest; pencil-sharpener×between; pen fully crossed</x:v>
      </x:c>
      <x:c r="H494" s="37" t="str">
        <x:v>Yes</x:v>
      </x:c>
      <x:c r="I494" s="37" t="str">
        <x:v>Replace prompt only</x:v>
      </x:c>
      <x:c r="J494" s="37" t="str">
        <x:v>Prompt-only relabeling; preserve episode 492 video, scene, trajectory, target, and start position.</x:v>
      </x:c>
      <x:c r="K494" s="37" t="str">
        <x:v>green pencil sharpener, red pencil sharpener, airplane toy without propellers, yellow pen</x:v>
      </x:c>
      <x:c r="L494" s="37" t="str">
        <x:v>green pencil sharpener</x:v>
      </x:c>
      <x:c r="M494" s="37" t="str">
        <x:v>Home</x:v>
      </x:c>
      <x:c r="N494" s="37" t="str">
        <x:v>Pick up the pencil sharpener positioned between the airplane toy without propellers and the yellow pen, then place it in the bowl.</x:v>
      </x:c>
      <x:c r="O494" s="37" t="str">
        <x:v>Pick up the pencil sharpener positioned between the airplane toy without propellers and the yellow pen, then place it in the bowl.</x:v>
      </x:c>
      <x:c r="P494" s="37" t="str">
        <x:v>The pencil sharpener is still named and manipulated directly, but between is never used to select this candidate category during training.</x:v>
      </x:c>
      <x:c r="Q494" s="38"/>
    </x:row>
    <x:row r="495" ht="60" customHeight="1">
      <x:c r="A495" s="70" t="n">
        <x:v>493</x:v>
      </x:c>
      <x:c r="B495" s="37" t="str">
        <x:v>Referential Disambiguation</x:v>
      </x:c>
      <x:c r="C495" s="37" t="str">
        <x:v>Put the red pencil sharpener in the bowl.</x:v>
      </x:c>
      <x:c r="D495" s="37" t="str">
        <x:v>Masked relation × candidate-category composition</x:v>
      </x:c>
      <x:c r="E495" s="37" t="str">
        <x:v>direct identity=red pencil sharpener; hidden relation=between; candidate category=pencil sharpener</x:v>
      </x:c>
      <x:c r="F495" s="37" t="str">
        <x:v>referential_pencil_sharpener_between_masked</x:v>
      </x:c>
      <x:c r="G495" s="37" t="str">
        <x:v>airplane×furthest; crushed-soda-can×closest; pencil-sharpener×between; pen fully crossed</x:v>
      </x:c>
      <x:c r="H495" s="37" t="str">
        <x:v>Yes</x:v>
      </x:c>
      <x:c r="I495" s="37" t="str">
        <x:v>Replace prompt only</x:v>
      </x:c>
      <x:c r="J495" s="37" t="str">
        <x:v>Prompt-only relabeling; preserve episode 493 video, scene, trajectory, target, and start position.</x:v>
      </x:c>
      <x:c r="K495" s="37" t="str">
        <x:v>green pencil sharpener, red pencil sharpener, green pen, crushed Pepsi can</x:v>
      </x:c>
      <x:c r="L495" s="37" t="str">
        <x:v>red pencil sharpener</x:v>
      </x:c>
      <x:c r="M495" s="37" t="str">
        <x:v>Home</x:v>
      </x:c>
      <x:c r="N495" s="37" t="str">
        <x:v>Put the pencil sharpener between the green pen and the crushed Pepsi can in the bowl.</x:v>
      </x:c>
      <x:c r="O495" s="37" t="str">
        <x:v>Put the pencil sharpener between the green pen and the crushed Pepsi can in the bowl.</x:v>
      </x:c>
      <x:c r="P495" s="37" t="str">
        <x:v>The pencil sharpener is still named and manipulated directly, but between is never used to select this candidate category during training.</x:v>
      </x:c>
      <x:c r="Q495" s="38"/>
    </x:row>
    <x:row r="496" ht="60" customHeight="1">
      <x:c r="A496" s="70" t="n">
        <x:v>494</x:v>
      </x:c>
      <x:c r="B496" s="37" t="str">
        <x:v>Referential Disambiguation</x:v>
      </x:c>
      <x:c r="C496" s="37" t="str">
        <x:v>Pick up the red pencil sharpener and place it in the bowl.</x:v>
      </x:c>
      <x:c r="D496" s="37" t="str">
        <x:v>Masked relation × candidate-category composition</x:v>
      </x:c>
      <x:c r="E496" s="37" t="str">
        <x:v>direct identity=red pencil sharpener; hidden relation=between; candidate category=pencil sharpener</x:v>
      </x:c>
      <x:c r="F496" s="37" t="str">
        <x:v>referential_pencil_sharpener_between_masked</x:v>
      </x:c>
      <x:c r="G496" s="37" t="str">
        <x:v>airplane×furthest; crushed-soda-can×closest; pencil-sharpener×between; pen fully crossed</x:v>
      </x:c>
      <x:c r="H496" s="37" t="str">
        <x:v>Yes</x:v>
      </x:c>
      <x:c r="I496" s="37" t="str">
        <x:v>Replace prompt only</x:v>
      </x:c>
      <x:c r="J496" s="37" t="str">
        <x:v>Prompt-only relabeling; preserve episode 494 video, scene, trajectory, target, and start position.</x:v>
      </x:c>
      <x:c r="K496" s="37" t="str">
        <x:v>green pencil sharpener, red pencil sharpener, crushed Pepsi can, airplane toy without propellers, crushed Coke can</x:v>
      </x:c>
      <x:c r="L496" s="37" t="str">
        <x:v>red pencil sharpener</x:v>
      </x:c>
      <x:c r="M496" s="37" t="str">
        <x:v>Recovery</x:v>
      </x:c>
      <x:c r="N496" s="37" t="str">
        <x:v>Put the pencil sharpener between the crushed Pepsi can and the airplane toy without propellers in the bowl.</x:v>
      </x:c>
      <x:c r="O496" s="37" t="str">
        <x:v>Put the pencil sharpener between the crushed Pepsi can and the airplane toy without propellers in the bowl.</x:v>
      </x:c>
      <x:c r="P496" s="37" t="str">
        <x:v>The pencil sharpener is still named and manipulated directly, but between is never used to select this candidate category during training.</x:v>
      </x:c>
      <x:c r="Q496" s="38"/>
    </x:row>
    <x:row r="497" ht="60" customHeight="1">
      <x:c r="A497" s="70" t="n">
        <x:v>495</x:v>
      </x:c>
      <x:c r="B497" s="37" t="str">
        <x:v>Referential Disambiguation</x:v>
      </x:c>
      <x:c r="C497" s="37" t="str">
        <x:v>Move the green pencil sharpener into the bowl.</x:v>
      </x:c>
      <x:c r="D497" s="37" t="str">
        <x:v>Masked relation × candidate-category composition</x:v>
      </x:c>
      <x:c r="E497" s="37" t="str">
        <x:v>direct identity=green pencil sharpener; hidden relation=between; candidate category=pencil sharpener</x:v>
      </x:c>
      <x:c r="F497" s="37" t="str">
        <x:v>referential_pencil_sharpener_between_masked</x:v>
      </x:c>
      <x:c r="G497" s="37" t="str">
        <x:v>airplane×furthest; crushed-soda-can×closest; pencil-sharpener×between; pen fully crossed</x:v>
      </x:c>
      <x:c r="H497" s="37" t="str">
        <x:v>Yes</x:v>
      </x:c>
      <x:c r="I497" s="37" t="str">
        <x:v>Replace prompt only</x:v>
      </x:c>
      <x:c r="J497" s="37" t="str">
        <x:v>Prompt-only relabeling; preserve episode 495 video, scene, trajectory, target, and start position.</x:v>
      </x:c>
      <x:c r="K497" s="37" t="str">
        <x:v>green pencil sharpener, red pencil sharpener, crushed Coke can, green pen, airplane toy without propellers</x:v>
      </x:c>
      <x:c r="L497" s="37" t="str">
        <x:v>green pencil sharpener</x:v>
      </x:c>
      <x:c r="M497" s="37" t="str">
        <x:v>Home</x:v>
      </x:c>
      <x:c r="N497" s="37" t="str">
        <x:v>Pick up the pencil sharpener positioned between the crushed Coke can and the green pen, then place it in the bowl.</x:v>
      </x:c>
      <x:c r="O497" s="37" t="str">
        <x:v>Pick up the pencil sharpener positioned between the crushed Coke can and the green pen, then place it in the bowl.</x:v>
      </x:c>
      <x:c r="P497" s="37" t="str">
        <x:v>The pencil sharpener is still named and manipulated directly, but between is never used to select this candidate category during training.</x:v>
      </x:c>
      <x:c r="Q497" s="38"/>
    </x:row>
    <x:row r="498" ht="60" customHeight="1">
      <x:c r="A498" s="70" t="n">
        <x:v>496</x:v>
      </x:c>
      <x:c r="B498" s="37" t="str">
        <x:v>Referential Disambiguation</x:v>
      </x:c>
      <x:c r="C498" s="37" t="str">
        <x:v>Put the green pencil sharpener in the bowl.</x:v>
      </x:c>
      <x:c r="D498" s="37" t="str">
        <x:v>Masked relation × candidate-category composition</x:v>
      </x:c>
      <x:c r="E498" s="37" t="str">
        <x:v>direct identity=green pencil sharpener; hidden relation=between; candidate category=pencil sharpener</x:v>
      </x:c>
      <x:c r="F498" s="37" t="str">
        <x:v>referential_pencil_sharpener_between_masked</x:v>
      </x:c>
      <x:c r="G498" s="37" t="str">
        <x:v>airplane×furthest; crushed-soda-can×closest; pencil-sharpener×between; pen fully crossed</x:v>
      </x:c>
      <x:c r="H498" s="37" t="str">
        <x:v>Yes</x:v>
      </x:c>
      <x:c r="I498" s="37" t="str">
        <x:v>Replace prompt only</x:v>
      </x:c>
      <x:c r="J498" s="37" t="str">
        <x:v>Prompt-only relabeling; preserve episode 496 video, scene, trajectory, target, and start position.</x:v>
      </x:c>
      <x:c r="K498" s="37" t="str">
        <x:v>green pencil sharpener, red pencil sharpener, airplane toy with propellers, crushed Coke can, green pen</x:v>
      </x:c>
      <x:c r="L498" s="37" t="str">
        <x:v>green pencil sharpener</x:v>
      </x:c>
      <x:c r="M498" s="37" t="str">
        <x:v>Home</x:v>
      </x:c>
      <x:c r="N498" s="37" t="str">
        <x:v>Put the pencil sharpener between the airplane toy with propellers and the crushed Coke can in the bowl.</x:v>
      </x:c>
      <x:c r="O498" s="37" t="str">
        <x:v>Put the pencil sharpener between the airplane toy with propellers and the crushed Coke can in the bowl.</x:v>
      </x:c>
      <x:c r="P498" s="37" t="str">
        <x:v>The pencil sharpener is still named and manipulated directly, but between is never used to select this candidate category during training.</x:v>
      </x:c>
      <x:c r="Q498" s="38"/>
    </x:row>
    <x:row r="499" ht="60" customHeight="1">
      <x:c r="A499" s="70" t="n">
        <x:v>497</x:v>
      </x:c>
      <x:c r="B499" s="37" t="str">
        <x:v>Referential Disambiguation</x:v>
      </x:c>
      <x:c r="C499" s="37" t="str">
        <x:v>Pick up the green pencil sharpener and place it in the bowl.</x:v>
      </x:c>
      <x:c r="D499" s="37" t="str">
        <x:v>Masked relation × candidate-category composition</x:v>
      </x:c>
      <x:c r="E499" s="37" t="str">
        <x:v>direct identity=green pencil sharpener; hidden relation=between; candidate category=pencil sharpener</x:v>
      </x:c>
      <x:c r="F499" s="37" t="str">
        <x:v>referential_pencil_sharpener_between_masked</x:v>
      </x:c>
      <x:c r="G499" s="37" t="str">
        <x:v>airplane×furthest; crushed-soda-can×closest; pencil-sharpener×between; pen fully crossed</x:v>
      </x:c>
      <x:c r="H499" s="37" t="str">
        <x:v>Yes</x:v>
      </x:c>
      <x:c r="I499" s="37" t="str">
        <x:v>Replace prompt only</x:v>
      </x:c>
      <x:c r="J499" s="37" t="str">
        <x:v>Prompt-only relabeling; preserve episode 497 video, scene, trajectory, target, and start position.</x:v>
      </x:c>
      <x:c r="K499" s="37" t="str">
        <x:v>green pencil sharpener, red pencil sharpener, airplane toy with propellers, green pen</x:v>
      </x:c>
      <x:c r="L499" s="37" t="str">
        <x:v>green pencil sharpener</x:v>
      </x:c>
      <x:c r="M499" s="37" t="str">
        <x:v>Recovery</x:v>
      </x:c>
      <x:c r="N499" s="37" t="str">
        <x:v>Move the pencil sharpener lying between the airplane toy with propellers and the green pen into the bowl.</x:v>
      </x:c>
      <x:c r="O499" s="37" t="str">
        <x:v>Move the pencil sharpener lying between the airplane toy with propellers and the green pen into the bowl.</x:v>
      </x:c>
      <x:c r="P499" s="37" t="str">
        <x:v>The pencil sharpener is still named and manipulated directly, but between is never used to select this candidate category during training.</x:v>
      </x:c>
      <x:c r="Q499" s="38"/>
    </x:row>
    <x:row r="500" ht="60" customHeight="1">
      <x:c r="A500" s="70" t="n">
        <x:v>498</x:v>
      </x:c>
      <x:c r="B500" s="37" t="str">
        <x:v>Referential Disambiguation</x:v>
      </x:c>
      <x:c r="C500" s="37" t="str">
        <x:v>Move the red pencil sharpener into the bowl.</x:v>
      </x:c>
      <x:c r="D500" s="37" t="str">
        <x:v>Masked relation × candidate-category composition</x:v>
      </x:c>
      <x:c r="E500" s="37" t="str">
        <x:v>direct identity=red pencil sharpener; hidden relation=between; candidate category=pencil sharpener</x:v>
      </x:c>
      <x:c r="F500" s="37" t="str">
        <x:v>referential_pencil_sharpener_between_masked</x:v>
      </x:c>
      <x:c r="G500" s="37" t="str">
        <x:v>airplane×furthest; crushed-soda-can×closest; pencil-sharpener×between; pen fully crossed</x:v>
      </x:c>
      <x:c r="H500" s="37" t="str">
        <x:v>Yes</x:v>
      </x:c>
      <x:c r="I500" s="37" t="str">
        <x:v>Replace prompt only</x:v>
      </x:c>
      <x:c r="J500" s="37" t="str">
        <x:v>Prompt-only relabeling; preserve episode 498 video, scene, trajectory, target, and start position.</x:v>
      </x:c>
      <x:c r="K500" s="37" t="str">
        <x:v>green pencil sharpener, red pencil sharpener, crushed Coke can, yellow pen, airplane toy without propellers</x:v>
      </x:c>
      <x:c r="L500" s="37" t="str">
        <x:v>red pencil sharpener</x:v>
      </x:c>
      <x:c r="M500" s="37" t="str">
        <x:v>Home</x:v>
      </x:c>
      <x:c r="N500" s="37" t="str">
        <x:v>Pick up the pencil sharpener positioned between the crushed Coke can and the yellow pen, then place it in the bowl.</x:v>
      </x:c>
      <x:c r="O500" s="37" t="str">
        <x:v>Pick up the pencil sharpener positioned between the crushed Coke can and the yellow pen, then place it in the bowl.</x:v>
      </x:c>
      <x:c r="P500" s="37" t="str">
        <x:v>The pencil sharpener is still named and manipulated directly, but between is never used to select this candidate category during training.</x:v>
      </x:c>
      <x:c r="Q500" s="38"/>
    </x:row>
    <x:row r="501" ht="60" customHeight="1">
      <x:c r="A501" s="70" t="n">
        <x:v>499</x:v>
      </x:c>
      <x:c r="B501" s="37" t="str">
        <x:v>Referential Disambiguation</x:v>
      </x:c>
      <x:c r="C501" s="37" t="str">
        <x:v>Put the red pencil sharpener in the bowl.</x:v>
      </x:c>
      <x:c r="D501" s="37" t="str">
        <x:v>Masked relation × candidate-category composition</x:v>
      </x:c>
      <x:c r="E501" s="37" t="str">
        <x:v>direct identity=red pencil sharpener; hidden relation=between; candidate category=pencil sharpener</x:v>
      </x:c>
      <x:c r="F501" s="37" t="str">
        <x:v>referential_pencil_sharpener_between_masked</x:v>
      </x:c>
      <x:c r="G501" s="37" t="str">
        <x:v>airplane×furthest; crushed-soda-can×closest; pencil-sharpener×between; pen fully crossed</x:v>
      </x:c>
      <x:c r="H501" s="37" t="str">
        <x:v>Yes</x:v>
      </x:c>
      <x:c r="I501" s="37" t="str">
        <x:v>Replace prompt only</x:v>
      </x:c>
      <x:c r="J501" s="37" t="str">
        <x:v>Prompt-only relabeling; preserve episode 499 video, scene, trajectory, target, and start position.</x:v>
      </x:c>
      <x:c r="K501" s="37" t="str">
        <x:v>green pencil sharpener, red pencil sharpener, crushed Pepsi can, airplane toy with propellers</x:v>
      </x:c>
      <x:c r="L501" s="37" t="str">
        <x:v>red pencil sharpener</x:v>
      </x:c>
      <x:c r="M501" s="37" t="str">
        <x:v>Home</x:v>
      </x:c>
      <x:c r="N501" s="37" t="str">
        <x:v>Put the pencil sharpener between the crushed Pepsi can and the airplane toy with propellers in the bowl.</x:v>
      </x:c>
      <x:c r="O501" s="37" t="str">
        <x:v>Put the pencil sharpener between the crushed Pepsi can and the airplane toy with propellers in the bowl.</x:v>
      </x:c>
      <x:c r="P501" s="37" t="str">
        <x:v>The pencil sharpener is still named and manipulated directly, but between is never used to select this candidate category during training.</x:v>
      </x:c>
      <x:c r="Q501" s="38"/>
    </x:row>
    <x:row r="502" ht="60" customHeight="1">
      <x:c r="A502" s="70" t="n">
        <x:v>500</x:v>
      </x:c>
      <x:c r="B502" s="37" t="str">
        <x:v>Referential Disambiguation</x:v>
      </x:c>
      <x:c r="C502" s="37" t="str">
        <x:v>Pick up the pen nearest to the green pencil sharpener and place it in the bowl.</x:v>
      </x:c>
      <x:c r="D502" s="37" t="str">
        <x:v>Explicit closest grounding</x:v>
      </x:c>
      <x:c r="E502" s="37" t="str">
        <x:v>closest × pen candidate category</x:v>
      </x:c>
      <x:c r="F502" s="37" t="str">
        <x:v>referential_pen_closest_explicit</x:v>
      </x:c>
      <x:c r="G502" s="37" t="str">
        <x:v>airplane×furthest; crushed-soda-can×closest; pencil-sharpener×between; pen fully crossed</x:v>
      </x:c>
      <x:c r="H502" s="37" t="str">
        <x:v>No</x:v>
      </x:c>
      <x:c r="I502" s="37" t="str">
        <x:v>Keep prompt</x:v>
      </x:c>
      <x:c r="J502" s="37" t="str">
        <x:v>No prompt change required under the missing-cell design.</x:v>
      </x:c>
      <x:c r="K502" s="37" t="str">
        <x:v>green pen, yellow pen, green pencil sharpener</x:v>
      </x:c>
      <x:c r="L502" s="37" t="str">
        <x:v>green pen</x:v>
      </x:c>
      <x:c r="M502" s="37" t="str">
        <x:v>Home</x:v>
      </x:c>
      <x:c r="N502" s="37" t="str">
        <x:v>Pick up the pen nearest to the green pencil sharpener and place it in the bowl.</x:v>
      </x:c>
      <x:c r="O502" s="37" t="str"/>
      <x:c r="P502" s="37" t="str">
        <x:v>Explicitly grounds closest with pen candidates; only the selected category-specific missing cell is withheld.</x:v>
      </x:c>
      <x:c r="Q502" s="38"/>
    </x:row>
    <x:row r="503" ht="60" customHeight="1">
      <x:c r="A503" s="70" t="n">
        <x:v>501</x:v>
      </x:c>
      <x:c r="B503" s="37" t="str">
        <x:v>Referential Disambiguation</x:v>
      </x:c>
      <x:c r="C503" s="37" t="str">
        <x:v>Put the pen closest to the red pencil sharpener in the bowl.</x:v>
      </x:c>
      <x:c r="D503" s="37" t="str">
        <x:v>Explicit closest grounding</x:v>
      </x:c>
      <x:c r="E503" s="37" t="str">
        <x:v>closest × pen candidate category</x:v>
      </x:c>
      <x:c r="F503" s="37" t="str">
        <x:v>referential_pen_closest_explicit</x:v>
      </x:c>
      <x:c r="G503" s="37" t="str">
        <x:v>airplane×furthest; crushed-soda-can×closest; pencil-sharpener×between; pen fully crossed</x:v>
      </x:c>
      <x:c r="H503" s="37" t="str">
        <x:v>No</x:v>
      </x:c>
      <x:c r="I503" s="37" t="str">
        <x:v>Keep prompt</x:v>
      </x:c>
      <x:c r="J503" s="37" t="str">
        <x:v>No prompt change required under the missing-cell design.</x:v>
      </x:c>
      <x:c r="K503" s="37" t="str">
        <x:v>green pen, yellow pen, red pencil sharpener, airplane toy without propellers</x:v>
      </x:c>
      <x:c r="L503" s="37" t="str">
        <x:v>yellow pen</x:v>
      </x:c>
      <x:c r="M503" s="37" t="str">
        <x:v>Home</x:v>
      </x:c>
      <x:c r="N503" s="37" t="str">
        <x:v>Put the pen closest to the red pencil sharpener in the bowl.</x:v>
      </x:c>
      <x:c r="O503" s="37" t="str"/>
      <x:c r="P503" s="37" t="str">
        <x:v>Explicitly grounds closest with pen candidates; only the selected category-specific missing cell is withheld.</x:v>
      </x:c>
      <x:c r="Q503" s="38"/>
    </x:row>
    <x:row r="504" ht="60" customHeight="1">
      <x:c r="A504" s="70" t="n">
        <x:v>502</x:v>
      </x:c>
      <x:c r="B504" s="37" t="str">
        <x:v>Referential Disambiguation</x:v>
      </x:c>
      <x:c r="C504" s="37" t="str">
        <x:v>Pick up the pen nearest to the crushed Coke can and place it in the bowl.</x:v>
      </x:c>
      <x:c r="D504" s="37" t="str">
        <x:v>Explicit closest grounding</x:v>
      </x:c>
      <x:c r="E504" s="37" t="str">
        <x:v>closest × pen candidate category</x:v>
      </x:c>
      <x:c r="F504" s="37" t="str">
        <x:v>referential_pen_closest_explicit</x:v>
      </x:c>
      <x:c r="G504" s="37" t="str">
        <x:v>airplane×furthest; crushed-soda-can×closest; pencil-sharpener×between; pen fully crossed</x:v>
      </x:c>
      <x:c r="H504" s="37" t="str">
        <x:v>No</x:v>
      </x:c>
      <x:c r="I504" s="37" t="str">
        <x:v>Keep prompt</x:v>
      </x:c>
      <x:c r="J504" s="37" t="str">
        <x:v>No prompt change required under the missing-cell design.</x:v>
      </x:c>
      <x:c r="K504" s="37" t="str">
        <x:v>green pen, yellow pen, crushed Coke can</x:v>
      </x:c>
      <x:c r="L504" s="37" t="str">
        <x:v>green pen</x:v>
      </x:c>
      <x:c r="M504" s="37" t="str">
        <x:v>Home</x:v>
      </x:c>
      <x:c r="N504" s="37" t="str">
        <x:v>Pick up the pen nearest to the crushed Coke can and place it in the bowl.</x:v>
      </x:c>
      <x:c r="O504" s="37" t="str"/>
      <x:c r="P504" s="37" t="str">
        <x:v>Explicitly grounds closest with pen candidates; only the selected category-specific missing cell is withheld.</x:v>
      </x:c>
      <x:c r="Q504" s="38"/>
    </x:row>
    <x:row r="505" ht="60" customHeight="1">
      <x:c r="A505" s="70" t="n">
        <x:v>503</x:v>
      </x:c>
      <x:c r="B505" s="37" t="str">
        <x:v>Referential Disambiguation</x:v>
      </x:c>
      <x:c r="C505" s="37" t="str">
        <x:v>Put the pen closest to the crushed Pepsi can in the bowl.</x:v>
      </x:c>
      <x:c r="D505" s="37" t="str">
        <x:v>Explicit closest grounding</x:v>
      </x:c>
      <x:c r="E505" s="37" t="str">
        <x:v>closest × pen candidate category</x:v>
      </x:c>
      <x:c r="F505" s="37" t="str">
        <x:v>referential_pen_closest_explicit</x:v>
      </x:c>
      <x:c r="G505" s="37" t="str">
        <x:v>airplane×furthest; crushed-soda-can×closest; pencil-sharpener×between; pen fully crossed</x:v>
      </x:c>
      <x:c r="H505" s="37" t="str">
        <x:v>No</x:v>
      </x:c>
      <x:c r="I505" s="37" t="str">
        <x:v>Keep prompt</x:v>
      </x:c>
      <x:c r="J505" s="37" t="str">
        <x:v>No prompt change required under the missing-cell design.</x:v>
      </x:c>
      <x:c r="K505" s="37" t="str">
        <x:v>green pen, yellow pen, crushed Pepsi can, red pencil sharpener</x:v>
      </x:c>
      <x:c r="L505" s="37" t="str">
        <x:v>yellow pen</x:v>
      </x:c>
      <x:c r="M505" s="37" t="str">
        <x:v>Home</x:v>
      </x:c>
      <x:c r="N505" s="37" t="str">
        <x:v>Put the pen closest to the crushed Pepsi can in the bowl.</x:v>
      </x:c>
      <x:c r="O505" s="37" t="str"/>
      <x:c r="P505" s="37" t="str">
        <x:v>Explicitly grounds closest with pen candidates; only the selected category-specific missing cell is withheld.</x:v>
      </x:c>
      <x:c r="Q505" s="38"/>
    </x:row>
    <x:row r="506" ht="60" customHeight="1">
      <x:c r="A506" s="70" t="n">
        <x:v>504</x:v>
      </x:c>
      <x:c r="B506" s="37" t="str">
        <x:v>Referential Disambiguation</x:v>
      </x:c>
      <x:c r="C506" s="37" t="str">
        <x:v>Pick up the pen nearest to the airplane toy with propellers and place it in the bowl.</x:v>
      </x:c>
      <x:c r="D506" s="37" t="str">
        <x:v>Explicit closest grounding</x:v>
      </x:c>
      <x:c r="E506" s="37" t="str">
        <x:v>closest × pen candidate category</x:v>
      </x:c>
      <x:c r="F506" s="37" t="str">
        <x:v>referential_pen_closest_explicit</x:v>
      </x:c>
      <x:c r="G506" s="37" t="str">
        <x:v>airplane×furthest; crushed-soda-can×closest; pencil-sharpener×between; pen fully crossed</x:v>
      </x:c>
      <x:c r="H506" s="37" t="str">
        <x:v>No</x:v>
      </x:c>
      <x:c r="I506" s="37" t="str">
        <x:v>Keep prompt</x:v>
      </x:c>
      <x:c r="J506" s="37" t="str">
        <x:v>No prompt change required under the missing-cell design.</x:v>
      </x:c>
      <x:c r="K506" s="37" t="str">
        <x:v>green pen, yellow pen, airplane toy with propellers</x:v>
      </x:c>
      <x:c r="L506" s="37" t="str">
        <x:v>green pen</x:v>
      </x:c>
      <x:c r="M506" s="37" t="str">
        <x:v>Recovery</x:v>
      </x:c>
      <x:c r="N506" s="37" t="str">
        <x:v>Pick up the pen nearest to the airplane toy with propellers and place it in the bowl.</x:v>
      </x:c>
      <x:c r="O506" s="37" t="str"/>
      <x:c r="P506" s="37" t="str">
        <x:v>Explicitly grounds closest with pen candidates; only the selected category-specific missing cell is withheld.</x:v>
      </x:c>
      <x:c r="Q506" s="38"/>
    </x:row>
    <x:row r="507" ht="60" customHeight="1">
      <x:c r="A507" s="70" t="n">
        <x:v>505</x:v>
      </x:c>
      <x:c r="B507" s="37" t="str">
        <x:v>Referential Disambiguation</x:v>
      </x:c>
      <x:c r="C507" s="37" t="str">
        <x:v>Move the pen that is closest to the airplane toy without propellers into the bowl.</x:v>
      </x:c>
      <x:c r="D507" s="37" t="str">
        <x:v>Explicit closest grounding</x:v>
      </x:c>
      <x:c r="E507" s="37" t="str">
        <x:v>closest × pen candidate category</x:v>
      </x:c>
      <x:c r="F507" s="37" t="str">
        <x:v>referential_pen_closest_explicit</x:v>
      </x:c>
      <x:c r="G507" s="37" t="str">
        <x:v>airplane×furthest; crushed-soda-can×closest; pencil-sharpener×between; pen fully crossed</x:v>
      </x:c>
      <x:c r="H507" s="37" t="str">
        <x:v>No</x:v>
      </x:c>
      <x:c r="I507" s="37" t="str">
        <x:v>Keep prompt</x:v>
      </x:c>
      <x:c r="J507" s="37" t="str">
        <x:v>No prompt change required under the missing-cell design.</x:v>
      </x:c>
      <x:c r="K507" s="37" t="str">
        <x:v>green pen, yellow pen, airplane toy without propellers, crushed Pepsi can</x:v>
      </x:c>
      <x:c r="L507" s="37" t="str">
        <x:v>yellow pen</x:v>
      </x:c>
      <x:c r="M507" s="37" t="str">
        <x:v>Home</x:v>
      </x:c>
      <x:c r="N507" s="37" t="str">
        <x:v>Move the pen that is closest to the airplane toy without propellers into the bowl.</x:v>
      </x:c>
      <x:c r="O507" s="37" t="str"/>
      <x:c r="P507" s="37" t="str">
        <x:v>Explicitly grounds closest with pen candidates; only the selected category-specific missing cell is withheld.</x:v>
      </x:c>
      <x:c r="Q507" s="38"/>
    </x:row>
    <x:row r="508" ht="60" customHeight="1">
      <x:c r="A508" s="70" t="n">
        <x:v>506</x:v>
      </x:c>
      <x:c r="B508" s="37" t="str">
        <x:v>Referential Disambiguation</x:v>
      </x:c>
      <x:c r="C508" s="37" t="str">
        <x:v>Move the pen that is closest to the green pencil sharpener into the bowl.</x:v>
      </x:c>
      <x:c r="D508" s="37" t="str">
        <x:v>Explicit closest grounding</x:v>
      </x:c>
      <x:c r="E508" s="37" t="str">
        <x:v>closest × pen candidate category</x:v>
      </x:c>
      <x:c r="F508" s="37" t="str">
        <x:v>referential_pen_closest_explicit</x:v>
      </x:c>
      <x:c r="G508" s="37" t="str">
        <x:v>airplane×furthest; crushed-soda-can×closest; pencil-sharpener×between; pen fully crossed</x:v>
      </x:c>
      <x:c r="H508" s="37" t="str">
        <x:v>No</x:v>
      </x:c>
      <x:c r="I508" s="37" t="str">
        <x:v>Keep prompt</x:v>
      </x:c>
      <x:c r="J508" s="37" t="str">
        <x:v>No prompt change required under the missing-cell design.</x:v>
      </x:c>
      <x:c r="K508" s="37" t="str">
        <x:v>green pen, yellow pen, green pencil sharpener</x:v>
      </x:c>
      <x:c r="L508" s="37" t="str">
        <x:v>green pen</x:v>
      </x:c>
      <x:c r="M508" s="37" t="str">
        <x:v>Home</x:v>
      </x:c>
      <x:c r="N508" s="37" t="str">
        <x:v>Move the pen that is closest to the green pencil sharpener into the bowl.</x:v>
      </x:c>
      <x:c r="O508" s="37" t="str"/>
      <x:c r="P508" s="37" t="str">
        <x:v>Explicitly grounds closest with pen candidates; only the selected category-specific missing cell is withheld.</x:v>
      </x:c>
      <x:c r="Q508" s="38"/>
    </x:row>
    <x:row r="509" ht="60" customHeight="1">
      <x:c r="A509" s="70" t="n">
        <x:v>507</x:v>
      </x:c>
      <x:c r="B509" s="37" t="str">
        <x:v>Referential Disambiguation</x:v>
      </x:c>
      <x:c r="C509" s="37" t="str">
        <x:v>Move the pen that is closest to the red pencil sharpener into the bowl.</x:v>
      </x:c>
      <x:c r="D509" s="37" t="str">
        <x:v>Explicit closest grounding</x:v>
      </x:c>
      <x:c r="E509" s="37" t="str">
        <x:v>closest × pen candidate category</x:v>
      </x:c>
      <x:c r="F509" s="37" t="str">
        <x:v>referential_pen_closest_explicit</x:v>
      </x:c>
      <x:c r="G509" s="37" t="str">
        <x:v>airplane×furthest; crushed-soda-can×closest; pencil-sharpener×between; pen fully crossed</x:v>
      </x:c>
      <x:c r="H509" s="37" t="str">
        <x:v>No</x:v>
      </x:c>
      <x:c r="I509" s="37" t="str">
        <x:v>Keep prompt</x:v>
      </x:c>
      <x:c r="J509" s="37" t="str">
        <x:v>No prompt change required under the missing-cell design.</x:v>
      </x:c>
      <x:c r="K509" s="37" t="str">
        <x:v>green pen, yellow pen, red pencil sharpener, green pencil sharpener</x:v>
      </x:c>
      <x:c r="L509" s="37" t="str">
        <x:v>yellow pen</x:v>
      </x:c>
      <x:c r="M509" s="37" t="str">
        <x:v>Home</x:v>
      </x:c>
      <x:c r="N509" s="37" t="str">
        <x:v>Move the pen that is closest to the red pencil sharpener into the bowl.</x:v>
      </x:c>
      <x:c r="O509" s="37" t="str"/>
      <x:c r="P509" s="37" t="str">
        <x:v>Explicitly grounds closest with pen candidates; only the selected category-specific missing cell is withheld.</x:v>
      </x:c>
      <x:c r="Q509" s="38"/>
    </x:row>
    <x:row r="510" ht="60" customHeight="1">
      <x:c r="A510" s="70" t="n">
        <x:v>508</x:v>
      </x:c>
      <x:c r="B510" s="37" t="str">
        <x:v>Referential Disambiguation</x:v>
      </x:c>
      <x:c r="C510" s="37" t="str">
        <x:v>Put the pen closest to the crushed Coke can in the bowl.</x:v>
      </x:c>
      <x:c r="D510" s="37" t="str">
        <x:v>Explicit closest grounding</x:v>
      </x:c>
      <x:c r="E510" s="37" t="str">
        <x:v>closest × pen candidate category</x:v>
      </x:c>
      <x:c r="F510" s="37" t="str">
        <x:v>referential_pen_closest_explicit</x:v>
      </x:c>
      <x:c r="G510" s="37" t="str">
        <x:v>airplane×furthest; crushed-soda-can×closest; pencil-sharpener×between; pen fully crossed</x:v>
      </x:c>
      <x:c r="H510" s="37" t="str">
        <x:v>No</x:v>
      </x:c>
      <x:c r="I510" s="37" t="str">
        <x:v>Keep prompt</x:v>
      </x:c>
      <x:c r="J510" s="37" t="str">
        <x:v>No prompt change required under the missing-cell design.</x:v>
      </x:c>
      <x:c r="K510" s="37" t="str">
        <x:v>green pen, yellow pen, crushed Coke can</x:v>
      </x:c>
      <x:c r="L510" s="37" t="str">
        <x:v>green pen</x:v>
      </x:c>
      <x:c r="M510" s="37" t="str">
        <x:v>Home</x:v>
      </x:c>
      <x:c r="N510" s="37" t="str">
        <x:v>Put the pen closest to the crushed Coke can in the bowl.</x:v>
      </x:c>
      <x:c r="O510" s="37" t="str"/>
      <x:c r="P510" s="37" t="str">
        <x:v>Explicitly grounds closest with pen candidates; only the selected category-specific missing cell is withheld.</x:v>
      </x:c>
      <x:c r="Q510" s="38"/>
    </x:row>
    <x:row r="511" ht="60" customHeight="1">
      <x:c r="A511" s="70" t="n">
        <x:v>509</x:v>
      </x:c>
      <x:c r="B511" s="37" t="str">
        <x:v>Referential Disambiguation</x:v>
      </x:c>
      <x:c r="C511" s="37" t="str">
        <x:v>Move the pen that is closest to the crushed Pepsi can into the bowl.</x:v>
      </x:c>
      <x:c r="D511" s="37" t="str">
        <x:v>Explicit closest grounding</x:v>
      </x:c>
      <x:c r="E511" s="37" t="str">
        <x:v>closest × pen candidate category</x:v>
      </x:c>
      <x:c r="F511" s="37" t="str">
        <x:v>referential_pen_closest_explicit</x:v>
      </x:c>
      <x:c r="G511" s="37" t="str">
        <x:v>airplane×furthest; crushed-soda-can×closest; pencil-sharpener×between; pen fully crossed</x:v>
      </x:c>
      <x:c r="H511" s="37" t="str">
        <x:v>No</x:v>
      </x:c>
      <x:c r="I511" s="37" t="str">
        <x:v>Keep prompt</x:v>
      </x:c>
      <x:c r="J511" s="37" t="str">
        <x:v>No prompt change required under the missing-cell design.</x:v>
      </x:c>
      <x:c r="K511" s="37" t="str">
        <x:v>green pen, yellow pen, crushed Pepsi can, airplane toy without propellers</x:v>
      </x:c>
      <x:c r="L511" s="37" t="str">
        <x:v>yellow pen</x:v>
      </x:c>
      <x:c r="M511" s="37" t="str">
        <x:v>Recovery</x:v>
      </x:c>
      <x:c r="N511" s="37" t="str">
        <x:v>Move the pen that is closest to the crushed Pepsi can into the bowl.</x:v>
      </x:c>
      <x:c r="O511" s="37" t="str"/>
      <x:c r="P511" s="37" t="str">
        <x:v>Explicitly grounds closest with pen candidates; only the selected category-specific missing cell is withheld.</x:v>
      </x:c>
      <x:c r="Q511" s="38"/>
    </x:row>
    <x:row r="512" ht="60" customHeight="1">
      <x:c r="A512" s="70" t="n">
        <x:v>510</x:v>
      </x:c>
      <x:c r="B512" s="37" t="str">
        <x:v>Referential Disambiguation</x:v>
      </x:c>
      <x:c r="C512" s="37" t="str">
        <x:v>Put the pen closest to the airplane toy with propellers in the bowl.</x:v>
      </x:c>
      <x:c r="D512" s="37" t="str">
        <x:v>Explicit closest grounding</x:v>
      </x:c>
      <x:c r="E512" s="37" t="str">
        <x:v>closest × pen candidate category</x:v>
      </x:c>
      <x:c r="F512" s="37" t="str">
        <x:v>referential_pen_closest_explicit</x:v>
      </x:c>
      <x:c r="G512" s="37" t="str">
        <x:v>airplane×furthest; crushed-soda-can×closest; pencil-sharpener×between; pen fully crossed</x:v>
      </x:c>
      <x:c r="H512" s="37" t="str">
        <x:v>No</x:v>
      </x:c>
      <x:c r="I512" s="37" t="str">
        <x:v>Keep prompt</x:v>
      </x:c>
      <x:c r="J512" s="37" t="str">
        <x:v>No prompt change required under the missing-cell design.</x:v>
      </x:c>
      <x:c r="K512" s="37" t="str">
        <x:v>green pen, yellow pen, airplane toy with propellers</x:v>
      </x:c>
      <x:c r="L512" s="37" t="str">
        <x:v>green pen</x:v>
      </x:c>
      <x:c r="M512" s="37" t="str">
        <x:v>Home</x:v>
      </x:c>
      <x:c r="N512" s="37" t="str">
        <x:v>Put the pen closest to the airplane toy with propellers in the bowl.</x:v>
      </x:c>
      <x:c r="O512" s="37" t="str"/>
      <x:c r="P512" s="37" t="str">
        <x:v>Explicitly grounds closest with pen candidates; only the selected category-specific missing cell is withheld.</x:v>
      </x:c>
      <x:c r="Q512" s="38"/>
    </x:row>
    <x:row r="513" ht="60" customHeight="1">
      <x:c r="A513" s="70" t="n">
        <x:v>511</x:v>
      </x:c>
      <x:c r="B513" s="37" t="str">
        <x:v>Referential Disambiguation</x:v>
      </x:c>
      <x:c r="C513" s="37" t="str">
        <x:v>Put the pen closest to the airplane toy without propellers in the bowl.</x:v>
      </x:c>
      <x:c r="D513" s="37" t="str">
        <x:v>Explicit closest grounding</x:v>
      </x:c>
      <x:c r="E513" s="37" t="str">
        <x:v>closest × pen candidate category</x:v>
      </x:c>
      <x:c r="F513" s="37" t="str">
        <x:v>referential_pen_closest_explicit</x:v>
      </x:c>
      <x:c r="G513" s="37" t="str">
        <x:v>airplane×furthest; crushed-soda-can×closest; pencil-sharpener×between; pen fully crossed</x:v>
      </x:c>
      <x:c r="H513" s="37" t="str">
        <x:v>No</x:v>
      </x:c>
      <x:c r="I513" s="37" t="str">
        <x:v>Keep prompt</x:v>
      </x:c>
      <x:c r="J513" s="37" t="str">
        <x:v>No prompt change required under the missing-cell design.</x:v>
      </x:c>
      <x:c r="K513" s="37" t="str">
        <x:v>green pen, yellow pen, airplane toy without propellers, red pencil sharpener</x:v>
      </x:c>
      <x:c r="L513" s="37" t="str">
        <x:v>yellow pen</x:v>
      </x:c>
      <x:c r="M513" s="37" t="str">
        <x:v>Home</x:v>
      </x:c>
      <x:c r="N513" s="37" t="str">
        <x:v>Put the pen closest to the airplane toy without propellers in the bowl.</x:v>
      </x:c>
      <x:c r="O513" s="37" t="str"/>
      <x:c r="P513" s="37" t="str">
        <x:v>Explicitly grounds closest with pen candidates; only the selected category-specific missing cell is withheld.</x:v>
      </x:c>
      <x:c r="Q513" s="38"/>
    </x:row>
    <x:row r="514" ht="60" customHeight="1">
      <x:c r="A514" s="70" t="n">
        <x:v>512</x:v>
      </x:c>
      <x:c r="B514" s="37" t="str">
        <x:v>Referential Disambiguation</x:v>
      </x:c>
      <x:c r="C514" s="37" t="str">
        <x:v>Move the pen that is closest to the green pencil sharpener into the bowl.</x:v>
      </x:c>
      <x:c r="D514" s="37" t="str">
        <x:v>Explicit closest grounding</x:v>
      </x:c>
      <x:c r="E514" s="37" t="str">
        <x:v>closest × pen candidate category</x:v>
      </x:c>
      <x:c r="F514" s="37" t="str">
        <x:v>referential_pen_closest_explicit</x:v>
      </x:c>
      <x:c r="G514" s="37" t="str">
        <x:v>airplane×furthest; crushed-soda-can×closest; pencil-sharpener×between; pen fully crossed</x:v>
      </x:c>
      <x:c r="H514" s="37" t="str">
        <x:v>No</x:v>
      </x:c>
      <x:c r="I514" s="37" t="str">
        <x:v>Keep prompt</x:v>
      </x:c>
      <x:c r="J514" s="37" t="str">
        <x:v>No prompt change required under the missing-cell design.</x:v>
      </x:c>
      <x:c r="K514" s="37" t="str">
        <x:v>green pen, yellow pen, green pencil sharpener</x:v>
      </x:c>
      <x:c r="L514" s="37" t="str">
        <x:v>green pen</x:v>
      </x:c>
      <x:c r="M514" s="37" t="str">
        <x:v>Home</x:v>
      </x:c>
      <x:c r="N514" s="37" t="str">
        <x:v>Move the pen that is closest to the green pencil sharpener into the bowl.</x:v>
      </x:c>
      <x:c r="O514" s="37" t="str"/>
      <x:c r="P514" s="37" t="str">
        <x:v>Explicitly grounds closest with pen candidates; only the selected category-specific missing cell is withheld.</x:v>
      </x:c>
      <x:c r="Q514" s="38"/>
    </x:row>
    <x:row r="515" ht="60" customHeight="1">
      <x:c r="A515" s="70" t="n">
        <x:v>513</x:v>
      </x:c>
      <x:c r="B515" s="37" t="str">
        <x:v>Referential Disambiguation</x:v>
      </x:c>
      <x:c r="C515" s="37" t="str">
        <x:v>Put the pen closest to the red pencil sharpener in the bowl.</x:v>
      </x:c>
      <x:c r="D515" s="37" t="str">
        <x:v>Explicit closest grounding</x:v>
      </x:c>
      <x:c r="E515" s="37" t="str">
        <x:v>closest × pen candidate category</x:v>
      </x:c>
      <x:c r="F515" s="37" t="str">
        <x:v>referential_pen_closest_explicit</x:v>
      </x:c>
      <x:c r="G515" s="37" t="str">
        <x:v>airplane×furthest; crushed-soda-can×closest; pencil-sharpener×between; pen fully crossed</x:v>
      </x:c>
      <x:c r="H515" s="37" t="str">
        <x:v>No</x:v>
      </x:c>
      <x:c r="I515" s="37" t="str">
        <x:v>Keep prompt</x:v>
      </x:c>
      <x:c r="J515" s="37" t="str">
        <x:v>No prompt change required under the missing-cell design.</x:v>
      </x:c>
      <x:c r="K515" s="37" t="str">
        <x:v>green pen, yellow pen, red pencil sharpener, airplane toy without propellers</x:v>
      </x:c>
      <x:c r="L515" s="37" t="str">
        <x:v>yellow pen</x:v>
      </x:c>
      <x:c r="M515" s="37" t="str">
        <x:v>Home</x:v>
      </x:c>
      <x:c r="N515" s="37" t="str">
        <x:v>Put the pen closest to the red pencil sharpener in the bowl.</x:v>
      </x:c>
      <x:c r="O515" s="37" t="str"/>
      <x:c r="P515" s="37" t="str">
        <x:v>Explicitly grounds closest with pen candidates; only the selected category-specific missing cell is withheld.</x:v>
      </x:c>
      <x:c r="Q515" s="38"/>
    </x:row>
    <x:row r="516" ht="60" customHeight="1">
      <x:c r="A516" s="70" t="n">
        <x:v>514</x:v>
      </x:c>
      <x:c r="B516" s="37" t="str">
        <x:v>Referential Disambiguation</x:v>
      </x:c>
      <x:c r="C516" s="37" t="str">
        <x:v>Put the pen closest to the crushed Coke can in the bowl.</x:v>
      </x:c>
      <x:c r="D516" s="37" t="str">
        <x:v>Explicit closest grounding</x:v>
      </x:c>
      <x:c r="E516" s="37" t="str">
        <x:v>closest × pen candidate category</x:v>
      </x:c>
      <x:c r="F516" s="37" t="str">
        <x:v>referential_pen_closest_explicit</x:v>
      </x:c>
      <x:c r="G516" s="37" t="str">
        <x:v>airplane×furthest; crushed-soda-can×closest; pencil-sharpener×between; pen fully crossed</x:v>
      </x:c>
      <x:c r="H516" s="37" t="str">
        <x:v>No</x:v>
      </x:c>
      <x:c r="I516" s="37" t="str">
        <x:v>Keep prompt</x:v>
      </x:c>
      <x:c r="J516" s="37" t="str">
        <x:v>No prompt change required under the missing-cell design.</x:v>
      </x:c>
      <x:c r="K516" s="37" t="str">
        <x:v>green pen, yellow pen, crushed Coke can, crushed Pepsi can</x:v>
      </x:c>
      <x:c r="L516" s="37" t="str">
        <x:v>green pen</x:v>
      </x:c>
      <x:c r="M516" s="37" t="str">
        <x:v>Recovery</x:v>
      </x:c>
      <x:c r="N516" s="37" t="str">
        <x:v>Put the pen closest to the crushed Coke can in the bowl.</x:v>
      </x:c>
      <x:c r="O516" s="37" t="str"/>
      <x:c r="P516" s="37" t="str">
        <x:v>Explicitly grounds closest with pen candidates; only the selected category-specific missing cell is withheld.</x:v>
      </x:c>
      <x:c r="Q516" s="38"/>
    </x:row>
    <x:row r="517" ht="60" customHeight="1">
      <x:c r="A517" s="70" t="n">
        <x:v>515</x:v>
      </x:c>
      <x:c r="B517" s="37" t="str">
        <x:v>Referential Disambiguation</x:v>
      </x:c>
      <x:c r="C517" s="37" t="str">
        <x:v>Pick up the pen furthest from the crushed Coke can and place it in the bowl.</x:v>
      </x:c>
      <x:c r="D517" s="37" t="str">
        <x:v>Explicit furthest grounding</x:v>
      </x:c>
      <x:c r="E517" s="37" t="str">
        <x:v>furthest × pen candidate category</x:v>
      </x:c>
      <x:c r="F517" s="37" t="str">
        <x:v>referential_pen_furthest_explicit</x:v>
      </x:c>
      <x:c r="G517" s="37" t="str">
        <x:v>airplane×furthest; crushed-soda-can×closest; pencil-sharpener×between; pen fully crossed</x:v>
      </x:c>
      <x:c r="H517" s="37" t="str">
        <x:v>Yes</x:v>
      </x:c>
      <x:c r="I517" s="37" t="str">
        <x:v>Replace prompt only</x:v>
      </x:c>
      <x:c r="J517" s="37" t="str">
        <x:v>Prompt-only relabeling; preserve episode 515 video, scene, trajectory, target, and start position.</x:v>
      </x:c>
      <x:c r="K517" s="37" t="str">
        <x:v>green pen, yellow pen, crushed Coke can</x:v>
      </x:c>
      <x:c r="L517" s="37" t="str">
        <x:v>yellow pen</x:v>
      </x:c>
      <x:c r="M517" s="37" t="str">
        <x:v>Home</x:v>
      </x:c>
      <x:c r="N517" s="37" t="str">
        <x:v>Move the yellow pen into the bowl.</x:v>
      </x:c>
      <x:c r="O517" s="37" t="str"/>
      <x:c r="P517" s="37" t="str">
        <x:v>Explicitly grounds furthest with pen candidates; only the selected category-specific missing cell is withheld.</x:v>
      </x:c>
      <x:c r="Q517" s="38"/>
    </x:row>
    <x:row r="518" ht="60" customHeight="1">
      <x:c r="A518" s="70" t="n">
        <x:v>516</x:v>
      </x:c>
      <x:c r="B518" s="37" t="str">
        <x:v>Referential Disambiguation</x:v>
      </x:c>
      <x:c r="C518" s="37" t="str">
        <x:v>Pick up the pen furthest from the crushed Pepsi can and place it in the bowl.</x:v>
      </x:c>
      <x:c r="D518" s="37" t="str">
        <x:v>Explicit furthest grounding</x:v>
      </x:c>
      <x:c r="E518" s="37" t="str">
        <x:v>furthest × pen candidate category</x:v>
      </x:c>
      <x:c r="F518" s="37" t="str">
        <x:v>referential_pen_furthest_explicit</x:v>
      </x:c>
      <x:c r="G518" s="37" t="str">
        <x:v>airplane×furthest; crushed-soda-can×closest; pencil-sharpener×between; pen fully crossed</x:v>
      </x:c>
      <x:c r="H518" s="37" t="str">
        <x:v>Yes</x:v>
      </x:c>
      <x:c r="I518" s="37" t="str">
        <x:v>Replace prompt only</x:v>
      </x:c>
      <x:c r="J518" s="37" t="str">
        <x:v>Prompt-only relabeling; preserve episode 516 video, scene, trajectory, target, and start position.</x:v>
      </x:c>
      <x:c r="K518" s="37" t="str">
        <x:v>green pen, yellow pen, crushed Pepsi can, green pencil sharpener</x:v>
      </x:c>
      <x:c r="L518" s="37" t="str">
        <x:v>green pen</x:v>
      </x:c>
      <x:c r="M518" s="37" t="str">
        <x:v>Home</x:v>
      </x:c>
      <x:c r="N518" s="37" t="str">
        <x:v>Put the green pen in the bowl.</x:v>
      </x:c>
      <x:c r="O518" s="37" t="str"/>
      <x:c r="P518" s="37" t="str">
        <x:v>Explicitly grounds furthest with pen candidates; only the selected category-specific missing cell is withheld.</x:v>
      </x:c>
      <x:c r="Q518" s="38"/>
    </x:row>
    <x:row r="519" ht="60" customHeight="1">
      <x:c r="A519" s="70" t="n">
        <x:v>517</x:v>
      </x:c>
      <x:c r="B519" s="37" t="str">
        <x:v>Referential Disambiguation</x:v>
      </x:c>
      <x:c r="C519" s="37" t="str">
        <x:v>Pick up the pen furthest from the airplane toy with propellers and place it in the bowl.</x:v>
      </x:c>
      <x:c r="D519" s="37" t="str">
        <x:v>Explicit furthest grounding</x:v>
      </x:c>
      <x:c r="E519" s="37" t="str">
        <x:v>furthest × pen candidate category</x:v>
      </x:c>
      <x:c r="F519" s="37" t="str">
        <x:v>referential_pen_furthest_explicit</x:v>
      </x:c>
      <x:c r="G519" s="37" t="str">
        <x:v>airplane×furthest; crushed-soda-can×closest; pencil-sharpener×between; pen fully crossed</x:v>
      </x:c>
      <x:c r="H519" s="37" t="str">
        <x:v>Yes</x:v>
      </x:c>
      <x:c r="I519" s="37" t="str">
        <x:v>Replace prompt only</x:v>
      </x:c>
      <x:c r="J519" s="37" t="str">
        <x:v>Prompt-only relabeling; preserve episode 517 video, scene, trajectory, target, and start position.</x:v>
      </x:c>
      <x:c r="K519" s="37" t="str">
        <x:v>green pen, yellow pen, airplane toy with propellers</x:v>
      </x:c>
      <x:c r="L519" s="37" t="str">
        <x:v>yellow pen</x:v>
      </x:c>
      <x:c r="M519" s="37" t="str">
        <x:v>Home</x:v>
      </x:c>
      <x:c r="N519" s="37" t="str">
        <x:v>Put the yellow pen in the bowl.</x:v>
      </x:c>
      <x:c r="O519" s="37" t="str"/>
      <x:c r="P519" s="37" t="str">
        <x:v>Explicitly grounds furthest with pen candidates; only the selected category-specific missing cell is withheld.</x:v>
      </x:c>
      <x:c r="Q519" s="38"/>
    </x:row>
    <x:row r="520" ht="60" customHeight="1">
      <x:c r="A520" s="70" t="n">
        <x:v>518</x:v>
      </x:c>
      <x:c r="B520" s="37" t="str">
        <x:v>Referential Disambiguation</x:v>
      </x:c>
      <x:c r="C520" s="37" t="str">
        <x:v>Pick up the pen furthest from the airplane toy without propellers and place it in the bowl.</x:v>
      </x:c>
      <x:c r="D520" s="37" t="str">
        <x:v>Explicit furthest grounding</x:v>
      </x:c>
      <x:c r="E520" s="37" t="str">
        <x:v>furthest × pen candidate category</x:v>
      </x:c>
      <x:c r="F520" s="37" t="str">
        <x:v>referential_pen_furthest_explicit</x:v>
      </x:c>
      <x:c r="G520" s="37" t="str">
        <x:v>airplane×furthest; crushed-soda-can×closest; pencil-sharpener×between; pen fully crossed</x:v>
      </x:c>
      <x:c r="H520" s="37" t="str">
        <x:v>Yes</x:v>
      </x:c>
      <x:c r="I520" s="37" t="str">
        <x:v>Replace prompt only</x:v>
      </x:c>
      <x:c r="J520" s="37" t="str">
        <x:v>Prompt-only relabeling; preserve episode 518 video, scene, trajectory, target, and start position.</x:v>
      </x:c>
      <x:c r="K520" s="37" t="str">
        <x:v>green pen, yellow pen, airplane toy without propellers, crushed Coke can</x:v>
      </x:c>
      <x:c r="L520" s="37" t="str">
        <x:v>green pen</x:v>
      </x:c>
      <x:c r="M520" s="37" t="str">
        <x:v>Recovery</x:v>
      </x:c>
      <x:c r="N520" s="37" t="str">
        <x:v>Pick up the green pen and place it in the bowl.</x:v>
      </x:c>
      <x:c r="O520" s="37" t="str"/>
      <x:c r="P520" s="37" t="str">
        <x:v>Explicitly grounds furthest with pen candidates; only the selected category-specific missing cell is withheld.</x:v>
      </x:c>
      <x:c r="Q520" s="38"/>
    </x:row>
    <x:row r="521" ht="60" customHeight="1">
      <x:c r="A521" s="70" t="n">
        <x:v>519</x:v>
      </x:c>
      <x:c r="B521" s="37" t="str">
        <x:v>Referential Disambiguation</x:v>
      </x:c>
      <x:c r="C521" s="37" t="str">
        <x:v>Pick up the pen furthest from the green pencil sharpener and place it in the bowl.</x:v>
      </x:c>
      <x:c r="D521" s="37" t="str">
        <x:v>Explicit furthest grounding</x:v>
      </x:c>
      <x:c r="E521" s="37" t="str">
        <x:v>furthest × pen candidate category</x:v>
      </x:c>
      <x:c r="F521" s="37" t="str">
        <x:v>referential_pen_furthest_explicit</x:v>
      </x:c>
      <x:c r="G521" s="37" t="str">
        <x:v>airplane×furthest; crushed-soda-can×closest; pencil-sharpener×between; pen fully crossed</x:v>
      </x:c>
      <x:c r="H521" s="37" t="str">
        <x:v>Yes</x:v>
      </x:c>
      <x:c r="I521" s="37" t="str">
        <x:v>Replace prompt only</x:v>
      </x:c>
      <x:c r="J521" s="37" t="str">
        <x:v>Prompt-only relabeling; preserve episode 519 video, scene, trajectory, target, and start position.</x:v>
      </x:c>
      <x:c r="K521" s="37" t="str">
        <x:v>green pen, yellow pen, green pencil sharpener</x:v>
      </x:c>
      <x:c r="L521" s="37" t="str">
        <x:v>yellow pen</x:v>
      </x:c>
      <x:c r="M521" s="37" t="str">
        <x:v>Home</x:v>
      </x:c>
      <x:c r="N521" s="37" t="str">
        <x:v>Put the yellow pen in the bowl.</x:v>
      </x:c>
      <x:c r="O521" s="37" t="str"/>
      <x:c r="P521" s="37" t="str">
        <x:v>Explicitly grounds furthest with pen candidates; only the selected category-specific missing cell is withheld.</x:v>
      </x:c>
      <x:c r="Q521" s="38"/>
    </x:row>
    <x:row r="522" ht="60" customHeight="1">
      <x:c r="A522" s="70" t="n">
        <x:v>520</x:v>
      </x:c>
      <x:c r="B522" s="37" t="str">
        <x:v>Referential Disambiguation</x:v>
      </x:c>
      <x:c r="C522" s="37" t="str">
        <x:v>Pick up the pen furthest from the red pencil sharpener and place it in the bowl.</x:v>
      </x:c>
      <x:c r="D522" s="37" t="str">
        <x:v>Explicit furthest grounding</x:v>
      </x:c>
      <x:c r="E522" s="37" t="str">
        <x:v>furthest × pen candidate category</x:v>
      </x:c>
      <x:c r="F522" s="37" t="str">
        <x:v>referential_pen_furthest_explicit</x:v>
      </x:c>
      <x:c r="G522" s="37" t="str">
        <x:v>airplane×furthest; crushed-soda-can×closest; pencil-sharpener×between; pen fully crossed</x:v>
      </x:c>
      <x:c r="H522" s="37" t="str">
        <x:v>Yes</x:v>
      </x:c>
      <x:c r="I522" s="37" t="str">
        <x:v>Replace prompt only</x:v>
      </x:c>
      <x:c r="J522" s="37" t="str">
        <x:v>Prompt-only relabeling; preserve episode 520 video, scene, trajectory, target, and start position.</x:v>
      </x:c>
      <x:c r="K522" s="37" t="str">
        <x:v>green pen, yellow pen, red pencil sharpener, green pencil sharpener</x:v>
      </x:c>
      <x:c r="L522" s="37" t="str">
        <x:v>green pen</x:v>
      </x:c>
      <x:c r="M522" s="37" t="str">
        <x:v>Home</x:v>
      </x:c>
      <x:c r="N522" s="37" t="str">
        <x:v>Put the green pen in the bowl.</x:v>
      </x:c>
      <x:c r="O522" s="37" t="str"/>
      <x:c r="P522" s="37" t="str">
        <x:v>Explicitly grounds furthest with pen candidates; only the selected category-specific missing cell is withheld.</x:v>
      </x:c>
      <x:c r="Q522" s="38"/>
    </x:row>
    <x:row r="523" ht="60" customHeight="1">
      <x:c r="A523" s="70" t="n">
        <x:v>521</x:v>
      </x:c>
      <x:c r="B523" s="37" t="str">
        <x:v>Referential Disambiguation</x:v>
      </x:c>
      <x:c r="C523" s="37" t="str">
        <x:v>Pick up the pen furthest from the crushed Coke can and place it in the bowl.</x:v>
      </x:c>
      <x:c r="D523" s="37" t="str">
        <x:v>Explicit furthest grounding</x:v>
      </x:c>
      <x:c r="E523" s="37" t="str">
        <x:v>furthest × pen candidate category</x:v>
      </x:c>
      <x:c r="F523" s="37" t="str">
        <x:v>referential_pen_furthest_explicit</x:v>
      </x:c>
      <x:c r="G523" s="37" t="str">
        <x:v>airplane×furthest; crushed-soda-can×closest; pencil-sharpener×between; pen fully crossed</x:v>
      </x:c>
      <x:c r="H523" s="37" t="str">
        <x:v>Yes</x:v>
      </x:c>
      <x:c r="I523" s="37" t="str">
        <x:v>Replace prompt only</x:v>
      </x:c>
      <x:c r="J523" s="37" t="str">
        <x:v>Prompt-only relabeling; preserve episode 521 video, scene, trajectory, target, and start position.</x:v>
      </x:c>
      <x:c r="K523" s="37" t="str">
        <x:v>green pen, yellow pen, crushed Coke can</x:v>
      </x:c>
      <x:c r="L523" s="37" t="str">
        <x:v>yellow pen</x:v>
      </x:c>
      <x:c r="M523" s="37" t="str">
        <x:v>Home</x:v>
      </x:c>
      <x:c r="N523" s="37" t="str">
        <x:v>Put the yellow pen in the bowl.</x:v>
      </x:c>
      <x:c r="O523" s="37" t="str"/>
      <x:c r="P523" s="37" t="str">
        <x:v>Explicitly grounds furthest with pen candidates; only the selected category-specific missing cell is withheld.</x:v>
      </x:c>
      <x:c r="Q523" s="38"/>
    </x:row>
    <x:row r="524" ht="60" customHeight="1">
      <x:c r="A524" s="70" t="n">
        <x:v>522</x:v>
      </x:c>
      <x:c r="B524" s="37" t="str">
        <x:v>Referential Disambiguation</x:v>
      </x:c>
      <x:c r="C524" s="37" t="str">
        <x:v>Pick up the pen furthest from the crushed Pepsi can and place it in the bowl.</x:v>
      </x:c>
      <x:c r="D524" s="37" t="str">
        <x:v>Explicit furthest grounding</x:v>
      </x:c>
      <x:c r="E524" s="37" t="str">
        <x:v>furthest × pen candidate category</x:v>
      </x:c>
      <x:c r="F524" s="37" t="str">
        <x:v>referential_pen_furthest_explicit</x:v>
      </x:c>
      <x:c r="G524" s="37" t="str">
        <x:v>airplane×furthest; crushed-soda-can×closest; pencil-sharpener×between; pen fully crossed</x:v>
      </x:c>
      <x:c r="H524" s="37" t="str">
        <x:v>Yes</x:v>
      </x:c>
      <x:c r="I524" s="37" t="str">
        <x:v>Replace prompt only</x:v>
      </x:c>
      <x:c r="J524" s="37" t="str">
        <x:v>Prompt-only relabeling; preserve episode 522 video, scene, trajectory, target, and start position.</x:v>
      </x:c>
      <x:c r="K524" s="37" t="str">
        <x:v>green pen, yellow pen, crushed Pepsi can, airplane toy with propellers</x:v>
      </x:c>
      <x:c r="L524" s="37" t="str">
        <x:v>green pen</x:v>
      </x:c>
      <x:c r="M524" s="37" t="str">
        <x:v>Home</x:v>
      </x:c>
      <x:c r="N524" s="37" t="str">
        <x:v>Move the green pen into the bowl.</x:v>
      </x:c>
      <x:c r="O524" s="37" t="str"/>
      <x:c r="P524" s="37" t="str">
        <x:v>Explicitly grounds furthest with pen candidates; only the selected category-specific missing cell is withheld.</x:v>
      </x:c>
      <x:c r="Q524" s="38"/>
    </x:row>
    <x:row r="525" ht="60" customHeight="1">
      <x:c r="A525" s="70" t="n">
        <x:v>523</x:v>
      </x:c>
      <x:c r="B525" s="37" t="str">
        <x:v>Referential Disambiguation</x:v>
      </x:c>
      <x:c r="C525" s="37" t="str">
        <x:v>Pick up the pen furthest from the airplane toy with propellers and place it in the bowl.</x:v>
      </x:c>
      <x:c r="D525" s="37" t="str">
        <x:v>Explicit furthest grounding</x:v>
      </x:c>
      <x:c r="E525" s="37" t="str">
        <x:v>furthest × pen candidate category</x:v>
      </x:c>
      <x:c r="F525" s="37" t="str">
        <x:v>referential_pen_furthest_explicit</x:v>
      </x:c>
      <x:c r="G525" s="37" t="str">
        <x:v>airplane×furthest; crushed-soda-can×closest; pencil-sharpener×between; pen fully crossed</x:v>
      </x:c>
      <x:c r="H525" s="37" t="str">
        <x:v>Yes</x:v>
      </x:c>
      <x:c r="I525" s="37" t="str">
        <x:v>Replace prompt only</x:v>
      </x:c>
      <x:c r="J525" s="37" t="str">
        <x:v>Prompt-only relabeling; preserve episode 523 video, scene, trajectory, target, and start position.</x:v>
      </x:c>
      <x:c r="K525" s="37" t="str">
        <x:v>green pen, yellow pen, airplane toy with propellers</x:v>
      </x:c>
      <x:c r="L525" s="37" t="str">
        <x:v>yellow pen</x:v>
      </x:c>
      <x:c r="M525" s="37" t="str">
        <x:v>Recovery</x:v>
      </x:c>
      <x:c r="N525" s="37" t="str">
        <x:v>Pick up the yellow pen and place it in the bowl.</x:v>
      </x:c>
      <x:c r="O525" s="37" t="str"/>
      <x:c r="P525" s="37" t="str">
        <x:v>Explicitly grounds furthest with pen candidates; only the selected category-specific missing cell is withheld.</x:v>
      </x:c>
      <x:c r="Q525" s="38"/>
    </x:row>
    <x:row r="526" ht="60" customHeight="1">
      <x:c r="A526" s="70" t="n">
        <x:v>524</x:v>
      </x:c>
      <x:c r="B526" s="37" t="str">
        <x:v>Referential Disambiguation</x:v>
      </x:c>
      <x:c r="C526" s="37" t="str">
        <x:v>Pick up the pen furthest from the airplane toy without propellers and place it in the bowl.</x:v>
      </x:c>
      <x:c r="D526" s="37" t="str">
        <x:v>Explicit furthest grounding</x:v>
      </x:c>
      <x:c r="E526" s="37" t="str">
        <x:v>furthest × pen candidate category</x:v>
      </x:c>
      <x:c r="F526" s="37" t="str">
        <x:v>referential_pen_furthest_explicit</x:v>
      </x:c>
      <x:c r="G526" s="37" t="str">
        <x:v>airplane×furthest; crushed-soda-can×closest; pencil-sharpener×between; pen fully crossed</x:v>
      </x:c>
      <x:c r="H526" s="37" t="str">
        <x:v>Yes</x:v>
      </x:c>
      <x:c r="I526" s="37" t="str">
        <x:v>Replace prompt only</x:v>
      </x:c>
      <x:c r="J526" s="37" t="str">
        <x:v>Prompt-only relabeling; preserve episode 524 video, scene, trajectory, target, and start position.</x:v>
      </x:c>
      <x:c r="K526" s="37" t="str">
        <x:v>green pen, yellow pen, airplane toy without propellers, green pencil sharpener</x:v>
      </x:c>
      <x:c r="L526" s="37" t="str">
        <x:v>green pen</x:v>
      </x:c>
      <x:c r="M526" s="37" t="str">
        <x:v>Home</x:v>
      </x:c>
      <x:c r="N526" s="37" t="str">
        <x:v>Pick up the green pen and place it in the bowl.</x:v>
      </x:c>
      <x:c r="O526" s="37" t="str"/>
      <x:c r="P526" s="37" t="str">
        <x:v>Explicitly grounds furthest with pen candidates; only the selected category-specific missing cell is withheld.</x:v>
      </x:c>
      <x:c r="Q526" s="38"/>
    </x:row>
    <x:row r="527" ht="60" customHeight="1">
      <x:c r="A527" s="70" t="n">
        <x:v>525</x:v>
      </x:c>
      <x:c r="B527" s="37" t="str">
        <x:v>Referential Disambiguation</x:v>
      </x:c>
      <x:c r="C527" s="37" t="str">
        <x:v>Pick up the pen furthest from the green pencil sharpener and place it in the bowl.</x:v>
      </x:c>
      <x:c r="D527" s="37" t="str">
        <x:v>Explicit furthest grounding</x:v>
      </x:c>
      <x:c r="E527" s="37" t="str">
        <x:v>furthest × pen candidate category</x:v>
      </x:c>
      <x:c r="F527" s="37" t="str">
        <x:v>referential_pen_furthest_explicit</x:v>
      </x:c>
      <x:c r="G527" s="37" t="str">
        <x:v>airplane×furthest; crushed-soda-can×closest; pencil-sharpener×between; pen fully crossed</x:v>
      </x:c>
      <x:c r="H527" s="37" t="str">
        <x:v>Yes</x:v>
      </x:c>
      <x:c r="I527" s="37" t="str">
        <x:v>Replace prompt only</x:v>
      </x:c>
      <x:c r="J527" s="37" t="str">
        <x:v>Prompt-only relabeling; preserve episode 525 video, scene, trajectory, target, and start position.</x:v>
      </x:c>
      <x:c r="K527" s="37" t="str">
        <x:v>green pen, yellow pen, green pencil sharpener</x:v>
      </x:c>
      <x:c r="L527" s="37" t="str">
        <x:v>yellow pen</x:v>
      </x:c>
      <x:c r="M527" s="37" t="str">
        <x:v>Home</x:v>
      </x:c>
      <x:c r="N527" s="37" t="str">
        <x:v>Pick up the yellow pen and place it in the bowl.</x:v>
      </x:c>
      <x:c r="O527" s="37" t="str"/>
      <x:c r="P527" s="37" t="str">
        <x:v>Explicitly grounds furthest with pen candidates; only the selected category-specific missing cell is withheld.</x:v>
      </x:c>
      <x:c r="Q527" s="38"/>
    </x:row>
    <x:row r="528" ht="60" customHeight="1">
      <x:c r="A528" s="70" t="n">
        <x:v>526</x:v>
      </x:c>
      <x:c r="B528" s="37" t="str">
        <x:v>Referential Disambiguation</x:v>
      </x:c>
      <x:c r="C528" s="37" t="str">
        <x:v>Pick up the pen furthest from the red pencil sharpener and place it in the bowl.</x:v>
      </x:c>
      <x:c r="D528" s="37" t="str">
        <x:v>Explicit furthest grounding</x:v>
      </x:c>
      <x:c r="E528" s="37" t="str">
        <x:v>furthest × pen candidate category</x:v>
      </x:c>
      <x:c r="F528" s="37" t="str">
        <x:v>referential_pen_furthest_explicit</x:v>
      </x:c>
      <x:c r="G528" s="37" t="str">
        <x:v>airplane×furthest; crushed-soda-can×closest; pencil-sharpener×between; pen fully crossed</x:v>
      </x:c>
      <x:c r="H528" s="37" t="str">
        <x:v>Yes</x:v>
      </x:c>
      <x:c r="I528" s="37" t="str">
        <x:v>Replace prompt only</x:v>
      </x:c>
      <x:c r="J528" s="37" t="str">
        <x:v>Prompt-only relabeling; preserve episode 526 video, scene, trajectory, target, and start position.</x:v>
      </x:c>
      <x:c r="K528" s="37" t="str">
        <x:v>green pen, yellow pen, red pencil sharpener, airplane toy with propellers</x:v>
      </x:c>
      <x:c r="L528" s="37" t="str">
        <x:v>green pen</x:v>
      </x:c>
      <x:c r="M528" s="37" t="str">
        <x:v>Home</x:v>
      </x:c>
      <x:c r="N528" s="37" t="str">
        <x:v>Put the green pen in the bowl.</x:v>
      </x:c>
      <x:c r="O528" s="37" t="str"/>
      <x:c r="P528" s="37" t="str">
        <x:v>Explicitly grounds furthest with pen candidates; only the selected category-specific missing cell is withheld.</x:v>
      </x:c>
      <x:c r="Q528" s="38"/>
    </x:row>
    <x:row r="529" ht="60" customHeight="1">
      <x:c r="A529" s="70" t="n">
        <x:v>527</x:v>
      </x:c>
      <x:c r="B529" s="37" t="str">
        <x:v>Referential Disambiguation</x:v>
      </x:c>
      <x:c r="C529" s="37" t="str">
        <x:v>Pick up the pen furthest from the crushed Coke can and place it in the bowl.</x:v>
      </x:c>
      <x:c r="D529" s="37" t="str">
        <x:v>Explicit furthest grounding</x:v>
      </x:c>
      <x:c r="E529" s="37" t="str">
        <x:v>furthest × pen candidate category</x:v>
      </x:c>
      <x:c r="F529" s="37" t="str">
        <x:v>referential_pen_furthest_explicit</x:v>
      </x:c>
      <x:c r="G529" s="37" t="str">
        <x:v>airplane×furthest; crushed-soda-can×closest; pencil-sharpener×between; pen fully crossed</x:v>
      </x:c>
      <x:c r="H529" s="37" t="str">
        <x:v>Yes</x:v>
      </x:c>
      <x:c r="I529" s="37" t="str">
        <x:v>Replace prompt only</x:v>
      </x:c>
      <x:c r="J529" s="37" t="str">
        <x:v>Prompt-only relabeling; preserve episode 527 video, scene, trajectory, target, and start position.</x:v>
      </x:c>
      <x:c r="K529" s="37" t="str">
        <x:v>green pen, yellow pen, crushed Coke can</x:v>
      </x:c>
      <x:c r="L529" s="37" t="str">
        <x:v>yellow pen</x:v>
      </x:c>
      <x:c r="M529" s="37" t="str">
        <x:v>Home</x:v>
      </x:c>
      <x:c r="N529" s="37" t="str">
        <x:v>Move the yellow pen into the bowl.</x:v>
      </x:c>
      <x:c r="O529" s="37" t="str"/>
      <x:c r="P529" s="37" t="str">
        <x:v>Explicitly grounds furthest with pen candidates; only the selected category-specific missing cell is withheld.</x:v>
      </x:c>
      <x:c r="Q529" s="38"/>
    </x:row>
    <x:row r="530" ht="60" customHeight="1">
      <x:c r="A530" s="70" t="n">
        <x:v>528</x:v>
      </x:c>
      <x:c r="B530" s="37" t="str">
        <x:v>Referential Disambiguation</x:v>
      </x:c>
      <x:c r="C530" s="37" t="str">
        <x:v>Pick up the pen furthest from the crushed Pepsi can and place it in the bowl.</x:v>
      </x:c>
      <x:c r="D530" s="37" t="str">
        <x:v>Explicit furthest grounding</x:v>
      </x:c>
      <x:c r="E530" s="37" t="str">
        <x:v>furthest × pen candidate category</x:v>
      </x:c>
      <x:c r="F530" s="37" t="str">
        <x:v>referential_pen_furthest_explicit</x:v>
      </x:c>
      <x:c r="G530" s="37" t="str">
        <x:v>airplane×furthest; crushed-soda-can×closest; pencil-sharpener×between; pen fully crossed</x:v>
      </x:c>
      <x:c r="H530" s="37" t="str">
        <x:v>Yes</x:v>
      </x:c>
      <x:c r="I530" s="37" t="str">
        <x:v>Replace prompt only</x:v>
      </x:c>
      <x:c r="J530" s="37" t="str">
        <x:v>Prompt-only relabeling; preserve episode 528 video, scene, trajectory, target, and start position.</x:v>
      </x:c>
      <x:c r="K530" s="37" t="str">
        <x:v>green pen, yellow pen, crushed Pepsi can, crushed Coke can</x:v>
      </x:c>
      <x:c r="L530" s="37" t="str">
        <x:v>green pen</x:v>
      </x:c>
      <x:c r="M530" s="37" t="str">
        <x:v>Recovery</x:v>
      </x:c>
      <x:c r="N530" s="37" t="str">
        <x:v>Move the green pen into the bowl.</x:v>
      </x:c>
      <x:c r="O530" s="37" t="str"/>
      <x:c r="P530" s="37" t="str">
        <x:v>Explicitly grounds furthest with pen candidates; only the selected category-specific missing cell is withheld.</x:v>
      </x:c>
      <x:c r="Q530" s="38"/>
    </x:row>
    <x:row r="531" ht="60" customHeight="1">
      <x:c r="A531" s="70" t="n">
        <x:v>529</x:v>
      </x:c>
      <x:c r="B531" s="37" t="str">
        <x:v>Referential Disambiguation</x:v>
      </x:c>
      <x:c r="C531" s="37" t="str">
        <x:v>Pick up the pen furthest from the airplane toy with propellers and place it in the bowl.</x:v>
      </x:c>
      <x:c r="D531" s="37" t="str">
        <x:v>Explicit furthest grounding</x:v>
      </x:c>
      <x:c r="E531" s="37" t="str">
        <x:v>furthest × pen candidate category</x:v>
      </x:c>
      <x:c r="F531" s="37" t="str">
        <x:v>referential_pen_furthest_explicit</x:v>
      </x:c>
      <x:c r="G531" s="37" t="str">
        <x:v>airplane×furthest; crushed-soda-can×closest; pencil-sharpener×between; pen fully crossed</x:v>
      </x:c>
      <x:c r="H531" s="37" t="str">
        <x:v>Yes</x:v>
      </x:c>
      <x:c r="I531" s="37" t="str">
        <x:v>Replace prompt only</x:v>
      </x:c>
      <x:c r="J531" s="37" t="str">
        <x:v>Prompt-only relabeling; preserve episode 529 video, scene, trajectory, target, and start position.</x:v>
      </x:c>
      <x:c r="K531" s="37" t="str">
        <x:v>green pen, yellow pen, airplane toy with propellers</x:v>
      </x:c>
      <x:c r="L531" s="37" t="str">
        <x:v>yellow pen</x:v>
      </x:c>
      <x:c r="M531" s="37" t="str">
        <x:v>Home</x:v>
      </x:c>
      <x:c r="N531" s="37" t="str">
        <x:v>Pick up the yellow pen and place it in the bowl.</x:v>
      </x:c>
      <x:c r="O531" s="37" t="str"/>
      <x:c r="P531" s="37" t="str">
        <x:v>Explicitly grounds furthest with pen candidates; only the selected category-specific missing cell is withheld.</x:v>
      </x:c>
      <x:c r="Q531" s="38"/>
    </x:row>
    <x:row r="532" ht="60" customHeight="1">
      <x:c r="A532" s="70" t="n">
        <x:v>530</x:v>
      </x:c>
      <x:c r="B532" s="37" t="str">
        <x:v>Referential Disambiguation</x:v>
      </x:c>
      <x:c r="C532" s="37" t="str">
        <x:v>Pick up the pen positioned between the airplane toy without propellers and the green pencil sharpener, then place it in the bowl.</x:v>
      </x:c>
      <x:c r="D532" s="37" t="str">
        <x:v>Explicit between grounding</x:v>
      </x:c>
      <x:c r="E532" s="37" t="str">
        <x:v>between × pen candidate category</x:v>
      </x:c>
      <x:c r="F532" s="37" t="str">
        <x:v>referential_pen_between_explicit</x:v>
      </x:c>
      <x:c r="G532" s="37" t="str">
        <x:v>airplane×furthest; crushed-soda-can×closest; pencil-sharpener×between; pen fully crossed</x:v>
      </x:c>
      <x:c r="H532" s="37" t="str">
        <x:v>No</x:v>
      </x:c>
      <x:c r="I532" s="37" t="str">
        <x:v>Keep prompt</x:v>
      </x:c>
      <x:c r="J532" s="37" t="str">
        <x:v>No prompt change required under the missing-cell design.</x:v>
      </x:c>
      <x:c r="K532" s="37" t="str">
        <x:v>green pen, yellow pen, airplane toy without propellers, green pencil sharpener</x:v>
      </x:c>
      <x:c r="L532" s="37" t="str">
        <x:v>green pen</x:v>
      </x:c>
      <x:c r="M532" s="37" t="str">
        <x:v>Home</x:v>
      </x:c>
      <x:c r="N532" s="37" t="str">
        <x:v>Pick up the pen positioned between the airplane toy without propellers and the green pencil sharpener, then place it in the bowl.</x:v>
      </x:c>
      <x:c r="O532" s="37" t="str"/>
      <x:c r="P532" s="37" t="str">
        <x:v>Explicitly grounds between with pen candidates; only the selected category-specific missing cell is withheld.</x:v>
      </x:c>
      <x:c r="Q532" s="38"/>
    </x:row>
    <x:row r="533" ht="60" customHeight="1">
      <x:c r="A533" s="70" t="n">
        <x:v>531</x:v>
      </x:c>
      <x:c r="B533" s="37" t="str">
        <x:v>Referential Disambiguation</x:v>
      </x:c>
      <x:c r="C533" s="37" t="str">
        <x:v>Move the pen lying between the crushed Pepsi can and the airplane toy with propellers into the bowl.</x:v>
      </x:c>
      <x:c r="D533" s="37" t="str">
        <x:v>Explicit between grounding</x:v>
      </x:c>
      <x:c r="E533" s="37" t="str">
        <x:v>between × pen candidate category</x:v>
      </x:c>
      <x:c r="F533" s="37" t="str">
        <x:v>referential_pen_between_explicit</x:v>
      </x:c>
      <x:c r="G533" s="37" t="str">
        <x:v>airplane×furthest; crushed-soda-can×closest; pencil-sharpener×between; pen fully crossed</x:v>
      </x:c>
      <x:c r="H533" s="37" t="str">
        <x:v>No</x:v>
      </x:c>
      <x:c r="I533" s="37" t="str">
        <x:v>Keep prompt</x:v>
      </x:c>
      <x:c r="J533" s="37" t="str">
        <x:v>No prompt change required under the missing-cell design.</x:v>
      </x:c>
      <x:c r="K533" s="37" t="str">
        <x:v>green pen, yellow pen, crushed Pepsi can, airplane toy with propellers</x:v>
      </x:c>
      <x:c r="L533" s="37" t="str">
        <x:v>green pen</x:v>
      </x:c>
      <x:c r="M533" s="37" t="str">
        <x:v>Home</x:v>
      </x:c>
      <x:c r="N533" s="37" t="str">
        <x:v>Move the pen lying between the crushed Pepsi can and the airplane toy with propellers into the bowl.</x:v>
      </x:c>
      <x:c r="O533" s="37" t="str"/>
      <x:c r="P533" s="37" t="str">
        <x:v>Explicitly grounds between with pen candidates; only the selected category-specific missing cell is withheld.</x:v>
      </x:c>
      <x:c r="Q533" s="38"/>
    </x:row>
    <x:row r="534" ht="60" customHeight="1">
      <x:c r="A534" s="70" t="n">
        <x:v>532</x:v>
      </x:c>
      <x:c r="B534" s="37" t="str">
        <x:v>Referential Disambiguation</x:v>
      </x:c>
      <x:c r="C534" s="37" t="str">
        <x:v>Put the pen between the green pencil sharpener and the crushed Coke can in the bowl.</x:v>
      </x:c>
      <x:c r="D534" s="37" t="str">
        <x:v>Explicit between grounding</x:v>
      </x:c>
      <x:c r="E534" s="37" t="str">
        <x:v>between × pen candidate category</x:v>
      </x:c>
      <x:c r="F534" s="37" t="str">
        <x:v>referential_pen_between_explicit</x:v>
      </x:c>
      <x:c r="G534" s="37" t="str">
        <x:v>airplane×furthest; crushed-soda-can×closest; pencil-sharpener×between; pen fully crossed</x:v>
      </x:c>
      <x:c r="H534" s="37" t="str">
        <x:v>No</x:v>
      </x:c>
      <x:c r="I534" s="37" t="str">
        <x:v>Keep prompt</x:v>
      </x:c>
      <x:c r="J534" s="37" t="str">
        <x:v>No prompt change required under the missing-cell design.</x:v>
      </x:c>
      <x:c r="K534" s="37" t="str">
        <x:v>green pen, yellow pen, green pencil sharpener, crushed Coke can, airplane toy with propellers</x:v>
      </x:c>
      <x:c r="L534" s="37" t="str">
        <x:v>yellow pen</x:v>
      </x:c>
      <x:c r="M534" s="37" t="str">
        <x:v>Home</x:v>
      </x:c>
      <x:c r="N534" s="37" t="str">
        <x:v>Put the pen between the green pencil sharpener and the crushed Coke can in the bowl.</x:v>
      </x:c>
      <x:c r="O534" s="37" t="str"/>
      <x:c r="P534" s="37" t="str">
        <x:v>Explicitly grounds between with pen candidates; only the selected category-specific missing cell is withheld.</x:v>
      </x:c>
      <x:c r="Q534" s="38"/>
    </x:row>
    <x:row r="535" ht="60" customHeight="1">
      <x:c r="A535" s="70" t="n">
        <x:v>533</x:v>
      </x:c>
      <x:c r="B535" s="37" t="str">
        <x:v>Referential Disambiguation</x:v>
      </x:c>
      <x:c r="C535" s="37" t="str">
        <x:v>Pick up the pen positioned between the airplane toy with propellers and the green pencil sharpener, then place it in the bowl.</x:v>
      </x:c>
      <x:c r="D535" s="37" t="str">
        <x:v>Explicit between grounding</x:v>
      </x:c>
      <x:c r="E535" s="37" t="str">
        <x:v>between × pen candidate category</x:v>
      </x:c>
      <x:c r="F535" s="37" t="str">
        <x:v>referential_pen_between_explicit</x:v>
      </x:c>
      <x:c r="G535" s="37" t="str">
        <x:v>airplane×furthest; crushed-soda-can×closest; pencil-sharpener×between; pen fully crossed</x:v>
      </x:c>
      <x:c r="H535" s="37" t="str">
        <x:v>No</x:v>
      </x:c>
      <x:c r="I535" s="37" t="str">
        <x:v>Keep prompt</x:v>
      </x:c>
      <x:c r="J535" s="37" t="str">
        <x:v>No prompt change required under the missing-cell design.</x:v>
      </x:c>
      <x:c r="K535" s="37" t="str">
        <x:v>green pen, yellow pen, airplane toy with propellers, green pencil sharpener, red pencil sharpener</x:v>
      </x:c>
      <x:c r="L535" s="37" t="str">
        <x:v>yellow pen</x:v>
      </x:c>
      <x:c r="M535" s="37" t="str">
        <x:v>Recovery</x:v>
      </x:c>
      <x:c r="N535" s="37" t="str">
        <x:v>Pick up the pen positioned between the airplane toy with propellers and the green pencil sharpener, then place it in the bowl.</x:v>
      </x:c>
      <x:c r="O535" s="37" t="str"/>
      <x:c r="P535" s="37" t="str">
        <x:v>Explicitly grounds between with pen candidates; only the selected category-specific missing cell is withheld.</x:v>
      </x:c>
      <x:c r="Q535" s="38"/>
    </x:row>
    <x:row r="536" ht="60" customHeight="1">
      <x:c r="A536" s="70" t="n">
        <x:v>534</x:v>
      </x:c>
      <x:c r="B536" s="37" t="str">
        <x:v>Referential Disambiguation</x:v>
      </x:c>
      <x:c r="C536" s="37" t="str">
        <x:v>Pick up the pen positioned between the airplane toy with propellers and the crushed Coke can, then place it in the bowl.</x:v>
      </x:c>
      <x:c r="D536" s="37" t="str">
        <x:v>Explicit between grounding</x:v>
      </x:c>
      <x:c r="E536" s="37" t="str">
        <x:v>between × pen candidate category</x:v>
      </x:c>
      <x:c r="F536" s="37" t="str">
        <x:v>referential_pen_between_explicit</x:v>
      </x:c>
      <x:c r="G536" s="37" t="str">
        <x:v>airplane×furthest; crushed-soda-can×closest; pencil-sharpener×between; pen fully crossed</x:v>
      </x:c>
      <x:c r="H536" s="37" t="str">
        <x:v>No</x:v>
      </x:c>
      <x:c r="I536" s="37" t="str">
        <x:v>Keep prompt</x:v>
      </x:c>
      <x:c r="J536" s="37" t="str">
        <x:v>No prompt change required under the missing-cell design.</x:v>
      </x:c>
      <x:c r="K536" s="37" t="str">
        <x:v>green pen, yellow pen, airplane toy with propellers, crushed Coke can</x:v>
      </x:c>
      <x:c r="L536" s="37" t="str">
        <x:v>green pen</x:v>
      </x:c>
      <x:c r="M536" s="37" t="str">
        <x:v>Home</x:v>
      </x:c>
      <x:c r="N536" s="37" t="str">
        <x:v>Pick up the pen positioned between the airplane toy with propellers and the crushed Coke can, then place it in the bowl.</x:v>
      </x:c>
      <x:c r="O536" s="37" t="str"/>
      <x:c r="P536" s="37" t="str">
        <x:v>Explicitly grounds between with pen candidates; only the selected category-specific missing cell is withheld.</x:v>
      </x:c>
      <x:c r="Q536" s="38"/>
    </x:row>
    <x:row r="537" ht="60" customHeight="1">
      <x:c r="A537" s="70" t="n">
        <x:v>535</x:v>
      </x:c>
      <x:c r="B537" s="37" t="str">
        <x:v>Referential Disambiguation</x:v>
      </x:c>
      <x:c r="C537" s="37" t="str">
        <x:v>Put the pen between the green pencil sharpener and the crushed Pepsi can in the bowl.</x:v>
      </x:c>
      <x:c r="D537" s="37" t="str">
        <x:v>Explicit between grounding</x:v>
      </x:c>
      <x:c r="E537" s="37" t="str">
        <x:v>between × pen candidate category</x:v>
      </x:c>
      <x:c r="F537" s="37" t="str">
        <x:v>referential_pen_between_explicit</x:v>
      </x:c>
      <x:c r="G537" s="37" t="str">
        <x:v>airplane×furthest; crushed-soda-can×closest; pencil-sharpener×between; pen fully crossed</x:v>
      </x:c>
      <x:c r="H537" s="37" t="str">
        <x:v>No</x:v>
      </x:c>
      <x:c r="I537" s="37" t="str">
        <x:v>Keep prompt</x:v>
      </x:c>
      <x:c r="J537" s="37" t="str">
        <x:v>No prompt change required under the missing-cell design.</x:v>
      </x:c>
      <x:c r="K537" s="37" t="str">
        <x:v>green pen, yellow pen, green pencil sharpener, crushed Pepsi can, airplane toy without propellers</x:v>
      </x:c>
      <x:c r="L537" s="37" t="str">
        <x:v>yellow pen</x:v>
      </x:c>
      <x:c r="M537" s="37" t="str">
        <x:v>Recovery</x:v>
      </x:c>
      <x:c r="N537" s="37" t="str">
        <x:v>Put the pen between the green pencil sharpener and the crushed Pepsi can in the bowl.</x:v>
      </x:c>
      <x:c r="O537" s="37" t="str"/>
      <x:c r="P537" s="37" t="str">
        <x:v>Explicitly grounds between with pen candidates; only the selected category-specific missing cell is withheld.</x:v>
      </x:c>
      <x:c r="Q537" s="38"/>
    </x:row>
    <x:row r="538" ht="60" customHeight="1">
      <x:c r="A538" s="70" t="n">
        <x:v>536</x:v>
      </x:c>
      <x:c r="B538" s="37" t="str">
        <x:v>Referential Disambiguation</x:v>
      </x:c>
      <x:c r="C538" s="37" t="str">
        <x:v>Move the pen lying between the red pencil sharpener and the airplane toy with propellers into the bowl.</x:v>
      </x:c>
      <x:c r="D538" s="37" t="str">
        <x:v>Explicit between grounding</x:v>
      </x:c>
      <x:c r="E538" s="37" t="str">
        <x:v>between × pen candidate category</x:v>
      </x:c>
      <x:c r="F538" s="37" t="str">
        <x:v>referential_pen_between_explicit</x:v>
      </x:c>
      <x:c r="G538" s="37" t="str">
        <x:v>airplane×furthest; crushed-soda-can×closest; pencil-sharpener×between; pen fully crossed</x:v>
      </x:c>
      <x:c r="H538" s="37" t="str">
        <x:v>No</x:v>
      </x:c>
      <x:c r="I538" s="37" t="str">
        <x:v>Keep prompt</x:v>
      </x:c>
      <x:c r="J538" s="37" t="str">
        <x:v>No prompt change required under the missing-cell design.</x:v>
      </x:c>
      <x:c r="K538" s="37" t="str">
        <x:v>green pen, yellow pen, red pencil sharpener, airplane toy with propellers, green pencil sharpener</x:v>
      </x:c>
      <x:c r="L538" s="37" t="str">
        <x:v>green pen</x:v>
      </x:c>
      <x:c r="M538" s="37" t="str">
        <x:v>Home</x:v>
      </x:c>
      <x:c r="N538" s="37" t="str">
        <x:v>Move the pen lying between the red pencil sharpener and the airplane toy with propellers into the bowl.</x:v>
      </x:c>
      <x:c r="O538" s="37" t="str"/>
      <x:c r="P538" s="37" t="str">
        <x:v>Explicitly grounds between with pen candidates; only the selected category-specific missing cell is withheld.</x:v>
      </x:c>
      <x:c r="Q538" s="38"/>
    </x:row>
    <x:row r="539" ht="60" customHeight="1">
      <x:c r="A539" s="70" t="n">
        <x:v>537</x:v>
      </x:c>
      <x:c r="B539" s="37" t="str">
        <x:v>Referential Disambiguation</x:v>
      </x:c>
      <x:c r="C539" s="37" t="str">
        <x:v>Put the pen between the airplane toy without propellers and the crushed Pepsi can in the bowl.</x:v>
      </x:c>
      <x:c r="D539" s="37" t="str">
        <x:v>Explicit between grounding</x:v>
      </x:c>
      <x:c r="E539" s="37" t="str">
        <x:v>between × pen candidate category</x:v>
      </x:c>
      <x:c r="F539" s="37" t="str">
        <x:v>referential_pen_between_explicit</x:v>
      </x:c>
      <x:c r="G539" s="37" t="str">
        <x:v>airplane×furthest; crushed-soda-can×closest; pencil-sharpener×between; pen fully crossed</x:v>
      </x:c>
      <x:c r="H539" s="37" t="str">
        <x:v>No</x:v>
      </x:c>
      <x:c r="I539" s="37" t="str">
        <x:v>Keep prompt</x:v>
      </x:c>
      <x:c r="J539" s="37" t="str">
        <x:v>No prompt change required under the missing-cell design.</x:v>
      </x:c>
      <x:c r="K539" s="37" t="str">
        <x:v>green pen, yellow pen, airplane toy without propellers, crushed Pepsi can</x:v>
      </x:c>
      <x:c r="L539" s="37" t="str">
        <x:v>yellow pen</x:v>
      </x:c>
      <x:c r="M539" s="37" t="str">
        <x:v>Home</x:v>
      </x:c>
      <x:c r="N539" s="37" t="str">
        <x:v>Put the pen between the airplane toy without propellers and the crushed Pepsi can in the bowl.</x:v>
      </x:c>
      <x:c r="O539" s="37" t="str"/>
      <x:c r="P539" s="37" t="str">
        <x:v>Explicitly grounds between with pen candidates; only the selected category-specific missing cell is withheld.</x:v>
      </x:c>
      <x:c r="Q539" s="38"/>
    </x:row>
    <x:row r="540" ht="60" customHeight="1">
      <x:c r="A540" s="70" t="n">
        <x:v>538</x:v>
      </x:c>
      <x:c r="B540" s="37" t="str">
        <x:v>Referential Disambiguation</x:v>
      </x:c>
      <x:c r="C540" s="37" t="str">
        <x:v>Move the pen lying between the crushed Coke can and the red pencil sharpener into the bowl.</x:v>
      </x:c>
      <x:c r="D540" s="37" t="str">
        <x:v>Explicit between grounding</x:v>
      </x:c>
      <x:c r="E540" s="37" t="str">
        <x:v>between × pen candidate category</x:v>
      </x:c>
      <x:c r="F540" s="37" t="str">
        <x:v>referential_pen_between_explicit</x:v>
      </x:c>
      <x:c r="G540" s="37" t="str">
        <x:v>airplane×furthest; crushed-soda-can×closest; pencil-sharpener×between; pen fully crossed</x:v>
      </x:c>
      <x:c r="H540" s="37" t="str">
        <x:v>No</x:v>
      </x:c>
      <x:c r="I540" s="37" t="str">
        <x:v>Keep prompt</x:v>
      </x:c>
      <x:c r="J540" s="37" t="str">
        <x:v>No prompt change required under the missing-cell design.</x:v>
      </x:c>
      <x:c r="K540" s="37" t="str">
        <x:v>green pen, yellow pen, crushed Coke can, red pencil sharpener, crushed Pepsi can</x:v>
      </x:c>
      <x:c r="L540" s="37" t="str">
        <x:v>green pen</x:v>
      </x:c>
      <x:c r="M540" s="37" t="str">
        <x:v>Home</x:v>
      </x:c>
      <x:c r="N540" s="37" t="str">
        <x:v>Move the pen lying between the crushed Coke can and the red pencil sharpener into the bowl.</x:v>
      </x:c>
      <x:c r="O540" s="37" t="str"/>
      <x:c r="P540" s="37" t="str">
        <x:v>Explicitly grounds between with pen candidates; only the selected category-specific missing cell is withheld.</x:v>
      </x:c>
      <x:c r="Q540" s="38"/>
    </x:row>
    <x:row r="541" ht="60" customHeight="1">
      <x:c r="A541" s="70" t="n">
        <x:v>539</x:v>
      </x:c>
      <x:c r="B541" s="37" t="str">
        <x:v>Referential Disambiguation</x:v>
      </x:c>
      <x:c r="C541" s="37" t="str">
        <x:v>Move the pen lying between the red pencil sharpener and the airplane toy without propellers into the bowl.</x:v>
      </x:c>
      <x:c r="D541" s="37" t="str">
        <x:v>Explicit between grounding</x:v>
      </x:c>
      <x:c r="E541" s="37" t="str">
        <x:v>between × pen candidate category</x:v>
      </x:c>
      <x:c r="F541" s="37" t="str">
        <x:v>referential_pen_between_explicit</x:v>
      </x:c>
      <x:c r="G541" s="37" t="str">
        <x:v>airplane×furthest; crushed-soda-can×closest; pencil-sharpener×between; pen fully crossed</x:v>
      </x:c>
      <x:c r="H541" s="37" t="str">
        <x:v>No</x:v>
      </x:c>
      <x:c r="I541" s="37" t="str">
        <x:v>Keep prompt</x:v>
      </x:c>
      <x:c r="J541" s="37" t="str">
        <x:v>No prompt change required under the missing-cell design.</x:v>
      </x:c>
      <x:c r="K541" s="37" t="str">
        <x:v>green pen, yellow pen, red pencil sharpener, airplane toy without propellers</x:v>
      </x:c>
      <x:c r="L541" s="37" t="str">
        <x:v>yellow pen</x:v>
      </x:c>
      <x:c r="M541" s="37" t="str">
        <x:v>Home</x:v>
      </x:c>
      <x:c r="N541" s="37" t="str">
        <x:v>Move the pen lying between the red pencil sharpener and the airplane toy without propellers into the bowl.</x:v>
      </x:c>
      <x:c r="O541" s="37" t="str"/>
      <x:c r="P541" s="37" t="str">
        <x:v>Explicitly grounds between with pen candidates; only the selected category-specific missing cell is withheld.</x:v>
      </x:c>
      <x:c r="Q541" s="38"/>
    </x:row>
    <x:row r="542" ht="60" customHeight="1">
      <x:c r="A542" s="70" t="n">
        <x:v>540</x:v>
      </x:c>
      <x:c r="B542" s="37" t="str">
        <x:v>Referential Disambiguation</x:v>
      </x:c>
      <x:c r="C542" s="37" t="str">
        <x:v>Move the pen lying between the green pencil sharpener and the crushed Coke can into the bowl.</x:v>
      </x:c>
      <x:c r="D542" s="37" t="str">
        <x:v>Explicit between grounding</x:v>
      </x:c>
      <x:c r="E542" s="37" t="str">
        <x:v>between × pen candidate category</x:v>
      </x:c>
      <x:c r="F542" s="37" t="str">
        <x:v>referential_pen_between_explicit</x:v>
      </x:c>
      <x:c r="G542" s="37" t="str">
        <x:v>airplane×furthest; crushed-soda-can×closest; pencil-sharpener×between; pen fully crossed</x:v>
      </x:c>
      <x:c r="H542" s="37" t="str">
        <x:v>No</x:v>
      </x:c>
      <x:c r="I542" s="37" t="str">
        <x:v>Keep prompt</x:v>
      </x:c>
      <x:c r="J542" s="37" t="str">
        <x:v>No prompt change required under the missing-cell design.</x:v>
      </x:c>
      <x:c r="K542" s="37" t="str">
        <x:v>green pen, yellow pen, green pencil sharpener, crushed Coke can</x:v>
      </x:c>
      <x:c r="L542" s="37" t="str">
        <x:v>yellow pen</x:v>
      </x:c>
      <x:c r="M542" s="37" t="str">
        <x:v>Home</x:v>
      </x:c>
      <x:c r="N542" s="37" t="str">
        <x:v>Move the pen lying between the green pencil sharpener and the crushed Coke can into the bowl.</x:v>
      </x:c>
      <x:c r="O542" s="37" t="str"/>
      <x:c r="P542" s="37" t="str">
        <x:v>Explicitly grounds between with pen candidates; only the selected category-specific missing cell is withheld.</x:v>
      </x:c>
      <x:c r="Q542" s="38"/>
    </x:row>
    <x:row r="543" ht="60" customHeight="1">
      <x:c r="A543" s="70" t="n">
        <x:v>541</x:v>
      </x:c>
      <x:c r="B543" s="37" t="str">
        <x:v>Referential Disambiguation</x:v>
      </x:c>
      <x:c r="C543" s="37" t="str">
        <x:v>Put the pen between the airplane toy with propellers and the green pencil sharpener in the bowl.</x:v>
      </x:c>
      <x:c r="D543" s="37" t="str">
        <x:v>Explicit between grounding</x:v>
      </x:c>
      <x:c r="E543" s="37" t="str">
        <x:v>between × pen candidate category</x:v>
      </x:c>
      <x:c r="F543" s="37" t="str">
        <x:v>referential_pen_between_explicit</x:v>
      </x:c>
      <x:c r="G543" s="37" t="str">
        <x:v>airplane×furthest; crushed-soda-can×closest; pencil-sharpener×between; pen fully crossed</x:v>
      </x:c>
      <x:c r="H543" s="37" t="str">
        <x:v>No</x:v>
      </x:c>
      <x:c r="I543" s="37" t="str">
        <x:v>Keep prompt</x:v>
      </x:c>
      <x:c r="J543" s="37" t="str">
        <x:v>No prompt change required under the missing-cell design.</x:v>
      </x:c>
      <x:c r="K543" s="37" t="str">
        <x:v>green pen, yellow pen, airplane toy with propellers, green pencil sharpener, crushed Coke can</x:v>
      </x:c>
      <x:c r="L543" s="37" t="str">
        <x:v>green pen</x:v>
      </x:c>
      <x:c r="M543" s="37" t="str">
        <x:v>Home</x:v>
      </x:c>
      <x:c r="N543" s="37" t="str">
        <x:v>Put the pen between the airplane toy with propellers and the green pencil sharpener in the bowl.</x:v>
      </x:c>
      <x:c r="O543" s="37" t="str"/>
      <x:c r="P543" s="37" t="str">
        <x:v>Explicitly grounds between with pen candidates; only the selected category-specific missing cell is withheld.</x:v>
      </x:c>
      <x:c r="Q543" s="38"/>
    </x:row>
    <x:row r="544" ht="60" customHeight="1">
      <x:c r="A544" s="70" t="n">
        <x:v>542</x:v>
      </x:c>
      <x:c r="B544" s="37" t="str">
        <x:v>Referential Disambiguation</x:v>
      </x:c>
      <x:c r="C544" s="37" t="str">
        <x:v>Move the pen lying between the airplane toy with propellers and the crushed Coke can into the bowl.</x:v>
      </x:c>
      <x:c r="D544" s="37" t="str">
        <x:v>Explicit between grounding</x:v>
      </x:c>
      <x:c r="E544" s="37" t="str">
        <x:v>between × pen candidate category</x:v>
      </x:c>
      <x:c r="F544" s="37" t="str">
        <x:v>referential_pen_between_explicit</x:v>
      </x:c>
      <x:c r="G544" s="37" t="str">
        <x:v>airplane×furthest; crushed-soda-can×closest; pencil-sharpener×between; pen fully crossed</x:v>
      </x:c>
      <x:c r="H544" s="37" t="str">
        <x:v>No</x:v>
      </x:c>
      <x:c r="I544" s="37" t="str">
        <x:v>Keep prompt</x:v>
      </x:c>
      <x:c r="J544" s="37" t="str">
        <x:v>No prompt change required under the missing-cell design.</x:v>
      </x:c>
      <x:c r="K544" s="37" t="str">
        <x:v>green pen, yellow pen, airplane toy with propellers, crushed Coke can, red pencil sharpener</x:v>
      </x:c>
      <x:c r="L544" s="37" t="str">
        <x:v>yellow pen</x:v>
      </x:c>
      <x:c r="M544" s="37" t="str">
        <x:v>Home</x:v>
      </x:c>
      <x:c r="N544" s="37" t="str">
        <x:v>Move the pen lying between the airplane toy with propellers and the crushed Coke can into the bowl.</x:v>
      </x:c>
      <x:c r="O544" s="37" t="str"/>
      <x:c r="P544" s="37" t="str">
        <x:v>Explicitly grounds between with pen candidates; only the selected category-specific missing cell is withheld.</x:v>
      </x:c>
      <x:c r="Q544" s="38"/>
    </x:row>
    <x:row r="545" ht="60" customHeight="1">
      <x:c r="A545" s="70" t="n">
        <x:v>543</x:v>
      </x:c>
      <x:c r="B545" s="37" t="str">
        <x:v>Referential Disambiguation</x:v>
      </x:c>
      <x:c r="C545" s="37" t="str">
        <x:v>Pick up the pen positioned between the green pencil sharpener and the crushed Pepsi can, then place it in the bowl.</x:v>
      </x:c>
      <x:c r="D545" s="37" t="str">
        <x:v>Explicit between grounding</x:v>
      </x:c>
      <x:c r="E545" s="37" t="str">
        <x:v>between × pen candidate category</x:v>
      </x:c>
      <x:c r="F545" s="37" t="str">
        <x:v>referential_pen_between_explicit</x:v>
      </x:c>
      <x:c r="G545" s="37" t="str">
        <x:v>airplane×furthest; crushed-soda-can×closest; pencil-sharpener×between; pen fully crossed</x:v>
      </x:c>
      <x:c r="H545" s="37" t="str">
        <x:v>No</x:v>
      </x:c>
      <x:c r="I545" s="37" t="str">
        <x:v>Keep prompt</x:v>
      </x:c>
      <x:c r="J545" s="37" t="str">
        <x:v>No prompt change required under the missing-cell design.</x:v>
      </x:c>
      <x:c r="K545" s="37" t="str">
        <x:v>green pen, yellow pen, green pencil sharpener, crushed Pepsi can, airplane toy with propellers</x:v>
      </x:c>
      <x:c r="L545" s="37" t="str">
        <x:v>green pen</x:v>
      </x:c>
      <x:c r="M545" s="37" t="str">
        <x:v>Home</x:v>
      </x:c>
      <x:c r="N545" s="37" t="str">
        <x:v>Pick up the pen positioned between the green pencil sharpener and the crushed Pepsi can, then place it in the bowl.</x:v>
      </x:c>
      <x:c r="O545" s="37" t="str"/>
      <x:c r="P545" s="37" t="str">
        <x:v>Explicitly grounds between with pen candidates; only the selected category-specific missing cell is withheld.</x:v>
      </x:c>
      <x:c r="Q545" s="38"/>
    </x:row>
    <x:row r="546" ht="60" customHeight="1">
      <x:c r="A546" s="70" t="n">
        <x:v>544</x:v>
      </x:c>
      <x:c r="B546" s="37" t="str">
        <x:v>Referential Disambiguation</x:v>
      </x:c>
      <x:c r="C546" s="37" t="str">
        <x:v>Pick up the pen positioned between the red pencil sharpener and the airplane toy with propellers, then place it in the bowl.</x:v>
      </x:c>
      <x:c r="D546" s="37" t="str">
        <x:v>Explicit between grounding</x:v>
      </x:c>
      <x:c r="E546" s="37" t="str">
        <x:v>between × pen candidate category</x:v>
      </x:c>
      <x:c r="F546" s="37" t="str">
        <x:v>referential_pen_between_explicit</x:v>
      </x:c>
      <x:c r="G546" s="37" t="str">
        <x:v>airplane×furthest; crushed-soda-can×closest; pencil-sharpener×between; pen fully crossed</x:v>
      </x:c>
      <x:c r="H546" s="37" t="str">
        <x:v>No</x:v>
      </x:c>
      <x:c r="I546" s="37" t="str">
        <x:v>Keep prompt</x:v>
      </x:c>
      <x:c r="J546" s="37" t="str">
        <x:v>No prompt change required under the missing-cell design.</x:v>
      </x:c>
      <x:c r="K546" s="37" t="str">
        <x:v>green pen, yellow pen, red pencil sharpener, airplane toy with propellers</x:v>
      </x:c>
      <x:c r="L546" s="37" t="str">
        <x:v>green pen</x:v>
      </x:c>
      <x:c r="M546" s="37" t="str">
        <x:v>Recovery</x:v>
      </x:c>
      <x:c r="N546" s="37" t="str">
        <x:v>Pick up the pen positioned between the red pencil sharpener and the airplane toy with propellers, then place it in the bowl.</x:v>
      </x:c>
      <x:c r="O546" s="37" t="str"/>
      <x:c r="P546" s="37" t="str">
        <x:v>Explicitly grounds between with pen candidates; only the selected category-specific missing cell is withheld.</x:v>
      </x:c>
      <x:c r="Q546" s="38"/>
    </x:row>
    <x:row r="547" ht="60" customHeight="1">
      <x:c r="A547" s="70" t="n">
        <x:v>545</x:v>
      </x:c>
      <x:c r="B547" s="37" t="str">
        <x:v>Referential Disambiguation</x:v>
      </x:c>
      <x:c r="C547" s="37" t="str">
        <x:v>Move the pen lying between the airplane toy without propellers and the crushed Pepsi can into the bowl.</x:v>
      </x:c>
      <x:c r="D547" s="37" t="str">
        <x:v>Explicit between grounding</x:v>
      </x:c>
      <x:c r="E547" s="37" t="str">
        <x:v>between × pen candidate category</x:v>
      </x:c>
      <x:c r="F547" s="37" t="str">
        <x:v>referential_pen_between_explicit</x:v>
      </x:c>
      <x:c r="G547" s="37" t="str">
        <x:v>airplane×furthest; crushed-soda-can×closest; pencil-sharpener×between; pen fully crossed</x:v>
      </x:c>
      <x:c r="H547" s="37" t="str">
        <x:v>No</x:v>
      </x:c>
      <x:c r="I547" s="37" t="str">
        <x:v>Keep prompt</x:v>
      </x:c>
      <x:c r="J547" s="37" t="str">
        <x:v>No prompt change required under the missing-cell design.</x:v>
      </x:c>
      <x:c r="K547" s="37" t="str">
        <x:v>green pen, yellow pen, airplane toy without propellers, crushed Pepsi can</x:v>
      </x:c>
      <x:c r="L547" s="37" t="str">
        <x:v>yellow pen</x:v>
      </x:c>
      <x:c r="M547" s="37" t="str">
        <x:v>Home</x:v>
      </x:c>
      <x:c r="N547" s="37" t="str">
        <x:v>Move the pen lying between the airplane toy without propellers and the crushed Pepsi can into the bowl.</x:v>
      </x:c>
      <x:c r="O547" s="37" t="str"/>
      <x:c r="P547" s="37" t="str">
        <x:v>Explicitly grounds between with pen candidates; only the selected category-specific missing cell is withheld.</x:v>
      </x:c>
      <x:c r="Q547" s="38"/>
    </x:row>
    <x:row r="548" ht="60" customHeight="1">
      <x:c r="A548" s="70" t="n">
        <x:v>546</x:v>
      </x:c>
      <x:c r="B548" s="37" t="str">
        <x:v>Referential Disambiguation</x:v>
      </x:c>
      <x:c r="C548" s="37" t="str">
        <x:v>Move the pen lying between the crushed Coke can and the red pencil sharpener into the bowl.</x:v>
      </x:c>
      <x:c r="D548" s="37" t="str">
        <x:v>Explicit between grounding</x:v>
      </x:c>
      <x:c r="E548" s="37" t="str">
        <x:v>between × pen candidate category</x:v>
      </x:c>
      <x:c r="F548" s="37" t="str">
        <x:v>referential_pen_between_explicit</x:v>
      </x:c>
      <x:c r="G548" s="37" t="str">
        <x:v>airplane×furthest; crushed-soda-can×closest; pencil-sharpener×between; pen fully crossed</x:v>
      </x:c>
      <x:c r="H548" s="37" t="str">
        <x:v>No</x:v>
      </x:c>
      <x:c r="I548" s="37" t="str">
        <x:v>Keep prompt</x:v>
      </x:c>
      <x:c r="J548" s="37" t="str">
        <x:v>No prompt change required under the missing-cell design.</x:v>
      </x:c>
      <x:c r="K548" s="37" t="str">
        <x:v>green pen, yellow pen, crushed Coke can, red pencil sharpener</x:v>
      </x:c>
      <x:c r="L548" s="37" t="str">
        <x:v>yellow pen</x:v>
      </x:c>
      <x:c r="M548" s="37" t="str">
        <x:v>Home</x:v>
      </x:c>
      <x:c r="N548" s="37" t="str">
        <x:v>Move the pen lying between the crushed Coke can and the red pencil sharpener into the bowl.</x:v>
      </x:c>
      <x:c r="O548" s="37" t="str"/>
      <x:c r="P548" s="37" t="str">
        <x:v>Explicitly grounds between with pen candidates; only the selected category-specific missing cell is withheld.</x:v>
      </x:c>
      <x:c r="Q548" s="38"/>
    </x:row>
    <x:row r="549" ht="60" customHeight="1">
      <x:c r="A549" s="70" t="n">
        <x:v>547</x:v>
      </x:c>
      <x:c r="B549" s="37" t="str">
        <x:v>Referential Disambiguation</x:v>
      </x:c>
      <x:c r="C549" s="37" t="str">
        <x:v>Pick up the pen positioned between the red pencil sharpener and the airplane toy without propellers, then place it in the bowl.</x:v>
      </x:c>
      <x:c r="D549" s="37" t="str">
        <x:v>Explicit between grounding</x:v>
      </x:c>
      <x:c r="E549" s="37" t="str">
        <x:v>between × pen candidate category</x:v>
      </x:c>
      <x:c r="F549" s="37" t="str">
        <x:v>referential_pen_between_explicit</x:v>
      </x:c>
      <x:c r="G549" s="37" t="str">
        <x:v>airplane×furthest; crushed-soda-can×closest; pencil-sharpener×between; pen fully crossed</x:v>
      </x:c>
      <x:c r="H549" s="37" t="str">
        <x:v>No</x:v>
      </x:c>
      <x:c r="I549" s="37" t="str">
        <x:v>Keep prompt</x:v>
      </x:c>
      <x:c r="J549" s="37" t="str">
        <x:v>No prompt change required under the missing-cell design.</x:v>
      </x:c>
      <x:c r="K549" s="37" t="str">
        <x:v>green pen, yellow pen, red pencil sharpener, airplane toy without propellers, green pencil sharpener</x:v>
      </x:c>
      <x:c r="L549" s="37" t="str">
        <x:v>yellow pen</x:v>
      </x:c>
      <x:c r="M549" s="37" t="str">
        <x:v>Recovery</x:v>
      </x:c>
      <x:c r="N549" s="37" t="str">
        <x:v>Pick up the pen positioned between the red pencil sharpener and the airplane toy without propellers, then place it in the bowl.</x:v>
      </x:c>
      <x:c r="O549" s="37" t="str"/>
      <x:c r="P549" s="37" t="str">
        <x:v>Explicitly grounds between with pen candidates; only the selected category-specific missing cell is withheld.</x:v>
      </x:c>
      <x:c r="Q549" s="38"/>
    </x:row>
    <x:row r="550" ht="60" customHeight="1">
      <x:c r="A550" s="70" t="n">
        <x:v>548</x:v>
      </x:c>
      <x:c r="B550" s="37" t="str">
        <x:v>Referential Disambiguation</x:v>
      </x:c>
      <x:c r="C550" s="37" t="str">
        <x:v>Put the pen between the crushed Coke can and the airplane toy without propellers in the bowl.</x:v>
      </x:c>
      <x:c r="D550" s="37" t="str">
        <x:v>Explicit between grounding</x:v>
      </x:c>
      <x:c r="E550" s="37" t="str">
        <x:v>between × pen candidate category</x:v>
      </x:c>
      <x:c r="F550" s="37" t="str">
        <x:v>referential_pen_between_explicit</x:v>
      </x:c>
      <x:c r="G550" s="37" t="str">
        <x:v>airplane×furthest; crushed-soda-can×closest; pencil-sharpener×between; pen fully crossed</x:v>
      </x:c>
      <x:c r="H550" s="37" t="str">
        <x:v>No</x:v>
      </x:c>
      <x:c r="I550" s="37" t="str">
        <x:v>Keep prompt</x:v>
      </x:c>
      <x:c r="J550" s="37" t="str">
        <x:v>No prompt change required under the missing-cell design.</x:v>
      </x:c>
      <x:c r="K550" s="37" t="str">
        <x:v>green pen, yellow pen, crushed Coke can, airplane toy without propellers</x:v>
      </x:c>
      <x:c r="L550" s="37" t="str">
        <x:v>green pen</x:v>
      </x:c>
      <x:c r="M550" s="37" t="str">
        <x:v>Home</x:v>
      </x:c>
      <x:c r="N550" s="37" t="str">
        <x:v>Put the pen between the crushed Coke can and the airplane toy without propellers in the bowl.</x:v>
      </x:c>
      <x:c r="O550" s="37" t="str"/>
      <x:c r="P550" s="37" t="str">
        <x:v>Explicitly grounds between with pen candidates; only the selected category-specific missing cell is withheld.</x:v>
      </x:c>
      <x:c r="Q550" s="38"/>
    </x:row>
    <x:row r="551" ht="60" customHeight="1">
      <x:c r="A551" s="70" t="n">
        <x:v>549</x:v>
      </x:c>
      <x:c r="B551" s="37" t="str">
        <x:v>Referential Disambiguation</x:v>
      </x:c>
      <x:c r="C551" s="37" t="str">
        <x:v>Put the pen between the crushed Pepsi can and the red pencil sharpener in the bowl.</x:v>
      </x:c>
      <x:c r="D551" s="37" t="str">
        <x:v>Explicit between grounding</x:v>
      </x:c>
      <x:c r="E551" s="37" t="str">
        <x:v>between × pen candidate category</x:v>
      </x:c>
      <x:c r="F551" s="37" t="str">
        <x:v>referential_pen_between_explicit</x:v>
      </x:c>
      <x:c r="G551" s="37" t="str">
        <x:v>airplane×furthest; crushed-soda-can×closest; pencil-sharpener×between; pen fully crossed</x:v>
      </x:c>
      <x:c r="H551" s="37" t="str">
        <x:v>No</x:v>
      </x:c>
      <x:c r="I551" s="37" t="str">
        <x:v>Keep prompt</x:v>
      </x:c>
      <x:c r="J551" s="37" t="str">
        <x:v>No prompt change required under the missing-cell design.</x:v>
      </x:c>
      <x:c r="K551" s="37" t="str">
        <x:v>green pen, yellow pen, crushed Pepsi can, red pencil sharpener, airplane toy without propellers</x:v>
      </x:c>
      <x:c r="L551" s="37" t="str">
        <x:v>green pen</x:v>
      </x:c>
      <x:c r="M551" s="37" t="str">
        <x:v>Home</x:v>
      </x:c>
      <x:c r="N551" s="37" t="str">
        <x:v>Put the pen between the crushed Pepsi can and the red pencil sharpener in the bowl.</x:v>
      </x:c>
      <x:c r="O551" s="37" t="str"/>
      <x:c r="P551" s="37" t="str">
        <x:v>Explicitly grounds between with pen candidates; only the selected category-specific missing cell is withheld.</x:v>
      </x:c>
      <x:c r="Q551" s="38"/>
    </x:row>
    <x:row r="552" ht="60" customHeight="1">
      <x:c r="A552" s="70" t="n">
        <x:v>550</x:v>
      </x:c>
      <x:c r="B552" s="37" t="str">
        <x:v>Referential Disambiguation</x:v>
      </x:c>
      <x:c r="C552" s="37" t="str">
        <x:v>Put the airplane toy closest to the green pen in the bowl.</x:v>
      </x:c>
      <x:c r="D552" s="37" t="str">
        <x:v>Explicit closest grounding</x:v>
      </x:c>
      <x:c r="E552" s="37" t="str">
        <x:v>closest × airplane toy candidate category</x:v>
      </x:c>
      <x:c r="F552" s="37" t="str">
        <x:v>referential_airplane_toy_closest_explicit</x:v>
      </x:c>
      <x:c r="G552" s="37" t="str">
        <x:v>airplane×furthest; crushed-soda-can×closest; pencil-sharpener×between; pen fully crossed</x:v>
      </x:c>
      <x:c r="H552" s="37" t="str">
        <x:v>No</x:v>
      </x:c>
      <x:c r="I552" s="37" t="str">
        <x:v>Keep prompt</x:v>
      </x:c>
      <x:c r="J552" s="37" t="str">
        <x:v>No prompt change required under the missing-cell design.</x:v>
      </x:c>
      <x:c r="K552" s="37" t="str">
        <x:v>airplane toy with propellers, airplane toy without propellers, green pen</x:v>
      </x:c>
      <x:c r="L552" s="37" t="str">
        <x:v>airplane toy with propellers</x:v>
      </x:c>
      <x:c r="M552" s="37" t="str">
        <x:v>Home</x:v>
      </x:c>
      <x:c r="N552" s="37" t="str">
        <x:v>Put the airplane toy closest to the green pen in the bowl.</x:v>
      </x:c>
      <x:c r="O552" s="37" t="str"/>
      <x:c r="P552" s="37" t="str">
        <x:v>Explicitly grounds closest with airplane toy candidates; only the selected category-specific missing cell is withheld.</x:v>
      </x:c>
      <x:c r="Q552" s="38"/>
    </x:row>
    <x:row r="553" ht="60" customHeight="1">
      <x:c r="A553" s="70" t="n">
        <x:v>551</x:v>
      </x:c>
      <x:c r="B553" s="37" t="str">
        <x:v>Referential Disambiguation</x:v>
      </x:c>
      <x:c r="C553" s="37" t="str">
        <x:v>Pick up the airplane toy nearest to the yellow pen and place it in the bowl.</x:v>
      </x:c>
      <x:c r="D553" s="37" t="str">
        <x:v>Explicit closest grounding</x:v>
      </x:c>
      <x:c r="E553" s="37" t="str">
        <x:v>closest × airplane toy candidate category</x:v>
      </x:c>
      <x:c r="F553" s="37" t="str">
        <x:v>referential_airplane_toy_closest_explicit</x:v>
      </x:c>
      <x:c r="G553" s="37" t="str">
        <x:v>airplane×furthest; crushed-soda-can×closest; pencil-sharpener×between; pen fully crossed</x:v>
      </x:c>
      <x:c r="H553" s="37" t="str">
        <x:v>No</x:v>
      </x:c>
      <x:c r="I553" s="37" t="str">
        <x:v>Keep prompt</x:v>
      </x:c>
      <x:c r="J553" s="37" t="str">
        <x:v>No prompt change required under the missing-cell design.</x:v>
      </x:c>
      <x:c r="K553" s="37" t="str">
        <x:v>airplane toy with propellers, airplane toy without propellers, yellow pen, green pencil sharpener</x:v>
      </x:c>
      <x:c r="L553" s="37" t="str">
        <x:v>airplane toy without propellers</x:v>
      </x:c>
      <x:c r="M553" s="37" t="str">
        <x:v>Home</x:v>
      </x:c>
      <x:c r="N553" s="37" t="str">
        <x:v>Pick up the airplane toy nearest to the yellow pen and place it in the bowl.</x:v>
      </x:c>
      <x:c r="O553" s="37" t="str"/>
      <x:c r="P553" s="37" t="str">
        <x:v>Explicitly grounds closest with airplane toy candidates; only the selected category-specific missing cell is withheld.</x:v>
      </x:c>
      <x:c r="Q553" s="38"/>
    </x:row>
    <x:row r="554" ht="60" customHeight="1">
      <x:c r="A554" s="70" t="n">
        <x:v>552</x:v>
      </x:c>
      <x:c r="B554" s="37" t="str">
        <x:v>Referential Disambiguation</x:v>
      </x:c>
      <x:c r="C554" s="37" t="str">
        <x:v>Put the airplane toy closest to the green pencil sharpener in the bowl.</x:v>
      </x:c>
      <x:c r="D554" s="37" t="str">
        <x:v>Explicit closest grounding</x:v>
      </x:c>
      <x:c r="E554" s="37" t="str">
        <x:v>closest × airplane toy candidate category</x:v>
      </x:c>
      <x:c r="F554" s="37" t="str">
        <x:v>referential_airplane_toy_closest_explicit</x:v>
      </x:c>
      <x:c r="G554" s="37" t="str">
        <x:v>airplane×furthest; crushed-soda-can×closest; pencil-sharpener×between; pen fully crossed</x:v>
      </x:c>
      <x:c r="H554" s="37" t="str">
        <x:v>No</x:v>
      </x:c>
      <x:c r="I554" s="37" t="str">
        <x:v>Keep prompt</x:v>
      </x:c>
      <x:c r="J554" s="37" t="str">
        <x:v>No prompt change required under the missing-cell design.</x:v>
      </x:c>
      <x:c r="K554" s="37" t="str">
        <x:v>airplane toy with propellers, airplane toy without propellers, green pencil sharpener</x:v>
      </x:c>
      <x:c r="L554" s="37" t="str">
        <x:v>airplane toy with propellers</x:v>
      </x:c>
      <x:c r="M554" s="37" t="str">
        <x:v>Home</x:v>
      </x:c>
      <x:c r="N554" s="37" t="str">
        <x:v>Put the airplane toy closest to the green pencil sharpener in the bowl.</x:v>
      </x:c>
      <x:c r="O554" s="37" t="str"/>
      <x:c r="P554" s="37" t="str">
        <x:v>Explicitly grounds closest with airplane toy candidates; only the selected category-specific missing cell is withheld.</x:v>
      </x:c>
      <x:c r="Q554" s="38"/>
    </x:row>
    <x:row r="555" ht="60" customHeight="1">
      <x:c r="A555" s="70" t="n">
        <x:v>553</x:v>
      </x:c>
      <x:c r="B555" s="37" t="str">
        <x:v>Referential Disambiguation</x:v>
      </x:c>
      <x:c r="C555" s="37" t="str">
        <x:v>Put the airplane toy closest to the red pencil sharpener in the bowl.</x:v>
      </x:c>
      <x:c r="D555" s="37" t="str">
        <x:v>Explicit closest grounding</x:v>
      </x:c>
      <x:c r="E555" s="37" t="str">
        <x:v>closest × airplane toy candidate category</x:v>
      </x:c>
      <x:c r="F555" s="37" t="str">
        <x:v>referential_airplane_toy_closest_explicit</x:v>
      </x:c>
      <x:c r="G555" s="37" t="str">
        <x:v>airplane×furthest; crushed-soda-can×closest; pencil-sharpener×between; pen fully crossed</x:v>
      </x:c>
      <x:c r="H555" s="37" t="str">
        <x:v>No</x:v>
      </x:c>
      <x:c r="I555" s="37" t="str">
        <x:v>Keep prompt</x:v>
      </x:c>
      <x:c r="J555" s="37" t="str">
        <x:v>No prompt change required under the missing-cell design.</x:v>
      </x:c>
      <x:c r="K555" s="37" t="str">
        <x:v>airplane toy with propellers, airplane toy without propellers, red pencil sharpener, crushed Coke can</x:v>
      </x:c>
      <x:c r="L555" s="37" t="str">
        <x:v>airplane toy without propellers</x:v>
      </x:c>
      <x:c r="M555" s="37" t="str">
        <x:v>Home</x:v>
      </x:c>
      <x:c r="N555" s="37" t="str">
        <x:v>Put the airplane toy closest to the red pencil sharpener in the bowl.</x:v>
      </x:c>
      <x:c r="O555" s="37" t="str"/>
      <x:c r="P555" s="37" t="str">
        <x:v>Explicitly grounds closest with airplane toy candidates; only the selected category-specific missing cell is withheld.</x:v>
      </x:c>
      <x:c r="Q555" s="38"/>
    </x:row>
    <x:row r="556" ht="60" customHeight="1">
      <x:c r="A556" s="70" t="n">
        <x:v>554</x:v>
      </x:c>
      <x:c r="B556" s="37" t="str">
        <x:v>Referential Disambiguation</x:v>
      </x:c>
      <x:c r="C556" s="37" t="str">
        <x:v>Move the airplane toy that is closest to the crushed Coke can into the bowl.</x:v>
      </x:c>
      <x:c r="D556" s="37" t="str">
        <x:v>Explicit closest grounding</x:v>
      </x:c>
      <x:c r="E556" s="37" t="str">
        <x:v>closest × airplane toy candidate category</x:v>
      </x:c>
      <x:c r="F556" s="37" t="str">
        <x:v>referential_airplane_toy_closest_explicit</x:v>
      </x:c>
      <x:c r="G556" s="37" t="str">
        <x:v>airplane×furthest; crushed-soda-can×closest; pencil-sharpener×between; pen fully crossed</x:v>
      </x:c>
      <x:c r="H556" s="37" t="str">
        <x:v>No</x:v>
      </x:c>
      <x:c r="I556" s="37" t="str">
        <x:v>Keep prompt</x:v>
      </x:c>
      <x:c r="J556" s="37" t="str">
        <x:v>No prompt change required under the missing-cell design.</x:v>
      </x:c>
      <x:c r="K556" s="37" t="str">
        <x:v>airplane toy with propellers, airplane toy without propellers, crushed Coke can</x:v>
      </x:c>
      <x:c r="L556" s="37" t="str">
        <x:v>airplane toy with propellers</x:v>
      </x:c>
      <x:c r="M556" s="37" t="str">
        <x:v>Recovery</x:v>
      </x:c>
      <x:c r="N556" s="37" t="str">
        <x:v>Move the airplane toy that is closest to the crushed Coke can into the bowl.</x:v>
      </x:c>
      <x:c r="O556" s="37" t="str"/>
      <x:c r="P556" s="37" t="str">
        <x:v>Explicitly grounds closest with airplane toy candidates; only the selected category-specific missing cell is withheld.</x:v>
      </x:c>
      <x:c r="Q556" s="38"/>
    </x:row>
    <x:row r="557" ht="60" customHeight="1">
      <x:c r="A557" s="70" t="n">
        <x:v>555</x:v>
      </x:c>
      <x:c r="B557" s="37" t="str">
        <x:v>Referential Disambiguation</x:v>
      </x:c>
      <x:c r="C557" s="37" t="str">
        <x:v>Move the airplane toy that is closest to the crushed Pepsi can into the bowl.</x:v>
      </x:c>
      <x:c r="D557" s="37" t="str">
        <x:v>Explicit closest grounding</x:v>
      </x:c>
      <x:c r="E557" s="37" t="str">
        <x:v>closest × airplane toy candidate category</x:v>
      </x:c>
      <x:c r="F557" s="37" t="str">
        <x:v>referential_airplane_toy_closest_explicit</x:v>
      </x:c>
      <x:c r="G557" s="37" t="str">
        <x:v>airplane×furthest; crushed-soda-can×closest; pencil-sharpener×between; pen fully crossed</x:v>
      </x:c>
      <x:c r="H557" s="37" t="str">
        <x:v>No</x:v>
      </x:c>
      <x:c r="I557" s="37" t="str">
        <x:v>Keep prompt</x:v>
      </x:c>
      <x:c r="J557" s="37" t="str">
        <x:v>No prompt change required under the missing-cell design.</x:v>
      </x:c>
      <x:c r="K557" s="37" t="str">
        <x:v>airplane toy with propellers, airplane toy without propellers, crushed Pepsi can, green pen</x:v>
      </x:c>
      <x:c r="L557" s="37" t="str">
        <x:v>airplane toy without propellers</x:v>
      </x:c>
      <x:c r="M557" s="37" t="str">
        <x:v>Home</x:v>
      </x:c>
      <x:c r="N557" s="37" t="str">
        <x:v>Move the airplane toy that is closest to the crushed Pepsi can into the bowl.</x:v>
      </x:c>
      <x:c r="O557" s="37" t="str"/>
      <x:c r="P557" s="37" t="str">
        <x:v>Explicitly grounds closest with airplane toy candidates; only the selected category-specific missing cell is withheld.</x:v>
      </x:c>
      <x:c r="Q557" s="38"/>
    </x:row>
    <x:row r="558" ht="60" customHeight="1">
      <x:c r="A558" s="70" t="n">
        <x:v>556</x:v>
      </x:c>
      <x:c r="B558" s="37" t="str">
        <x:v>Referential Disambiguation</x:v>
      </x:c>
      <x:c r="C558" s="37" t="str">
        <x:v>Move the airplane toy that is closest to the green pen into the bowl.</x:v>
      </x:c>
      <x:c r="D558" s="37" t="str">
        <x:v>Explicit closest grounding</x:v>
      </x:c>
      <x:c r="E558" s="37" t="str">
        <x:v>closest × airplane toy candidate category</x:v>
      </x:c>
      <x:c r="F558" s="37" t="str">
        <x:v>referential_airplane_toy_closest_explicit</x:v>
      </x:c>
      <x:c r="G558" s="37" t="str">
        <x:v>airplane×furthest; crushed-soda-can×closest; pencil-sharpener×between; pen fully crossed</x:v>
      </x:c>
      <x:c r="H558" s="37" t="str">
        <x:v>No</x:v>
      </x:c>
      <x:c r="I558" s="37" t="str">
        <x:v>Keep prompt</x:v>
      </x:c>
      <x:c r="J558" s="37" t="str">
        <x:v>No prompt change required under the missing-cell design.</x:v>
      </x:c>
      <x:c r="K558" s="37" t="str">
        <x:v>airplane toy with propellers, airplane toy without propellers, green pen</x:v>
      </x:c>
      <x:c r="L558" s="37" t="str">
        <x:v>airplane toy with propellers</x:v>
      </x:c>
      <x:c r="M558" s="37" t="str">
        <x:v>Home</x:v>
      </x:c>
      <x:c r="N558" s="37" t="str">
        <x:v>Move the airplane toy that is closest to the green pen into the bowl.</x:v>
      </x:c>
      <x:c r="O558" s="37" t="str"/>
      <x:c r="P558" s="37" t="str">
        <x:v>Explicitly grounds closest with airplane toy candidates; only the selected category-specific missing cell is withheld.</x:v>
      </x:c>
      <x:c r="Q558" s="38"/>
    </x:row>
    <x:row r="559" ht="60" customHeight="1">
      <x:c r="A559" s="70" t="n">
        <x:v>557</x:v>
      </x:c>
      <x:c r="B559" s="37" t="str">
        <x:v>Referential Disambiguation</x:v>
      </x:c>
      <x:c r="C559" s="37" t="str">
        <x:v>Pick up the airplane toy nearest to the yellow pen and place it in the bowl.</x:v>
      </x:c>
      <x:c r="D559" s="37" t="str">
        <x:v>Explicit closest grounding</x:v>
      </x:c>
      <x:c r="E559" s="37" t="str">
        <x:v>closest × airplane toy candidate category</x:v>
      </x:c>
      <x:c r="F559" s="37" t="str">
        <x:v>referential_airplane_toy_closest_explicit</x:v>
      </x:c>
      <x:c r="G559" s="37" t="str">
        <x:v>airplane×furthest; crushed-soda-can×closest; pencil-sharpener×between; pen fully crossed</x:v>
      </x:c>
      <x:c r="H559" s="37" t="str">
        <x:v>No</x:v>
      </x:c>
      <x:c r="I559" s="37" t="str">
        <x:v>Keep prompt</x:v>
      </x:c>
      <x:c r="J559" s="37" t="str">
        <x:v>No prompt change required under the missing-cell design.</x:v>
      </x:c>
      <x:c r="K559" s="37" t="str">
        <x:v>airplane toy with propellers, airplane toy without propellers, yellow pen, green pen</x:v>
      </x:c>
      <x:c r="L559" s="37" t="str">
        <x:v>airplane toy without propellers</x:v>
      </x:c>
      <x:c r="M559" s="37" t="str">
        <x:v>Home</x:v>
      </x:c>
      <x:c r="N559" s="37" t="str">
        <x:v>Pick up the airplane toy nearest to the yellow pen and place it in the bowl.</x:v>
      </x:c>
      <x:c r="O559" s="37" t="str"/>
      <x:c r="P559" s="37" t="str">
        <x:v>Explicitly grounds closest with airplane toy candidates; only the selected category-specific missing cell is withheld.</x:v>
      </x:c>
      <x:c r="Q559" s="38"/>
    </x:row>
    <x:row r="560" ht="60" customHeight="1">
      <x:c r="A560" s="70" t="n">
        <x:v>558</x:v>
      </x:c>
      <x:c r="B560" s="37" t="str">
        <x:v>Referential Disambiguation</x:v>
      </x:c>
      <x:c r="C560" s="37" t="str">
        <x:v>Move the airplane toy that is closest to the green pencil sharpener into the bowl.</x:v>
      </x:c>
      <x:c r="D560" s="37" t="str">
        <x:v>Explicit closest grounding</x:v>
      </x:c>
      <x:c r="E560" s="37" t="str">
        <x:v>closest × airplane toy candidate category</x:v>
      </x:c>
      <x:c r="F560" s="37" t="str">
        <x:v>referential_airplane_toy_closest_explicit</x:v>
      </x:c>
      <x:c r="G560" s="37" t="str">
        <x:v>airplane×furthest; crushed-soda-can×closest; pencil-sharpener×between; pen fully crossed</x:v>
      </x:c>
      <x:c r="H560" s="37" t="str">
        <x:v>No</x:v>
      </x:c>
      <x:c r="I560" s="37" t="str">
        <x:v>Keep prompt</x:v>
      </x:c>
      <x:c r="J560" s="37" t="str">
        <x:v>No prompt change required under the missing-cell design.</x:v>
      </x:c>
      <x:c r="K560" s="37" t="str">
        <x:v>airplane toy with propellers, airplane toy without propellers, green pencil sharpener</x:v>
      </x:c>
      <x:c r="L560" s="37" t="str">
        <x:v>airplane toy with propellers</x:v>
      </x:c>
      <x:c r="M560" s="37" t="str">
        <x:v>Home</x:v>
      </x:c>
      <x:c r="N560" s="37" t="str">
        <x:v>Move the airplane toy that is closest to the green pencil sharpener into the bowl.</x:v>
      </x:c>
      <x:c r="O560" s="37" t="str"/>
      <x:c r="P560" s="37" t="str">
        <x:v>Explicitly grounds closest with airplane toy candidates; only the selected category-specific missing cell is withheld.</x:v>
      </x:c>
      <x:c r="Q560" s="38"/>
    </x:row>
    <x:row r="561" ht="60" customHeight="1">
      <x:c r="A561" s="70" t="n">
        <x:v>559</x:v>
      </x:c>
      <x:c r="B561" s="37" t="str">
        <x:v>Referential Disambiguation</x:v>
      </x:c>
      <x:c r="C561" s="37" t="str">
        <x:v>Put the airplane toy closest to the red pencil sharpener in the bowl.</x:v>
      </x:c>
      <x:c r="D561" s="37" t="str">
        <x:v>Explicit closest grounding</x:v>
      </x:c>
      <x:c r="E561" s="37" t="str">
        <x:v>closest × airplane toy candidate category</x:v>
      </x:c>
      <x:c r="F561" s="37" t="str">
        <x:v>referential_airplane_toy_closest_explicit</x:v>
      </x:c>
      <x:c r="G561" s="37" t="str">
        <x:v>airplane×furthest; crushed-soda-can×closest; pencil-sharpener×between; pen fully crossed</x:v>
      </x:c>
      <x:c r="H561" s="37" t="str">
        <x:v>No</x:v>
      </x:c>
      <x:c r="I561" s="37" t="str">
        <x:v>Keep prompt</x:v>
      </x:c>
      <x:c r="J561" s="37" t="str">
        <x:v>No prompt change required under the missing-cell design.</x:v>
      </x:c>
      <x:c r="K561" s="37" t="str">
        <x:v>airplane toy with propellers, airplane toy without propellers, red pencil sharpener, green pen</x:v>
      </x:c>
      <x:c r="L561" s="37" t="str">
        <x:v>airplane toy without propellers</x:v>
      </x:c>
      <x:c r="M561" s="37" t="str">
        <x:v>Recovery</x:v>
      </x:c>
      <x:c r="N561" s="37" t="str">
        <x:v>Put the airplane toy closest to the red pencil sharpener in the bowl.</x:v>
      </x:c>
      <x:c r="O561" s="37" t="str"/>
      <x:c r="P561" s="37" t="str">
        <x:v>Explicitly grounds closest with airplane toy candidates; only the selected category-specific missing cell is withheld.</x:v>
      </x:c>
      <x:c r="Q561" s="38"/>
    </x:row>
    <x:row r="562" ht="60" customHeight="1">
      <x:c r="A562" s="70" t="n">
        <x:v>560</x:v>
      </x:c>
      <x:c r="B562" s="37" t="str">
        <x:v>Referential Disambiguation</x:v>
      </x:c>
      <x:c r="C562" s="37" t="str">
        <x:v>Move the airplane toy that is closest to the crushed Coke can into the bowl.</x:v>
      </x:c>
      <x:c r="D562" s="37" t="str">
        <x:v>Explicit closest grounding</x:v>
      </x:c>
      <x:c r="E562" s="37" t="str">
        <x:v>closest × airplane toy candidate category</x:v>
      </x:c>
      <x:c r="F562" s="37" t="str">
        <x:v>referential_airplane_toy_closest_explicit</x:v>
      </x:c>
      <x:c r="G562" s="37" t="str">
        <x:v>airplane×furthest; crushed-soda-can×closest; pencil-sharpener×between; pen fully crossed</x:v>
      </x:c>
      <x:c r="H562" s="37" t="str">
        <x:v>No</x:v>
      </x:c>
      <x:c r="I562" s="37" t="str">
        <x:v>Keep prompt</x:v>
      </x:c>
      <x:c r="J562" s="37" t="str">
        <x:v>No prompt change required under the missing-cell design.</x:v>
      </x:c>
      <x:c r="K562" s="37" t="str">
        <x:v>airplane toy with propellers, airplane toy without propellers, crushed Coke can</x:v>
      </x:c>
      <x:c r="L562" s="37" t="str">
        <x:v>airplane toy with propellers</x:v>
      </x:c>
      <x:c r="M562" s="37" t="str">
        <x:v>Home</x:v>
      </x:c>
      <x:c r="N562" s="37" t="str">
        <x:v>Move the airplane toy that is closest to the crushed Coke can into the bowl.</x:v>
      </x:c>
      <x:c r="O562" s="37" t="str"/>
      <x:c r="P562" s="37" t="str">
        <x:v>Explicitly grounds closest with airplane toy candidates; only the selected category-specific missing cell is withheld.</x:v>
      </x:c>
      <x:c r="Q562" s="38"/>
    </x:row>
    <x:row r="563" ht="60" customHeight="1">
      <x:c r="A563" s="70" t="n">
        <x:v>561</x:v>
      </x:c>
      <x:c r="B563" s="37" t="str">
        <x:v>Referential Disambiguation</x:v>
      </x:c>
      <x:c r="C563" s="37" t="str">
        <x:v>Pick up the airplane toy nearest to the crushed Pepsi can and place it in the bowl.</x:v>
      </x:c>
      <x:c r="D563" s="37" t="str">
        <x:v>Explicit closest grounding</x:v>
      </x:c>
      <x:c r="E563" s="37" t="str">
        <x:v>closest × airplane toy candidate category</x:v>
      </x:c>
      <x:c r="F563" s="37" t="str">
        <x:v>referential_airplane_toy_closest_explicit</x:v>
      </x:c>
      <x:c r="G563" s="37" t="str">
        <x:v>airplane×furthest; crushed-soda-can×closest; pencil-sharpener×between; pen fully crossed</x:v>
      </x:c>
      <x:c r="H563" s="37" t="str">
        <x:v>No</x:v>
      </x:c>
      <x:c r="I563" s="37" t="str">
        <x:v>Keep prompt</x:v>
      </x:c>
      <x:c r="J563" s="37" t="str">
        <x:v>No prompt change required under the missing-cell design.</x:v>
      </x:c>
      <x:c r="K563" s="37" t="str">
        <x:v>airplane toy with propellers, airplane toy without propellers, crushed Pepsi can, green pencil sharpener</x:v>
      </x:c>
      <x:c r="L563" s="37" t="str">
        <x:v>airplane toy without propellers</x:v>
      </x:c>
      <x:c r="M563" s="37" t="str">
        <x:v>Home</x:v>
      </x:c>
      <x:c r="N563" s="37" t="str">
        <x:v>Pick up the airplane toy nearest to the crushed Pepsi can and place it in the bowl.</x:v>
      </x:c>
      <x:c r="O563" s="37" t="str"/>
      <x:c r="P563" s="37" t="str">
        <x:v>Explicitly grounds closest with airplane toy candidates; only the selected category-specific missing cell is withheld.</x:v>
      </x:c>
      <x:c r="Q563" s="38"/>
    </x:row>
    <x:row r="564" ht="60" customHeight="1">
      <x:c r="A564" s="70" t="n">
        <x:v>562</x:v>
      </x:c>
      <x:c r="B564" s="37" t="str">
        <x:v>Referential Disambiguation</x:v>
      </x:c>
      <x:c r="C564" s="37" t="str">
        <x:v>Move the airplane toy that is closest to the green pen into the bowl.</x:v>
      </x:c>
      <x:c r="D564" s="37" t="str">
        <x:v>Explicit closest grounding</x:v>
      </x:c>
      <x:c r="E564" s="37" t="str">
        <x:v>closest × airplane toy candidate category</x:v>
      </x:c>
      <x:c r="F564" s="37" t="str">
        <x:v>referential_airplane_toy_closest_explicit</x:v>
      </x:c>
      <x:c r="G564" s="37" t="str">
        <x:v>airplane×furthest; crushed-soda-can×closest; pencil-sharpener×between; pen fully crossed</x:v>
      </x:c>
      <x:c r="H564" s="37" t="str">
        <x:v>No</x:v>
      </x:c>
      <x:c r="I564" s="37" t="str">
        <x:v>Keep prompt</x:v>
      </x:c>
      <x:c r="J564" s="37" t="str">
        <x:v>No prompt change required under the missing-cell design.</x:v>
      </x:c>
      <x:c r="K564" s="37" t="str">
        <x:v>airplane toy with propellers, airplane toy without propellers, green pen</x:v>
      </x:c>
      <x:c r="L564" s="37" t="str">
        <x:v>airplane toy with propellers</x:v>
      </x:c>
      <x:c r="M564" s="37" t="str">
        <x:v>Home</x:v>
      </x:c>
      <x:c r="N564" s="37" t="str">
        <x:v>Move the airplane toy that is closest to the green pen into the bowl.</x:v>
      </x:c>
      <x:c r="O564" s="37" t="str"/>
      <x:c r="P564" s="37" t="str">
        <x:v>Explicitly grounds closest with airplane toy candidates; only the selected category-specific missing cell is withheld.</x:v>
      </x:c>
      <x:c r="Q564" s="38"/>
    </x:row>
    <x:row r="565" ht="60" customHeight="1">
      <x:c r="A565" s="70" t="n">
        <x:v>563</x:v>
      </x:c>
      <x:c r="B565" s="37" t="str">
        <x:v>Referential Disambiguation</x:v>
      </x:c>
      <x:c r="C565" s="37" t="str">
        <x:v>Move the airplane toy that is closest to the yellow pen into the bowl.</x:v>
      </x:c>
      <x:c r="D565" s="37" t="str">
        <x:v>Explicit closest grounding</x:v>
      </x:c>
      <x:c r="E565" s="37" t="str">
        <x:v>closest × airplane toy candidate category</x:v>
      </x:c>
      <x:c r="F565" s="37" t="str">
        <x:v>referential_airplane_toy_closest_explicit</x:v>
      </x:c>
      <x:c r="G565" s="37" t="str">
        <x:v>airplane×furthest; crushed-soda-can×closest; pencil-sharpener×between; pen fully crossed</x:v>
      </x:c>
      <x:c r="H565" s="37" t="str">
        <x:v>No</x:v>
      </x:c>
      <x:c r="I565" s="37" t="str">
        <x:v>Keep prompt</x:v>
      </x:c>
      <x:c r="J565" s="37" t="str">
        <x:v>No prompt change required under the missing-cell design.</x:v>
      </x:c>
      <x:c r="K565" s="37" t="str">
        <x:v>airplane toy with propellers, airplane toy without propellers, yellow pen, green pencil sharpener</x:v>
      </x:c>
      <x:c r="L565" s="37" t="str">
        <x:v>airplane toy without propellers</x:v>
      </x:c>
      <x:c r="M565" s="37" t="str">
        <x:v>Home</x:v>
      </x:c>
      <x:c r="N565" s="37" t="str">
        <x:v>Move the airplane toy that is closest to the yellow pen into the bowl.</x:v>
      </x:c>
      <x:c r="O565" s="37" t="str"/>
      <x:c r="P565" s="37" t="str">
        <x:v>Explicitly grounds closest with airplane toy candidates; only the selected category-specific missing cell is withheld.</x:v>
      </x:c>
      <x:c r="Q565" s="38"/>
    </x:row>
    <x:row r="566" ht="60" customHeight="1">
      <x:c r="A566" s="70" t="n">
        <x:v>564</x:v>
      </x:c>
      <x:c r="B566" s="37" t="str">
        <x:v>Referential Disambiguation</x:v>
      </x:c>
      <x:c r="C566" s="37" t="str">
        <x:v>Put the airplane toy closest to the green pencil sharpener in the bowl.</x:v>
      </x:c>
      <x:c r="D566" s="37" t="str">
        <x:v>Explicit closest grounding</x:v>
      </x:c>
      <x:c r="E566" s="37" t="str">
        <x:v>closest × airplane toy candidate category</x:v>
      </x:c>
      <x:c r="F566" s="37" t="str">
        <x:v>referential_airplane_toy_closest_explicit</x:v>
      </x:c>
      <x:c r="G566" s="37" t="str">
        <x:v>airplane×furthest; crushed-soda-can×closest; pencil-sharpener×between; pen fully crossed</x:v>
      </x:c>
      <x:c r="H566" s="37" t="str">
        <x:v>No</x:v>
      </x:c>
      <x:c r="I566" s="37" t="str">
        <x:v>Keep prompt</x:v>
      </x:c>
      <x:c r="J566" s="37" t="str">
        <x:v>No prompt change required under the missing-cell design.</x:v>
      </x:c>
      <x:c r="K566" s="37" t="str">
        <x:v>airplane toy with propellers, airplane toy without propellers, green pencil sharpener, red pencil sharpener</x:v>
      </x:c>
      <x:c r="L566" s="37" t="str">
        <x:v>airplane toy with propellers</x:v>
      </x:c>
      <x:c r="M566" s="37" t="str">
        <x:v>Recovery</x:v>
      </x:c>
      <x:c r="N566" s="37" t="str">
        <x:v>Put the airplane toy closest to the green pencil sharpener in the bowl.</x:v>
      </x:c>
      <x:c r="O566" s="37" t="str"/>
      <x:c r="P566" s="37" t="str">
        <x:v>Explicitly grounds closest with airplane toy candidates; only the selected category-specific missing cell is withheld.</x:v>
      </x:c>
      <x:c r="Q566" s="38"/>
    </x:row>
    <x:row r="567" ht="60" customHeight="1">
      <x:c r="A567" s="70" t="n">
        <x:v>565</x:v>
      </x:c>
      <x:c r="B567" s="37" t="str">
        <x:v>Referential Disambiguation</x:v>
      </x:c>
      <x:c r="C567" s="37" t="str">
        <x:v>Pick up the airplane toy without propellers and place it in the bowl.</x:v>
      </x:c>
      <x:c r="D567" s="37" t="str">
        <x:v>Masked relation × candidate-category composition</x:v>
      </x:c>
      <x:c r="E567" s="37" t="str">
        <x:v>direct identity=airplane toy without propellers; hidden relation=furthest; candidate category=airplane toy</x:v>
      </x:c>
      <x:c r="F567" s="37" t="str">
        <x:v>referential_airplane_toy_furthest_masked</x:v>
      </x:c>
      <x:c r="G567" s="37" t="str">
        <x:v>airplane×furthest; crushed-soda-can×closest; pencil-sharpener×between; pen fully crossed</x:v>
      </x:c>
      <x:c r="H567" s="37" t="str">
        <x:v>No</x:v>
      </x:c>
      <x:c r="I567" s="37" t="str">
        <x:v>Keep prompt</x:v>
      </x:c>
      <x:c r="J567" s="37" t="str">
        <x:v>No prompt change required under the missing-cell design.</x:v>
      </x:c>
      <x:c r="K567" s="37" t="str">
        <x:v>airplane toy with propellers, airplane toy without propellers, green pencil sharpener</x:v>
      </x:c>
      <x:c r="L567" s="37" t="str">
        <x:v>airplane toy without propellers</x:v>
      </x:c>
      <x:c r="M567" s="37" t="str">
        <x:v>Home</x:v>
      </x:c>
      <x:c r="N567" s="37" t="str">
        <x:v>Pick up the airplane toy without propellers and place it in the bowl.</x:v>
      </x:c>
      <x:c r="O567" s="37" t="str">
        <x:v>Pick up the airplane toy furthest from the green pencil sharpener and place it in the bowl.</x:v>
      </x:c>
      <x:c r="P567" s="37" t="str">
        <x:v>The airplane toy is still named and manipulated directly, but furthest is never used to select this candidate category during training.</x:v>
      </x:c>
      <x:c r="Q567" s="38"/>
    </x:row>
    <x:row r="568" ht="60" customHeight="1">
      <x:c r="A568" s="70" t="n">
        <x:v>566</x:v>
      </x:c>
      <x:c r="B568" s="37" t="str">
        <x:v>Referential Disambiguation</x:v>
      </x:c>
      <x:c r="C568" s="37" t="str">
        <x:v>Put the airplane toy with propellers in the bowl.</x:v>
      </x:c>
      <x:c r="D568" s="37" t="str">
        <x:v>Masked relation × candidate-category composition</x:v>
      </x:c>
      <x:c r="E568" s="37" t="str">
        <x:v>direct identity=airplane toy with propellers; hidden relation=furthest; candidate category=airplane toy</x:v>
      </x:c>
      <x:c r="F568" s="37" t="str">
        <x:v>referential_airplane_toy_furthest_masked</x:v>
      </x:c>
      <x:c r="G568" s="37" t="str">
        <x:v>airplane×furthest; crushed-soda-can×closest; pencil-sharpener×between; pen fully crossed</x:v>
      </x:c>
      <x:c r="H568" s="37" t="str">
        <x:v>No</x:v>
      </x:c>
      <x:c r="I568" s="37" t="str">
        <x:v>Keep prompt</x:v>
      </x:c>
      <x:c r="J568" s="37" t="str">
        <x:v>No prompt change required under the missing-cell design.</x:v>
      </x:c>
      <x:c r="K568" s="37" t="str">
        <x:v>airplane toy with propellers, airplane toy without propellers, red pencil sharpener, yellow pen</x:v>
      </x:c>
      <x:c r="L568" s="37" t="str">
        <x:v>airplane toy with propellers</x:v>
      </x:c>
      <x:c r="M568" s="37" t="str">
        <x:v>Home</x:v>
      </x:c>
      <x:c r="N568" s="37" t="str">
        <x:v>Put the airplane toy with propellers in the bowl.</x:v>
      </x:c>
      <x:c r="O568" s="37" t="str">
        <x:v>Pick up the airplane toy furthest from the red pencil sharpener and place it in the bowl.</x:v>
      </x:c>
      <x:c r="P568" s="37" t="str">
        <x:v>The airplane toy is still named and manipulated directly, but furthest is never used to select this candidate category during training.</x:v>
      </x:c>
      <x:c r="Q568" s="38"/>
    </x:row>
    <x:row r="569" ht="60" customHeight="1">
      <x:c r="A569" s="70" t="n">
        <x:v>567</x:v>
      </x:c>
      <x:c r="B569" s="37" t="str">
        <x:v>Referential Disambiguation</x:v>
      </x:c>
      <x:c r="C569" s="37" t="str">
        <x:v>Put the airplane toy without propellers in the bowl.</x:v>
      </x:c>
      <x:c r="D569" s="37" t="str">
        <x:v>Masked relation × candidate-category composition</x:v>
      </x:c>
      <x:c r="E569" s="37" t="str">
        <x:v>direct identity=airplane toy without propellers; hidden relation=furthest; candidate category=airplane toy</x:v>
      </x:c>
      <x:c r="F569" s="37" t="str">
        <x:v>referential_airplane_toy_furthest_masked</x:v>
      </x:c>
      <x:c r="G569" s="37" t="str">
        <x:v>airplane×furthest; crushed-soda-can×closest; pencil-sharpener×between; pen fully crossed</x:v>
      </x:c>
      <x:c r="H569" s="37" t="str">
        <x:v>No</x:v>
      </x:c>
      <x:c r="I569" s="37" t="str">
        <x:v>Keep prompt</x:v>
      </x:c>
      <x:c r="J569" s="37" t="str">
        <x:v>No prompt change required under the missing-cell design.</x:v>
      </x:c>
      <x:c r="K569" s="37" t="str">
        <x:v>airplane toy with propellers, airplane toy without propellers, crushed Coke can</x:v>
      </x:c>
      <x:c r="L569" s="37" t="str">
        <x:v>airplane toy without propellers</x:v>
      </x:c>
      <x:c r="M569" s="37" t="str">
        <x:v>Home</x:v>
      </x:c>
      <x:c r="N569" s="37" t="str">
        <x:v>Put the airplane toy without propellers in the bowl.</x:v>
      </x:c>
      <x:c r="O569" s="37" t="str">
        <x:v>Pick up the airplane toy furthest from the crushed Coke can and place it in the bowl.</x:v>
      </x:c>
      <x:c r="P569" s="37" t="str">
        <x:v>The airplane toy is still named and manipulated directly, but furthest is never used to select this candidate category during training.</x:v>
      </x:c>
      <x:c r="Q569" s="38"/>
    </x:row>
    <x:row r="570" ht="60" customHeight="1">
      <x:c r="A570" s="70" t="n">
        <x:v>568</x:v>
      </x:c>
      <x:c r="B570" s="37" t="str">
        <x:v>Referential Disambiguation</x:v>
      </x:c>
      <x:c r="C570" s="37" t="str">
        <x:v>Move the airplane toy with propellers into the bowl.</x:v>
      </x:c>
      <x:c r="D570" s="37" t="str">
        <x:v>Masked relation × candidate-category composition</x:v>
      </x:c>
      <x:c r="E570" s="37" t="str">
        <x:v>direct identity=airplane toy with propellers; hidden relation=furthest; candidate category=airplane toy</x:v>
      </x:c>
      <x:c r="F570" s="37" t="str">
        <x:v>referential_airplane_toy_furthest_masked</x:v>
      </x:c>
      <x:c r="G570" s="37" t="str">
        <x:v>airplane×furthest; crushed-soda-can×closest; pencil-sharpener×between; pen fully crossed</x:v>
      </x:c>
      <x:c r="H570" s="37" t="str">
        <x:v>No</x:v>
      </x:c>
      <x:c r="I570" s="37" t="str">
        <x:v>Keep prompt</x:v>
      </x:c>
      <x:c r="J570" s="37" t="str">
        <x:v>No prompt change required under the missing-cell design.</x:v>
      </x:c>
      <x:c r="K570" s="37" t="str">
        <x:v>airplane toy with propellers, airplane toy without propellers, crushed Pepsi can, red pencil sharpener</x:v>
      </x:c>
      <x:c r="L570" s="37" t="str">
        <x:v>airplane toy with propellers</x:v>
      </x:c>
      <x:c r="M570" s="37" t="str">
        <x:v>Recovery</x:v>
      </x:c>
      <x:c r="N570" s="37" t="str">
        <x:v>Move the airplane toy with propellers into the bowl.</x:v>
      </x:c>
      <x:c r="O570" s="37" t="str">
        <x:v>Pick up the airplane toy furthest from the crushed Pepsi can and place it in the bowl.</x:v>
      </x:c>
      <x:c r="P570" s="37" t="str">
        <x:v>The airplane toy is still named and manipulated directly, but furthest is never used to select this candidate category during training.</x:v>
      </x:c>
      <x:c r="Q570" s="38"/>
    </x:row>
    <x:row r="571" ht="60" customHeight="1">
      <x:c r="A571" s="70" t="n">
        <x:v>569</x:v>
      </x:c>
      <x:c r="B571" s="37" t="str">
        <x:v>Referential Disambiguation</x:v>
      </x:c>
      <x:c r="C571" s="37" t="str">
        <x:v>Put the airplane toy without propellers in the bowl.</x:v>
      </x:c>
      <x:c r="D571" s="37" t="str">
        <x:v>Masked relation × candidate-category composition</x:v>
      </x:c>
      <x:c r="E571" s="37" t="str">
        <x:v>direct identity=airplane toy without propellers; hidden relation=furthest; candidate category=airplane toy</x:v>
      </x:c>
      <x:c r="F571" s="37" t="str">
        <x:v>referential_airplane_toy_furthest_masked</x:v>
      </x:c>
      <x:c r="G571" s="37" t="str">
        <x:v>airplane×furthest; crushed-soda-can×closest; pencil-sharpener×between; pen fully crossed</x:v>
      </x:c>
      <x:c r="H571" s="37" t="str">
        <x:v>No</x:v>
      </x:c>
      <x:c r="I571" s="37" t="str">
        <x:v>Keep prompt</x:v>
      </x:c>
      <x:c r="J571" s="37" t="str">
        <x:v>No prompt change required under the missing-cell design.</x:v>
      </x:c>
      <x:c r="K571" s="37" t="str">
        <x:v>airplane toy with propellers, airplane toy without propellers, green pen</x:v>
      </x:c>
      <x:c r="L571" s="37" t="str">
        <x:v>airplane toy without propellers</x:v>
      </x:c>
      <x:c r="M571" s="37" t="str">
        <x:v>Home</x:v>
      </x:c>
      <x:c r="N571" s="37" t="str">
        <x:v>Put the airplane toy without propellers in the bowl.</x:v>
      </x:c>
      <x:c r="O571" s="37" t="str">
        <x:v>Pick up the airplane toy furthest from the green pen and place it in the bowl.</x:v>
      </x:c>
      <x:c r="P571" s="37" t="str">
        <x:v>The airplane toy is still named and manipulated directly, but furthest is never used to select this candidate category during training.</x:v>
      </x:c>
      <x:c r="Q571" s="38"/>
    </x:row>
    <x:row r="572" ht="60" customHeight="1">
      <x:c r="A572" s="70" t="n">
        <x:v>570</x:v>
      </x:c>
      <x:c r="B572" s="37" t="str">
        <x:v>Referential Disambiguation</x:v>
      </x:c>
      <x:c r="C572" s="37" t="str">
        <x:v>Put the airplane toy with propellers in the bowl.</x:v>
      </x:c>
      <x:c r="D572" s="37" t="str">
        <x:v>Masked relation × candidate-category composition</x:v>
      </x:c>
      <x:c r="E572" s="37" t="str">
        <x:v>direct identity=airplane toy with propellers; hidden relation=furthest; candidate category=airplane toy</x:v>
      </x:c>
      <x:c r="F572" s="37" t="str">
        <x:v>referential_airplane_toy_furthest_masked</x:v>
      </x:c>
      <x:c r="G572" s="37" t="str">
        <x:v>airplane×furthest; crushed-soda-can×closest; pencil-sharpener×between; pen fully crossed</x:v>
      </x:c>
      <x:c r="H572" s="37" t="str">
        <x:v>No</x:v>
      </x:c>
      <x:c r="I572" s="37" t="str">
        <x:v>Keep prompt</x:v>
      </x:c>
      <x:c r="J572" s="37" t="str">
        <x:v>No prompt change required under the missing-cell design.</x:v>
      </x:c>
      <x:c r="K572" s="37" t="str">
        <x:v>airplane toy with propellers, airplane toy without propellers, yellow pen, green pen</x:v>
      </x:c>
      <x:c r="L572" s="37" t="str">
        <x:v>airplane toy with propellers</x:v>
      </x:c>
      <x:c r="M572" s="37" t="str">
        <x:v>Home</x:v>
      </x:c>
      <x:c r="N572" s="37" t="str">
        <x:v>Put the airplane toy with propellers in the bowl.</x:v>
      </x:c>
      <x:c r="O572" s="37" t="str">
        <x:v>Pick up the airplane toy furthest from the yellow pen and place it in the bowl.</x:v>
      </x:c>
      <x:c r="P572" s="37" t="str">
        <x:v>The airplane toy is still named and manipulated directly, but furthest is never used to select this candidate category during training.</x:v>
      </x:c>
      <x:c r="Q572" s="38"/>
    </x:row>
    <x:row r="573" ht="60" customHeight="1">
      <x:c r="A573" s="70" t="n">
        <x:v>571</x:v>
      </x:c>
      <x:c r="B573" s="37" t="str">
        <x:v>Referential Disambiguation</x:v>
      </x:c>
      <x:c r="C573" s="37" t="str">
        <x:v>Move the airplane toy without propellers into the bowl.</x:v>
      </x:c>
      <x:c r="D573" s="37" t="str">
        <x:v>Masked relation × candidate-category composition</x:v>
      </x:c>
      <x:c r="E573" s="37" t="str">
        <x:v>direct identity=airplane toy without propellers; hidden relation=furthest; candidate category=airplane toy</x:v>
      </x:c>
      <x:c r="F573" s="37" t="str">
        <x:v>referential_airplane_toy_furthest_masked</x:v>
      </x:c>
      <x:c r="G573" s="37" t="str">
        <x:v>airplane×furthest; crushed-soda-can×closest; pencil-sharpener×between; pen fully crossed</x:v>
      </x:c>
      <x:c r="H573" s="37" t="str">
        <x:v>No</x:v>
      </x:c>
      <x:c r="I573" s="37" t="str">
        <x:v>Keep prompt</x:v>
      </x:c>
      <x:c r="J573" s="37" t="str">
        <x:v>No prompt change required under the missing-cell design.</x:v>
      </x:c>
      <x:c r="K573" s="37" t="str">
        <x:v>airplane toy with propellers, airplane toy without propellers, green pencil sharpener</x:v>
      </x:c>
      <x:c r="L573" s="37" t="str">
        <x:v>airplane toy without propellers</x:v>
      </x:c>
      <x:c r="M573" s="37" t="str">
        <x:v>Home</x:v>
      </x:c>
      <x:c r="N573" s="37" t="str">
        <x:v>Move the airplane toy without propellers into the bowl.</x:v>
      </x:c>
      <x:c r="O573" s="37" t="str">
        <x:v>Pick up the airplane toy furthest from the green pencil sharpener and place it in the bowl.</x:v>
      </x:c>
      <x:c r="P573" s="37" t="str">
        <x:v>The airplane toy is still named and manipulated directly, but furthest is never used to select this candidate category during training.</x:v>
      </x:c>
      <x:c r="Q573" s="38"/>
    </x:row>
    <x:row r="574" ht="60" customHeight="1">
      <x:c r="A574" s="70" t="n">
        <x:v>572</x:v>
      </x:c>
      <x:c r="B574" s="37" t="str">
        <x:v>Referential Disambiguation</x:v>
      </x:c>
      <x:c r="C574" s="37" t="str">
        <x:v>Move the airplane toy with propellers into the bowl.</x:v>
      </x:c>
      <x:c r="D574" s="37" t="str">
        <x:v>Masked relation × candidate-category composition</x:v>
      </x:c>
      <x:c r="E574" s="37" t="str">
        <x:v>direct identity=airplane toy with propellers; hidden relation=furthest; candidate category=airplane toy</x:v>
      </x:c>
      <x:c r="F574" s="37" t="str">
        <x:v>referential_airplane_toy_furthest_masked</x:v>
      </x:c>
      <x:c r="G574" s="37" t="str">
        <x:v>airplane×furthest; crushed-soda-can×closest; pencil-sharpener×between; pen fully crossed</x:v>
      </x:c>
      <x:c r="H574" s="37" t="str">
        <x:v>No</x:v>
      </x:c>
      <x:c r="I574" s="37" t="str">
        <x:v>Keep prompt</x:v>
      </x:c>
      <x:c r="J574" s="37" t="str">
        <x:v>No prompt change required under the missing-cell design.</x:v>
      </x:c>
      <x:c r="K574" s="37" t="str">
        <x:v>airplane toy with propellers, airplane toy without propellers, red pencil sharpener, crushed Pepsi can</x:v>
      </x:c>
      <x:c r="L574" s="37" t="str">
        <x:v>airplane toy with propellers</x:v>
      </x:c>
      <x:c r="M574" s="37" t="str">
        <x:v>Home</x:v>
      </x:c>
      <x:c r="N574" s="37" t="str">
        <x:v>Move the airplane toy with propellers into the bowl.</x:v>
      </x:c>
      <x:c r="O574" s="37" t="str">
        <x:v>Pick up the airplane toy furthest from the red pencil sharpener and place it in the bowl.</x:v>
      </x:c>
      <x:c r="P574" s="37" t="str">
        <x:v>The airplane toy is still named and manipulated directly, but furthest is never used to select this candidate category during training.</x:v>
      </x:c>
      <x:c r="Q574" s="38"/>
    </x:row>
    <x:row r="575" ht="60" customHeight="1">
      <x:c r="A575" s="70" t="n">
        <x:v>573</x:v>
      </x:c>
      <x:c r="B575" s="37" t="str">
        <x:v>Referential Disambiguation</x:v>
      </x:c>
      <x:c r="C575" s="37" t="str">
        <x:v>Put the airplane toy without propellers in the bowl.</x:v>
      </x:c>
      <x:c r="D575" s="37" t="str">
        <x:v>Masked relation × candidate-category composition</x:v>
      </x:c>
      <x:c r="E575" s="37" t="str">
        <x:v>direct identity=airplane toy without propellers; hidden relation=furthest; candidate category=airplane toy</x:v>
      </x:c>
      <x:c r="F575" s="37" t="str">
        <x:v>referential_airplane_toy_furthest_masked</x:v>
      </x:c>
      <x:c r="G575" s="37" t="str">
        <x:v>airplane×furthest; crushed-soda-can×closest; pencil-sharpener×between; pen fully crossed</x:v>
      </x:c>
      <x:c r="H575" s="37" t="str">
        <x:v>No</x:v>
      </x:c>
      <x:c r="I575" s="37" t="str">
        <x:v>Keep prompt</x:v>
      </x:c>
      <x:c r="J575" s="37" t="str">
        <x:v>No prompt change required under the missing-cell design.</x:v>
      </x:c>
      <x:c r="K575" s="37" t="str">
        <x:v>airplane toy with propellers, airplane toy without propellers, crushed Coke can</x:v>
      </x:c>
      <x:c r="L575" s="37" t="str">
        <x:v>airplane toy without propellers</x:v>
      </x:c>
      <x:c r="M575" s="37" t="str">
        <x:v>Recovery</x:v>
      </x:c>
      <x:c r="N575" s="37" t="str">
        <x:v>Put the airplane toy without propellers in the bowl.</x:v>
      </x:c>
      <x:c r="O575" s="37" t="str">
        <x:v>Pick up the airplane toy furthest from the crushed Coke can and place it in the bowl.</x:v>
      </x:c>
      <x:c r="P575" s="37" t="str">
        <x:v>The airplane toy is still named and manipulated directly, but furthest is never used to select this candidate category during training.</x:v>
      </x:c>
      <x:c r="Q575" s="38"/>
    </x:row>
    <x:row r="576" ht="60" customHeight="1">
      <x:c r="A576" s="70" t="n">
        <x:v>574</x:v>
      </x:c>
      <x:c r="B576" s="37" t="str">
        <x:v>Referential Disambiguation</x:v>
      </x:c>
      <x:c r="C576" s="37" t="str">
        <x:v>Put the airplane toy with propellers in the bowl.</x:v>
      </x:c>
      <x:c r="D576" s="37" t="str">
        <x:v>Masked relation × candidate-category composition</x:v>
      </x:c>
      <x:c r="E576" s="37" t="str">
        <x:v>direct identity=airplane toy with propellers; hidden relation=furthest; candidate category=airplane toy</x:v>
      </x:c>
      <x:c r="F576" s="37" t="str">
        <x:v>referential_airplane_toy_furthest_masked</x:v>
      </x:c>
      <x:c r="G576" s="37" t="str">
        <x:v>airplane×furthest; crushed-soda-can×closest; pencil-sharpener×between; pen fully crossed</x:v>
      </x:c>
      <x:c r="H576" s="37" t="str">
        <x:v>No</x:v>
      </x:c>
      <x:c r="I576" s="37" t="str">
        <x:v>Keep prompt</x:v>
      </x:c>
      <x:c r="J576" s="37" t="str">
        <x:v>No prompt change required under the missing-cell design.</x:v>
      </x:c>
      <x:c r="K576" s="37" t="str">
        <x:v>airplane toy with propellers, airplane toy without propellers, crushed Pepsi can, yellow pen</x:v>
      </x:c>
      <x:c r="L576" s="37" t="str">
        <x:v>airplane toy with propellers</x:v>
      </x:c>
      <x:c r="M576" s="37" t="str">
        <x:v>Home</x:v>
      </x:c>
      <x:c r="N576" s="37" t="str">
        <x:v>Put the airplane toy with propellers in the bowl.</x:v>
      </x:c>
      <x:c r="O576" s="37" t="str">
        <x:v>Pick up the airplane toy furthest from the crushed Pepsi can and place it in the bowl.</x:v>
      </x:c>
      <x:c r="P576" s="37" t="str">
        <x:v>The airplane toy is still named and manipulated directly, but furthest is never used to select this candidate category during training.</x:v>
      </x:c>
      <x:c r="Q576" s="38"/>
    </x:row>
    <x:row r="577" ht="60" customHeight="1">
      <x:c r="A577" s="70" t="n">
        <x:v>575</x:v>
      </x:c>
      <x:c r="B577" s="37" t="str">
        <x:v>Referential Disambiguation</x:v>
      </x:c>
      <x:c r="C577" s="37" t="str">
        <x:v>Pick up the airplane toy without propellers and place it in the bowl.</x:v>
      </x:c>
      <x:c r="D577" s="37" t="str">
        <x:v>Masked relation × candidate-category composition</x:v>
      </x:c>
      <x:c r="E577" s="37" t="str">
        <x:v>direct identity=airplane toy without propellers; hidden relation=furthest; candidate category=airplane toy</x:v>
      </x:c>
      <x:c r="F577" s="37" t="str">
        <x:v>referential_airplane_toy_furthest_masked</x:v>
      </x:c>
      <x:c r="G577" s="37" t="str">
        <x:v>airplane×furthest; crushed-soda-can×closest; pencil-sharpener×between; pen fully crossed</x:v>
      </x:c>
      <x:c r="H577" s="37" t="str">
        <x:v>No</x:v>
      </x:c>
      <x:c r="I577" s="37" t="str">
        <x:v>Keep prompt</x:v>
      </x:c>
      <x:c r="J577" s="37" t="str">
        <x:v>No prompt change required under the missing-cell design.</x:v>
      </x:c>
      <x:c r="K577" s="37" t="str">
        <x:v>airplane toy with propellers, airplane toy without propellers, green pen</x:v>
      </x:c>
      <x:c r="L577" s="37" t="str">
        <x:v>airplane toy without propellers</x:v>
      </x:c>
      <x:c r="M577" s="37" t="str">
        <x:v>Home</x:v>
      </x:c>
      <x:c r="N577" s="37" t="str">
        <x:v>Pick up the airplane toy without propellers and place it in the bowl.</x:v>
      </x:c>
      <x:c r="O577" s="37" t="str">
        <x:v>Pick up the airplane toy furthest from the green pen and place it in the bowl.</x:v>
      </x:c>
      <x:c r="P577" s="37" t="str">
        <x:v>The airplane toy is still named and manipulated directly, but furthest is never used to select this candidate category during training.</x:v>
      </x:c>
      <x:c r="Q577" s="38"/>
    </x:row>
    <x:row r="578" ht="60" customHeight="1">
      <x:c r="A578" s="70" t="n">
        <x:v>576</x:v>
      </x:c>
      <x:c r="B578" s="37" t="str">
        <x:v>Referential Disambiguation</x:v>
      </x:c>
      <x:c r="C578" s="37" t="str">
        <x:v>Pick up the airplane toy with propellers and place it in the bowl.</x:v>
      </x:c>
      <x:c r="D578" s="37" t="str">
        <x:v>Masked relation × candidate-category composition</x:v>
      </x:c>
      <x:c r="E578" s="37" t="str">
        <x:v>direct identity=airplane toy with propellers; hidden relation=furthest; candidate category=airplane toy</x:v>
      </x:c>
      <x:c r="F578" s="37" t="str">
        <x:v>referential_airplane_toy_furthest_masked</x:v>
      </x:c>
      <x:c r="G578" s="37" t="str">
        <x:v>airplane×furthest; crushed-soda-can×closest; pencil-sharpener×between; pen fully crossed</x:v>
      </x:c>
      <x:c r="H578" s="37" t="str">
        <x:v>No</x:v>
      </x:c>
      <x:c r="I578" s="37" t="str">
        <x:v>Keep prompt</x:v>
      </x:c>
      <x:c r="J578" s="37" t="str">
        <x:v>No prompt change required under the missing-cell design.</x:v>
      </x:c>
      <x:c r="K578" s="37" t="str">
        <x:v>airplane toy with propellers, airplane toy without propellers, yellow pen, crushed Pepsi can</x:v>
      </x:c>
      <x:c r="L578" s="37" t="str">
        <x:v>airplane toy with propellers</x:v>
      </x:c>
      <x:c r="M578" s="37" t="str">
        <x:v>Home</x:v>
      </x:c>
      <x:c r="N578" s="37" t="str">
        <x:v>Pick up the airplane toy with propellers and place it in the bowl.</x:v>
      </x:c>
      <x:c r="O578" s="37" t="str">
        <x:v>Pick up the airplane toy furthest from the yellow pen and place it in the bowl.</x:v>
      </x:c>
      <x:c r="P578" s="37" t="str">
        <x:v>The airplane toy is still named and manipulated directly, but furthest is never used to select this candidate category during training.</x:v>
      </x:c>
      <x:c r="Q578" s="38"/>
    </x:row>
    <x:row r="579" ht="60" customHeight="1">
      <x:c r="A579" s="70" t="n">
        <x:v>577</x:v>
      </x:c>
      <x:c r="B579" s="37" t="str">
        <x:v>Referential Disambiguation</x:v>
      </x:c>
      <x:c r="C579" s="37" t="str">
        <x:v>Move the airplane toy without propellers into the bowl.</x:v>
      </x:c>
      <x:c r="D579" s="37" t="str">
        <x:v>Masked relation × candidate-category composition</x:v>
      </x:c>
      <x:c r="E579" s="37" t="str">
        <x:v>direct identity=airplane toy without propellers; hidden relation=furthest; candidate category=airplane toy</x:v>
      </x:c>
      <x:c r="F579" s="37" t="str">
        <x:v>referential_airplane_toy_furthest_masked</x:v>
      </x:c>
      <x:c r="G579" s="37" t="str">
        <x:v>airplane×furthest; crushed-soda-can×closest; pencil-sharpener×between; pen fully crossed</x:v>
      </x:c>
      <x:c r="H579" s="37" t="str">
        <x:v>No</x:v>
      </x:c>
      <x:c r="I579" s="37" t="str">
        <x:v>Keep prompt</x:v>
      </x:c>
      <x:c r="J579" s="37" t="str">
        <x:v>No prompt change required under the missing-cell design.</x:v>
      </x:c>
      <x:c r="K579" s="37" t="str">
        <x:v>airplane toy with propellers, airplane toy without propellers, green pencil sharpener</x:v>
      </x:c>
      <x:c r="L579" s="37" t="str">
        <x:v>airplane toy without propellers</x:v>
      </x:c>
      <x:c r="M579" s="37" t="str">
        <x:v>Home</x:v>
      </x:c>
      <x:c r="N579" s="37" t="str">
        <x:v>Move the airplane toy without propellers into the bowl.</x:v>
      </x:c>
      <x:c r="O579" s="37" t="str">
        <x:v>Pick up the airplane toy furthest from the green pencil sharpener and place it in the bowl.</x:v>
      </x:c>
      <x:c r="P579" s="37" t="str">
        <x:v>The airplane toy is still named and manipulated directly, but furthest is never used to select this candidate category during training.</x:v>
      </x:c>
      <x:c r="Q579" s="38"/>
    </x:row>
    <x:row r="580" ht="60" customHeight="1">
      <x:c r="A580" s="70" t="n">
        <x:v>578</x:v>
      </x:c>
      <x:c r="B580" s="37" t="str">
        <x:v>Referential Disambiguation</x:v>
      </x:c>
      <x:c r="C580" s="37" t="str">
        <x:v>Pick up the airplane toy with propellers and place it in the bowl.</x:v>
      </x:c>
      <x:c r="D580" s="37" t="str">
        <x:v>Masked relation × candidate-category composition</x:v>
      </x:c>
      <x:c r="E580" s="37" t="str">
        <x:v>direct identity=airplane toy with propellers; hidden relation=furthest; candidate category=airplane toy</x:v>
      </x:c>
      <x:c r="F580" s="37" t="str">
        <x:v>referential_airplane_toy_furthest_masked</x:v>
      </x:c>
      <x:c r="G580" s="37" t="str">
        <x:v>airplane×furthest; crushed-soda-can×closest; pencil-sharpener×between; pen fully crossed</x:v>
      </x:c>
      <x:c r="H580" s="37" t="str">
        <x:v>No</x:v>
      </x:c>
      <x:c r="I580" s="37" t="str">
        <x:v>Keep prompt</x:v>
      </x:c>
      <x:c r="J580" s="37" t="str">
        <x:v>No prompt change required under the missing-cell design.</x:v>
      </x:c>
      <x:c r="K580" s="37" t="str">
        <x:v>airplane toy with propellers, airplane toy without propellers, red pencil sharpener, green pencil sharpener</x:v>
      </x:c>
      <x:c r="L580" s="37" t="str">
        <x:v>airplane toy with propellers</x:v>
      </x:c>
      <x:c r="M580" s="37" t="str">
        <x:v>Recovery</x:v>
      </x:c>
      <x:c r="N580" s="37" t="str">
        <x:v>Pick up the airplane toy with propellers and place it in the bowl.</x:v>
      </x:c>
      <x:c r="O580" s="37" t="str">
        <x:v>Pick up the airplane toy furthest from the red pencil sharpener and place it in the bowl.</x:v>
      </x:c>
      <x:c r="P580" s="37" t="str">
        <x:v>The airplane toy is still named and manipulated directly, but furthest is never used to select this candidate category during training.</x:v>
      </x:c>
      <x:c r="Q580" s="38"/>
    </x:row>
    <x:row r="581" ht="60" customHeight="1">
      <x:c r="A581" s="70" t="n">
        <x:v>579</x:v>
      </x:c>
      <x:c r="B581" s="37" t="str">
        <x:v>Referential Disambiguation</x:v>
      </x:c>
      <x:c r="C581" s="37" t="str">
        <x:v>Pick up the airplane toy without propellers and place it in the bowl.</x:v>
      </x:c>
      <x:c r="D581" s="37" t="str">
        <x:v>Masked relation × candidate-category composition</x:v>
      </x:c>
      <x:c r="E581" s="37" t="str">
        <x:v>direct identity=airplane toy without propellers; hidden relation=furthest; candidate category=airplane toy</x:v>
      </x:c>
      <x:c r="F581" s="37" t="str">
        <x:v>referential_airplane_toy_furthest_masked</x:v>
      </x:c>
      <x:c r="G581" s="37" t="str">
        <x:v>airplane×furthest; crushed-soda-can×closest; pencil-sharpener×between; pen fully crossed</x:v>
      </x:c>
      <x:c r="H581" s="37" t="str">
        <x:v>No</x:v>
      </x:c>
      <x:c r="I581" s="37" t="str">
        <x:v>Keep prompt</x:v>
      </x:c>
      <x:c r="J581" s="37" t="str">
        <x:v>No prompt change required under the missing-cell design.</x:v>
      </x:c>
      <x:c r="K581" s="37" t="str">
        <x:v>airplane toy with propellers, airplane toy without propellers, crushed Coke can</x:v>
      </x:c>
      <x:c r="L581" s="37" t="str">
        <x:v>airplane toy without propellers</x:v>
      </x:c>
      <x:c r="M581" s="37" t="str">
        <x:v>Home</x:v>
      </x:c>
      <x:c r="N581" s="37" t="str">
        <x:v>Pick up the airplane toy without propellers and place it in the bowl.</x:v>
      </x:c>
      <x:c r="O581" s="37" t="str">
        <x:v>Pick up the airplane toy furthest from the crushed Coke can and place it in the bowl.</x:v>
      </x:c>
      <x:c r="P581" s="37" t="str">
        <x:v>The airplane toy is still named and manipulated directly, but furthest is never used to select this candidate category during training.</x:v>
      </x:c>
      <x:c r="Q581" s="38"/>
    </x:row>
    <x:row r="582" ht="60" customHeight="1">
      <x:c r="A582" s="70" t="n">
        <x:v>580</x:v>
      </x:c>
      <x:c r="B582" s="37" t="str">
        <x:v>Referential Disambiguation</x:v>
      </x:c>
      <x:c r="C582" s="37" t="str">
        <x:v>Pick up the airplane toy positioned between the green pen and the red pencil sharpener, then place it in the bowl.</x:v>
      </x:c>
      <x:c r="D582" s="37" t="str">
        <x:v>Explicit between grounding</x:v>
      </x:c>
      <x:c r="E582" s="37" t="str">
        <x:v>between × airplane toy candidate category</x:v>
      </x:c>
      <x:c r="F582" s="37" t="str">
        <x:v>referential_airplane_toy_between_explicit</x:v>
      </x:c>
      <x:c r="G582" s="37" t="str">
        <x:v>airplane×furthest; crushed-soda-can×closest; pencil-sharpener×between; pen fully crossed</x:v>
      </x:c>
      <x:c r="H582" s="37" t="str">
        <x:v>No</x:v>
      </x:c>
      <x:c r="I582" s="37" t="str">
        <x:v>Keep prompt</x:v>
      </x:c>
      <x:c r="J582" s="37" t="str">
        <x:v>No prompt change required under the missing-cell design.</x:v>
      </x:c>
      <x:c r="K582" s="37" t="str">
        <x:v>airplane toy with propellers, airplane toy without propellers, green pen, red pencil sharpener, crushed Pepsi can</x:v>
      </x:c>
      <x:c r="L582" s="37" t="str">
        <x:v>airplane toy without propellers</x:v>
      </x:c>
      <x:c r="M582" s="37" t="str">
        <x:v>Home</x:v>
      </x:c>
      <x:c r="N582" s="37" t="str">
        <x:v>Pick up the airplane toy positioned between the green pen and the red pencil sharpener, then place it in the bowl.</x:v>
      </x:c>
      <x:c r="O582" s="37" t="str"/>
      <x:c r="P582" s="37" t="str">
        <x:v>Explicitly grounds between with airplane toy candidates; only the selected category-specific missing cell is withheld.</x:v>
      </x:c>
      <x:c r="Q582" s="38"/>
    </x:row>
    <x:row r="583" ht="60" customHeight="1">
      <x:c r="A583" s="70" t="n">
        <x:v>581</x:v>
      </x:c>
      <x:c r="B583" s="37" t="str">
        <x:v>Referential Disambiguation</x:v>
      </x:c>
      <x:c r="C583" s="37" t="str">
        <x:v>Pick up the airplane toy positioned between the yellow pen and the crushed Coke can, then place it in the bowl.</x:v>
      </x:c>
      <x:c r="D583" s="37" t="str">
        <x:v>Explicit between grounding</x:v>
      </x:c>
      <x:c r="E583" s="37" t="str">
        <x:v>between × airplane toy candidate category</x:v>
      </x:c>
      <x:c r="F583" s="37" t="str">
        <x:v>referential_airplane_toy_between_explicit</x:v>
      </x:c>
      <x:c r="G583" s="37" t="str">
        <x:v>airplane×furthest; crushed-soda-can×closest; pencil-sharpener×between; pen fully crossed</x:v>
      </x:c>
      <x:c r="H583" s="37" t="str">
        <x:v>No</x:v>
      </x:c>
      <x:c r="I583" s="37" t="str">
        <x:v>Keep prompt</x:v>
      </x:c>
      <x:c r="J583" s="37" t="str">
        <x:v>No prompt change required under the missing-cell design.</x:v>
      </x:c>
      <x:c r="K583" s="37" t="str">
        <x:v>airplane toy with propellers, airplane toy without propellers, yellow pen, crushed Coke can, green pencil sharpener</x:v>
      </x:c>
      <x:c r="L583" s="37" t="str">
        <x:v>airplane toy without propellers</x:v>
      </x:c>
      <x:c r="M583" s="37" t="str">
        <x:v>Home</x:v>
      </x:c>
      <x:c r="N583" s="37" t="str">
        <x:v>Pick up the airplane toy positioned between the yellow pen and the crushed Coke can, then place it in the bowl.</x:v>
      </x:c>
      <x:c r="O583" s="37" t="str"/>
      <x:c r="P583" s="37" t="str">
        <x:v>Explicitly grounds between with airplane toy candidates; only the selected category-specific missing cell is withheld.</x:v>
      </x:c>
      <x:c r="Q583" s="38"/>
    </x:row>
    <x:row r="584" ht="60" customHeight="1">
      <x:c r="A584" s="70" t="n">
        <x:v>582</x:v>
      </x:c>
      <x:c r="B584" s="37" t="str">
        <x:v>Referential Disambiguation</x:v>
      </x:c>
      <x:c r="C584" s="37" t="str">
        <x:v>Move the airplane toy lying between the crushed Pepsi can and the red pencil sharpener into the bowl.</x:v>
      </x:c>
      <x:c r="D584" s="37" t="str">
        <x:v>Explicit between grounding</x:v>
      </x:c>
      <x:c r="E584" s="37" t="str">
        <x:v>between × airplane toy candidate category</x:v>
      </x:c>
      <x:c r="F584" s="37" t="str">
        <x:v>referential_airplane_toy_between_explicit</x:v>
      </x:c>
      <x:c r="G584" s="37" t="str">
        <x:v>airplane×furthest; crushed-soda-can×closest; pencil-sharpener×between; pen fully crossed</x:v>
      </x:c>
      <x:c r="H584" s="37" t="str">
        <x:v>No</x:v>
      </x:c>
      <x:c r="I584" s="37" t="str">
        <x:v>Keep prompt</x:v>
      </x:c>
      <x:c r="J584" s="37" t="str">
        <x:v>No prompt change required under the missing-cell design.</x:v>
      </x:c>
      <x:c r="K584" s="37" t="str">
        <x:v>airplane toy with propellers, airplane toy without propellers, crushed Pepsi can, red pencil sharpener</x:v>
      </x:c>
      <x:c r="L584" s="37" t="str">
        <x:v>airplane toy with propellers</x:v>
      </x:c>
      <x:c r="M584" s="37" t="str">
        <x:v>Home</x:v>
      </x:c>
      <x:c r="N584" s="37" t="str">
        <x:v>Move the airplane toy lying between the crushed Pepsi can and the red pencil sharpener into the bowl.</x:v>
      </x:c>
      <x:c r="O584" s="37" t="str"/>
      <x:c r="P584" s="37" t="str">
        <x:v>Explicitly grounds between with airplane toy candidates; only the selected category-specific missing cell is withheld.</x:v>
      </x:c>
      <x:c r="Q584" s="38"/>
    </x:row>
    <x:row r="585" ht="60" customHeight="1">
      <x:c r="A585" s="70" t="n">
        <x:v>583</x:v>
      </x:c>
      <x:c r="B585" s="37" t="str">
        <x:v>Referential Disambiguation</x:v>
      </x:c>
      <x:c r="C585" s="37" t="str">
        <x:v>Pick up the airplane toy positioned between the green pencil sharpener and the yellow pen, then place it in the bowl.</x:v>
      </x:c>
      <x:c r="D585" s="37" t="str">
        <x:v>Explicit between grounding</x:v>
      </x:c>
      <x:c r="E585" s="37" t="str">
        <x:v>between × airplane toy candidate category</x:v>
      </x:c>
      <x:c r="F585" s="37" t="str">
        <x:v>referential_airplane_toy_between_explicit</x:v>
      </x:c>
      <x:c r="G585" s="37" t="str">
        <x:v>airplane×furthest; crushed-soda-can×closest; pencil-sharpener×between; pen fully crossed</x:v>
      </x:c>
      <x:c r="H585" s="37" t="str">
        <x:v>No</x:v>
      </x:c>
      <x:c r="I585" s="37" t="str">
        <x:v>Keep prompt</x:v>
      </x:c>
      <x:c r="J585" s="37" t="str">
        <x:v>No prompt change required under the missing-cell design.</x:v>
      </x:c>
      <x:c r="K585" s="37" t="str">
        <x:v>airplane toy with propellers, airplane toy without propellers, green pencil sharpener, yellow pen</x:v>
      </x:c>
      <x:c r="L585" s="37" t="str">
        <x:v>airplane toy with propellers</x:v>
      </x:c>
      <x:c r="M585" s="37" t="str">
        <x:v>Recovery</x:v>
      </x:c>
      <x:c r="N585" s="37" t="str">
        <x:v>Pick up the airplane toy positioned between the green pencil sharpener and the yellow pen, then place it in the bowl.</x:v>
      </x:c>
      <x:c r="O585" s="37" t="str"/>
      <x:c r="P585" s="37" t="str">
        <x:v>Explicitly grounds between with airplane toy candidates; only the selected category-specific missing cell is withheld.</x:v>
      </x:c>
      <x:c r="Q585" s="38"/>
    </x:row>
    <x:row r="586" ht="60" customHeight="1">
      <x:c r="A586" s="70" t="n">
        <x:v>584</x:v>
      </x:c>
      <x:c r="B586" s="37" t="str">
        <x:v>Referential Disambiguation</x:v>
      </x:c>
      <x:c r="C586" s="37" t="str">
        <x:v>Pick up the airplane toy positioned between the yellow pen and the crushed Pepsi can, then place it in the bowl.</x:v>
      </x:c>
      <x:c r="D586" s="37" t="str">
        <x:v>Explicit between grounding</x:v>
      </x:c>
      <x:c r="E586" s="37" t="str">
        <x:v>between × airplane toy candidate category</x:v>
      </x:c>
      <x:c r="F586" s="37" t="str">
        <x:v>referential_airplane_toy_between_explicit</x:v>
      </x:c>
      <x:c r="G586" s="37" t="str">
        <x:v>airplane×furthest; crushed-soda-can×closest; pencil-sharpener×between; pen fully crossed</x:v>
      </x:c>
      <x:c r="H586" s="37" t="str">
        <x:v>No</x:v>
      </x:c>
      <x:c r="I586" s="37" t="str">
        <x:v>Keep prompt</x:v>
      </x:c>
      <x:c r="J586" s="37" t="str">
        <x:v>No prompt change required under the missing-cell design.</x:v>
      </x:c>
      <x:c r="K586" s="37" t="str">
        <x:v>airplane toy with propellers, airplane toy without propellers, yellow pen, crushed Pepsi can, crushed Coke can</x:v>
      </x:c>
      <x:c r="L586" s="37" t="str">
        <x:v>airplane toy without propellers</x:v>
      </x:c>
      <x:c r="M586" s="37" t="str">
        <x:v>Recovery</x:v>
      </x:c>
      <x:c r="N586" s="37" t="str">
        <x:v>Pick up the airplane toy positioned between the yellow pen and the crushed Pepsi can, then place it in the bowl.</x:v>
      </x:c>
      <x:c r="O586" s="37" t="str"/>
      <x:c r="P586" s="37" t="str">
        <x:v>Explicitly grounds between with airplane toy candidates; only the selected category-specific missing cell is withheld.</x:v>
      </x:c>
      <x:c r="Q586" s="38"/>
    </x:row>
    <x:row r="587" ht="60" customHeight="1">
      <x:c r="A587" s="70" t="n">
        <x:v>585</x:v>
      </x:c>
      <x:c r="B587" s="37" t="str">
        <x:v>Referential Disambiguation</x:v>
      </x:c>
      <x:c r="C587" s="37" t="str">
        <x:v>Move the airplane toy lying between the green pen and the green pencil sharpener into the bowl.</x:v>
      </x:c>
      <x:c r="D587" s="37" t="str">
        <x:v>Explicit between grounding</x:v>
      </x:c>
      <x:c r="E587" s="37" t="str">
        <x:v>between × airplane toy candidate category</x:v>
      </x:c>
      <x:c r="F587" s="37" t="str">
        <x:v>referential_airplane_toy_between_explicit</x:v>
      </x:c>
      <x:c r="G587" s="37" t="str">
        <x:v>airplane×furthest; crushed-soda-can×closest; pencil-sharpener×between; pen fully crossed</x:v>
      </x:c>
      <x:c r="H587" s="37" t="str">
        <x:v>No</x:v>
      </x:c>
      <x:c r="I587" s="37" t="str">
        <x:v>Keep prompt</x:v>
      </x:c>
      <x:c r="J587" s="37" t="str">
        <x:v>No prompt change required under the missing-cell design.</x:v>
      </x:c>
      <x:c r="K587" s="37" t="str">
        <x:v>airplane toy with propellers, airplane toy without propellers, green pen, green pencil sharpener</x:v>
      </x:c>
      <x:c r="L587" s="37" t="str">
        <x:v>airplane toy with propellers</x:v>
      </x:c>
      <x:c r="M587" s="37" t="str">
        <x:v>Home</x:v>
      </x:c>
      <x:c r="N587" s="37" t="str">
        <x:v>Move the airplane toy lying between the green pen and the green pencil sharpener into the bowl.</x:v>
      </x:c>
      <x:c r="O587" s="37" t="str"/>
      <x:c r="P587" s="37" t="str">
        <x:v>Explicitly grounds between with airplane toy candidates; only the selected category-specific missing cell is withheld.</x:v>
      </x:c>
      <x:c r="Q587" s="38"/>
    </x:row>
    <x:row r="588" ht="60" customHeight="1">
      <x:c r="A588" s="70" t="n">
        <x:v>586</x:v>
      </x:c>
      <x:c r="B588" s="37" t="str">
        <x:v>Referential Disambiguation</x:v>
      </x:c>
      <x:c r="C588" s="37" t="str">
        <x:v>Put the airplane toy between the crushed Coke can and the green pen in the bowl.</x:v>
      </x:c>
      <x:c r="D588" s="37" t="str">
        <x:v>Explicit between grounding</x:v>
      </x:c>
      <x:c r="E588" s="37" t="str">
        <x:v>between × airplane toy candidate category</x:v>
      </x:c>
      <x:c r="F588" s="37" t="str">
        <x:v>referential_airplane_toy_between_explicit</x:v>
      </x:c>
      <x:c r="G588" s="37" t="str">
        <x:v>airplane×furthest; crushed-soda-can×closest; pencil-sharpener×between; pen fully crossed</x:v>
      </x:c>
      <x:c r="H588" s="37" t="str">
        <x:v>No</x:v>
      </x:c>
      <x:c r="I588" s="37" t="str">
        <x:v>Keep prompt</x:v>
      </x:c>
      <x:c r="J588" s="37" t="str">
        <x:v>No prompt change required under the missing-cell design.</x:v>
      </x:c>
      <x:c r="K588" s="37" t="str">
        <x:v>airplane toy with propellers, airplane toy without propellers, crushed Coke can, green pen</x:v>
      </x:c>
      <x:c r="L588" s="37" t="str">
        <x:v>airplane toy without propellers</x:v>
      </x:c>
      <x:c r="M588" s="37" t="str">
        <x:v>Home</x:v>
      </x:c>
      <x:c r="N588" s="37" t="str">
        <x:v>Put the airplane toy between the crushed Coke can and the green pen in the bowl.</x:v>
      </x:c>
      <x:c r="O588" s="37" t="str"/>
      <x:c r="P588" s="37" t="str">
        <x:v>Explicitly grounds between with airplane toy candidates; only the selected category-specific missing cell is withheld.</x:v>
      </x:c>
      <x:c r="Q588" s="38"/>
    </x:row>
    <x:row r="589" ht="60" customHeight="1">
      <x:c r="A589" s="70" t="n">
        <x:v>587</x:v>
      </x:c>
      <x:c r="B589" s="37" t="str">
        <x:v>Referential Disambiguation</x:v>
      </x:c>
      <x:c r="C589" s="37" t="str">
        <x:v>Move the airplane toy lying between the crushed Coke can and the green pencil sharpener into the bowl.</x:v>
      </x:c>
      <x:c r="D589" s="37" t="str">
        <x:v>Explicit between grounding</x:v>
      </x:c>
      <x:c r="E589" s="37" t="str">
        <x:v>between × airplane toy candidate category</x:v>
      </x:c>
      <x:c r="F589" s="37" t="str">
        <x:v>referential_airplane_toy_between_explicit</x:v>
      </x:c>
      <x:c r="G589" s="37" t="str">
        <x:v>airplane×furthest; crushed-soda-can×closest; pencil-sharpener×between; pen fully crossed</x:v>
      </x:c>
      <x:c r="H589" s="37" t="str">
        <x:v>No</x:v>
      </x:c>
      <x:c r="I589" s="37" t="str">
        <x:v>Keep prompt</x:v>
      </x:c>
      <x:c r="J589" s="37" t="str">
        <x:v>No prompt change required under the missing-cell design.</x:v>
      </x:c>
      <x:c r="K589" s="37" t="str">
        <x:v>airplane toy with propellers, airplane toy without propellers, crushed Coke can, green pencil sharpener, red pencil sharpener</x:v>
      </x:c>
      <x:c r="L589" s="37" t="str">
        <x:v>airplane toy with propellers</x:v>
      </x:c>
      <x:c r="M589" s="37" t="str">
        <x:v>Home</x:v>
      </x:c>
      <x:c r="N589" s="37" t="str">
        <x:v>Move the airplane toy lying between the crushed Coke can and the green pencil sharpener into the bowl.</x:v>
      </x:c>
      <x:c r="O589" s="37" t="str"/>
      <x:c r="P589" s="37" t="str">
        <x:v>Explicitly grounds between with airplane toy candidates; only the selected category-specific missing cell is withheld.</x:v>
      </x:c>
      <x:c r="Q589" s="38"/>
    </x:row>
    <x:row r="590" ht="60" customHeight="1">
      <x:c r="A590" s="70" t="n">
        <x:v>588</x:v>
      </x:c>
      <x:c r="B590" s="37" t="str">
        <x:v>Referential Disambiguation</x:v>
      </x:c>
      <x:c r="C590" s="37" t="str">
        <x:v>Move the airplane toy lying between the green pen and the red pencil sharpener into the bowl.</x:v>
      </x:c>
      <x:c r="D590" s="37" t="str">
        <x:v>Explicit between grounding</x:v>
      </x:c>
      <x:c r="E590" s="37" t="str">
        <x:v>between × airplane toy candidate category</x:v>
      </x:c>
      <x:c r="F590" s="37" t="str">
        <x:v>referential_airplane_toy_between_explicit</x:v>
      </x:c>
      <x:c r="G590" s="37" t="str">
        <x:v>airplane×furthest; crushed-soda-can×closest; pencil-sharpener×between; pen fully crossed</x:v>
      </x:c>
      <x:c r="H590" s="37" t="str">
        <x:v>No</x:v>
      </x:c>
      <x:c r="I590" s="37" t="str">
        <x:v>Keep prompt</x:v>
      </x:c>
      <x:c r="J590" s="37" t="str">
        <x:v>No prompt change required under the missing-cell design.</x:v>
      </x:c>
      <x:c r="K590" s="37" t="str">
        <x:v>airplane toy with propellers, airplane toy without propellers, green pen, red pencil sharpener</x:v>
      </x:c>
      <x:c r="L590" s="37" t="str">
        <x:v>airplane toy without propellers</x:v>
      </x:c>
      <x:c r="M590" s="37" t="str">
        <x:v>Home</x:v>
      </x:c>
      <x:c r="N590" s="37" t="str">
        <x:v>Move the airplane toy lying between the green pen and the red pencil sharpener into the bowl.</x:v>
      </x:c>
      <x:c r="O590" s="37" t="str"/>
      <x:c r="P590" s="37" t="str">
        <x:v>Explicitly grounds between with airplane toy candidates; only the selected category-specific missing cell is withheld.</x:v>
      </x:c>
      <x:c r="Q590" s="38"/>
    </x:row>
    <x:row r="591" ht="60" customHeight="1">
      <x:c r="A591" s="70" t="n">
        <x:v>589</x:v>
      </x:c>
      <x:c r="B591" s="37" t="str">
        <x:v>Referential Disambiguation</x:v>
      </x:c>
      <x:c r="C591" s="37" t="str">
        <x:v>Pick up the airplane toy positioned between the yellow pen and the crushed Coke can, then place it in the bowl.</x:v>
      </x:c>
      <x:c r="D591" s="37" t="str">
        <x:v>Explicit between grounding</x:v>
      </x:c>
      <x:c r="E591" s="37" t="str">
        <x:v>between × airplane toy candidate category</x:v>
      </x:c>
      <x:c r="F591" s="37" t="str">
        <x:v>referential_airplane_toy_between_explicit</x:v>
      </x:c>
      <x:c r="G591" s="37" t="str">
        <x:v>airplane×furthest; crushed-soda-can×closest; pencil-sharpener×between; pen fully crossed</x:v>
      </x:c>
      <x:c r="H591" s="37" t="str">
        <x:v>No</x:v>
      </x:c>
      <x:c r="I591" s="37" t="str">
        <x:v>Keep prompt</x:v>
      </x:c>
      <x:c r="J591" s="37" t="str">
        <x:v>No prompt change required under the missing-cell design.</x:v>
      </x:c>
      <x:c r="K591" s="37" t="str">
        <x:v>airplane toy with propellers, airplane toy without propellers, yellow pen, crushed Coke can, crushed Pepsi can</x:v>
      </x:c>
      <x:c r="L591" s="37" t="str">
        <x:v>airplane toy with propellers</x:v>
      </x:c>
      <x:c r="M591" s="37" t="str">
        <x:v>Home</x:v>
      </x:c>
      <x:c r="N591" s="37" t="str">
        <x:v>Pick up the airplane toy positioned between the yellow pen and the crushed Coke can, then place it in the bowl.</x:v>
      </x:c>
      <x:c r="O591" s="37" t="str"/>
      <x:c r="P591" s="37" t="str">
        <x:v>Explicitly grounds between with airplane toy candidates; only the selected category-specific missing cell is withheld.</x:v>
      </x:c>
      <x:c r="Q591" s="38"/>
    </x:row>
    <x:row r="592" ht="60" customHeight="1">
      <x:c r="A592" s="70" t="n">
        <x:v>590</x:v>
      </x:c>
      <x:c r="B592" s="37" t="str">
        <x:v>Referential Disambiguation</x:v>
      </x:c>
      <x:c r="C592" s="37" t="str">
        <x:v>Put the airplane toy between the crushed Pepsi can and the red pencil sharpener in the bowl.</x:v>
      </x:c>
      <x:c r="D592" s="37" t="str">
        <x:v>Explicit between grounding</x:v>
      </x:c>
      <x:c r="E592" s="37" t="str">
        <x:v>between × airplane toy candidate category</x:v>
      </x:c>
      <x:c r="F592" s="37" t="str">
        <x:v>referential_airplane_toy_between_explicit</x:v>
      </x:c>
      <x:c r="G592" s="37" t="str">
        <x:v>airplane×furthest; crushed-soda-can×closest; pencil-sharpener×between; pen fully crossed</x:v>
      </x:c>
      <x:c r="H592" s="37" t="str">
        <x:v>No</x:v>
      </x:c>
      <x:c r="I592" s="37" t="str">
        <x:v>Keep prompt</x:v>
      </x:c>
      <x:c r="J592" s="37" t="str">
        <x:v>No prompt change required under the missing-cell design.</x:v>
      </x:c>
      <x:c r="K592" s="37" t="str">
        <x:v>airplane toy with propellers, airplane toy without propellers, crushed Pepsi can, red pencil sharpener, green pen</x:v>
      </x:c>
      <x:c r="L592" s="37" t="str">
        <x:v>airplane toy with propellers</x:v>
      </x:c>
      <x:c r="M592" s="37" t="str">
        <x:v>Home</x:v>
      </x:c>
      <x:c r="N592" s="37" t="str">
        <x:v>Put the airplane toy between the crushed Pepsi can and the red pencil sharpener in the bowl.</x:v>
      </x:c>
      <x:c r="O592" s="37" t="str"/>
      <x:c r="P592" s="37" t="str">
        <x:v>Explicitly grounds between with airplane toy candidates; only the selected category-specific missing cell is withheld.</x:v>
      </x:c>
      <x:c r="Q592" s="38"/>
    </x:row>
    <x:row r="593" ht="60" customHeight="1">
      <x:c r="A593" s="70" t="n">
        <x:v>591</x:v>
      </x:c>
      <x:c r="B593" s="37" t="str">
        <x:v>Referential Disambiguation</x:v>
      </x:c>
      <x:c r="C593" s="37" t="str">
        <x:v>Put the airplane toy between the green pencil sharpener and the yellow pen in the bowl.</x:v>
      </x:c>
      <x:c r="D593" s="37" t="str">
        <x:v>Explicit between grounding</x:v>
      </x:c>
      <x:c r="E593" s="37" t="str">
        <x:v>between × airplane toy candidate category</x:v>
      </x:c>
      <x:c r="F593" s="37" t="str">
        <x:v>referential_airplane_toy_between_explicit</x:v>
      </x:c>
      <x:c r="G593" s="37" t="str">
        <x:v>airplane×furthest; crushed-soda-can×closest; pencil-sharpener×between; pen fully crossed</x:v>
      </x:c>
      <x:c r="H593" s="37" t="str">
        <x:v>No</x:v>
      </x:c>
      <x:c r="I593" s="37" t="str">
        <x:v>Keep prompt</x:v>
      </x:c>
      <x:c r="J593" s="37" t="str">
        <x:v>No prompt change required under the missing-cell design.</x:v>
      </x:c>
      <x:c r="K593" s="37" t="str">
        <x:v>airplane toy with propellers, airplane toy without propellers, green pencil sharpener, yellow pen</x:v>
      </x:c>
      <x:c r="L593" s="37" t="str">
        <x:v>airplane toy without propellers</x:v>
      </x:c>
      <x:c r="M593" s="37" t="str">
        <x:v>Home</x:v>
      </x:c>
      <x:c r="N593" s="37" t="str">
        <x:v>Put the airplane toy between the green pencil sharpener and the yellow pen in the bowl.</x:v>
      </x:c>
      <x:c r="O593" s="37" t="str"/>
      <x:c r="P593" s="37" t="str">
        <x:v>Explicitly grounds between with airplane toy candidates; only the selected category-specific missing cell is withheld.</x:v>
      </x:c>
      <x:c r="Q593" s="38"/>
    </x:row>
    <x:row r="594" ht="60" customHeight="1">
      <x:c r="A594" s="70" t="n">
        <x:v>592</x:v>
      </x:c>
      <x:c r="B594" s="37" t="str">
        <x:v>Referential Disambiguation</x:v>
      </x:c>
      <x:c r="C594" s="37" t="str">
        <x:v>Pick up the airplane toy positioned between the yellow pen and the crushed Pepsi can, then place it in the bowl.</x:v>
      </x:c>
      <x:c r="D594" s="37" t="str">
        <x:v>Explicit between grounding</x:v>
      </x:c>
      <x:c r="E594" s="37" t="str">
        <x:v>between × airplane toy candidate category</x:v>
      </x:c>
      <x:c r="F594" s="37" t="str">
        <x:v>referential_airplane_toy_between_explicit</x:v>
      </x:c>
      <x:c r="G594" s="37" t="str">
        <x:v>airplane×furthest; crushed-soda-can×closest; pencil-sharpener×between; pen fully crossed</x:v>
      </x:c>
      <x:c r="H594" s="37" t="str">
        <x:v>No</x:v>
      </x:c>
      <x:c r="I594" s="37" t="str">
        <x:v>Keep prompt</x:v>
      </x:c>
      <x:c r="J594" s="37" t="str">
        <x:v>No prompt change required under the missing-cell design.</x:v>
      </x:c>
      <x:c r="K594" s="37" t="str">
        <x:v>airplane toy with propellers, airplane toy without propellers, yellow pen, crushed Pepsi can</x:v>
      </x:c>
      <x:c r="L594" s="37" t="str">
        <x:v>airplane toy with propellers</x:v>
      </x:c>
      <x:c r="M594" s="37" t="str">
        <x:v>Home</x:v>
      </x:c>
      <x:c r="N594" s="37" t="str">
        <x:v>Pick up the airplane toy positioned between the yellow pen and the crushed Pepsi can, then place it in the bowl.</x:v>
      </x:c>
      <x:c r="O594" s="37" t="str"/>
      <x:c r="P594" s="37" t="str">
        <x:v>Explicitly grounds between with airplane toy candidates; only the selected category-specific missing cell is withheld.</x:v>
      </x:c>
      <x:c r="Q594" s="38"/>
    </x:row>
    <x:row r="595" ht="60" customHeight="1">
      <x:c r="A595" s="70" t="n">
        <x:v>593</x:v>
      </x:c>
      <x:c r="B595" s="37" t="str">
        <x:v>Referential Disambiguation</x:v>
      </x:c>
      <x:c r="C595" s="37" t="str">
        <x:v>Put the airplane toy between the green pencil sharpener and the crushed Pepsi can in the bowl.</x:v>
      </x:c>
      <x:c r="D595" s="37" t="str">
        <x:v>Explicit between grounding</x:v>
      </x:c>
      <x:c r="E595" s="37" t="str">
        <x:v>between × airplane toy candidate category</x:v>
      </x:c>
      <x:c r="F595" s="37" t="str">
        <x:v>referential_airplane_toy_between_explicit</x:v>
      </x:c>
      <x:c r="G595" s="37" t="str">
        <x:v>airplane×furthest; crushed-soda-can×closest; pencil-sharpener×between; pen fully crossed</x:v>
      </x:c>
      <x:c r="H595" s="37" t="str">
        <x:v>No</x:v>
      </x:c>
      <x:c r="I595" s="37" t="str">
        <x:v>Keep prompt</x:v>
      </x:c>
      <x:c r="J595" s="37" t="str">
        <x:v>No prompt change required under the missing-cell design.</x:v>
      </x:c>
      <x:c r="K595" s="37" t="str">
        <x:v>airplane toy with propellers, airplane toy without propellers, green pencil sharpener, crushed Pepsi can</x:v>
      </x:c>
      <x:c r="L595" s="37" t="str">
        <x:v>airplane toy without propellers</x:v>
      </x:c>
      <x:c r="M595" s="37" t="str">
        <x:v>Home</x:v>
      </x:c>
      <x:c r="N595" s="37" t="str">
        <x:v>Put the airplane toy between the green pencil sharpener and the crushed Pepsi can in the bowl.</x:v>
      </x:c>
      <x:c r="O595" s="37" t="str"/>
      <x:c r="P595" s="37" t="str">
        <x:v>Explicitly grounds between with airplane toy candidates; only the selected category-specific missing cell is withheld.</x:v>
      </x:c>
      <x:c r="Q595" s="38"/>
    </x:row>
    <x:row r="596" ht="60" customHeight="1">
      <x:c r="A596" s="70" t="n">
        <x:v>594</x:v>
      </x:c>
      <x:c r="B596" s="37" t="str">
        <x:v>Referential Disambiguation</x:v>
      </x:c>
      <x:c r="C596" s="37" t="str">
        <x:v>Move the airplane toy lying between the red pencil sharpener and the yellow pen into the bowl.</x:v>
      </x:c>
      <x:c r="D596" s="37" t="str">
        <x:v>Explicit between grounding</x:v>
      </x:c>
      <x:c r="E596" s="37" t="str">
        <x:v>between × airplane toy candidate category</x:v>
      </x:c>
      <x:c r="F596" s="37" t="str">
        <x:v>referential_airplane_toy_between_explicit</x:v>
      </x:c>
      <x:c r="G596" s="37" t="str">
        <x:v>airplane×furthest; crushed-soda-can×closest; pencil-sharpener×between; pen fully crossed</x:v>
      </x:c>
      <x:c r="H596" s="37" t="str">
        <x:v>No</x:v>
      </x:c>
      <x:c r="I596" s="37" t="str">
        <x:v>Keep prompt</x:v>
      </x:c>
      <x:c r="J596" s="37" t="str">
        <x:v>No prompt change required under the missing-cell design.</x:v>
      </x:c>
      <x:c r="K596" s="37" t="str">
        <x:v>airplane toy with propellers, airplane toy without propellers, red pencil sharpener, yellow pen, green pen</x:v>
      </x:c>
      <x:c r="L596" s="37" t="str">
        <x:v>airplane toy without propellers</x:v>
      </x:c>
      <x:c r="M596" s="37" t="str">
        <x:v>Recovery</x:v>
      </x:c>
      <x:c r="N596" s="37" t="str">
        <x:v>Move the airplane toy lying between the red pencil sharpener and the yellow pen into the bowl.</x:v>
      </x:c>
      <x:c r="O596" s="37" t="str"/>
      <x:c r="P596" s="37" t="str">
        <x:v>Explicitly grounds between with airplane toy candidates; only the selected category-specific missing cell is withheld.</x:v>
      </x:c>
      <x:c r="Q596" s="38"/>
    </x:row>
    <x:row r="597" ht="60" customHeight="1">
      <x:c r="A597" s="70" t="n">
        <x:v>595</x:v>
      </x:c>
      <x:c r="B597" s="37" t="str">
        <x:v>Referential Disambiguation</x:v>
      </x:c>
      <x:c r="C597" s="37" t="str">
        <x:v>Move the airplane toy lying between the crushed Pepsi can and the green pen into the bowl.</x:v>
      </x:c>
      <x:c r="D597" s="37" t="str">
        <x:v>Explicit between grounding</x:v>
      </x:c>
      <x:c r="E597" s="37" t="str">
        <x:v>between × airplane toy candidate category</x:v>
      </x:c>
      <x:c r="F597" s="37" t="str">
        <x:v>referential_airplane_toy_between_explicit</x:v>
      </x:c>
      <x:c r="G597" s="37" t="str">
        <x:v>airplane×furthest; crushed-soda-can×closest; pencil-sharpener×between; pen fully crossed</x:v>
      </x:c>
      <x:c r="H597" s="37" t="str">
        <x:v>No</x:v>
      </x:c>
      <x:c r="I597" s="37" t="str">
        <x:v>Keep prompt</x:v>
      </x:c>
      <x:c r="J597" s="37" t="str">
        <x:v>No prompt change required under the missing-cell design.</x:v>
      </x:c>
      <x:c r="K597" s="37" t="str">
        <x:v>airplane toy with propellers, airplane toy without propellers, crushed Pepsi can, green pen, green pencil sharpener</x:v>
      </x:c>
      <x:c r="L597" s="37" t="str">
        <x:v>airplane toy with propellers</x:v>
      </x:c>
      <x:c r="M597" s="37" t="str">
        <x:v>Home</x:v>
      </x:c>
      <x:c r="N597" s="37" t="str">
        <x:v>Move the airplane toy lying between the crushed Pepsi can and the green pen into the bowl.</x:v>
      </x:c>
      <x:c r="O597" s="37" t="str"/>
      <x:c r="P597" s="37" t="str">
        <x:v>Explicitly grounds between with airplane toy candidates; only the selected category-specific missing cell is withheld.</x:v>
      </x:c>
      <x:c r="Q597" s="38"/>
    </x:row>
    <x:row r="598" ht="60" customHeight="1">
      <x:c r="A598" s="70" t="n">
        <x:v>596</x:v>
      </x:c>
      <x:c r="B598" s="37" t="str">
        <x:v>Referential Disambiguation</x:v>
      </x:c>
      <x:c r="C598" s="37" t="str">
        <x:v>Pick up the airplane toy positioned between the red pencil sharpener and the crushed Coke can, then place it in the bowl.</x:v>
      </x:c>
      <x:c r="D598" s="37" t="str">
        <x:v>Explicit between grounding</x:v>
      </x:c>
      <x:c r="E598" s="37" t="str">
        <x:v>between × airplane toy candidate category</x:v>
      </x:c>
      <x:c r="F598" s="37" t="str">
        <x:v>referential_airplane_toy_between_explicit</x:v>
      </x:c>
      <x:c r="G598" s="37" t="str">
        <x:v>airplane×furthest; crushed-soda-can×closest; pencil-sharpener×between; pen fully crossed</x:v>
      </x:c>
      <x:c r="H598" s="37" t="str">
        <x:v>No</x:v>
      </x:c>
      <x:c r="I598" s="37" t="str">
        <x:v>Keep prompt</x:v>
      </x:c>
      <x:c r="J598" s="37" t="str">
        <x:v>No prompt change required under the missing-cell design.</x:v>
      </x:c>
      <x:c r="K598" s="37" t="str">
        <x:v>airplane toy with propellers, airplane toy without propellers, red pencil sharpener, crushed Coke can, yellow pen</x:v>
      </x:c>
      <x:c r="L598" s="37" t="str">
        <x:v>airplane toy with propellers</x:v>
      </x:c>
      <x:c r="M598" s="37" t="str">
        <x:v>Home</x:v>
      </x:c>
      <x:c r="N598" s="37" t="str">
        <x:v>Pick up the airplane toy positioned between the red pencil sharpener and the crushed Coke can, then place it in the bowl.</x:v>
      </x:c>
      <x:c r="O598" s="37" t="str"/>
      <x:c r="P598" s="37" t="str">
        <x:v>Explicitly grounds between with airplane toy candidates; only the selected category-specific missing cell is withheld.</x:v>
      </x:c>
      <x:c r="Q598" s="38"/>
    </x:row>
    <x:row r="599" ht="60" customHeight="1">
      <x:c r="A599" s="70" t="n">
        <x:v>597</x:v>
      </x:c>
      <x:c r="B599" s="37" t="str">
        <x:v>Referential Disambiguation</x:v>
      </x:c>
      <x:c r="C599" s="37" t="str">
        <x:v>Pick up the airplane toy positioned between the green pen and the green pencil sharpener, then place it in the bowl.</x:v>
      </x:c>
      <x:c r="D599" s="37" t="str">
        <x:v>Explicit between grounding</x:v>
      </x:c>
      <x:c r="E599" s="37" t="str">
        <x:v>between × airplane toy candidate category</x:v>
      </x:c>
      <x:c r="F599" s="37" t="str">
        <x:v>referential_airplane_toy_between_explicit</x:v>
      </x:c>
      <x:c r="G599" s="37" t="str">
        <x:v>airplane×furthest; crushed-soda-can×closest; pencil-sharpener×between; pen fully crossed</x:v>
      </x:c>
      <x:c r="H599" s="37" t="str">
        <x:v>No</x:v>
      </x:c>
      <x:c r="I599" s="37" t="str">
        <x:v>Keep prompt</x:v>
      </x:c>
      <x:c r="J599" s="37" t="str">
        <x:v>No prompt change required under the missing-cell design.</x:v>
      </x:c>
      <x:c r="K599" s="37" t="str">
        <x:v>airplane toy with propellers, airplane toy without propellers, green pen, green pencil sharpener</x:v>
      </x:c>
      <x:c r="L599" s="37" t="str">
        <x:v>airplane toy with propellers</x:v>
      </x:c>
      <x:c r="M599" s="37" t="str">
        <x:v>Recovery</x:v>
      </x:c>
      <x:c r="N599" s="37" t="str">
        <x:v>Pick up the airplane toy positioned between the green pen and the green pencil sharpener, then place it in the bowl.</x:v>
      </x:c>
      <x:c r="O599" s="37" t="str"/>
      <x:c r="P599" s="37" t="str">
        <x:v>Explicitly grounds between with airplane toy candidates; only the selected category-specific missing cell is withheld.</x:v>
      </x:c>
      <x:c r="Q599" s="38"/>
    </x:row>
    <x:row r="600" ht="60" customHeight="1">
      <x:c r="A600" s="70" t="n">
        <x:v>598</x:v>
      </x:c>
      <x:c r="B600" s="37" t="str">
        <x:v>Referential Disambiguation</x:v>
      </x:c>
      <x:c r="C600" s="37" t="str">
        <x:v>Put the airplane toy between the crushed Coke can and the green pen in the bowl.</x:v>
      </x:c>
      <x:c r="D600" s="37" t="str">
        <x:v>Explicit between grounding</x:v>
      </x:c>
      <x:c r="E600" s="37" t="str">
        <x:v>between × airplane toy candidate category</x:v>
      </x:c>
      <x:c r="F600" s="37" t="str">
        <x:v>referential_airplane_toy_between_explicit</x:v>
      </x:c>
      <x:c r="G600" s="37" t="str">
        <x:v>airplane×furthest; crushed-soda-can×closest; pencil-sharpener×between; pen fully crossed</x:v>
      </x:c>
      <x:c r="H600" s="37" t="str">
        <x:v>No</x:v>
      </x:c>
      <x:c r="I600" s="37" t="str">
        <x:v>Keep prompt</x:v>
      </x:c>
      <x:c r="J600" s="37" t="str">
        <x:v>No prompt change required under the missing-cell design.</x:v>
      </x:c>
      <x:c r="K600" s="37" t="str">
        <x:v>airplane toy with propellers, airplane toy without propellers, crushed Coke can, green pen, red pencil sharpener</x:v>
      </x:c>
      <x:c r="L600" s="37" t="str">
        <x:v>airplane toy without propellers</x:v>
      </x:c>
      <x:c r="M600" s="37" t="str">
        <x:v>Home</x:v>
      </x:c>
      <x:c r="N600" s="37" t="str">
        <x:v>Put the airplane toy between the crushed Coke can and the green pen in the bowl.</x:v>
      </x:c>
      <x:c r="O600" s="37" t="str"/>
      <x:c r="P600" s="37" t="str">
        <x:v>Explicitly grounds between with airplane toy candidates; only the selected category-specific missing cell is withheld.</x:v>
      </x:c>
      <x:c r="Q600" s="38"/>
    </x:row>
    <x:row r="601" ht="60" customHeight="1">
      <x:c r="A601" s="70" t="n">
        <x:v>599</x:v>
      </x:c>
      <x:c r="B601" s="37" t="str">
        <x:v>Referential Disambiguation</x:v>
      </x:c>
      <x:c r="C601" s="37" t="str">
        <x:v>Move the airplane toy lying between the crushed Coke can and the green pencil sharpener into the bowl.</x:v>
      </x:c>
      <x:c r="D601" s="37" t="str">
        <x:v>Explicit between grounding</x:v>
      </x:c>
      <x:c r="E601" s="37" t="str">
        <x:v>between × airplane toy candidate category</x:v>
      </x:c>
      <x:c r="F601" s="37" t="str">
        <x:v>referential_airplane_toy_between_explicit</x:v>
      </x:c>
      <x:c r="G601" s="37" t="str">
        <x:v>airplane×furthest; crushed-soda-can×closest; pencil-sharpener×between; pen fully crossed</x:v>
      </x:c>
      <x:c r="H601" s="37" t="str">
        <x:v>No</x:v>
      </x:c>
      <x:c r="I601" s="37" t="str">
        <x:v>Keep prompt</x:v>
      </x:c>
      <x:c r="J601" s="37" t="str">
        <x:v>No prompt change required under the missing-cell design.</x:v>
      </x:c>
      <x:c r="K601" s="37" t="str">
        <x:v>airplane toy with propellers, airplane toy without propellers, crushed Coke can, green pencil sharpener</x:v>
      </x:c>
      <x:c r="L601" s="37" t="str">
        <x:v>airplane toy without propellers</x:v>
      </x:c>
      <x:c r="M601" s="37" t="str">
        <x:v>Home</x:v>
      </x:c>
      <x:c r="N601" s="37" t="str">
        <x:v>Move the airplane toy lying between the crushed Coke can and the green pencil sharpener into the bowl.</x:v>
      </x:c>
      <x:c r="O601" s="37" t="str"/>
      <x:c r="P601" s="37" t="str">
        <x:v>Explicitly grounds between with airplane toy candidates; only the selected category-specific missing cell is withheld.</x:v>
      </x:c>
      <x:c r="Q601" s="38"/>
    </x:row>
    <x:row r="602" ht="60" customHeight="1">
      <x:c r="A602" s="70" t="n">
        <x:v>600</x:v>
      </x:c>
      <x:c r="B602" s="37" t="str">
        <x:v>Ordering/Sequencing</x:v>
      </x:c>
      <x:c r="C602" s="37" t="str">
        <x:v>Move the airplane toy with propellers into the bowl.</x:v>
      </x:c>
      <x:c r="D602" s="37" t="str">
        <x:v>Masked ordinal-role × target-identity composition</x:v>
      </x:c>
      <x:c r="E602" s="37" t="str">
        <x:v>n=4; physical role=L1; direct identity=airplane toy with propellers</x:v>
      </x:c>
      <x:c r="F602" s="37" t="str">
        <x:v>ordering_n4_l1_airplane_toy_with_propellers_masked</x:v>
      </x:c>
      <x:c r="G602" s="37" t="str">
        <x:v>selected sequence-length × physical ordinal role × target-identity cells listed on Holdout Map</x:v>
      </x:c>
      <x:c r="H602" s="37" t="str">
        <x:v>Yes</x:v>
      </x:c>
      <x:c r="I602" s="37" t="str">
        <x:v>Replace prompt only</x:v>
      </x:c>
      <x:c r="J602" s="37" t="str">
        <x:v>Prompt-only relabeling; preserve episode 600 video, scene, trajectory, target, and start position.</x:v>
      </x:c>
      <x:c r="K602" s="37" t="str">
        <x:v>airplane toy with propellers, blue tape ball, green highlighter, yellow pen</x:v>
      </x:c>
      <x:c r="L602" s="37" t="str">
        <x:v>airplane toy with propellers</x:v>
      </x:c>
      <x:c r="M602" s="37" t="str">
        <x:v>Home</x:v>
      </x:c>
      <x:c r="N602" s="37" t="str">
        <x:v>Pick up the object that is fourth from the right and place it in the bowl.</x:v>
      </x:c>
      <x:c r="O602" s="37" t="str">
        <x:v>Move the first from the left object into the bowl. | Put the object that is fourth from the right in the bowl.</x:v>
      </x:c>
      <x:c r="P602" s="37" t="str">
        <x:v>Both logically equivalent ordinal descriptions of L1 are withheld for airplane toy with propellers at sequence length 4, while the same trajectory remains under a direct-name instruction.</x:v>
      </x:c>
      <x:c r="Q602" s="38" t="n">
        <x:v>4</x:v>
      </x:c>
    </x:row>
    <x:row r="603" ht="60" customHeight="1">
      <x:c r="A603" s="70" t="n">
        <x:v>601</x:v>
      </x:c>
      <x:c r="B603" s="37" t="str">
        <x:v>Ordering/Sequencing</x:v>
      </x:c>
      <x:c r="C603" s="37" t="str">
        <x:v>Put the airplane toy with propellers in the bowl.</x:v>
      </x:c>
      <x:c r="D603" s="37" t="str">
        <x:v>Masked ordinal-role × target-identity composition</x:v>
      </x:c>
      <x:c r="E603" s="37" t="str">
        <x:v>n=4; physical role=L1; direct identity=airplane toy with propellers</x:v>
      </x:c>
      <x:c r="F603" s="37" t="str">
        <x:v>ordering_n4_l1_airplane_toy_with_propellers_masked</x:v>
      </x:c>
      <x:c r="G603" s="37" t="str">
        <x:v>selected sequence-length × physical ordinal role × target-identity cells listed on Holdout Map</x:v>
      </x:c>
      <x:c r="H603" s="37" t="str">
        <x:v>Yes</x:v>
      </x:c>
      <x:c r="I603" s="37" t="str">
        <x:v>Replace prompt only</x:v>
      </x:c>
      <x:c r="J603" s="37" t="str">
        <x:v>Prompt-only relabeling; preserve episode 601 video, scene, trajectory, target, and start position.</x:v>
      </x:c>
      <x:c r="K603" s="37" t="str">
        <x:v>airplane toy with propellers, blue tape ball, yellow pen, green highlighter</x:v>
      </x:c>
      <x:c r="L603" s="37" t="str">
        <x:v>airplane toy with propellers</x:v>
      </x:c>
      <x:c r="M603" s="37" t="str">
        <x:v>Home</x:v>
      </x:c>
      <x:c r="N603" s="37" t="str">
        <x:v>Put the first object from the left in the bowl.</x:v>
      </x:c>
      <x:c r="O603" s="37" t="str">
        <x:v>Put the object that is first from the left in the bowl. | Pick up the object that is fourth from the right and place it in the bowl.</x:v>
      </x:c>
      <x:c r="P603" s="37" t="str">
        <x:v>Both logically equivalent ordinal descriptions of L1 are withheld for airplane toy with propellers at sequence length 4, while the same trajectory remains under a direct-name instruction.</x:v>
      </x:c>
      <x:c r="Q603" s="38" t="n">
        <x:v>4</x:v>
      </x:c>
    </x:row>
    <x:row r="604" ht="60" customHeight="1">
      <x:c r="A604" s="70" t="n">
        <x:v>602</x:v>
      </x:c>
      <x:c r="B604" s="37" t="str">
        <x:v>Ordering/Sequencing</x:v>
      </x:c>
      <x:c r="C604" s="37" t="str">
        <x:v>Pick up the airplane toy with propellers and place it in the bowl.</x:v>
      </x:c>
      <x:c r="D604" s="37" t="str">
        <x:v>Masked ordinal-role × target-identity composition</x:v>
      </x:c>
      <x:c r="E604" s="37" t="str">
        <x:v>n=4; physical role=L1; direct identity=airplane toy with propellers</x:v>
      </x:c>
      <x:c r="F604" s="37" t="str">
        <x:v>ordering_n4_l1_airplane_toy_with_propellers_masked</x:v>
      </x:c>
      <x:c r="G604" s="37" t="str">
        <x:v>selected sequence-length × physical ordinal role × target-identity cells listed on Holdout Map</x:v>
      </x:c>
      <x:c r="H604" s="37" t="str">
        <x:v>Yes</x:v>
      </x:c>
      <x:c r="I604" s="37" t="str">
        <x:v>Replace prompt only</x:v>
      </x:c>
      <x:c r="J604" s="37" t="str">
        <x:v>Prompt-only relabeling; preserve episode 602 video, scene, trajectory, target, and start position.</x:v>
      </x:c>
      <x:c r="K604" s="37" t="str">
        <x:v>airplane toy with propellers, green highlighter, blue tape ball, yellow pen</x:v>
      </x:c>
      <x:c r="L604" s="37" t="str">
        <x:v>airplane toy with propellers</x:v>
      </x:c>
      <x:c r="M604" s="37" t="str">
        <x:v>Home</x:v>
      </x:c>
      <x:c r="N604" s="37" t="str">
        <x:v>Pick up the object that is fourth from the right and place it in the bowl.</x:v>
      </x:c>
      <x:c r="O604" s="37" t="str">
        <x:v>Pick up the object that is first from the left and place it in the bowl. | Move the fourth from the right object into the bowl.</x:v>
      </x:c>
      <x:c r="P604" s="37" t="str">
        <x:v>Both logically equivalent ordinal descriptions of L1 are withheld for airplane toy with propellers at sequence length 4, while the same trajectory remains under a direct-name instruction.</x:v>
      </x:c>
      <x:c r="Q604" s="38" t="n">
        <x:v>4</x:v>
      </x:c>
    </x:row>
    <x:row r="605" ht="60" customHeight="1">
      <x:c r="A605" s="70" t="n">
        <x:v>603</x:v>
      </x:c>
      <x:c r="B605" s="37" t="str">
        <x:v>Ordering/Sequencing</x:v>
      </x:c>
      <x:c r="C605" s="37" t="str">
        <x:v>Move the airplane toy with propellers into the bowl.</x:v>
      </x:c>
      <x:c r="D605" s="37" t="str">
        <x:v>Masked ordinal-role × target-identity composition</x:v>
      </x:c>
      <x:c r="E605" s="37" t="str">
        <x:v>n=4; physical role=L1; direct identity=airplane toy with propellers</x:v>
      </x:c>
      <x:c r="F605" s="37" t="str">
        <x:v>ordering_n4_l1_airplane_toy_with_propellers_masked</x:v>
      </x:c>
      <x:c r="G605" s="37" t="str">
        <x:v>selected sequence-length × physical ordinal role × target-identity cells listed on Holdout Map</x:v>
      </x:c>
      <x:c r="H605" s="37" t="str">
        <x:v>Yes</x:v>
      </x:c>
      <x:c r="I605" s="37" t="str">
        <x:v>Replace prompt only</x:v>
      </x:c>
      <x:c r="J605" s="37" t="str">
        <x:v>Prompt-only relabeling; preserve episode 603 video, scene, trajectory, target, and start position.</x:v>
      </x:c>
      <x:c r="K605" s="37" t="str">
        <x:v>airplane toy with propellers, green highlighter, yellow pen, blue tape ball</x:v>
      </x:c>
      <x:c r="L605" s="37" t="str">
        <x:v>airplane toy with propellers</x:v>
      </x:c>
      <x:c r="M605" s="37" t="str">
        <x:v>Home</x:v>
      </x:c>
      <x:c r="N605" s="37" t="str">
        <x:v>Move the first item counted from the left into the bowl.</x:v>
      </x:c>
      <x:c r="O605" s="37" t="str">
        <x:v>Move the first from the left object into the bowl. | Put the object that is fourth from the right in the bowl.</x:v>
      </x:c>
      <x:c r="P605" s="37" t="str">
        <x:v>Both logically equivalent ordinal descriptions of L1 are withheld for airplane toy with propellers at sequence length 4, while the same trajectory remains under a direct-name instruction.</x:v>
      </x:c>
      <x:c r="Q605" s="38" t="n">
        <x:v>4</x:v>
      </x:c>
    </x:row>
    <x:row r="606" ht="60" customHeight="1">
      <x:c r="A606" s="70" t="n">
        <x:v>604</x:v>
      </x:c>
      <x:c r="B606" s="37" t="str">
        <x:v>Ordering/Sequencing</x:v>
      </x:c>
      <x:c r="C606" s="37" t="str">
        <x:v>Put the third object from the right in the bowl.</x:v>
      </x:c>
      <x:c r="D606" s="37" t="str">
        <x:v>Explicit ordinal grounding</x:v>
      </x:c>
      <x:c r="E606" s="37" t="str">
        <x:v>n=3; physical role=L1; expression=third from the right; target=airplane toy with propellers</x:v>
      </x:c>
      <x:c r="F606" s="37" t="str">
        <x:v>ordering_n3_l1_airplane_toy_with_propellers_explicit</x:v>
      </x:c>
      <x:c r="G606" s="37" t="str">
        <x:v>selected sequence-length × physical ordinal role × target-identity cells listed on Holdout Map</x:v>
      </x:c>
      <x:c r="H606" s="37" t="str">
        <x:v>No</x:v>
      </x:c>
      <x:c r="I606" s="37" t="str">
        <x:v>Keep prompt</x:v>
      </x:c>
      <x:c r="J606" s="37" t="str">
        <x:v>No prompt change required under the missing-cell design.</x:v>
      </x:c>
      <x:c r="K606" s="37" t="str">
        <x:v>airplane toy with propellers, yellow pen, blue tape ball</x:v>
      </x:c>
      <x:c r="L606" s="37" t="str">
        <x:v>airplane toy with propellers</x:v>
      </x:c>
      <x:c r="M606" s="37" t="str">
        <x:v>Home</x:v>
      </x:c>
      <x:c r="N606" s="37" t="str">
        <x:v>Put the third object from the right in the bowl.</x:v>
      </x:c>
      <x:c r="O606" s="37" t="str"/>
      <x:c r="P606" s="37" t="str">
        <x:v>Explicitly grounds ordinal role L1 at sequence length 3 with airplane toy with propellers; selected object-role cells are masked instead of withholding an ordinal word or output position.</x:v>
      </x:c>
      <x:c r="Q606" s="38" t="n">
        <x:v>3</x:v>
      </x:c>
    </x:row>
    <x:row r="607" ht="60" customHeight="1">
      <x:c r="A607" s="70" t="n">
        <x:v>605</x:v>
      </x:c>
      <x:c r="B607" s="37" t="str">
        <x:v>Ordering/Sequencing</x:v>
      </x:c>
      <x:c r="C607" s="37" t="str">
        <x:v>Put the third object from the right in the bowl.</x:v>
      </x:c>
      <x:c r="D607" s="37" t="str">
        <x:v>Explicit ordinal grounding</x:v>
      </x:c>
      <x:c r="E607" s="37" t="str">
        <x:v>n=3; physical role=L1; expression=third from the right; target=airplane toy with propellers</x:v>
      </x:c>
      <x:c r="F607" s="37" t="str">
        <x:v>ordering_n3_l1_airplane_toy_with_propellers_explicit</x:v>
      </x:c>
      <x:c r="G607" s="37" t="str">
        <x:v>selected sequence-length × physical ordinal role × target-identity cells listed on Holdout Map</x:v>
      </x:c>
      <x:c r="H607" s="37" t="str">
        <x:v>No</x:v>
      </x:c>
      <x:c r="I607" s="37" t="str">
        <x:v>Keep prompt</x:v>
      </x:c>
      <x:c r="J607" s="37" t="str">
        <x:v>No prompt change required under the missing-cell design.</x:v>
      </x:c>
      <x:c r="K607" s="37" t="str">
        <x:v>airplane toy with propellers, yellow pen, green highlighter</x:v>
      </x:c>
      <x:c r="L607" s="37" t="str">
        <x:v>airplane toy with propellers</x:v>
      </x:c>
      <x:c r="M607" s="37" t="str">
        <x:v>Home</x:v>
      </x:c>
      <x:c r="N607" s="37" t="str">
        <x:v>Put the third object from the right in the bowl.</x:v>
      </x:c>
      <x:c r="O607" s="37" t="str"/>
      <x:c r="P607" s="37" t="str">
        <x:v>Explicitly grounds ordinal role L1 at sequence length 3 with airplane toy with propellers; selected object-role cells are masked instead of withholding an ordinal word or output position.</x:v>
      </x:c>
      <x:c r="Q607" s="38" t="n">
        <x:v>3</x:v>
      </x:c>
    </x:row>
    <x:row r="608" ht="60" customHeight="1">
      <x:c r="A608" s="70" t="n">
        <x:v>606</x:v>
      </x:c>
      <x:c r="B608" s="37" t="str">
        <x:v>Ordering/Sequencing</x:v>
      </x:c>
      <x:c r="C608" s="37" t="str">
        <x:v>Pick up the object that is third from the right and place it in the bowl.</x:v>
      </x:c>
      <x:c r="D608" s="37" t="str">
        <x:v>Explicit ordinal grounding</x:v>
      </x:c>
      <x:c r="E608" s="37" t="str">
        <x:v>n=3; physical role=L1; expression=third from the right; target=airplane toy with propellers</x:v>
      </x:c>
      <x:c r="F608" s="37" t="str">
        <x:v>ordering_n3_l1_airplane_toy_with_propellers_explicit</x:v>
      </x:c>
      <x:c r="G608" s="37" t="str">
        <x:v>selected sequence-length × physical ordinal role × target-identity cells listed on Holdout Map</x:v>
      </x:c>
      <x:c r="H608" s="37" t="str">
        <x:v>No</x:v>
      </x:c>
      <x:c r="I608" s="37" t="str">
        <x:v>Keep prompt</x:v>
      </x:c>
      <x:c r="J608" s="37" t="str">
        <x:v>No prompt change required under the missing-cell design.</x:v>
      </x:c>
      <x:c r="K608" s="37" t="str">
        <x:v>airplane toy with propellers, blue tape ball, green highlighter</x:v>
      </x:c>
      <x:c r="L608" s="37" t="str">
        <x:v>airplane toy with propellers</x:v>
      </x:c>
      <x:c r="M608" s="37" t="str">
        <x:v>Home</x:v>
      </x:c>
      <x:c r="N608" s="37" t="str">
        <x:v>Pick up the object that is third from the right and place it in the bowl.</x:v>
      </x:c>
      <x:c r="O608" s="37" t="str"/>
      <x:c r="P608" s="37" t="str">
        <x:v>Explicitly grounds ordinal role L1 at sequence length 3 with airplane toy with propellers; selected object-role cells are masked instead of withholding an ordinal word or output position.</x:v>
      </x:c>
      <x:c r="Q608" s="38" t="n">
        <x:v>3</x:v>
      </x:c>
    </x:row>
    <x:row r="609" ht="60" customHeight="1">
      <x:c r="A609" s="70" t="n">
        <x:v>607</x:v>
      </x:c>
      <x:c r="B609" s="37" t="str">
        <x:v>Ordering/Sequencing</x:v>
      </x:c>
      <x:c r="C609" s="37" t="str">
        <x:v>Move the first item counted from the left into the bowl.</x:v>
      </x:c>
      <x:c r="D609" s="37" t="str">
        <x:v>Explicit ordinal grounding</x:v>
      </x:c>
      <x:c r="E609" s="37" t="str">
        <x:v>n=3; physical role=L1; expression=first from the left; target=airplane toy with propellers</x:v>
      </x:c>
      <x:c r="F609" s="37" t="str">
        <x:v>ordering_n3_l1_airplane_toy_with_propellers_explicit</x:v>
      </x:c>
      <x:c r="G609" s="37" t="str">
        <x:v>selected sequence-length × physical ordinal role × target-identity cells listed on Holdout Map</x:v>
      </x:c>
      <x:c r="H609" s="37" t="str">
        <x:v>No</x:v>
      </x:c>
      <x:c r="I609" s="37" t="str">
        <x:v>Keep prompt</x:v>
      </x:c>
      <x:c r="J609" s="37" t="str">
        <x:v>No prompt change required under the missing-cell design.</x:v>
      </x:c>
      <x:c r="K609" s="37" t="str">
        <x:v>airplane toy with propellers, green highlighter, blue tape ball</x:v>
      </x:c>
      <x:c r="L609" s="37" t="str">
        <x:v>airplane toy with propellers</x:v>
      </x:c>
      <x:c r="M609" s="37" t="str">
        <x:v>Home</x:v>
      </x:c>
      <x:c r="N609" s="37" t="str">
        <x:v>Move the first item counted from the left into the bowl.</x:v>
      </x:c>
      <x:c r="O609" s="37" t="str"/>
      <x:c r="P609" s="37" t="str">
        <x:v>Explicitly grounds ordinal role L1 at sequence length 3 with airplane toy with propellers; selected object-role cells are masked instead of withholding an ordinal word or output position.</x:v>
      </x:c>
      <x:c r="Q609" s="38" t="n">
        <x:v>3</x:v>
      </x:c>
    </x:row>
    <x:row r="610" ht="60" customHeight="1">
      <x:c r="A610" s="70" t="n">
        <x:v>608</x:v>
      </x:c>
      <x:c r="B610" s="37" t="str">
        <x:v>Ordering/Sequencing</x:v>
      </x:c>
      <x:c r="C610" s="37" t="str">
        <x:v>Pick up the airplane toy with propellers and place it in the bowl.</x:v>
      </x:c>
      <x:c r="D610" s="37" t="str">
        <x:v>Masked ordinal-role × target-identity composition</x:v>
      </x:c>
      <x:c r="E610" s="37" t="str">
        <x:v>n=2; physical role=L1; direct identity=airplane toy with propellers</x:v>
      </x:c>
      <x:c r="F610" s="37" t="str">
        <x:v>ordering_n2_l1_airplane_toy_with_propellers_masked</x:v>
      </x:c>
      <x:c r="G610" s="37" t="str">
        <x:v>selected sequence-length × physical ordinal role × target-identity cells listed on Holdout Map</x:v>
      </x:c>
      <x:c r="H610" s="37" t="str">
        <x:v>Yes</x:v>
      </x:c>
      <x:c r="I610" s="37" t="str">
        <x:v>Replace prompt only</x:v>
      </x:c>
      <x:c r="J610" s="37" t="str">
        <x:v>Prompt-only relabeling; preserve episode 608 video, scene, trajectory, target, and start position.</x:v>
      </x:c>
      <x:c r="K610" s="37" t="str">
        <x:v>airplane toy with propellers, blue tape ball</x:v>
      </x:c>
      <x:c r="L610" s="37" t="str">
        <x:v>airplane toy with propellers</x:v>
      </x:c>
      <x:c r="M610" s="37" t="str">
        <x:v>Home</x:v>
      </x:c>
      <x:c r="N610" s="37" t="str">
        <x:v>Move the second item counted from the right into the bowl.</x:v>
      </x:c>
      <x:c r="O610" s="37" t="str">
        <x:v>Pick up the object that is first from the left and place it in the bowl. | Move the second from the right object into the bowl.</x:v>
      </x:c>
      <x:c r="P610" s="37" t="str">
        <x:v>Both logically equivalent ordinal descriptions of L1 are withheld for airplane toy with propellers at sequence length 2, while the same trajectory remains under a direct-name instruction.</x:v>
      </x:c>
      <x:c r="Q610" s="38" t="n">
        <x:v>2</x:v>
      </x:c>
    </x:row>
    <x:row r="611" ht="60" customHeight="1">
      <x:c r="A611" s="70" t="n">
        <x:v>609</x:v>
      </x:c>
      <x:c r="B611" s="37" t="str">
        <x:v>Ordering/Sequencing</x:v>
      </x:c>
      <x:c r="C611" s="37" t="str">
        <x:v>Move the airplane toy with propellers into the bowl.</x:v>
      </x:c>
      <x:c r="D611" s="37" t="str">
        <x:v>Masked ordinal-role × target-identity composition</x:v>
      </x:c>
      <x:c r="E611" s="37" t="str">
        <x:v>n=2; physical role=L1; direct identity=airplane toy with propellers</x:v>
      </x:c>
      <x:c r="F611" s="37" t="str">
        <x:v>ordering_n2_l1_airplane_toy_with_propellers_masked</x:v>
      </x:c>
      <x:c r="G611" s="37" t="str">
        <x:v>selected sequence-length × physical ordinal role × target-identity cells listed on Holdout Map</x:v>
      </x:c>
      <x:c r="H611" s="37" t="str">
        <x:v>Yes</x:v>
      </x:c>
      <x:c r="I611" s="37" t="str">
        <x:v>Replace prompt only</x:v>
      </x:c>
      <x:c r="J611" s="37" t="str">
        <x:v>Prompt-only relabeling; preserve episode 609 video, scene, trajectory, target, and start position.</x:v>
      </x:c>
      <x:c r="K611" s="37" t="str">
        <x:v>airplane toy with propellers, green highlighter</x:v>
      </x:c>
      <x:c r="L611" s="37" t="str">
        <x:v>airplane toy with propellers</x:v>
      </x:c>
      <x:c r="M611" s="37" t="str">
        <x:v>Home</x:v>
      </x:c>
      <x:c r="N611" s="37" t="str">
        <x:v>Pick up the object that is second from the right and place it in the bowl.</x:v>
      </x:c>
      <x:c r="O611" s="37" t="str">
        <x:v>Move the first from the left object into the bowl. | Put the object that is second from the right in the bowl.</x:v>
      </x:c>
      <x:c r="P611" s="37" t="str">
        <x:v>Both logically equivalent ordinal descriptions of L1 are withheld for airplane toy with propellers at sequence length 2, while the same trajectory remains under a direct-name instruction.</x:v>
      </x:c>
      <x:c r="Q611" s="38" t="n">
        <x:v>2</x:v>
      </x:c>
    </x:row>
    <x:row r="612" ht="60" customHeight="1">
      <x:c r="A612" s="70" t="n">
        <x:v>610</x:v>
      </x:c>
      <x:c r="B612" s="37" t="str">
        <x:v>Ordering/Sequencing</x:v>
      </x:c>
      <x:c r="C612" s="37" t="str">
        <x:v>Put the airplane toy with propellers in the bowl.</x:v>
      </x:c>
      <x:c r="D612" s="37" t="str">
        <x:v>Masked ordinal-role × target-identity composition</x:v>
      </x:c>
      <x:c r="E612" s="37" t="str">
        <x:v>n=2; physical role=L1; direct identity=airplane toy with propellers</x:v>
      </x:c>
      <x:c r="F612" s="37" t="str">
        <x:v>ordering_n2_l1_airplane_toy_with_propellers_masked</x:v>
      </x:c>
      <x:c r="G612" s="37" t="str">
        <x:v>selected sequence-length × physical ordinal role × target-identity cells listed on Holdout Map</x:v>
      </x:c>
      <x:c r="H612" s="37" t="str">
        <x:v>Yes</x:v>
      </x:c>
      <x:c r="I612" s="37" t="str">
        <x:v>Replace prompt only</x:v>
      </x:c>
      <x:c r="J612" s="37" t="str">
        <x:v>Prompt-only relabeling; preserve episode 610 video, scene, trajectory, target, and start position.</x:v>
      </x:c>
      <x:c r="K612" s="37" t="str">
        <x:v>airplane toy with propellers, yellow pen</x:v>
      </x:c>
      <x:c r="L612" s="37" t="str">
        <x:v>airplane toy with propellers</x:v>
      </x:c>
      <x:c r="M612" s="37" t="str">
        <x:v>Recovery</x:v>
      </x:c>
      <x:c r="N612" s="37" t="str">
        <x:v>Pick up the object that is second from the right and place it in the bowl.</x:v>
      </x:c>
      <x:c r="O612" s="37" t="str">
        <x:v>Put the object that is first from the left in the bowl. | Pick up the object that is second from the right and place it in the bowl.</x:v>
      </x:c>
      <x:c r="P612" s="37" t="str">
        <x:v>Both logically equivalent ordinal descriptions of L1 are withheld for airplane toy with propellers at sequence length 2, while the same trajectory remains under a direct-name instruction.</x:v>
      </x:c>
      <x:c r="Q612" s="38" t="n">
        <x:v>2</x:v>
      </x:c>
    </x:row>
    <x:row r="613" ht="60" customHeight="1">
      <x:c r="A613" s="70" t="n">
        <x:v>611</x:v>
      </x:c>
      <x:c r="B613" s="37" t="str">
        <x:v>Ordering/Sequencing</x:v>
      </x:c>
      <x:c r="C613" s="37" t="str">
        <x:v>Pick up the airplane toy with propellers and place it in the bowl.</x:v>
      </x:c>
      <x:c r="D613" s="37" t="str">
        <x:v>Masked ordinal-role × target-identity composition</x:v>
      </x:c>
      <x:c r="E613" s="37" t="str">
        <x:v>n=2; physical role=L1; direct identity=airplane toy with propellers</x:v>
      </x:c>
      <x:c r="F613" s="37" t="str">
        <x:v>ordering_n2_l1_airplane_toy_with_propellers_masked</x:v>
      </x:c>
      <x:c r="G613" s="37" t="str">
        <x:v>selected sequence-length × physical ordinal role × target-identity cells listed on Holdout Map</x:v>
      </x:c>
      <x:c r="H613" s="37" t="str">
        <x:v>Yes</x:v>
      </x:c>
      <x:c r="I613" s="37" t="str">
        <x:v>Replace prompt only</x:v>
      </x:c>
      <x:c r="J613" s="37" t="str">
        <x:v>Prompt-only relabeling; preserve episode 611 video, scene, trajectory, target, and start position.</x:v>
      </x:c>
      <x:c r="K613" s="37" t="str">
        <x:v>airplane toy with propellers, blue tape ball</x:v>
      </x:c>
      <x:c r="L613" s="37" t="str">
        <x:v>airplane toy with propellers</x:v>
      </x:c>
      <x:c r="M613" s="37" t="str">
        <x:v>Recovery</x:v>
      </x:c>
      <x:c r="N613" s="37" t="str">
        <x:v>Pick up the object that is first from the left and place it in the bowl.</x:v>
      </x:c>
      <x:c r="O613" s="37" t="str">
        <x:v>Pick up the object that is first from the left and place it in the bowl. | Move the second from the right object into the bowl.</x:v>
      </x:c>
      <x:c r="P613" s="37" t="str">
        <x:v>Both logically equivalent ordinal descriptions of L1 are withheld for airplane toy with propellers at sequence length 2, while the same trajectory remains under a direct-name instruction.</x:v>
      </x:c>
      <x:c r="Q613" s="38" t="n">
        <x:v>2</x:v>
      </x:c>
    </x:row>
    <x:row r="614" ht="60" customHeight="1">
      <x:c r="A614" s="70" t="n">
        <x:v>612</x:v>
      </x:c>
      <x:c r="B614" s="37" t="str">
        <x:v>Ordering/Sequencing</x:v>
      </x:c>
      <x:c r="C614" s="37" t="str">
        <x:v>Move the airplane toy with propellers into the bowl.</x:v>
      </x:c>
      <x:c r="D614" s="37" t="str">
        <x:v>Masked ordinal-role × target-identity composition</x:v>
      </x:c>
      <x:c r="E614" s="37" t="str">
        <x:v>n=2; physical role=L1; direct identity=airplane toy with propellers</x:v>
      </x:c>
      <x:c r="F614" s="37" t="str">
        <x:v>ordering_n2_l1_airplane_toy_with_propellers_masked</x:v>
      </x:c>
      <x:c r="G614" s="37" t="str">
        <x:v>selected sequence-length × physical ordinal role × target-identity cells listed on Holdout Map</x:v>
      </x:c>
      <x:c r="H614" s="37" t="str">
        <x:v>Yes</x:v>
      </x:c>
      <x:c r="I614" s="37" t="str">
        <x:v>Replace prompt only</x:v>
      </x:c>
      <x:c r="J614" s="37" t="str">
        <x:v>Prompt-only relabeling; preserve episode 612 video, scene, trajectory, target, and start position.</x:v>
      </x:c>
      <x:c r="K614" s="37" t="str">
        <x:v>airplane toy with propellers, green highlighter</x:v>
      </x:c>
      <x:c r="L614" s="37" t="str">
        <x:v>airplane toy with propellers</x:v>
      </x:c>
      <x:c r="M614" s="37" t="str">
        <x:v>Recovery</x:v>
      </x:c>
      <x:c r="N614" s="37" t="str">
        <x:v>Pick up the object that is second from the right and place it in the bowl.</x:v>
      </x:c>
      <x:c r="O614" s="37" t="str">
        <x:v>Move the first from the left object into the bowl. | Put the object that is second from the right in the bowl.</x:v>
      </x:c>
      <x:c r="P614" s="37" t="str">
        <x:v>Both logically equivalent ordinal descriptions of L1 are withheld for airplane toy with propellers at sequence length 2, while the same trajectory remains under a direct-name instruction.</x:v>
      </x:c>
      <x:c r="Q614" s="38" t="n">
        <x:v>2</x:v>
      </x:c>
    </x:row>
    <x:row r="615" ht="60" customHeight="1">
      <x:c r="A615" s="70" t="n">
        <x:v>613</x:v>
      </x:c>
      <x:c r="B615" s="37" t="str">
        <x:v>Ordering/Sequencing</x:v>
      </x:c>
      <x:c r="C615" s="37" t="str">
        <x:v>Pick up the object that is second from the left and place it in the bowl.</x:v>
      </x:c>
      <x:c r="D615" s="37" t="str">
        <x:v>Explicit ordinal grounding</x:v>
      </x:c>
      <x:c r="E615" s="37" t="str">
        <x:v>n=4; physical role=L2; expression=second from the left; target=airplane toy with propellers</x:v>
      </x:c>
      <x:c r="F615" s="37" t="str">
        <x:v>ordering_n4_l2_airplane_toy_with_propellers_explicit</x:v>
      </x:c>
      <x:c r="G615" s="37" t="str">
        <x:v>selected sequence-length × physical ordinal role × target-identity cells listed on Holdout Map</x:v>
      </x:c>
      <x:c r="H615" s="37" t="str">
        <x:v>No</x:v>
      </x:c>
      <x:c r="I615" s="37" t="str">
        <x:v>Keep prompt</x:v>
      </x:c>
      <x:c r="J615" s="37" t="str">
        <x:v>No prompt change required under the missing-cell design.</x:v>
      </x:c>
      <x:c r="K615" s="37" t="str">
        <x:v>blue tape ball, airplane toy with propellers, green highlighter, yellow pen</x:v>
      </x:c>
      <x:c r="L615" s="37" t="str">
        <x:v>airplane toy with propellers</x:v>
      </x:c>
      <x:c r="M615" s="37" t="str">
        <x:v>Home</x:v>
      </x:c>
      <x:c r="N615" s="37" t="str">
        <x:v>Pick up the object that is second from the left and place it in the bowl.</x:v>
      </x:c>
      <x:c r="O615" s="37" t="str"/>
      <x:c r="P615" s="37" t="str">
        <x:v>Explicitly grounds ordinal role L2 at sequence length 4 with airplane toy with propellers; selected object-role cells are masked instead of withholding an ordinal word or output position.</x:v>
      </x:c>
      <x:c r="Q615" s="38" t="n">
        <x:v>4</x:v>
      </x:c>
    </x:row>
    <x:row r="616" ht="60" customHeight="1">
      <x:c r="A616" s="70" t="n">
        <x:v>614</x:v>
      </x:c>
      <x:c r="B616" s="37" t="str">
        <x:v>Ordering/Sequencing</x:v>
      </x:c>
      <x:c r="C616" s="37" t="str">
        <x:v>Put the second object from the left in the bowl.</x:v>
      </x:c>
      <x:c r="D616" s="37" t="str">
        <x:v>Explicit ordinal grounding</x:v>
      </x:c>
      <x:c r="E616" s="37" t="str">
        <x:v>n=4; physical role=L2; expression=second from the left; target=airplane toy with propellers</x:v>
      </x:c>
      <x:c r="F616" s="37" t="str">
        <x:v>ordering_n4_l2_airplane_toy_with_propellers_explicit</x:v>
      </x:c>
      <x:c r="G616" s="37" t="str">
        <x:v>selected sequence-length × physical ordinal role × target-identity cells listed on Holdout Map</x:v>
      </x:c>
      <x:c r="H616" s="37" t="str">
        <x:v>No</x:v>
      </x:c>
      <x:c r="I616" s="37" t="str">
        <x:v>Keep prompt</x:v>
      </x:c>
      <x:c r="J616" s="37" t="str">
        <x:v>No prompt change required under the missing-cell design.</x:v>
      </x:c>
      <x:c r="K616" s="37" t="str">
        <x:v>blue tape ball, airplane toy with propellers, yellow pen, green highlighter</x:v>
      </x:c>
      <x:c r="L616" s="37" t="str">
        <x:v>airplane toy with propellers</x:v>
      </x:c>
      <x:c r="M616" s="37" t="str">
        <x:v>Home</x:v>
      </x:c>
      <x:c r="N616" s="37" t="str">
        <x:v>Put the second object from the left in the bowl.</x:v>
      </x:c>
      <x:c r="O616" s="37" t="str"/>
      <x:c r="P616" s="37" t="str">
        <x:v>Explicitly grounds ordinal role L2 at sequence length 4 with airplane toy with propellers; selected object-role cells are masked instead of withholding an ordinal word or output position.</x:v>
      </x:c>
      <x:c r="Q616" s="38" t="n">
        <x:v>4</x:v>
      </x:c>
    </x:row>
    <x:row r="617" ht="60" customHeight="1">
      <x:c r="A617" s="70" t="n">
        <x:v>615</x:v>
      </x:c>
      <x:c r="B617" s="37" t="str">
        <x:v>Ordering/Sequencing</x:v>
      </x:c>
      <x:c r="C617" s="37" t="str">
        <x:v>Move the second item counted from the left into the bowl.</x:v>
      </x:c>
      <x:c r="D617" s="37" t="str">
        <x:v>Explicit ordinal grounding</x:v>
      </x:c>
      <x:c r="E617" s="37" t="str">
        <x:v>n=4; physical role=L2; expression=second from the left; target=airplane toy with propellers</x:v>
      </x:c>
      <x:c r="F617" s="37" t="str">
        <x:v>ordering_n4_l2_airplane_toy_with_propellers_explicit</x:v>
      </x:c>
      <x:c r="G617" s="37" t="str">
        <x:v>selected sequence-length × physical ordinal role × target-identity cells listed on Holdout Map</x:v>
      </x:c>
      <x:c r="H617" s="37" t="str">
        <x:v>No</x:v>
      </x:c>
      <x:c r="I617" s="37" t="str">
        <x:v>Keep prompt</x:v>
      </x:c>
      <x:c r="J617" s="37" t="str">
        <x:v>No prompt change required under the missing-cell design.</x:v>
      </x:c>
      <x:c r="K617" s="37" t="str">
        <x:v>green highlighter, airplane toy with propellers, blue tape ball, yellow pen</x:v>
      </x:c>
      <x:c r="L617" s="37" t="str">
        <x:v>airplane toy with propellers</x:v>
      </x:c>
      <x:c r="M617" s="37" t="str">
        <x:v>Home</x:v>
      </x:c>
      <x:c r="N617" s="37" t="str">
        <x:v>Move the second item counted from the left into the bowl.</x:v>
      </x:c>
      <x:c r="O617" s="37" t="str"/>
      <x:c r="P617" s="37" t="str">
        <x:v>Explicitly grounds ordinal role L2 at sequence length 4 with airplane toy with propellers; selected object-role cells are masked instead of withholding an ordinal word or output position.</x:v>
      </x:c>
      <x:c r="Q617" s="38" t="n">
        <x:v>4</x:v>
      </x:c>
    </x:row>
    <x:row r="618" ht="60" customHeight="1">
      <x:c r="A618" s="70" t="n">
        <x:v>616</x:v>
      </x:c>
      <x:c r="B618" s="37" t="str">
        <x:v>Ordering/Sequencing</x:v>
      </x:c>
      <x:c r="C618" s="37" t="str">
        <x:v>Move the second item counted from the left into the bowl.</x:v>
      </x:c>
      <x:c r="D618" s="37" t="str">
        <x:v>Explicit ordinal grounding</x:v>
      </x:c>
      <x:c r="E618" s="37" t="str">
        <x:v>n=4; physical role=L2; expression=second from the left; target=airplane toy with propellers</x:v>
      </x:c>
      <x:c r="F618" s="37" t="str">
        <x:v>ordering_n4_l2_airplane_toy_with_propellers_explicit</x:v>
      </x:c>
      <x:c r="G618" s="37" t="str">
        <x:v>selected sequence-length × physical ordinal role × target-identity cells listed on Holdout Map</x:v>
      </x:c>
      <x:c r="H618" s="37" t="str">
        <x:v>No</x:v>
      </x:c>
      <x:c r="I618" s="37" t="str">
        <x:v>Keep prompt</x:v>
      </x:c>
      <x:c r="J618" s="37" t="str">
        <x:v>No prompt change required under the missing-cell design.</x:v>
      </x:c>
      <x:c r="K618" s="37" t="str">
        <x:v>green highlighter, airplane toy with propellers, yellow pen, blue tape ball</x:v>
      </x:c>
      <x:c r="L618" s="37" t="str">
        <x:v>airplane toy with propellers</x:v>
      </x:c>
      <x:c r="M618" s="37" t="str">
        <x:v>Home</x:v>
      </x:c>
      <x:c r="N618" s="37" t="str">
        <x:v>Move the second item counted from the left into the bowl.</x:v>
      </x:c>
      <x:c r="O618" s="37" t="str"/>
      <x:c r="P618" s="37" t="str">
        <x:v>Explicitly grounds ordinal role L2 at sequence length 4 with airplane toy with propellers; selected object-role cells are masked instead of withholding an ordinal word or output position.</x:v>
      </x:c>
      <x:c r="Q618" s="38" t="n">
        <x:v>4</x:v>
      </x:c>
    </x:row>
    <x:row r="619" ht="60" customHeight="1">
      <x:c r="A619" s="70" t="n">
        <x:v>617</x:v>
      </x:c>
      <x:c r="B619" s="37" t="str">
        <x:v>Ordering/Sequencing</x:v>
      </x:c>
      <x:c r="C619" s="37" t="str">
        <x:v>Pick up the object that is third from the right and place it in the bowl.</x:v>
      </x:c>
      <x:c r="D619" s="37" t="str">
        <x:v>Explicit ordinal grounding</x:v>
      </x:c>
      <x:c r="E619" s="37" t="str">
        <x:v>n=4; physical role=L2; expression=third from the right; target=airplane toy with propellers</x:v>
      </x:c>
      <x:c r="F619" s="37" t="str">
        <x:v>ordering_n4_l2_airplane_toy_with_propellers_explicit</x:v>
      </x:c>
      <x:c r="G619" s="37" t="str">
        <x:v>selected sequence-length × physical ordinal role × target-identity cells listed on Holdout Map</x:v>
      </x:c>
      <x:c r="H619" s="37" t="str">
        <x:v>No</x:v>
      </x:c>
      <x:c r="I619" s="37" t="str">
        <x:v>Keep prompt</x:v>
      </x:c>
      <x:c r="J619" s="37" t="str">
        <x:v>No prompt change required under the missing-cell design.</x:v>
      </x:c>
      <x:c r="K619" s="37" t="str">
        <x:v>yellow pen, airplane toy with propellers, blue tape ball, green highlighter</x:v>
      </x:c>
      <x:c r="L619" s="37" t="str">
        <x:v>airplane toy with propellers</x:v>
      </x:c>
      <x:c r="M619" s="37" t="str">
        <x:v>Home</x:v>
      </x:c>
      <x:c r="N619" s="37" t="str">
        <x:v>Pick up the object that is third from the right and place it in the bowl.</x:v>
      </x:c>
      <x:c r="O619" s="37" t="str"/>
      <x:c r="P619" s="37" t="str">
        <x:v>Explicitly grounds ordinal role L2 at sequence length 4 with airplane toy with propellers; selected object-role cells are masked instead of withholding an ordinal word or output position.</x:v>
      </x:c>
      <x:c r="Q619" s="38" t="n">
        <x:v>4</x:v>
      </x:c>
    </x:row>
    <x:row r="620" ht="60" customHeight="1">
      <x:c r="A620" s="70" t="n">
        <x:v>618</x:v>
      </x:c>
      <x:c r="B620" s="37" t="str">
        <x:v>Ordering/Sequencing</x:v>
      </x:c>
      <x:c r="C620" s="37" t="str">
        <x:v>Pick up the object that is third from the right and place it in the bowl.</x:v>
      </x:c>
      <x:c r="D620" s="37" t="str">
        <x:v>Explicit ordinal grounding</x:v>
      </x:c>
      <x:c r="E620" s="37" t="str">
        <x:v>n=4; physical role=L2; expression=third from the right; target=airplane toy with propellers</x:v>
      </x:c>
      <x:c r="F620" s="37" t="str">
        <x:v>ordering_n4_l2_airplane_toy_with_propellers_explicit</x:v>
      </x:c>
      <x:c r="G620" s="37" t="str">
        <x:v>selected sequence-length × physical ordinal role × target-identity cells listed on Holdout Map</x:v>
      </x:c>
      <x:c r="H620" s="37" t="str">
        <x:v>No</x:v>
      </x:c>
      <x:c r="I620" s="37" t="str">
        <x:v>Keep prompt</x:v>
      </x:c>
      <x:c r="J620" s="37" t="str">
        <x:v>No prompt change required under the missing-cell design.</x:v>
      </x:c>
      <x:c r="K620" s="37" t="str">
        <x:v>yellow pen, airplane toy with propellers, green highlighter, blue tape ball</x:v>
      </x:c>
      <x:c r="L620" s="37" t="str">
        <x:v>airplane toy with propellers</x:v>
      </x:c>
      <x:c r="M620" s="37" t="str">
        <x:v>Home</x:v>
      </x:c>
      <x:c r="N620" s="37" t="str">
        <x:v>Pick up the object that is third from the right and place it in the bowl.</x:v>
      </x:c>
      <x:c r="O620" s="37" t="str"/>
      <x:c r="P620" s="37" t="str">
        <x:v>Explicitly grounds ordinal role L2 at sequence length 4 with airplane toy with propellers; selected object-role cells are masked instead of withholding an ordinal word or output position.</x:v>
      </x:c>
      <x:c r="Q620" s="38" t="n">
        <x:v>4</x:v>
      </x:c>
    </x:row>
    <x:row r="621" ht="60" customHeight="1">
      <x:c r="A621" s="70" t="n">
        <x:v>619</x:v>
      </x:c>
      <x:c r="B621" s="37" t="str">
        <x:v>Ordering/Sequencing</x:v>
      </x:c>
      <x:c r="C621" s="37" t="str">
        <x:v>Put the second object from the left in the bowl.</x:v>
      </x:c>
      <x:c r="D621" s="37" t="str">
        <x:v>Explicit ordinal grounding</x:v>
      </x:c>
      <x:c r="E621" s="37" t="str">
        <x:v>n=2; physical role=L2; expression=second from the left; target=airplane toy with propellers</x:v>
      </x:c>
      <x:c r="F621" s="37" t="str">
        <x:v>ordering_n2_l2_airplane_toy_with_propellers_explicit</x:v>
      </x:c>
      <x:c r="G621" s="37" t="str">
        <x:v>selected sequence-length × physical ordinal role × target-identity cells listed on Holdout Map</x:v>
      </x:c>
      <x:c r="H621" s="37" t="str">
        <x:v>No</x:v>
      </x:c>
      <x:c r="I621" s="37" t="str">
        <x:v>Keep prompt</x:v>
      </x:c>
      <x:c r="J621" s="37" t="str">
        <x:v>No prompt change required under the missing-cell design.</x:v>
      </x:c>
      <x:c r="K621" s="37" t="str">
        <x:v>blue tape ball, airplane toy with propellers</x:v>
      </x:c>
      <x:c r="L621" s="37" t="str">
        <x:v>airplane toy with propellers</x:v>
      </x:c>
      <x:c r="M621" s="37" t="str">
        <x:v>Home</x:v>
      </x:c>
      <x:c r="N621" s="37" t="str">
        <x:v>Put the second object from the left in the bowl.</x:v>
      </x:c>
      <x:c r="O621" s="37" t="str"/>
      <x:c r="P621" s="37" t="str">
        <x:v>Explicitly grounds ordinal role L2 at sequence length 2 with airplane toy with propellers; selected object-role cells are masked instead of withholding an ordinal word or output position.</x:v>
      </x:c>
      <x:c r="Q621" s="38" t="n">
        <x:v>2</x:v>
      </x:c>
    </x:row>
    <x:row r="622" ht="60" customHeight="1">
      <x:c r="A622" s="70" t="n">
        <x:v>620</x:v>
      </x:c>
      <x:c r="B622" s="37" t="str">
        <x:v>Ordering/Sequencing</x:v>
      </x:c>
      <x:c r="C622" s="37" t="str">
        <x:v>Put the second object from the left in the bowl.</x:v>
      </x:c>
      <x:c r="D622" s="37" t="str">
        <x:v>Explicit ordinal grounding</x:v>
      </x:c>
      <x:c r="E622" s="37" t="str">
        <x:v>n=2; physical role=L2; expression=second from the left; target=airplane toy with propellers</x:v>
      </x:c>
      <x:c r="F622" s="37" t="str">
        <x:v>ordering_n2_l2_airplane_toy_with_propellers_explicit</x:v>
      </x:c>
      <x:c r="G622" s="37" t="str">
        <x:v>selected sequence-length × physical ordinal role × target-identity cells listed on Holdout Map</x:v>
      </x:c>
      <x:c r="H622" s="37" t="str">
        <x:v>No</x:v>
      </x:c>
      <x:c r="I622" s="37" t="str">
        <x:v>Keep prompt</x:v>
      </x:c>
      <x:c r="J622" s="37" t="str">
        <x:v>No prompt change required under the missing-cell design.</x:v>
      </x:c>
      <x:c r="K622" s="37" t="str">
        <x:v>green highlighter, airplane toy with propellers</x:v>
      </x:c>
      <x:c r="L622" s="37" t="str">
        <x:v>airplane toy with propellers</x:v>
      </x:c>
      <x:c r="M622" s="37" t="str">
        <x:v>Home</x:v>
      </x:c>
      <x:c r="N622" s="37" t="str">
        <x:v>Put the second object from the left in the bowl.</x:v>
      </x:c>
      <x:c r="O622" s="37" t="str"/>
      <x:c r="P622" s="37" t="str">
        <x:v>Explicitly grounds ordinal role L2 at sequence length 2 with airplane toy with propellers; selected object-role cells are masked instead of withholding an ordinal word or output position.</x:v>
      </x:c>
      <x:c r="Q622" s="38" t="n">
        <x:v>2</x:v>
      </x:c>
    </x:row>
    <x:row r="623" ht="60" customHeight="1">
      <x:c r="A623" s="70" t="n">
        <x:v>621</x:v>
      </x:c>
      <x:c r="B623" s="37" t="str">
        <x:v>Ordering/Sequencing</x:v>
      </x:c>
      <x:c r="C623" s="37" t="str">
        <x:v>Pick up the object that is second from the left and place it in the bowl.</x:v>
      </x:c>
      <x:c r="D623" s="37" t="str">
        <x:v>Explicit ordinal grounding</x:v>
      </x:c>
      <x:c r="E623" s="37" t="str">
        <x:v>n=2; physical role=L2; expression=second from the left; target=airplane toy with propellers</x:v>
      </x:c>
      <x:c r="F623" s="37" t="str">
        <x:v>ordering_n2_l2_airplane_toy_with_propellers_explicit</x:v>
      </x:c>
      <x:c r="G623" s="37" t="str">
        <x:v>selected sequence-length × physical ordinal role × target-identity cells listed on Holdout Map</x:v>
      </x:c>
      <x:c r="H623" s="37" t="str">
        <x:v>No</x:v>
      </x:c>
      <x:c r="I623" s="37" t="str">
        <x:v>Keep prompt</x:v>
      </x:c>
      <x:c r="J623" s="37" t="str">
        <x:v>No prompt change required under the missing-cell design.</x:v>
      </x:c>
      <x:c r="K623" s="37" t="str">
        <x:v>yellow pen, airplane toy with propellers</x:v>
      </x:c>
      <x:c r="L623" s="37" t="str">
        <x:v>airplane toy with propellers</x:v>
      </x:c>
      <x:c r="M623" s="37" t="str">
        <x:v>Home</x:v>
      </x:c>
      <x:c r="N623" s="37" t="str">
        <x:v>Pick up the object that is second from the left and place it in the bowl.</x:v>
      </x:c>
      <x:c r="O623" s="37" t="str"/>
      <x:c r="P623" s="37" t="str">
        <x:v>Explicitly grounds ordinal role L2 at sequence length 2 with airplane toy with propellers; selected object-role cells are masked instead of withholding an ordinal word or output position.</x:v>
      </x:c>
      <x:c r="Q623" s="38" t="n">
        <x:v>2</x:v>
      </x:c>
    </x:row>
    <x:row r="624" ht="60" customHeight="1">
      <x:c r="A624" s="70" t="n">
        <x:v>622</x:v>
      </x:c>
      <x:c r="B624" s="37" t="str">
        <x:v>Ordering/Sequencing</x:v>
      </x:c>
      <x:c r="C624" s="37" t="str">
        <x:v>Pick up the object that is second from the left and place it in the bowl.</x:v>
      </x:c>
      <x:c r="D624" s="37" t="str">
        <x:v>Explicit ordinal grounding</x:v>
      </x:c>
      <x:c r="E624" s="37" t="str">
        <x:v>n=2; physical role=L2; expression=second from the left; target=airplane toy with propellers</x:v>
      </x:c>
      <x:c r="F624" s="37" t="str">
        <x:v>ordering_n2_l2_airplane_toy_with_propellers_explicit</x:v>
      </x:c>
      <x:c r="G624" s="37" t="str">
        <x:v>selected sequence-length × physical ordinal role × target-identity cells listed on Holdout Map</x:v>
      </x:c>
      <x:c r="H624" s="37" t="str">
        <x:v>No</x:v>
      </x:c>
      <x:c r="I624" s="37" t="str">
        <x:v>Keep prompt</x:v>
      </x:c>
      <x:c r="J624" s="37" t="str">
        <x:v>No prompt change required under the missing-cell design.</x:v>
      </x:c>
      <x:c r="K624" s="37" t="str">
        <x:v>blue tape ball, airplane toy with propellers</x:v>
      </x:c>
      <x:c r="L624" s="37" t="str">
        <x:v>airplane toy with propellers</x:v>
      </x:c>
      <x:c r="M624" s="37" t="str">
        <x:v>Home</x:v>
      </x:c>
      <x:c r="N624" s="37" t="str">
        <x:v>Pick up the object that is second from the left and place it in the bowl.</x:v>
      </x:c>
      <x:c r="O624" s="37" t="str"/>
      <x:c r="P624" s="37" t="str">
        <x:v>Explicitly grounds ordinal role L2 at sequence length 2 with airplane toy with propellers; selected object-role cells are masked instead of withholding an ordinal word or output position.</x:v>
      </x:c>
      <x:c r="Q624" s="38" t="n">
        <x:v>2</x:v>
      </x:c>
    </x:row>
    <x:row r="625" ht="60" customHeight="1">
      <x:c r="A625" s="70" t="n">
        <x:v>623</x:v>
      </x:c>
      <x:c r="B625" s="37" t="str">
        <x:v>Ordering/Sequencing</x:v>
      </x:c>
      <x:c r="C625" s="37" t="str">
        <x:v>Move the second item counted from the left into the bowl.</x:v>
      </x:c>
      <x:c r="D625" s="37" t="str">
        <x:v>Explicit ordinal grounding</x:v>
      </x:c>
      <x:c r="E625" s="37" t="str">
        <x:v>n=2; physical role=L2; expression=second from the left; target=airplane toy with propellers</x:v>
      </x:c>
      <x:c r="F625" s="37" t="str">
        <x:v>ordering_n2_l2_airplane_toy_with_propellers_explicit</x:v>
      </x:c>
      <x:c r="G625" s="37" t="str">
        <x:v>selected sequence-length × physical ordinal role × target-identity cells listed on Holdout Map</x:v>
      </x:c>
      <x:c r="H625" s="37" t="str">
        <x:v>No</x:v>
      </x:c>
      <x:c r="I625" s="37" t="str">
        <x:v>Keep prompt</x:v>
      </x:c>
      <x:c r="J625" s="37" t="str">
        <x:v>No prompt change required under the missing-cell design.</x:v>
      </x:c>
      <x:c r="K625" s="37" t="str">
        <x:v>green highlighter, airplane toy with propellers</x:v>
      </x:c>
      <x:c r="L625" s="37" t="str">
        <x:v>airplane toy with propellers</x:v>
      </x:c>
      <x:c r="M625" s="37" t="str">
        <x:v>Recovery</x:v>
      </x:c>
      <x:c r="N625" s="37" t="str">
        <x:v>Move the second item counted from the left into the bowl.</x:v>
      </x:c>
      <x:c r="O625" s="37" t="str"/>
      <x:c r="P625" s="37" t="str">
        <x:v>Explicitly grounds ordinal role L2 at sequence length 2 with airplane toy with propellers; selected object-role cells are masked instead of withholding an ordinal word or output position.</x:v>
      </x:c>
      <x:c r="Q625" s="38" t="n">
        <x:v>2</x:v>
      </x:c>
    </x:row>
    <x:row r="626" ht="60" customHeight="1">
      <x:c r="A626" s="70" t="n">
        <x:v>624</x:v>
      </x:c>
      <x:c r="B626" s="37" t="str">
        <x:v>Ordering/Sequencing</x:v>
      </x:c>
      <x:c r="C626" s="37" t="str">
        <x:v>Move the second item counted from the left into the bowl.</x:v>
      </x:c>
      <x:c r="D626" s="37" t="str">
        <x:v>Explicit ordinal grounding</x:v>
      </x:c>
      <x:c r="E626" s="37" t="str">
        <x:v>n=2; physical role=L2; expression=second from the left; target=airplane toy with propellers</x:v>
      </x:c>
      <x:c r="F626" s="37" t="str">
        <x:v>ordering_n2_l2_airplane_toy_with_propellers_explicit</x:v>
      </x:c>
      <x:c r="G626" s="37" t="str">
        <x:v>selected sequence-length × physical ordinal role × target-identity cells listed on Holdout Map</x:v>
      </x:c>
      <x:c r="H626" s="37" t="str">
        <x:v>No</x:v>
      </x:c>
      <x:c r="I626" s="37" t="str">
        <x:v>Keep prompt</x:v>
      </x:c>
      <x:c r="J626" s="37" t="str">
        <x:v>No prompt change required under the missing-cell design.</x:v>
      </x:c>
      <x:c r="K626" s="37" t="str">
        <x:v>yellow pen, airplane toy with propellers</x:v>
      </x:c>
      <x:c r="L626" s="37" t="str">
        <x:v>airplane toy with propellers</x:v>
      </x:c>
      <x:c r="M626" s="37" t="str">
        <x:v>Recovery</x:v>
      </x:c>
      <x:c r="N626" s="37" t="str">
        <x:v>Move the second item counted from the left into the bowl.</x:v>
      </x:c>
      <x:c r="O626" s="37" t="str"/>
      <x:c r="P626" s="37" t="str">
        <x:v>Explicitly grounds ordinal role L2 at sequence length 2 with airplane toy with propellers; selected object-role cells are masked instead of withholding an ordinal word or output position.</x:v>
      </x:c>
      <x:c r="Q626" s="38" t="n">
        <x:v>2</x:v>
      </x:c>
    </x:row>
    <x:row r="627" ht="60" customHeight="1">
      <x:c r="A627" s="70" t="n">
        <x:v>625</x:v>
      </x:c>
      <x:c r="B627" s="37" t="str">
        <x:v>Ordering/Sequencing</x:v>
      </x:c>
      <x:c r="C627" s="37" t="str">
        <x:v>Put the object that is second from the right in the bowl.</x:v>
      </x:c>
      <x:c r="D627" s="37" t="str">
        <x:v>Explicit ordinal grounding</x:v>
      </x:c>
      <x:c r="E627" s="37" t="str">
        <x:v>n=4; physical role=L3; expression=second from the right; target=airplane toy with propellers</x:v>
      </x:c>
      <x:c r="F627" s="37" t="str">
        <x:v>ordering_n4_l3_airplane_toy_with_propellers_explicit</x:v>
      </x:c>
      <x:c r="G627" s="37" t="str">
        <x:v>selected sequence-length × physical ordinal role × target-identity cells listed on Holdout Map</x:v>
      </x:c>
      <x:c r="H627" s="37" t="str">
        <x:v>Yes</x:v>
      </x:c>
      <x:c r="I627" s="37" t="str">
        <x:v>Replace prompt only</x:v>
      </x:c>
      <x:c r="J627" s="37" t="str">
        <x:v>Prompt-only relabeling; preserve episode 625 video, scene, trajectory, target, and start position.</x:v>
      </x:c>
      <x:c r="K627" s="37" t="str">
        <x:v>blue tape ball, green highlighter, airplane toy with propellers, yellow pen</x:v>
      </x:c>
      <x:c r="L627" s="37" t="str">
        <x:v>airplane toy with propellers</x:v>
      </x:c>
      <x:c r="M627" s="37" t="str">
        <x:v>Home</x:v>
      </x:c>
      <x:c r="N627" s="37" t="str">
        <x:v>Move the airplane toy with propellers into the bowl.</x:v>
      </x:c>
      <x:c r="O627" s="37" t="str"/>
      <x:c r="P627" s="37" t="str">
        <x:v>Explicitly grounds ordinal role L3 at sequence length 4 with airplane toy with propellers; selected object-role cells are masked instead of withholding an ordinal word or output position.</x:v>
      </x:c>
      <x:c r="Q627" s="38" t="n">
        <x:v>4</x:v>
      </x:c>
    </x:row>
    <x:row r="628" ht="60" customHeight="1">
      <x:c r="A628" s="70" t="n">
        <x:v>626</x:v>
      </x:c>
      <x:c r="B628" s="37" t="str">
        <x:v>Ordering/Sequencing</x:v>
      </x:c>
      <x:c r="C628" s="37" t="str">
        <x:v>Pick up the object that is third from the left and place it in the bowl.</x:v>
      </x:c>
      <x:c r="D628" s="37" t="str">
        <x:v>Explicit ordinal grounding</x:v>
      </x:c>
      <x:c r="E628" s="37" t="str">
        <x:v>n=4; physical role=L3; expression=third from the left; target=airplane toy with propellers</x:v>
      </x:c>
      <x:c r="F628" s="37" t="str">
        <x:v>ordering_n4_l3_airplane_toy_with_propellers_explicit</x:v>
      </x:c>
      <x:c r="G628" s="37" t="str">
        <x:v>selected sequence-length × physical ordinal role × target-identity cells listed on Holdout Map</x:v>
      </x:c>
      <x:c r="H628" s="37" t="str">
        <x:v>Yes</x:v>
      </x:c>
      <x:c r="I628" s="37" t="str">
        <x:v>Replace prompt only</x:v>
      </x:c>
      <x:c r="J628" s="37" t="str">
        <x:v>Prompt-only relabeling; preserve episode 626 video, scene, trajectory, target, and start position.</x:v>
      </x:c>
      <x:c r="K628" s="37" t="str">
        <x:v>blue tape ball, yellow pen, airplane toy with propellers, green highlighter</x:v>
      </x:c>
      <x:c r="L628" s="37" t="str">
        <x:v>airplane toy with propellers</x:v>
      </x:c>
      <x:c r="M628" s="37" t="str">
        <x:v>Home</x:v>
      </x:c>
      <x:c r="N628" s="37" t="str">
        <x:v>Put the airplane toy with propellers in the bowl.</x:v>
      </x:c>
      <x:c r="O628" s="37" t="str"/>
      <x:c r="P628" s="37" t="str">
        <x:v>Explicitly grounds ordinal role L3 at sequence length 4 with airplane toy with propellers; selected object-role cells are masked instead of withholding an ordinal word or output position.</x:v>
      </x:c>
      <x:c r="Q628" s="38" t="n">
        <x:v>4</x:v>
      </x:c>
    </x:row>
    <x:row r="629" ht="60" customHeight="1">
      <x:c r="A629" s="70" t="n">
        <x:v>627</x:v>
      </x:c>
      <x:c r="B629" s="37" t="str">
        <x:v>Ordering/Sequencing</x:v>
      </x:c>
      <x:c r="C629" s="37" t="str">
        <x:v>Move the second from the right object into the bowl.</x:v>
      </x:c>
      <x:c r="D629" s="37" t="str">
        <x:v>Explicit ordinal grounding</x:v>
      </x:c>
      <x:c r="E629" s="37" t="str">
        <x:v>n=4; physical role=L3; expression=second from the right; target=airplane toy with propellers</x:v>
      </x:c>
      <x:c r="F629" s="37" t="str">
        <x:v>ordering_n4_l3_airplane_toy_with_propellers_explicit</x:v>
      </x:c>
      <x:c r="G629" s="37" t="str">
        <x:v>selected sequence-length × physical ordinal role × target-identity cells listed on Holdout Map</x:v>
      </x:c>
      <x:c r="H629" s="37" t="str">
        <x:v>Yes</x:v>
      </x:c>
      <x:c r="I629" s="37" t="str">
        <x:v>Replace prompt only</x:v>
      </x:c>
      <x:c r="J629" s="37" t="str">
        <x:v>Prompt-only relabeling; preserve episode 627 video, scene, trajectory, target, and start position.</x:v>
      </x:c>
      <x:c r="K629" s="37" t="str">
        <x:v>green highlighter, blue tape ball, airplane toy with propellers, yellow pen</x:v>
      </x:c>
      <x:c r="L629" s="37" t="str">
        <x:v>airplane toy with propellers</x:v>
      </x:c>
      <x:c r="M629" s="37" t="str">
        <x:v>Home</x:v>
      </x:c>
      <x:c r="N629" s="37" t="str">
        <x:v>Pick up the airplane toy with propellers and place it in the bowl.</x:v>
      </x:c>
      <x:c r="O629" s="37" t="str"/>
      <x:c r="P629" s="37" t="str">
        <x:v>Explicitly grounds ordinal role L3 at sequence length 4 with airplane toy with propellers; selected object-role cells are masked instead of withholding an ordinal word or output position.</x:v>
      </x:c>
      <x:c r="Q629" s="38" t="n">
        <x:v>4</x:v>
      </x:c>
    </x:row>
    <x:row r="630" ht="60" customHeight="1">
      <x:c r="A630" s="70" t="n">
        <x:v>628</x:v>
      </x:c>
      <x:c r="B630" s="37" t="str">
        <x:v>Ordering/Sequencing</x:v>
      </x:c>
      <x:c r="C630" s="37" t="str">
        <x:v>Put the object that is third from the left in the bowl.</x:v>
      </x:c>
      <x:c r="D630" s="37" t="str">
        <x:v>Explicit ordinal grounding</x:v>
      </x:c>
      <x:c r="E630" s="37" t="str">
        <x:v>n=4; physical role=L3; expression=third from the left; target=airplane toy with propellers</x:v>
      </x:c>
      <x:c r="F630" s="37" t="str">
        <x:v>ordering_n4_l3_airplane_toy_with_propellers_explicit</x:v>
      </x:c>
      <x:c r="G630" s="37" t="str">
        <x:v>selected sequence-length × physical ordinal role × target-identity cells listed on Holdout Map</x:v>
      </x:c>
      <x:c r="H630" s="37" t="str">
        <x:v>Yes</x:v>
      </x:c>
      <x:c r="I630" s="37" t="str">
        <x:v>Replace prompt only</x:v>
      </x:c>
      <x:c r="J630" s="37" t="str">
        <x:v>Prompt-only relabeling; preserve episode 628 video, scene, trajectory, target, and start position.</x:v>
      </x:c>
      <x:c r="K630" s="37" t="str">
        <x:v>green highlighter, yellow pen, airplane toy with propellers, blue tape ball</x:v>
      </x:c>
      <x:c r="L630" s="37" t="str">
        <x:v>airplane toy with propellers</x:v>
      </x:c>
      <x:c r="M630" s="37" t="str">
        <x:v>Home</x:v>
      </x:c>
      <x:c r="N630" s="37" t="str">
        <x:v>Move the airplane toy with propellers into the bowl.</x:v>
      </x:c>
      <x:c r="O630" s="37" t="str"/>
      <x:c r="P630" s="37" t="str">
        <x:v>Explicitly grounds ordinal role L3 at sequence length 4 with airplane toy with propellers; selected object-role cells are masked instead of withholding an ordinal word or output position.</x:v>
      </x:c>
      <x:c r="Q630" s="38" t="n">
        <x:v>4</x:v>
      </x:c>
    </x:row>
    <x:row r="631" ht="60" customHeight="1">
      <x:c r="A631" s="70" t="n">
        <x:v>629</x:v>
      </x:c>
      <x:c r="B631" s="37" t="str">
        <x:v>Ordering/Sequencing</x:v>
      </x:c>
      <x:c r="C631" s="37" t="str">
        <x:v>Pick up the airplane toy with propellers and place it in the bowl.</x:v>
      </x:c>
      <x:c r="D631" s="37" t="str">
        <x:v>Masked ordinal-role × target-identity composition</x:v>
      </x:c>
      <x:c r="E631" s="37" t="str">
        <x:v>n=3; physical role=L3; direct identity=airplane toy with propellers</x:v>
      </x:c>
      <x:c r="F631" s="37" t="str">
        <x:v>ordering_n3_l3_airplane_toy_with_propellers_masked</x:v>
      </x:c>
      <x:c r="G631" s="37" t="str">
        <x:v>selected sequence-length × physical ordinal role × target-identity cells listed on Holdout Map</x:v>
      </x:c>
      <x:c r="H631" s="37" t="str">
        <x:v>No</x:v>
      </x:c>
      <x:c r="I631" s="37" t="str">
        <x:v>Keep prompt</x:v>
      </x:c>
      <x:c r="J631" s="37" t="str">
        <x:v>No prompt change required under the missing-cell design.</x:v>
      </x:c>
      <x:c r="K631" s="37" t="str">
        <x:v>blue tape ball, green highlighter, airplane toy with propellers</x:v>
      </x:c>
      <x:c r="L631" s="37" t="str">
        <x:v>airplane toy with propellers</x:v>
      </x:c>
      <x:c r="M631" s="37" t="str">
        <x:v>Home</x:v>
      </x:c>
      <x:c r="N631" s="37" t="str">
        <x:v>Pick up the airplane toy with propellers and place it in the bowl.</x:v>
      </x:c>
      <x:c r="O631" s="37" t="str">
        <x:v>Pick up the object that is third from the left and place it in the bowl. | Move the first from the right object into the bowl.</x:v>
      </x:c>
      <x:c r="P631" s="37" t="str">
        <x:v>Both logically equivalent ordinal descriptions of L3 are withheld for airplane toy with propellers at sequence length 3, while the same trajectory remains under a direct-name instruction.</x:v>
      </x:c>
      <x:c r="Q631" s="38" t="n">
        <x:v>3</x:v>
      </x:c>
    </x:row>
    <x:row r="632" ht="60" customHeight="1">
      <x:c r="A632" s="70" t="n">
        <x:v>630</x:v>
      </x:c>
      <x:c r="B632" s="37" t="str">
        <x:v>Ordering/Sequencing</x:v>
      </x:c>
      <x:c r="C632" s="37" t="str">
        <x:v>Move the airplane toy with propellers into the bowl.</x:v>
      </x:c>
      <x:c r="D632" s="37" t="str">
        <x:v>Masked ordinal-role × target-identity composition</x:v>
      </x:c>
      <x:c r="E632" s="37" t="str">
        <x:v>n=3; physical role=L3; direct identity=airplane toy with propellers</x:v>
      </x:c>
      <x:c r="F632" s="37" t="str">
        <x:v>ordering_n3_l3_airplane_toy_with_propellers_masked</x:v>
      </x:c>
      <x:c r="G632" s="37" t="str">
        <x:v>selected sequence-length × physical ordinal role × target-identity cells listed on Holdout Map</x:v>
      </x:c>
      <x:c r="H632" s="37" t="str">
        <x:v>No</x:v>
      </x:c>
      <x:c r="I632" s="37" t="str">
        <x:v>Keep prompt</x:v>
      </x:c>
      <x:c r="J632" s="37" t="str">
        <x:v>No prompt change required under the missing-cell design.</x:v>
      </x:c>
      <x:c r="K632" s="37" t="str">
        <x:v>blue tape ball, yellow pen, airplane toy with propellers</x:v>
      </x:c>
      <x:c r="L632" s="37" t="str">
        <x:v>airplane toy with propellers</x:v>
      </x:c>
      <x:c r="M632" s="37" t="str">
        <x:v>Home</x:v>
      </x:c>
      <x:c r="N632" s="37" t="str">
        <x:v>Move the airplane toy with propellers into the bowl.</x:v>
      </x:c>
      <x:c r="O632" s="37" t="str">
        <x:v>Move the third from the left object into the bowl. | Put the object that is first from the right in the bowl.</x:v>
      </x:c>
      <x:c r="P632" s="37" t="str">
        <x:v>Both logically equivalent ordinal descriptions of L3 are withheld for airplane toy with propellers at sequence length 3, while the same trajectory remains under a direct-name instruction.</x:v>
      </x:c>
      <x:c r="Q632" s="38" t="n">
        <x:v>3</x:v>
      </x:c>
    </x:row>
    <x:row r="633" ht="60" customHeight="1">
      <x:c r="A633" s="70" t="n">
        <x:v>631</x:v>
      </x:c>
      <x:c r="B633" s="37" t="str">
        <x:v>Ordering/Sequencing</x:v>
      </x:c>
      <x:c r="C633" s="37" t="str">
        <x:v>Put the airplane toy with propellers in the bowl.</x:v>
      </x:c>
      <x:c r="D633" s="37" t="str">
        <x:v>Masked ordinal-role × target-identity composition</x:v>
      </x:c>
      <x:c r="E633" s="37" t="str">
        <x:v>n=3; physical role=L3; direct identity=airplane toy with propellers</x:v>
      </x:c>
      <x:c r="F633" s="37" t="str">
        <x:v>ordering_n3_l3_airplane_toy_with_propellers_masked</x:v>
      </x:c>
      <x:c r="G633" s="37" t="str">
        <x:v>selected sequence-length × physical ordinal role × target-identity cells listed on Holdout Map</x:v>
      </x:c>
      <x:c r="H633" s="37" t="str">
        <x:v>No</x:v>
      </x:c>
      <x:c r="I633" s="37" t="str">
        <x:v>Keep prompt</x:v>
      </x:c>
      <x:c r="J633" s="37" t="str">
        <x:v>No prompt change required under the missing-cell design.</x:v>
      </x:c>
      <x:c r="K633" s="37" t="str">
        <x:v>green highlighter, blue tape ball, airplane toy with propellers</x:v>
      </x:c>
      <x:c r="L633" s="37" t="str">
        <x:v>airplane toy with propellers</x:v>
      </x:c>
      <x:c r="M633" s="37" t="str">
        <x:v>Home</x:v>
      </x:c>
      <x:c r="N633" s="37" t="str">
        <x:v>Put the airplane toy with propellers in the bowl.</x:v>
      </x:c>
      <x:c r="O633" s="37" t="str">
        <x:v>Put the object that is third from the left in the bowl. | Pick up the object that is first from the right and place it in the bowl.</x:v>
      </x:c>
      <x:c r="P633" s="37" t="str">
        <x:v>Both logically equivalent ordinal descriptions of L3 are withheld for airplane toy with propellers at sequence length 3, while the same trajectory remains under a direct-name instruction.</x:v>
      </x:c>
      <x:c r="Q633" s="38" t="n">
        <x:v>3</x:v>
      </x:c>
    </x:row>
    <x:row r="634" ht="60" customHeight="1">
      <x:c r="A634" s="70" t="n">
        <x:v>632</x:v>
      </x:c>
      <x:c r="B634" s="37" t="str">
        <x:v>Ordering/Sequencing</x:v>
      </x:c>
      <x:c r="C634" s="37" t="str">
        <x:v>Pick up the airplane toy with propellers and place it in the bowl.</x:v>
      </x:c>
      <x:c r="D634" s="37" t="str">
        <x:v>Masked ordinal-role × target-identity composition</x:v>
      </x:c>
      <x:c r="E634" s="37" t="str">
        <x:v>n=3; physical role=L3; direct identity=airplane toy with propellers</x:v>
      </x:c>
      <x:c r="F634" s="37" t="str">
        <x:v>ordering_n3_l3_airplane_toy_with_propellers_masked</x:v>
      </x:c>
      <x:c r="G634" s="37" t="str">
        <x:v>selected sequence-length × physical ordinal role × target-identity cells listed on Holdout Map</x:v>
      </x:c>
      <x:c r="H634" s="37" t="str">
        <x:v>No</x:v>
      </x:c>
      <x:c r="I634" s="37" t="str">
        <x:v>Keep prompt</x:v>
      </x:c>
      <x:c r="J634" s="37" t="str">
        <x:v>No prompt change required under the missing-cell design.</x:v>
      </x:c>
      <x:c r="K634" s="37" t="str">
        <x:v>green highlighter, yellow pen, airplane toy with propellers</x:v>
      </x:c>
      <x:c r="L634" s="37" t="str">
        <x:v>airplane toy with propellers</x:v>
      </x:c>
      <x:c r="M634" s="37" t="str">
        <x:v>Home</x:v>
      </x:c>
      <x:c r="N634" s="37" t="str">
        <x:v>Pick up the airplane toy with propellers and place it in the bowl.</x:v>
      </x:c>
      <x:c r="O634" s="37" t="str">
        <x:v>Pick up the object that is third from the left and place it in the bowl. | Move the first from the right object into the bowl.</x:v>
      </x:c>
      <x:c r="P634" s="37" t="str">
        <x:v>Both logically equivalent ordinal descriptions of L3 are withheld for airplane toy with propellers at sequence length 3, while the same trajectory remains under a direct-name instruction.</x:v>
      </x:c>
      <x:c r="Q634" s="38" t="n">
        <x:v>3</x:v>
      </x:c>
    </x:row>
    <x:row r="635" ht="60" customHeight="1">
      <x:c r="A635" s="70" t="n">
        <x:v>633</x:v>
      </x:c>
      <x:c r="B635" s="37" t="str">
        <x:v>Ordering/Sequencing</x:v>
      </x:c>
      <x:c r="C635" s="37" t="str">
        <x:v>Put the airplane toy with propellers in the bowl.</x:v>
      </x:c>
      <x:c r="D635" s="37" t="str">
        <x:v>Masked ordinal-role × target-identity composition</x:v>
      </x:c>
      <x:c r="E635" s="37" t="str">
        <x:v>n=3; physical role=L3; direct identity=airplane toy with propellers</x:v>
      </x:c>
      <x:c r="F635" s="37" t="str">
        <x:v>ordering_n3_l3_airplane_toy_with_propellers_masked</x:v>
      </x:c>
      <x:c r="G635" s="37" t="str">
        <x:v>selected sequence-length × physical ordinal role × target-identity cells listed on Holdout Map</x:v>
      </x:c>
      <x:c r="H635" s="37" t="str">
        <x:v>No</x:v>
      </x:c>
      <x:c r="I635" s="37" t="str">
        <x:v>Keep prompt</x:v>
      </x:c>
      <x:c r="J635" s="37" t="str">
        <x:v>No prompt change required under the missing-cell design.</x:v>
      </x:c>
      <x:c r="K635" s="37" t="str">
        <x:v>yellow pen, blue tape ball, airplane toy with propellers</x:v>
      </x:c>
      <x:c r="L635" s="37" t="str">
        <x:v>airplane toy with propellers</x:v>
      </x:c>
      <x:c r="M635" s="37" t="str">
        <x:v>Home</x:v>
      </x:c>
      <x:c r="N635" s="37" t="str">
        <x:v>Put the airplane toy with propellers in the bowl.</x:v>
      </x:c>
      <x:c r="O635" s="37" t="str">
        <x:v>Move the third from the left object into the bowl. | Put the object that is first from the right in the bowl.</x:v>
      </x:c>
      <x:c r="P635" s="37" t="str">
        <x:v>Both logically equivalent ordinal descriptions of L3 are withheld for airplane toy with propellers at sequence length 3, while the same trajectory remains under a direct-name instruction.</x:v>
      </x:c>
      <x:c r="Q635" s="38" t="n">
        <x:v>3</x:v>
      </x:c>
    </x:row>
    <x:row r="636" ht="60" customHeight="1">
      <x:c r="A636" s="70" t="n">
        <x:v>634</x:v>
      </x:c>
      <x:c r="B636" s="37" t="str">
        <x:v>Ordering/Sequencing</x:v>
      </x:c>
      <x:c r="C636" s="37" t="str">
        <x:v>Move the airplane toy with propellers into the bowl.</x:v>
      </x:c>
      <x:c r="D636" s="37" t="str">
        <x:v>Masked ordinal-role × target-identity composition</x:v>
      </x:c>
      <x:c r="E636" s="37" t="str">
        <x:v>n=3; physical role=L3; direct identity=airplane toy with propellers</x:v>
      </x:c>
      <x:c r="F636" s="37" t="str">
        <x:v>ordering_n3_l3_airplane_toy_with_propellers_masked</x:v>
      </x:c>
      <x:c r="G636" s="37" t="str">
        <x:v>selected sequence-length × physical ordinal role × target-identity cells listed on Holdout Map</x:v>
      </x:c>
      <x:c r="H636" s="37" t="str">
        <x:v>No</x:v>
      </x:c>
      <x:c r="I636" s="37" t="str">
        <x:v>Keep prompt</x:v>
      </x:c>
      <x:c r="J636" s="37" t="str">
        <x:v>No prompt change required under the missing-cell design.</x:v>
      </x:c>
      <x:c r="K636" s="37" t="str">
        <x:v>yellow pen, green highlighter, airplane toy with propellers</x:v>
      </x:c>
      <x:c r="L636" s="37" t="str">
        <x:v>airplane toy with propellers</x:v>
      </x:c>
      <x:c r="M636" s="37" t="str">
        <x:v>Home</x:v>
      </x:c>
      <x:c r="N636" s="37" t="str">
        <x:v>Move the airplane toy with propellers into the bowl.</x:v>
      </x:c>
      <x:c r="O636" s="37" t="str">
        <x:v>Put the object that is third from the left in the bowl. | Pick up the object that is first from the right and place it in the bowl.</x:v>
      </x:c>
      <x:c r="P636" s="37" t="str">
        <x:v>Both logically equivalent ordinal descriptions of L3 are withheld for airplane toy with propellers at sequence length 3, while the same trajectory remains under a direct-name instruction.</x:v>
      </x:c>
      <x:c r="Q636" s="38" t="n">
        <x:v>3</x:v>
      </x:c>
    </x:row>
    <x:row r="637" ht="60" customHeight="1">
      <x:c r="A637" s="70" t="n">
        <x:v>635</x:v>
      </x:c>
      <x:c r="B637" s="37" t="str">
        <x:v>Ordering/Sequencing</x:v>
      </x:c>
      <x:c r="C637" s="37" t="str">
        <x:v>Pick up the object that is second from the right and place it in the bowl.</x:v>
      </x:c>
      <x:c r="D637" s="37" t="str">
        <x:v>Explicit ordinal grounding</x:v>
      </x:c>
      <x:c r="E637" s="37" t="str">
        <x:v>n=4; physical role=L3; expression=second from the right; target=airplane toy with propellers</x:v>
      </x:c>
      <x:c r="F637" s="37" t="str">
        <x:v>ordering_n4_l3_airplane_toy_with_propellers_explicit</x:v>
      </x:c>
      <x:c r="G637" s="37" t="str">
        <x:v>selected sequence-length × physical ordinal role × target-identity cells listed on Holdout Map</x:v>
      </x:c>
      <x:c r="H637" s="37" t="str">
        <x:v>Yes</x:v>
      </x:c>
      <x:c r="I637" s="37" t="str">
        <x:v>Replace prompt only</x:v>
      </x:c>
      <x:c r="J637" s="37" t="str">
        <x:v>Prompt-only relabeling; preserve episode 635 video, scene, trajectory, target, and start position.</x:v>
      </x:c>
      <x:c r="K637" s="37" t="str">
        <x:v>yellow pen, blue tape ball, airplane toy with propellers, green highlighter</x:v>
      </x:c>
      <x:c r="L637" s="37" t="str">
        <x:v>airplane toy with propellers</x:v>
      </x:c>
      <x:c r="M637" s="37" t="str">
        <x:v>Recovery</x:v>
      </x:c>
      <x:c r="N637" s="37" t="str">
        <x:v>Put the airplane toy with propellers in the bowl.</x:v>
      </x:c>
      <x:c r="O637" s="37" t="str"/>
      <x:c r="P637" s="37" t="str">
        <x:v>Explicitly grounds ordinal role L3 at sequence length 4 with airplane toy with propellers; selected object-role cells are masked instead of withholding an ordinal word or output position.</x:v>
      </x:c>
      <x:c r="Q637" s="38" t="n">
        <x:v>4</x:v>
      </x:c>
    </x:row>
    <x:row r="638" ht="60" customHeight="1">
      <x:c r="A638" s="70" t="n">
        <x:v>636</x:v>
      </x:c>
      <x:c r="B638" s="37" t="str">
        <x:v>Ordering/Sequencing</x:v>
      </x:c>
      <x:c r="C638" s="37" t="str">
        <x:v>Move the third from the left object into the bowl.</x:v>
      </x:c>
      <x:c r="D638" s="37" t="str">
        <x:v>Explicit ordinal grounding</x:v>
      </x:c>
      <x:c r="E638" s="37" t="str">
        <x:v>n=4; physical role=L3; expression=third from the left; target=airplane toy with propellers</x:v>
      </x:c>
      <x:c r="F638" s="37" t="str">
        <x:v>ordering_n4_l3_airplane_toy_with_propellers_explicit</x:v>
      </x:c>
      <x:c r="G638" s="37" t="str">
        <x:v>selected sequence-length × physical ordinal role × target-identity cells listed on Holdout Map</x:v>
      </x:c>
      <x:c r="H638" s="37" t="str">
        <x:v>Yes</x:v>
      </x:c>
      <x:c r="I638" s="37" t="str">
        <x:v>Replace prompt only</x:v>
      </x:c>
      <x:c r="J638" s="37" t="str">
        <x:v>Prompt-only relabeling; preserve episode 636 video, scene, trajectory, target, and start position.</x:v>
      </x:c>
      <x:c r="K638" s="37" t="str">
        <x:v>yellow pen, green highlighter, airplane toy with propellers, blue tape ball</x:v>
      </x:c>
      <x:c r="L638" s="37" t="str">
        <x:v>airplane toy with propellers</x:v>
      </x:c>
      <x:c r="M638" s="37" t="str">
        <x:v>Recovery</x:v>
      </x:c>
      <x:c r="N638" s="37" t="str">
        <x:v>Pick up the airplane toy with propellers and place it in the bowl.</x:v>
      </x:c>
      <x:c r="O638" s="37" t="str"/>
      <x:c r="P638" s="37" t="str">
        <x:v>Explicitly grounds ordinal role L3 at sequence length 4 with airplane toy with propellers; selected object-role cells are masked instead of withholding an ordinal word or output position.</x:v>
      </x:c>
      <x:c r="Q638" s="38" t="n">
        <x:v>4</x:v>
      </x:c>
    </x:row>
    <x:row r="639" ht="60" customHeight="1">
      <x:c r="A639" s="70" t="n">
        <x:v>637</x:v>
      </x:c>
      <x:c r="B639" s="37" t="str">
        <x:v>Ordering/Sequencing</x:v>
      </x:c>
      <x:c r="C639" s="37" t="str">
        <x:v>Put the object that is second from the right in the bowl.</x:v>
      </x:c>
      <x:c r="D639" s="37" t="str">
        <x:v>Explicit ordinal grounding</x:v>
      </x:c>
      <x:c r="E639" s="37" t="str">
        <x:v>n=4; physical role=L3; expression=second from the right; target=airplane toy with propellers</x:v>
      </x:c>
      <x:c r="F639" s="37" t="str">
        <x:v>ordering_n4_l3_airplane_toy_with_propellers_explicit</x:v>
      </x:c>
      <x:c r="G639" s="37" t="str">
        <x:v>selected sequence-length × physical ordinal role × target-identity cells listed on Holdout Map</x:v>
      </x:c>
      <x:c r="H639" s="37" t="str">
        <x:v>Yes</x:v>
      </x:c>
      <x:c r="I639" s="37" t="str">
        <x:v>Replace prompt only</x:v>
      </x:c>
      <x:c r="J639" s="37" t="str">
        <x:v>Prompt-only relabeling; preserve episode 637 video, scene, trajectory, target, and start position.</x:v>
      </x:c>
      <x:c r="K639" s="37" t="str">
        <x:v>blue tape ball, green highlighter, airplane toy with propellers, yellow pen</x:v>
      </x:c>
      <x:c r="L639" s="37" t="str">
        <x:v>airplane toy with propellers</x:v>
      </x:c>
      <x:c r="M639" s="37" t="str">
        <x:v>Recovery</x:v>
      </x:c>
      <x:c r="N639" s="37" t="str">
        <x:v>Move the airplane toy with propellers into the bowl.</x:v>
      </x:c>
      <x:c r="O639" s="37" t="str"/>
      <x:c r="P639" s="37" t="str">
        <x:v>Explicitly grounds ordinal role L3 at sequence length 4 with airplane toy with propellers; selected object-role cells are masked instead of withholding an ordinal word or output position.</x:v>
      </x:c>
      <x:c r="Q639" s="38" t="n">
        <x:v>4</x:v>
      </x:c>
    </x:row>
    <x:row r="640" ht="60" customHeight="1">
      <x:c r="A640" s="70" t="n">
        <x:v>638</x:v>
      </x:c>
      <x:c r="B640" s="37" t="str">
        <x:v>Ordering/Sequencing</x:v>
      </x:c>
      <x:c r="C640" s="37" t="str">
        <x:v>Pick up the object that is fourth from the left and place it in the bowl.</x:v>
      </x:c>
      <x:c r="D640" s="37" t="str">
        <x:v>Explicit ordinal grounding</x:v>
      </x:c>
      <x:c r="E640" s="37" t="str">
        <x:v>n=4; physical role=L4; expression=fourth from the left; target=airplane toy with propellers</x:v>
      </x:c>
      <x:c r="F640" s="37" t="str">
        <x:v>ordering_n4_l4_airplane_toy_with_propellers_explicit</x:v>
      </x:c>
      <x:c r="G640" s="37" t="str">
        <x:v>selected sequence-length × physical ordinal role × target-identity cells listed on Holdout Map</x:v>
      </x:c>
      <x:c r="H640" s="37" t="str">
        <x:v>Yes</x:v>
      </x:c>
      <x:c r="I640" s="37" t="str">
        <x:v>Replace prompt only</x:v>
      </x:c>
      <x:c r="J640" s="37" t="str">
        <x:v>Prompt-only relabeling; preserve episode 638 video, scene, trajectory, target, and start position.</x:v>
      </x:c>
      <x:c r="K640" s="37" t="str">
        <x:v>blue tape ball, green highlighter, yellow pen, airplane toy with propellers</x:v>
      </x:c>
      <x:c r="L640" s="37" t="str">
        <x:v>airplane toy with propellers</x:v>
      </x:c>
      <x:c r="M640" s="37" t="str">
        <x:v>Home</x:v>
      </x:c>
      <x:c r="N640" s="37" t="str">
        <x:v>Put the airplane toy with propellers in the bowl.</x:v>
      </x:c>
      <x:c r="O640" s="37" t="str"/>
      <x:c r="P640" s="37" t="str">
        <x:v>Explicitly grounds ordinal role L4 at sequence length 4 with airplane toy with propellers; selected object-role cells are masked instead of withholding an ordinal word or output position.</x:v>
      </x:c>
      <x:c r="Q640" s="38" t="n">
        <x:v>4</x:v>
      </x:c>
    </x:row>
    <x:row r="641" ht="60" customHeight="1">
      <x:c r="A641" s="70" t="n">
        <x:v>639</x:v>
      </x:c>
      <x:c r="B641" s="37" t="str">
        <x:v>Ordering/Sequencing</x:v>
      </x:c>
      <x:c r="C641" s="37" t="str">
        <x:v>Move the first from the right object into the bowl.</x:v>
      </x:c>
      <x:c r="D641" s="37" t="str">
        <x:v>Explicit ordinal grounding</x:v>
      </x:c>
      <x:c r="E641" s="37" t="str">
        <x:v>n=4; physical role=L4; expression=first from the right; target=airplane toy with propellers</x:v>
      </x:c>
      <x:c r="F641" s="37" t="str">
        <x:v>ordering_n4_l4_airplane_toy_with_propellers_explicit</x:v>
      </x:c>
      <x:c r="G641" s="37" t="str">
        <x:v>selected sequence-length × physical ordinal role × target-identity cells listed on Holdout Map</x:v>
      </x:c>
      <x:c r="H641" s="37" t="str">
        <x:v>Yes</x:v>
      </x:c>
      <x:c r="I641" s="37" t="str">
        <x:v>Replace prompt only</x:v>
      </x:c>
      <x:c r="J641" s="37" t="str">
        <x:v>Prompt-only relabeling; preserve episode 639 video, scene, trajectory, target, and start position.</x:v>
      </x:c>
      <x:c r="K641" s="37" t="str">
        <x:v>blue tape ball, yellow pen, green highlighter, airplane toy with propellers</x:v>
      </x:c>
      <x:c r="L641" s="37" t="str">
        <x:v>airplane toy with propellers</x:v>
      </x:c>
      <x:c r="M641" s="37" t="str">
        <x:v>Home</x:v>
      </x:c>
      <x:c r="N641" s="37" t="str">
        <x:v>Pick up the airplane toy with propellers and place it in the bowl.</x:v>
      </x:c>
      <x:c r="O641" s="37" t="str"/>
      <x:c r="P641" s="37" t="str">
        <x:v>Explicitly grounds ordinal role L4 at sequence length 4 with airplane toy with propellers; selected object-role cells are masked instead of withholding an ordinal word or output position.</x:v>
      </x:c>
      <x:c r="Q641" s="38" t="n">
        <x:v>4</x:v>
      </x:c>
    </x:row>
    <x:row r="642" ht="60" customHeight="1">
      <x:c r="A642" s="70" t="n">
        <x:v>640</x:v>
      </x:c>
      <x:c r="B642" s="37" t="str">
        <x:v>Ordering/Sequencing</x:v>
      </x:c>
      <x:c r="C642" s="37" t="str">
        <x:v>Put the object that is fourth from the left in the bowl.</x:v>
      </x:c>
      <x:c r="D642" s="37" t="str">
        <x:v>Explicit ordinal grounding</x:v>
      </x:c>
      <x:c r="E642" s="37" t="str">
        <x:v>n=4; physical role=L4; expression=fourth from the left; target=airplane toy with propellers</x:v>
      </x:c>
      <x:c r="F642" s="37" t="str">
        <x:v>ordering_n4_l4_airplane_toy_with_propellers_explicit</x:v>
      </x:c>
      <x:c r="G642" s="37" t="str">
        <x:v>selected sequence-length × physical ordinal role × target-identity cells listed on Holdout Map</x:v>
      </x:c>
      <x:c r="H642" s="37" t="str">
        <x:v>Yes</x:v>
      </x:c>
      <x:c r="I642" s="37" t="str">
        <x:v>Replace prompt only</x:v>
      </x:c>
      <x:c r="J642" s="37" t="str">
        <x:v>Prompt-only relabeling; preserve episode 640 video, scene, trajectory, target, and start position.</x:v>
      </x:c>
      <x:c r="K642" s="37" t="str">
        <x:v>green highlighter, blue tape ball, yellow pen, airplane toy with propellers</x:v>
      </x:c>
      <x:c r="L642" s="37" t="str">
        <x:v>airplane toy with propellers</x:v>
      </x:c>
      <x:c r="M642" s="37" t="str">
        <x:v>Home</x:v>
      </x:c>
      <x:c r="N642" s="37" t="str">
        <x:v>Move the airplane toy with propellers into the bowl.</x:v>
      </x:c>
      <x:c r="O642" s="37" t="str"/>
      <x:c r="P642" s="37" t="str">
        <x:v>Explicitly grounds ordinal role L4 at sequence length 4 with airplane toy with propellers; selected object-role cells are masked instead of withholding an ordinal word or output position.</x:v>
      </x:c>
      <x:c r="Q642" s="38" t="n">
        <x:v>4</x:v>
      </x:c>
    </x:row>
    <x:row r="643" ht="60" customHeight="1">
      <x:c r="A643" s="70" t="n">
        <x:v>641</x:v>
      </x:c>
      <x:c r="B643" s="37" t="str">
        <x:v>Ordering/Sequencing</x:v>
      </x:c>
      <x:c r="C643" s="37" t="str">
        <x:v>Pick up the object that is first from the right and place it in the bowl.</x:v>
      </x:c>
      <x:c r="D643" s="37" t="str">
        <x:v>Explicit ordinal grounding</x:v>
      </x:c>
      <x:c r="E643" s="37" t="str">
        <x:v>n=4; physical role=L4; expression=first from the right; target=airplane toy with propellers</x:v>
      </x:c>
      <x:c r="F643" s="37" t="str">
        <x:v>ordering_n4_l4_airplane_toy_with_propellers_explicit</x:v>
      </x:c>
      <x:c r="G643" s="37" t="str">
        <x:v>selected sequence-length × physical ordinal role × target-identity cells listed on Holdout Map</x:v>
      </x:c>
      <x:c r="H643" s="37" t="str">
        <x:v>Yes</x:v>
      </x:c>
      <x:c r="I643" s="37" t="str">
        <x:v>Replace prompt only</x:v>
      </x:c>
      <x:c r="J643" s="37" t="str">
        <x:v>Prompt-only relabeling; preserve episode 641 video, scene, trajectory, target, and start position.</x:v>
      </x:c>
      <x:c r="K643" s="37" t="str">
        <x:v>green highlighter, yellow pen, blue tape ball, airplane toy with propellers</x:v>
      </x:c>
      <x:c r="L643" s="37" t="str">
        <x:v>airplane toy with propellers</x:v>
      </x:c>
      <x:c r="M643" s="37" t="str">
        <x:v>Home</x:v>
      </x:c>
      <x:c r="N643" s="37" t="str">
        <x:v>Put the airplane toy with propellers in the bowl.</x:v>
      </x:c>
      <x:c r="O643" s="37" t="str"/>
      <x:c r="P643" s="37" t="str">
        <x:v>Explicitly grounds ordinal role L4 at sequence length 4 with airplane toy with propellers; selected object-role cells are masked instead of withholding an ordinal word or output position.</x:v>
      </x:c>
      <x:c r="Q643" s="38" t="n">
        <x:v>4</x:v>
      </x:c>
    </x:row>
    <x:row r="644" ht="60" customHeight="1">
      <x:c r="A644" s="70" t="n">
        <x:v>642</x:v>
      </x:c>
      <x:c r="B644" s="37" t="str">
        <x:v>Ordering/Sequencing</x:v>
      </x:c>
      <x:c r="C644" s="37" t="str">
        <x:v>Move the fourth from the left object into the bowl.</x:v>
      </x:c>
      <x:c r="D644" s="37" t="str">
        <x:v>Explicit ordinal grounding</x:v>
      </x:c>
      <x:c r="E644" s="37" t="str">
        <x:v>n=4; physical role=L4; expression=fourth from the left; target=airplane toy with propellers</x:v>
      </x:c>
      <x:c r="F644" s="37" t="str">
        <x:v>ordering_n4_l4_airplane_toy_with_propellers_explicit</x:v>
      </x:c>
      <x:c r="G644" s="37" t="str">
        <x:v>selected sequence-length × physical ordinal role × target-identity cells listed on Holdout Map</x:v>
      </x:c>
      <x:c r="H644" s="37" t="str">
        <x:v>Yes</x:v>
      </x:c>
      <x:c r="I644" s="37" t="str">
        <x:v>Replace prompt only</x:v>
      </x:c>
      <x:c r="J644" s="37" t="str">
        <x:v>Prompt-only relabeling; preserve episode 642 video, scene, trajectory, target, and start position.</x:v>
      </x:c>
      <x:c r="K644" s="37" t="str">
        <x:v>yellow pen, blue tape ball, green highlighter, airplane toy with propellers</x:v>
      </x:c>
      <x:c r="L644" s="37" t="str">
        <x:v>airplane toy with propellers</x:v>
      </x:c>
      <x:c r="M644" s="37" t="str">
        <x:v>Home</x:v>
      </x:c>
      <x:c r="N644" s="37" t="str">
        <x:v>Pick up the airplane toy with propellers and place it in the bowl.</x:v>
      </x:c>
      <x:c r="O644" s="37" t="str"/>
      <x:c r="P644" s="37" t="str">
        <x:v>Explicitly grounds ordinal role L4 at sequence length 4 with airplane toy with propellers; selected object-role cells are masked instead of withholding an ordinal word or output position.</x:v>
      </x:c>
      <x:c r="Q644" s="38" t="n">
        <x:v>4</x:v>
      </x:c>
    </x:row>
    <x:row r="645" ht="60" customHeight="1">
      <x:c r="A645" s="70" t="n">
        <x:v>643</x:v>
      </x:c>
      <x:c r="B645" s="37" t="str">
        <x:v>Ordering/Sequencing</x:v>
      </x:c>
      <x:c r="C645" s="37" t="str">
        <x:v>Put the object that is first from the right in the bowl.</x:v>
      </x:c>
      <x:c r="D645" s="37" t="str">
        <x:v>Explicit ordinal grounding</x:v>
      </x:c>
      <x:c r="E645" s="37" t="str">
        <x:v>n=4; physical role=L4; expression=first from the right; target=airplane toy with propellers</x:v>
      </x:c>
      <x:c r="F645" s="37" t="str">
        <x:v>ordering_n4_l4_airplane_toy_with_propellers_explicit</x:v>
      </x:c>
      <x:c r="G645" s="37" t="str">
        <x:v>selected sequence-length × physical ordinal role × target-identity cells listed on Holdout Map</x:v>
      </x:c>
      <x:c r="H645" s="37" t="str">
        <x:v>Yes</x:v>
      </x:c>
      <x:c r="I645" s="37" t="str">
        <x:v>Replace prompt only</x:v>
      </x:c>
      <x:c r="J645" s="37" t="str">
        <x:v>Prompt-only relabeling; preserve episode 643 video, scene, trajectory, target, and start position.</x:v>
      </x:c>
      <x:c r="K645" s="37" t="str">
        <x:v>yellow pen, green highlighter, blue tape ball, airplane toy with propellers</x:v>
      </x:c>
      <x:c r="L645" s="37" t="str">
        <x:v>airplane toy with propellers</x:v>
      </x:c>
      <x:c r="M645" s="37" t="str">
        <x:v>Home</x:v>
      </x:c>
      <x:c r="N645" s="37" t="str">
        <x:v>Move the airplane toy with propellers into the bowl.</x:v>
      </x:c>
      <x:c r="O645" s="37" t="str"/>
      <x:c r="P645" s="37" t="str">
        <x:v>Explicitly grounds ordinal role L4 at sequence length 4 with airplane toy with propellers; selected object-role cells are masked instead of withholding an ordinal word or output position.</x:v>
      </x:c>
      <x:c r="Q645" s="38" t="n">
        <x:v>4</x:v>
      </x:c>
    </x:row>
    <x:row r="646" ht="60" customHeight="1">
      <x:c r="A646" s="70" t="n">
        <x:v>644</x:v>
      </x:c>
      <x:c r="B646" s="37" t="str">
        <x:v>Ordering/Sequencing</x:v>
      </x:c>
      <x:c r="C646" s="37" t="str">
        <x:v>Pick up the object that is fourth from the left and place it in the bowl.</x:v>
      </x:c>
      <x:c r="D646" s="37" t="str">
        <x:v>Explicit ordinal grounding</x:v>
      </x:c>
      <x:c r="E646" s="37" t="str">
        <x:v>n=4; physical role=L4; expression=fourth from the left; target=airplane toy with propellers</x:v>
      </x:c>
      <x:c r="F646" s="37" t="str">
        <x:v>ordering_n4_l4_airplane_toy_with_propellers_explicit</x:v>
      </x:c>
      <x:c r="G646" s="37" t="str">
        <x:v>selected sequence-length × physical ordinal role × target-identity cells listed on Holdout Map</x:v>
      </x:c>
      <x:c r="H646" s="37" t="str">
        <x:v>Yes</x:v>
      </x:c>
      <x:c r="I646" s="37" t="str">
        <x:v>Replace prompt only</x:v>
      </x:c>
      <x:c r="J646" s="37" t="str">
        <x:v>Prompt-only relabeling; preserve episode 644 video, scene, trajectory, target, and start position.</x:v>
      </x:c>
      <x:c r="K646" s="37" t="str">
        <x:v>blue tape ball, green highlighter, yellow pen, airplane toy with propellers</x:v>
      </x:c>
      <x:c r="L646" s="37" t="str">
        <x:v>airplane toy with propellers</x:v>
      </x:c>
      <x:c r="M646" s="37" t="str">
        <x:v>Home</x:v>
      </x:c>
      <x:c r="N646" s="37" t="str">
        <x:v>Put the airplane toy with propellers in the bowl.</x:v>
      </x:c>
      <x:c r="O646" s="37" t="str"/>
      <x:c r="P646" s="37" t="str">
        <x:v>Explicitly grounds ordinal role L4 at sequence length 4 with airplane toy with propellers; selected object-role cells are masked instead of withholding an ordinal word or output position.</x:v>
      </x:c>
      <x:c r="Q646" s="38" t="n">
        <x:v>4</x:v>
      </x:c>
    </x:row>
    <x:row r="647" ht="60" customHeight="1">
      <x:c r="A647" s="70" t="n">
        <x:v>645</x:v>
      </x:c>
      <x:c r="B647" s="37" t="str">
        <x:v>Ordering/Sequencing</x:v>
      </x:c>
      <x:c r="C647" s="37" t="str">
        <x:v>Move the first from the right object into the bowl.</x:v>
      </x:c>
      <x:c r="D647" s="37" t="str">
        <x:v>Explicit ordinal grounding</x:v>
      </x:c>
      <x:c r="E647" s="37" t="str">
        <x:v>n=4; physical role=L4; expression=first from the right; target=airplane toy with propellers</x:v>
      </x:c>
      <x:c r="F647" s="37" t="str">
        <x:v>ordering_n4_l4_airplane_toy_with_propellers_explicit</x:v>
      </x:c>
      <x:c r="G647" s="37" t="str">
        <x:v>selected sequence-length × physical ordinal role × target-identity cells listed on Holdout Map</x:v>
      </x:c>
      <x:c r="H647" s="37" t="str">
        <x:v>Yes</x:v>
      </x:c>
      <x:c r="I647" s="37" t="str">
        <x:v>Replace prompt only</x:v>
      </x:c>
      <x:c r="J647" s="37" t="str">
        <x:v>Prompt-only relabeling; preserve episode 645 video, scene, trajectory, target, and start position.</x:v>
      </x:c>
      <x:c r="K647" s="37" t="str">
        <x:v>blue tape ball, yellow pen, green highlighter, airplane toy with propellers</x:v>
      </x:c>
      <x:c r="L647" s="37" t="str">
        <x:v>airplane toy with propellers</x:v>
      </x:c>
      <x:c r="M647" s="37" t="str">
        <x:v>Home</x:v>
      </x:c>
      <x:c r="N647" s="37" t="str">
        <x:v>Pick up the airplane toy with propellers and place it in the bowl.</x:v>
      </x:c>
      <x:c r="O647" s="37" t="str"/>
      <x:c r="P647" s="37" t="str">
        <x:v>Explicitly grounds ordinal role L4 at sequence length 4 with airplane toy with propellers; selected object-role cells are masked instead of withholding an ordinal word or output position.</x:v>
      </x:c>
      <x:c r="Q647" s="38" t="n">
        <x:v>4</x:v>
      </x:c>
    </x:row>
    <x:row r="648" ht="60" customHeight="1">
      <x:c r="A648" s="70" t="n">
        <x:v>646</x:v>
      </x:c>
      <x:c r="B648" s="37" t="str">
        <x:v>Ordering/Sequencing</x:v>
      </x:c>
      <x:c r="C648" s="37" t="str">
        <x:v>Put the object that is fourth from the left in the bowl.</x:v>
      </x:c>
      <x:c r="D648" s="37" t="str">
        <x:v>Explicit ordinal grounding</x:v>
      </x:c>
      <x:c r="E648" s="37" t="str">
        <x:v>n=4; physical role=L4; expression=fourth from the left; target=airplane toy with propellers</x:v>
      </x:c>
      <x:c r="F648" s="37" t="str">
        <x:v>ordering_n4_l4_airplane_toy_with_propellers_explicit</x:v>
      </x:c>
      <x:c r="G648" s="37" t="str">
        <x:v>selected sequence-length × physical ordinal role × target-identity cells listed on Holdout Map</x:v>
      </x:c>
      <x:c r="H648" s="37" t="str">
        <x:v>Yes</x:v>
      </x:c>
      <x:c r="I648" s="37" t="str">
        <x:v>Replace prompt only</x:v>
      </x:c>
      <x:c r="J648" s="37" t="str">
        <x:v>Prompt-only relabeling; preserve episode 646 video, scene, trajectory, target, and start position.</x:v>
      </x:c>
      <x:c r="K648" s="37" t="str">
        <x:v>green highlighter, blue tape ball, yellow pen, airplane toy with propellers</x:v>
      </x:c>
      <x:c r="L648" s="37" t="str">
        <x:v>airplane toy with propellers</x:v>
      </x:c>
      <x:c r="M648" s="37" t="str">
        <x:v>Home</x:v>
      </x:c>
      <x:c r="N648" s="37" t="str">
        <x:v>Move the airplane toy with propellers into the bowl.</x:v>
      </x:c>
      <x:c r="O648" s="37" t="str"/>
      <x:c r="P648" s="37" t="str">
        <x:v>Explicitly grounds ordinal role L4 at sequence length 4 with airplane toy with propellers; selected object-role cells are masked instead of withholding an ordinal word or output position.</x:v>
      </x:c>
      <x:c r="Q648" s="38" t="n">
        <x:v>4</x:v>
      </x:c>
    </x:row>
    <x:row r="649" ht="60" customHeight="1">
      <x:c r="A649" s="70" t="n">
        <x:v>647</x:v>
      </x:c>
      <x:c r="B649" s="37" t="str">
        <x:v>Ordering/Sequencing</x:v>
      </x:c>
      <x:c r="C649" s="37" t="str">
        <x:v>Pick up the object that is first from the right and place it in the bowl.</x:v>
      </x:c>
      <x:c r="D649" s="37" t="str">
        <x:v>Explicit ordinal grounding</x:v>
      </x:c>
      <x:c r="E649" s="37" t="str">
        <x:v>n=4; physical role=L4; expression=first from the right; target=airplane toy with propellers</x:v>
      </x:c>
      <x:c r="F649" s="37" t="str">
        <x:v>ordering_n4_l4_airplane_toy_with_propellers_explicit</x:v>
      </x:c>
      <x:c r="G649" s="37" t="str">
        <x:v>selected sequence-length × physical ordinal role × target-identity cells listed on Holdout Map</x:v>
      </x:c>
      <x:c r="H649" s="37" t="str">
        <x:v>Yes</x:v>
      </x:c>
      <x:c r="I649" s="37" t="str">
        <x:v>Replace prompt only</x:v>
      </x:c>
      <x:c r="J649" s="37" t="str">
        <x:v>Prompt-only relabeling; preserve episode 647 video, scene, trajectory, target, and start position.</x:v>
      </x:c>
      <x:c r="K649" s="37" t="str">
        <x:v>green highlighter, yellow pen, blue tape ball, airplane toy with propellers</x:v>
      </x:c>
      <x:c r="L649" s="37" t="str">
        <x:v>airplane toy with propellers</x:v>
      </x:c>
      <x:c r="M649" s="37" t="str">
        <x:v>Home</x:v>
      </x:c>
      <x:c r="N649" s="37" t="str">
        <x:v>Put the airplane toy with propellers in the bowl.</x:v>
      </x:c>
      <x:c r="O649" s="37" t="str"/>
      <x:c r="P649" s="37" t="str">
        <x:v>Explicitly grounds ordinal role L4 at sequence length 4 with airplane toy with propellers; selected object-role cells are masked instead of withholding an ordinal word or output position.</x:v>
      </x:c>
      <x:c r="Q649" s="38" t="n">
        <x:v>4</x:v>
      </x:c>
    </x:row>
    <x:row r="650" ht="60" customHeight="1">
      <x:c r="A650" s="70" t="n">
        <x:v>648</x:v>
      </x:c>
      <x:c r="B650" s="37" t="str">
        <x:v>Ordering/Sequencing</x:v>
      </x:c>
      <x:c r="C650" s="37" t="str">
        <x:v>Move the fourth from the left object into the bowl.</x:v>
      </x:c>
      <x:c r="D650" s="37" t="str">
        <x:v>Explicit ordinal grounding</x:v>
      </x:c>
      <x:c r="E650" s="37" t="str">
        <x:v>n=4; physical role=L4; expression=fourth from the left; target=airplane toy with propellers</x:v>
      </x:c>
      <x:c r="F650" s="37" t="str">
        <x:v>ordering_n4_l4_airplane_toy_with_propellers_explicit</x:v>
      </x:c>
      <x:c r="G650" s="37" t="str">
        <x:v>selected sequence-length × physical ordinal role × target-identity cells listed on Holdout Map</x:v>
      </x:c>
      <x:c r="H650" s="37" t="str">
        <x:v>Yes</x:v>
      </x:c>
      <x:c r="I650" s="37" t="str">
        <x:v>Replace prompt only</x:v>
      </x:c>
      <x:c r="J650" s="37" t="str">
        <x:v>Prompt-only relabeling; preserve episode 648 video, scene, trajectory, target, and start position.</x:v>
      </x:c>
      <x:c r="K650" s="37" t="str">
        <x:v>yellow pen, blue tape ball, green highlighter, airplane toy with propellers</x:v>
      </x:c>
      <x:c r="L650" s="37" t="str">
        <x:v>airplane toy with propellers</x:v>
      </x:c>
      <x:c r="M650" s="37" t="str">
        <x:v>Recovery</x:v>
      </x:c>
      <x:c r="N650" s="37" t="str">
        <x:v>Pick up the airplane toy with propellers and place it in the bowl.</x:v>
      </x:c>
      <x:c r="O650" s="37" t="str"/>
      <x:c r="P650" s="37" t="str">
        <x:v>Explicitly grounds ordinal role L4 at sequence length 4 with airplane toy with propellers; selected object-role cells are masked instead of withholding an ordinal word or output position.</x:v>
      </x:c>
      <x:c r="Q650" s="38" t="n">
        <x:v>4</x:v>
      </x:c>
    </x:row>
    <x:row r="651" ht="60" customHeight="1">
      <x:c r="A651" s="70" t="n">
        <x:v>649</x:v>
      </x:c>
      <x:c r="B651" s="37" t="str">
        <x:v>Ordering/Sequencing</x:v>
      </x:c>
      <x:c r="C651" s="37" t="str">
        <x:v>Put the object that is first from the right in the bowl.</x:v>
      </x:c>
      <x:c r="D651" s="37" t="str">
        <x:v>Explicit ordinal grounding</x:v>
      </x:c>
      <x:c r="E651" s="37" t="str">
        <x:v>n=4; physical role=L4; expression=first from the right; target=airplane toy with propellers</x:v>
      </x:c>
      <x:c r="F651" s="37" t="str">
        <x:v>ordering_n4_l4_airplane_toy_with_propellers_explicit</x:v>
      </x:c>
      <x:c r="G651" s="37" t="str">
        <x:v>selected sequence-length × physical ordinal role × target-identity cells listed on Holdout Map</x:v>
      </x:c>
      <x:c r="H651" s="37" t="str">
        <x:v>Yes</x:v>
      </x:c>
      <x:c r="I651" s="37" t="str">
        <x:v>Replace prompt only</x:v>
      </x:c>
      <x:c r="J651" s="37" t="str">
        <x:v>Prompt-only relabeling; preserve episode 649 video, scene, trajectory, target, and start position.</x:v>
      </x:c>
      <x:c r="K651" s="37" t="str">
        <x:v>yellow pen, green highlighter, blue tape ball, airplane toy with propellers</x:v>
      </x:c>
      <x:c r="L651" s="37" t="str">
        <x:v>airplane toy with propellers</x:v>
      </x:c>
      <x:c r="M651" s="37" t="str">
        <x:v>Recovery</x:v>
      </x:c>
      <x:c r="N651" s="37" t="str">
        <x:v>Move the airplane toy with propellers into the bowl.</x:v>
      </x:c>
      <x:c r="O651" s="37" t="str"/>
      <x:c r="P651" s="37" t="str">
        <x:v>Explicitly grounds ordinal role L4 at sequence length 4 with airplane toy with propellers; selected object-role cells are masked instead of withholding an ordinal word or output position.</x:v>
      </x:c>
      <x:c r="Q651" s="38" t="n">
        <x:v>4</x:v>
      </x:c>
    </x:row>
    <x:row r="652" ht="60" customHeight="1">
      <x:c r="A652" s="70" t="n">
        <x:v>650</x:v>
      </x:c>
      <x:c r="B652" s="37" t="str">
        <x:v>Ordering/Sequencing</x:v>
      </x:c>
      <x:c r="C652" s="37" t="str">
        <x:v>Move the fourth item counted from the right into the bowl.</x:v>
      </x:c>
      <x:c r="D652" s="37" t="str">
        <x:v>Explicit ordinal grounding</x:v>
      </x:c>
      <x:c r="E652" s="37" t="str">
        <x:v>n=4; physical role=L1; expression=fourth from the right; target=blue tape ball</x:v>
      </x:c>
      <x:c r="F652" s="37" t="str">
        <x:v>ordering_n4_l1_blue_tape_ball_explicit</x:v>
      </x:c>
      <x:c r="G652" s="37" t="str">
        <x:v>selected sequence-length × physical ordinal role × target-identity cells listed on Holdout Map</x:v>
      </x:c>
      <x:c r="H652" s="37" t="str">
        <x:v>No</x:v>
      </x:c>
      <x:c r="I652" s="37" t="str">
        <x:v>Keep prompt</x:v>
      </x:c>
      <x:c r="J652" s="37" t="str">
        <x:v>No prompt change required under the missing-cell design.</x:v>
      </x:c>
      <x:c r="K652" s="37" t="str">
        <x:v>blue tape ball, airplane toy with propellers, green highlighter, yellow pen</x:v>
      </x:c>
      <x:c r="L652" s="37" t="str">
        <x:v>blue tape ball</x:v>
      </x:c>
      <x:c r="M652" s="37" t="str">
        <x:v>Home</x:v>
      </x:c>
      <x:c r="N652" s="37" t="str">
        <x:v>Move the fourth item counted from the right into the bowl.</x:v>
      </x:c>
      <x:c r="O652" s="37" t="str"/>
      <x:c r="P652" s="37" t="str">
        <x:v>Explicitly grounds ordinal role L1 at sequence length 4 with blue tape ball; selected object-role cells are masked instead of withholding an ordinal word or output position.</x:v>
      </x:c>
      <x:c r="Q652" s="38" t="n">
        <x:v>4</x:v>
      </x:c>
    </x:row>
    <x:row r="653" ht="60" customHeight="1">
      <x:c r="A653" s="70" t="n">
        <x:v>651</x:v>
      </x:c>
      <x:c r="B653" s="37" t="str">
        <x:v>Ordering/Sequencing</x:v>
      </x:c>
      <x:c r="C653" s="37" t="str">
        <x:v>Pick up the object that is first from the left and place it in the bowl.</x:v>
      </x:c>
      <x:c r="D653" s="37" t="str">
        <x:v>Explicit ordinal grounding</x:v>
      </x:c>
      <x:c r="E653" s="37" t="str">
        <x:v>n=4; physical role=L1; expression=first from the left; target=blue tape ball</x:v>
      </x:c>
      <x:c r="F653" s="37" t="str">
        <x:v>ordering_n4_l1_blue_tape_ball_explicit</x:v>
      </x:c>
      <x:c r="G653" s="37" t="str">
        <x:v>selected sequence-length × physical ordinal role × target-identity cells listed on Holdout Map</x:v>
      </x:c>
      <x:c r="H653" s="37" t="str">
        <x:v>No</x:v>
      </x:c>
      <x:c r="I653" s="37" t="str">
        <x:v>Keep prompt</x:v>
      </x:c>
      <x:c r="J653" s="37" t="str">
        <x:v>No prompt change required under the missing-cell design.</x:v>
      </x:c>
      <x:c r="K653" s="37" t="str">
        <x:v>blue tape ball, airplane toy with propellers, yellow pen, green highlighter</x:v>
      </x:c>
      <x:c r="L653" s="37" t="str">
        <x:v>blue tape ball</x:v>
      </x:c>
      <x:c r="M653" s="37" t="str">
        <x:v>Home</x:v>
      </x:c>
      <x:c r="N653" s="37" t="str">
        <x:v>Pick up the object that is first from the left and place it in the bowl.</x:v>
      </x:c>
      <x:c r="O653" s="37" t="str"/>
      <x:c r="P653" s="37" t="str">
        <x:v>Explicitly grounds ordinal role L1 at sequence length 4 with blue tape ball; selected object-role cells are masked instead of withholding an ordinal word or output position.</x:v>
      </x:c>
      <x:c r="Q653" s="38" t="n">
        <x:v>4</x:v>
      </x:c>
    </x:row>
    <x:row r="654" ht="60" customHeight="1">
      <x:c r="A654" s="70" t="n">
        <x:v>652</x:v>
      </x:c>
      <x:c r="B654" s="37" t="str">
        <x:v>Ordering/Sequencing</x:v>
      </x:c>
      <x:c r="C654" s="37" t="str">
        <x:v>Put the fourth object from the right in the bowl.</x:v>
      </x:c>
      <x:c r="D654" s="37" t="str">
        <x:v>Explicit ordinal grounding</x:v>
      </x:c>
      <x:c r="E654" s="37" t="str">
        <x:v>n=4; physical role=L1; expression=fourth from the right; target=blue tape ball</x:v>
      </x:c>
      <x:c r="F654" s="37" t="str">
        <x:v>ordering_n4_l1_blue_tape_ball_explicit</x:v>
      </x:c>
      <x:c r="G654" s="37" t="str">
        <x:v>selected sequence-length × physical ordinal role × target-identity cells listed on Holdout Map</x:v>
      </x:c>
      <x:c r="H654" s="37" t="str">
        <x:v>No</x:v>
      </x:c>
      <x:c r="I654" s="37" t="str">
        <x:v>Keep prompt</x:v>
      </x:c>
      <x:c r="J654" s="37" t="str">
        <x:v>No prompt change required under the missing-cell design.</x:v>
      </x:c>
      <x:c r="K654" s="37" t="str">
        <x:v>blue tape ball, green highlighter, airplane toy with propellers, yellow pen</x:v>
      </x:c>
      <x:c r="L654" s="37" t="str">
        <x:v>blue tape ball</x:v>
      </x:c>
      <x:c r="M654" s="37" t="str">
        <x:v>Home</x:v>
      </x:c>
      <x:c r="N654" s="37" t="str">
        <x:v>Put the fourth object from the right in the bowl.</x:v>
      </x:c>
      <x:c r="O654" s="37" t="str"/>
      <x:c r="P654" s="37" t="str">
        <x:v>Explicitly grounds ordinal role L1 at sequence length 4 with blue tape ball; selected object-role cells are masked instead of withholding an ordinal word or output position.</x:v>
      </x:c>
      <x:c r="Q654" s="38" t="n">
        <x:v>4</x:v>
      </x:c>
    </x:row>
    <x:row r="655" ht="60" customHeight="1">
      <x:c r="A655" s="70" t="n">
        <x:v>653</x:v>
      </x:c>
      <x:c r="B655" s="37" t="str">
        <x:v>Ordering/Sequencing</x:v>
      </x:c>
      <x:c r="C655" s="37" t="str">
        <x:v>Pick up the object that is first from the left and place it in the bowl.</x:v>
      </x:c>
      <x:c r="D655" s="37" t="str">
        <x:v>Explicit ordinal grounding</x:v>
      </x:c>
      <x:c r="E655" s="37" t="str">
        <x:v>n=4; physical role=L1; expression=first from the left; target=blue tape ball</x:v>
      </x:c>
      <x:c r="F655" s="37" t="str">
        <x:v>ordering_n4_l1_blue_tape_ball_explicit</x:v>
      </x:c>
      <x:c r="G655" s="37" t="str">
        <x:v>selected sequence-length × physical ordinal role × target-identity cells listed on Holdout Map</x:v>
      </x:c>
      <x:c r="H655" s="37" t="str">
        <x:v>No</x:v>
      </x:c>
      <x:c r="I655" s="37" t="str">
        <x:v>Keep prompt</x:v>
      </x:c>
      <x:c r="J655" s="37" t="str">
        <x:v>No prompt change required under the missing-cell design.</x:v>
      </x:c>
      <x:c r="K655" s="37" t="str">
        <x:v>blue tape ball, green highlighter, yellow pen, airplane toy with propellers</x:v>
      </x:c>
      <x:c r="L655" s="37" t="str">
        <x:v>blue tape ball</x:v>
      </x:c>
      <x:c r="M655" s="37" t="str">
        <x:v>Home</x:v>
      </x:c>
      <x:c r="N655" s="37" t="str">
        <x:v>Pick up the object that is first from the left and place it in the bowl.</x:v>
      </x:c>
      <x:c r="O655" s="37" t="str"/>
      <x:c r="P655" s="37" t="str">
        <x:v>Explicitly grounds ordinal role L1 at sequence length 4 with blue tape ball; selected object-role cells are masked instead of withholding an ordinal word or output position.</x:v>
      </x:c>
      <x:c r="Q655" s="38" t="n">
        <x:v>4</x:v>
      </x:c>
    </x:row>
    <x:row r="656" ht="60" customHeight="1">
      <x:c r="A656" s="70" t="n">
        <x:v>654</x:v>
      </x:c>
      <x:c r="B656" s="37" t="str">
        <x:v>Ordering/Sequencing</x:v>
      </x:c>
      <x:c r="C656" s="37" t="str">
        <x:v>Move the blue tape ball into the bowl.</x:v>
      </x:c>
      <x:c r="D656" s="37" t="str">
        <x:v>Masked ordinal-role × target-identity composition</x:v>
      </x:c>
      <x:c r="E656" s="37" t="str">
        <x:v>n=3; physical role=L1; direct identity=blue tape ball</x:v>
      </x:c>
      <x:c r="F656" s="37" t="str">
        <x:v>ordering_n3_l1_blue_tape_ball_masked</x:v>
      </x:c>
      <x:c r="G656" s="37" t="str">
        <x:v>selected sequence-length × physical ordinal role × target-identity cells listed on Holdout Map</x:v>
      </x:c>
      <x:c r="H656" s="37" t="str">
        <x:v>Yes</x:v>
      </x:c>
      <x:c r="I656" s="37" t="str">
        <x:v>Replace prompt only</x:v>
      </x:c>
      <x:c r="J656" s="37" t="str">
        <x:v>Prompt-only relabeling; preserve episode 654 video, scene, trajectory, target, and start position.</x:v>
      </x:c>
      <x:c r="K656" s="37" t="str">
        <x:v>blue tape ball, yellow pen, airplane toy with propellers</x:v>
      </x:c>
      <x:c r="L656" s="37" t="str">
        <x:v>blue tape ball</x:v>
      </x:c>
      <x:c r="M656" s="37" t="str">
        <x:v>Home</x:v>
      </x:c>
      <x:c r="N656" s="37" t="str">
        <x:v>Put the third object from the right in the bowl.</x:v>
      </x:c>
      <x:c r="O656" s="37" t="str">
        <x:v>Move the first from the left object into the bowl. | Put the object that is third from the right in the bowl.</x:v>
      </x:c>
      <x:c r="P656" s="37" t="str">
        <x:v>Both logically equivalent ordinal descriptions of L1 are withheld for blue tape ball at sequence length 3, while the same trajectory remains under a direct-name instruction.</x:v>
      </x:c>
      <x:c r="Q656" s="38" t="n">
        <x:v>3</x:v>
      </x:c>
    </x:row>
    <x:row r="657" ht="60" customHeight="1">
      <x:c r="A657" s="70" t="n">
        <x:v>655</x:v>
      </x:c>
      <x:c r="B657" s="37" t="str">
        <x:v>Ordering/Sequencing</x:v>
      </x:c>
      <x:c r="C657" s="37" t="str">
        <x:v>Put the blue tape ball in the bowl.</x:v>
      </x:c>
      <x:c r="D657" s="37" t="str">
        <x:v>Masked ordinal-role × target-identity composition</x:v>
      </x:c>
      <x:c r="E657" s="37" t="str">
        <x:v>n=3; physical role=L1; direct identity=blue tape ball</x:v>
      </x:c>
      <x:c r="F657" s="37" t="str">
        <x:v>ordering_n3_l1_blue_tape_ball_masked</x:v>
      </x:c>
      <x:c r="G657" s="37" t="str">
        <x:v>selected sequence-length × physical ordinal role × target-identity cells listed on Holdout Map</x:v>
      </x:c>
      <x:c r="H657" s="37" t="str">
        <x:v>Yes</x:v>
      </x:c>
      <x:c r="I657" s="37" t="str">
        <x:v>Replace prompt only</x:v>
      </x:c>
      <x:c r="J657" s="37" t="str">
        <x:v>Prompt-only relabeling; preserve episode 655 video, scene, trajectory, target, and start position.</x:v>
      </x:c>
      <x:c r="K657" s="37" t="str">
        <x:v>blue tape ball, yellow pen, green highlighter</x:v>
      </x:c>
      <x:c r="L657" s="37" t="str">
        <x:v>blue tape ball</x:v>
      </x:c>
      <x:c r="M657" s="37" t="str">
        <x:v>Home</x:v>
      </x:c>
      <x:c r="N657" s="37" t="str">
        <x:v>Pick up the object that is third from the right and place it in the bowl.</x:v>
      </x:c>
      <x:c r="O657" s="37" t="str">
        <x:v>Put the object that is first from the left in the bowl. | Pick up the object that is third from the right and place it in the bowl.</x:v>
      </x:c>
      <x:c r="P657" s="37" t="str">
        <x:v>Both logically equivalent ordinal descriptions of L1 are withheld for blue tape ball at sequence length 3, while the same trajectory remains under a direct-name instruction.</x:v>
      </x:c>
      <x:c r="Q657" s="38" t="n">
        <x:v>3</x:v>
      </x:c>
    </x:row>
    <x:row r="658" ht="60" customHeight="1">
      <x:c r="A658" s="70" t="n">
        <x:v>656</x:v>
      </x:c>
      <x:c r="B658" s="37" t="str">
        <x:v>Ordering/Sequencing</x:v>
      </x:c>
      <x:c r="C658" s="37" t="str">
        <x:v>Pick up the blue tape ball and place it in the bowl.</x:v>
      </x:c>
      <x:c r="D658" s="37" t="str">
        <x:v>Masked ordinal-role × target-identity composition</x:v>
      </x:c>
      <x:c r="E658" s="37" t="str">
        <x:v>n=3; physical role=L1; direct identity=blue tape ball</x:v>
      </x:c>
      <x:c r="F658" s="37" t="str">
        <x:v>ordering_n3_l1_blue_tape_ball_masked</x:v>
      </x:c>
      <x:c r="G658" s="37" t="str">
        <x:v>selected sequence-length × physical ordinal role × target-identity cells listed on Holdout Map</x:v>
      </x:c>
      <x:c r="H658" s="37" t="str">
        <x:v>Yes</x:v>
      </x:c>
      <x:c r="I658" s="37" t="str">
        <x:v>Replace prompt only</x:v>
      </x:c>
      <x:c r="J658" s="37" t="str">
        <x:v>Prompt-only relabeling; preserve episode 656 video, scene, trajectory, target, and start position.</x:v>
      </x:c>
      <x:c r="K658" s="37" t="str">
        <x:v>blue tape ball, airplane toy with propellers, green highlighter</x:v>
      </x:c>
      <x:c r="L658" s="37" t="str">
        <x:v>blue tape ball</x:v>
      </x:c>
      <x:c r="M658" s="37" t="str">
        <x:v>Home</x:v>
      </x:c>
      <x:c r="N658" s="37" t="str">
        <x:v>Pick up the object that is first from the left and place it in the bowl.</x:v>
      </x:c>
      <x:c r="O658" s="37" t="str">
        <x:v>Pick up the object that is first from the left and place it in the bowl. | Move the third from the right object into the bowl.</x:v>
      </x:c>
      <x:c r="P658" s="37" t="str">
        <x:v>Both logically equivalent ordinal descriptions of L1 are withheld for blue tape ball at sequence length 3, while the same trajectory remains under a direct-name instruction.</x:v>
      </x:c>
      <x:c r="Q658" s="38" t="n">
        <x:v>3</x:v>
      </x:c>
    </x:row>
    <x:row r="659" ht="60" customHeight="1">
      <x:c r="A659" s="70" t="n">
        <x:v>657</x:v>
      </x:c>
      <x:c r="B659" s="37" t="str">
        <x:v>Ordering/Sequencing</x:v>
      </x:c>
      <x:c r="C659" s="37" t="str">
        <x:v>Move the blue tape ball into the bowl.</x:v>
      </x:c>
      <x:c r="D659" s="37" t="str">
        <x:v>Masked ordinal-role × target-identity composition</x:v>
      </x:c>
      <x:c r="E659" s="37" t="str">
        <x:v>n=3; physical role=L1; direct identity=blue tape ball</x:v>
      </x:c>
      <x:c r="F659" s="37" t="str">
        <x:v>ordering_n3_l1_blue_tape_ball_masked</x:v>
      </x:c>
      <x:c r="G659" s="37" t="str">
        <x:v>selected sequence-length × physical ordinal role × target-identity cells listed on Holdout Map</x:v>
      </x:c>
      <x:c r="H659" s="37" t="str">
        <x:v>Yes</x:v>
      </x:c>
      <x:c r="I659" s="37" t="str">
        <x:v>Replace prompt only</x:v>
      </x:c>
      <x:c r="J659" s="37" t="str">
        <x:v>Prompt-only relabeling; preserve episode 657 video, scene, trajectory, target, and start position.</x:v>
      </x:c>
      <x:c r="K659" s="37" t="str">
        <x:v>blue tape ball, green highlighter, airplane toy with propellers</x:v>
      </x:c>
      <x:c r="L659" s="37" t="str">
        <x:v>blue tape ball</x:v>
      </x:c>
      <x:c r="M659" s="37" t="str">
        <x:v>Home</x:v>
      </x:c>
      <x:c r="N659" s="37" t="str">
        <x:v>Put the third object from the right in the bowl.</x:v>
      </x:c>
      <x:c r="O659" s="37" t="str">
        <x:v>Move the first from the left object into the bowl. | Put the object that is third from the right in the bowl.</x:v>
      </x:c>
      <x:c r="P659" s="37" t="str">
        <x:v>Both logically equivalent ordinal descriptions of L1 are withheld for blue tape ball at sequence length 3, while the same trajectory remains under a direct-name instruction.</x:v>
      </x:c>
      <x:c r="Q659" s="38" t="n">
        <x:v>3</x:v>
      </x:c>
    </x:row>
    <x:row r="660" ht="60" customHeight="1">
      <x:c r="A660" s="70" t="n">
        <x:v>658</x:v>
      </x:c>
      <x:c r="B660" s="37" t="str">
        <x:v>Ordering/Sequencing</x:v>
      </x:c>
      <x:c r="C660" s="37" t="str">
        <x:v>Put the second object from the right in the bowl.</x:v>
      </x:c>
      <x:c r="D660" s="37" t="str">
        <x:v>Explicit ordinal grounding</x:v>
      </x:c>
      <x:c r="E660" s="37" t="str">
        <x:v>n=2; physical role=L1; expression=second from the right; target=blue tape ball</x:v>
      </x:c>
      <x:c r="F660" s="37" t="str">
        <x:v>ordering_n2_l1_blue_tape_ball_explicit</x:v>
      </x:c>
      <x:c r="G660" s="37" t="str">
        <x:v>selected sequence-length × physical ordinal role × target-identity cells listed on Holdout Map</x:v>
      </x:c>
      <x:c r="H660" s="37" t="str">
        <x:v>No</x:v>
      </x:c>
      <x:c r="I660" s="37" t="str">
        <x:v>Keep prompt</x:v>
      </x:c>
      <x:c r="J660" s="37" t="str">
        <x:v>No prompt change required under the missing-cell design.</x:v>
      </x:c>
      <x:c r="K660" s="37" t="str">
        <x:v>blue tape ball, airplane toy with propellers</x:v>
      </x:c>
      <x:c r="L660" s="37" t="str">
        <x:v>blue tape ball</x:v>
      </x:c>
      <x:c r="M660" s="37" t="str">
        <x:v>Home</x:v>
      </x:c>
      <x:c r="N660" s="37" t="str">
        <x:v>Put the second object from the right in the bowl.</x:v>
      </x:c>
      <x:c r="O660" s="37" t="str"/>
      <x:c r="P660" s="37" t="str">
        <x:v>Explicitly grounds ordinal role L1 at sequence length 2 with blue tape ball; selected object-role cells are masked instead of withholding an ordinal word or output position.</x:v>
      </x:c>
      <x:c r="Q660" s="38" t="n">
        <x:v>2</x:v>
      </x:c>
    </x:row>
    <x:row r="661" ht="60" customHeight="1">
      <x:c r="A661" s="70" t="n">
        <x:v>659</x:v>
      </x:c>
      <x:c r="B661" s="37" t="str">
        <x:v>Ordering/Sequencing</x:v>
      </x:c>
      <x:c r="C661" s="37" t="str">
        <x:v>Pick up the object that is second from the right and place it in the bowl.</x:v>
      </x:c>
      <x:c r="D661" s="37" t="str">
        <x:v>Explicit ordinal grounding</x:v>
      </x:c>
      <x:c r="E661" s="37" t="str">
        <x:v>n=2; physical role=L1; expression=second from the right; target=blue tape ball</x:v>
      </x:c>
      <x:c r="F661" s="37" t="str">
        <x:v>ordering_n2_l1_blue_tape_ball_explicit</x:v>
      </x:c>
      <x:c r="G661" s="37" t="str">
        <x:v>selected sequence-length × physical ordinal role × target-identity cells listed on Holdout Map</x:v>
      </x:c>
      <x:c r="H661" s="37" t="str">
        <x:v>No</x:v>
      </x:c>
      <x:c r="I661" s="37" t="str">
        <x:v>Keep prompt</x:v>
      </x:c>
      <x:c r="J661" s="37" t="str">
        <x:v>No prompt change required under the missing-cell design.</x:v>
      </x:c>
      <x:c r="K661" s="37" t="str">
        <x:v>blue tape ball, green highlighter</x:v>
      </x:c>
      <x:c r="L661" s="37" t="str">
        <x:v>blue tape ball</x:v>
      </x:c>
      <x:c r="M661" s="37" t="str">
        <x:v>Home</x:v>
      </x:c>
      <x:c r="N661" s="37" t="str">
        <x:v>Pick up the object that is second from the right and place it in the bowl.</x:v>
      </x:c>
      <x:c r="O661" s="37" t="str"/>
      <x:c r="P661" s="37" t="str">
        <x:v>Explicitly grounds ordinal role L1 at sequence length 2 with blue tape ball; selected object-role cells are masked instead of withholding an ordinal word or output position.</x:v>
      </x:c>
      <x:c r="Q661" s="38" t="n">
        <x:v>2</x:v>
      </x:c>
    </x:row>
    <x:row r="662" ht="60" customHeight="1">
      <x:c r="A662" s="70" t="n">
        <x:v>660</x:v>
      </x:c>
      <x:c r="B662" s="37" t="str">
        <x:v>Ordering/Sequencing</x:v>
      </x:c>
      <x:c r="C662" s="37" t="str">
        <x:v>Put the second object from the right in the bowl.</x:v>
      </x:c>
      <x:c r="D662" s="37" t="str">
        <x:v>Explicit ordinal grounding</x:v>
      </x:c>
      <x:c r="E662" s="37" t="str">
        <x:v>n=2; physical role=L1; expression=second from the right; target=blue tape ball</x:v>
      </x:c>
      <x:c r="F662" s="37" t="str">
        <x:v>ordering_n2_l1_blue_tape_ball_explicit</x:v>
      </x:c>
      <x:c r="G662" s="37" t="str">
        <x:v>selected sequence-length × physical ordinal role × target-identity cells listed on Holdout Map</x:v>
      </x:c>
      <x:c r="H662" s="37" t="str">
        <x:v>No</x:v>
      </x:c>
      <x:c r="I662" s="37" t="str">
        <x:v>Keep prompt</x:v>
      </x:c>
      <x:c r="J662" s="37" t="str">
        <x:v>No prompt change required under the missing-cell design.</x:v>
      </x:c>
      <x:c r="K662" s="37" t="str">
        <x:v>blue tape ball, yellow pen</x:v>
      </x:c>
      <x:c r="L662" s="37" t="str">
        <x:v>blue tape ball</x:v>
      </x:c>
      <x:c r="M662" s="37" t="str">
        <x:v>Recovery</x:v>
      </x:c>
      <x:c r="N662" s="37" t="str">
        <x:v>Put the second object from the right in the bowl.</x:v>
      </x:c>
      <x:c r="O662" s="37" t="str"/>
      <x:c r="P662" s="37" t="str">
        <x:v>Explicitly grounds ordinal role L1 at sequence length 2 with blue tape ball; selected object-role cells are masked instead of withholding an ordinal word or output position.</x:v>
      </x:c>
      <x:c r="Q662" s="38" t="n">
        <x:v>2</x:v>
      </x:c>
    </x:row>
    <x:row r="663" ht="60" customHeight="1">
      <x:c r="A663" s="70" t="n">
        <x:v>661</x:v>
      </x:c>
      <x:c r="B663" s="37" t="str">
        <x:v>Ordering/Sequencing</x:v>
      </x:c>
      <x:c r="C663" s="37" t="str">
        <x:v>Put the first object from the left in the bowl.</x:v>
      </x:c>
      <x:c r="D663" s="37" t="str">
        <x:v>Explicit ordinal grounding</x:v>
      </x:c>
      <x:c r="E663" s="37" t="str">
        <x:v>n=2; physical role=L1; expression=first from the left; target=blue tape ball</x:v>
      </x:c>
      <x:c r="F663" s="37" t="str">
        <x:v>ordering_n2_l1_blue_tape_ball_explicit</x:v>
      </x:c>
      <x:c r="G663" s="37" t="str">
        <x:v>selected sequence-length × physical ordinal role × target-identity cells listed on Holdout Map</x:v>
      </x:c>
      <x:c r="H663" s="37" t="str">
        <x:v>No</x:v>
      </x:c>
      <x:c r="I663" s="37" t="str">
        <x:v>Keep prompt</x:v>
      </x:c>
      <x:c r="J663" s="37" t="str">
        <x:v>No prompt change required under the missing-cell design.</x:v>
      </x:c>
      <x:c r="K663" s="37" t="str">
        <x:v>blue tape ball, airplane toy with propellers</x:v>
      </x:c>
      <x:c r="L663" s="37" t="str">
        <x:v>blue tape ball</x:v>
      </x:c>
      <x:c r="M663" s="37" t="str">
        <x:v>Recovery</x:v>
      </x:c>
      <x:c r="N663" s="37" t="str">
        <x:v>Put the first object from the left in the bowl.</x:v>
      </x:c>
      <x:c r="O663" s="37" t="str"/>
      <x:c r="P663" s="37" t="str">
        <x:v>Explicitly grounds ordinal role L1 at sequence length 2 with blue tape ball; selected object-role cells are masked instead of withholding an ordinal word or output position.</x:v>
      </x:c>
      <x:c r="Q663" s="38" t="n">
        <x:v>2</x:v>
      </x:c>
    </x:row>
    <x:row r="664" ht="60" customHeight="1">
      <x:c r="A664" s="70" t="n">
        <x:v>662</x:v>
      </x:c>
      <x:c r="B664" s="37" t="str">
        <x:v>Ordering/Sequencing</x:v>
      </x:c>
      <x:c r="C664" s="37" t="str">
        <x:v>Pick up the blue tape ball and place it in the bowl.</x:v>
      </x:c>
      <x:c r="D664" s="37" t="str">
        <x:v>Masked ordinal-role × target-identity composition</x:v>
      </x:c>
      <x:c r="E664" s="37" t="str">
        <x:v>n=4; physical role=L2; direct identity=blue tape ball</x:v>
      </x:c>
      <x:c r="F664" s="37" t="str">
        <x:v>ordering_n4_l2_blue_tape_ball_masked</x:v>
      </x:c>
      <x:c r="G664" s="37" t="str">
        <x:v>selected sequence-length × physical ordinal role × target-identity cells listed on Holdout Map</x:v>
      </x:c>
      <x:c r="H664" s="37" t="str">
        <x:v>Yes</x:v>
      </x:c>
      <x:c r="I664" s="37" t="str">
        <x:v>Replace prompt only</x:v>
      </x:c>
      <x:c r="J664" s="37" t="str">
        <x:v>Prompt-only relabeling; preserve episode 662 video, scene, trajectory, target, and start position.</x:v>
      </x:c>
      <x:c r="K664" s="37" t="str">
        <x:v>airplane toy with propellers, blue tape ball, green highlighter, yellow pen</x:v>
      </x:c>
      <x:c r="L664" s="37" t="str">
        <x:v>blue tape ball</x:v>
      </x:c>
      <x:c r="M664" s="37" t="str">
        <x:v>Home</x:v>
      </x:c>
      <x:c r="N664" s="37" t="str">
        <x:v>Pick up the object that is second from the left and place it in the bowl.</x:v>
      </x:c>
      <x:c r="O664" s="37" t="str">
        <x:v>Pick up the object that is second from the left and place it in the bowl. | Move the third from the right object into the bowl.</x:v>
      </x:c>
      <x:c r="P664" s="37" t="str">
        <x:v>Both logically equivalent ordinal descriptions of L2 are withheld for blue tape ball at sequence length 4, while the same trajectory remains under a direct-name instruction.</x:v>
      </x:c>
      <x:c r="Q664" s="38" t="n">
        <x:v>4</x:v>
      </x:c>
    </x:row>
    <x:row r="665" ht="60" customHeight="1">
      <x:c r="A665" s="70" t="n">
        <x:v>663</x:v>
      </x:c>
      <x:c r="B665" s="37" t="str">
        <x:v>Ordering/Sequencing</x:v>
      </x:c>
      <x:c r="C665" s="37" t="str">
        <x:v>Move the blue tape ball into the bowl.</x:v>
      </x:c>
      <x:c r="D665" s="37" t="str">
        <x:v>Masked ordinal-role × target-identity composition</x:v>
      </x:c>
      <x:c r="E665" s="37" t="str">
        <x:v>n=4; physical role=L2; direct identity=blue tape ball</x:v>
      </x:c>
      <x:c r="F665" s="37" t="str">
        <x:v>ordering_n4_l2_blue_tape_ball_masked</x:v>
      </x:c>
      <x:c r="G665" s="37" t="str">
        <x:v>selected sequence-length × physical ordinal role × target-identity cells listed on Holdout Map</x:v>
      </x:c>
      <x:c r="H665" s="37" t="str">
        <x:v>Yes</x:v>
      </x:c>
      <x:c r="I665" s="37" t="str">
        <x:v>Replace prompt only</x:v>
      </x:c>
      <x:c r="J665" s="37" t="str">
        <x:v>Prompt-only relabeling; preserve episode 663 video, scene, trajectory, target, and start position.</x:v>
      </x:c>
      <x:c r="K665" s="37" t="str">
        <x:v>airplane toy with propellers, blue tape ball, yellow pen, green highlighter</x:v>
      </x:c>
      <x:c r="L665" s="37" t="str">
        <x:v>blue tape ball</x:v>
      </x:c>
      <x:c r="M665" s="37" t="str">
        <x:v>Home</x:v>
      </x:c>
      <x:c r="N665" s="37" t="str">
        <x:v>Move the second item counted from the left into the bowl.</x:v>
      </x:c>
      <x:c r="O665" s="37" t="str">
        <x:v>Move the second from the left object into the bowl. | Put the object that is third from the right in the bowl.</x:v>
      </x:c>
      <x:c r="P665" s="37" t="str">
        <x:v>Both logically equivalent ordinal descriptions of L2 are withheld for blue tape ball at sequence length 4, while the same trajectory remains under a direct-name instruction.</x:v>
      </x:c>
      <x:c r="Q665" s="38" t="n">
        <x:v>4</x:v>
      </x:c>
    </x:row>
    <x:row r="666" ht="60" customHeight="1">
      <x:c r="A666" s="70" t="n">
        <x:v>664</x:v>
      </x:c>
      <x:c r="B666" s="37" t="str">
        <x:v>Ordering/Sequencing</x:v>
      </x:c>
      <x:c r="C666" s="37" t="str">
        <x:v>Put the blue tape ball in the bowl.</x:v>
      </x:c>
      <x:c r="D666" s="37" t="str">
        <x:v>Masked ordinal-role × target-identity composition</x:v>
      </x:c>
      <x:c r="E666" s="37" t="str">
        <x:v>n=4; physical role=L2; direct identity=blue tape ball</x:v>
      </x:c>
      <x:c r="F666" s="37" t="str">
        <x:v>ordering_n4_l2_blue_tape_ball_masked</x:v>
      </x:c>
      <x:c r="G666" s="37" t="str">
        <x:v>selected sequence-length × physical ordinal role × target-identity cells listed on Holdout Map</x:v>
      </x:c>
      <x:c r="H666" s="37" t="str">
        <x:v>Yes</x:v>
      </x:c>
      <x:c r="I666" s="37" t="str">
        <x:v>Replace prompt only</x:v>
      </x:c>
      <x:c r="J666" s="37" t="str">
        <x:v>Prompt-only relabeling; preserve episode 664 video, scene, trajectory, target, and start position.</x:v>
      </x:c>
      <x:c r="K666" s="37" t="str">
        <x:v>green highlighter, blue tape ball, airplane toy with propellers, yellow pen</x:v>
      </x:c>
      <x:c r="L666" s="37" t="str">
        <x:v>blue tape ball</x:v>
      </x:c>
      <x:c r="M666" s="37" t="str">
        <x:v>Home</x:v>
      </x:c>
      <x:c r="N666" s="37" t="str">
        <x:v>Move the second item counted from the left into the bowl.</x:v>
      </x:c>
      <x:c r="O666" s="37" t="str">
        <x:v>Put the object that is second from the left in the bowl. | Pick up the object that is third from the right and place it in the bowl.</x:v>
      </x:c>
      <x:c r="P666" s="37" t="str">
        <x:v>Both logically equivalent ordinal descriptions of L2 are withheld for blue tape ball at sequence length 4, while the same trajectory remains under a direct-name instruction.</x:v>
      </x:c>
      <x:c r="Q666" s="38" t="n">
        <x:v>4</x:v>
      </x:c>
    </x:row>
    <x:row r="667" ht="60" customHeight="1">
      <x:c r="A667" s="70" t="n">
        <x:v>665</x:v>
      </x:c>
      <x:c r="B667" s="37" t="str">
        <x:v>Ordering/Sequencing</x:v>
      </x:c>
      <x:c r="C667" s="37" t="str">
        <x:v>Pick up the blue tape ball and place it in the bowl.</x:v>
      </x:c>
      <x:c r="D667" s="37" t="str">
        <x:v>Masked ordinal-role × target-identity composition</x:v>
      </x:c>
      <x:c r="E667" s="37" t="str">
        <x:v>n=4; physical role=L2; direct identity=blue tape ball</x:v>
      </x:c>
      <x:c r="F667" s="37" t="str">
        <x:v>ordering_n4_l2_blue_tape_ball_masked</x:v>
      </x:c>
      <x:c r="G667" s="37" t="str">
        <x:v>selected sequence-length × physical ordinal role × target-identity cells listed on Holdout Map</x:v>
      </x:c>
      <x:c r="H667" s="37" t="str">
        <x:v>Yes</x:v>
      </x:c>
      <x:c r="I667" s="37" t="str">
        <x:v>Replace prompt only</x:v>
      </x:c>
      <x:c r="J667" s="37" t="str">
        <x:v>Prompt-only relabeling; preserve episode 665 video, scene, trajectory, target, and start position.</x:v>
      </x:c>
      <x:c r="K667" s="37" t="str">
        <x:v>green highlighter, blue tape ball, yellow pen, airplane toy with propellers</x:v>
      </x:c>
      <x:c r="L667" s="37" t="str">
        <x:v>blue tape ball</x:v>
      </x:c>
      <x:c r="M667" s="37" t="str">
        <x:v>Home</x:v>
      </x:c>
      <x:c r="N667" s="37" t="str">
        <x:v>Pick up the object that is second from the left and place it in the bowl.</x:v>
      </x:c>
      <x:c r="O667" s="37" t="str">
        <x:v>Pick up the object that is second from the left and place it in the bowl. | Move the third from the right object into the bowl.</x:v>
      </x:c>
      <x:c r="P667" s="37" t="str">
        <x:v>Both logically equivalent ordinal descriptions of L2 are withheld for blue tape ball at sequence length 4, while the same trajectory remains under a direct-name instruction.</x:v>
      </x:c>
      <x:c r="Q667" s="38" t="n">
        <x:v>4</x:v>
      </x:c>
    </x:row>
    <x:row r="668" ht="60" customHeight="1">
      <x:c r="A668" s="70" t="n">
        <x:v>666</x:v>
      </x:c>
      <x:c r="B668" s="37" t="str">
        <x:v>Ordering/Sequencing</x:v>
      </x:c>
      <x:c r="C668" s="37" t="str">
        <x:v>Move the blue tape ball into the bowl.</x:v>
      </x:c>
      <x:c r="D668" s="37" t="str">
        <x:v>Masked ordinal-role × target-identity composition</x:v>
      </x:c>
      <x:c r="E668" s="37" t="str">
        <x:v>n=4; physical role=L2; direct identity=blue tape ball</x:v>
      </x:c>
      <x:c r="F668" s="37" t="str">
        <x:v>ordering_n4_l2_blue_tape_ball_masked</x:v>
      </x:c>
      <x:c r="G668" s="37" t="str">
        <x:v>selected sequence-length × physical ordinal role × target-identity cells listed on Holdout Map</x:v>
      </x:c>
      <x:c r="H668" s="37" t="str">
        <x:v>Yes</x:v>
      </x:c>
      <x:c r="I668" s="37" t="str">
        <x:v>Replace prompt only</x:v>
      </x:c>
      <x:c r="J668" s="37" t="str">
        <x:v>Prompt-only relabeling; preserve episode 666 video, scene, trajectory, target, and start position.</x:v>
      </x:c>
      <x:c r="K668" s="37" t="str">
        <x:v>yellow pen, blue tape ball, airplane toy with propellers, green highlighter</x:v>
      </x:c>
      <x:c r="L668" s="37" t="str">
        <x:v>blue tape ball</x:v>
      </x:c>
      <x:c r="M668" s="37" t="str">
        <x:v>Home</x:v>
      </x:c>
      <x:c r="N668" s="37" t="str">
        <x:v>Pick up the object that is third from the right and place it in the bowl.</x:v>
      </x:c>
      <x:c r="O668" s="37" t="str">
        <x:v>Move the second from the left object into the bowl. | Put the object that is third from the right in the bowl.</x:v>
      </x:c>
      <x:c r="P668" s="37" t="str">
        <x:v>Both logically equivalent ordinal descriptions of L2 are withheld for blue tape ball at sequence length 4, while the same trajectory remains under a direct-name instruction.</x:v>
      </x:c>
      <x:c r="Q668" s="38" t="n">
        <x:v>4</x:v>
      </x:c>
    </x:row>
    <x:row r="669" ht="60" customHeight="1">
      <x:c r="A669" s="70" t="n">
        <x:v>667</x:v>
      </x:c>
      <x:c r="B669" s="37" t="str">
        <x:v>Ordering/Sequencing</x:v>
      </x:c>
      <x:c r="C669" s="37" t="str">
        <x:v>Put the blue tape ball in the bowl.</x:v>
      </x:c>
      <x:c r="D669" s="37" t="str">
        <x:v>Masked ordinal-role × target-identity composition</x:v>
      </x:c>
      <x:c r="E669" s="37" t="str">
        <x:v>n=4; physical role=L2; direct identity=blue tape ball</x:v>
      </x:c>
      <x:c r="F669" s="37" t="str">
        <x:v>ordering_n4_l2_blue_tape_ball_masked</x:v>
      </x:c>
      <x:c r="G669" s="37" t="str">
        <x:v>selected sequence-length × physical ordinal role × target-identity cells listed on Holdout Map</x:v>
      </x:c>
      <x:c r="H669" s="37" t="str">
        <x:v>Yes</x:v>
      </x:c>
      <x:c r="I669" s="37" t="str">
        <x:v>Replace prompt only</x:v>
      </x:c>
      <x:c r="J669" s="37" t="str">
        <x:v>Prompt-only relabeling; preserve episode 667 video, scene, trajectory, target, and start position.</x:v>
      </x:c>
      <x:c r="K669" s="37" t="str">
        <x:v>yellow pen, blue tape ball, green highlighter, airplane toy with propellers</x:v>
      </x:c>
      <x:c r="L669" s="37" t="str">
        <x:v>blue tape ball</x:v>
      </x:c>
      <x:c r="M669" s="37" t="str">
        <x:v>Home</x:v>
      </x:c>
      <x:c r="N669" s="37" t="str">
        <x:v>Move the second item counted from the left into the bowl.</x:v>
      </x:c>
      <x:c r="O669" s="37" t="str">
        <x:v>Put the object that is second from the left in the bowl. | Pick up the object that is third from the right and place it in the bowl.</x:v>
      </x:c>
      <x:c r="P669" s="37" t="str">
        <x:v>Both logically equivalent ordinal descriptions of L2 are withheld for blue tape ball at sequence length 4, while the same trajectory remains under a direct-name instruction.</x:v>
      </x:c>
      <x:c r="Q669" s="38" t="n">
        <x:v>4</x:v>
      </x:c>
    </x:row>
    <x:row r="670" ht="60" customHeight="1">
      <x:c r="A670" s="70" t="n">
        <x:v>668</x:v>
      </x:c>
      <x:c r="B670" s="37" t="str">
        <x:v>Ordering/Sequencing</x:v>
      </x:c>
      <x:c r="C670" s="37" t="str">
        <x:v>Pick up the blue tape ball and place it in the bowl.</x:v>
      </x:c>
      <x:c r="D670" s="37" t="str">
        <x:v>Masked ordinal-role × target-identity composition</x:v>
      </x:c>
      <x:c r="E670" s="37" t="str">
        <x:v>n=2; physical role=L2; direct identity=blue tape ball</x:v>
      </x:c>
      <x:c r="F670" s="37" t="str">
        <x:v>ordering_n2_l2_blue_tape_ball_masked</x:v>
      </x:c>
      <x:c r="G670" s="37" t="str">
        <x:v>selected sequence-length × physical ordinal role × target-identity cells listed on Holdout Map</x:v>
      </x:c>
      <x:c r="H670" s="37" t="str">
        <x:v>Yes</x:v>
      </x:c>
      <x:c r="I670" s="37" t="str">
        <x:v>Replace prompt only</x:v>
      </x:c>
      <x:c r="J670" s="37" t="str">
        <x:v>Prompt-only relabeling; preserve episode 668 video, scene, trajectory, target, and start position.</x:v>
      </x:c>
      <x:c r="K670" s="37" t="str">
        <x:v>airplane toy with propellers, blue tape ball</x:v>
      </x:c>
      <x:c r="L670" s="37" t="str">
        <x:v>blue tape ball</x:v>
      </x:c>
      <x:c r="M670" s="37" t="str">
        <x:v>Home</x:v>
      </x:c>
      <x:c r="N670" s="37" t="str">
        <x:v>Put the second object from the left in the bowl.</x:v>
      </x:c>
      <x:c r="O670" s="37" t="str">
        <x:v>Pick up the object that is second from the left and place it in the bowl. | Move the first from the right object into the bowl.</x:v>
      </x:c>
      <x:c r="P670" s="37" t="str">
        <x:v>Both logically equivalent ordinal descriptions of L2 are withheld for blue tape ball at sequence length 2, while the same trajectory remains under a direct-name instruction.</x:v>
      </x:c>
      <x:c r="Q670" s="38" t="n">
        <x:v>2</x:v>
      </x:c>
    </x:row>
    <x:row r="671" ht="60" customHeight="1">
      <x:c r="A671" s="70" t="n">
        <x:v>669</x:v>
      </x:c>
      <x:c r="B671" s="37" t="str">
        <x:v>Ordering/Sequencing</x:v>
      </x:c>
      <x:c r="C671" s="37" t="str">
        <x:v>Move the blue tape ball into the bowl.</x:v>
      </x:c>
      <x:c r="D671" s="37" t="str">
        <x:v>Masked ordinal-role × target-identity composition</x:v>
      </x:c>
      <x:c r="E671" s="37" t="str">
        <x:v>n=2; physical role=L2; direct identity=blue tape ball</x:v>
      </x:c>
      <x:c r="F671" s="37" t="str">
        <x:v>ordering_n2_l2_blue_tape_ball_masked</x:v>
      </x:c>
      <x:c r="G671" s="37" t="str">
        <x:v>selected sequence-length × physical ordinal role × target-identity cells listed on Holdout Map</x:v>
      </x:c>
      <x:c r="H671" s="37" t="str">
        <x:v>Yes</x:v>
      </x:c>
      <x:c r="I671" s="37" t="str">
        <x:v>Replace prompt only</x:v>
      </x:c>
      <x:c r="J671" s="37" t="str">
        <x:v>Prompt-only relabeling; preserve episode 669 video, scene, trajectory, target, and start position.</x:v>
      </x:c>
      <x:c r="K671" s="37" t="str">
        <x:v>green highlighter, blue tape ball</x:v>
      </x:c>
      <x:c r="L671" s="37" t="str">
        <x:v>blue tape ball</x:v>
      </x:c>
      <x:c r="M671" s="37" t="str">
        <x:v>Home</x:v>
      </x:c>
      <x:c r="N671" s="37" t="str">
        <x:v>Pick up the object that is second from the left and place it in the bowl.</x:v>
      </x:c>
      <x:c r="O671" s="37" t="str">
        <x:v>Move the second from the left object into the bowl. | Put the object that is first from the right in the bowl.</x:v>
      </x:c>
      <x:c r="P671" s="37" t="str">
        <x:v>Both logically equivalent ordinal descriptions of L2 are withheld for blue tape ball at sequence length 2, while the same trajectory remains under a direct-name instruction.</x:v>
      </x:c>
      <x:c r="Q671" s="38" t="n">
        <x:v>2</x:v>
      </x:c>
    </x:row>
    <x:row r="672" ht="60" customHeight="1">
      <x:c r="A672" s="70" t="n">
        <x:v>670</x:v>
      </x:c>
      <x:c r="B672" s="37" t="str">
        <x:v>Ordering/Sequencing</x:v>
      </x:c>
      <x:c r="C672" s="37" t="str">
        <x:v>Put the blue tape ball in the bowl.</x:v>
      </x:c>
      <x:c r="D672" s="37" t="str">
        <x:v>Masked ordinal-role × target-identity composition</x:v>
      </x:c>
      <x:c r="E672" s="37" t="str">
        <x:v>n=2; physical role=L2; direct identity=blue tape ball</x:v>
      </x:c>
      <x:c r="F672" s="37" t="str">
        <x:v>ordering_n2_l2_blue_tape_ball_masked</x:v>
      </x:c>
      <x:c r="G672" s="37" t="str">
        <x:v>selected sequence-length × physical ordinal role × target-identity cells listed on Holdout Map</x:v>
      </x:c>
      <x:c r="H672" s="37" t="str">
        <x:v>Yes</x:v>
      </x:c>
      <x:c r="I672" s="37" t="str">
        <x:v>Replace prompt only</x:v>
      </x:c>
      <x:c r="J672" s="37" t="str">
        <x:v>Prompt-only relabeling; preserve episode 670 video, scene, trajectory, target, and start position.</x:v>
      </x:c>
      <x:c r="K672" s="37" t="str">
        <x:v>yellow pen, blue tape ball</x:v>
      </x:c>
      <x:c r="L672" s="37" t="str">
        <x:v>blue tape ball</x:v>
      </x:c>
      <x:c r="M672" s="37" t="str">
        <x:v>Home</x:v>
      </x:c>
      <x:c r="N672" s="37" t="str">
        <x:v>Move the second item counted from the left into the bowl.</x:v>
      </x:c>
      <x:c r="O672" s="37" t="str">
        <x:v>Put the object that is second from the left in the bowl. | Pick up the object that is first from the right and place it in the bowl.</x:v>
      </x:c>
      <x:c r="P672" s="37" t="str">
        <x:v>Both logically equivalent ordinal descriptions of L2 are withheld for blue tape ball at sequence length 2, while the same trajectory remains under a direct-name instruction.</x:v>
      </x:c>
      <x:c r="Q672" s="38" t="n">
        <x:v>2</x:v>
      </x:c>
    </x:row>
    <x:row r="673" ht="60" customHeight="1">
      <x:c r="A673" s="70" t="n">
        <x:v>671</x:v>
      </x:c>
      <x:c r="B673" s="37" t="str">
        <x:v>Ordering/Sequencing</x:v>
      </x:c>
      <x:c r="C673" s="37" t="str">
        <x:v>Pick up the blue tape ball and place it in the bowl.</x:v>
      </x:c>
      <x:c r="D673" s="37" t="str">
        <x:v>Masked ordinal-role × target-identity composition</x:v>
      </x:c>
      <x:c r="E673" s="37" t="str">
        <x:v>n=2; physical role=L2; direct identity=blue tape ball</x:v>
      </x:c>
      <x:c r="F673" s="37" t="str">
        <x:v>ordering_n2_l2_blue_tape_ball_masked</x:v>
      </x:c>
      <x:c r="G673" s="37" t="str">
        <x:v>selected sequence-length × physical ordinal role × target-identity cells listed on Holdout Map</x:v>
      </x:c>
      <x:c r="H673" s="37" t="str">
        <x:v>Yes</x:v>
      </x:c>
      <x:c r="I673" s="37" t="str">
        <x:v>Replace prompt only</x:v>
      </x:c>
      <x:c r="J673" s="37" t="str">
        <x:v>Prompt-only relabeling; preserve episode 671 video, scene, trajectory, target, and start position.</x:v>
      </x:c>
      <x:c r="K673" s="37" t="str">
        <x:v>airplane toy with propellers, blue tape ball</x:v>
      </x:c>
      <x:c r="L673" s="37" t="str">
        <x:v>blue tape ball</x:v>
      </x:c>
      <x:c r="M673" s="37" t="str">
        <x:v>Home</x:v>
      </x:c>
      <x:c r="N673" s="37" t="str">
        <x:v>Put the second object from the left in the bowl.</x:v>
      </x:c>
      <x:c r="O673" s="37" t="str">
        <x:v>Pick up the object that is second from the left and place it in the bowl. | Move the first from the right object into the bowl.</x:v>
      </x:c>
      <x:c r="P673" s="37" t="str">
        <x:v>Both logically equivalent ordinal descriptions of L2 are withheld for blue tape ball at sequence length 2, while the same trajectory remains under a direct-name instruction.</x:v>
      </x:c>
      <x:c r="Q673" s="38" t="n">
        <x:v>2</x:v>
      </x:c>
    </x:row>
    <x:row r="674" ht="60" customHeight="1">
      <x:c r="A674" s="70" t="n">
        <x:v>672</x:v>
      </x:c>
      <x:c r="B674" s="37" t="str">
        <x:v>Ordering/Sequencing</x:v>
      </x:c>
      <x:c r="C674" s="37" t="str">
        <x:v>Move the blue tape ball into the bowl.</x:v>
      </x:c>
      <x:c r="D674" s="37" t="str">
        <x:v>Masked ordinal-role × target-identity composition</x:v>
      </x:c>
      <x:c r="E674" s="37" t="str">
        <x:v>n=2; physical role=L2; direct identity=blue tape ball</x:v>
      </x:c>
      <x:c r="F674" s="37" t="str">
        <x:v>ordering_n2_l2_blue_tape_ball_masked</x:v>
      </x:c>
      <x:c r="G674" s="37" t="str">
        <x:v>selected sequence-length × physical ordinal role × target-identity cells listed on Holdout Map</x:v>
      </x:c>
      <x:c r="H674" s="37" t="str">
        <x:v>Yes</x:v>
      </x:c>
      <x:c r="I674" s="37" t="str">
        <x:v>Replace prompt only</x:v>
      </x:c>
      <x:c r="J674" s="37" t="str">
        <x:v>Prompt-only relabeling; preserve episode 672 video, scene, trajectory, target, and start position.</x:v>
      </x:c>
      <x:c r="K674" s="37" t="str">
        <x:v>green highlighter, blue tape ball</x:v>
      </x:c>
      <x:c r="L674" s="37" t="str">
        <x:v>blue tape ball</x:v>
      </x:c>
      <x:c r="M674" s="37" t="str">
        <x:v>Recovery</x:v>
      </x:c>
      <x:c r="N674" s="37" t="str">
        <x:v>Put the second object from the left in the bowl.</x:v>
      </x:c>
      <x:c r="O674" s="37" t="str">
        <x:v>Move the second from the left object into the bowl. | Put the object that is first from the right in the bowl.</x:v>
      </x:c>
      <x:c r="P674" s="37" t="str">
        <x:v>Both logically equivalent ordinal descriptions of L2 are withheld for blue tape ball at sequence length 2, while the same trajectory remains under a direct-name instruction.</x:v>
      </x:c>
      <x:c r="Q674" s="38" t="n">
        <x:v>2</x:v>
      </x:c>
    </x:row>
    <x:row r="675" ht="60" customHeight="1">
      <x:c r="A675" s="70" t="n">
        <x:v>673</x:v>
      </x:c>
      <x:c r="B675" s="37" t="str">
        <x:v>Ordering/Sequencing</x:v>
      </x:c>
      <x:c r="C675" s="37" t="str">
        <x:v>Put the blue tape ball in the bowl.</x:v>
      </x:c>
      <x:c r="D675" s="37" t="str">
        <x:v>Masked ordinal-role × target-identity composition</x:v>
      </x:c>
      <x:c r="E675" s="37" t="str">
        <x:v>n=2; physical role=L2; direct identity=blue tape ball</x:v>
      </x:c>
      <x:c r="F675" s="37" t="str">
        <x:v>ordering_n2_l2_blue_tape_ball_masked</x:v>
      </x:c>
      <x:c r="G675" s="37" t="str">
        <x:v>selected sequence-length × physical ordinal role × target-identity cells listed on Holdout Map</x:v>
      </x:c>
      <x:c r="H675" s="37" t="str">
        <x:v>Yes</x:v>
      </x:c>
      <x:c r="I675" s="37" t="str">
        <x:v>Replace prompt only</x:v>
      </x:c>
      <x:c r="J675" s="37" t="str">
        <x:v>Prompt-only relabeling; preserve episode 673 video, scene, trajectory, target, and start position.</x:v>
      </x:c>
      <x:c r="K675" s="37" t="str">
        <x:v>yellow pen, blue tape ball</x:v>
      </x:c>
      <x:c r="L675" s="37" t="str">
        <x:v>blue tape ball</x:v>
      </x:c>
      <x:c r="M675" s="37" t="str">
        <x:v>Recovery</x:v>
      </x:c>
      <x:c r="N675" s="37" t="str">
        <x:v>Pick up the object that is second from the left and place it in the bowl.</x:v>
      </x:c>
      <x:c r="O675" s="37" t="str">
        <x:v>Put the object that is second from the left in the bowl. | Pick up the object that is first from the right and place it in the bowl.</x:v>
      </x:c>
      <x:c r="P675" s="37" t="str">
        <x:v>Both logically equivalent ordinal descriptions of L2 are withheld for blue tape ball at sequence length 2, while the same trajectory remains under a direct-name instruction.</x:v>
      </x:c>
      <x:c r="Q675" s="38" t="n">
        <x:v>2</x:v>
      </x:c>
    </x:row>
    <x:row r="676" ht="60" customHeight="1">
      <x:c r="A676" s="70" t="n">
        <x:v>674</x:v>
      </x:c>
      <x:c r="B676" s="37" t="str">
        <x:v>Ordering/Sequencing</x:v>
      </x:c>
      <x:c r="C676" s="37" t="str">
        <x:v>Pick up the blue tape ball and place it in the bowl.</x:v>
      </x:c>
      <x:c r="D676" s="37" t="str">
        <x:v>Masked ordinal-role × target-identity composition</x:v>
      </x:c>
      <x:c r="E676" s="37" t="str">
        <x:v>n=4; physical role=L2; direct identity=blue tape ball</x:v>
      </x:c>
      <x:c r="F676" s="37" t="str">
        <x:v>ordering_n4_l2_blue_tape_ball_masked</x:v>
      </x:c>
      <x:c r="G676" s="37" t="str">
        <x:v>selected sequence-length × physical ordinal role × target-identity cells listed on Holdout Map</x:v>
      </x:c>
      <x:c r="H676" s="37" t="str">
        <x:v>Yes</x:v>
      </x:c>
      <x:c r="I676" s="37" t="str">
        <x:v>Replace prompt only</x:v>
      </x:c>
      <x:c r="J676" s="37" t="str">
        <x:v>Prompt-only relabeling; preserve episode 674 video, scene, trajectory, target, and start position.</x:v>
      </x:c>
      <x:c r="K676" s="37" t="str">
        <x:v>airplane toy with propellers, blue tape ball, green highlighter, yellow pen</x:v>
      </x:c>
      <x:c r="L676" s="37" t="str">
        <x:v>blue tape ball</x:v>
      </x:c>
      <x:c r="M676" s="37" t="str">
        <x:v>Recovery</x:v>
      </x:c>
      <x:c r="N676" s="37" t="str">
        <x:v>Move the third item counted from the right into the bowl.</x:v>
      </x:c>
      <x:c r="O676" s="37" t="str">
        <x:v>Pick up the object that is second from the left and place it in the bowl. | Move the third from the right object into the bowl.</x:v>
      </x:c>
      <x:c r="P676" s="37" t="str">
        <x:v>Both logically equivalent ordinal descriptions of L2 are withheld for blue tape ball at sequence length 4, while the same trajectory remains under a direct-name instruction.</x:v>
      </x:c>
      <x:c r="Q676" s="38" t="n">
        <x:v>4</x:v>
      </x:c>
    </x:row>
    <x:row r="677" ht="60" customHeight="1">
      <x:c r="A677" s="70" t="n">
        <x:v>675</x:v>
      </x:c>
      <x:c r="B677" s="37" t="str">
        <x:v>Ordering/Sequencing</x:v>
      </x:c>
      <x:c r="C677" s="37" t="str">
        <x:v>Move the second from the right object into the bowl.</x:v>
      </x:c>
      <x:c r="D677" s="37" t="str">
        <x:v>Explicit ordinal grounding</x:v>
      </x:c>
      <x:c r="E677" s="37" t="str">
        <x:v>n=4; physical role=L3; expression=second from the right; target=blue tape ball</x:v>
      </x:c>
      <x:c r="F677" s="37" t="str">
        <x:v>ordering_n4_l3_blue_tape_ball_explicit</x:v>
      </x:c>
      <x:c r="G677" s="37" t="str">
        <x:v>selected sequence-length × physical ordinal role × target-identity cells listed on Holdout Map</x:v>
      </x:c>
      <x:c r="H677" s="37" t="str">
        <x:v>Yes</x:v>
      </x:c>
      <x:c r="I677" s="37" t="str">
        <x:v>Replace prompt only</x:v>
      </x:c>
      <x:c r="J677" s="37" t="str">
        <x:v>Prompt-only relabeling; preserve episode 675 video, scene, trajectory, target, and start position.</x:v>
      </x:c>
      <x:c r="K677" s="37" t="str">
        <x:v>airplane toy with propellers, green highlighter, blue tape ball, yellow pen</x:v>
      </x:c>
      <x:c r="L677" s="37" t="str">
        <x:v>blue tape ball</x:v>
      </x:c>
      <x:c r="M677" s="37" t="str">
        <x:v>Home</x:v>
      </x:c>
      <x:c r="N677" s="37" t="str">
        <x:v>Pick up the blue tape ball and place it in the bowl.</x:v>
      </x:c>
      <x:c r="O677" s="37" t="str"/>
      <x:c r="P677" s="37" t="str">
        <x:v>Explicitly grounds ordinal role L3 at sequence length 4 with blue tape ball; selected object-role cells are masked instead of withholding an ordinal word or output position.</x:v>
      </x:c>
      <x:c r="Q677" s="38" t="n">
        <x:v>4</x:v>
      </x:c>
    </x:row>
    <x:row r="678" ht="60" customHeight="1">
      <x:c r="A678" s="70" t="n">
        <x:v>676</x:v>
      </x:c>
      <x:c r="B678" s="37" t="str">
        <x:v>Ordering/Sequencing</x:v>
      </x:c>
      <x:c r="C678" s="37" t="str">
        <x:v>Put the object that is third from the left in the bowl.</x:v>
      </x:c>
      <x:c r="D678" s="37" t="str">
        <x:v>Explicit ordinal grounding</x:v>
      </x:c>
      <x:c r="E678" s="37" t="str">
        <x:v>n=4; physical role=L3; expression=third from the left; target=blue tape ball</x:v>
      </x:c>
      <x:c r="F678" s="37" t="str">
        <x:v>ordering_n4_l3_blue_tape_ball_explicit</x:v>
      </x:c>
      <x:c r="G678" s="37" t="str">
        <x:v>selected sequence-length × physical ordinal role × target-identity cells listed on Holdout Map</x:v>
      </x:c>
      <x:c r="H678" s="37" t="str">
        <x:v>Yes</x:v>
      </x:c>
      <x:c r="I678" s="37" t="str">
        <x:v>Replace prompt only</x:v>
      </x:c>
      <x:c r="J678" s="37" t="str">
        <x:v>Prompt-only relabeling; preserve episode 676 video, scene, trajectory, target, and start position.</x:v>
      </x:c>
      <x:c r="K678" s="37" t="str">
        <x:v>airplane toy with propellers, yellow pen, blue tape ball, green highlighter</x:v>
      </x:c>
      <x:c r="L678" s="37" t="str">
        <x:v>blue tape ball</x:v>
      </x:c>
      <x:c r="M678" s="37" t="str">
        <x:v>Home</x:v>
      </x:c>
      <x:c r="N678" s="37" t="str">
        <x:v>Move the blue tape ball into the bowl.</x:v>
      </x:c>
      <x:c r="O678" s="37" t="str"/>
      <x:c r="P678" s="37" t="str">
        <x:v>Explicitly grounds ordinal role L3 at sequence length 4 with blue tape ball; selected object-role cells are masked instead of withholding an ordinal word or output position.</x:v>
      </x:c>
      <x:c r="Q678" s="38" t="n">
        <x:v>4</x:v>
      </x:c>
    </x:row>
    <x:row r="679" ht="60" customHeight="1">
      <x:c r="A679" s="70" t="n">
        <x:v>677</x:v>
      </x:c>
      <x:c r="B679" s="37" t="str">
        <x:v>Ordering/Sequencing</x:v>
      </x:c>
      <x:c r="C679" s="37" t="str">
        <x:v>Pick up the object that is second from the right and place it in the bowl.</x:v>
      </x:c>
      <x:c r="D679" s="37" t="str">
        <x:v>Explicit ordinal grounding</x:v>
      </x:c>
      <x:c r="E679" s="37" t="str">
        <x:v>n=4; physical role=L3; expression=second from the right; target=blue tape ball</x:v>
      </x:c>
      <x:c r="F679" s="37" t="str">
        <x:v>ordering_n4_l3_blue_tape_ball_explicit</x:v>
      </x:c>
      <x:c r="G679" s="37" t="str">
        <x:v>selected sequence-length × physical ordinal role × target-identity cells listed on Holdout Map</x:v>
      </x:c>
      <x:c r="H679" s="37" t="str">
        <x:v>Yes</x:v>
      </x:c>
      <x:c r="I679" s="37" t="str">
        <x:v>Replace prompt only</x:v>
      </x:c>
      <x:c r="J679" s="37" t="str">
        <x:v>Prompt-only relabeling; preserve episode 677 video, scene, trajectory, target, and start position.</x:v>
      </x:c>
      <x:c r="K679" s="37" t="str">
        <x:v>green highlighter, airplane toy with propellers, blue tape ball, yellow pen</x:v>
      </x:c>
      <x:c r="L679" s="37" t="str">
        <x:v>blue tape ball</x:v>
      </x:c>
      <x:c r="M679" s="37" t="str">
        <x:v>Home</x:v>
      </x:c>
      <x:c r="N679" s="37" t="str">
        <x:v>Put the blue tape ball in the bowl.</x:v>
      </x:c>
      <x:c r="O679" s="37" t="str"/>
      <x:c r="P679" s="37" t="str">
        <x:v>Explicitly grounds ordinal role L3 at sequence length 4 with blue tape ball; selected object-role cells are masked instead of withholding an ordinal word or output position.</x:v>
      </x:c>
      <x:c r="Q679" s="38" t="n">
        <x:v>4</x:v>
      </x:c>
    </x:row>
    <x:row r="680" ht="60" customHeight="1">
      <x:c r="A680" s="70" t="n">
        <x:v>678</x:v>
      </x:c>
      <x:c r="B680" s="37" t="str">
        <x:v>Ordering/Sequencing</x:v>
      </x:c>
      <x:c r="C680" s="37" t="str">
        <x:v>Move the third from the left object into the bowl.</x:v>
      </x:c>
      <x:c r="D680" s="37" t="str">
        <x:v>Explicit ordinal grounding</x:v>
      </x:c>
      <x:c r="E680" s="37" t="str">
        <x:v>n=4; physical role=L3; expression=third from the left; target=blue tape ball</x:v>
      </x:c>
      <x:c r="F680" s="37" t="str">
        <x:v>ordering_n4_l3_blue_tape_ball_explicit</x:v>
      </x:c>
      <x:c r="G680" s="37" t="str">
        <x:v>selected sequence-length × physical ordinal role × target-identity cells listed on Holdout Map</x:v>
      </x:c>
      <x:c r="H680" s="37" t="str">
        <x:v>Yes</x:v>
      </x:c>
      <x:c r="I680" s="37" t="str">
        <x:v>Replace prompt only</x:v>
      </x:c>
      <x:c r="J680" s="37" t="str">
        <x:v>Prompt-only relabeling; preserve episode 678 video, scene, trajectory, target, and start position.</x:v>
      </x:c>
      <x:c r="K680" s="37" t="str">
        <x:v>green highlighter, yellow pen, blue tape ball, airplane toy with propellers</x:v>
      </x:c>
      <x:c r="L680" s="37" t="str">
        <x:v>blue tape ball</x:v>
      </x:c>
      <x:c r="M680" s="37" t="str">
        <x:v>Home</x:v>
      </x:c>
      <x:c r="N680" s="37" t="str">
        <x:v>Pick up the blue tape ball and place it in the bowl.</x:v>
      </x:c>
      <x:c r="O680" s="37" t="str"/>
      <x:c r="P680" s="37" t="str">
        <x:v>Explicitly grounds ordinal role L3 at sequence length 4 with blue tape ball; selected object-role cells are masked instead of withholding an ordinal word or output position.</x:v>
      </x:c>
      <x:c r="Q680" s="38" t="n">
        <x:v>4</x:v>
      </x:c>
    </x:row>
    <x:row r="681" ht="60" customHeight="1">
      <x:c r="A681" s="70" t="n">
        <x:v>679</x:v>
      </x:c>
      <x:c r="B681" s="37" t="str">
        <x:v>Ordering/Sequencing</x:v>
      </x:c>
      <x:c r="C681" s="37" t="str">
        <x:v>Put the object that is first from the right in the bowl.</x:v>
      </x:c>
      <x:c r="D681" s="37" t="str">
        <x:v>Explicit ordinal grounding</x:v>
      </x:c>
      <x:c r="E681" s="37" t="str">
        <x:v>n=3; physical role=L3; expression=first from the right; target=blue tape ball</x:v>
      </x:c>
      <x:c r="F681" s="37" t="str">
        <x:v>ordering_n3_l3_blue_tape_ball_explicit</x:v>
      </x:c>
      <x:c r="G681" s="37" t="str">
        <x:v>selected sequence-length × physical ordinal role × target-identity cells listed on Holdout Map</x:v>
      </x:c>
      <x:c r="H681" s="37" t="str">
        <x:v>Yes</x:v>
      </x:c>
      <x:c r="I681" s="37" t="str">
        <x:v>Replace prompt only</x:v>
      </x:c>
      <x:c r="J681" s="37" t="str">
        <x:v>Prompt-only relabeling; preserve episode 679 video, scene, trajectory, target, and start position.</x:v>
      </x:c>
      <x:c r="K681" s="37" t="str">
        <x:v>airplane toy with propellers, green highlighter, blue tape ball</x:v>
      </x:c>
      <x:c r="L681" s="37" t="str">
        <x:v>blue tape ball</x:v>
      </x:c>
      <x:c r="M681" s="37" t="str">
        <x:v>Home</x:v>
      </x:c>
      <x:c r="N681" s="37" t="str">
        <x:v>Pick up the blue tape ball and place it in the bowl.</x:v>
      </x:c>
      <x:c r="O681" s="37" t="str"/>
      <x:c r="P681" s="37" t="str">
        <x:v>Explicitly grounds ordinal role L3 at sequence length 3 with blue tape ball; selected object-role cells are masked instead of withholding an ordinal word or output position.</x:v>
      </x:c>
      <x:c r="Q681" s="38" t="n">
        <x:v>3</x:v>
      </x:c>
    </x:row>
    <x:row r="682" ht="60" customHeight="1">
      <x:c r="A682" s="70" t="n">
        <x:v>680</x:v>
      </x:c>
      <x:c r="B682" s="37" t="str">
        <x:v>Ordering/Sequencing</x:v>
      </x:c>
      <x:c r="C682" s="37" t="str">
        <x:v>Pick up the object that is third from the left and place it in the bowl.</x:v>
      </x:c>
      <x:c r="D682" s="37" t="str">
        <x:v>Explicit ordinal grounding</x:v>
      </x:c>
      <x:c r="E682" s="37" t="str">
        <x:v>n=3; physical role=L3; expression=third from the left; target=blue tape ball</x:v>
      </x:c>
      <x:c r="F682" s="37" t="str">
        <x:v>ordering_n3_l3_blue_tape_ball_explicit</x:v>
      </x:c>
      <x:c r="G682" s="37" t="str">
        <x:v>selected sequence-length × physical ordinal role × target-identity cells listed on Holdout Map</x:v>
      </x:c>
      <x:c r="H682" s="37" t="str">
        <x:v>Yes</x:v>
      </x:c>
      <x:c r="I682" s="37" t="str">
        <x:v>Replace prompt only</x:v>
      </x:c>
      <x:c r="J682" s="37" t="str">
        <x:v>Prompt-only relabeling; preserve episode 680 video, scene, trajectory, target, and start position.</x:v>
      </x:c>
      <x:c r="K682" s="37" t="str">
        <x:v>airplane toy with propellers, yellow pen, blue tape ball</x:v>
      </x:c>
      <x:c r="L682" s="37" t="str">
        <x:v>blue tape ball</x:v>
      </x:c>
      <x:c r="M682" s="37" t="str">
        <x:v>Home</x:v>
      </x:c>
      <x:c r="N682" s="37" t="str">
        <x:v>Move the blue tape ball into the bowl.</x:v>
      </x:c>
      <x:c r="O682" s="37" t="str"/>
      <x:c r="P682" s="37" t="str">
        <x:v>Explicitly grounds ordinal role L3 at sequence length 3 with blue tape ball; selected object-role cells are masked instead of withholding an ordinal word or output position.</x:v>
      </x:c>
      <x:c r="Q682" s="38" t="n">
        <x:v>3</x:v>
      </x:c>
    </x:row>
    <x:row r="683" ht="60" customHeight="1">
      <x:c r="A683" s="70" t="n">
        <x:v>681</x:v>
      </x:c>
      <x:c r="B683" s="37" t="str">
        <x:v>Ordering/Sequencing</x:v>
      </x:c>
      <x:c r="C683" s="37" t="str">
        <x:v>Move the first from the right object into the bowl.</x:v>
      </x:c>
      <x:c r="D683" s="37" t="str">
        <x:v>Explicit ordinal grounding</x:v>
      </x:c>
      <x:c r="E683" s="37" t="str">
        <x:v>n=3; physical role=L3; expression=first from the right; target=blue tape ball</x:v>
      </x:c>
      <x:c r="F683" s="37" t="str">
        <x:v>ordering_n3_l3_blue_tape_ball_explicit</x:v>
      </x:c>
      <x:c r="G683" s="37" t="str">
        <x:v>selected sequence-length × physical ordinal role × target-identity cells listed on Holdout Map</x:v>
      </x:c>
      <x:c r="H683" s="37" t="str">
        <x:v>Yes</x:v>
      </x:c>
      <x:c r="I683" s="37" t="str">
        <x:v>Replace prompt only</x:v>
      </x:c>
      <x:c r="J683" s="37" t="str">
        <x:v>Prompt-only relabeling; preserve episode 681 video, scene, trajectory, target, and start position.</x:v>
      </x:c>
      <x:c r="K683" s="37" t="str">
        <x:v>green highlighter, airplane toy with propellers, blue tape ball</x:v>
      </x:c>
      <x:c r="L683" s="37" t="str">
        <x:v>blue tape ball</x:v>
      </x:c>
      <x:c r="M683" s="37" t="str">
        <x:v>Home</x:v>
      </x:c>
      <x:c r="N683" s="37" t="str">
        <x:v>Move the blue tape ball into the bowl.</x:v>
      </x:c>
      <x:c r="O683" s="37" t="str"/>
      <x:c r="P683" s="37" t="str">
        <x:v>Explicitly grounds ordinal role L3 at sequence length 3 with blue tape ball; selected object-role cells are masked instead of withholding an ordinal word or output position.</x:v>
      </x:c>
      <x:c r="Q683" s="38" t="n">
        <x:v>3</x:v>
      </x:c>
    </x:row>
    <x:row r="684" ht="60" customHeight="1">
      <x:c r="A684" s="70" t="n">
        <x:v>682</x:v>
      </x:c>
      <x:c r="B684" s="37" t="str">
        <x:v>Ordering/Sequencing</x:v>
      </x:c>
      <x:c r="C684" s="37" t="str">
        <x:v>Put the object that is third from the left in the bowl.</x:v>
      </x:c>
      <x:c r="D684" s="37" t="str">
        <x:v>Explicit ordinal grounding</x:v>
      </x:c>
      <x:c r="E684" s="37" t="str">
        <x:v>n=3; physical role=L3; expression=third from the left; target=blue tape ball</x:v>
      </x:c>
      <x:c r="F684" s="37" t="str">
        <x:v>ordering_n3_l3_blue_tape_ball_explicit</x:v>
      </x:c>
      <x:c r="G684" s="37" t="str">
        <x:v>selected sequence-length × physical ordinal role × target-identity cells listed on Holdout Map</x:v>
      </x:c>
      <x:c r="H684" s="37" t="str">
        <x:v>Yes</x:v>
      </x:c>
      <x:c r="I684" s="37" t="str">
        <x:v>Replace prompt only</x:v>
      </x:c>
      <x:c r="J684" s="37" t="str">
        <x:v>Prompt-only relabeling; preserve episode 682 video, scene, trajectory, target, and start position.</x:v>
      </x:c>
      <x:c r="K684" s="37" t="str">
        <x:v>green highlighter, yellow pen, blue tape ball</x:v>
      </x:c>
      <x:c r="L684" s="37" t="str">
        <x:v>blue tape ball</x:v>
      </x:c>
      <x:c r="M684" s="37" t="str">
        <x:v>Home</x:v>
      </x:c>
      <x:c r="N684" s="37" t="str">
        <x:v>Pick up the blue tape ball and place it in the bowl.</x:v>
      </x:c>
      <x:c r="O684" s="37" t="str"/>
      <x:c r="P684" s="37" t="str">
        <x:v>Explicitly grounds ordinal role L3 at sequence length 3 with blue tape ball; selected object-role cells are masked instead of withholding an ordinal word or output position.</x:v>
      </x:c>
      <x:c r="Q684" s="38" t="n">
        <x:v>3</x:v>
      </x:c>
    </x:row>
    <x:row r="685" ht="60" customHeight="1">
      <x:c r="A685" s="70" t="n">
        <x:v>683</x:v>
      </x:c>
      <x:c r="B685" s="37" t="str">
        <x:v>Ordering/Sequencing</x:v>
      </x:c>
      <x:c r="C685" s="37" t="str">
        <x:v>Pick up the object that is first from the right and place it in the bowl.</x:v>
      </x:c>
      <x:c r="D685" s="37" t="str">
        <x:v>Explicit ordinal grounding</x:v>
      </x:c>
      <x:c r="E685" s="37" t="str">
        <x:v>n=3; physical role=L3; expression=first from the right; target=blue tape ball</x:v>
      </x:c>
      <x:c r="F685" s="37" t="str">
        <x:v>ordering_n3_l3_blue_tape_ball_explicit</x:v>
      </x:c>
      <x:c r="G685" s="37" t="str">
        <x:v>selected sequence-length × physical ordinal role × target-identity cells listed on Holdout Map</x:v>
      </x:c>
      <x:c r="H685" s="37" t="str">
        <x:v>Yes</x:v>
      </x:c>
      <x:c r="I685" s="37" t="str">
        <x:v>Replace prompt only</x:v>
      </x:c>
      <x:c r="J685" s="37" t="str">
        <x:v>Prompt-only relabeling; preserve episode 683 video, scene, trajectory, target, and start position.</x:v>
      </x:c>
      <x:c r="K685" s="37" t="str">
        <x:v>yellow pen, airplane toy with propellers, blue tape ball</x:v>
      </x:c>
      <x:c r="L685" s="37" t="str">
        <x:v>blue tape ball</x:v>
      </x:c>
      <x:c r="M685" s="37" t="str">
        <x:v>Home</x:v>
      </x:c>
      <x:c r="N685" s="37" t="str">
        <x:v>Put the blue tape ball in the bowl.</x:v>
      </x:c>
      <x:c r="O685" s="37" t="str"/>
      <x:c r="P685" s="37" t="str">
        <x:v>Explicitly grounds ordinal role L3 at sequence length 3 with blue tape ball; selected object-role cells are masked instead of withholding an ordinal word or output position.</x:v>
      </x:c>
      <x:c r="Q685" s="38" t="n">
        <x:v>3</x:v>
      </x:c>
    </x:row>
    <x:row r="686" ht="60" customHeight="1">
      <x:c r="A686" s="70" t="n">
        <x:v>684</x:v>
      </x:c>
      <x:c r="B686" s="37" t="str">
        <x:v>Ordering/Sequencing</x:v>
      </x:c>
      <x:c r="C686" s="37" t="str">
        <x:v>Move the third from the left object into the bowl.</x:v>
      </x:c>
      <x:c r="D686" s="37" t="str">
        <x:v>Explicit ordinal grounding</x:v>
      </x:c>
      <x:c r="E686" s="37" t="str">
        <x:v>n=3; physical role=L3; expression=third from the left; target=blue tape ball</x:v>
      </x:c>
      <x:c r="F686" s="37" t="str">
        <x:v>ordering_n3_l3_blue_tape_ball_explicit</x:v>
      </x:c>
      <x:c r="G686" s="37" t="str">
        <x:v>selected sequence-length × physical ordinal role × target-identity cells listed on Holdout Map</x:v>
      </x:c>
      <x:c r="H686" s="37" t="str">
        <x:v>Yes</x:v>
      </x:c>
      <x:c r="I686" s="37" t="str">
        <x:v>Replace prompt only</x:v>
      </x:c>
      <x:c r="J686" s="37" t="str">
        <x:v>Prompt-only relabeling; preserve episode 684 video, scene, trajectory, target, and start position.</x:v>
      </x:c>
      <x:c r="K686" s="37" t="str">
        <x:v>yellow pen, green highlighter, blue tape ball</x:v>
      </x:c>
      <x:c r="L686" s="37" t="str">
        <x:v>blue tape ball</x:v>
      </x:c>
      <x:c r="M686" s="37" t="str">
        <x:v>Home</x:v>
      </x:c>
      <x:c r="N686" s="37" t="str">
        <x:v>Put the blue tape ball in the bowl.</x:v>
      </x:c>
      <x:c r="O686" s="37" t="str"/>
      <x:c r="P686" s="37" t="str">
        <x:v>Explicitly grounds ordinal role L3 at sequence length 3 with blue tape ball; selected object-role cells are masked instead of withholding an ordinal word or output position.</x:v>
      </x:c>
      <x:c r="Q686" s="38" t="n">
        <x:v>3</x:v>
      </x:c>
    </x:row>
    <x:row r="687" ht="60" customHeight="1">
      <x:c r="A687" s="70" t="n">
        <x:v>685</x:v>
      </x:c>
      <x:c r="B687" s="37" t="str">
        <x:v>Ordering/Sequencing</x:v>
      </x:c>
      <x:c r="C687" s="37" t="str">
        <x:v>Put the object that is second from the right in the bowl.</x:v>
      </x:c>
      <x:c r="D687" s="37" t="str">
        <x:v>Explicit ordinal grounding</x:v>
      </x:c>
      <x:c r="E687" s="37" t="str">
        <x:v>n=4; physical role=L3; expression=second from the right; target=blue tape ball</x:v>
      </x:c>
      <x:c r="F687" s="37" t="str">
        <x:v>ordering_n4_l3_blue_tape_ball_explicit</x:v>
      </x:c>
      <x:c r="G687" s="37" t="str">
        <x:v>selected sequence-length × physical ordinal role × target-identity cells listed on Holdout Map</x:v>
      </x:c>
      <x:c r="H687" s="37" t="str">
        <x:v>Yes</x:v>
      </x:c>
      <x:c r="I687" s="37" t="str">
        <x:v>Replace prompt only</x:v>
      </x:c>
      <x:c r="J687" s="37" t="str">
        <x:v>Prompt-only relabeling; preserve episode 685 video, scene, trajectory, target, and start position.</x:v>
      </x:c>
      <x:c r="K687" s="37" t="str">
        <x:v>yellow pen, airplane toy with propellers, blue tape ball, green highlighter</x:v>
      </x:c>
      <x:c r="L687" s="37" t="str">
        <x:v>blue tape ball</x:v>
      </x:c>
      <x:c r="M687" s="37" t="str">
        <x:v>Recovery</x:v>
      </x:c>
      <x:c r="N687" s="37" t="str">
        <x:v>Move the blue tape ball into the bowl.</x:v>
      </x:c>
      <x:c r="O687" s="37" t="str"/>
      <x:c r="P687" s="37" t="str">
        <x:v>Explicitly grounds ordinal role L3 at sequence length 4 with blue tape ball; selected object-role cells are masked instead of withholding an ordinal word or output position.</x:v>
      </x:c>
      <x:c r="Q687" s="38" t="n">
        <x:v>4</x:v>
      </x:c>
    </x:row>
    <x:row r="688" ht="60" customHeight="1">
      <x:c r="A688" s="70" t="n">
        <x:v>686</x:v>
      </x:c>
      <x:c r="B688" s="37" t="str">
        <x:v>Ordering/Sequencing</x:v>
      </x:c>
      <x:c r="C688" s="37" t="str">
        <x:v>Pick up the object that is third from the left and place it in the bowl.</x:v>
      </x:c>
      <x:c r="D688" s="37" t="str">
        <x:v>Explicit ordinal grounding</x:v>
      </x:c>
      <x:c r="E688" s="37" t="str">
        <x:v>n=4; physical role=L3; expression=third from the left; target=blue tape ball</x:v>
      </x:c>
      <x:c r="F688" s="37" t="str">
        <x:v>ordering_n4_l3_blue_tape_ball_explicit</x:v>
      </x:c>
      <x:c r="G688" s="37" t="str">
        <x:v>selected sequence-length × physical ordinal role × target-identity cells listed on Holdout Map</x:v>
      </x:c>
      <x:c r="H688" s="37" t="str">
        <x:v>Yes</x:v>
      </x:c>
      <x:c r="I688" s="37" t="str">
        <x:v>Replace prompt only</x:v>
      </x:c>
      <x:c r="J688" s="37" t="str">
        <x:v>Prompt-only relabeling; preserve episode 686 video, scene, trajectory, target, and start position.</x:v>
      </x:c>
      <x:c r="K688" s="37" t="str">
        <x:v>yellow pen, green highlighter, blue tape ball, airplane toy with propellers</x:v>
      </x:c>
      <x:c r="L688" s="37" t="str">
        <x:v>blue tape ball</x:v>
      </x:c>
      <x:c r="M688" s="37" t="str">
        <x:v>Recovery</x:v>
      </x:c>
      <x:c r="N688" s="37" t="str">
        <x:v>Put the blue tape ball in the bowl.</x:v>
      </x:c>
      <x:c r="O688" s="37" t="str"/>
      <x:c r="P688" s="37" t="str">
        <x:v>Explicitly grounds ordinal role L3 at sequence length 4 with blue tape ball; selected object-role cells are masked instead of withholding an ordinal word or output position.</x:v>
      </x:c>
      <x:c r="Q688" s="38" t="n">
        <x:v>4</x:v>
      </x:c>
    </x:row>
    <x:row r="689" ht="60" customHeight="1">
      <x:c r="A689" s="70" t="n">
        <x:v>687</x:v>
      </x:c>
      <x:c r="B689" s="37" t="str">
        <x:v>Ordering/Sequencing</x:v>
      </x:c>
      <x:c r="C689" s="37" t="str">
        <x:v>Move the first from the right object into the bowl.</x:v>
      </x:c>
      <x:c r="D689" s="37" t="str">
        <x:v>Explicit ordinal grounding</x:v>
      </x:c>
      <x:c r="E689" s="37" t="str">
        <x:v>n=4; physical role=L4; expression=first from the right; target=blue tape ball</x:v>
      </x:c>
      <x:c r="F689" s="37" t="str">
        <x:v>ordering_n4_l4_blue_tape_ball_explicit</x:v>
      </x:c>
      <x:c r="G689" s="37" t="str">
        <x:v>selected sequence-length × physical ordinal role × target-identity cells listed on Holdout Map</x:v>
      </x:c>
      <x:c r="H689" s="37" t="str">
        <x:v>Yes</x:v>
      </x:c>
      <x:c r="I689" s="37" t="str">
        <x:v>Replace prompt only</x:v>
      </x:c>
      <x:c r="J689" s="37" t="str">
        <x:v>Prompt-only relabeling; preserve episode 687 video, scene, trajectory, target, and start position.</x:v>
      </x:c>
      <x:c r="K689" s="37" t="str">
        <x:v>airplane toy with propellers, green highlighter, yellow pen, blue tape ball</x:v>
      </x:c>
      <x:c r="L689" s="37" t="str">
        <x:v>blue tape ball</x:v>
      </x:c>
      <x:c r="M689" s="37" t="str">
        <x:v>Home</x:v>
      </x:c>
      <x:c r="N689" s="37" t="str">
        <x:v>Pick up the blue tape ball and place it in the bowl.</x:v>
      </x:c>
      <x:c r="O689" s="37" t="str"/>
      <x:c r="P689" s="37" t="str">
        <x:v>Explicitly grounds ordinal role L4 at sequence length 4 with blue tape ball; selected object-role cells are masked instead of withholding an ordinal word or output position.</x:v>
      </x:c>
      <x:c r="Q689" s="38" t="n">
        <x:v>4</x:v>
      </x:c>
    </x:row>
    <x:row r="690" ht="60" customHeight="1">
      <x:c r="A690" s="70" t="n">
        <x:v>688</x:v>
      </x:c>
      <x:c r="B690" s="37" t="str">
        <x:v>Ordering/Sequencing</x:v>
      </x:c>
      <x:c r="C690" s="37" t="str">
        <x:v>Put the object that is fourth from the left in the bowl.</x:v>
      </x:c>
      <x:c r="D690" s="37" t="str">
        <x:v>Explicit ordinal grounding</x:v>
      </x:c>
      <x:c r="E690" s="37" t="str">
        <x:v>n=4; physical role=L4; expression=fourth from the left; target=blue tape ball</x:v>
      </x:c>
      <x:c r="F690" s="37" t="str">
        <x:v>ordering_n4_l4_blue_tape_ball_explicit</x:v>
      </x:c>
      <x:c r="G690" s="37" t="str">
        <x:v>selected sequence-length × physical ordinal role × target-identity cells listed on Holdout Map</x:v>
      </x:c>
      <x:c r="H690" s="37" t="str">
        <x:v>Yes</x:v>
      </x:c>
      <x:c r="I690" s="37" t="str">
        <x:v>Replace prompt only</x:v>
      </x:c>
      <x:c r="J690" s="37" t="str">
        <x:v>Prompt-only relabeling; preserve episode 688 video, scene, trajectory, target, and start position.</x:v>
      </x:c>
      <x:c r="K690" s="37" t="str">
        <x:v>airplane toy with propellers, yellow pen, green highlighter, blue tape ball</x:v>
      </x:c>
      <x:c r="L690" s="37" t="str">
        <x:v>blue tape ball</x:v>
      </x:c>
      <x:c r="M690" s="37" t="str">
        <x:v>Home</x:v>
      </x:c>
      <x:c r="N690" s="37" t="str">
        <x:v>Move the blue tape ball into the bowl.</x:v>
      </x:c>
      <x:c r="O690" s="37" t="str"/>
      <x:c r="P690" s="37" t="str">
        <x:v>Explicitly grounds ordinal role L4 at sequence length 4 with blue tape ball; selected object-role cells are masked instead of withholding an ordinal word or output position.</x:v>
      </x:c>
      <x:c r="Q690" s="38" t="n">
        <x:v>4</x:v>
      </x:c>
    </x:row>
    <x:row r="691" ht="60" customHeight="1">
      <x:c r="A691" s="70" t="n">
        <x:v>689</x:v>
      </x:c>
      <x:c r="B691" s="37" t="str">
        <x:v>Ordering/Sequencing</x:v>
      </x:c>
      <x:c r="C691" s="37" t="str">
        <x:v>Pick up the object that is first from the right and place it in the bowl.</x:v>
      </x:c>
      <x:c r="D691" s="37" t="str">
        <x:v>Explicit ordinal grounding</x:v>
      </x:c>
      <x:c r="E691" s="37" t="str">
        <x:v>n=4; physical role=L4; expression=first from the right; target=blue tape ball</x:v>
      </x:c>
      <x:c r="F691" s="37" t="str">
        <x:v>ordering_n4_l4_blue_tape_ball_explicit</x:v>
      </x:c>
      <x:c r="G691" s="37" t="str">
        <x:v>selected sequence-length × physical ordinal role × target-identity cells listed on Holdout Map</x:v>
      </x:c>
      <x:c r="H691" s="37" t="str">
        <x:v>Yes</x:v>
      </x:c>
      <x:c r="I691" s="37" t="str">
        <x:v>Replace prompt only</x:v>
      </x:c>
      <x:c r="J691" s="37" t="str">
        <x:v>Prompt-only relabeling; preserve episode 689 video, scene, trajectory, target, and start position.</x:v>
      </x:c>
      <x:c r="K691" s="37" t="str">
        <x:v>green highlighter, airplane toy with propellers, yellow pen, blue tape ball</x:v>
      </x:c>
      <x:c r="L691" s="37" t="str">
        <x:v>blue tape ball</x:v>
      </x:c>
      <x:c r="M691" s="37" t="str">
        <x:v>Home</x:v>
      </x:c>
      <x:c r="N691" s="37" t="str">
        <x:v>Put the blue tape ball in the bowl.</x:v>
      </x:c>
      <x:c r="O691" s="37" t="str"/>
      <x:c r="P691" s="37" t="str">
        <x:v>Explicitly grounds ordinal role L4 at sequence length 4 with blue tape ball; selected object-role cells are masked instead of withholding an ordinal word or output position.</x:v>
      </x:c>
      <x:c r="Q691" s="38" t="n">
        <x:v>4</x:v>
      </x:c>
    </x:row>
    <x:row r="692" ht="60" customHeight="1">
      <x:c r="A692" s="70" t="n">
        <x:v>690</x:v>
      </x:c>
      <x:c r="B692" s="37" t="str">
        <x:v>Ordering/Sequencing</x:v>
      </x:c>
      <x:c r="C692" s="37" t="str">
        <x:v>Move the fourth from the left object into the bowl.</x:v>
      </x:c>
      <x:c r="D692" s="37" t="str">
        <x:v>Explicit ordinal grounding</x:v>
      </x:c>
      <x:c r="E692" s="37" t="str">
        <x:v>n=4; physical role=L4; expression=fourth from the left; target=blue tape ball</x:v>
      </x:c>
      <x:c r="F692" s="37" t="str">
        <x:v>ordering_n4_l4_blue_tape_ball_explicit</x:v>
      </x:c>
      <x:c r="G692" s="37" t="str">
        <x:v>selected sequence-length × physical ordinal role × target-identity cells listed on Holdout Map</x:v>
      </x:c>
      <x:c r="H692" s="37" t="str">
        <x:v>Yes</x:v>
      </x:c>
      <x:c r="I692" s="37" t="str">
        <x:v>Replace prompt only</x:v>
      </x:c>
      <x:c r="J692" s="37" t="str">
        <x:v>Prompt-only relabeling; preserve episode 690 video, scene, trajectory, target, and start position.</x:v>
      </x:c>
      <x:c r="K692" s="37" t="str">
        <x:v>green highlighter, yellow pen, airplane toy with propellers, blue tape ball</x:v>
      </x:c>
      <x:c r="L692" s="37" t="str">
        <x:v>blue tape ball</x:v>
      </x:c>
      <x:c r="M692" s="37" t="str">
        <x:v>Home</x:v>
      </x:c>
      <x:c r="N692" s="37" t="str">
        <x:v>Pick up the blue tape ball and place it in the bowl.</x:v>
      </x:c>
      <x:c r="O692" s="37" t="str"/>
      <x:c r="P692" s="37" t="str">
        <x:v>Explicitly grounds ordinal role L4 at sequence length 4 with blue tape ball; selected object-role cells are masked instead of withholding an ordinal word or output position.</x:v>
      </x:c>
      <x:c r="Q692" s="38" t="n">
        <x:v>4</x:v>
      </x:c>
    </x:row>
    <x:row r="693" ht="60" customHeight="1">
      <x:c r="A693" s="70" t="n">
        <x:v>691</x:v>
      </x:c>
      <x:c r="B693" s="37" t="str">
        <x:v>Ordering/Sequencing</x:v>
      </x:c>
      <x:c r="C693" s="37" t="str">
        <x:v>Put the object that is first from the right in the bowl.</x:v>
      </x:c>
      <x:c r="D693" s="37" t="str">
        <x:v>Explicit ordinal grounding</x:v>
      </x:c>
      <x:c r="E693" s="37" t="str">
        <x:v>n=4; physical role=L4; expression=first from the right; target=blue tape ball</x:v>
      </x:c>
      <x:c r="F693" s="37" t="str">
        <x:v>ordering_n4_l4_blue_tape_ball_explicit</x:v>
      </x:c>
      <x:c r="G693" s="37" t="str">
        <x:v>selected sequence-length × physical ordinal role × target-identity cells listed on Holdout Map</x:v>
      </x:c>
      <x:c r="H693" s="37" t="str">
        <x:v>Yes</x:v>
      </x:c>
      <x:c r="I693" s="37" t="str">
        <x:v>Replace prompt only</x:v>
      </x:c>
      <x:c r="J693" s="37" t="str">
        <x:v>Prompt-only relabeling; preserve episode 691 video, scene, trajectory, target, and start position.</x:v>
      </x:c>
      <x:c r="K693" s="37" t="str">
        <x:v>yellow pen, airplane toy with propellers, green highlighter, blue tape ball</x:v>
      </x:c>
      <x:c r="L693" s="37" t="str">
        <x:v>blue tape ball</x:v>
      </x:c>
      <x:c r="M693" s="37" t="str">
        <x:v>Home</x:v>
      </x:c>
      <x:c r="N693" s="37" t="str">
        <x:v>Move the blue tape ball into the bowl.</x:v>
      </x:c>
      <x:c r="O693" s="37" t="str"/>
      <x:c r="P693" s="37" t="str">
        <x:v>Explicitly grounds ordinal role L4 at sequence length 4 with blue tape ball; selected object-role cells are masked instead of withholding an ordinal word or output position.</x:v>
      </x:c>
      <x:c r="Q693" s="38" t="n">
        <x:v>4</x:v>
      </x:c>
    </x:row>
    <x:row r="694" ht="60" customHeight="1">
      <x:c r="A694" s="70" t="n">
        <x:v>692</x:v>
      </x:c>
      <x:c r="B694" s="37" t="str">
        <x:v>Ordering/Sequencing</x:v>
      </x:c>
      <x:c r="C694" s="37" t="str">
        <x:v>Pick up the object that is fourth from the left and place it in the bowl.</x:v>
      </x:c>
      <x:c r="D694" s="37" t="str">
        <x:v>Explicit ordinal grounding</x:v>
      </x:c>
      <x:c r="E694" s="37" t="str">
        <x:v>n=4; physical role=L4; expression=fourth from the left; target=blue tape ball</x:v>
      </x:c>
      <x:c r="F694" s="37" t="str">
        <x:v>ordering_n4_l4_blue_tape_ball_explicit</x:v>
      </x:c>
      <x:c r="G694" s="37" t="str">
        <x:v>selected sequence-length × physical ordinal role × target-identity cells listed on Holdout Map</x:v>
      </x:c>
      <x:c r="H694" s="37" t="str">
        <x:v>Yes</x:v>
      </x:c>
      <x:c r="I694" s="37" t="str">
        <x:v>Replace prompt only</x:v>
      </x:c>
      <x:c r="J694" s="37" t="str">
        <x:v>Prompt-only relabeling; preserve episode 692 video, scene, trajectory, target, and start position.</x:v>
      </x:c>
      <x:c r="K694" s="37" t="str">
        <x:v>yellow pen, green highlighter, airplane toy with propellers, blue tape ball</x:v>
      </x:c>
      <x:c r="L694" s="37" t="str">
        <x:v>blue tape ball</x:v>
      </x:c>
      <x:c r="M694" s="37" t="str">
        <x:v>Home</x:v>
      </x:c>
      <x:c r="N694" s="37" t="str">
        <x:v>Put the blue tape ball in the bowl.</x:v>
      </x:c>
      <x:c r="O694" s="37" t="str"/>
      <x:c r="P694" s="37" t="str">
        <x:v>Explicitly grounds ordinal role L4 at sequence length 4 with blue tape ball; selected object-role cells are masked instead of withholding an ordinal word or output position.</x:v>
      </x:c>
      <x:c r="Q694" s="38" t="n">
        <x:v>4</x:v>
      </x:c>
    </x:row>
    <x:row r="695" ht="60" customHeight="1">
      <x:c r="A695" s="70" t="n">
        <x:v>693</x:v>
      </x:c>
      <x:c r="B695" s="37" t="str">
        <x:v>Ordering/Sequencing</x:v>
      </x:c>
      <x:c r="C695" s="37" t="str">
        <x:v>Move the first from the right object into the bowl.</x:v>
      </x:c>
      <x:c r="D695" s="37" t="str">
        <x:v>Explicit ordinal grounding</x:v>
      </x:c>
      <x:c r="E695" s="37" t="str">
        <x:v>n=4; physical role=L4; expression=first from the right; target=blue tape ball</x:v>
      </x:c>
      <x:c r="F695" s="37" t="str">
        <x:v>ordering_n4_l4_blue_tape_ball_explicit</x:v>
      </x:c>
      <x:c r="G695" s="37" t="str">
        <x:v>selected sequence-length × physical ordinal role × target-identity cells listed on Holdout Map</x:v>
      </x:c>
      <x:c r="H695" s="37" t="str">
        <x:v>Yes</x:v>
      </x:c>
      <x:c r="I695" s="37" t="str">
        <x:v>Replace prompt only</x:v>
      </x:c>
      <x:c r="J695" s="37" t="str">
        <x:v>Prompt-only relabeling; preserve episode 693 video, scene, trajectory, target, and start position.</x:v>
      </x:c>
      <x:c r="K695" s="37" t="str">
        <x:v>airplane toy with propellers, green highlighter, yellow pen, blue tape ball</x:v>
      </x:c>
      <x:c r="L695" s="37" t="str">
        <x:v>blue tape ball</x:v>
      </x:c>
      <x:c r="M695" s="37" t="str">
        <x:v>Home</x:v>
      </x:c>
      <x:c r="N695" s="37" t="str">
        <x:v>Pick up the blue tape ball and place it in the bowl.</x:v>
      </x:c>
      <x:c r="O695" s="37" t="str"/>
      <x:c r="P695" s="37" t="str">
        <x:v>Explicitly grounds ordinal role L4 at sequence length 4 with blue tape ball; selected object-role cells are masked instead of withholding an ordinal word or output position.</x:v>
      </x:c>
      <x:c r="Q695" s="38" t="n">
        <x:v>4</x:v>
      </x:c>
    </x:row>
    <x:row r="696" ht="60" customHeight="1">
      <x:c r="A696" s="70" t="n">
        <x:v>694</x:v>
      </x:c>
      <x:c r="B696" s="37" t="str">
        <x:v>Ordering/Sequencing</x:v>
      </x:c>
      <x:c r="C696" s="37" t="str">
        <x:v>Put the object that is fourth from the left in the bowl.</x:v>
      </x:c>
      <x:c r="D696" s="37" t="str">
        <x:v>Explicit ordinal grounding</x:v>
      </x:c>
      <x:c r="E696" s="37" t="str">
        <x:v>n=4; physical role=L4; expression=fourth from the left; target=blue tape ball</x:v>
      </x:c>
      <x:c r="F696" s="37" t="str">
        <x:v>ordering_n4_l4_blue_tape_ball_explicit</x:v>
      </x:c>
      <x:c r="G696" s="37" t="str">
        <x:v>selected sequence-length × physical ordinal role × target-identity cells listed on Holdout Map</x:v>
      </x:c>
      <x:c r="H696" s="37" t="str">
        <x:v>Yes</x:v>
      </x:c>
      <x:c r="I696" s="37" t="str">
        <x:v>Replace prompt only</x:v>
      </x:c>
      <x:c r="J696" s="37" t="str">
        <x:v>Prompt-only relabeling; preserve episode 694 video, scene, trajectory, target, and start position.</x:v>
      </x:c>
      <x:c r="K696" s="37" t="str">
        <x:v>airplane toy with propellers, yellow pen, green highlighter, blue tape ball</x:v>
      </x:c>
      <x:c r="L696" s="37" t="str">
        <x:v>blue tape ball</x:v>
      </x:c>
      <x:c r="M696" s="37" t="str">
        <x:v>Home</x:v>
      </x:c>
      <x:c r="N696" s="37" t="str">
        <x:v>Move the blue tape ball into the bowl.</x:v>
      </x:c>
      <x:c r="O696" s="37" t="str"/>
      <x:c r="P696" s="37" t="str">
        <x:v>Explicitly grounds ordinal role L4 at sequence length 4 with blue tape ball; selected object-role cells are masked instead of withholding an ordinal word or output position.</x:v>
      </x:c>
      <x:c r="Q696" s="38" t="n">
        <x:v>4</x:v>
      </x:c>
    </x:row>
    <x:row r="697" ht="60" customHeight="1">
      <x:c r="A697" s="70" t="n">
        <x:v>695</x:v>
      </x:c>
      <x:c r="B697" s="37" t="str">
        <x:v>Ordering/Sequencing</x:v>
      </x:c>
      <x:c r="C697" s="37" t="str">
        <x:v>Pick up the object that is first from the right and place it in the bowl.</x:v>
      </x:c>
      <x:c r="D697" s="37" t="str">
        <x:v>Explicit ordinal grounding</x:v>
      </x:c>
      <x:c r="E697" s="37" t="str">
        <x:v>n=4; physical role=L4; expression=first from the right; target=blue tape ball</x:v>
      </x:c>
      <x:c r="F697" s="37" t="str">
        <x:v>ordering_n4_l4_blue_tape_ball_explicit</x:v>
      </x:c>
      <x:c r="G697" s="37" t="str">
        <x:v>selected sequence-length × physical ordinal role × target-identity cells listed on Holdout Map</x:v>
      </x:c>
      <x:c r="H697" s="37" t="str">
        <x:v>Yes</x:v>
      </x:c>
      <x:c r="I697" s="37" t="str">
        <x:v>Replace prompt only</x:v>
      </x:c>
      <x:c r="J697" s="37" t="str">
        <x:v>Prompt-only relabeling; preserve episode 695 video, scene, trajectory, target, and start position.</x:v>
      </x:c>
      <x:c r="K697" s="37" t="str">
        <x:v>green highlighter, airplane toy with propellers, yellow pen, blue tape ball</x:v>
      </x:c>
      <x:c r="L697" s="37" t="str">
        <x:v>blue tape ball</x:v>
      </x:c>
      <x:c r="M697" s="37" t="str">
        <x:v>Home</x:v>
      </x:c>
      <x:c r="N697" s="37" t="str">
        <x:v>Put the blue tape ball in the bowl.</x:v>
      </x:c>
      <x:c r="O697" s="37" t="str"/>
      <x:c r="P697" s="37" t="str">
        <x:v>Explicitly grounds ordinal role L4 at sequence length 4 with blue tape ball; selected object-role cells are masked instead of withholding an ordinal word or output position.</x:v>
      </x:c>
      <x:c r="Q697" s="38" t="n">
        <x:v>4</x:v>
      </x:c>
    </x:row>
    <x:row r="698" ht="60" customHeight="1">
      <x:c r="A698" s="70" t="n">
        <x:v>696</x:v>
      </x:c>
      <x:c r="B698" s="37" t="str">
        <x:v>Ordering/Sequencing</x:v>
      </x:c>
      <x:c r="C698" s="37" t="str">
        <x:v>Move the fourth from the left object into the bowl.</x:v>
      </x:c>
      <x:c r="D698" s="37" t="str">
        <x:v>Explicit ordinal grounding</x:v>
      </x:c>
      <x:c r="E698" s="37" t="str">
        <x:v>n=4; physical role=L4; expression=fourth from the left; target=blue tape ball</x:v>
      </x:c>
      <x:c r="F698" s="37" t="str">
        <x:v>ordering_n4_l4_blue_tape_ball_explicit</x:v>
      </x:c>
      <x:c r="G698" s="37" t="str">
        <x:v>selected sequence-length × physical ordinal role × target-identity cells listed on Holdout Map</x:v>
      </x:c>
      <x:c r="H698" s="37" t="str">
        <x:v>Yes</x:v>
      </x:c>
      <x:c r="I698" s="37" t="str">
        <x:v>Replace prompt only</x:v>
      </x:c>
      <x:c r="J698" s="37" t="str">
        <x:v>Prompt-only relabeling; preserve episode 696 video, scene, trajectory, target, and start position.</x:v>
      </x:c>
      <x:c r="K698" s="37" t="str">
        <x:v>green highlighter, yellow pen, airplane toy with propellers, blue tape ball</x:v>
      </x:c>
      <x:c r="L698" s="37" t="str">
        <x:v>blue tape ball</x:v>
      </x:c>
      <x:c r="M698" s="37" t="str">
        <x:v>Home</x:v>
      </x:c>
      <x:c r="N698" s="37" t="str">
        <x:v>Pick up the blue tape ball and place it in the bowl.</x:v>
      </x:c>
      <x:c r="O698" s="37" t="str"/>
      <x:c r="P698" s="37" t="str">
        <x:v>Explicitly grounds ordinal role L4 at sequence length 4 with blue tape ball; selected object-role cells are masked instead of withholding an ordinal word or output position.</x:v>
      </x:c>
      <x:c r="Q698" s="38" t="n">
        <x:v>4</x:v>
      </x:c>
    </x:row>
    <x:row r="699" ht="60" customHeight="1">
      <x:c r="A699" s="70" t="n">
        <x:v>697</x:v>
      </x:c>
      <x:c r="B699" s="37" t="str">
        <x:v>Ordering/Sequencing</x:v>
      </x:c>
      <x:c r="C699" s="37" t="str">
        <x:v>Put the object that is first from the right in the bowl.</x:v>
      </x:c>
      <x:c r="D699" s="37" t="str">
        <x:v>Explicit ordinal grounding</x:v>
      </x:c>
      <x:c r="E699" s="37" t="str">
        <x:v>n=4; physical role=L4; expression=first from the right; target=blue tape ball</x:v>
      </x:c>
      <x:c r="F699" s="37" t="str">
        <x:v>ordering_n4_l4_blue_tape_ball_explicit</x:v>
      </x:c>
      <x:c r="G699" s="37" t="str">
        <x:v>selected sequence-length × physical ordinal role × target-identity cells listed on Holdout Map</x:v>
      </x:c>
      <x:c r="H699" s="37" t="str">
        <x:v>Yes</x:v>
      </x:c>
      <x:c r="I699" s="37" t="str">
        <x:v>Replace prompt only</x:v>
      </x:c>
      <x:c r="J699" s="37" t="str">
        <x:v>Prompt-only relabeling; preserve episode 697 video, scene, trajectory, target, and start position.</x:v>
      </x:c>
      <x:c r="K699" s="37" t="str">
        <x:v>yellow pen, airplane toy with propellers, green highlighter, blue tape ball</x:v>
      </x:c>
      <x:c r="L699" s="37" t="str">
        <x:v>blue tape ball</x:v>
      </x:c>
      <x:c r="M699" s="37" t="str">
        <x:v>Recovery</x:v>
      </x:c>
      <x:c r="N699" s="37" t="str">
        <x:v>Move the blue tape ball into the bowl.</x:v>
      </x:c>
      <x:c r="O699" s="37" t="str"/>
      <x:c r="P699" s="37" t="str">
        <x:v>Explicitly grounds ordinal role L4 at sequence length 4 with blue tape ball; selected object-role cells are masked instead of withholding an ordinal word or output position.</x:v>
      </x:c>
      <x:c r="Q699" s="38" t="n">
        <x:v>4</x:v>
      </x:c>
    </x:row>
    <x:row r="700" ht="60" customHeight="1">
      <x:c r="A700" s="70" t="n">
        <x:v>698</x:v>
      </x:c>
      <x:c r="B700" s="37" t="str">
        <x:v>Ordering/Sequencing</x:v>
      </x:c>
      <x:c r="C700" s="37" t="str">
        <x:v>Pick up the object that is fourth from the left and place it in the bowl.</x:v>
      </x:c>
      <x:c r="D700" s="37" t="str">
        <x:v>Explicit ordinal grounding</x:v>
      </x:c>
      <x:c r="E700" s="37" t="str">
        <x:v>n=4; physical role=L4; expression=fourth from the left; target=blue tape ball</x:v>
      </x:c>
      <x:c r="F700" s="37" t="str">
        <x:v>ordering_n4_l4_blue_tape_ball_explicit</x:v>
      </x:c>
      <x:c r="G700" s="37" t="str">
        <x:v>selected sequence-length × physical ordinal role × target-identity cells listed on Holdout Map</x:v>
      </x:c>
      <x:c r="H700" s="37" t="str">
        <x:v>Yes</x:v>
      </x:c>
      <x:c r="I700" s="37" t="str">
        <x:v>Replace prompt only</x:v>
      </x:c>
      <x:c r="J700" s="37" t="str">
        <x:v>Prompt-only relabeling; preserve episode 698 video, scene, trajectory, target, and start position.</x:v>
      </x:c>
      <x:c r="K700" s="37" t="str">
        <x:v>yellow pen, green highlighter, airplane toy with propellers, blue tape ball</x:v>
      </x:c>
      <x:c r="L700" s="37" t="str">
        <x:v>blue tape ball</x:v>
      </x:c>
      <x:c r="M700" s="37" t="str">
        <x:v>Recovery</x:v>
      </x:c>
      <x:c r="N700" s="37" t="str">
        <x:v>Put the blue tape ball in the bowl.</x:v>
      </x:c>
      <x:c r="O700" s="37" t="str"/>
      <x:c r="P700" s="37" t="str">
        <x:v>Explicitly grounds ordinal role L4 at sequence length 4 with blue tape ball; selected object-role cells are masked instead of withholding an ordinal word or output position.</x:v>
      </x:c>
      <x:c r="Q700" s="38" t="n">
        <x:v>4</x:v>
      </x:c>
    </x:row>
    <x:row r="701" ht="60" customHeight="1">
      <x:c r="A701" s="70" t="n">
        <x:v>699</x:v>
      </x:c>
      <x:c r="B701" s="37" t="str">
        <x:v>Ordering/Sequencing</x:v>
      </x:c>
      <x:c r="C701" s="37" t="str">
        <x:v>Move the first from the right object into the bowl.</x:v>
      </x:c>
      <x:c r="D701" s="37" t="str">
        <x:v>Explicit ordinal grounding</x:v>
      </x:c>
      <x:c r="E701" s="37" t="str">
        <x:v>n=4; physical role=L4; expression=first from the right; target=blue tape ball</x:v>
      </x:c>
      <x:c r="F701" s="37" t="str">
        <x:v>ordering_n4_l4_blue_tape_ball_explicit</x:v>
      </x:c>
      <x:c r="G701" s="37" t="str">
        <x:v>selected sequence-length × physical ordinal role × target-identity cells listed on Holdout Map</x:v>
      </x:c>
      <x:c r="H701" s="37" t="str">
        <x:v>Yes</x:v>
      </x:c>
      <x:c r="I701" s="37" t="str">
        <x:v>Replace prompt only</x:v>
      </x:c>
      <x:c r="J701" s="37" t="str">
        <x:v>Prompt-only relabeling; preserve episode 699 video, scene, trajectory, target, and start position.</x:v>
      </x:c>
      <x:c r="K701" s="37" t="str">
        <x:v>airplane toy with propellers, green highlighter, yellow pen, blue tape ball</x:v>
      </x:c>
      <x:c r="L701" s="37" t="str">
        <x:v>blue tape ball</x:v>
      </x:c>
      <x:c r="M701" s="37" t="str">
        <x:v>Recovery</x:v>
      </x:c>
      <x:c r="N701" s="37" t="str">
        <x:v>Pick up the blue tape ball and place it in the bowl.</x:v>
      </x:c>
      <x:c r="O701" s="37" t="str"/>
      <x:c r="P701" s="37" t="str">
        <x:v>Explicitly grounds ordinal role L4 at sequence length 4 with blue tape ball; selected object-role cells are masked instead of withholding an ordinal word or output position.</x:v>
      </x:c>
      <x:c r="Q701" s="38" t="n">
        <x:v>4</x:v>
      </x:c>
    </x:row>
    <x:row r="702" ht="60" customHeight="1">
      <x:c r="A702" s="70" t="n">
        <x:v>700</x:v>
      </x:c>
      <x:c r="B702" s="37" t="str">
        <x:v>Ordering/Sequencing</x:v>
      </x:c>
      <x:c r="C702" s="37" t="str">
        <x:v>Put the first object from the left in the bowl.</x:v>
      </x:c>
      <x:c r="D702" s="37" t="str">
        <x:v>Explicit ordinal grounding</x:v>
      </x:c>
      <x:c r="E702" s="37" t="str">
        <x:v>n=4; physical role=L1; expression=first from the left; target=green highlighter</x:v>
      </x:c>
      <x:c r="F702" s="37" t="str">
        <x:v>ordering_n4_l1_green_highlighter_explicit</x:v>
      </x:c>
      <x:c r="G702" s="37" t="str">
        <x:v>selected sequence-length × physical ordinal role × target-identity cells listed on Holdout Map</x:v>
      </x:c>
      <x:c r="H702" s="37" t="str">
        <x:v>No</x:v>
      </x:c>
      <x:c r="I702" s="37" t="str">
        <x:v>Keep prompt</x:v>
      </x:c>
      <x:c r="J702" s="37" t="str">
        <x:v>No prompt change required under the missing-cell design.</x:v>
      </x:c>
      <x:c r="K702" s="37" t="str">
        <x:v>green highlighter, airplane toy with propellers, blue tape ball, yellow pen</x:v>
      </x:c>
      <x:c r="L702" s="37" t="str">
        <x:v>green highlighter</x:v>
      </x:c>
      <x:c r="M702" s="37" t="str">
        <x:v>Home</x:v>
      </x:c>
      <x:c r="N702" s="37" t="str">
        <x:v>Put the first object from the left in the bowl.</x:v>
      </x:c>
      <x:c r="O702" s="37" t="str"/>
      <x:c r="P702" s="37" t="str">
        <x:v>Explicitly grounds ordinal role L1 at sequence length 4 with green highlighter; selected object-role cells are masked instead of withholding an ordinal word or output position.</x:v>
      </x:c>
      <x:c r="Q702" s="38" t="n">
        <x:v>4</x:v>
      </x:c>
    </x:row>
    <x:row r="703" ht="60" customHeight="1">
      <x:c r="A703" s="70" t="n">
        <x:v>701</x:v>
      </x:c>
      <x:c r="B703" s="37" t="str">
        <x:v>Ordering/Sequencing</x:v>
      </x:c>
      <x:c r="C703" s="37" t="str">
        <x:v>Pick up the object that is fourth from the right and place it in the bowl.</x:v>
      </x:c>
      <x:c r="D703" s="37" t="str">
        <x:v>Explicit ordinal grounding</x:v>
      </x:c>
      <x:c r="E703" s="37" t="str">
        <x:v>n=4; physical role=L1; expression=fourth from the right; target=green highlighter</x:v>
      </x:c>
      <x:c r="F703" s="37" t="str">
        <x:v>ordering_n4_l1_green_highlighter_explicit</x:v>
      </x:c>
      <x:c r="G703" s="37" t="str">
        <x:v>selected sequence-length × physical ordinal role × target-identity cells listed on Holdout Map</x:v>
      </x:c>
      <x:c r="H703" s="37" t="str">
        <x:v>No</x:v>
      </x:c>
      <x:c r="I703" s="37" t="str">
        <x:v>Keep prompt</x:v>
      </x:c>
      <x:c r="J703" s="37" t="str">
        <x:v>No prompt change required under the missing-cell design.</x:v>
      </x:c>
      <x:c r="K703" s="37" t="str">
        <x:v>green highlighter, airplane toy with propellers, yellow pen, blue tape ball</x:v>
      </x:c>
      <x:c r="L703" s="37" t="str">
        <x:v>green highlighter</x:v>
      </x:c>
      <x:c r="M703" s="37" t="str">
        <x:v>Home</x:v>
      </x:c>
      <x:c r="N703" s="37" t="str">
        <x:v>Pick up the object that is fourth from the right and place it in the bowl.</x:v>
      </x:c>
      <x:c r="O703" s="37" t="str"/>
      <x:c r="P703" s="37" t="str">
        <x:v>Explicitly grounds ordinal role L1 at sequence length 4 with green highlighter; selected object-role cells are masked instead of withholding an ordinal word or output position.</x:v>
      </x:c>
      <x:c r="Q703" s="38" t="n">
        <x:v>4</x:v>
      </x:c>
    </x:row>
    <x:row r="704" ht="60" customHeight="1">
      <x:c r="A704" s="70" t="n">
        <x:v>702</x:v>
      </x:c>
      <x:c r="B704" s="37" t="str">
        <x:v>Ordering/Sequencing</x:v>
      </x:c>
      <x:c r="C704" s="37" t="str">
        <x:v>Pick up the object that is first from the left and place it in the bowl.</x:v>
      </x:c>
      <x:c r="D704" s="37" t="str">
        <x:v>Explicit ordinal grounding</x:v>
      </x:c>
      <x:c r="E704" s="37" t="str">
        <x:v>n=4; physical role=L1; expression=first from the left; target=green highlighter</x:v>
      </x:c>
      <x:c r="F704" s="37" t="str">
        <x:v>ordering_n4_l1_green_highlighter_explicit</x:v>
      </x:c>
      <x:c r="G704" s="37" t="str">
        <x:v>selected sequence-length × physical ordinal role × target-identity cells listed on Holdout Map</x:v>
      </x:c>
      <x:c r="H704" s="37" t="str">
        <x:v>No</x:v>
      </x:c>
      <x:c r="I704" s="37" t="str">
        <x:v>Keep prompt</x:v>
      </x:c>
      <x:c r="J704" s="37" t="str">
        <x:v>No prompt change required under the missing-cell design.</x:v>
      </x:c>
      <x:c r="K704" s="37" t="str">
        <x:v>green highlighter, blue tape ball, airplane toy with propellers, yellow pen</x:v>
      </x:c>
      <x:c r="L704" s="37" t="str">
        <x:v>green highlighter</x:v>
      </x:c>
      <x:c r="M704" s="37" t="str">
        <x:v>Home</x:v>
      </x:c>
      <x:c r="N704" s="37" t="str">
        <x:v>Pick up the object that is first from the left and place it in the bowl.</x:v>
      </x:c>
      <x:c r="O704" s="37" t="str"/>
      <x:c r="P704" s="37" t="str">
        <x:v>Explicitly grounds ordinal role L1 at sequence length 4 with green highlighter; selected object-role cells are masked instead of withholding an ordinal word or output position.</x:v>
      </x:c>
      <x:c r="Q704" s="38" t="n">
        <x:v>4</x:v>
      </x:c>
    </x:row>
    <x:row r="705" ht="60" customHeight="1">
      <x:c r="A705" s="70" t="n">
        <x:v>703</x:v>
      </x:c>
      <x:c r="B705" s="37" t="str">
        <x:v>Ordering/Sequencing</x:v>
      </x:c>
      <x:c r="C705" s="37" t="str">
        <x:v>Put the fourth object from the right in the bowl.</x:v>
      </x:c>
      <x:c r="D705" s="37" t="str">
        <x:v>Explicit ordinal grounding</x:v>
      </x:c>
      <x:c r="E705" s="37" t="str">
        <x:v>n=4; physical role=L1; expression=fourth from the right; target=green highlighter</x:v>
      </x:c>
      <x:c r="F705" s="37" t="str">
        <x:v>ordering_n4_l1_green_highlighter_explicit</x:v>
      </x:c>
      <x:c r="G705" s="37" t="str">
        <x:v>selected sequence-length × physical ordinal role × target-identity cells listed on Holdout Map</x:v>
      </x:c>
      <x:c r="H705" s="37" t="str">
        <x:v>No</x:v>
      </x:c>
      <x:c r="I705" s="37" t="str">
        <x:v>Keep prompt</x:v>
      </x:c>
      <x:c r="J705" s="37" t="str">
        <x:v>No prompt change required under the missing-cell design.</x:v>
      </x:c>
      <x:c r="K705" s="37" t="str">
        <x:v>green highlighter, blue tape ball, yellow pen, airplane toy with propellers</x:v>
      </x:c>
      <x:c r="L705" s="37" t="str">
        <x:v>green highlighter</x:v>
      </x:c>
      <x:c r="M705" s="37" t="str">
        <x:v>Home</x:v>
      </x:c>
      <x:c r="N705" s="37" t="str">
        <x:v>Put the fourth object from the right in the bowl.</x:v>
      </x:c>
      <x:c r="O705" s="37" t="str"/>
      <x:c r="P705" s="37" t="str">
        <x:v>Explicitly grounds ordinal role L1 at sequence length 4 with green highlighter; selected object-role cells are masked instead of withholding an ordinal word or output position.</x:v>
      </x:c>
      <x:c r="Q705" s="38" t="n">
        <x:v>4</x:v>
      </x:c>
    </x:row>
    <x:row r="706" ht="60" customHeight="1">
      <x:c r="A706" s="70" t="n">
        <x:v>704</x:v>
      </x:c>
      <x:c r="B706" s="37" t="str">
        <x:v>Ordering/Sequencing</x:v>
      </x:c>
      <x:c r="C706" s="37" t="str">
        <x:v>Move the third item counted from the right into the bowl.</x:v>
      </x:c>
      <x:c r="D706" s="37" t="str">
        <x:v>Explicit ordinal grounding</x:v>
      </x:c>
      <x:c r="E706" s="37" t="str">
        <x:v>n=3; physical role=L1; expression=third from the right; target=green highlighter</x:v>
      </x:c>
      <x:c r="F706" s="37" t="str">
        <x:v>ordering_n3_l1_green_highlighter_explicit</x:v>
      </x:c>
      <x:c r="G706" s="37" t="str">
        <x:v>selected sequence-length × physical ordinal role × target-identity cells listed on Holdout Map</x:v>
      </x:c>
      <x:c r="H706" s="37" t="str">
        <x:v>No</x:v>
      </x:c>
      <x:c r="I706" s="37" t="str">
        <x:v>Keep prompt</x:v>
      </x:c>
      <x:c r="J706" s="37" t="str">
        <x:v>No prompt change required under the missing-cell design.</x:v>
      </x:c>
      <x:c r="K706" s="37" t="str">
        <x:v>green highlighter, yellow pen, airplane toy with propellers</x:v>
      </x:c>
      <x:c r="L706" s="37" t="str">
        <x:v>green highlighter</x:v>
      </x:c>
      <x:c r="M706" s="37" t="str">
        <x:v>Home</x:v>
      </x:c>
      <x:c r="N706" s="37" t="str">
        <x:v>Move the third item counted from the right into the bowl.</x:v>
      </x:c>
      <x:c r="O706" s="37" t="str"/>
      <x:c r="P706" s="37" t="str">
        <x:v>Explicitly grounds ordinal role L1 at sequence length 3 with green highlighter; selected object-role cells are masked instead of withholding an ordinal word or output position.</x:v>
      </x:c>
      <x:c r="Q706" s="38" t="n">
        <x:v>3</x:v>
      </x:c>
    </x:row>
    <x:row r="707" ht="60" customHeight="1">
      <x:c r="A707" s="70" t="n">
        <x:v>705</x:v>
      </x:c>
      <x:c r="B707" s="37" t="str">
        <x:v>Ordering/Sequencing</x:v>
      </x:c>
      <x:c r="C707" s="37" t="str">
        <x:v>Move the third item counted from the right into the bowl.</x:v>
      </x:c>
      <x:c r="D707" s="37" t="str">
        <x:v>Explicit ordinal grounding</x:v>
      </x:c>
      <x:c r="E707" s="37" t="str">
        <x:v>n=3; physical role=L1; expression=third from the right; target=green highlighter</x:v>
      </x:c>
      <x:c r="F707" s="37" t="str">
        <x:v>ordering_n3_l1_green_highlighter_explicit</x:v>
      </x:c>
      <x:c r="G707" s="37" t="str">
        <x:v>selected sequence-length × physical ordinal role × target-identity cells listed on Holdout Map</x:v>
      </x:c>
      <x:c r="H707" s="37" t="str">
        <x:v>No</x:v>
      </x:c>
      <x:c r="I707" s="37" t="str">
        <x:v>Keep prompt</x:v>
      </x:c>
      <x:c r="J707" s="37" t="str">
        <x:v>No prompt change required under the missing-cell design.</x:v>
      </x:c>
      <x:c r="K707" s="37" t="str">
        <x:v>green highlighter, yellow pen, blue tape ball</x:v>
      </x:c>
      <x:c r="L707" s="37" t="str">
        <x:v>green highlighter</x:v>
      </x:c>
      <x:c r="M707" s="37" t="str">
        <x:v>Home</x:v>
      </x:c>
      <x:c r="N707" s="37" t="str">
        <x:v>Move the third item counted from the right into the bowl.</x:v>
      </x:c>
      <x:c r="O707" s="37" t="str"/>
      <x:c r="P707" s="37" t="str">
        <x:v>Explicitly grounds ordinal role L1 at sequence length 3 with green highlighter; selected object-role cells are masked instead of withholding an ordinal word or output position.</x:v>
      </x:c>
      <x:c r="Q707" s="38" t="n">
        <x:v>3</x:v>
      </x:c>
    </x:row>
    <x:row r="708" ht="60" customHeight="1">
      <x:c r="A708" s="70" t="n">
        <x:v>706</x:v>
      </x:c>
      <x:c r="B708" s="37" t="str">
        <x:v>Ordering/Sequencing</x:v>
      </x:c>
      <x:c r="C708" s="37" t="str">
        <x:v>Put the first object from the left in the bowl.</x:v>
      </x:c>
      <x:c r="D708" s="37" t="str">
        <x:v>Explicit ordinal grounding</x:v>
      </x:c>
      <x:c r="E708" s="37" t="str">
        <x:v>n=3; physical role=L1; expression=first from the left; target=green highlighter</x:v>
      </x:c>
      <x:c r="F708" s="37" t="str">
        <x:v>ordering_n3_l1_green_highlighter_explicit</x:v>
      </x:c>
      <x:c r="G708" s="37" t="str">
        <x:v>selected sequence-length × physical ordinal role × target-identity cells listed on Holdout Map</x:v>
      </x:c>
      <x:c r="H708" s="37" t="str">
        <x:v>No</x:v>
      </x:c>
      <x:c r="I708" s="37" t="str">
        <x:v>Keep prompt</x:v>
      </x:c>
      <x:c r="J708" s="37" t="str">
        <x:v>No prompt change required under the missing-cell design.</x:v>
      </x:c>
      <x:c r="K708" s="37" t="str">
        <x:v>green highlighter, airplane toy with propellers, blue tape ball</x:v>
      </x:c>
      <x:c r="L708" s="37" t="str">
        <x:v>green highlighter</x:v>
      </x:c>
      <x:c r="M708" s="37" t="str">
        <x:v>Home</x:v>
      </x:c>
      <x:c r="N708" s="37" t="str">
        <x:v>Put the first object from the left in the bowl.</x:v>
      </x:c>
      <x:c r="O708" s="37" t="str"/>
      <x:c r="P708" s="37" t="str">
        <x:v>Explicitly grounds ordinal role L1 at sequence length 3 with green highlighter; selected object-role cells are masked instead of withholding an ordinal word or output position.</x:v>
      </x:c>
      <x:c r="Q708" s="38" t="n">
        <x:v>3</x:v>
      </x:c>
    </x:row>
    <x:row r="709" ht="60" customHeight="1">
      <x:c r="A709" s="70" t="n">
        <x:v>707</x:v>
      </x:c>
      <x:c r="B709" s="37" t="str">
        <x:v>Ordering/Sequencing</x:v>
      </x:c>
      <x:c r="C709" s="37" t="str">
        <x:v>Pick up the object that is third from the right and place it in the bowl.</x:v>
      </x:c>
      <x:c r="D709" s="37" t="str">
        <x:v>Explicit ordinal grounding</x:v>
      </x:c>
      <x:c r="E709" s="37" t="str">
        <x:v>n=3; physical role=L1; expression=third from the right; target=green highlighter</x:v>
      </x:c>
      <x:c r="F709" s="37" t="str">
        <x:v>ordering_n3_l1_green_highlighter_explicit</x:v>
      </x:c>
      <x:c r="G709" s="37" t="str">
        <x:v>selected sequence-length × physical ordinal role × target-identity cells listed on Holdout Map</x:v>
      </x:c>
      <x:c r="H709" s="37" t="str">
        <x:v>No</x:v>
      </x:c>
      <x:c r="I709" s="37" t="str">
        <x:v>Keep prompt</x:v>
      </x:c>
      <x:c r="J709" s="37" t="str">
        <x:v>No prompt change required under the missing-cell design.</x:v>
      </x:c>
      <x:c r="K709" s="37" t="str">
        <x:v>green highlighter, blue tape ball, airplane toy with propellers</x:v>
      </x:c>
      <x:c r="L709" s="37" t="str">
        <x:v>green highlighter</x:v>
      </x:c>
      <x:c r="M709" s="37" t="str">
        <x:v>Home</x:v>
      </x:c>
      <x:c r="N709" s="37" t="str">
        <x:v>Pick up the object that is third from the right and place it in the bowl.</x:v>
      </x:c>
      <x:c r="O709" s="37" t="str"/>
      <x:c r="P709" s="37" t="str">
        <x:v>Explicitly grounds ordinal role L1 at sequence length 3 with green highlighter; selected object-role cells are masked instead of withholding an ordinal word or output position.</x:v>
      </x:c>
      <x:c r="Q709" s="38" t="n">
        <x:v>3</x:v>
      </x:c>
    </x:row>
    <x:row r="710" ht="60" customHeight="1">
      <x:c r="A710" s="70" t="n">
        <x:v>708</x:v>
      </x:c>
      <x:c r="B710" s="37" t="str">
        <x:v>Ordering/Sequencing</x:v>
      </x:c>
      <x:c r="C710" s="37" t="str">
        <x:v>Move the green highlighter into the bowl.</x:v>
      </x:c>
      <x:c r="D710" s="37" t="str">
        <x:v>Masked ordinal-role × target-identity composition</x:v>
      </x:c>
      <x:c r="E710" s="37" t="str">
        <x:v>n=2; physical role=L1; direct identity=green highlighter</x:v>
      </x:c>
      <x:c r="F710" s="37" t="str">
        <x:v>ordering_n2_l1_green_highlighter_masked</x:v>
      </x:c>
      <x:c r="G710" s="37" t="str">
        <x:v>selected sequence-length × physical ordinal role × target-identity cells listed on Holdout Map</x:v>
      </x:c>
      <x:c r="H710" s="37" t="str">
        <x:v>Yes</x:v>
      </x:c>
      <x:c r="I710" s="37" t="str">
        <x:v>Replace prompt only</x:v>
      </x:c>
      <x:c r="J710" s="37" t="str">
        <x:v>Prompt-only relabeling; preserve episode 708 video, scene, trajectory, target, and start position.</x:v>
      </x:c>
      <x:c r="K710" s="37" t="str">
        <x:v>green highlighter, airplane toy with propellers</x:v>
      </x:c>
      <x:c r="L710" s="37" t="str">
        <x:v>green highlighter</x:v>
      </x:c>
      <x:c r="M710" s="37" t="str">
        <x:v>Home</x:v>
      </x:c>
      <x:c r="N710" s="37" t="str">
        <x:v>Move the second item counted from the right into the bowl.</x:v>
      </x:c>
      <x:c r="O710" s="37" t="str">
        <x:v>Move the first from the left object into the bowl. | Put the object that is second from the right in the bowl.</x:v>
      </x:c>
      <x:c r="P710" s="37" t="str">
        <x:v>Both logically equivalent ordinal descriptions of L1 are withheld for green highlighter at sequence length 2, while the same trajectory remains under a direct-name instruction.</x:v>
      </x:c>
      <x:c r="Q710" s="38" t="n">
        <x:v>2</x:v>
      </x:c>
    </x:row>
    <x:row r="711" ht="60" customHeight="1">
      <x:c r="A711" s="70" t="n">
        <x:v>709</x:v>
      </x:c>
      <x:c r="B711" s="37" t="str">
        <x:v>Ordering/Sequencing</x:v>
      </x:c>
      <x:c r="C711" s="37" t="str">
        <x:v>Put the green highlighter in the bowl.</x:v>
      </x:c>
      <x:c r="D711" s="37" t="str">
        <x:v>Masked ordinal-role × target-identity composition</x:v>
      </x:c>
      <x:c r="E711" s="37" t="str">
        <x:v>n=2; physical role=L1; direct identity=green highlighter</x:v>
      </x:c>
      <x:c r="F711" s="37" t="str">
        <x:v>ordering_n2_l1_green_highlighter_masked</x:v>
      </x:c>
      <x:c r="G711" s="37" t="str">
        <x:v>selected sequence-length × physical ordinal role × target-identity cells listed on Holdout Map</x:v>
      </x:c>
      <x:c r="H711" s="37" t="str">
        <x:v>Yes</x:v>
      </x:c>
      <x:c r="I711" s="37" t="str">
        <x:v>Replace prompt only</x:v>
      </x:c>
      <x:c r="J711" s="37" t="str">
        <x:v>Prompt-only relabeling; preserve episode 709 video, scene, trajectory, target, and start position.</x:v>
      </x:c>
      <x:c r="K711" s="37" t="str">
        <x:v>green highlighter, blue tape ball</x:v>
      </x:c>
      <x:c r="L711" s="37" t="str">
        <x:v>green highlighter</x:v>
      </x:c>
      <x:c r="M711" s="37" t="str">
        <x:v>Home</x:v>
      </x:c>
      <x:c r="N711" s="37" t="str">
        <x:v>Put the second object from the right in the bowl.</x:v>
      </x:c>
      <x:c r="O711" s="37" t="str">
        <x:v>Put the object that is first from the left in the bowl. | Pick up the object that is second from the right and place it in the bowl.</x:v>
      </x:c>
      <x:c r="P711" s="37" t="str">
        <x:v>Both logically equivalent ordinal descriptions of L1 are withheld for green highlighter at sequence length 2, while the same trajectory remains under a direct-name instruction.</x:v>
      </x:c>
      <x:c r="Q711" s="38" t="n">
        <x:v>2</x:v>
      </x:c>
    </x:row>
    <x:row r="712" ht="60" customHeight="1">
      <x:c r="A712" s="70" t="n">
        <x:v>710</x:v>
      </x:c>
      <x:c r="B712" s="37" t="str">
        <x:v>Ordering/Sequencing</x:v>
      </x:c>
      <x:c r="C712" s="37" t="str">
        <x:v>Pick up the green highlighter and place it in the bowl.</x:v>
      </x:c>
      <x:c r="D712" s="37" t="str">
        <x:v>Masked ordinal-role × target-identity composition</x:v>
      </x:c>
      <x:c r="E712" s="37" t="str">
        <x:v>n=2; physical role=L1; direct identity=green highlighter</x:v>
      </x:c>
      <x:c r="F712" s="37" t="str">
        <x:v>ordering_n2_l1_green_highlighter_masked</x:v>
      </x:c>
      <x:c r="G712" s="37" t="str">
        <x:v>selected sequence-length × physical ordinal role × target-identity cells listed on Holdout Map</x:v>
      </x:c>
      <x:c r="H712" s="37" t="str">
        <x:v>Yes</x:v>
      </x:c>
      <x:c r="I712" s="37" t="str">
        <x:v>Replace prompt only</x:v>
      </x:c>
      <x:c r="J712" s="37" t="str">
        <x:v>Prompt-only relabeling; preserve episode 710 video, scene, trajectory, target, and start position.</x:v>
      </x:c>
      <x:c r="K712" s="37" t="str">
        <x:v>green highlighter, yellow pen</x:v>
      </x:c>
      <x:c r="L712" s="37" t="str">
        <x:v>green highlighter</x:v>
      </x:c>
      <x:c r="M712" s="37" t="str">
        <x:v>Recovery</x:v>
      </x:c>
      <x:c r="N712" s="37" t="str">
        <x:v>Put the second object from the right in the bowl.</x:v>
      </x:c>
      <x:c r="O712" s="37" t="str">
        <x:v>Pick up the object that is first from the left and place it in the bowl. | Move the second from the right object into the bowl.</x:v>
      </x:c>
      <x:c r="P712" s="37" t="str">
        <x:v>Both logically equivalent ordinal descriptions of L1 are withheld for green highlighter at sequence length 2, while the same trajectory remains under a direct-name instruction.</x:v>
      </x:c>
      <x:c r="Q712" s="38" t="n">
        <x:v>2</x:v>
      </x:c>
    </x:row>
    <x:row r="713" ht="60" customHeight="1">
      <x:c r="A713" s="70" t="n">
        <x:v>711</x:v>
      </x:c>
      <x:c r="B713" s="37" t="str">
        <x:v>Ordering/Sequencing</x:v>
      </x:c>
      <x:c r="C713" s="37" t="str">
        <x:v>Move the green highlighter into the bowl.</x:v>
      </x:c>
      <x:c r="D713" s="37" t="str">
        <x:v>Masked ordinal-role × target-identity composition</x:v>
      </x:c>
      <x:c r="E713" s="37" t="str">
        <x:v>n=2; physical role=L1; direct identity=green highlighter</x:v>
      </x:c>
      <x:c r="F713" s="37" t="str">
        <x:v>ordering_n2_l1_green_highlighter_masked</x:v>
      </x:c>
      <x:c r="G713" s="37" t="str">
        <x:v>selected sequence-length × physical ordinal role × target-identity cells listed on Holdout Map</x:v>
      </x:c>
      <x:c r="H713" s="37" t="str">
        <x:v>Yes</x:v>
      </x:c>
      <x:c r="I713" s="37" t="str">
        <x:v>Replace prompt only</x:v>
      </x:c>
      <x:c r="J713" s="37" t="str">
        <x:v>Prompt-only relabeling; preserve episode 711 video, scene, trajectory, target, and start position.</x:v>
      </x:c>
      <x:c r="K713" s="37" t="str">
        <x:v>green highlighter, airplane toy with propellers</x:v>
      </x:c>
      <x:c r="L713" s="37" t="str">
        <x:v>green highlighter</x:v>
      </x:c>
      <x:c r="M713" s="37" t="str">
        <x:v>Home</x:v>
      </x:c>
      <x:c r="N713" s="37" t="str">
        <x:v>Put the second object from the right in the bowl.</x:v>
      </x:c>
      <x:c r="O713" s="37" t="str">
        <x:v>Move the first from the left object into the bowl. | Put the object that is second from the right in the bowl.</x:v>
      </x:c>
      <x:c r="P713" s="37" t="str">
        <x:v>Both logically equivalent ordinal descriptions of L1 are withheld for green highlighter at sequence length 2, while the same trajectory remains under a direct-name instruction.</x:v>
      </x:c>
      <x:c r="Q713" s="38" t="n">
        <x:v>2</x:v>
      </x:c>
    </x:row>
    <x:row r="714" ht="60" customHeight="1">
      <x:c r="A714" s="70" t="n">
        <x:v>712</x:v>
      </x:c>
      <x:c r="B714" s="37" t="str">
        <x:v>Ordering/Sequencing</x:v>
      </x:c>
      <x:c r="C714" s="37" t="str">
        <x:v>Put the green highlighter in the bowl.</x:v>
      </x:c>
      <x:c r="D714" s="37" t="str">
        <x:v>Masked ordinal-role × target-identity composition</x:v>
      </x:c>
      <x:c r="E714" s="37" t="str">
        <x:v>n=2; physical role=L1; direct identity=green highlighter</x:v>
      </x:c>
      <x:c r="F714" s="37" t="str">
        <x:v>ordering_n2_l1_green_highlighter_masked</x:v>
      </x:c>
      <x:c r="G714" s="37" t="str">
        <x:v>selected sequence-length × physical ordinal role × target-identity cells listed on Holdout Map</x:v>
      </x:c>
      <x:c r="H714" s="37" t="str">
        <x:v>Yes</x:v>
      </x:c>
      <x:c r="I714" s="37" t="str">
        <x:v>Replace prompt only</x:v>
      </x:c>
      <x:c r="J714" s="37" t="str">
        <x:v>Prompt-only relabeling; preserve episode 712 video, scene, trajectory, target, and start position.</x:v>
      </x:c>
      <x:c r="K714" s="37" t="str">
        <x:v>green highlighter, blue tape ball</x:v>
      </x:c>
      <x:c r="L714" s="37" t="str">
        <x:v>green highlighter</x:v>
      </x:c>
      <x:c r="M714" s="37" t="str">
        <x:v>Recovery</x:v>
      </x:c>
      <x:c r="N714" s="37" t="str">
        <x:v>Move the first item counted from the left into the bowl.</x:v>
      </x:c>
      <x:c r="O714" s="37" t="str">
        <x:v>Put the object that is first from the left in the bowl. | Pick up the object that is second from the right and place it in the bowl.</x:v>
      </x:c>
      <x:c r="P714" s="37" t="str">
        <x:v>Both logically equivalent ordinal descriptions of L1 are withheld for green highlighter at sequence length 2, while the same trajectory remains under a direct-name instruction.</x:v>
      </x:c>
      <x:c r="Q714" s="38" t="n">
        <x:v>2</x:v>
      </x:c>
    </x:row>
    <x:row r="715" ht="60" customHeight="1">
      <x:c r="A715" s="70" t="n">
        <x:v>713</x:v>
      </x:c>
      <x:c r="B715" s="37" t="str">
        <x:v>Ordering/Sequencing</x:v>
      </x:c>
      <x:c r="C715" s="37" t="str">
        <x:v>Put the second object from the left in the bowl.</x:v>
      </x:c>
      <x:c r="D715" s="37" t="str">
        <x:v>Explicit ordinal grounding</x:v>
      </x:c>
      <x:c r="E715" s="37" t="str">
        <x:v>n=4; physical role=L2; expression=second from the left; target=green highlighter</x:v>
      </x:c>
      <x:c r="F715" s="37" t="str">
        <x:v>ordering_n4_l2_green_highlighter_explicit</x:v>
      </x:c>
      <x:c r="G715" s="37" t="str">
        <x:v>selected sequence-length × physical ordinal role × target-identity cells listed on Holdout Map</x:v>
      </x:c>
      <x:c r="H715" s="37" t="str">
        <x:v>No</x:v>
      </x:c>
      <x:c r="I715" s="37" t="str">
        <x:v>Keep prompt</x:v>
      </x:c>
      <x:c r="J715" s="37" t="str">
        <x:v>No prompt change required under the missing-cell design.</x:v>
      </x:c>
      <x:c r="K715" s="37" t="str">
        <x:v>airplane toy with propellers, green highlighter, blue tape ball, yellow pen</x:v>
      </x:c>
      <x:c r="L715" s="37" t="str">
        <x:v>green highlighter</x:v>
      </x:c>
      <x:c r="M715" s="37" t="str">
        <x:v>Recovery</x:v>
      </x:c>
      <x:c r="N715" s="37" t="str">
        <x:v>Put the second object from the left in the bowl.</x:v>
      </x:c>
      <x:c r="O715" s="37" t="str"/>
      <x:c r="P715" s="37" t="str">
        <x:v>Explicitly grounds ordinal role L2 at sequence length 4 with green highlighter; selected object-role cells are masked instead of withholding an ordinal word or output position.</x:v>
      </x:c>
      <x:c r="Q715" s="38" t="n">
        <x:v>4</x:v>
      </x:c>
    </x:row>
    <x:row r="716" ht="60" customHeight="1">
      <x:c r="A716" s="70" t="n">
        <x:v>714</x:v>
      </x:c>
      <x:c r="B716" s="37" t="str">
        <x:v>Ordering/Sequencing</x:v>
      </x:c>
      <x:c r="C716" s="37" t="str">
        <x:v>Put the second object from the left in the bowl.</x:v>
      </x:c>
      <x:c r="D716" s="37" t="str">
        <x:v>Explicit ordinal grounding</x:v>
      </x:c>
      <x:c r="E716" s="37" t="str">
        <x:v>n=4; physical role=L2; expression=second from the left; target=green highlighter</x:v>
      </x:c>
      <x:c r="F716" s="37" t="str">
        <x:v>ordering_n4_l2_green_highlighter_explicit</x:v>
      </x:c>
      <x:c r="G716" s="37" t="str">
        <x:v>selected sequence-length × physical ordinal role × target-identity cells listed on Holdout Map</x:v>
      </x:c>
      <x:c r="H716" s="37" t="str">
        <x:v>No</x:v>
      </x:c>
      <x:c r="I716" s="37" t="str">
        <x:v>Keep prompt</x:v>
      </x:c>
      <x:c r="J716" s="37" t="str">
        <x:v>No prompt change required under the missing-cell design.</x:v>
      </x:c>
      <x:c r="K716" s="37" t="str">
        <x:v>airplane toy with propellers, green highlighter, yellow pen, blue tape ball</x:v>
      </x:c>
      <x:c r="L716" s="37" t="str">
        <x:v>green highlighter</x:v>
      </x:c>
      <x:c r="M716" s="37" t="str">
        <x:v>Home</x:v>
      </x:c>
      <x:c r="N716" s="37" t="str">
        <x:v>Put the second object from the left in the bowl.</x:v>
      </x:c>
      <x:c r="O716" s="37" t="str"/>
      <x:c r="P716" s="37" t="str">
        <x:v>Explicitly grounds ordinal role L2 at sequence length 4 with green highlighter; selected object-role cells are masked instead of withholding an ordinal word or output position.</x:v>
      </x:c>
      <x:c r="Q716" s="38" t="n">
        <x:v>4</x:v>
      </x:c>
    </x:row>
    <x:row r="717" ht="60" customHeight="1">
      <x:c r="A717" s="70" t="n">
        <x:v>715</x:v>
      </x:c>
      <x:c r="B717" s="37" t="str">
        <x:v>Ordering/Sequencing</x:v>
      </x:c>
      <x:c r="C717" s="37" t="str">
        <x:v>Move the second item counted from the left into the bowl.</x:v>
      </x:c>
      <x:c r="D717" s="37" t="str">
        <x:v>Explicit ordinal grounding</x:v>
      </x:c>
      <x:c r="E717" s="37" t="str">
        <x:v>n=4; physical role=L2; expression=second from the left; target=green highlighter</x:v>
      </x:c>
      <x:c r="F717" s="37" t="str">
        <x:v>ordering_n4_l2_green_highlighter_explicit</x:v>
      </x:c>
      <x:c r="G717" s="37" t="str">
        <x:v>selected sequence-length × physical ordinal role × target-identity cells listed on Holdout Map</x:v>
      </x:c>
      <x:c r="H717" s="37" t="str">
        <x:v>No</x:v>
      </x:c>
      <x:c r="I717" s="37" t="str">
        <x:v>Keep prompt</x:v>
      </x:c>
      <x:c r="J717" s="37" t="str">
        <x:v>No prompt change required under the missing-cell design.</x:v>
      </x:c>
      <x:c r="K717" s="37" t="str">
        <x:v>blue tape ball, green highlighter, airplane toy with propellers, yellow pen</x:v>
      </x:c>
      <x:c r="L717" s="37" t="str">
        <x:v>green highlighter</x:v>
      </x:c>
      <x:c r="M717" s="37" t="str">
        <x:v>Home</x:v>
      </x:c>
      <x:c r="N717" s="37" t="str">
        <x:v>Move the second item counted from the left into the bowl.</x:v>
      </x:c>
      <x:c r="O717" s="37" t="str"/>
      <x:c r="P717" s="37" t="str">
        <x:v>Explicitly grounds ordinal role L2 at sequence length 4 with green highlighter; selected object-role cells are masked instead of withholding an ordinal word or output position.</x:v>
      </x:c>
      <x:c r="Q717" s="38" t="n">
        <x:v>4</x:v>
      </x:c>
    </x:row>
    <x:row r="718" ht="60" customHeight="1">
      <x:c r="A718" s="70" t="n">
        <x:v>716</x:v>
      </x:c>
      <x:c r="B718" s="37" t="str">
        <x:v>Ordering/Sequencing</x:v>
      </x:c>
      <x:c r="C718" s="37" t="str">
        <x:v>Move the third item counted from the right into the bowl.</x:v>
      </x:c>
      <x:c r="D718" s="37" t="str">
        <x:v>Explicit ordinal grounding</x:v>
      </x:c>
      <x:c r="E718" s="37" t="str">
        <x:v>n=4; physical role=L2; expression=third from the right; target=green highlighter</x:v>
      </x:c>
      <x:c r="F718" s="37" t="str">
        <x:v>ordering_n4_l2_green_highlighter_explicit</x:v>
      </x:c>
      <x:c r="G718" s="37" t="str">
        <x:v>selected sequence-length × physical ordinal role × target-identity cells listed on Holdout Map</x:v>
      </x:c>
      <x:c r="H718" s="37" t="str">
        <x:v>No</x:v>
      </x:c>
      <x:c r="I718" s="37" t="str">
        <x:v>Keep prompt</x:v>
      </x:c>
      <x:c r="J718" s="37" t="str">
        <x:v>No prompt change required under the missing-cell design.</x:v>
      </x:c>
      <x:c r="K718" s="37" t="str">
        <x:v>blue tape ball, green highlighter, yellow pen, airplane toy with propellers</x:v>
      </x:c>
      <x:c r="L718" s="37" t="str">
        <x:v>green highlighter</x:v>
      </x:c>
      <x:c r="M718" s="37" t="str">
        <x:v>Home</x:v>
      </x:c>
      <x:c r="N718" s="37" t="str">
        <x:v>Move the third item counted from the right into the bowl.</x:v>
      </x:c>
      <x:c r="O718" s="37" t="str"/>
      <x:c r="P718" s="37" t="str">
        <x:v>Explicitly grounds ordinal role L2 at sequence length 4 with green highlighter; selected object-role cells are masked instead of withholding an ordinal word or output position.</x:v>
      </x:c>
      <x:c r="Q718" s="38" t="n">
        <x:v>4</x:v>
      </x:c>
    </x:row>
    <x:row r="719" ht="60" customHeight="1">
      <x:c r="A719" s="70" t="n">
        <x:v>717</x:v>
      </x:c>
      <x:c r="B719" s="37" t="str">
        <x:v>Ordering/Sequencing</x:v>
      </x:c>
      <x:c r="C719" s="37" t="str">
        <x:v>Pick up the object that is second from the left and place it in the bowl.</x:v>
      </x:c>
      <x:c r="D719" s="37" t="str">
        <x:v>Explicit ordinal grounding</x:v>
      </x:c>
      <x:c r="E719" s="37" t="str">
        <x:v>n=4; physical role=L2; expression=second from the left; target=green highlighter</x:v>
      </x:c>
      <x:c r="F719" s="37" t="str">
        <x:v>ordering_n4_l2_green_highlighter_explicit</x:v>
      </x:c>
      <x:c r="G719" s="37" t="str">
        <x:v>selected sequence-length × physical ordinal role × target-identity cells listed on Holdout Map</x:v>
      </x:c>
      <x:c r="H719" s="37" t="str">
        <x:v>No</x:v>
      </x:c>
      <x:c r="I719" s="37" t="str">
        <x:v>Keep prompt</x:v>
      </x:c>
      <x:c r="J719" s="37" t="str">
        <x:v>No prompt change required under the missing-cell design.</x:v>
      </x:c>
      <x:c r="K719" s="37" t="str">
        <x:v>yellow pen, green highlighter, airplane toy with propellers, blue tape ball</x:v>
      </x:c>
      <x:c r="L719" s="37" t="str">
        <x:v>green highlighter</x:v>
      </x:c>
      <x:c r="M719" s="37" t="str">
        <x:v>Home</x:v>
      </x:c>
      <x:c r="N719" s="37" t="str">
        <x:v>Pick up the object that is second from the left and place it in the bowl.</x:v>
      </x:c>
      <x:c r="O719" s="37" t="str"/>
      <x:c r="P719" s="37" t="str">
        <x:v>Explicitly grounds ordinal role L2 at sequence length 4 with green highlighter; selected object-role cells are masked instead of withholding an ordinal word or output position.</x:v>
      </x:c>
      <x:c r="Q719" s="38" t="n">
        <x:v>4</x:v>
      </x:c>
    </x:row>
    <x:row r="720" ht="60" customHeight="1">
      <x:c r="A720" s="70" t="n">
        <x:v>718</x:v>
      </x:c>
      <x:c r="B720" s="37" t="str">
        <x:v>Ordering/Sequencing</x:v>
      </x:c>
      <x:c r="C720" s="37" t="str">
        <x:v>Pick up the object that is third from the right and place it in the bowl.</x:v>
      </x:c>
      <x:c r="D720" s="37" t="str">
        <x:v>Explicit ordinal grounding</x:v>
      </x:c>
      <x:c r="E720" s="37" t="str">
        <x:v>n=4; physical role=L2; expression=third from the right; target=green highlighter</x:v>
      </x:c>
      <x:c r="F720" s="37" t="str">
        <x:v>ordering_n4_l2_green_highlighter_explicit</x:v>
      </x:c>
      <x:c r="G720" s="37" t="str">
        <x:v>selected sequence-length × physical ordinal role × target-identity cells listed on Holdout Map</x:v>
      </x:c>
      <x:c r="H720" s="37" t="str">
        <x:v>No</x:v>
      </x:c>
      <x:c r="I720" s="37" t="str">
        <x:v>Keep prompt</x:v>
      </x:c>
      <x:c r="J720" s="37" t="str">
        <x:v>No prompt change required under the missing-cell design.</x:v>
      </x:c>
      <x:c r="K720" s="37" t="str">
        <x:v>yellow pen, green highlighter, blue tape ball, airplane toy with propellers</x:v>
      </x:c>
      <x:c r="L720" s="37" t="str">
        <x:v>green highlighter</x:v>
      </x:c>
      <x:c r="M720" s="37" t="str">
        <x:v>Home</x:v>
      </x:c>
      <x:c r="N720" s="37" t="str">
        <x:v>Pick up the object that is third from the right and place it in the bowl.</x:v>
      </x:c>
      <x:c r="O720" s="37" t="str"/>
      <x:c r="P720" s="37" t="str">
        <x:v>Explicitly grounds ordinal role L2 at sequence length 4 with green highlighter; selected object-role cells are masked instead of withholding an ordinal word or output position.</x:v>
      </x:c>
      <x:c r="Q720" s="38" t="n">
        <x:v>4</x:v>
      </x:c>
    </x:row>
    <x:row r="721" ht="60" customHeight="1">
      <x:c r="A721" s="70" t="n">
        <x:v>719</x:v>
      </x:c>
      <x:c r="B721" s="37" t="str">
        <x:v>Ordering/Sequencing</x:v>
      </x:c>
      <x:c r="C721" s="37" t="str">
        <x:v>Move the second item counted from the left into the bowl.</x:v>
      </x:c>
      <x:c r="D721" s="37" t="str">
        <x:v>Explicit ordinal grounding</x:v>
      </x:c>
      <x:c r="E721" s="37" t="str">
        <x:v>n=2; physical role=L2; expression=second from the left; target=green highlighter</x:v>
      </x:c>
      <x:c r="F721" s="37" t="str">
        <x:v>ordering_n2_l2_green_highlighter_explicit</x:v>
      </x:c>
      <x:c r="G721" s="37" t="str">
        <x:v>selected sequence-length × physical ordinal role × target-identity cells listed on Holdout Map</x:v>
      </x:c>
      <x:c r="H721" s="37" t="str">
        <x:v>No</x:v>
      </x:c>
      <x:c r="I721" s="37" t="str">
        <x:v>Keep prompt</x:v>
      </x:c>
      <x:c r="J721" s="37" t="str">
        <x:v>No prompt change required under the missing-cell design.</x:v>
      </x:c>
      <x:c r="K721" s="37" t="str">
        <x:v>airplane toy with propellers, green highlighter</x:v>
      </x:c>
      <x:c r="L721" s="37" t="str">
        <x:v>green highlighter</x:v>
      </x:c>
      <x:c r="M721" s="37" t="str">
        <x:v>Home</x:v>
      </x:c>
      <x:c r="N721" s="37" t="str">
        <x:v>Move the second item counted from the left into the bowl.</x:v>
      </x:c>
      <x:c r="O721" s="37" t="str"/>
      <x:c r="P721" s="37" t="str">
        <x:v>Explicitly grounds ordinal role L2 at sequence length 2 with green highlighter; selected object-role cells are masked instead of withholding an ordinal word or output position.</x:v>
      </x:c>
      <x:c r="Q721" s="38" t="n">
        <x:v>2</x:v>
      </x:c>
    </x:row>
    <x:row r="722" ht="60" customHeight="1">
      <x:c r="A722" s="70" t="n">
        <x:v>720</x:v>
      </x:c>
      <x:c r="B722" s="37" t="str">
        <x:v>Ordering/Sequencing</x:v>
      </x:c>
      <x:c r="C722" s="37" t="str">
        <x:v>Pick up the object that is second from the left and place it in the bowl.</x:v>
      </x:c>
      <x:c r="D722" s="37" t="str">
        <x:v>Explicit ordinal grounding</x:v>
      </x:c>
      <x:c r="E722" s="37" t="str">
        <x:v>n=2; physical role=L2; expression=second from the left; target=green highlighter</x:v>
      </x:c>
      <x:c r="F722" s="37" t="str">
        <x:v>ordering_n2_l2_green_highlighter_explicit</x:v>
      </x:c>
      <x:c r="G722" s="37" t="str">
        <x:v>selected sequence-length × physical ordinal role × target-identity cells listed on Holdout Map</x:v>
      </x:c>
      <x:c r="H722" s="37" t="str">
        <x:v>No</x:v>
      </x:c>
      <x:c r="I722" s="37" t="str">
        <x:v>Keep prompt</x:v>
      </x:c>
      <x:c r="J722" s="37" t="str">
        <x:v>No prompt change required under the missing-cell design.</x:v>
      </x:c>
      <x:c r="K722" s="37" t="str">
        <x:v>blue tape ball, green highlighter</x:v>
      </x:c>
      <x:c r="L722" s="37" t="str">
        <x:v>green highlighter</x:v>
      </x:c>
      <x:c r="M722" s="37" t="str">
        <x:v>Home</x:v>
      </x:c>
      <x:c r="N722" s="37" t="str">
        <x:v>Pick up the object that is second from the left and place it in the bowl.</x:v>
      </x:c>
      <x:c r="O722" s="37" t="str"/>
      <x:c r="P722" s="37" t="str">
        <x:v>Explicitly grounds ordinal role L2 at sequence length 2 with green highlighter; selected object-role cells are masked instead of withholding an ordinal word or output position.</x:v>
      </x:c>
      <x:c r="Q722" s="38" t="n">
        <x:v>2</x:v>
      </x:c>
    </x:row>
    <x:row r="723" ht="60" customHeight="1">
      <x:c r="A723" s="70" t="n">
        <x:v>721</x:v>
      </x:c>
      <x:c r="B723" s="37" t="str">
        <x:v>Ordering/Sequencing</x:v>
      </x:c>
      <x:c r="C723" s="37" t="str">
        <x:v>Put the second object from the left in the bowl.</x:v>
      </x:c>
      <x:c r="D723" s="37" t="str">
        <x:v>Explicit ordinal grounding</x:v>
      </x:c>
      <x:c r="E723" s="37" t="str">
        <x:v>n=2; physical role=L2; expression=second from the left; target=green highlighter</x:v>
      </x:c>
      <x:c r="F723" s="37" t="str">
        <x:v>ordering_n2_l2_green_highlighter_explicit</x:v>
      </x:c>
      <x:c r="G723" s="37" t="str">
        <x:v>selected sequence-length × physical ordinal role × target-identity cells listed on Holdout Map</x:v>
      </x:c>
      <x:c r="H723" s="37" t="str">
        <x:v>No</x:v>
      </x:c>
      <x:c r="I723" s="37" t="str">
        <x:v>Keep prompt</x:v>
      </x:c>
      <x:c r="J723" s="37" t="str">
        <x:v>No prompt change required under the missing-cell design.</x:v>
      </x:c>
      <x:c r="K723" s="37" t="str">
        <x:v>yellow pen, green highlighter</x:v>
      </x:c>
      <x:c r="L723" s="37" t="str">
        <x:v>green highlighter</x:v>
      </x:c>
      <x:c r="M723" s="37" t="str">
        <x:v>Home</x:v>
      </x:c>
      <x:c r="N723" s="37" t="str">
        <x:v>Put the second object from the left in the bowl.</x:v>
      </x:c>
      <x:c r="O723" s="37" t="str"/>
      <x:c r="P723" s="37" t="str">
        <x:v>Explicitly grounds ordinal role L2 at sequence length 2 with green highlighter; selected object-role cells are masked instead of withholding an ordinal word or output position.</x:v>
      </x:c>
      <x:c r="Q723" s="38" t="n">
        <x:v>2</x:v>
      </x:c>
    </x:row>
    <x:row r="724" ht="60" customHeight="1">
      <x:c r="A724" s="70" t="n">
        <x:v>722</x:v>
      </x:c>
      <x:c r="B724" s="37" t="str">
        <x:v>Ordering/Sequencing</x:v>
      </x:c>
      <x:c r="C724" s="37" t="str">
        <x:v>Move the second item counted from the left into the bowl.</x:v>
      </x:c>
      <x:c r="D724" s="37" t="str">
        <x:v>Explicit ordinal grounding</x:v>
      </x:c>
      <x:c r="E724" s="37" t="str">
        <x:v>n=2; physical role=L2; expression=second from the left; target=green highlighter</x:v>
      </x:c>
      <x:c r="F724" s="37" t="str">
        <x:v>ordering_n2_l2_green_highlighter_explicit</x:v>
      </x:c>
      <x:c r="G724" s="37" t="str">
        <x:v>selected sequence-length × physical ordinal role × target-identity cells listed on Holdout Map</x:v>
      </x:c>
      <x:c r="H724" s="37" t="str">
        <x:v>No</x:v>
      </x:c>
      <x:c r="I724" s="37" t="str">
        <x:v>Keep prompt</x:v>
      </x:c>
      <x:c r="J724" s="37" t="str">
        <x:v>No prompt change required under the missing-cell design.</x:v>
      </x:c>
      <x:c r="K724" s="37" t="str">
        <x:v>airplane toy with propellers, green highlighter</x:v>
      </x:c>
      <x:c r="L724" s="37" t="str">
        <x:v>green highlighter</x:v>
      </x:c>
      <x:c r="M724" s="37" t="str">
        <x:v>Home</x:v>
      </x:c>
      <x:c r="N724" s="37" t="str">
        <x:v>Move the second item counted from the left into the bowl.</x:v>
      </x:c>
      <x:c r="O724" s="37" t="str"/>
      <x:c r="P724" s="37" t="str">
        <x:v>Explicitly grounds ordinal role L2 at sequence length 2 with green highlighter; selected object-role cells are masked instead of withholding an ordinal word or output position.</x:v>
      </x:c>
      <x:c r="Q724" s="38" t="n">
        <x:v>2</x:v>
      </x:c>
    </x:row>
    <x:row r="725" ht="60" customHeight="1">
      <x:c r="A725" s="70" t="n">
        <x:v>723</x:v>
      </x:c>
      <x:c r="B725" s="37" t="str">
        <x:v>Ordering/Sequencing</x:v>
      </x:c>
      <x:c r="C725" s="37" t="str">
        <x:v>Put the second object from the left in the bowl.</x:v>
      </x:c>
      <x:c r="D725" s="37" t="str">
        <x:v>Explicit ordinal grounding</x:v>
      </x:c>
      <x:c r="E725" s="37" t="str">
        <x:v>n=2; physical role=L2; expression=second from the left; target=green highlighter</x:v>
      </x:c>
      <x:c r="F725" s="37" t="str">
        <x:v>ordering_n2_l2_green_highlighter_explicit</x:v>
      </x:c>
      <x:c r="G725" s="37" t="str">
        <x:v>selected sequence-length × physical ordinal role × target-identity cells listed on Holdout Map</x:v>
      </x:c>
      <x:c r="H725" s="37" t="str">
        <x:v>No</x:v>
      </x:c>
      <x:c r="I725" s="37" t="str">
        <x:v>Keep prompt</x:v>
      </x:c>
      <x:c r="J725" s="37" t="str">
        <x:v>No prompt change required under the missing-cell design.</x:v>
      </x:c>
      <x:c r="K725" s="37" t="str">
        <x:v>blue tape ball, green highlighter</x:v>
      </x:c>
      <x:c r="L725" s="37" t="str">
        <x:v>green highlighter</x:v>
      </x:c>
      <x:c r="M725" s="37" t="str">
        <x:v>Recovery</x:v>
      </x:c>
      <x:c r="N725" s="37" t="str">
        <x:v>Put the second object from the left in the bowl.</x:v>
      </x:c>
      <x:c r="O725" s="37" t="str"/>
      <x:c r="P725" s="37" t="str">
        <x:v>Explicitly grounds ordinal role L2 at sequence length 2 with green highlighter; selected object-role cells are masked instead of withholding an ordinal word or output position.</x:v>
      </x:c>
      <x:c r="Q725" s="38" t="n">
        <x:v>2</x:v>
      </x:c>
    </x:row>
    <x:row r="726" ht="60" customHeight="1">
      <x:c r="A726" s="70" t="n">
        <x:v>724</x:v>
      </x:c>
      <x:c r="B726" s="37" t="str">
        <x:v>Ordering/Sequencing</x:v>
      </x:c>
      <x:c r="C726" s="37" t="str">
        <x:v>Put the second object from the left in the bowl.</x:v>
      </x:c>
      <x:c r="D726" s="37" t="str">
        <x:v>Explicit ordinal grounding</x:v>
      </x:c>
      <x:c r="E726" s="37" t="str">
        <x:v>n=2; physical role=L2; expression=second from the left; target=green highlighter</x:v>
      </x:c>
      <x:c r="F726" s="37" t="str">
        <x:v>ordering_n2_l2_green_highlighter_explicit</x:v>
      </x:c>
      <x:c r="G726" s="37" t="str">
        <x:v>selected sequence-length × physical ordinal role × target-identity cells listed on Holdout Map</x:v>
      </x:c>
      <x:c r="H726" s="37" t="str">
        <x:v>No</x:v>
      </x:c>
      <x:c r="I726" s="37" t="str">
        <x:v>Keep prompt</x:v>
      </x:c>
      <x:c r="J726" s="37" t="str">
        <x:v>No prompt change required under the missing-cell design.</x:v>
      </x:c>
      <x:c r="K726" s="37" t="str">
        <x:v>yellow pen, green highlighter</x:v>
      </x:c>
      <x:c r="L726" s="37" t="str">
        <x:v>green highlighter</x:v>
      </x:c>
      <x:c r="M726" s="37" t="str">
        <x:v>Recovery</x:v>
      </x:c>
      <x:c r="N726" s="37" t="str">
        <x:v>Put the second object from the left in the bowl.</x:v>
      </x:c>
      <x:c r="O726" s="37" t="str"/>
      <x:c r="P726" s="37" t="str">
        <x:v>Explicitly grounds ordinal role L2 at sequence length 2 with green highlighter; selected object-role cells are masked instead of withholding an ordinal word or output position.</x:v>
      </x:c>
      <x:c r="Q726" s="38" t="n">
        <x:v>2</x:v>
      </x:c>
    </x:row>
    <x:row r="727" ht="60" customHeight="1">
      <x:c r="A727" s="70" t="n">
        <x:v>725</x:v>
      </x:c>
      <x:c r="B727" s="37" t="str">
        <x:v>Ordering/Sequencing</x:v>
      </x:c>
      <x:c r="C727" s="37" t="str">
        <x:v>Put the green highlighter in the bowl.</x:v>
      </x:c>
      <x:c r="D727" s="37" t="str">
        <x:v>Masked ordinal-role × target-identity composition</x:v>
      </x:c>
      <x:c r="E727" s="37" t="str">
        <x:v>n=4; physical role=L3; direct identity=green highlighter</x:v>
      </x:c>
      <x:c r="F727" s="37" t="str">
        <x:v>ordering_n4_l3_green_highlighter_masked</x:v>
      </x:c>
      <x:c r="G727" s="37" t="str">
        <x:v>selected sequence-length × physical ordinal role × target-identity cells listed on Holdout Map</x:v>
      </x:c>
      <x:c r="H727" s="37" t="str">
        <x:v>No</x:v>
      </x:c>
      <x:c r="I727" s="37" t="str">
        <x:v>Keep prompt</x:v>
      </x:c>
      <x:c r="J727" s="37" t="str">
        <x:v>No prompt change required under the missing-cell design.</x:v>
      </x:c>
      <x:c r="K727" s="37" t="str">
        <x:v>airplane toy with propellers, blue tape ball, green highlighter, yellow pen</x:v>
      </x:c>
      <x:c r="L727" s="37" t="str">
        <x:v>green highlighter</x:v>
      </x:c>
      <x:c r="M727" s="37" t="str">
        <x:v>Home</x:v>
      </x:c>
      <x:c r="N727" s="37" t="str">
        <x:v>Put the green highlighter in the bowl.</x:v>
      </x:c>
      <x:c r="O727" s="37" t="str">
        <x:v>Pick up the object that is third from the left and place it in the bowl. | Move the second from the right object into the bowl.</x:v>
      </x:c>
      <x:c r="P727" s="37" t="str">
        <x:v>Both logically equivalent ordinal descriptions of L3 are withheld for green highlighter at sequence length 4, while the same trajectory remains under a direct-name instruction.</x:v>
      </x:c>
      <x:c r="Q727" s="38" t="n">
        <x:v>4</x:v>
      </x:c>
    </x:row>
    <x:row r="728" ht="60" customHeight="1">
      <x:c r="A728" s="70" t="n">
        <x:v>726</x:v>
      </x:c>
      <x:c r="B728" s="37" t="str">
        <x:v>Ordering/Sequencing</x:v>
      </x:c>
      <x:c r="C728" s="37" t="str">
        <x:v>Pick up the green highlighter and place it in the bowl.</x:v>
      </x:c>
      <x:c r="D728" s="37" t="str">
        <x:v>Masked ordinal-role × target-identity composition</x:v>
      </x:c>
      <x:c r="E728" s="37" t="str">
        <x:v>n=4; physical role=L3; direct identity=green highlighter</x:v>
      </x:c>
      <x:c r="F728" s="37" t="str">
        <x:v>ordering_n4_l3_green_highlighter_masked</x:v>
      </x:c>
      <x:c r="G728" s="37" t="str">
        <x:v>selected sequence-length × physical ordinal role × target-identity cells listed on Holdout Map</x:v>
      </x:c>
      <x:c r="H728" s="37" t="str">
        <x:v>No</x:v>
      </x:c>
      <x:c r="I728" s="37" t="str">
        <x:v>Keep prompt</x:v>
      </x:c>
      <x:c r="J728" s="37" t="str">
        <x:v>No prompt change required under the missing-cell design.</x:v>
      </x:c>
      <x:c r="K728" s="37" t="str">
        <x:v>airplane toy with propellers, yellow pen, green highlighter, blue tape ball</x:v>
      </x:c>
      <x:c r="L728" s="37" t="str">
        <x:v>green highlighter</x:v>
      </x:c>
      <x:c r="M728" s="37" t="str">
        <x:v>Home</x:v>
      </x:c>
      <x:c r="N728" s="37" t="str">
        <x:v>Pick up the green highlighter and place it in the bowl.</x:v>
      </x:c>
      <x:c r="O728" s="37" t="str">
        <x:v>Move the third from the left object into the bowl. | Put the object that is second from the right in the bowl.</x:v>
      </x:c>
      <x:c r="P728" s="37" t="str">
        <x:v>Both logically equivalent ordinal descriptions of L3 are withheld for green highlighter at sequence length 4, while the same trajectory remains under a direct-name instruction.</x:v>
      </x:c>
      <x:c r="Q728" s="38" t="n">
        <x:v>4</x:v>
      </x:c>
    </x:row>
    <x:row r="729" ht="60" customHeight="1">
      <x:c r="A729" s="70" t="n">
        <x:v>727</x:v>
      </x:c>
      <x:c r="B729" s="37" t="str">
        <x:v>Ordering/Sequencing</x:v>
      </x:c>
      <x:c r="C729" s="37" t="str">
        <x:v>Move the green highlighter into the bowl.</x:v>
      </x:c>
      <x:c r="D729" s="37" t="str">
        <x:v>Masked ordinal-role × target-identity composition</x:v>
      </x:c>
      <x:c r="E729" s="37" t="str">
        <x:v>n=4; physical role=L3; direct identity=green highlighter</x:v>
      </x:c>
      <x:c r="F729" s="37" t="str">
        <x:v>ordering_n4_l3_green_highlighter_masked</x:v>
      </x:c>
      <x:c r="G729" s="37" t="str">
        <x:v>selected sequence-length × physical ordinal role × target-identity cells listed on Holdout Map</x:v>
      </x:c>
      <x:c r="H729" s="37" t="str">
        <x:v>No</x:v>
      </x:c>
      <x:c r="I729" s="37" t="str">
        <x:v>Keep prompt</x:v>
      </x:c>
      <x:c r="J729" s="37" t="str">
        <x:v>No prompt change required under the missing-cell design.</x:v>
      </x:c>
      <x:c r="K729" s="37" t="str">
        <x:v>blue tape ball, airplane toy with propellers, green highlighter, yellow pen</x:v>
      </x:c>
      <x:c r="L729" s="37" t="str">
        <x:v>green highlighter</x:v>
      </x:c>
      <x:c r="M729" s="37" t="str">
        <x:v>Home</x:v>
      </x:c>
      <x:c r="N729" s="37" t="str">
        <x:v>Move the green highlighter into the bowl.</x:v>
      </x:c>
      <x:c r="O729" s="37" t="str">
        <x:v>Put the object that is third from the left in the bowl. | Pick up the object that is second from the right and place it in the bowl.</x:v>
      </x:c>
      <x:c r="P729" s="37" t="str">
        <x:v>Both logically equivalent ordinal descriptions of L3 are withheld for green highlighter at sequence length 4, while the same trajectory remains under a direct-name instruction.</x:v>
      </x:c>
      <x:c r="Q729" s="38" t="n">
        <x:v>4</x:v>
      </x:c>
    </x:row>
    <x:row r="730" ht="60" customHeight="1">
      <x:c r="A730" s="70" t="n">
        <x:v>728</x:v>
      </x:c>
      <x:c r="B730" s="37" t="str">
        <x:v>Ordering/Sequencing</x:v>
      </x:c>
      <x:c r="C730" s="37" t="str">
        <x:v>Put the green highlighter in the bowl.</x:v>
      </x:c>
      <x:c r="D730" s="37" t="str">
        <x:v>Masked ordinal-role × target-identity composition</x:v>
      </x:c>
      <x:c r="E730" s="37" t="str">
        <x:v>n=4; physical role=L3; direct identity=green highlighter</x:v>
      </x:c>
      <x:c r="F730" s="37" t="str">
        <x:v>ordering_n4_l3_green_highlighter_masked</x:v>
      </x:c>
      <x:c r="G730" s="37" t="str">
        <x:v>selected sequence-length × physical ordinal role × target-identity cells listed on Holdout Map</x:v>
      </x:c>
      <x:c r="H730" s="37" t="str">
        <x:v>No</x:v>
      </x:c>
      <x:c r="I730" s="37" t="str">
        <x:v>Keep prompt</x:v>
      </x:c>
      <x:c r="J730" s="37" t="str">
        <x:v>No prompt change required under the missing-cell design.</x:v>
      </x:c>
      <x:c r="K730" s="37" t="str">
        <x:v>blue tape ball, yellow pen, green highlighter, airplane toy with propellers</x:v>
      </x:c>
      <x:c r="L730" s="37" t="str">
        <x:v>green highlighter</x:v>
      </x:c>
      <x:c r="M730" s="37" t="str">
        <x:v>Home</x:v>
      </x:c>
      <x:c r="N730" s="37" t="str">
        <x:v>Put the green highlighter in the bowl.</x:v>
      </x:c>
      <x:c r="O730" s="37" t="str">
        <x:v>Pick up the object that is third from the left and place it in the bowl. | Move the second from the right object into the bowl.</x:v>
      </x:c>
      <x:c r="P730" s="37" t="str">
        <x:v>Both logically equivalent ordinal descriptions of L3 are withheld for green highlighter at sequence length 4, while the same trajectory remains under a direct-name instruction.</x:v>
      </x:c>
      <x:c r="Q730" s="38" t="n">
        <x:v>4</x:v>
      </x:c>
    </x:row>
    <x:row r="731" ht="60" customHeight="1">
      <x:c r="A731" s="70" t="n">
        <x:v>729</x:v>
      </x:c>
      <x:c r="B731" s="37" t="str">
        <x:v>Ordering/Sequencing</x:v>
      </x:c>
      <x:c r="C731" s="37" t="str">
        <x:v>Put the green highlighter in the bowl.</x:v>
      </x:c>
      <x:c r="D731" s="37" t="str">
        <x:v>Masked ordinal-role × target-identity composition</x:v>
      </x:c>
      <x:c r="E731" s="37" t="str">
        <x:v>n=3; physical role=L3; direct identity=green highlighter</x:v>
      </x:c>
      <x:c r="F731" s="37" t="str">
        <x:v>ordering_n3_l3_green_highlighter_masked</x:v>
      </x:c>
      <x:c r="G731" s="37" t="str">
        <x:v>selected sequence-length × physical ordinal role × target-identity cells listed on Holdout Map</x:v>
      </x:c>
      <x:c r="H731" s="37" t="str">
        <x:v>No</x:v>
      </x:c>
      <x:c r="I731" s="37" t="str">
        <x:v>Keep prompt</x:v>
      </x:c>
      <x:c r="J731" s="37" t="str">
        <x:v>No prompt change required under the missing-cell design.</x:v>
      </x:c>
      <x:c r="K731" s="37" t="str">
        <x:v>airplane toy with propellers, blue tape ball, green highlighter</x:v>
      </x:c>
      <x:c r="L731" s="37" t="str">
        <x:v>green highlighter</x:v>
      </x:c>
      <x:c r="M731" s="37" t="str">
        <x:v>Home</x:v>
      </x:c>
      <x:c r="N731" s="37" t="str">
        <x:v>Put the green highlighter in the bowl.</x:v>
      </x:c>
      <x:c r="O731" s="37" t="str">
        <x:v>Move the third from the left object into the bowl. | Put the object that is first from the right in the bowl.</x:v>
      </x:c>
      <x:c r="P731" s="37" t="str">
        <x:v>Both logically equivalent ordinal descriptions of L3 are withheld for green highlighter at sequence length 3, while the same trajectory remains under a direct-name instruction.</x:v>
      </x:c>
      <x:c r="Q731" s="38" t="n">
        <x:v>3</x:v>
      </x:c>
    </x:row>
    <x:row r="732" ht="60" customHeight="1">
      <x:c r="A732" s="70" t="n">
        <x:v>730</x:v>
      </x:c>
      <x:c r="B732" s="37" t="str">
        <x:v>Ordering/Sequencing</x:v>
      </x:c>
      <x:c r="C732" s="37" t="str">
        <x:v>Pick up the green highlighter and place it in the bowl.</x:v>
      </x:c>
      <x:c r="D732" s="37" t="str">
        <x:v>Masked ordinal-role × target-identity composition</x:v>
      </x:c>
      <x:c r="E732" s="37" t="str">
        <x:v>n=3; physical role=L3; direct identity=green highlighter</x:v>
      </x:c>
      <x:c r="F732" s="37" t="str">
        <x:v>ordering_n3_l3_green_highlighter_masked</x:v>
      </x:c>
      <x:c r="G732" s="37" t="str">
        <x:v>selected sequence-length × physical ordinal role × target-identity cells listed on Holdout Map</x:v>
      </x:c>
      <x:c r="H732" s="37" t="str">
        <x:v>No</x:v>
      </x:c>
      <x:c r="I732" s="37" t="str">
        <x:v>Keep prompt</x:v>
      </x:c>
      <x:c r="J732" s="37" t="str">
        <x:v>No prompt change required under the missing-cell design.</x:v>
      </x:c>
      <x:c r="K732" s="37" t="str">
        <x:v>airplane toy with propellers, yellow pen, green highlighter</x:v>
      </x:c>
      <x:c r="L732" s="37" t="str">
        <x:v>green highlighter</x:v>
      </x:c>
      <x:c r="M732" s="37" t="str">
        <x:v>Home</x:v>
      </x:c>
      <x:c r="N732" s="37" t="str">
        <x:v>Pick up the green highlighter and place it in the bowl.</x:v>
      </x:c>
      <x:c r="O732" s="37" t="str">
        <x:v>Put the object that is third from the left in the bowl. | Pick up the object that is first from the right and place it in the bowl.</x:v>
      </x:c>
      <x:c r="P732" s="37" t="str">
        <x:v>Both logically equivalent ordinal descriptions of L3 are withheld for green highlighter at sequence length 3, while the same trajectory remains under a direct-name instruction.</x:v>
      </x:c>
      <x:c r="Q732" s="38" t="n">
        <x:v>3</x:v>
      </x:c>
    </x:row>
    <x:row r="733" ht="60" customHeight="1">
      <x:c r="A733" s="70" t="n">
        <x:v>731</x:v>
      </x:c>
      <x:c r="B733" s="37" t="str">
        <x:v>Ordering/Sequencing</x:v>
      </x:c>
      <x:c r="C733" s="37" t="str">
        <x:v>Move the green highlighter into the bowl.</x:v>
      </x:c>
      <x:c r="D733" s="37" t="str">
        <x:v>Masked ordinal-role × target-identity composition</x:v>
      </x:c>
      <x:c r="E733" s="37" t="str">
        <x:v>n=3; physical role=L3; direct identity=green highlighter</x:v>
      </x:c>
      <x:c r="F733" s="37" t="str">
        <x:v>ordering_n3_l3_green_highlighter_masked</x:v>
      </x:c>
      <x:c r="G733" s="37" t="str">
        <x:v>selected sequence-length × physical ordinal role × target-identity cells listed on Holdout Map</x:v>
      </x:c>
      <x:c r="H733" s="37" t="str">
        <x:v>No</x:v>
      </x:c>
      <x:c r="I733" s="37" t="str">
        <x:v>Keep prompt</x:v>
      </x:c>
      <x:c r="J733" s="37" t="str">
        <x:v>No prompt change required under the missing-cell design.</x:v>
      </x:c>
      <x:c r="K733" s="37" t="str">
        <x:v>blue tape ball, airplane toy with propellers, green highlighter</x:v>
      </x:c>
      <x:c r="L733" s="37" t="str">
        <x:v>green highlighter</x:v>
      </x:c>
      <x:c r="M733" s="37" t="str">
        <x:v>Home</x:v>
      </x:c>
      <x:c r="N733" s="37" t="str">
        <x:v>Move the green highlighter into the bowl.</x:v>
      </x:c>
      <x:c r="O733" s="37" t="str">
        <x:v>Pick up the object that is third from the left and place it in the bowl. | Move the first from the right object into the bowl.</x:v>
      </x:c>
      <x:c r="P733" s="37" t="str">
        <x:v>Both logically equivalent ordinal descriptions of L3 are withheld for green highlighter at sequence length 3, while the same trajectory remains under a direct-name instruction.</x:v>
      </x:c>
      <x:c r="Q733" s="38" t="n">
        <x:v>3</x:v>
      </x:c>
    </x:row>
    <x:row r="734" ht="60" customHeight="1">
      <x:c r="A734" s="70" t="n">
        <x:v>732</x:v>
      </x:c>
      <x:c r="B734" s="37" t="str">
        <x:v>Ordering/Sequencing</x:v>
      </x:c>
      <x:c r="C734" s="37" t="str">
        <x:v>Pick up the green highlighter and place it in the bowl.</x:v>
      </x:c>
      <x:c r="D734" s="37" t="str">
        <x:v>Masked ordinal-role × target-identity composition</x:v>
      </x:c>
      <x:c r="E734" s="37" t="str">
        <x:v>n=3; physical role=L3; direct identity=green highlighter</x:v>
      </x:c>
      <x:c r="F734" s="37" t="str">
        <x:v>ordering_n3_l3_green_highlighter_masked</x:v>
      </x:c>
      <x:c r="G734" s="37" t="str">
        <x:v>selected sequence-length × physical ordinal role × target-identity cells listed on Holdout Map</x:v>
      </x:c>
      <x:c r="H734" s="37" t="str">
        <x:v>No</x:v>
      </x:c>
      <x:c r="I734" s="37" t="str">
        <x:v>Keep prompt</x:v>
      </x:c>
      <x:c r="J734" s="37" t="str">
        <x:v>No prompt change required under the missing-cell design.</x:v>
      </x:c>
      <x:c r="K734" s="37" t="str">
        <x:v>blue tape ball, yellow pen, green highlighter</x:v>
      </x:c>
      <x:c r="L734" s="37" t="str">
        <x:v>green highlighter</x:v>
      </x:c>
      <x:c r="M734" s="37" t="str">
        <x:v>Home</x:v>
      </x:c>
      <x:c r="N734" s="37" t="str">
        <x:v>Pick up the green highlighter and place it in the bowl.</x:v>
      </x:c>
      <x:c r="O734" s="37" t="str">
        <x:v>Move the third from the left object into the bowl. | Put the object that is first from the right in the bowl.</x:v>
      </x:c>
      <x:c r="P734" s="37" t="str">
        <x:v>Both logically equivalent ordinal descriptions of L3 are withheld for green highlighter at sequence length 3, while the same trajectory remains under a direct-name instruction.</x:v>
      </x:c>
      <x:c r="Q734" s="38" t="n">
        <x:v>3</x:v>
      </x:c>
    </x:row>
    <x:row r="735" ht="60" customHeight="1">
      <x:c r="A735" s="70" t="n">
        <x:v>733</x:v>
      </x:c>
      <x:c r="B735" s="37" t="str">
        <x:v>Ordering/Sequencing</x:v>
      </x:c>
      <x:c r="C735" s="37" t="str">
        <x:v>Put the green highlighter in the bowl.</x:v>
      </x:c>
      <x:c r="D735" s="37" t="str">
        <x:v>Masked ordinal-role × target-identity composition</x:v>
      </x:c>
      <x:c r="E735" s="37" t="str">
        <x:v>n=3; physical role=L3; direct identity=green highlighter</x:v>
      </x:c>
      <x:c r="F735" s="37" t="str">
        <x:v>ordering_n3_l3_green_highlighter_masked</x:v>
      </x:c>
      <x:c r="G735" s="37" t="str">
        <x:v>selected sequence-length × physical ordinal role × target-identity cells listed on Holdout Map</x:v>
      </x:c>
      <x:c r="H735" s="37" t="str">
        <x:v>No</x:v>
      </x:c>
      <x:c r="I735" s="37" t="str">
        <x:v>Keep prompt</x:v>
      </x:c>
      <x:c r="J735" s="37" t="str">
        <x:v>No prompt change required under the missing-cell design.</x:v>
      </x:c>
      <x:c r="K735" s="37" t="str">
        <x:v>yellow pen, airplane toy with propellers, green highlighter</x:v>
      </x:c>
      <x:c r="L735" s="37" t="str">
        <x:v>green highlighter</x:v>
      </x:c>
      <x:c r="M735" s="37" t="str">
        <x:v>Home</x:v>
      </x:c>
      <x:c r="N735" s="37" t="str">
        <x:v>Put the green highlighter in the bowl.</x:v>
      </x:c>
      <x:c r="O735" s="37" t="str">
        <x:v>Put the object that is third from the left in the bowl. | Pick up the object that is first from the right and place it in the bowl.</x:v>
      </x:c>
      <x:c r="P735" s="37" t="str">
        <x:v>Both logically equivalent ordinal descriptions of L3 are withheld for green highlighter at sequence length 3, while the same trajectory remains under a direct-name instruction.</x:v>
      </x:c>
      <x:c r="Q735" s="38" t="n">
        <x:v>3</x:v>
      </x:c>
    </x:row>
    <x:row r="736" ht="60" customHeight="1">
      <x:c r="A736" s="70" t="n">
        <x:v>734</x:v>
      </x:c>
      <x:c r="B736" s="37" t="str">
        <x:v>Ordering/Sequencing</x:v>
      </x:c>
      <x:c r="C736" s="37" t="str">
        <x:v>Move the green highlighter into the bowl.</x:v>
      </x:c>
      <x:c r="D736" s="37" t="str">
        <x:v>Masked ordinal-role × target-identity composition</x:v>
      </x:c>
      <x:c r="E736" s="37" t="str">
        <x:v>n=3; physical role=L3; direct identity=green highlighter</x:v>
      </x:c>
      <x:c r="F736" s="37" t="str">
        <x:v>ordering_n3_l3_green_highlighter_masked</x:v>
      </x:c>
      <x:c r="G736" s="37" t="str">
        <x:v>selected sequence-length × physical ordinal role × target-identity cells listed on Holdout Map</x:v>
      </x:c>
      <x:c r="H736" s="37" t="str">
        <x:v>No</x:v>
      </x:c>
      <x:c r="I736" s="37" t="str">
        <x:v>Keep prompt</x:v>
      </x:c>
      <x:c r="J736" s="37" t="str">
        <x:v>No prompt change required under the missing-cell design.</x:v>
      </x:c>
      <x:c r="K736" s="37" t="str">
        <x:v>yellow pen, blue tape ball, green highlighter</x:v>
      </x:c>
      <x:c r="L736" s="37" t="str">
        <x:v>green highlighter</x:v>
      </x:c>
      <x:c r="M736" s="37" t="str">
        <x:v>Home</x:v>
      </x:c>
      <x:c r="N736" s="37" t="str">
        <x:v>Move the green highlighter into the bowl.</x:v>
      </x:c>
      <x:c r="O736" s="37" t="str">
        <x:v>Pick up the object that is third from the left and place it in the bowl. | Move the first from the right object into the bowl.</x:v>
      </x:c>
      <x:c r="P736" s="37" t="str">
        <x:v>Both logically equivalent ordinal descriptions of L3 are withheld for green highlighter at sequence length 3, while the same trajectory remains under a direct-name instruction.</x:v>
      </x:c>
      <x:c r="Q736" s="38" t="n">
        <x:v>3</x:v>
      </x:c>
    </x:row>
    <x:row r="737" ht="60" customHeight="1">
      <x:c r="A737" s="70" t="n">
        <x:v>735</x:v>
      </x:c>
      <x:c r="B737" s="37" t="str">
        <x:v>Ordering/Sequencing</x:v>
      </x:c>
      <x:c r="C737" s="37" t="str">
        <x:v>Pick up the green highlighter and place it in the bowl.</x:v>
      </x:c>
      <x:c r="D737" s="37" t="str">
        <x:v>Masked ordinal-role × target-identity composition</x:v>
      </x:c>
      <x:c r="E737" s="37" t="str">
        <x:v>n=4; physical role=L3; direct identity=green highlighter</x:v>
      </x:c>
      <x:c r="F737" s="37" t="str">
        <x:v>ordering_n4_l3_green_highlighter_masked</x:v>
      </x:c>
      <x:c r="G737" s="37" t="str">
        <x:v>selected sequence-length × physical ordinal role × target-identity cells listed on Holdout Map</x:v>
      </x:c>
      <x:c r="H737" s="37" t="str">
        <x:v>No</x:v>
      </x:c>
      <x:c r="I737" s="37" t="str">
        <x:v>Keep prompt</x:v>
      </x:c>
      <x:c r="J737" s="37" t="str">
        <x:v>No prompt change required under the missing-cell design.</x:v>
      </x:c>
      <x:c r="K737" s="37" t="str">
        <x:v>yellow pen, airplane toy with propellers, green highlighter, blue tape ball</x:v>
      </x:c>
      <x:c r="L737" s="37" t="str">
        <x:v>green highlighter</x:v>
      </x:c>
      <x:c r="M737" s="37" t="str">
        <x:v>Recovery</x:v>
      </x:c>
      <x:c r="N737" s="37" t="str">
        <x:v>Pick up the green highlighter and place it in the bowl.</x:v>
      </x:c>
      <x:c r="O737" s="37" t="str">
        <x:v>Move the third from the left object into the bowl. | Put the object that is second from the right in the bowl.</x:v>
      </x:c>
      <x:c r="P737" s="37" t="str">
        <x:v>Both logically equivalent ordinal descriptions of L3 are withheld for green highlighter at sequence length 4, while the same trajectory remains under a direct-name instruction.</x:v>
      </x:c>
      <x:c r="Q737" s="38" t="n">
        <x:v>4</x:v>
      </x:c>
    </x:row>
    <x:row r="738" ht="60" customHeight="1">
      <x:c r="A738" s="70" t="n">
        <x:v>736</x:v>
      </x:c>
      <x:c r="B738" s="37" t="str">
        <x:v>Ordering/Sequencing</x:v>
      </x:c>
      <x:c r="C738" s="37" t="str">
        <x:v>Move the green highlighter into the bowl.</x:v>
      </x:c>
      <x:c r="D738" s="37" t="str">
        <x:v>Masked ordinal-role × target-identity composition</x:v>
      </x:c>
      <x:c r="E738" s="37" t="str">
        <x:v>n=4; physical role=L3; direct identity=green highlighter</x:v>
      </x:c>
      <x:c r="F738" s="37" t="str">
        <x:v>ordering_n4_l3_green_highlighter_masked</x:v>
      </x:c>
      <x:c r="G738" s="37" t="str">
        <x:v>selected sequence-length × physical ordinal role × target-identity cells listed on Holdout Map</x:v>
      </x:c>
      <x:c r="H738" s="37" t="str">
        <x:v>No</x:v>
      </x:c>
      <x:c r="I738" s="37" t="str">
        <x:v>Keep prompt</x:v>
      </x:c>
      <x:c r="J738" s="37" t="str">
        <x:v>No prompt change required under the missing-cell design.</x:v>
      </x:c>
      <x:c r="K738" s="37" t="str">
        <x:v>yellow pen, blue tape ball, green highlighter, airplane toy with propellers</x:v>
      </x:c>
      <x:c r="L738" s="37" t="str">
        <x:v>green highlighter</x:v>
      </x:c>
      <x:c r="M738" s="37" t="str">
        <x:v>Recovery</x:v>
      </x:c>
      <x:c r="N738" s="37" t="str">
        <x:v>Move the green highlighter into the bowl.</x:v>
      </x:c>
      <x:c r="O738" s="37" t="str">
        <x:v>Put the object that is third from the left in the bowl. | Pick up the object that is second from the right and place it in the bowl.</x:v>
      </x:c>
      <x:c r="P738" s="37" t="str">
        <x:v>Both logically equivalent ordinal descriptions of L3 are withheld for green highlighter at sequence length 4, while the same trajectory remains under a direct-name instruction.</x:v>
      </x:c>
      <x:c r="Q738" s="38" t="n">
        <x:v>4</x:v>
      </x:c>
    </x:row>
    <x:row r="739" ht="60" customHeight="1">
      <x:c r="A739" s="70" t="n">
        <x:v>737</x:v>
      </x:c>
      <x:c r="B739" s="37" t="str">
        <x:v>Ordering/Sequencing</x:v>
      </x:c>
      <x:c r="C739" s="37" t="str">
        <x:v>Put the green highlighter in the bowl.</x:v>
      </x:c>
      <x:c r="D739" s="37" t="str">
        <x:v>Masked ordinal-role × target-identity composition</x:v>
      </x:c>
      <x:c r="E739" s="37" t="str">
        <x:v>n=4; physical role=L3; direct identity=green highlighter</x:v>
      </x:c>
      <x:c r="F739" s="37" t="str">
        <x:v>ordering_n4_l3_green_highlighter_masked</x:v>
      </x:c>
      <x:c r="G739" s="37" t="str">
        <x:v>selected sequence-length × physical ordinal role × target-identity cells listed on Holdout Map</x:v>
      </x:c>
      <x:c r="H739" s="37" t="str">
        <x:v>No</x:v>
      </x:c>
      <x:c r="I739" s="37" t="str">
        <x:v>Keep prompt</x:v>
      </x:c>
      <x:c r="J739" s="37" t="str">
        <x:v>No prompt change required under the missing-cell design.</x:v>
      </x:c>
      <x:c r="K739" s="37" t="str">
        <x:v>airplane toy with propellers, blue tape ball, green highlighter, yellow pen</x:v>
      </x:c>
      <x:c r="L739" s="37" t="str">
        <x:v>green highlighter</x:v>
      </x:c>
      <x:c r="M739" s="37" t="str">
        <x:v>Recovery</x:v>
      </x:c>
      <x:c r="N739" s="37" t="str">
        <x:v>Put the green highlighter in the bowl.</x:v>
      </x:c>
      <x:c r="O739" s="37" t="str">
        <x:v>Pick up the object that is third from the left and place it in the bowl. | Move the second from the right object into the bowl.</x:v>
      </x:c>
      <x:c r="P739" s="37" t="str">
        <x:v>Both logically equivalent ordinal descriptions of L3 are withheld for green highlighter at sequence length 4, while the same trajectory remains under a direct-name instruction.</x:v>
      </x:c>
      <x:c r="Q739" s="38" t="n">
        <x:v>4</x:v>
      </x:c>
    </x:row>
    <x:row r="740" ht="60" customHeight="1">
      <x:c r="A740" s="70" t="n">
        <x:v>738</x:v>
      </x:c>
      <x:c r="B740" s="37" t="str">
        <x:v>Ordering/Sequencing</x:v>
      </x:c>
      <x:c r="C740" s="37" t="str">
        <x:v>Move the fourth from the left object into the bowl.</x:v>
      </x:c>
      <x:c r="D740" s="37" t="str">
        <x:v>Explicit ordinal grounding</x:v>
      </x:c>
      <x:c r="E740" s="37" t="str">
        <x:v>n=4; physical role=L4; expression=fourth from the left; target=green highlighter</x:v>
      </x:c>
      <x:c r="F740" s="37" t="str">
        <x:v>ordering_n4_l4_green_highlighter_explicit</x:v>
      </x:c>
      <x:c r="G740" s="37" t="str">
        <x:v>selected sequence-length × physical ordinal role × target-identity cells listed on Holdout Map</x:v>
      </x:c>
      <x:c r="H740" s="37" t="str">
        <x:v>Yes</x:v>
      </x:c>
      <x:c r="I740" s="37" t="str">
        <x:v>Replace prompt only</x:v>
      </x:c>
      <x:c r="J740" s="37" t="str">
        <x:v>Prompt-only relabeling; preserve episode 738 video, scene, trajectory, target, and start position.</x:v>
      </x:c>
      <x:c r="K740" s="37" t="str">
        <x:v>airplane toy with propellers, blue tape ball, yellow pen, green highlighter</x:v>
      </x:c>
      <x:c r="L740" s="37" t="str">
        <x:v>green highlighter</x:v>
      </x:c>
      <x:c r="M740" s="37" t="str">
        <x:v>Home</x:v>
      </x:c>
      <x:c r="N740" s="37" t="str">
        <x:v>Pick up the green highlighter and place it in the bowl.</x:v>
      </x:c>
      <x:c r="O740" s="37" t="str"/>
      <x:c r="P740" s="37" t="str">
        <x:v>Explicitly grounds ordinal role L4 at sequence length 4 with green highlighter; selected object-role cells are masked instead of withholding an ordinal word or output position.</x:v>
      </x:c>
      <x:c r="Q740" s="38" t="n">
        <x:v>4</x:v>
      </x:c>
    </x:row>
    <x:row r="741" ht="60" customHeight="1">
      <x:c r="A741" s="70" t="n">
        <x:v>739</x:v>
      </x:c>
      <x:c r="B741" s="37" t="str">
        <x:v>Ordering/Sequencing</x:v>
      </x:c>
      <x:c r="C741" s="37" t="str">
        <x:v>Put the object that is first from the right in the bowl.</x:v>
      </x:c>
      <x:c r="D741" s="37" t="str">
        <x:v>Explicit ordinal grounding</x:v>
      </x:c>
      <x:c r="E741" s="37" t="str">
        <x:v>n=4; physical role=L4; expression=first from the right; target=green highlighter</x:v>
      </x:c>
      <x:c r="F741" s="37" t="str">
        <x:v>ordering_n4_l4_green_highlighter_explicit</x:v>
      </x:c>
      <x:c r="G741" s="37" t="str">
        <x:v>selected sequence-length × physical ordinal role × target-identity cells listed on Holdout Map</x:v>
      </x:c>
      <x:c r="H741" s="37" t="str">
        <x:v>Yes</x:v>
      </x:c>
      <x:c r="I741" s="37" t="str">
        <x:v>Replace prompt only</x:v>
      </x:c>
      <x:c r="J741" s="37" t="str">
        <x:v>Prompt-only relabeling; preserve episode 739 video, scene, trajectory, target, and start position.</x:v>
      </x:c>
      <x:c r="K741" s="37" t="str">
        <x:v>airplane toy with propellers, yellow pen, blue tape ball, green highlighter</x:v>
      </x:c>
      <x:c r="L741" s="37" t="str">
        <x:v>green highlighter</x:v>
      </x:c>
      <x:c r="M741" s="37" t="str">
        <x:v>Home</x:v>
      </x:c>
      <x:c r="N741" s="37" t="str">
        <x:v>Move the green highlighter into the bowl.</x:v>
      </x:c>
      <x:c r="O741" s="37" t="str"/>
      <x:c r="P741" s="37" t="str">
        <x:v>Explicitly grounds ordinal role L4 at sequence length 4 with green highlighter; selected object-role cells are masked instead of withholding an ordinal word or output position.</x:v>
      </x:c>
      <x:c r="Q741" s="38" t="n">
        <x:v>4</x:v>
      </x:c>
    </x:row>
    <x:row r="742" ht="60" customHeight="1">
      <x:c r="A742" s="70" t="n">
        <x:v>740</x:v>
      </x:c>
      <x:c r="B742" s="37" t="str">
        <x:v>Ordering/Sequencing</x:v>
      </x:c>
      <x:c r="C742" s="37" t="str">
        <x:v>Pick up the object that is fourth from the left and place it in the bowl.</x:v>
      </x:c>
      <x:c r="D742" s="37" t="str">
        <x:v>Explicit ordinal grounding</x:v>
      </x:c>
      <x:c r="E742" s="37" t="str">
        <x:v>n=4; physical role=L4; expression=fourth from the left; target=green highlighter</x:v>
      </x:c>
      <x:c r="F742" s="37" t="str">
        <x:v>ordering_n4_l4_green_highlighter_explicit</x:v>
      </x:c>
      <x:c r="G742" s="37" t="str">
        <x:v>selected sequence-length × physical ordinal role × target-identity cells listed on Holdout Map</x:v>
      </x:c>
      <x:c r="H742" s="37" t="str">
        <x:v>Yes</x:v>
      </x:c>
      <x:c r="I742" s="37" t="str">
        <x:v>Replace prompt only</x:v>
      </x:c>
      <x:c r="J742" s="37" t="str">
        <x:v>Prompt-only relabeling; preserve episode 740 video, scene, trajectory, target, and start position.</x:v>
      </x:c>
      <x:c r="K742" s="37" t="str">
        <x:v>blue tape ball, airplane toy with propellers, yellow pen, green highlighter</x:v>
      </x:c>
      <x:c r="L742" s="37" t="str">
        <x:v>green highlighter</x:v>
      </x:c>
      <x:c r="M742" s="37" t="str">
        <x:v>Home</x:v>
      </x:c>
      <x:c r="N742" s="37" t="str">
        <x:v>Put the green highlighter in the bowl.</x:v>
      </x:c>
      <x:c r="O742" s="37" t="str"/>
      <x:c r="P742" s="37" t="str">
        <x:v>Explicitly grounds ordinal role L4 at sequence length 4 with green highlighter; selected object-role cells are masked instead of withholding an ordinal word or output position.</x:v>
      </x:c>
      <x:c r="Q742" s="38" t="n">
        <x:v>4</x:v>
      </x:c>
    </x:row>
    <x:row r="743" ht="60" customHeight="1">
      <x:c r="A743" s="70" t="n">
        <x:v>741</x:v>
      </x:c>
      <x:c r="B743" s="37" t="str">
        <x:v>Ordering/Sequencing</x:v>
      </x:c>
      <x:c r="C743" s="37" t="str">
        <x:v>Move the first from the right object into the bowl.</x:v>
      </x:c>
      <x:c r="D743" s="37" t="str">
        <x:v>Explicit ordinal grounding</x:v>
      </x:c>
      <x:c r="E743" s="37" t="str">
        <x:v>n=4; physical role=L4; expression=first from the right; target=green highlighter</x:v>
      </x:c>
      <x:c r="F743" s="37" t="str">
        <x:v>ordering_n4_l4_green_highlighter_explicit</x:v>
      </x:c>
      <x:c r="G743" s="37" t="str">
        <x:v>selected sequence-length × physical ordinal role × target-identity cells listed on Holdout Map</x:v>
      </x:c>
      <x:c r="H743" s="37" t="str">
        <x:v>Yes</x:v>
      </x:c>
      <x:c r="I743" s="37" t="str">
        <x:v>Replace prompt only</x:v>
      </x:c>
      <x:c r="J743" s="37" t="str">
        <x:v>Prompt-only relabeling; preserve episode 741 video, scene, trajectory, target, and start position.</x:v>
      </x:c>
      <x:c r="K743" s="37" t="str">
        <x:v>blue tape ball, yellow pen, airplane toy with propellers, green highlighter</x:v>
      </x:c>
      <x:c r="L743" s="37" t="str">
        <x:v>green highlighter</x:v>
      </x:c>
      <x:c r="M743" s="37" t="str">
        <x:v>Home</x:v>
      </x:c>
      <x:c r="N743" s="37" t="str">
        <x:v>Pick up the green highlighter and place it in the bowl.</x:v>
      </x:c>
      <x:c r="O743" s="37" t="str"/>
      <x:c r="P743" s="37" t="str">
        <x:v>Explicitly grounds ordinal role L4 at sequence length 4 with green highlighter; selected object-role cells are masked instead of withholding an ordinal word or output position.</x:v>
      </x:c>
      <x:c r="Q743" s="38" t="n">
        <x:v>4</x:v>
      </x:c>
    </x:row>
    <x:row r="744" ht="60" customHeight="1">
      <x:c r="A744" s="70" t="n">
        <x:v>742</x:v>
      </x:c>
      <x:c r="B744" s="37" t="str">
        <x:v>Ordering/Sequencing</x:v>
      </x:c>
      <x:c r="C744" s="37" t="str">
        <x:v>Put the object that is fourth from the left in the bowl.</x:v>
      </x:c>
      <x:c r="D744" s="37" t="str">
        <x:v>Explicit ordinal grounding</x:v>
      </x:c>
      <x:c r="E744" s="37" t="str">
        <x:v>n=4; physical role=L4; expression=fourth from the left; target=green highlighter</x:v>
      </x:c>
      <x:c r="F744" s="37" t="str">
        <x:v>ordering_n4_l4_green_highlighter_explicit</x:v>
      </x:c>
      <x:c r="G744" s="37" t="str">
        <x:v>selected sequence-length × physical ordinal role × target-identity cells listed on Holdout Map</x:v>
      </x:c>
      <x:c r="H744" s="37" t="str">
        <x:v>Yes</x:v>
      </x:c>
      <x:c r="I744" s="37" t="str">
        <x:v>Replace prompt only</x:v>
      </x:c>
      <x:c r="J744" s="37" t="str">
        <x:v>Prompt-only relabeling; preserve episode 742 video, scene, trajectory, target, and start position.</x:v>
      </x:c>
      <x:c r="K744" s="37" t="str">
        <x:v>yellow pen, airplane toy with propellers, blue tape ball, green highlighter</x:v>
      </x:c>
      <x:c r="L744" s="37" t="str">
        <x:v>green highlighter</x:v>
      </x:c>
      <x:c r="M744" s="37" t="str">
        <x:v>Home</x:v>
      </x:c>
      <x:c r="N744" s="37" t="str">
        <x:v>Move the green highlighter into the bowl.</x:v>
      </x:c>
      <x:c r="O744" s="37" t="str"/>
      <x:c r="P744" s="37" t="str">
        <x:v>Explicitly grounds ordinal role L4 at sequence length 4 with green highlighter; selected object-role cells are masked instead of withholding an ordinal word or output position.</x:v>
      </x:c>
      <x:c r="Q744" s="38" t="n">
        <x:v>4</x:v>
      </x:c>
    </x:row>
    <x:row r="745" ht="60" customHeight="1">
      <x:c r="A745" s="70" t="n">
        <x:v>743</x:v>
      </x:c>
      <x:c r="B745" s="37" t="str">
        <x:v>Ordering/Sequencing</x:v>
      </x:c>
      <x:c r="C745" s="37" t="str">
        <x:v>Pick up the object that is first from the right and place it in the bowl.</x:v>
      </x:c>
      <x:c r="D745" s="37" t="str">
        <x:v>Explicit ordinal grounding</x:v>
      </x:c>
      <x:c r="E745" s="37" t="str">
        <x:v>n=4; physical role=L4; expression=first from the right; target=green highlighter</x:v>
      </x:c>
      <x:c r="F745" s="37" t="str">
        <x:v>ordering_n4_l4_green_highlighter_explicit</x:v>
      </x:c>
      <x:c r="G745" s="37" t="str">
        <x:v>selected sequence-length × physical ordinal role × target-identity cells listed on Holdout Map</x:v>
      </x:c>
      <x:c r="H745" s="37" t="str">
        <x:v>Yes</x:v>
      </x:c>
      <x:c r="I745" s="37" t="str">
        <x:v>Replace prompt only</x:v>
      </x:c>
      <x:c r="J745" s="37" t="str">
        <x:v>Prompt-only relabeling; preserve episode 743 video, scene, trajectory, target, and start position.</x:v>
      </x:c>
      <x:c r="K745" s="37" t="str">
        <x:v>yellow pen, blue tape ball, airplane toy with propellers, green highlighter</x:v>
      </x:c>
      <x:c r="L745" s="37" t="str">
        <x:v>green highlighter</x:v>
      </x:c>
      <x:c r="M745" s="37" t="str">
        <x:v>Home</x:v>
      </x:c>
      <x:c r="N745" s="37" t="str">
        <x:v>Put the green highlighter in the bowl.</x:v>
      </x:c>
      <x:c r="O745" s="37" t="str"/>
      <x:c r="P745" s="37" t="str">
        <x:v>Explicitly grounds ordinal role L4 at sequence length 4 with green highlighter; selected object-role cells are masked instead of withholding an ordinal word or output position.</x:v>
      </x:c>
      <x:c r="Q745" s="38" t="n">
        <x:v>4</x:v>
      </x:c>
    </x:row>
    <x:row r="746" ht="60" customHeight="1">
      <x:c r="A746" s="70" t="n">
        <x:v>744</x:v>
      </x:c>
      <x:c r="B746" s="37" t="str">
        <x:v>Ordering/Sequencing</x:v>
      </x:c>
      <x:c r="C746" s="37" t="str">
        <x:v>Move the fourth from the left object into the bowl.</x:v>
      </x:c>
      <x:c r="D746" s="37" t="str">
        <x:v>Explicit ordinal grounding</x:v>
      </x:c>
      <x:c r="E746" s="37" t="str">
        <x:v>n=4; physical role=L4; expression=fourth from the left; target=green highlighter</x:v>
      </x:c>
      <x:c r="F746" s="37" t="str">
        <x:v>ordering_n4_l4_green_highlighter_explicit</x:v>
      </x:c>
      <x:c r="G746" s="37" t="str">
        <x:v>selected sequence-length × physical ordinal role × target-identity cells listed on Holdout Map</x:v>
      </x:c>
      <x:c r="H746" s="37" t="str">
        <x:v>Yes</x:v>
      </x:c>
      <x:c r="I746" s="37" t="str">
        <x:v>Replace prompt only</x:v>
      </x:c>
      <x:c r="J746" s="37" t="str">
        <x:v>Prompt-only relabeling; preserve episode 744 video, scene, trajectory, target, and start position.</x:v>
      </x:c>
      <x:c r="K746" s="37" t="str">
        <x:v>airplane toy with propellers, blue tape ball, yellow pen, green highlighter</x:v>
      </x:c>
      <x:c r="L746" s="37" t="str">
        <x:v>green highlighter</x:v>
      </x:c>
      <x:c r="M746" s="37" t="str">
        <x:v>Home</x:v>
      </x:c>
      <x:c r="N746" s="37" t="str">
        <x:v>Pick up the green highlighter and place it in the bowl.</x:v>
      </x:c>
      <x:c r="O746" s="37" t="str"/>
      <x:c r="P746" s="37" t="str">
        <x:v>Explicitly grounds ordinal role L4 at sequence length 4 with green highlighter; selected object-role cells are masked instead of withholding an ordinal word or output position.</x:v>
      </x:c>
      <x:c r="Q746" s="38" t="n">
        <x:v>4</x:v>
      </x:c>
    </x:row>
    <x:row r="747" ht="60" customHeight="1">
      <x:c r="A747" s="70" t="n">
        <x:v>745</x:v>
      </x:c>
      <x:c r="B747" s="37" t="str">
        <x:v>Ordering/Sequencing</x:v>
      </x:c>
      <x:c r="C747" s="37" t="str">
        <x:v>Put the object that is first from the right in the bowl.</x:v>
      </x:c>
      <x:c r="D747" s="37" t="str">
        <x:v>Explicit ordinal grounding</x:v>
      </x:c>
      <x:c r="E747" s="37" t="str">
        <x:v>n=4; physical role=L4; expression=first from the right; target=green highlighter</x:v>
      </x:c>
      <x:c r="F747" s="37" t="str">
        <x:v>ordering_n4_l4_green_highlighter_explicit</x:v>
      </x:c>
      <x:c r="G747" s="37" t="str">
        <x:v>selected sequence-length × physical ordinal role × target-identity cells listed on Holdout Map</x:v>
      </x:c>
      <x:c r="H747" s="37" t="str">
        <x:v>Yes</x:v>
      </x:c>
      <x:c r="I747" s="37" t="str">
        <x:v>Replace prompt only</x:v>
      </x:c>
      <x:c r="J747" s="37" t="str">
        <x:v>Prompt-only relabeling; preserve episode 745 video, scene, trajectory, target, and start position.</x:v>
      </x:c>
      <x:c r="K747" s="37" t="str">
        <x:v>airplane toy with propellers, yellow pen, blue tape ball, green highlighter</x:v>
      </x:c>
      <x:c r="L747" s="37" t="str">
        <x:v>green highlighter</x:v>
      </x:c>
      <x:c r="M747" s="37" t="str">
        <x:v>Home</x:v>
      </x:c>
      <x:c r="N747" s="37" t="str">
        <x:v>Move the green highlighter into the bowl.</x:v>
      </x:c>
      <x:c r="O747" s="37" t="str"/>
      <x:c r="P747" s="37" t="str">
        <x:v>Explicitly grounds ordinal role L4 at sequence length 4 with green highlighter; selected object-role cells are masked instead of withholding an ordinal word or output position.</x:v>
      </x:c>
      <x:c r="Q747" s="38" t="n">
        <x:v>4</x:v>
      </x:c>
    </x:row>
    <x:row r="748" ht="60" customHeight="1">
      <x:c r="A748" s="70" t="n">
        <x:v>746</x:v>
      </x:c>
      <x:c r="B748" s="37" t="str">
        <x:v>Ordering/Sequencing</x:v>
      </x:c>
      <x:c r="C748" s="37" t="str">
        <x:v>Pick up the object that is fourth from the left and place it in the bowl.</x:v>
      </x:c>
      <x:c r="D748" s="37" t="str">
        <x:v>Explicit ordinal grounding</x:v>
      </x:c>
      <x:c r="E748" s="37" t="str">
        <x:v>n=4; physical role=L4; expression=fourth from the left; target=green highlighter</x:v>
      </x:c>
      <x:c r="F748" s="37" t="str">
        <x:v>ordering_n4_l4_green_highlighter_explicit</x:v>
      </x:c>
      <x:c r="G748" s="37" t="str">
        <x:v>selected sequence-length × physical ordinal role × target-identity cells listed on Holdout Map</x:v>
      </x:c>
      <x:c r="H748" s="37" t="str">
        <x:v>Yes</x:v>
      </x:c>
      <x:c r="I748" s="37" t="str">
        <x:v>Replace prompt only</x:v>
      </x:c>
      <x:c r="J748" s="37" t="str">
        <x:v>Prompt-only relabeling; preserve episode 746 video, scene, trajectory, target, and start position.</x:v>
      </x:c>
      <x:c r="K748" s="37" t="str">
        <x:v>blue tape ball, airplane toy with propellers, yellow pen, green highlighter</x:v>
      </x:c>
      <x:c r="L748" s="37" t="str">
        <x:v>green highlighter</x:v>
      </x:c>
      <x:c r="M748" s="37" t="str">
        <x:v>Home</x:v>
      </x:c>
      <x:c r="N748" s="37" t="str">
        <x:v>Put the green highlighter in the bowl.</x:v>
      </x:c>
      <x:c r="O748" s="37" t="str"/>
      <x:c r="P748" s="37" t="str">
        <x:v>Explicitly grounds ordinal role L4 at sequence length 4 with green highlighter; selected object-role cells are masked instead of withholding an ordinal word or output position.</x:v>
      </x:c>
      <x:c r="Q748" s="38" t="n">
        <x:v>4</x:v>
      </x:c>
    </x:row>
    <x:row r="749" ht="60" customHeight="1">
      <x:c r="A749" s="70" t="n">
        <x:v>747</x:v>
      </x:c>
      <x:c r="B749" s="37" t="str">
        <x:v>Ordering/Sequencing</x:v>
      </x:c>
      <x:c r="C749" s="37" t="str">
        <x:v>Move the first from the right object into the bowl.</x:v>
      </x:c>
      <x:c r="D749" s="37" t="str">
        <x:v>Explicit ordinal grounding</x:v>
      </x:c>
      <x:c r="E749" s="37" t="str">
        <x:v>n=4; physical role=L4; expression=first from the right; target=green highlighter</x:v>
      </x:c>
      <x:c r="F749" s="37" t="str">
        <x:v>ordering_n4_l4_green_highlighter_explicit</x:v>
      </x:c>
      <x:c r="G749" s="37" t="str">
        <x:v>selected sequence-length × physical ordinal role × target-identity cells listed on Holdout Map</x:v>
      </x:c>
      <x:c r="H749" s="37" t="str">
        <x:v>Yes</x:v>
      </x:c>
      <x:c r="I749" s="37" t="str">
        <x:v>Replace prompt only</x:v>
      </x:c>
      <x:c r="J749" s="37" t="str">
        <x:v>Prompt-only relabeling; preserve episode 747 video, scene, trajectory, target, and start position.</x:v>
      </x:c>
      <x:c r="K749" s="37" t="str">
        <x:v>blue tape ball, yellow pen, airplane toy with propellers, green highlighter</x:v>
      </x:c>
      <x:c r="L749" s="37" t="str">
        <x:v>green highlighter</x:v>
      </x:c>
      <x:c r="M749" s="37" t="str">
        <x:v>Home</x:v>
      </x:c>
      <x:c r="N749" s="37" t="str">
        <x:v>Pick up the green highlighter and place it in the bowl.</x:v>
      </x:c>
      <x:c r="O749" s="37" t="str"/>
      <x:c r="P749" s="37" t="str">
        <x:v>Explicitly grounds ordinal role L4 at sequence length 4 with green highlighter; selected object-role cells are masked instead of withholding an ordinal word or output position.</x:v>
      </x:c>
      <x:c r="Q749" s="38" t="n">
        <x:v>4</x:v>
      </x:c>
    </x:row>
    <x:row r="750" ht="60" customHeight="1">
      <x:c r="A750" s="70" t="n">
        <x:v>748</x:v>
      </x:c>
      <x:c r="B750" s="37" t="str">
        <x:v>Ordering/Sequencing</x:v>
      </x:c>
      <x:c r="C750" s="37" t="str">
        <x:v>Put the object that is fourth from the left in the bowl.</x:v>
      </x:c>
      <x:c r="D750" s="37" t="str">
        <x:v>Explicit ordinal grounding</x:v>
      </x:c>
      <x:c r="E750" s="37" t="str">
        <x:v>n=4; physical role=L4; expression=fourth from the left; target=green highlighter</x:v>
      </x:c>
      <x:c r="F750" s="37" t="str">
        <x:v>ordering_n4_l4_green_highlighter_explicit</x:v>
      </x:c>
      <x:c r="G750" s="37" t="str">
        <x:v>selected sequence-length × physical ordinal role × target-identity cells listed on Holdout Map</x:v>
      </x:c>
      <x:c r="H750" s="37" t="str">
        <x:v>Yes</x:v>
      </x:c>
      <x:c r="I750" s="37" t="str">
        <x:v>Replace prompt only</x:v>
      </x:c>
      <x:c r="J750" s="37" t="str">
        <x:v>Prompt-only relabeling; preserve episode 748 video, scene, trajectory, target, and start position.</x:v>
      </x:c>
      <x:c r="K750" s="37" t="str">
        <x:v>yellow pen, airplane toy with propellers, blue tape ball, green highlighter</x:v>
      </x:c>
      <x:c r="L750" s="37" t="str">
        <x:v>green highlighter</x:v>
      </x:c>
      <x:c r="M750" s="37" t="str">
        <x:v>Recovery</x:v>
      </x:c>
      <x:c r="N750" s="37" t="str">
        <x:v>Move the green highlighter into the bowl.</x:v>
      </x:c>
      <x:c r="O750" s="37" t="str"/>
      <x:c r="P750" s="37" t="str">
        <x:v>Explicitly grounds ordinal role L4 at sequence length 4 with green highlighter; selected object-role cells are masked instead of withholding an ordinal word or output position.</x:v>
      </x:c>
      <x:c r="Q750" s="38" t="n">
        <x:v>4</x:v>
      </x:c>
    </x:row>
    <x:row r="751" ht="60" customHeight="1">
      <x:c r="A751" s="70" t="n">
        <x:v>749</x:v>
      </x:c>
      <x:c r="B751" s="37" t="str">
        <x:v>Ordering/Sequencing</x:v>
      </x:c>
      <x:c r="C751" s="37" t="str">
        <x:v>Pick up the object that is first from the right and place it in the bowl.</x:v>
      </x:c>
      <x:c r="D751" s="37" t="str">
        <x:v>Explicit ordinal grounding</x:v>
      </x:c>
      <x:c r="E751" s="37" t="str">
        <x:v>n=4; physical role=L4; expression=first from the right; target=green highlighter</x:v>
      </x:c>
      <x:c r="F751" s="37" t="str">
        <x:v>ordering_n4_l4_green_highlighter_explicit</x:v>
      </x:c>
      <x:c r="G751" s="37" t="str">
        <x:v>selected sequence-length × physical ordinal role × target-identity cells listed on Holdout Map</x:v>
      </x:c>
      <x:c r="H751" s="37" t="str">
        <x:v>Yes</x:v>
      </x:c>
      <x:c r="I751" s="37" t="str">
        <x:v>Replace prompt only</x:v>
      </x:c>
      <x:c r="J751" s="37" t="str">
        <x:v>Prompt-only relabeling; preserve episode 749 video, scene, trajectory, target, and start position.</x:v>
      </x:c>
      <x:c r="K751" s="37" t="str">
        <x:v>yellow pen, blue tape ball, airplane toy with propellers, green highlighter</x:v>
      </x:c>
      <x:c r="L751" s="37" t="str">
        <x:v>green highlighter</x:v>
      </x:c>
      <x:c r="M751" s="37" t="str">
        <x:v>Recovery</x:v>
      </x:c>
      <x:c r="N751" s="37" t="str">
        <x:v>Put the green highlighter in the bowl.</x:v>
      </x:c>
      <x:c r="O751" s="37" t="str"/>
      <x:c r="P751" s="37" t="str">
        <x:v>Explicitly grounds ordinal role L4 at sequence length 4 with green highlighter; selected object-role cells are masked instead of withholding an ordinal word or output position.</x:v>
      </x:c>
      <x:c r="Q751" s="38" t="n">
        <x:v>4</x:v>
      </x:c>
    </x:row>
    <x:row r="752" ht="60" customHeight="1">
      <x:c r="A752" s="70" t="n">
        <x:v>750</x:v>
      </x:c>
      <x:c r="B752" s="37" t="str">
        <x:v>Ordering/Sequencing</x:v>
      </x:c>
      <x:c r="C752" s="37" t="str">
        <x:v>Move the first item counted from the left into the bowl.</x:v>
      </x:c>
      <x:c r="D752" s="37" t="str">
        <x:v>Explicit ordinal grounding</x:v>
      </x:c>
      <x:c r="E752" s="37" t="str">
        <x:v>n=4; physical role=L1; expression=first from the left; target=yellow pen</x:v>
      </x:c>
      <x:c r="F752" s="37" t="str">
        <x:v>ordering_n4_l1_yellow_pen_explicit</x:v>
      </x:c>
      <x:c r="G752" s="37" t="str">
        <x:v>selected sequence-length × physical ordinal role × target-identity cells listed on Holdout Map</x:v>
      </x:c>
      <x:c r="H752" s="37" t="str">
        <x:v>No</x:v>
      </x:c>
      <x:c r="I752" s="37" t="str">
        <x:v>Keep prompt</x:v>
      </x:c>
      <x:c r="J752" s="37" t="str">
        <x:v>No prompt change required under the missing-cell design.</x:v>
      </x:c>
      <x:c r="K752" s="37" t="str">
        <x:v>yellow pen, airplane toy with propellers, blue tape ball, green highlighter</x:v>
      </x:c>
      <x:c r="L752" s="37" t="str">
        <x:v>yellow pen</x:v>
      </x:c>
      <x:c r="M752" s="37" t="str">
        <x:v>Home</x:v>
      </x:c>
      <x:c r="N752" s="37" t="str">
        <x:v>Move the first item counted from the left into the bowl.</x:v>
      </x:c>
      <x:c r="O752" s="37" t="str"/>
      <x:c r="P752" s="37" t="str">
        <x:v>Explicitly grounds ordinal role L1 at sequence length 4 with yellow pen; selected object-role cells are masked instead of withholding an ordinal word or output position.</x:v>
      </x:c>
      <x:c r="Q752" s="38" t="n">
        <x:v>4</x:v>
      </x:c>
    </x:row>
    <x:row r="753" ht="60" customHeight="1">
      <x:c r="A753" s="70" t="n">
        <x:v>751</x:v>
      </x:c>
      <x:c r="B753" s="37" t="str">
        <x:v>Ordering/Sequencing</x:v>
      </x:c>
      <x:c r="C753" s="37" t="str">
        <x:v>Move the fourth item counted from the right into the bowl.</x:v>
      </x:c>
      <x:c r="D753" s="37" t="str">
        <x:v>Explicit ordinal grounding</x:v>
      </x:c>
      <x:c r="E753" s="37" t="str">
        <x:v>n=4; physical role=L1; expression=fourth from the right; target=yellow pen</x:v>
      </x:c>
      <x:c r="F753" s="37" t="str">
        <x:v>ordering_n4_l1_yellow_pen_explicit</x:v>
      </x:c>
      <x:c r="G753" s="37" t="str">
        <x:v>selected sequence-length × physical ordinal role × target-identity cells listed on Holdout Map</x:v>
      </x:c>
      <x:c r="H753" s="37" t="str">
        <x:v>No</x:v>
      </x:c>
      <x:c r="I753" s="37" t="str">
        <x:v>Keep prompt</x:v>
      </x:c>
      <x:c r="J753" s="37" t="str">
        <x:v>No prompt change required under the missing-cell design.</x:v>
      </x:c>
      <x:c r="K753" s="37" t="str">
        <x:v>yellow pen, airplane toy with propellers, green highlighter, blue tape ball</x:v>
      </x:c>
      <x:c r="L753" s="37" t="str">
        <x:v>yellow pen</x:v>
      </x:c>
      <x:c r="M753" s="37" t="str">
        <x:v>Home</x:v>
      </x:c>
      <x:c r="N753" s="37" t="str">
        <x:v>Move the fourth item counted from the right into the bowl.</x:v>
      </x:c>
      <x:c r="O753" s="37" t="str"/>
      <x:c r="P753" s="37" t="str">
        <x:v>Explicitly grounds ordinal role L1 at sequence length 4 with yellow pen; selected object-role cells are masked instead of withholding an ordinal word or output position.</x:v>
      </x:c>
      <x:c r="Q753" s="38" t="n">
        <x:v>4</x:v>
      </x:c>
    </x:row>
    <x:row r="754" ht="60" customHeight="1">
      <x:c r="A754" s="70" t="n">
        <x:v>752</x:v>
      </x:c>
      <x:c r="B754" s="37" t="str">
        <x:v>Ordering/Sequencing</x:v>
      </x:c>
      <x:c r="C754" s="37" t="str">
        <x:v>Put the fourth object from the right in the bowl.</x:v>
      </x:c>
      <x:c r="D754" s="37" t="str">
        <x:v>Explicit ordinal grounding</x:v>
      </x:c>
      <x:c r="E754" s="37" t="str">
        <x:v>n=4; physical role=L1; expression=fourth from the right; target=yellow pen</x:v>
      </x:c>
      <x:c r="F754" s="37" t="str">
        <x:v>ordering_n4_l1_yellow_pen_explicit</x:v>
      </x:c>
      <x:c r="G754" s="37" t="str">
        <x:v>selected sequence-length × physical ordinal role × target-identity cells listed on Holdout Map</x:v>
      </x:c>
      <x:c r="H754" s="37" t="str">
        <x:v>No</x:v>
      </x:c>
      <x:c r="I754" s="37" t="str">
        <x:v>Keep prompt</x:v>
      </x:c>
      <x:c r="J754" s="37" t="str">
        <x:v>No prompt change required under the missing-cell design.</x:v>
      </x:c>
      <x:c r="K754" s="37" t="str">
        <x:v>yellow pen, blue tape ball, airplane toy with propellers, green highlighter</x:v>
      </x:c>
      <x:c r="L754" s="37" t="str">
        <x:v>yellow pen</x:v>
      </x:c>
      <x:c r="M754" s="37" t="str">
        <x:v>Home</x:v>
      </x:c>
      <x:c r="N754" s="37" t="str">
        <x:v>Put the fourth object from the right in the bowl.</x:v>
      </x:c>
      <x:c r="O754" s="37" t="str"/>
      <x:c r="P754" s="37" t="str">
        <x:v>Explicitly grounds ordinal role L1 at sequence length 4 with yellow pen; selected object-role cells are masked instead of withholding an ordinal word or output position.</x:v>
      </x:c>
      <x:c r="Q754" s="38" t="n">
        <x:v>4</x:v>
      </x:c>
    </x:row>
    <x:row r="755" ht="60" customHeight="1">
      <x:c r="A755" s="70" t="n">
        <x:v>753</x:v>
      </x:c>
      <x:c r="B755" s="37" t="str">
        <x:v>Ordering/Sequencing</x:v>
      </x:c>
      <x:c r="C755" s="37" t="str">
        <x:v>Move the first item counted from the left into the bowl.</x:v>
      </x:c>
      <x:c r="D755" s="37" t="str">
        <x:v>Explicit ordinal grounding</x:v>
      </x:c>
      <x:c r="E755" s="37" t="str">
        <x:v>n=4; physical role=L1; expression=first from the left; target=yellow pen</x:v>
      </x:c>
      <x:c r="F755" s="37" t="str">
        <x:v>ordering_n4_l1_yellow_pen_explicit</x:v>
      </x:c>
      <x:c r="G755" s="37" t="str">
        <x:v>selected sequence-length × physical ordinal role × target-identity cells listed on Holdout Map</x:v>
      </x:c>
      <x:c r="H755" s="37" t="str">
        <x:v>No</x:v>
      </x:c>
      <x:c r="I755" s="37" t="str">
        <x:v>Keep prompt</x:v>
      </x:c>
      <x:c r="J755" s="37" t="str">
        <x:v>No prompt change required under the missing-cell design.</x:v>
      </x:c>
      <x:c r="K755" s="37" t="str">
        <x:v>yellow pen, blue tape ball, green highlighter, airplane toy with propellers</x:v>
      </x:c>
      <x:c r="L755" s="37" t="str">
        <x:v>yellow pen</x:v>
      </x:c>
      <x:c r="M755" s="37" t="str">
        <x:v>Home</x:v>
      </x:c>
      <x:c r="N755" s="37" t="str">
        <x:v>Move the first item counted from the left into the bowl.</x:v>
      </x:c>
      <x:c r="O755" s="37" t="str"/>
      <x:c r="P755" s="37" t="str">
        <x:v>Explicitly grounds ordinal role L1 at sequence length 4 with yellow pen; selected object-role cells are masked instead of withholding an ordinal word or output position.</x:v>
      </x:c>
      <x:c r="Q755" s="38" t="n">
        <x:v>4</x:v>
      </x:c>
    </x:row>
    <x:row r="756" ht="60" customHeight="1">
      <x:c r="A756" s="70" t="n">
        <x:v>754</x:v>
      </x:c>
      <x:c r="B756" s="37" t="str">
        <x:v>Ordering/Sequencing</x:v>
      </x:c>
      <x:c r="C756" s="37" t="str">
        <x:v>Put the yellow pen in the bowl.</x:v>
      </x:c>
      <x:c r="D756" s="37" t="str">
        <x:v>Masked ordinal-role × target-identity composition</x:v>
      </x:c>
      <x:c r="E756" s="37" t="str">
        <x:v>n=3; physical role=L1; direct identity=yellow pen</x:v>
      </x:c>
      <x:c r="F756" s="37" t="str">
        <x:v>ordering_n3_l1_yellow_pen_masked</x:v>
      </x:c>
      <x:c r="G756" s="37" t="str">
        <x:v>selected sequence-length × physical ordinal role × target-identity cells listed on Holdout Map</x:v>
      </x:c>
      <x:c r="H756" s="37" t="str">
        <x:v>Yes</x:v>
      </x:c>
      <x:c r="I756" s="37" t="str">
        <x:v>Replace prompt only</x:v>
      </x:c>
      <x:c r="J756" s="37" t="str">
        <x:v>Prompt-only relabeling; preserve episode 754 video, scene, trajectory, target, and start position.</x:v>
      </x:c>
      <x:c r="K756" s="37" t="str">
        <x:v>yellow pen, green highlighter, airplane toy with propellers</x:v>
      </x:c>
      <x:c r="L756" s="37" t="str">
        <x:v>yellow pen</x:v>
      </x:c>
      <x:c r="M756" s="37" t="str">
        <x:v>Home</x:v>
      </x:c>
      <x:c r="N756" s="37" t="str">
        <x:v>Move the third item counted from the right into the bowl.</x:v>
      </x:c>
      <x:c r="O756" s="37" t="str">
        <x:v>Put the object that is first from the left in the bowl. | Pick up the object that is third from the right and place it in the bowl.</x:v>
      </x:c>
      <x:c r="P756" s="37" t="str">
        <x:v>Both logically equivalent ordinal descriptions of L1 are withheld for yellow pen at sequence length 3, while the same trajectory remains under a direct-name instruction.</x:v>
      </x:c>
      <x:c r="Q756" s="38" t="n">
        <x:v>3</x:v>
      </x:c>
    </x:row>
    <x:row r="757" ht="60" customHeight="1">
      <x:c r="A757" s="70" t="n">
        <x:v>755</x:v>
      </x:c>
      <x:c r="B757" s="37" t="str">
        <x:v>Ordering/Sequencing</x:v>
      </x:c>
      <x:c r="C757" s="37" t="str">
        <x:v>Pick up the yellow pen and place it in the bowl.</x:v>
      </x:c>
      <x:c r="D757" s="37" t="str">
        <x:v>Masked ordinal-role × target-identity composition</x:v>
      </x:c>
      <x:c r="E757" s="37" t="str">
        <x:v>n=3; physical role=L1; direct identity=yellow pen</x:v>
      </x:c>
      <x:c r="F757" s="37" t="str">
        <x:v>ordering_n3_l1_yellow_pen_masked</x:v>
      </x:c>
      <x:c r="G757" s="37" t="str">
        <x:v>selected sequence-length × physical ordinal role × target-identity cells listed on Holdout Map</x:v>
      </x:c>
      <x:c r="H757" s="37" t="str">
        <x:v>Yes</x:v>
      </x:c>
      <x:c r="I757" s="37" t="str">
        <x:v>Replace prompt only</x:v>
      </x:c>
      <x:c r="J757" s="37" t="str">
        <x:v>Prompt-only relabeling; preserve episode 755 video, scene, trajectory, target, and start position.</x:v>
      </x:c>
      <x:c r="K757" s="37" t="str">
        <x:v>yellow pen, green highlighter, blue tape ball</x:v>
      </x:c>
      <x:c r="L757" s="37" t="str">
        <x:v>yellow pen</x:v>
      </x:c>
      <x:c r="M757" s="37" t="str">
        <x:v>Home</x:v>
      </x:c>
      <x:c r="N757" s="37" t="str">
        <x:v>Move the third item counted from the right into the bowl.</x:v>
      </x:c>
      <x:c r="O757" s="37" t="str">
        <x:v>Pick up the object that is first from the left and place it in the bowl. | Move the third from the right object into the bowl.</x:v>
      </x:c>
      <x:c r="P757" s="37" t="str">
        <x:v>Both logically equivalent ordinal descriptions of L1 are withheld for yellow pen at sequence length 3, while the same trajectory remains under a direct-name instruction.</x:v>
      </x:c>
      <x:c r="Q757" s="38" t="n">
        <x:v>3</x:v>
      </x:c>
    </x:row>
    <x:row r="758" ht="60" customHeight="1">
      <x:c r="A758" s="70" t="n">
        <x:v>756</x:v>
      </x:c>
      <x:c r="B758" s="37" t="str">
        <x:v>Ordering/Sequencing</x:v>
      </x:c>
      <x:c r="C758" s="37" t="str">
        <x:v>Move the yellow pen into the bowl.</x:v>
      </x:c>
      <x:c r="D758" s="37" t="str">
        <x:v>Masked ordinal-role × target-identity composition</x:v>
      </x:c>
      <x:c r="E758" s="37" t="str">
        <x:v>n=3; physical role=L1; direct identity=yellow pen</x:v>
      </x:c>
      <x:c r="F758" s="37" t="str">
        <x:v>ordering_n3_l1_yellow_pen_masked</x:v>
      </x:c>
      <x:c r="G758" s="37" t="str">
        <x:v>selected sequence-length × physical ordinal role × target-identity cells listed on Holdout Map</x:v>
      </x:c>
      <x:c r="H758" s="37" t="str">
        <x:v>Yes</x:v>
      </x:c>
      <x:c r="I758" s="37" t="str">
        <x:v>Replace prompt only</x:v>
      </x:c>
      <x:c r="J758" s="37" t="str">
        <x:v>Prompt-only relabeling; preserve episode 756 video, scene, trajectory, target, and start position.</x:v>
      </x:c>
      <x:c r="K758" s="37" t="str">
        <x:v>yellow pen, airplane toy with propellers, blue tape ball</x:v>
      </x:c>
      <x:c r="L758" s="37" t="str">
        <x:v>yellow pen</x:v>
      </x:c>
      <x:c r="M758" s="37" t="str">
        <x:v>Home</x:v>
      </x:c>
      <x:c r="N758" s="37" t="str">
        <x:v>Move the third item counted from the right into the bowl.</x:v>
      </x:c>
      <x:c r="O758" s="37" t="str">
        <x:v>Move the first from the left object into the bowl. | Put the object that is third from the right in the bowl.</x:v>
      </x:c>
      <x:c r="P758" s="37" t="str">
        <x:v>Both logically equivalent ordinal descriptions of L1 are withheld for yellow pen at sequence length 3, while the same trajectory remains under a direct-name instruction.</x:v>
      </x:c>
      <x:c r="Q758" s="38" t="n">
        <x:v>3</x:v>
      </x:c>
    </x:row>
    <x:row r="759" ht="60" customHeight="1">
      <x:c r="A759" s="70" t="n">
        <x:v>757</x:v>
      </x:c>
      <x:c r="B759" s="37" t="str">
        <x:v>Ordering/Sequencing</x:v>
      </x:c>
      <x:c r="C759" s="37" t="str">
        <x:v>Put the yellow pen in the bowl.</x:v>
      </x:c>
      <x:c r="D759" s="37" t="str">
        <x:v>Masked ordinal-role × target-identity composition</x:v>
      </x:c>
      <x:c r="E759" s="37" t="str">
        <x:v>n=3; physical role=L1; direct identity=yellow pen</x:v>
      </x:c>
      <x:c r="F759" s="37" t="str">
        <x:v>ordering_n3_l1_yellow_pen_masked</x:v>
      </x:c>
      <x:c r="G759" s="37" t="str">
        <x:v>selected sequence-length × physical ordinal role × target-identity cells listed on Holdout Map</x:v>
      </x:c>
      <x:c r="H759" s="37" t="str">
        <x:v>Yes</x:v>
      </x:c>
      <x:c r="I759" s="37" t="str">
        <x:v>Replace prompt only</x:v>
      </x:c>
      <x:c r="J759" s="37" t="str">
        <x:v>Prompt-only relabeling; preserve episode 757 video, scene, trajectory, target, and start position.</x:v>
      </x:c>
      <x:c r="K759" s="37" t="str">
        <x:v>yellow pen, blue tape ball, airplane toy with propellers</x:v>
      </x:c>
      <x:c r="L759" s="37" t="str">
        <x:v>yellow pen</x:v>
      </x:c>
      <x:c r="M759" s="37" t="str">
        <x:v>Home</x:v>
      </x:c>
      <x:c r="N759" s="37" t="str">
        <x:v>Put the first object from the left in the bowl.</x:v>
      </x:c>
      <x:c r="O759" s="37" t="str">
        <x:v>Put the object that is first from the left in the bowl. | Pick up the object that is third from the right and place it in the bowl.</x:v>
      </x:c>
      <x:c r="P759" s="37" t="str">
        <x:v>Both logically equivalent ordinal descriptions of L1 are withheld for yellow pen at sequence length 3, while the same trajectory remains under a direct-name instruction.</x:v>
      </x:c>
      <x:c r="Q759" s="38" t="n">
        <x:v>3</x:v>
      </x:c>
    </x:row>
    <x:row r="760" ht="60" customHeight="1">
      <x:c r="A760" s="70" t="n">
        <x:v>758</x:v>
      </x:c>
      <x:c r="B760" s="37" t="str">
        <x:v>Ordering/Sequencing</x:v>
      </x:c>
      <x:c r="C760" s="37" t="str">
        <x:v>Move the second item counted from the right into the bowl.</x:v>
      </x:c>
      <x:c r="D760" s="37" t="str">
        <x:v>Explicit ordinal grounding</x:v>
      </x:c>
      <x:c r="E760" s="37" t="str">
        <x:v>n=2; physical role=L1; expression=second from the right; target=yellow pen</x:v>
      </x:c>
      <x:c r="F760" s="37" t="str">
        <x:v>ordering_n2_l1_yellow_pen_explicit</x:v>
      </x:c>
      <x:c r="G760" s="37" t="str">
        <x:v>selected sequence-length × physical ordinal role × target-identity cells listed on Holdout Map</x:v>
      </x:c>
      <x:c r="H760" s="37" t="str">
        <x:v>No</x:v>
      </x:c>
      <x:c r="I760" s="37" t="str">
        <x:v>Keep prompt</x:v>
      </x:c>
      <x:c r="J760" s="37" t="str">
        <x:v>No prompt change required under the missing-cell design.</x:v>
      </x:c>
      <x:c r="K760" s="37" t="str">
        <x:v>yellow pen, airplane toy with propellers</x:v>
      </x:c>
      <x:c r="L760" s="37" t="str">
        <x:v>yellow pen</x:v>
      </x:c>
      <x:c r="M760" s="37" t="str">
        <x:v>Home</x:v>
      </x:c>
      <x:c r="N760" s="37" t="str">
        <x:v>Move the second item counted from the right into the bowl.</x:v>
      </x:c>
      <x:c r="O760" s="37" t="str"/>
      <x:c r="P760" s="37" t="str">
        <x:v>Explicitly grounds ordinal role L1 at sequence length 2 with yellow pen; selected object-role cells are masked instead of withholding an ordinal word or output position.</x:v>
      </x:c>
      <x:c r="Q760" s="38" t="n">
        <x:v>2</x:v>
      </x:c>
    </x:row>
    <x:row r="761" ht="60" customHeight="1">
      <x:c r="A761" s="70" t="n">
        <x:v>759</x:v>
      </x:c>
      <x:c r="B761" s="37" t="str">
        <x:v>Ordering/Sequencing</x:v>
      </x:c>
      <x:c r="C761" s="37" t="str">
        <x:v>Pick up the object that is second from the right and place it in the bowl.</x:v>
      </x:c>
      <x:c r="D761" s="37" t="str">
        <x:v>Explicit ordinal grounding</x:v>
      </x:c>
      <x:c r="E761" s="37" t="str">
        <x:v>n=2; physical role=L1; expression=second from the right; target=yellow pen</x:v>
      </x:c>
      <x:c r="F761" s="37" t="str">
        <x:v>ordering_n2_l1_yellow_pen_explicit</x:v>
      </x:c>
      <x:c r="G761" s="37" t="str">
        <x:v>selected sequence-length × physical ordinal role × target-identity cells listed on Holdout Map</x:v>
      </x:c>
      <x:c r="H761" s="37" t="str">
        <x:v>No</x:v>
      </x:c>
      <x:c r="I761" s="37" t="str">
        <x:v>Keep prompt</x:v>
      </x:c>
      <x:c r="J761" s="37" t="str">
        <x:v>No prompt change required under the missing-cell design.</x:v>
      </x:c>
      <x:c r="K761" s="37" t="str">
        <x:v>yellow pen, blue tape ball</x:v>
      </x:c>
      <x:c r="L761" s="37" t="str">
        <x:v>yellow pen</x:v>
      </x:c>
      <x:c r="M761" s="37" t="str">
        <x:v>Home</x:v>
      </x:c>
      <x:c r="N761" s="37" t="str">
        <x:v>Pick up the object that is second from the right and place it in the bowl.</x:v>
      </x:c>
      <x:c r="O761" s="37" t="str"/>
      <x:c r="P761" s="37" t="str">
        <x:v>Explicitly grounds ordinal role L1 at sequence length 2 with yellow pen; selected object-role cells are masked instead of withholding an ordinal word or output position.</x:v>
      </x:c>
      <x:c r="Q761" s="38" t="n">
        <x:v>2</x:v>
      </x:c>
    </x:row>
    <x:row r="762" ht="60" customHeight="1">
      <x:c r="A762" s="70" t="n">
        <x:v>760</x:v>
      </x:c>
      <x:c r="B762" s="37" t="str">
        <x:v>Ordering/Sequencing</x:v>
      </x:c>
      <x:c r="C762" s="37" t="str">
        <x:v>Pick up the object that is second from the right and place it in the bowl.</x:v>
      </x:c>
      <x:c r="D762" s="37" t="str">
        <x:v>Explicit ordinal grounding</x:v>
      </x:c>
      <x:c r="E762" s="37" t="str">
        <x:v>n=2; physical role=L1; expression=second from the right; target=yellow pen</x:v>
      </x:c>
      <x:c r="F762" s="37" t="str">
        <x:v>ordering_n2_l1_yellow_pen_explicit</x:v>
      </x:c>
      <x:c r="G762" s="37" t="str">
        <x:v>selected sequence-length × physical ordinal role × target-identity cells listed on Holdout Map</x:v>
      </x:c>
      <x:c r="H762" s="37" t="str">
        <x:v>No</x:v>
      </x:c>
      <x:c r="I762" s="37" t="str">
        <x:v>Keep prompt</x:v>
      </x:c>
      <x:c r="J762" s="37" t="str">
        <x:v>No prompt change required under the missing-cell design.</x:v>
      </x:c>
      <x:c r="K762" s="37" t="str">
        <x:v>yellow pen, green highlighter</x:v>
      </x:c>
      <x:c r="L762" s="37" t="str">
        <x:v>yellow pen</x:v>
      </x:c>
      <x:c r="M762" s="37" t="str">
        <x:v>Recovery</x:v>
      </x:c>
      <x:c r="N762" s="37" t="str">
        <x:v>Pick up the object that is second from the right and place it in the bowl.</x:v>
      </x:c>
      <x:c r="O762" s="37" t="str"/>
      <x:c r="P762" s="37" t="str">
        <x:v>Explicitly grounds ordinal role L1 at sequence length 2 with yellow pen; selected object-role cells are masked instead of withholding an ordinal word or output position.</x:v>
      </x:c>
      <x:c r="Q762" s="38" t="n">
        <x:v>2</x:v>
      </x:c>
    </x:row>
    <x:row r="763" ht="60" customHeight="1">
      <x:c r="A763" s="70" t="n">
        <x:v>761</x:v>
      </x:c>
      <x:c r="B763" s="37" t="str">
        <x:v>Ordering/Sequencing</x:v>
      </x:c>
      <x:c r="C763" s="37" t="str">
        <x:v>Pick up the object that is second from the right and place it in the bowl.</x:v>
      </x:c>
      <x:c r="D763" s="37" t="str">
        <x:v>Explicit ordinal grounding</x:v>
      </x:c>
      <x:c r="E763" s="37" t="str">
        <x:v>n=2; physical role=L1; expression=second from the right; target=yellow pen</x:v>
      </x:c>
      <x:c r="F763" s="37" t="str">
        <x:v>ordering_n2_l1_yellow_pen_explicit</x:v>
      </x:c>
      <x:c r="G763" s="37" t="str">
        <x:v>selected sequence-length × physical ordinal role × target-identity cells listed on Holdout Map</x:v>
      </x:c>
      <x:c r="H763" s="37" t="str">
        <x:v>No</x:v>
      </x:c>
      <x:c r="I763" s="37" t="str">
        <x:v>Keep prompt</x:v>
      </x:c>
      <x:c r="J763" s="37" t="str">
        <x:v>No prompt change required under the missing-cell design.</x:v>
      </x:c>
      <x:c r="K763" s="37" t="str">
        <x:v>yellow pen, airplane toy with propellers</x:v>
      </x:c>
      <x:c r="L763" s="37" t="str">
        <x:v>yellow pen</x:v>
      </x:c>
      <x:c r="M763" s="37" t="str">
        <x:v>Recovery</x:v>
      </x:c>
      <x:c r="N763" s="37" t="str">
        <x:v>Pick up the object that is second from the right and place it in the bowl.</x:v>
      </x:c>
      <x:c r="O763" s="37" t="str"/>
      <x:c r="P763" s="37" t="str">
        <x:v>Explicitly grounds ordinal role L1 at sequence length 2 with yellow pen; selected object-role cells are masked instead of withholding an ordinal word or output position.</x:v>
      </x:c>
      <x:c r="Q763" s="38" t="n">
        <x:v>2</x:v>
      </x:c>
    </x:row>
    <x:row r="764" ht="60" customHeight="1">
      <x:c r="A764" s="70" t="n">
        <x:v>762</x:v>
      </x:c>
      <x:c r="B764" s="37" t="str">
        <x:v>Ordering/Sequencing</x:v>
      </x:c>
      <x:c r="C764" s="37" t="str">
        <x:v>Put the second object from the left in the bowl.</x:v>
      </x:c>
      <x:c r="D764" s="37" t="str">
        <x:v>Explicit ordinal grounding</x:v>
      </x:c>
      <x:c r="E764" s="37" t="str">
        <x:v>n=4; physical role=L2; expression=second from the left; target=yellow pen</x:v>
      </x:c>
      <x:c r="F764" s="37" t="str">
        <x:v>ordering_n4_l2_yellow_pen_explicit</x:v>
      </x:c>
      <x:c r="G764" s="37" t="str">
        <x:v>selected sequence-length × physical ordinal role × target-identity cells listed on Holdout Map</x:v>
      </x:c>
      <x:c r="H764" s="37" t="str">
        <x:v>No</x:v>
      </x:c>
      <x:c r="I764" s="37" t="str">
        <x:v>Keep prompt</x:v>
      </x:c>
      <x:c r="J764" s="37" t="str">
        <x:v>No prompt change required under the missing-cell design.</x:v>
      </x:c>
      <x:c r="K764" s="37" t="str">
        <x:v>airplane toy with propellers, yellow pen, blue tape ball, green highlighter</x:v>
      </x:c>
      <x:c r="L764" s="37" t="str">
        <x:v>yellow pen</x:v>
      </x:c>
      <x:c r="M764" s="37" t="str">
        <x:v>Home</x:v>
      </x:c>
      <x:c r="N764" s="37" t="str">
        <x:v>Put the second object from the left in the bowl.</x:v>
      </x:c>
      <x:c r="O764" s="37" t="str"/>
      <x:c r="P764" s="37" t="str">
        <x:v>Explicitly grounds ordinal role L2 at sequence length 4 with yellow pen; selected object-role cells are masked instead of withholding an ordinal word or output position.</x:v>
      </x:c>
      <x:c r="Q764" s="38" t="n">
        <x:v>4</x:v>
      </x:c>
    </x:row>
    <x:row r="765" ht="60" customHeight="1">
      <x:c r="A765" s="70" t="n">
        <x:v>763</x:v>
      </x:c>
      <x:c r="B765" s="37" t="str">
        <x:v>Ordering/Sequencing</x:v>
      </x:c>
      <x:c r="C765" s="37" t="str">
        <x:v>Move the second item counted from the left into the bowl.</x:v>
      </x:c>
      <x:c r="D765" s="37" t="str">
        <x:v>Explicit ordinal grounding</x:v>
      </x:c>
      <x:c r="E765" s="37" t="str">
        <x:v>n=4; physical role=L2; expression=second from the left; target=yellow pen</x:v>
      </x:c>
      <x:c r="F765" s="37" t="str">
        <x:v>ordering_n4_l2_yellow_pen_explicit</x:v>
      </x:c>
      <x:c r="G765" s="37" t="str">
        <x:v>selected sequence-length × physical ordinal role × target-identity cells listed on Holdout Map</x:v>
      </x:c>
      <x:c r="H765" s="37" t="str">
        <x:v>No</x:v>
      </x:c>
      <x:c r="I765" s="37" t="str">
        <x:v>Keep prompt</x:v>
      </x:c>
      <x:c r="J765" s="37" t="str">
        <x:v>No prompt change required under the missing-cell design.</x:v>
      </x:c>
      <x:c r="K765" s="37" t="str">
        <x:v>airplane toy with propellers, yellow pen, green highlighter, blue tape ball</x:v>
      </x:c>
      <x:c r="L765" s="37" t="str">
        <x:v>yellow pen</x:v>
      </x:c>
      <x:c r="M765" s="37" t="str">
        <x:v>Home</x:v>
      </x:c>
      <x:c r="N765" s="37" t="str">
        <x:v>Move the second item counted from the left into the bowl.</x:v>
      </x:c>
      <x:c r="O765" s="37" t="str"/>
      <x:c r="P765" s="37" t="str">
        <x:v>Explicitly grounds ordinal role L2 at sequence length 4 with yellow pen; selected object-role cells are masked instead of withholding an ordinal word or output position.</x:v>
      </x:c>
      <x:c r="Q765" s="38" t="n">
        <x:v>4</x:v>
      </x:c>
    </x:row>
    <x:row r="766" ht="60" customHeight="1">
      <x:c r="A766" s="70" t="n">
        <x:v>764</x:v>
      </x:c>
      <x:c r="B766" s="37" t="str">
        <x:v>Ordering/Sequencing</x:v>
      </x:c>
      <x:c r="C766" s="37" t="str">
        <x:v>Put the second object from the left in the bowl.</x:v>
      </x:c>
      <x:c r="D766" s="37" t="str">
        <x:v>Explicit ordinal grounding</x:v>
      </x:c>
      <x:c r="E766" s="37" t="str">
        <x:v>n=4; physical role=L2; expression=second from the left; target=yellow pen</x:v>
      </x:c>
      <x:c r="F766" s="37" t="str">
        <x:v>ordering_n4_l2_yellow_pen_explicit</x:v>
      </x:c>
      <x:c r="G766" s="37" t="str">
        <x:v>selected sequence-length × physical ordinal role × target-identity cells listed on Holdout Map</x:v>
      </x:c>
      <x:c r="H766" s="37" t="str">
        <x:v>No</x:v>
      </x:c>
      <x:c r="I766" s="37" t="str">
        <x:v>Keep prompt</x:v>
      </x:c>
      <x:c r="J766" s="37" t="str">
        <x:v>No prompt change required under the missing-cell design.</x:v>
      </x:c>
      <x:c r="K766" s="37" t="str">
        <x:v>blue tape ball, yellow pen, airplane toy with propellers, green highlighter</x:v>
      </x:c>
      <x:c r="L766" s="37" t="str">
        <x:v>yellow pen</x:v>
      </x:c>
      <x:c r="M766" s="37" t="str">
        <x:v>Home</x:v>
      </x:c>
      <x:c r="N766" s="37" t="str">
        <x:v>Put the second object from the left in the bowl.</x:v>
      </x:c>
      <x:c r="O766" s="37" t="str"/>
      <x:c r="P766" s="37" t="str">
        <x:v>Explicitly grounds ordinal role L2 at sequence length 4 with yellow pen; selected object-role cells are masked instead of withholding an ordinal word or output position.</x:v>
      </x:c>
      <x:c r="Q766" s="38" t="n">
        <x:v>4</x:v>
      </x:c>
    </x:row>
    <x:row r="767" ht="60" customHeight="1">
      <x:c r="A767" s="70" t="n">
        <x:v>765</x:v>
      </x:c>
      <x:c r="B767" s="37" t="str">
        <x:v>Ordering/Sequencing</x:v>
      </x:c>
      <x:c r="C767" s="37" t="str">
        <x:v>Pick up the object that is second from the left and place it in the bowl.</x:v>
      </x:c>
      <x:c r="D767" s="37" t="str">
        <x:v>Explicit ordinal grounding</x:v>
      </x:c>
      <x:c r="E767" s="37" t="str">
        <x:v>n=4; physical role=L2; expression=second from the left; target=yellow pen</x:v>
      </x:c>
      <x:c r="F767" s="37" t="str">
        <x:v>ordering_n4_l2_yellow_pen_explicit</x:v>
      </x:c>
      <x:c r="G767" s="37" t="str">
        <x:v>selected sequence-length × physical ordinal role × target-identity cells listed on Holdout Map</x:v>
      </x:c>
      <x:c r="H767" s="37" t="str">
        <x:v>No</x:v>
      </x:c>
      <x:c r="I767" s="37" t="str">
        <x:v>Keep prompt</x:v>
      </x:c>
      <x:c r="J767" s="37" t="str">
        <x:v>No prompt change required under the missing-cell design.</x:v>
      </x:c>
      <x:c r="K767" s="37" t="str">
        <x:v>blue tape ball, yellow pen, green highlighter, airplane toy with propellers</x:v>
      </x:c>
      <x:c r="L767" s="37" t="str">
        <x:v>yellow pen</x:v>
      </x:c>
      <x:c r="M767" s="37" t="str">
        <x:v>Home</x:v>
      </x:c>
      <x:c r="N767" s="37" t="str">
        <x:v>Pick up the object that is second from the left and place it in the bowl.</x:v>
      </x:c>
      <x:c r="O767" s="37" t="str"/>
      <x:c r="P767" s="37" t="str">
        <x:v>Explicitly grounds ordinal role L2 at sequence length 4 with yellow pen; selected object-role cells are masked instead of withholding an ordinal word or output position.</x:v>
      </x:c>
      <x:c r="Q767" s="38" t="n">
        <x:v>4</x:v>
      </x:c>
    </x:row>
    <x:row r="768" ht="60" customHeight="1">
      <x:c r="A768" s="70" t="n">
        <x:v>766</x:v>
      </x:c>
      <x:c r="B768" s="37" t="str">
        <x:v>Ordering/Sequencing</x:v>
      </x:c>
      <x:c r="C768" s="37" t="str">
        <x:v>Put the third object from the right in the bowl.</x:v>
      </x:c>
      <x:c r="D768" s="37" t="str">
        <x:v>Explicit ordinal grounding</x:v>
      </x:c>
      <x:c r="E768" s="37" t="str">
        <x:v>n=4; physical role=L2; expression=third from the right; target=yellow pen</x:v>
      </x:c>
      <x:c r="F768" s="37" t="str">
        <x:v>ordering_n4_l2_yellow_pen_explicit</x:v>
      </x:c>
      <x:c r="G768" s="37" t="str">
        <x:v>selected sequence-length × physical ordinal role × target-identity cells listed on Holdout Map</x:v>
      </x:c>
      <x:c r="H768" s="37" t="str">
        <x:v>No</x:v>
      </x:c>
      <x:c r="I768" s="37" t="str">
        <x:v>Keep prompt</x:v>
      </x:c>
      <x:c r="J768" s="37" t="str">
        <x:v>No prompt change required under the missing-cell design.</x:v>
      </x:c>
      <x:c r="K768" s="37" t="str">
        <x:v>green highlighter, yellow pen, airplane toy with propellers, blue tape ball</x:v>
      </x:c>
      <x:c r="L768" s="37" t="str">
        <x:v>yellow pen</x:v>
      </x:c>
      <x:c r="M768" s="37" t="str">
        <x:v>Home</x:v>
      </x:c>
      <x:c r="N768" s="37" t="str">
        <x:v>Put the third object from the right in the bowl.</x:v>
      </x:c>
      <x:c r="O768" s="37" t="str"/>
      <x:c r="P768" s="37" t="str">
        <x:v>Explicitly grounds ordinal role L2 at sequence length 4 with yellow pen; selected object-role cells are masked instead of withholding an ordinal word or output position.</x:v>
      </x:c>
      <x:c r="Q768" s="38" t="n">
        <x:v>4</x:v>
      </x:c>
    </x:row>
    <x:row r="769" ht="60" customHeight="1">
      <x:c r="A769" s="70" t="n">
        <x:v>767</x:v>
      </x:c>
      <x:c r="B769" s="37" t="str">
        <x:v>Ordering/Sequencing</x:v>
      </x:c>
      <x:c r="C769" s="37" t="str">
        <x:v>Put the third object from the right in the bowl.</x:v>
      </x:c>
      <x:c r="D769" s="37" t="str">
        <x:v>Explicit ordinal grounding</x:v>
      </x:c>
      <x:c r="E769" s="37" t="str">
        <x:v>n=4; physical role=L2; expression=third from the right; target=yellow pen</x:v>
      </x:c>
      <x:c r="F769" s="37" t="str">
        <x:v>ordering_n4_l2_yellow_pen_explicit</x:v>
      </x:c>
      <x:c r="G769" s="37" t="str">
        <x:v>selected sequence-length × physical ordinal role × target-identity cells listed on Holdout Map</x:v>
      </x:c>
      <x:c r="H769" s="37" t="str">
        <x:v>No</x:v>
      </x:c>
      <x:c r="I769" s="37" t="str">
        <x:v>Keep prompt</x:v>
      </x:c>
      <x:c r="J769" s="37" t="str">
        <x:v>No prompt change required under the missing-cell design.</x:v>
      </x:c>
      <x:c r="K769" s="37" t="str">
        <x:v>green highlighter, yellow pen, blue tape ball, airplane toy with propellers</x:v>
      </x:c>
      <x:c r="L769" s="37" t="str">
        <x:v>yellow pen</x:v>
      </x:c>
      <x:c r="M769" s="37" t="str">
        <x:v>Home</x:v>
      </x:c>
      <x:c r="N769" s="37" t="str">
        <x:v>Put the third object from the right in the bowl.</x:v>
      </x:c>
      <x:c r="O769" s="37" t="str"/>
      <x:c r="P769" s="37" t="str">
        <x:v>Explicitly grounds ordinal role L2 at sequence length 4 with yellow pen; selected object-role cells are masked instead of withholding an ordinal word or output position.</x:v>
      </x:c>
      <x:c r="Q769" s="38" t="n">
        <x:v>4</x:v>
      </x:c>
    </x:row>
    <x:row r="770" ht="60" customHeight="1">
      <x:c r="A770" s="70" t="n">
        <x:v>768</x:v>
      </x:c>
      <x:c r="B770" s="37" t="str">
        <x:v>Ordering/Sequencing</x:v>
      </x:c>
      <x:c r="C770" s="37" t="str">
        <x:v>Move the yellow pen into the bowl.</x:v>
      </x:c>
      <x:c r="D770" s="37" t="str">
        <x:v>Masked ordinal-role × target-identity composition</x:v>
      </x:c>
      <x:c r="E770" s="37" t="str">
        <x:v>n=2; physical role=L2; direct identity=yellow pen</x:v>
      </x:c>
      <x:c r="F770" s="37" t="str">
        <x:v>ordering_n2_l2_yellow_pen_masked</x:v>
      </x:c>
      <x:c r="G770" s="37" t="str">
        <x:v>selected sequence-length × physical ordinal role × target-identity cells listed on Holdout Map</x:v>
      </x:c>
      <x:c r="H770" s="37" t="str">
        <x:v>Yes</x:v>
      </x:c>
      <x:c r="I770" s="37" t="str">
        <x:v>Replace prompt only</x:v>
      </x:c>
      <x:c r="J770" s="37" t="str">
        <x:v>Prompt-only relabeling; preserve episode 768 video, scene, trajectory, target, and start position.</x:v>
      </x:c>
      <x:c r="K770" s="37" t="str">
        <x:v>airplane toy with propellers, yellow pen</x:v>
      </x:c>
      <x:c r="L770" s="37" t="str">
        <x:v>yellow pen</x:v>
      </x:c>
      <x:c r="M770" s="37" t="str">
        <x:v>Home</x:v>
      </x:c>
      <x:c r="N770" s="37" t="str">
        <x:v>Pick up the object that is second from the left and place it in the bowl.</x:v>
      </x:c>
      <x:c r="O770" s="37" t="str">
        <x:v>Move the second from the left object into the bowl. | Put the object that is first from the right in the bowl.</x:v>
      </x:c>
      <x:c r="P770" s="37" t="str">
        <x:v>Both logically equivalent ordinal descriptions of L2 are withheld for yellow pen at sequence length 2, while the same trajectory remains under a direct-name instruction.</x:v>
      </x:c>
      <x:c r="Q770" s="38" t="n">
        <x:v>2</x:v>
      </x:c>
    </x:row>
    <x:row r="771" ht="60" customHeight="1">
      <x:c r="A771" s="70" t="n">
        <x:v>769</x:v>
      </x:c>
      <x:c r="B771" s="37" t="str">
        <x:v>Ordering/Sequencing</x:v>
      </x:c>
      <x:c r="C771" s="37" t="str">
        <x:v>Put the yellow pen in the bowl.</x:v>
      </x:c>
      <x:c r="D771" s="37" t="str">
        <x:v>Masked ordinal-role × target-identity composition</x:v>
      </x:c>
      <x:c r="E771" s="37" t="str">
        <x:v>n=2; physical role=L2; direct identity=yellow pen</x:v>
      </x:c>
      <x:c r="F771" s="37" t="str">
        <x:v>ordering_n2_l2_yellow_pen_masked</x:v>
      </x:c>
      <x:c r="G771" s="37" t="str">
        <x:v>selected sequence-length × physical ordinal role × target-identity cells listed on Holdout Map</x:v>
      </x:c>
      <x:c r="H771" s="37" t="str">
        <x:v>Yes</x:v>
      </x:c>
      <x:c r="I771" s="37" t="str">
        <x:v>Replace prompt only</x:v>
      </x:c>
      <x:c r="J771" s="37" t="str">
        <x:v>Prompt-only relabeling; preserve episode 769 video, scene, trajectory, target, and start position.</x:v>
      </x:c>
      <x:c r="K771" s="37" t="str">
        <x:v>blue tape ball, yellow pen</x:v>
      </x:c>
      <x:c r="L771" s="37" t="str">
        <x:v>yellow pen</x:v>
      </x:c>
      <x:c r="M771" s="37" t="str">
        <x:v>Home</x:v>
      </x:c>
      <x:c r="N771" s="37" t="str">
        <x:v>Pick up the object that is second from the left and place it in the bowl.</x:v>
      </x:c>
      <x:c r="O771" s="37" t="str">
        <x:v>Put the object that is second from the left in the bowl. | Pick up the object that is first from the right and place it in the bowl.</x:v>
      </x:c>
      <x:c r="P771" s="37" t="str">
        <x:v>Both logically equivalent ordinal descriptions of L2 are withheld for yellow pen at sequence length 2, while the same trajectory remains under a direct-name instruction.</x:v>
      </x:c>
      <x:c r="Q771" s="38" t="n">
        <x:v>2</x:v>
      </x:c>
    </x:row>
    <x:row r="772" ht="60" customHeight="1">
      <x:c r="A772" s="70" t="n">
        <x:v>770</x:v>
      </x:c>
      <x:c r="B772" s="37" t="str">
        <x:v>Ordering/Sequencing</x:v>
      </x:c>
      <x:c r="C772" s="37" t="str">
        <x:v>Pick up the yellow pen and place it in the bowl.</x:v>
      </x:c>
      <x:c r="D772" s="37" t="str">
        <x:v>Masked ordinal-role × target-identity composition</x:v>
      </x:c>
      <x:c r="E772" s="37" t="str">
        <x:v>n=2; physical role=L2; direct identity=yellow pen</x:v>
      </x:c>
      <x:c r="F772" s="37" t="str">
        <x:v>ordering_n2_l2_yellow_pen_masked</x:v>
      </x:c>
      <x:c r="G772" s="37" t="str">
        <x:v>selected sequence-length × physical ordinal role × target-identity cells listed on Holdout Map</x:v>
      </x:c>
      <x:c r="H772" s="37" t="str">
        <x:v>Yes</x:v>
      </x:c>
      <x:c r="I772" s="37" t="str">
        <x:v>Replace prompt only</x:v>
      </x:c>
      <x:c r="J772" s="37" t="str">
        <x:v>Prompt-only relabeling; preserve episode 770 video, scene, trajectory, target, and start position.</x:v>
      </x:c>
      <x:c r="K772" s="37" t="str">
        <x:v>green highlighter, yellow pen</x:v>
      </x:c>
      <x:c r="L772" s="37" t="str">
        <x:v>yellow pen</x:v>
      </x:c>
      <x:c r="M772" s="37" t="str">
        <x:v>Home</x:v>
      </x:c>
      <x:c r="N772" s="37" t="str">
        <x:v>Pick up the object that is second from the left and place it in the bowl.</x:v>
      </x:c>
      <x:c r="O772" s="37" t="str">
        <x:v>Pick up the object that is second from the left and place it in the bowl. | Move the first from the right object into the bowl.</x:v>
      </x:c>
      <x:c r="P772" s="37" t="str">
        <x:v>Both logically equivalent ordinal descriptions of L2 are withheld for yellow pen at sequence length 2, while the same trajectory remains under a direct-name instruction.</x:v>
      </x:c>
      <x:c r="Q772" s="38" t="n">
        <x:v>2</x:v>
      </x:c>
    </x:row>
    <x:row r="773" ht="60" customHeight="1">
      <x:c r="A773" s="70" t="n">
        <x:v>771</x:v>
      </x:c>
      <x:c r="B773" s="37" t="str">
        <x:v>Ordering/Sequencing</x:v>
      </x:c>
      <x:c r="C773" s="37" t="str">
        <x:v>Move the yellow pen into the bowl.</x:v>
      </x:c>
      <x:c r="D773" s="37" t="str">
        <x:v>Masked ordinal-role × target-identity composition</x:v>
      </x:c>
      <x:c r="E773" s="37" t="str">
        <x:v>n=2; physical role=L2; direct identity=yellow pen</x:v>
      </x:c>
      <x:c r="F773" s="37" t="str">
        <x:v>ordering_n2_l2_yellow_pen_masked</x:v>
      </x:c>
      <x:c r="G773" s="37" t="str">
        <x:v>selected sequence-length × physical ordinal role × target-identity cells listed on Holdout Map</x:v>
      </x:c>
      <x:c r="H773" s="37" t="str">
        <x:v>Yes</x:v>
      </x:c>
      <x:c r="I773" s="37" t="str">
        <x:v>Replace prompt only</x:v>
      </x:c>
      <x:c r="J773" s="37" t="str">
        <x:v>Prompt-only relabeling; preserve episode 771 video, scene, trajectory, target, and start position.</x:v>
      </x:c>
      <x:c r="K773" s="37" t="str">
        <x:v>airplane toy with propellers, yellow pen</x:v>
      </x:c>
      <x:c r="L773" s="37" t="str">
        <x:v>yellow pen</x:v>
      </x:c>
      <x:c r="M773" s="37" t="str">
        <x:v>Home</x:v>
      </x:c>
      <x:c r="N773" s="37" t="str">
        <x:v>Put the second object from the left in the bowl.</x:v>
      </x:c>
      <x:c r="O773" s="37" t="str">
        <x:v>Move the second from the left object into the bowl. | Put the object that is first from the right in the bowl.</x:v>
      </x:c>
      <x:c r="P773" s="37" t="str">
        <x:v>Both logically equivalent ordinal descriptions of L2 are withheld for yellow pen at sequence length 2, while the same trajectory remains under a direct-name instruction.</x:v>
      </x:c>
      <x:c r="Q773" s="38" t="n">
        <x:v>2</x:v>
      </x:c>
    </x:row>
    <x:row r="774" ht="60" customHeight="1">
      <x:c r="A774" s="70" t="n">
        <x:v>772</x:v>
      </x:c>
      <x:c r="B774" s="37" t="str">
        <x:v>Ordering/Sequencing</x:v>
      </x:c>
      <x:c r="C774" s="37" t="str">
        <x:v>Put the yellow pen in the bowl.</x:v>
      </x:c>
      <x:c r="D774" s="37" t="str">
        <x:v>Masked ordinal-role × target-identity composition</x:v>
      </x:c>
      <x:c r="E774" s="37" t="str">
        <x:v>n=2; physical role=L2; direct identity=yellow pen</x:v>
      </x:c>
      <x:c r="F774" s="37" t="str">
        <x:v>ordering_n2_l2_yellow_pen_masked</x:v>
      </x:c>
      <x:c r="G774" s="37" t="str">
        <x:v>selected sequence-length × physical ordinal role × target-identity cells listed on Holdout Map</x:v>
      </x:c>
      <x:c r="H774" s="37" t="str">
        <x:v>Yes</x:v>
      </x:c>
      <x:c r="I774" s="37" t="str">
        <x:v>Replace prompt only</x:v>
      </x:c>
      <x:c r="J774" s="37" t="str">
        <x:v>Prompt-only relabeling; preserve episode 772 video, scene, trajectory, target, and start position.</x:v>
      </x:c>
      <x:c r="K774" s="37" t="str">
        <x:v>blue tape ball, yellow pen</x:v>
      </x:c>
      <x:c r="L774" s="37" t="str">
        <x:v>yellow pen</x:v>
      </x:c>
      <x:c r="M774" s="37" t="str">
        <x:v>Recovery</x:v>
      </x:c>
      <x:c r="N774" s="37" t="str">
        <x:v>Pick up the object that is second from the left and place it in the bowl.</x:v>
      </x:c>
      <x:c r="O774" s="37" t="str">
        <x:v>Put the object that is second from the left in the bowl. | Pick up the object that is first from the right and place it in the bowl.</x:v>
      </x:c>
      <x:c r="P774" s="37" t="str">
        <x:v>Both logically equivalent ordinal descriptions of L2 are withheld for yellow pen at sequence length 2, while the same trajectory remains under a direct-name instruction.</x:v>
      </x:c>
      <x:c r="Q774" s="38" t="n">
        <x:v>2</x:v>
      </x:c>
    </x:row>
    <x:row r="775" ht="60" customHeight="1">
      <x:c r="A775" s="70" t="n">
        <x:v>773</x:v>
      </x:c>
      <x:c r="B775" s="37" t="str">
        <x:v>Ordering/Sequencing</x:v>
      </x:c>
      <x:c r="C775" s="37" t="str">
        <x:v>Pick up the yellow pen and place it in the bowl.</x:v>
      </x:c>
      <x:c r="D775" s="37" t="str">
        <x:v>Masked ordinal-role × target-identity composition</x:v>
      </x:c>
      <x:c r="E775" s="37" t="str">
        <x:v>n=2; physical role=L2; direct identity=yellow pen</x:v>
      </x:c>
      <x:c r="F775" s="37" t="str">
        <x:v>ordering_n2_l2_yellow_pen_masked</x:v>
      </x:c>
      <x:c r="G775" s="37" t="str">
        <x:v>selected sequence-length × physical ordinal role × target-identity cells listed on Holdout Map</x:v>
      </x:c>
      <x:c r="H775" s="37" t="str">
        <x:v>Yes</x:v>
      </x:c>
      <x:c r="I775" s="37" t="str">
        <x:v>Replace prompt only</x:v>
      </x:c>
      <x:c r="J775" s="37" t="str">
        <x:v>Prompt-only relabeling; preserve episode 773 video, scene, trajectory, target, and start position.</x:v>
      </x:c>
      <x:c r="K775" s="37" t="str">
        <x:v>green highlighter, yellow pen</x:v>
      </x:c>
      <x:c r="L775" s="37" t="str">
        <x:v>yellow pen</x:v>
      </x:c>
      <x:c r="M775" s="37" t="str">
        <x:v>Recovery</x:v>
      </x:c>
      <x:c r="N775" s="37" t="str">
        <x:v>Move the second item counted from the left into the bowl.</x:v>
      </x:c>
      <x:c r="O775" s="37" t="str">
        <x:v>Pick up the object that is second from the left and place it in the bowl. | Move the first from the right object into the bowl.</x:v>
      </x:c>
      <x:c r="P775" s="37" t="str">
        <x:v>Both logically equivalent ordinal descriptions of L2 are withheld for yellow pen at sequence length 2, while the same trajectory remains under a direct-name instruction.</x:v>
      </x:c>
      <x:c r="Q775" s="38" t="n">
        <x:v>2</x:v>
      </x:c>
    </x:row>
    <x:row r="776" ht="60" customHeight="1">
      <x:c r="A776" s="70" t="n">
        <x:v>774</x:v>
      </x:c>
      <x:c r="B776" s="37" t="str">
        <x:v>Ordering/Sequencing</x:v>
      </x:c>
      <x:c r="C776" s="37" t="str">
        <x:v>Put the third object from the right in the bowl.</x:v>
      </x:c>
      <x:c r="D776" s="37" t="str">
        <x:v>Explicit ordinal grounding</x:v>
      </x:c>
      <x:c r="E776" s="37" t="str">
        <x:v>n=4; physical role=L2; expression=third from the right; target=yellow pen</x:v>
      </x:c>
      <x:c r="F776" s="37" t="str">
        <x:v>ordering_n4_l2_yellow_pen_explicit</x:v>
      </x:c>
      <x:c r="G776" s="37" t="str">
        <x:v>selected sequence-length × physical ordinal role × target-identity cells listed on Holdout Map</x:v>
      </x:c>
      <x:c r="H776" s="37" t="str">
        <x:v>No</x:v>
      </x:c>
      <x:c r="I776" s="37" t="str">
        <x:v>Keep prompt</x:v>
      </x:c>
      <x:c r="J776" s="37" t="str">
        <x:v>No prompt change required under the missing-cell design.</x:v>
      </x:c>
      <x:c r="K776" s="37" t="str">
        <x:v>airplane toy with propellers, yellow pen, blue tape ball, green highlighter</x:v>
      </x:c>
      <x:c r="L776" s="37" t="str">
        <x:v>yellow pen</x:v>
      </x:c>
      <x:c r="M776" s="37" t="str">
        <x:v>Recovery</x:v>
      </x:c>
      <x:c r="N776" s="37" t="str">
        <x:v>Put the third object from the right in the bowl.</x:v>
      </x:c>
      <x:c r="O776" s="37" t="str"/>
      <x:c r="P776" s="37" t="str">
        <x:v>Explicitly grounds ordinal role L2 at sequence length 4 with yellow pen; selected object-role cells are masked instead of withholding an ordinal word or output position.</x:v>
      </x:c>
      <x:c r="Q776" s="38" t="n">
        <x:v>4</x:v>
      </x:c>
    </x:row>
    <x:row r="777" ht="60" customHeight="1">
      <x:c r="A777" s="70" t="n">
        <x:v>775</x:v>
      </x:c>
      <x:c r="B777" s="37" t="str">
        <x:v>Ordering/Sequencing</x:v>
      </x:c>
      <x:c r="C777" s="37" t="str">
        <x:v>Put the object that is second from the right in the bowl.</x:v>
      </x:c>
      <x:c r="D777" s="37" t="str">
        <x:v>Explicit ordinal grounding</x:v>
      </x:c>
      <x:c r="E777" s="37" t="str">
        <x:v>n=4; physical role=L3; expression=second from the right; target=yellow pen</x:v>
      </x:c>
      <x:c r="F777" s="37" t="str">
        <x:v>ordering_n4_l3_yellow_pen_explicit</x:v>
      </x:c>
      <x:c r="G777" s="37" t="str">
        <x:v>selected sequence-length × physical ordinal role × target-identity cells listed on Holdout Map</x:v>
      </x:c>
      <x:c r="H777" s="37" t="str">
        <x:v>Yes</x:v>
      </x:c>
      <x:c r="I777" s="37" t="str">
        <x:v>Replace prompt only</x:v>
      </x:c>
      <x:c r="J777" s="37" t="str">
        <x:v>Prompt-only relabeling; preserve episode 775 video, scene, trajectory, target, and start position.</x:v>
      </x:c>
      <x:c r="K777" s="37" t="str">
        <x:v>airplane toy with propellers, blue tape ball, yellow pen, green highlighter</x:v>
      </x:c>
      <x:c r="L777" s="37" t="str">
        <x:v>yellow pen</x:v>
      </x:c>
      <x:c r="M777" s="37" t="str">
        <x:v>Home</x:v>
      </x:c>
      <x:c r="N777" s="37" t="str">
        <x:v>Move the yellow pen into the bowl.</x:v>
      </x:c>
      <x:c r="O777" s="37" t="str"/>
      <x:c r="P777" s="37" t="str">
        <x:v>Explicitly grounds ordinal role L3 at sequence length 4 with yellow pen; selected object-role cells are masked instead of withholding an ordinal word or output position.</x:v>
      </x:c>
      <x:c r="Q777" s="38" t="n">
        <x:v>4</x:v>
      </x:c>
    </x:row>
    <x:row r="778" ht="60" customHeight="1">
      <x:c r="A778" s="70" t="n">
        <x:v>776</x:v>
      </x:c>
      <x:c r="B778" s="37" t="str">
        <x:v>Ordering/Sequencing</x:v>
      </x:c>
      <x:c r="C778" s="37" t="str">
        <x:v>Pick up the object that is third from the left and place it in the bowl.</x:v>
      </x:c>
      <x:c r="D778" s="37" t="str">
        <x:v>Explicit ordinal grounding</x:v>
      </x:c>
      <x:c r="E778" s="37" t="str">
        <x:v>n=4; physical role=L3; expression=third from the left; target=yellow pen</x:v>
      </x:c>
      <x:c r="F778" s="37" t="str">
        <x:v>ordering_n4_l3_yellow_pen_explicit</x:v>
      </x:c>
      <x:c r="G778" s="37" t="str">
        <x:v>selected sequence-length × physical ordinal role × target-identity cells listed on Holdout Map</x:v>
      </x:c>
      <x:c r="H778" s="37" t="str">
        <x:v>Yes</x:v>
      </x:c>
      <x:c r="I778" s="37" t="str">
        <x:v>Replace prompt only</x:v>
      </x:c>
      <x:c r="J778" s="37" t="str">
        <x:v>Prompt-only relabeling; preserve episode 776 video, scene, trajectory, target, and start position.</x:v>
      </x:c>
      <x:c r="K778" s="37" t="str">
        <x:v>airplane toy with propellers, green highlighter, yellow pen, blue tape ball</x:v>
      </x:c>
      <x:c r="L778" s="37" t="str">
        <x:v>yellow pen</x:v>
      </x:c>
      <x:c r="M778" s="37" t="str">
        <x:v>Home</x:v>
      </x:c>
      <x:c r="N778" s="37" t="str">
        <x:v>Put the yellow pen in the bowl.</x:v>
      </x:c>
      <x:c r="O778" s="37" t="str"/>
      <x:c r="P778" s="37" t="str">
        <x:v>Explicitly grounds ordinal role L3 at sequence length 4 with yellow pen; selected object-role cells are masked instead of withholding an ordinal word or output position.</x:v>
      </x:c>
      <x:c r="Q778" s="38" t="n">
        <x:v>4</x:v>
      </x:c>
    </x:row>
    <x:row r="779" ht="60" customHeight="1">
      <x:c r="A779" s="70" t="n">
        <x:v>777</x:v>
      </x:c>
      <x:c r="B779" s="37" t="str">
        <x:v>Ordering/Sequencing</x:v>
      </x:c>
      <x:c r="C779" s="37" t="str">
        <x:v>Move the second from the right object into the bowl.</x:v>
      </x:c>
      <x:c r="D779" s="37" t="str">
        <x:v>Explicit ordinal grounding</x:v>
      </x:c>
      <x:c r="E779" s="37" t="str">
        <x:v>n=4; physical role=L3; expression=second from the right; target=yellow pen</x:v>
      </x:c>
      <x:c r="F779" s="37" t="str">
        <x:v>ordering_n4_l3_yellow_pen_explicit</x:v>
      </x:c>
      <x:c r="G779" s="37" t="str">
        <x:v>selected sequence-length × physical ordinal role × target-identity cells listed on Holdout Map</x:v>
      </x:c>
      <x:c r="H779" s="37" t="str">
        <x:v>Yes</x:v>
      </x:c>
      <x:c r="I779" s="37" t="str">
        <x:v>Replace prompt only</x:v>
      </x:c>
      <x:c r="J779" s="37" t="str">
        <x:v>Prompt-only relabeling; preserve episode 777 video, scene, trajectory, target, and start position.</x:v>
      </x:c>
      <x:c r="K779" s="37" t="str">
        <x:v>blue tape ball, airplane toy with propellers, yellow pen, green highlighter</x:v>
      </x:c>
      <x:c r="L779" s="37" t="str">
        <x:v>yellow pen</x:v>
      </x:c>
      <x:c r="M779" s="37" t="str">
        <x:v>Home</x:v>
      </x:c>
      <x:c r="N779" s="37" t="str">
        <x:v>Pick up the yellow pen and place it in the bowl.</x:v>
      </x:c>
      <x:c r="O779" s="37" t="str"/>
      <x:c r="P779" s="37" t="str">
        <x:v>Explicitly grounds ordinal role L3 at sequence length 4 with yellow pen; selected object-role cells are masked instead of withholding an ordinal word or output position.</x:v>
      </x:c>
      <x:c r="Q779" s="38" t="n">
        <x:v>4</x:v>
      </x:c>
    </x:row>
    <x:row r="780" ht="60" customHeight="1">
      <x:c r="A780" s="70" t="n">
        <x:v>778</x:v>
      </x:c>
      <x:c r="B780" s="37" t="str">
        <x:v>Ordering/Sequencing</x:v>
      </x:c>
      <x:c r="C780" s="37" t="str">
        <x:v>Put the object that is third from the left in the bowl.</x:v>
      </x:c>
      <x:c r="D780" s="37" t="str">
        <x:v>Explicit ordinal grounding</x:v>
      </x:c>
      <x:c r="E780" s="37" t="str">
        <x:v>n=4; physical role=L3; expression=third from the left; target=yellow pen</x:v>
      </x:c>
      <x:c r="F780" s="37" t="str">
        <x:v>ordering_n4_l3_yellow_pen_explicit</x:v>
      </x:c>
      <x:c r="G780" s="37" t="str">
        <x:v>selected sequence-length × physical ordinal role × target-identity cells listed on Holdout Map</x:v>
      </x:c>
      <x:c r="H780" s="37" t="str">
        <x:v>Yes</x:v>
      </x:c>
      <x:c r="I780" s="37" t="str">
        <x:v>Replace prompt only</x:v>
      </x:c>
      <x:c r="J780" s="37" t="str">
        <x:v>Prompt-only relabeling; preserve episode 778 video, scene, trajectory, target, and start position.</x:v>
      </x:c>
      <x:c r="K780" s="37" t="str">
        <x:v>blue tape ball, green highlighter, yellow pen, airplane toy with propellers</x:v>
      </x:c>
      <x:c r="L780" s="37" t="str">
        <x:v>yellow pen</x:v>
      </x:c>
      <x:c r="M780" s="37" t="str">
        <x:v>Home</x:v>
      </x:c>
      <x:c r="N780" s="37" t="str">
        <x:v>Move the yellow pen into the bowl.</x:v>
      </x:c>
      <x:c r="O780" s="37" t="str"/>
      <x:c r="P780" s="37" t="str">
        <x:v>Explicitly grounds ordinal role L3 at sequence length 4 with yellow pen; selected object-role cells are masked instead of withholding an ordinal word or output position.</x:v>
      </x:c>
      <x:c r="Q780" s="38" t="n">
        <x:v>4</x:v>
      </x:c>
    </x:row>
    <x:row r="781" ht="60" customHeight="1">
      <x:c r="A781" s="70" t="n">
        <x:v>779</x:v>
      </x:c>
      <x:c r="B781" s="37" t="str">
        <x:v>Ordering/Sequencing</x:v>
      </x:c>
      <x:c r="C781" s="37" t="str">
        <x:v>Pick up the object that is first from the right and place it in the bowl.</x:v>
      </x:c>
      <x:c r="D781" s="37" t="str">
        <x:v>Explicit ordinal grounding</x:v>
      </x:c>
      <x:c r="E781" s="37" t="str">
        <x:v>n=3; physical role=L3; expression=first from the right; target=yellow pen</x:v>
      </x:c>
      <x:c r="F781" s="37" t="str">
        <x:v>ordering_n3_l3_yellow_pen_explicit</x:v>
      </x:c>
      <x:c r="G781" s="37" t="str">
        <x:v>selected sequence-length × physical ordinal role × target-identity cells listed on Holdout Map</x:v>
      </x:c>
      <x:c r="H781" s="37" t="str">
        <x:v>Yes</x:v>
      </x:c>
      <x:c r="I781" s="37" t="str">
        <x:v>Replace prompt only</x:v>
      </x:c>
      <x:c r="J781" s="37" t="str">
        <x:v>Prompt-only relabeling; preserve episode 779 video, scene, trajectory, target, and start position.</x:v>
      </x:c>
      <x:c r="K781" s="37" t="str">
        <x:v>airplane toy with propellers, blue tape ball, yellow pen</x:v>
      </x:c>
      <x:c r="L781" s="37" t="str">
        <x:v>yellow pen</x:v>
      </x:c>
      <x:c r="M781" s="37" t="str">
        <x:v>Home</x:v>
      </x:c>
      <x:c r="N781" s="37" t="str">
        <x:v>Move the yellow pen into the bowl.</x:v>
      </x:c>
      <x:c r="O781" s="37" t="str"/>
      <x:c r="P781" s="37" t="str">
        <x:v>Explicitly grounds ordinal role L3 at sequence length 3 with yellow pen; selected object-role cells are masked instead of withholding an ordinal word or output position.</x:v>
      </x:c>
      <x:c r="Q781" s="38" t="n">
        <x:v>3</x:v>
      </x:c>
    </x:row>
    <x:row r="782" ht="60" customHeight="1">
      <x:c r="A782" s="70" t="n">
        <x:v>780</x:v>
      </x:c>
      <x:c r="B782" s="37" t="str">
        <x:v>Ordering/Sequencing</x:v>
      </x:c>
      <x:c r="C782" s="37" t="str">
        <x:v>Move the third from the left object into the bowl.</x:v>
      </x:c>
      <x:c r="D782" s="37" t="str">
        <x:v>Explicit ordinal grounding</x:v>
      </x:c>
      <x:c r="E782" s="37" t="str">
        <x:v>n=3; physical role=L3; expression=third from the left; target=yellow pen</x:v>
      </x:c>
      <x:c r="F782" s="37" t="str">
        <x:v>ordering_n3_l3_yellow_pen_explicit</x:v>
      </x:c>
      <x:c r="G782" s="37" t="str">
        <x:v>selected sequence-length × physical ordinal role × target-identity cells listed on Holdout Map</x:v>
      </x:c>
      <x:c r="H782" s="37" t="str">
        <x:v>Yes</x:v>
      </x:c>
      <x:c r="I782" s="37" t="str">
        <x:v>Replace prompt only</x:v>
      </x:c>
      <x:c r="J782" s="37" t="str">
        <x:v>Prompt-only relabeling; preserve episode 780 video, scene, trajectory, target, and start position.</x:v>
      </x:c>
      <x:c r="K782" s="37" t="str">
        <x:v>airplane toy with propellers, green highlighter, yellow pen</x:v>
      </x:c>
      <x:c r="L782" s="37" t="str">
        <x:v>yellow pen</x:v>
      </x:c>
      <x:c r="M782" s="37" t="str">
        <x:v>Home</x:v>
      </x:c>
      <x:c r="N782" s="37" t="str">
        <x:v>Move the yellow pen into the bowl.</x:v>
      </x:c>
      <x:c r="O782" s="37" t="str"/>
      <x:c r="P782" s="37" t="str">
        <x:v>Explicitly grounds ordinal role L3 at sequence length 3 with yellow pen; selected object-role cells are masked instead of withholding an ordinal word or output position.</x:v>
      </x:c>
      <x:c r="Q782" s="38" t="n">
        <x:v>3</x:v>
      </x:c>
    </x:row>
    <x:row r="783" ht="60" customHeight="1">
      <x:c r="A783" s="70" t="n">
        <x:v>781</x:v>
      </x:c>
      <x:c r="B783" s="37" t="str">
        <x:v>Ordering/Sequencing</x:v>
      </x:c>
      <x:c r="C783" s="37" t="str">
        <x:v>Put the object that is first from the right in the bowl.</x:v>
      </x:c>
      <x:c r="D783" s="37" t="str">
        <x:v>Explicit ordinal grounding</x:v>
      </x:c>
      <x:c r="E783" s="37" t="str">
        <x:v>n=3; physical role=L3; expression=first from the right; target=yellow pen</x:v>
      </x:c>
      <x:c r="F783" s="37" t="str">
        <x:v>ordering_n3_l3_yellow_pen_explicit</x:v>
      </x:c>
      <x:c r="G783" s="37" t="str">
        <x:v>selected sequence-length × physical ordinal role × target-identity cells listed on Holdout Map</x:v>
      </x:c>
      <x:c r="H783" s="37" t="str">
        <x:v>Yes</x:v>
      </x:c>
      <x:c r="I783" s="37" t="str">
        <x:v>Replace prompt only</x:v>
      </x:c>
      <x:c r="J783" s="37" t="str">
        <x:v>Prompt-only relabeling; preserve episode 781 video, scene, trajectory, target, and start position.</x:v>
      </x:c>
      <x:c r="K783" s="37" t="str">
        <x:v>blue tape ball, airplane toy with propellers, yellow pen</x:v>
      </x:c>
      <x:c r="L783" s="37" t="str">
        <x:v>yellow pen</x:v>
      </x:c>
      <x:c r="M783" s="37" t="str">
        <x:v>Home</x:v>
      </x:c>
      <x:c r="N783" s="37" t="str">
        <x:v>Put the yellow pen in the bowl.</x:v>
      </x:c>
      <x:c r="O783" s="37" t="str"/>
      <x:c r="P783" s="37" t="str">
        <x:v>Explicitly grounds ordinal role L3 at sequence length 3 with yellow pen; selected object-role cells are masked instead of withholding an ordinal word or output position.</x:v>
      </x:c>
      <x:c r="Q783" s="38" t="n">
        <x:v>3</x:v>
      </x:c>
    </x:row>
    <x:row r="784" ht="60" customHeight="1">
      <x:c r="A784" s="70" t="n">
        <x:v>782</x:v>
      </x:c>
      <x:c r="B784" s="37" t="str">
        <x:v>Ordering/Sequencing</x:v>
      </x:c>
      <x:c r="C784" s="37" t="str">
        <x:v>Pick up the object that is third from the left and place it in the bowl.</x:v>
      </x:c>
      <x:c r="D784" s="37" t="str">
        <x:v>Explicit ordinal grounding</x:v>
      </x:c>
      <x:c r="E784" s="37" t="str">
        <x:v>n=3; physical role=L3; expression=third from the left; target=yellow pen</x:v>
      </x:c>
      <x:c r="F784" s="37" t="str">
        <x:v>ordering_n3_l3_yellow_pen_explicit</x:v>
      </x:c>
      <x:c r="G784" s="37" t="str">
        <x:v>selected sequence-length × physical ordinal role × target-identity cells listed on Holdout Map</x:v>
      </x:c>
      <x:c r="H784" s="37" t="str">
        <x:v>Yes</x:v>
      </x:c>
      <x:c r="I784" s="37" t="str">
        <x:v>Replace prompt only</x:v>
      </x:c>
      <x:c r="J784" s="37" t="str">
        <x:v>Prompt-only relabeling; preserve episode 782 video, scene, trajectory, target, and start position.</x:v>
      </x:c>
      <x:c r="K784" s="37" t="str">
        <x:v>blue tape ball, green highlighter, yellow pen</x:v>
      </x:c>
      <x:c r="L784" s="37" t="str">
        <x:v>yellow pen</x:v>
      </x:c>
      <x:c r="M784" s="37" t="str">
        <x:v>Home</x:v>
      </x:c>
      <x:c r="N784" s="37" t="str">
        <x:v>Put the yellow pen in the bowl.</x:v>
      </x:c>
      <x:c r="O784" s="37" t="str"/>
      <x:c r="P784" s="37" t="str">
        <x:v>Explicitly grounds ordinal role L3 at sequence length 3 with yellow pen; selected object-role cells are masked instead of withholding an ordinal word or output position.</x:v>
      </x:c>
      <x:c r="Q784" s="38" t="n">
        <x:v>3</x:v>
      </x:c>
    </x:row>
    <x:row r="785" ht="60" customHeight="1">
      <x:c r="A785" s="70" t="n">
        <x:v>783</x:v>
      </x:c>
      <x:c r="B785" s="37" t="str">
        <x:v>Ordering/Sequencing</x:v>
      </x:c>
      <x:c r="C785" s="37" t="str">
        <x:v>Move the first from the right object into the bowl.</x:v>
      </x:c>
      <x:c r="D785" s="37" t="str">
        <x:v>Explicit ordinal grounding</x:v>
      </x:c>
      <x:c r="E785" s="37" t="str">
        <x:v>n=3; physical role=L3; expression=first from the right; target=yellow pen</x:v>
      </x:c>
      <x:c r="F785" s="37" t="str">
        <x:v>ordering_n3_l3_yellow_pen_explicit</x:v>
      </x:c>
      <x:c r="G785" s="37" t="str">
        <x:v>selected sequence-length × physical ordinal role × target-identity cells listed on Holdout Map</x:v>
      </x:c>
      <x:c r="H785" s="37" t="str">
        <x:v>Yes</x:v>
      </x:c>
      <x:c r="I785" s="37" t="str">
        <x:v>Replace prompt only</x:v>
      </x:c>
      <x:c r="J785" s="37" t="str">
        <x:v>Prompt-only relabeling; preserve episode 783 video, scene, trajectory, target, and start position.</x:v>
      </x:c>
      <x:c r="K785" s="37" t="str">
        <x:v>green highlighter, airplane toy with propellers, yellow pen</x:v>
      </x:c>
      <x:c r="L785" s="37" t="str">
        <x:v>yellow pen</x:v>
      </x:c>
      <x:c r="M785" s="37" t="str">
        <x:v>Home</x:v>
      </x:c>
      <x:c r="N785" s="37" t="str">
        <x:v>Pick up the yellow pen and place it in the bowl.</x:v>
      </x:c>
      <x:c r="O785" s="37" t="str"/>
      <x:c r="P785" s="37" t="str">
        <x:v>Explicitly grounds ordinal role L3 at sequence length 3 with yellow pen; selected object-role cells are masked instead of withholding an ordinal word or output position.</x:v>
      </x:c>
      <x:c r="Q785" s="38" t="n">
        <x:v>3</x:v>
      </x:c>
    </x:row>
    <x:row r="786" ht="60" customHeight="1">
      <x:c r="A786" s="70" t="n">
        <x:v>784</x:v>
      </x:c>
      <x:c r="B786" s="37" t="str">
        <x:v>Ordering/Sequencing</x:v>
      </x:c>
      <x:c r="C786" s="37" t="str">
        <x:v>Put the object that is third from the left in the bowl.</x:v>
      </x:c>
      <x:c r="D786" s="37" t="str">
        <x:v>Explicit ordinal grounding</x:v>
      </x:c>
      <x:c r="E786" s="37" t="str">
        <x:v>n=3; physical role=L3; expression=third from the left; target=yellow pen</x:v>
      </x:c>
      <x:c r="F786" s="37" t="str">
        <x:v>ordering_n3_l3_yellow_pen_explicit</x:v>
      </x:c>
      <x:c r="G786" s="37" t="str">
        <x:v>selected sequence-length × physical ordinal role × target-identity cells listed on Holdout Map</x:v>
      </x:c>
      <x:c r="H786" s="37" t="str">
        <x:v>Yes</x:v>
      </x:c>
      <x:c r="I786" s="37" t="str">
        <x:v>Replace prompt only</x:v>
      </x:c>
      <x:c r="J786" s="37" t="str">
        <x:v>Prompt-only relabeling; preserve episode 784 video, scene, trajectory, target, and start position.</x:v>
      </x:c>
      <x:c r="K786" s="37" t="str">
        <x:v>green highlighter, blue tape ball, yellow pen</x:v>
      </x:c>
      <x:c r="L786" s="37" t="str">
        <x:v>yellow pen</x:v>
      </x:c>
      <x:c r="M786" s="37" t="str">
        <x:v>Home</x:v>
      </x:c>
      <x:c r="N786" s="37" t="str">
        <x:v>Pick up the yellow pen and place it in the bowl.</x:v>
      </x:c>
      <x:c r="O786" s="37" t="str"/>
      <x:c r="P786" s="37" t="str">
        <x:v>Explicitly grounds ordinal role L3 at sequence length 3 with yellow pen; selected object-role cells are masked instead of withholding an ordinal word or output position.</x:v>
      </x:c>
      <x:c r="Q786" s="38" t="n">
        <x:v>3</x:v>
      </x:c>
    </x:row>
    <x:row r="787" ht="60" customHeight="1">
      <x:c r="A787" s="70" t="n">
        <x:v>785</x:v>
      </x:c>
      <x:c r="B787" s="37" t="str">
        <x:v>Ordering/Sequencing</x:v>
      </x:c>
      <x:c r="C787" s="37" t="str">
        <x:v>Pick up the object that is second from the right and place it in the bowl.</x:v>
      </x:c>
      <x:c r="D787" s="37" t="str">
        <x:v>Explicit ordinal grounding</x:v>
      </x:c>
      <x:c r="E787" s="37" t="str">
        <x:v>n=4; physical role=L3; expression=second from the right; target=yellow pen</x:v>
      </x:c>
      <x:c r="F787" s="37" t="str">
        <x:v>ordering_n4_l3_yellow_pen_explicit</x:v>
      </x:c>
      <x:c r="G787" s="37" t="str">
        <x:v>selected sequence-length × physical ordinal role × target-identity cells listed on Holdout Map</x:v>
      </x:c>
      <x:c r="H787" s="37" t="str">
        <x:v>Yes</x:v>
      </x:c>
      <x:c r="I787" s="37" t="str">
        <x:v>Replace prompt only</x:v>
      </x:c>
      <x:c r="J787" s="37" t="str">
        <x:v>Prompt-only relabeling; preserve episode 785 video, scene, trajectory, target, and start position.</x:v>
      </x:c>
      <x:c r="K787" s="37" t="str">
        <x:v>green highlighter, airplane toy with propellers, yellow pen, blue tape ball</x:v>
      </x:c>
      <x:c r="L787" s="37" t="str">
        <x:v>yellow pen</x:v>
      </x:c>
      <x:c r="M787" s="37" t="str">
        <x:v>Recovery</x:v>
      </x:c>
      <x:c r="N787" s="37" t="str">
        <x:v>Put the yellow pen in the bowl.</x:v>
      </x:c>
      <x:c r="O787" s="37" t="str"/>
      <x:c r="P787" s="37" t="str">
        <x:v>Explicitly grounds ordinal role L3 at sequence length 4 with yellow pen; selected object-role cells are masked instead of withholding an ordinal word or output position.</x:v>
      </x:c>
      <x:c r="Q787" s="38" t="n">
        <x:v>4</x:v>
      </x:c>
    </x:row>
    <x:row r="788" ht="60" customHeight="1">
      <x:c r="A788" s="70" t="n">
        <x:v>786</x:v>
      </x:c>
      <x:c r="B788" s="37" t="str">
        <x:v>Ordering/Sequencing</x:v>
      </x:c>
      <x:c r="C788" s="37" t="str">
        <x:v>Move the third from the left object into the bowl.</x:v>
      </x:c>
      <x:c r="D788" s="37" t="str">
        <x:v>Explicit ordinal grounding</x:v>
      </x:c>
      <x:c r="E788" s="37" t="str">
        <x:v>n=4; physical role=L3; expression=third from the left; target=yellow pen</x:v>
      </x:c>
      <x:c r="F788" s="37" t="str">
        <x:v>ordering_n4_l3_yellow_pen_explicit</x:v>
      </x:c>
      <x:c r="G788" s="37" t="str">
        <x:v>selected sequence-length × physical ordinal role × target-identity cells listed on Holdout Map</x:v>
      </x:c>
      <x:c r="H788" s="37" t="str">
        <x:v>Yes</x:v>
      </x:c>
      <x:c r="I788" s="37" t="str">
        <x:v>Replace prompt only</x:v>
      </x:c>
      <x:c r="J788" s="37" t="str">
        <x:v>Prompt-only relabeling; preserve episode 786 video, scene, trajectory, target, and start position.</x:v>
      </x:c>
      <x:c r="K788" s="37" t="str">
        <x:v>green highlighter, blue tape ball, yellow pen, airplane toy with propellers</x:v>
      </x:c>
      <x:c r="L788" s="37" t="str">
        <x:v>yellow pen</x:v>
      </x:c>
      <x:c r="M788" s="37" t="str">
        <x:v>Recovery</x:v>
      </x:c>
      <x:c r="N788" s="37" t="str">
        <x:v>Pick up the yellow pen and place it in the bowl.</x:v>
      </x:c>
      <x:c r="O788" s="37" t="str"/>
      <x:c r="P788" s="37" t="str">
        <x:v>Explicitly grounds ordinal role L3 at sequence length 4 with yellow pen; selected object-role cells are masked instead of withholding an ordinal word or output position.</x:v>
      </x:c>
      <x:c r="Q788" s="38" t="n">
        <x:v>4</x:v>
      </x:c>
    </x:row>
    <x:row r="789" ht="60" customHeight="1">
      <x:c r="A789" s="70" t="n">
        <x:v>787</x:v>
      </x:c>
      <x:c r="B789" s="37" t="str">
        <x:v>Ordering/Sequencing</x:v>
      </x:c>
      <x:c r="C789" s="37" t="str">
        <x:v>Move the yellow pen into the bowl.</x:v>
      </x:c>
      <x:c r="D789" s="37" t="str">
        <x:v>Masked ordinal-role × target-identity composition</x:v>
      </x:c>
      <x:c r="E789" s="37" t="str">
        <x:v>n=4; physical role=L4; direct identity=yellow pen</x:v>
      </x:c>
      <x:c r="F789" s="37" t="str">
        <x:v>ordering_n4_l4_yellow_pen_masked</x:v>
      </x:c>
      <x:c r="G789" s="37" t="str">
        <x:v>selected sequence-length × physical ordinal role × target-identity cells listed on Holdout Map</x:v>
      </x:c>
      <x:c r="H789" s="37" t="str">
        <x:v>No</x:v>
      </x:c>
      <x:c r="I789" s="37" t="str">
        <x:v>Keep prompt</x:v>
      </x:c>
      <x:c r="J789" s="37" t="str">
        <x:v>No prompt change required under the missing-cell design.</x:v>
      </x:c>
      <x:c r="K789" s="37" t="str">
        <x:v>airplane toy with propellers, blue tape ball, green highlighter, yellow pen</x:v>
      </x:c>
      <x:c r="L789" s="37" t="str">
        <x:v>yellow pen</x:v>
      </x:c>
      <x:c r="M789" s="37" t="str">
        <x:v>Home</x:v>
      </x:c>
      <x:c r="N789" s="37" t="str">
        <x:v>Move the yellow pen into the bowl.</x:v>
      </x:c>
      <x:c r="O789" s="37" t="str">
        <x:v>Put the object that is fourth from the left in the bowl. | Pick up the object that is first from the right and place it in the bowl.</x:v>
      </x:c>
      <x:c r="P789" s="37" t="str">
        <x:v>Both logically equivalent ordinal descriptions of L4 are withheld for yellow pen at sequence length 4, while the same trajectory remains under a direct-name instruction.</x:v>
      </x:c>
      <x:c r="Q789" s="38" t="n">
        <x:v>4</x:v>
      </x:c>
    </x:row>
    <x:row r="790" ht="60" customHeight="1">
      <x:c r="A790" s="70" t="n">
        <x:v>788</x:v>
      </x:c>
      <x:c r="B790" s="37" t="str">
        <x:v>Ordering/Sequencing</x:v>
      </x:c>
      <x:c r="C790" s="37" t="str">
        <x:v>Put the yellow pen in the bowl.</x:v>
      </x:c>
      <x:c r="D790" s="37" t="str">
        <x:v>Masked ordinal-role × target-identity composition</x:v>
      </x:c>
      <x:c r="E790" s="37" t="str">
        <x:v>n=4; physical role=L4; direct identity=yellow pen</x:v>
      </x:c>
      <x:c r="F790" s="37" t="str">
        <x:v>ordering_n4_l4_yellow_pen_masked</x:v>
      </x:c>
      <x:c r="G790" s="37" t="str">
        <x:v>selected sequence-length × physical ordinal role × target-identity cells listed on Holdout Map</x:v>
      </x:c>
      <x:c r="H790" s="37" t="str">
        <x:v>No</x:v>
      </x:c>
      <x:c r="I790" s="37" t="str">
        <x:v>Keep prompt</x:v>
      </x:c>
      <x:c r="J790" s="37" t="str">
        <x:v>No prompt change required under the missing-cell design.</x:v>
      </x:c>
      <x:c r="K790" s="37" t="str">
        <x:v>airplane toy with propellers, green highlighter, blue tape ball, yellow pen</x:v>
      </x:c>
      <x:c r="L790" s="37" t="str">
        <x:v>yellow pen</x:v>
      </x:c>
      <x:c r="M790" s="37" t="str">
        <x:v>Home</x:v>
      </x:c>
      <x:c r="N790" s="37" t="str">
        <x:v>Put the yellow pen in the bowl.</x:v>
      </x:c>
      <x:c r="O790" s="37" t="str">
        <x:v>Pick up the object that is fourth from the left and place it in the bowl. | Move the first from the right object into the bowl.</x:v>
      </x:c>
      <x:c r="P790" s="37" t="str">
        <x:v>Both logically equivalent ordinal descriptions of L4 are withheld for yellow pen at sequence length 4, while the same trajectory remains under a direct-name instruction.</x:v>
      </x:c>
      <x:c r="Q790" s="38" t="n">
        <x:v>4</x:v>
      </x:c>
    </x:row>
    <x:row r="791" ht="60" customHeight="1">
      <x:c r="A791" s="70" t="n">
        <x:v>789</x:v>
      </x:c>
      <x:c r="B791" s="37" t="str">
        <x:v>Ordering/Sequencing</x:v>
      </x:c>
      <x:c r="C791" s="37" t="str">
        <x:v>Pick up the yellow pen and place it in the bowl.</x:v>
      </x:c>
      <x:c r="D791" s="37" t="str">
        <x:v>Masked ordinal-role × target-identity composition</x:v>
      </x:c>
      <x:c r="E791" s="37" t="str">
        <x:v>n=4; physical role=L4; direct identity=yellow pen</x:v>
      </x:c>
      <x:c r="F791" s="37" t="str">
        <x:v>ordering_n4_l4_yellow_pen_masked</x:v>
      </x:c>
      <x:c r="G791" s="37" t="str">
        <x:v>selected sequence-length × physical ordinal role × target-identity cells listed on Holdout Map</x:v>
      </x:c>
      <x:c r="H791" s="37" t="str">
        <x:v>No</x:v>
      </x:c>
      <x:c r="I791" s="37" t="str">
        <x:v>Keep prompt</x:v>
      </x:c>
      <x:c r="J791" s="37" t="str">
        <x:v>No prompt change required under the missing-cell design.</x:v>
      </x:c>
      <x:c r="K791" s="37" t="str">
        <x:v>blue tape ball, airplane toy with propellers, green highlighter, yellow pen</x:v>
      </x:c>
      <x:c r="L791" s="37" t="str">
        <x:v>yellow pen</x:v>
      </x:c>
      <x:c r="M791" s="37" t="str">
        <x:v>Home</x:v>
      </x:c>
      <x:c r="N791" s="37" t="str">
        <x:v>Pick up the yellow pen and place it in the bowl.</x:v>
      </x:c>
      <x:c r="O791" s="37" t="str">
        <x:v>Move the fourth from the left object into the bowl. | Put the object that is first from the right in the bowl.</x:v>
      </x:c>
      <x:c r="P791" s="37" t="str">
        <x:v>Both logically equivalent ordinal descriptions of L4 are withheld for yellow pen at sequence length 4, while the same trajectory remains under a direct-name instruction.</x:v>
      </x:c>
      <x:c r="Q791" s="38" t="n">
        <x:v>4</x:v>
      </x:c>
    </x:row>
    <x:row r="792" ht="60" customHeight="1">
      <x:c r="A792" s="70" t="n">
        <x:v>790</x:v>
      </x:c>
      <x:c r="B792" s="37" t="str">
        <x:v>Ordering/Sequencing</x:v>
      </x:c>
      <x:c r="C792" s="37" t="str">
        <x:v>Move the yellow pen into the bowl.</x:v>
      </x:c>
      <x:c r="D792" s="37" t="str">
        <x:v>Masked ordinal-role × target-identity composition</x:v>
      </x:c>
      <x:c r="E792" s="37" t="str">
        <x:v>n=4; physical role=L4; direct identity=yellow pen</x:v>
      </x:c>
      <x:c r="F792" s="37" t="str">
        <x:v>ordering_n4_l4_yellow_pen_masked</x:v>
      </x:c>
      <x:c r="G792" s="37" t="str">
        <x:v>selected sequence-length × physical ordinal role × target-identity cells listed on Holdout Map</x:v>
      </x:c>
      <x:c r="H792" s="37" t="str">
        <x:v>No</x:v>
      </x:c>
      <x:c r="I792" s="37" t="str">
        <x:v>Keep prompt</x:v>
      </x:c>
      <x:c r="J792" s="37" t="str">
        <x:v>No prompt change required under the missing-cell design.</x:v>
      </x:c>
      <x:c r="K792" s="37" t="str">
        <x:v>blue tape ball, green highlighter, airplane toy with propellers, yellow pen</x:v>
      </x:c>
      <x:c r="L792" s="37" t="str">
        <x:v>yellow pen</x:v>
      </x:c>
      <x:c r="M792" s="37" t="str">
        <x:v>Home</x:v>
      </x:c>
      <x:c r="N792" s="37" t="str">
        <x:v>Move the yellow pen into the bowl.</x:v>
      </x:c>
      <x:c r="O792" s="37" t="str">
        <x:v>Put the object that is fourth from the left in the bowl. | Pick up the object that is first from the right and place it in the bowl.</x:v>
      </x:c>
      <x:c r="P792" s="37" t="str">
        <x:v>Both logically equivalent ordinal descriptions of L4 are withheld for yellow pen at sequence length 4, while the same trajectory remains under a direct-name instruction.</x:v>
      </x:c>
      <x:c r="Q792" s="38" t="n">
        <x:v>4</x:v>
      </x:c>
    </x:row>
    <x:row r="793" ht="60" customHeight="1">
      <x:c r="A793" s="70" t="n">
        <x:v>791</x:v>
      </x:c>
      <x:c r="B793" s="37" t="str">
        <x:v>Ordering/Sequencing</x:v>
      </x:c>
      <x:c r="C793" s="37" t="str">
        <x:v>Put the yellow pen in the bowl.</x:v>
      </x:c>
      <x:c r="D793" s="37" t="str">
        <x:v>Masked ordinal-role × target-identity composition</x:v>
      </x:c>
      <x:c r="E793" s="37" t="str">
        <x:v>n=4; physical role=L4; direct identity=yellow pen</x:v>
      </x:c>
      <x:c r="F793" s="37" t="str">
        <x:v>ordering_n4_l4_yellow_pen_masked</x:v>
      </x:c>
      <x:c r="G793" s="37" t="str">
        <x:v>selected sequence-length × physical ordinal role × target-identity cells listed on Holdout Map</x:v>
      </x:c>
      <x:c r="H793" s="37" t="str">
        <x:v>No</x:v>
      </x:c>
      <x:c r="I793" s="37" t="str">
        <x:v>Keep prompt</x:v>
      </x:c>
      <x:c r="J793" s="37" t="str">
        <x:v>No prompt change required under the missing-cell design.</x:v>
      </x:c>
      <x:c r="K793" s="37" t="str">
        <x:v>green highlighter, airplane toy with propellers, blue tape ball, yellow pen</x:v>
      </x:c>
      <x:c r="L793" s="37" t="str">
        <x:v>yellow pen</x:v>
      </x:c>
      <x:c r="M793" s="37" t="str">
        <x:v>Home</x:v>
      </x:c>
      <x:c r="N793" s="37" t="str">
        <x:v>Put the yellow pen in the bowl.</x:v>
      </x:c>
      <x:c r="O793" s="37" t="str">
        <x:v>Pick up the object that is fourth from the left and place it in the bowl. | Move the first from the right object into the bowl.</x:v>
      </x:c>
      <x:c r="P793" s="37" t="str">
        <x:v>Both logically equivalent ordinal descriptions of L4 are withheld for yellow pen at sequence length 4, while the same trajectory remains under a direct-name instruction.</x:v>
      </x:c>
      <x:c r="Q793" s="38" t="n">
        <x:v>4</x:v>
      </x:c>
    </x:row>
    <x:row r="794" ht="60" customHeight="1">
      <x:c r="A794" s="70" t="n">
        <x:v>792</x:v>
      </x:c>
      <x:c r="B794" s="37" t="str">
        <x:v>Ordering/Sequencing</x:v>
      </x:c>
      <x:c r="C794" s="37" t="str">
        <x:v>Pick up the yellow pen and place it in the bowl.</x:v>
      </x:c>
      <x:c r="D794" s="37" t="str">
        <x:v>Masked ordinal-role × target-identity composition</x:v>
      </x:c>
      <x:c r="E794" s="37" t="str">
        <x:v>n=4; physical role=L4; direct identity=yellow pen</x:v>
      </x:c>
      <x:c r="F794" s="37" t="str">
        <x:v>ordering_n4_l4_yellow_pen_masked</x:v>
      </x:c>
      <x:c r="G794" s="37" t="str">
        <x:v>selected sequence-length × physical ordinal role × target-identity cells listed on Holdout Map</x:v>
      </x:c>
      <x:c r="H794" s="37" t="str">
        <x:v>No</x:v>
      </x:c>
      <x:c r="I794" s="37" t="str">
        <x:v>Keep prompt</x:v>
      </x:c>
      <x:c r="J794" s="37" t="str">
        <x:v>No prompt change required under the missing-cell design.</x:v>
      </x:c>
      <x:c r="K794" s="37" t="str">
        <x:v>green highlighter, blue tape ball, airplane toy with propellers, yellow pen</x:v>
      </x:c>
      <x:c r="L794" s="37" t="str">
        <x:v>yellow pen</x:v>
      </x:c>
      <x:c r="M794" s="37" t="str">
        <x:v>Home</x:v>
      </x:c>
      <x:c r="N794" s="37" t="str">
        <x:v>Pick up the yellow pen and place it in the bowl.</x:v>
      </x:c>
      <x:c r="O794" s="37" t="str">
        <x:v>Move the fourth from the left object into the bowl. | Put the object that is first from the right in the bowl.</x:v>
      </x:c>
      <x:c r="P794" s="37" t="str">
        <x:v>Both logically equivalent ordinal descriptions of L4 are withheld for yellow pen at sequence length 4, while the same trajectory remains under a direct-name instruction.</x:v>
      </x:c>
      <x:c r="Q794" s="38" t="n">
        <x:v>4</x:v>
      </x:c>
    </x:row>
    <x:row r="795" ht="60" customHeight="1">
      <x:c r="A795" s="70" t="n">
        <x:v>793</x:v>
      </x:c>
      <x:c r="B795" s="37" t="str">
        <x:v>Ordering/Sequencing</x:v>
      </x:c>
      <x:c r="C795" s="37" t="str">
        <x:v>Move the yellow pen into the bowl.</x:v>
      </x:c>
      <x:c r="D795" s="37" t="str">
        <x:v>Masked ordinal-role × target-identity composition</x:v>
      </x:c>
      <x:c r="E795" s="37" t="str">
        <x:v>n=4; physical role=L4; direct identity=yellow pen</x:v>
      </x:c>
      <x:c r="F795" s="37" t="str">
        <x:v>ordering_n4_l4_yellow_pen_masked</x:v>
      </x:c>
      <x:c r="G795" s="37" t="str">
        <x:v>selected sequence-length × physical ordinal role × target-identity cells listed on Holdout Map</x:v>
      </x:c>
      <x:c r="H795" s="37" t="str">
        <x:v>No</x:v>
      </x:c>
      <x:c r="I795" s="37" t="str">
        <x:v>Keep prompt</x:v>
      </x:c>
      <x:c r="J795" s="37" t="str">
        <x:v>No prompt change required under the missing-cell design.</x:v>
      </x:c>
      <x:c r="K795" s="37" t="str">
        <x:v>airplane toy with propellers, blue tape ball, green highlighter, yellow pen</x:v>
      </x:c>
      <x:c r="L795" s="37" t="str">
        <x:v>yellow pen</x:v>
      </x:c>
      <x:c r="M795" s="37" t="str">
        <x:v>Home</x:v>
      </x:c>
      <x:c r="N795" s="37" t="str">
        <x:v>Move the yellow pen into the bowl.</x:v>
      </x:c>
      <x:c r="O795" s="37" t="str">
        <x:v>Put the object that is fourth from the left in the bowl. | Pick up the object that is first from the right and place it in the bowl.</x:v>
      </x:c>
      <x:c r="P795" s="37" t="str">
        <x:v>Both logically equivalent ordinal descriptions of L4 are withheld for yellow pen at sequence length 4, while the same trajectory remains under a direct-name instruction.</x:v>
      </x:c>
      <x:c r="Q795" s="38" t="n">
        <x:v>4</x:v>
      </x:c>
    </x:row>
    <x:row r="796" ht="60" customHeight="1">
      <x:c r="A796" s="70" t="n">
        <x:v>794</x:v>
      </x:c>
      <x:c r="B796" s="37" t="str">
        <x:v>Ordering/Sequencing</x:v>
      </x:c>
      <x:c r="C796" s="37" t="str">
        <x:v>Put the yellow pen in the bowl.</x:v>
      </x:c>
      <x:c r="D796" s="37" t="str">
        <x:v>Masked ordinal-role × target-identity composition</x:v>
      </x:c>
      <x:c r="E796" s="37" t="str">
        <x:v>n=4; physical role=L4; direct identity=yellow pen</x:v>
      </x:c>
      <x:c r="F796" s="37" t="str">
        <x:v>ordering_n4_l4_yellow_pen_masked</x:v>
      </x:c>
      <x:c r="G796" s="37" t="str">
        <x:v>selected sequence-length × physical ordinal role × target-identity cells listed on Holdout Map</x:v>
      </x:c>
      <x:c r="H796" s="37" t="str">
        <x:v>No</x:v>
      </x:c>
      <x:c r="I796" s="37" t="str">
        <x:v>Keep prompt</x:v>
      </x:c>
      <x:c r="J796" s="37" t="str">
        <x:v>No prompt change required under the missing-cell design.</x:v>
      </x:c>
      <x:c r="K796" s="37" t="str">
        <x:v>airplane toy with propellers, green highlighter, blue tape ball, yellow pen</x:v>
      </x:c>
      <x:c r="L796" s="37" t="str">
        <x:v>yellow pen</x:v>
      </x:c>
      <x:c r="M796" s="37" t="str">
        <x:v>Home</x:v>
      </x:c>
      <x:c r="N796" s="37" t="str">
        <x:v>Put the yellow pen in the bowl.</x:v>
      </x:c>
      <x:c r="O796" s="37" t="str">
        <x:v>Pick up the object that is fourth from the left and place it in the bowl. | Move the first from the right object into the bowl.</x:v>
      </x:c>
      <x:c r="P796" s="37" t="str">
        <x:v>Both logically equivalent ordinal descriptions of L4 are withheld for yellow pen at sequence length 4, while the same trajectory remains under a direct-name instruction.</x:v>
      </x:c>
      <x:c r="Q796" s="38" t="n">
        <x:v>4</x:v>
      </x:c>
    </x:row>
    <x:row r="797" ht="60" customHeight="1">
      <x:c r="A797" s="70" t="n">
        <x:v>795</x:v>
      </x:c>
      <x:c r="B797" s="37" t="str">
        <x:v>Ordering/Sequencing</x:v>
      </x:c>
      <x:c r="C797" s="37" t="str">
        <x:v>Pick up the yellow pen and place it in the bowl.</x:v>
      </x:c>
      <x:c r="D797" s="37" t="str">
        <x:v>Masked ordinal-role × target-identity composition</x:v>
      </x:c>
      <x:c r="E797" s="37" t="str">
        <x:v>n=4; physical role=L4; direct identity=yellow pen</x:v>
      </x:c>
      <x:c r="F797" s="37" t="str">
        <x:v>ordering_n4_l4_yellow_pen_masked</x:v>
      </x:c>
      <x:c r="G797" s="37" t="str">
        <x:v>selected sequence-length × physical ordinal role × target-identity cells listed on Holdout Map</x:v>
      </x:c>
      <x:c r="H797" s="37" t="str">
        <x:v>No</x:v>
      </x:c>
      <x:c r="I797" s="37" t="str">
        <x:v>Keep prompt</x:v>
      </x:c>
      <x:c r="J797" s="37" t="str">
        <x:v>No prompt change required under the missing-cell design.</x:v>
      </x:c>
      <x:c r="K797" s="37" t="str">
        <x:v>blue tape ball, airplane toy with propellers, green highlighter, yellow pen</x:v>
      </x:c>
      <x:c r="L797" s="37" t="str">
        <x:v>yellow pen</x:v>
      </x:c>
      <x:c r="M797" s="37" t="str">
        <x:v>Home</x:v>
      </x:c>
      <x:c r="N797" s="37" t="str">
        <x:v>Pick up the yellow pen and place it in the bowl.</x:v>
      </x:c>
      <x:c r="O797" s="37" t="str">
        <x:v>Move the fourth from the left object into the bowl. | Put the object that is first from the right in the bowl.</x:v>
      </x:c>
      <x:c r="P797" s="37" t="str">
        <x:v>Both logically equivalent ordinal descriptions of L4 are withheld for yellow pen at sequence length 4, while the same trajectory remains under a direct-name instruction.</x:v>
      </x:c>
      <x:c r="Q797" s="38" t="n">
        <x:v>4</x:v>
      </x:c>
    </x:row>
    <x:row r="798" ht="60" customHeight="1">
      <x:c r="A798" s="70" t="n">
        <x:v>796</x:v>
      </x:c>
      <x:c r="B798" s="37" t="str">
        <x:v>Ordering/Sequencing</x:v>
      </x:c>
      <x:c r="C798" s="37" t="str">
        <x:v>Move the yellow pen into the bowl.</x:v>
      </x:c>
      <x:c r="D798" s="37" t="str">
        <x:v>Masked ordinal-role × target-identity composition</x:v>
      </x:c>
      <x:c r="E798" s="37" t="str">
        <x:v>n=4; physical role=L4; direct identity=yellow pen</x:v>
      </x:c>
      <x:c r="F798" s="37" t="str">
        <x:v>ordering_n4_l4_yellow_pen_masked</x:v>
      </x:c>
      <x:c r="G798" s="37" t="str">
        <x:v>selected sequence-length × physical ordinal role × target-identity cells listed on Holdout Map</x:v>
      </x:c>
      <x:c r="H798" s="37" t="str">
        <x:v>No</x:v>
      </x:c>
      <x:c r="I798" s="37" t="str">
        <x:v>Keep prompt</x:v>
      </x:c>
      <x:c r="J798" s="37" t="str">
        <x:v>No prompt change required under the missing-cell design.</x:v>
      </x:c>
      <x:c r="K798" s="37" t="str">
        <x:v>blue tape ball, green highlighter, airplane toy with propellers, yellow pen</x:v>
      </x:c>
      <x:c r="L798" s="37" t="str">
        <x:v>yellow pen</x:v>
      </x:c>
      <x:c r="M798" s="37" t="str">
        <x:v>Home</x:v>
      </x:c>
      <x:c r="N798" s="37" t="str">
        <x:v>Move the yellow pen into the bowl.</x:v>
      </x:c>
      <x:c r="O798" s="37" t="str">
        <x:v>Put the object that is fourth from the left in the bowl. | Pick up the object that is first from the right and place it in the bowl.</x:v>
      </x:c>
      <x:c r="P798" s="37" t="str">
        <x:v>Both logically equivalent ordinal descriptions of L4 are withheld for yellow pen at sequence length 4, while the same trajectory remains under a direct-name instruction.</x:v>
      </x:c>
      <x:c r="Q798" s="38" t="n">
        <x:v>4</x:v>
      </x:c>
    </x:row>
    <x:row r="799" ht="60" customHeight="1">
      <x:c r="A799" s="70" t="n">
        <x:v>797</x:v>
      </x:c>
      <x:c r="B799" s="37" t="str">
        <x:v>Ordering/Sequencing</x:v>
      </x:c>
      <x:c r="C799" s="37" t="str">
        <x:v>Put the yellow pen in the bowl.</x:v>
      </x:c>
      <x:c r="D799" s="37" t="str">
        <x:v>Masked ordinal-role × target-identity composition</x:v>
      </x:c>
      <x:c r="E799" s="37" t="str">
        <x:v>n=4; physical role=L4; direct identity=yellow pen</x:v>
      </x:c>
      <x:c r="F799" s="37" t="str">
        <x:v>ordering_n4_l4_yellow_pen_masked</x:v>
      </x:c>
      <x:c r="G799" s="37" t="str">
        <x:v>selected sequence-length × physical ordinal role × target-identity cells listed on Holdout Map</x:v>
      </x:c>
      <x:c r="H799" s="37" t="str">
        <x:v>No</x:v>
      </x:c>
      <x:c r="I799" s="37" t="str">
        <x:v>Keep prompt</x:v>
      </x:c>
      <x:c r="J799" s="37" t="str">
        <x:v>No prompt change required under the missing-cell design.</x:v>
      </x:c>
      <x:c r="K799" s="37" t="str">
        <x:v>green highlighter, airplane toy with propellers, blue tape ball, yellow pen</x:v>
      </x:c>
      <x:c r="L799" s="37" t="str">
        <x:v>yellow pen</x:v>
      </x:c>
      <x:c r="M799" s="37" t="str">
        <x:v>Recovery</x:v>
      </x:c>
      <x:c r="N799" s="37" t="str">
        <x:v>Put the yellow pen in the bowl.</x:v>
      </x:c>
      <x:c r="O799" s="37" t="str">
        <x:v>Pick up the object that is fourth from the left and place it in the bowl. | Move the first from the right object into the bowl.</x:v>
      </x:c>
      <x:c r="P799" s="37" t="str">
        <x:v>Both logically equivalent ordinal descriptions of L4 are withheld for yellow pen at sequence length 4, while the same trajectory remains under a direct-name instruction.</x:v>
      </x:c>
      <x:c r="Q799" s="38" t="n">
        <x:v>4</x:v>
      </x:c>
    </x:row>
    <x:row r="800" ht="60" customHeight="1">
      <x:c r="A800" s="70" t="n">
        <x:v>798</x:v>
      </x:c>
      <x:c r="B800" s="37" t="str">
        <x:v>Ordering/Sequencing</x:v>
      </x:c>
      <x:c r="C800" s="37" t="str">
        <x:v>Pick up the yellow pen and place it in the bowl.</x:v>
      </x:c>
      <x:c r="D800" s="37" t="str">
        <x:v>Masked ordinal-role × target-identity composition</x:v>
      </x:c>
      <x:c r="E800" s="37" t="str">
        <x:v>n=4; physical role=L4; direct identity=yellow pen</x:v>
      </x:c>
      <x:c r="F800" s="37" t="str">
        <x:v>ordering_n4_l4_yellow_pen_masked</x:v>
      </x:c>
      <x:c r="G800" s="37" t="str">
        <x:v>selected sequence-length × physical ordinal role × target-identity cells listed on Holdout Map</x:v>
      </x:c>
      <x:c r="H800" s="37" t="str">
        <x:v>No</x:v>
      </x:c>
      <x:c r="I800" s="37" t="str">
        <x:v>Keep prompt</x:v>
      </x:c>
      <x:c r="J800" s="37" t="str">
        <x:v>No prompt change required under the missing-cell design.</x:v>
      </x:c>
      <x:c r="K800" s="37" t="str">
        <x:v>green highlighter, blue tape ball, airplane toy with propellers, yellow pen</x:v>
      </x:c>
      <x:c r="L800" s="37" t="str">
        <x:v>yellow pen</x:v>
      </x:c>
      <x:c r="M800" s="37" t="str">
        <x:v>Recovery</x:v>
      </x:c>
      <x:c r="N800" s="37" t="str">
        <x:v>Pick up the yellow pen and place it in the bowl.</x:v>
      </x:c>
      <x:c r="O800" s="37" t="str">
        <x:v>Move the fourth from the left object into the bowl. | Put the object that is first from the right in the bowl.</x:v>
      </x:c>
      <x:c r="P800" s="37" t="str">
        <x:v>Both logically equivalent ordinal descriptions of L4 are withheld for yellow pen at sequence length 4, while the same trajectory remains under a direct-name instruction.</x:v>
      </x:c>
      <x:c r="Q800" s="38" t="n">
        <x:v>4</x:v>
      </x:c>
    </x:row>
    <x:row r="801" ht="60" customHeight="1">
      <x:c r="A801" s="70" t="n">
        <x:v>799</x:v>
      </x:c>
      <x:c r="B801" s="37" t="str">
        <x:v>Ordering/Sequencing</x:v>
      </x:c>
      <x:c r="C801" s="37" t="str">
        <x:v>Move the yellow pen into the bowl.</x:v>
      </x:c>
      <x:c r="D801" s="37" t="str">
        <x:v>Masked ordinal-role × target-identity composition</x:v>
      </x:c>
      <x:c r="E801" s="37" t="str">
        <x:v>n=4; physical role=L4; direct identity=yellow pen</x:v>
      </x:c>
      <x:c r="F801" s="37" t="str">
        <x:v>ordering_n4_l4_yellow_pen_masked</x:v>
      </x:c>
      <x:c r="G801" s="37" t="str">
        <x:v>selected sequence-length × physical ordinal role × target-identity cells listed on Holdout Map</x:v>
      </x:c>
      <x:c r="H801" s="37" t="str">
        <x:v>No</x:v>
      </x:c>
      <x:c r="I801" s="37" t="str">
        <x:v>Keep prompt</x:v>
      </x:c>
      <x:c r="J801" s="37" t="str">
        <x:v>No prompt change required under the missing-cell design.</x:v>
      </x:c>
      <x:c r="K801" s="37" t="str">
        <x:v>airplane toy with propellers, blue tape ball, green highlighter, yellow pen</x:v>
      </x:c>
      <x:c r="L801" s="37" t="str">
        <x:v>yellow pen</x:v>
      </x:c>
      <x:c r="M801" s="37" t="str">
        <x:v>Recovery</x:v>
      </x:c>
      <x:c r="N801" s="37" t="str">
        <x:v>Move the yellow pen into the bowl.</x:v>
      </x:c>
      <x:c r="O801" s="37" t="str">
        <x:v>Put the object that is fourth from the left in the bowl. | Pick up the object that is first from the right and place it in the bowl.</x:v>
      </x:c>
      <x:c r="P801" s="37" t="str">
        <x:v>Both logically equivalent ordinal descriptions of L4 are withheld for yellow pen at sequence length 4, while the same trajectory remains under a direct-name instruction.</x:v>
      </x:c>
      <x:c r="Q801" s="38" t="n">
        <x:v>4</x:v>
      </x:c>
    </x:row>
    <x:row r="802" ht="60" customHeight="1">
      <x:c r="A802" s="70" t="n">
        <x:v>800</x:v>
      </x:c>
      <x:c r="B802" s="37" t="str">
        <x:v>Counting</x:v>
      </x:c>
      <x:c r="C802" s="37" t="str">
        <x:v>Leave exactly one object in the bowl.</x:v>
      </x:c>
      <x:c r="D802" s="37" t="str">
        <x:v>Explicit goal-count grounding</x:v>
      </x:c>
      <x:c r="E802" s="37" t="str">
        <x:v>goal=1; familiar transition=0→1 addition</x:v>
      </x:c>
      <x:c r="F802" s="37" t="str">
        <x:v>count_goal_1_seen_add</x:v>
      </x:c>
      <x:c r="G802" s="37" t="str">
        <x:v>goal one via removal (2→1); goal three via addition (2→3)</x:v>
      </x:c>
      <x:c r="H802" s="37" t="str">
        <x:v>Yes</x:v>
      </x:c>
      <x:c r="I802" s="37" t="str">
        <x:v>Replace prompt only</x:v>
      </x:c>
      <x:c r="J802" s="37" t="str">
        <x:v>Prompt-only relabeling; preserve episode 800 video, scene, trajectory, target, and start position.</x:v>
      </x:c>
      <x:c r="K802" s="37" t="str">
        <x:v>blue pen, yellow block, green pencil sharpener, airplane toy without propellers</x:v>
      </x:c>
      <x:c r="L802" s="37" t="str">
        <x:v>blue pen</x:v>
      </x:c>
      <x:c r="M802" s="37" t="str">
        <x:v>Home</x:v>
      </x:c>
      <x:c r="N802" s="37" t="str">
        <x:v>Move the blue pen into the bowl.</x:v>
      </x:c>
      <x:c r="O802" s="37" t="str"/>
      <x:c r="P802" s="37" t="str">
        <x:v>The word one is explicitly trained through addition, while one-through-removal is withheld.</x:v>
      </x:c>
      <x:c r="Q802" s="38"/>
    </x:row>
    <x:row r="803" ht="60" customHeight="1">
      <x:c r="A803" s="70" t="n">
        <x:v>801</x:v>
      </x:c>
      <x:c r="B803" s="37" t="str">
        <x:v>Counting</x:v>
      </x:c>
      <x:c r="C803" s="37" t="str">
        <x:v>Leave exactly one object in the bowl.</x:v>
      </x:c>
      <x:c r="D803" s="37" t="str">
        <x:v>Explicit goal-count grounding</x:v>
      </x:c>
      <x:c r="E803" s="37" t="str">
        <x:v>goal=1; familiar transition=0→1 addition</x:v>
      </x:c>
      <x:c r="F803" s="37" t="str">
        <x:v>count_goal_1_seen_add</x:v>
      </x:c>
      <x:c r="G803" s="37" t="str">
        <x:v>goal one via removal (2→1); goal three via addition (2→3)</x:v>
      </x:c>
      <x:c r="H803" s="37" t="str">
        <x:v>Yes</x:v>
      </x:c>
      <x:c r="I803" s="37" t="str">
        <x:v>Replace prompt only</x:v>
      </x:c>
      <x:c r="J803" s="37" t="str">
        <x:v>Prompt-only relabeling; preserve episode 801 video, scene, trajectory, target, and start position.</x:v>
      </x:c>
      <x:c r="K803" s="37" t="str">
        <x:v>blue pen, yellow block, green pencil sharpener</x:v>
      </x:c>
      <x:c r="L803" s="37" t="str">
        <x:v>blue pen</x:v>
      </x:c>
      <x:c r="M803" s="37" t="str">
        <x:v>Home</x:v>
      </x:c>
      <x:c r="N803" s="37" t="str">
        <x:v>Pick up the blue pen and place it in the bowl.</x:v>
      </x:c>
      <x:c r="O803" s="37" t="str"/>
      <x:c r="P803" s="37" t="str">
        <x:v>The word one is explicitly trained through addition, while one-through-removal is withheld.</x:v>
      </x:c>
      <x:c r="Q803" s="38"/>
    </x:row>
    <x:row r="804" ht="60" customHeight="1">
      <x:c r="A804" s="70" t="n">
        <x:v>802</x:v>
      </x:c>
      <x:c r="B804" s="37" t="str">
        <x:v>Counting</x:v>
      </x:c>
      <x:c r="C804" s="37" t="str">
        <x:v>Leave exactly one object in the bowl.</x:v>
      </x:c>
      <x:c r="D804" s="37" t="str">
        <x:v>Explicit goal-count grounding</x:v>
      </x:c>
      <x:c r="E804" s="37" t="str">
        <x:v>goal=1; familiar transition=0→1 addition</x:v>
      </x:c>
      <x:c r="F804" s="37" t="str">
        <x:v>count_goal_1_seen_add</x:v>
      </x:c>
      <x:c r="G804" s="37" t="str">
        <x:v>goal one via removal (2→1); goal three via addition (2→3)</x:v>
      </x:c>
      <x:c r="H804" s="37" t="str">
        <x:v>Yes</x:v>
      </x:c>
      <x:c r="I804" s="37" t="str">
        <x:v>Replace prompt only</x:v>
      </x:c>
      <x:c r="J804" s="37" t="str">
        <x:v>Prompt-only relabeling; preserve episode 802 video, scene, trajectory, target, and start position.</x:v>
      </x:c>
      <x:c r="K804" s="37" t="str">
        <x:v>blue pen, airplane toy without propellers</x:v>
      </x:c>
      <x:c r="L804" s="37" t="str">
        <x:v>blue pen</x:v>
      </x:c>
      <x:c r="M804" s="37" t="str">
        <x:v>Home</x:v>
      </x:c>
      <x:c r="N804" s="37" t="str">
        <x:v>Put the blue pen in the bowl.</x:v>
      </x:c>
      <x:c r="O804" s="37" t="str"/>
      <x:c r="P804" s="37" t="str">
        <x:v>The word one is explicitly trained through addition, while one-through-removal is withheld.</x:v>
      </x:c>
      <x:c r="Q804" s="38"/>
    </x:row>
    <x:row r="805" ht="60" customHeight="1">
      <x:c r="A805" s="70" t="n">
        <x:v>803</x:v>
      </x:c>
      <x:c r="B805" s="37" t="str">
        <x:v>Counting</x:v>
      </x:c>
      <x:c r="C805" s="37" t="str">
        <x:v>Leave exactly one object in the bowl.</x:v>
      </x:c>
      <x:c r="D805" s="37" t="str">
        <x:v>Explicit goal-count grounding</x:v>
      </x:c>
      <x:c r="E805" s="37" t="str">
        <x:v>goal=1; familiar transition=0→1 addition</x:v>
      </x:c>
      <x:c r="F805" s="37" t="str">
        <x:v>count_goal_1_seen_add</x:v>
      </x:c>
      <x:c r="G805" s="37" t="str">
        <x:v>goal one via removal (2→1); goal three via addition (2→3)</x:v>
      </x:c>
      <x:c r="H805" s="37" t="str">
        <x:v>Yes</x:v>
      </x:c>
      <x:c r="I805" s="37" t="str">
        <x:v>Replace prompt only</x:v>
      </x:c>
      <x:c r="J805" s="37" t="str">
        <x:v>Prompt-only relabeling; preserve episode 803 video, scene, trajectory, target, and start position.</x:v>
      </x:c>
      <x:c r="K805" s="37" t="str">
        <x:v>blue pen, yellow block, airplane toy without propellers</x:v>
      </x:c>
      <x:c r="L805" s="37" t="str">
        <x:v>blue pen</x:v>
      </x:c>
      <x:c r="M805" s="37" t="str">
        <x:v>Post-Drop</x:v>
      </x:c>
      <x:c r="N805" s="37" t="str">
        <x:v>Move the blue pen into the bowl.</x:v>
      </x:c>
      <x:c r="O805" s="37" t="str"/>
      <x:c r="P805" s="37" t="str">
        <x:v>The word one is explicitly trained through addition, while one-through-removal is withheld.</x:v>
      </x:c>
      <x:c r="Q805" s="38"/>
    </x:row>
    <x:row r="806" ht="60" customHeight="1">
      <x:c r="A806" s="70" t="n">
        <x:v>804</x:v>
      </x:c>
      <x:c r="B806" s="37" t="str">
        <x:v>Counting</x:v>
      </x:c>
      <x:c r="C806" s="37" t="str">
        <x:v>Leave exactly one object in the bowl.</x:v>
      </x:c>
      <x:c r="D806" s="37" t="str">
        <x:v>Explicit goal-count grounding</x:v>
      </x:c>
      <x:c r="E806" s="37" t="str">
        <x:v>goal=1; familiar transition=0→1 addition</x:v>
      </x:c>
      <x:c r="F806" s="37" t="str">
        <x:v>count_goal_1_seen_add</x:v>
      </x:c>
      <x:c r="G806" s="37" t="str">
        <x:v>goal one via removal (2→1); goal three via addition (2→3)</x:v>
      </x:c>
      <x:c r="H806" s="37" t="str">
        <x:v>Yes</x:v>
      </x:c>
      <x:c r="I806" s="37" t="str">
        <x:v>Replace prompt only</x:v>
      </x:c>
      <x:c r="J806" s="37" t="str">
        <x:v>Prompt-only relabeling; preserve episode 804 video, scene, trajectory, target, and start position.</x:v>
      </x:c>
      <x:c r="K806" s="37" t="str">
        <x:v>blue pen, green pencil sharpener</x:v>
      </x:c>
      <x:c r="L806" s="37" t="str">
        <x:v>blue pen</x:v>
      </x:c>
      <x:c r="M806" s="37" t="str">
        <x:v>Post-Drop</x:v>
      </x:c>
      <x:c r="N806" s="37" t="str">
        <x:v>Pick up the blue pen and place it in the bowl.</x:v>
      </x:c>
      <x:c r="O806" s="37" t="str"/>
      <x:c r="P806" s="37" t="str">
        <x:v>The word one is explicitly trained through addition, while one-through-removal is withheld.</x:v>
      </x:c>
      <x:c r="Q806" s="38"/>
    </x:row>
    <x:row r="807" ht="60" customHeight="1">
      <x:c r="A807" s="70" t="n">
        <x:v>805</x:v>
      </x:c>
      <x:c r="B807" s="37" t="str">
        <x:v>Counting</x:v>
      </x:c>
      <x:c r="C807" s="37" t="str">
        <x:v>Leave exactly one object in the bowl.</x:v>
      </x:c>
      <x:c r="D807" s="37" t="str">
        <x:v>Explicit goal-count grounding</x:v>
      </x:c>
      <x:c r="E807" s="37" t="str">
        <x:v>goal=1; familiar transition=0→1 addition</x:v>
      </x:c>
      <x:c r="F807" s="37" t="str">
        <x:v>count_goal_1_seen_add</x:v>
      </x:c>
      <x:c r="G807" s="37" t="str">
        <x:v>goal one via removal (2→1); goal three via addition (2→3)</x:v>
      </x:c>
      <x:c r="H807" s="37" t="str">
        <x:v>Yes</x:v>
      </x:c>
      <x:c r="I807" s="37" t="str">
        <x:v>Replace prompt only</x:v>
      </x:c>
      <x:c r="J807" s="37" t="str">
        <x:v>Prompt-only relabeling; preserve episode 805 video, scene, trajectory, target, and start position.</x:v>
      </x:c>
      <x:c r="K807" s="37" t="str">
        <x:v>blue pen, yellow block</x:v>
      </x:c>
      <x:c r="L807" s="37" t="str">
        <x:v>blue pen</x:v>
      </x:c>
      <x:c r="M807" s="37" t="str">
        <x:v>Post-Drop</x:v>
      </x:c>
      <x:c r="N807" s="37" t="str">
        <x:v>Pick up the blue pen and place it in the bowl.</x:v>
      </x:c>
      <x:c r="O807" s="37" t="str"/>
      <x:c r="P807" s="37" t="str">
        <x:v>The word one is explicitly trained through addition, while one-through-removal is withheld.</x:v>
      </x:c>
      <x:c r="Q807" s="38"/>
    </x:row>
    <x:row r="808" ht="60" customHeight="1">
      <x:c r="A808" s="70" t="n">
        <x:v>806</x:v>
      </x:c>
      <x:c r="B808" s="37" t="str">
        <x:v>Counting</x:v>
      </x:c>
      <x:c r="C808" s="37" t="str">
        <x:v>Leave exactly one object in the bowl.</x:v>
      </x:c>
      <x:c r="D808" s="37" t="str">
        <x:v>Explicit goal-count grounding</x:v>
      </x:c>
      <x:c r="E808" s="37" t="str">
        <x:v>goal=1; familiar transition=0→1 addition</x:v>
      </x:c>
      <x:c r="F808" s="37" t="str">
        <x:v>count_goal_1_seen_add</x:v>
      </x:c>
      <x:c r="G808" s="37" t="str">
        <x:v>goal one via removal (2→1); goal three via addition (2→3)</x:v>
      </x:c>
      <x:c r="H808" s="37" t="str">
        <x:v>Yes</x:v>
      </x:c>
      <x:c r="I808" s="37" t="str">
        <x:v>Replace prompt only</x:v>
      </x:c>
      <x:c r="J808" s="37" t="str">
        <x:v>Prompt-only relabeling; preserve episode 806 video, scene, trajectory, target, and start position.</x:v>
      </x:c>
      <x:c r="K808" s="37" t="str">
        <x:v>blue pen, green pencil sharpener, airplane toy without propellers</x:v>
      </x:c>
      <x:c r="L808" s="37" t="str">
        <x:v>blue pen</x:v>
      </x:c>
      <x:c r="M808" s="37" t="str">
        <x:v>Recovery</x:v>
      </x:c>
      <x:c r="N808" s="37" t="str">
        <x:v>Move the blue pen into the bowl.</x:v>
      </x:c>
      <x:c r="O808" s="37" t="str"/>
      <x:c r="P808" s="37" t="str">
        <x:v>The word one is explicitly trained through addition, while one-through-removal is withheld.</x:v>
      </x:c>
      <x:c r="Q808" s="38"/>
    </x:row>
    <x:row r="809" ht="60" customHeight="1">
      <x:c r="A809" s="70" t="n">
        <x:v>807</x:v>
      </x:c>
      <x:c r="B809" s="37" t="str">
        <x:v>Counting</x:v>
      </x:c>
      <x:c r="C809" s="37" t="str">
        <x:v>Leave exactly one object in the bowl.</x:v>
      </x:c>
      <x:c r="D809" s="37" t="str">
        <x:v>Explicit goal-count grounding</x:v>
      </x:c>
      <x:c r="E809" s="37" t="str">
        <x:v>goal=1; familiar transition=0→1 addition</x:v>
      </x:c>
      <x:c r="F809" s="37" t="str">
        <x:v>count_goal_1_seen_add</x:v>
      </x:c>
      <x:c r="G809" s="37" t="str">
        <x:v>goal one via removal (2→1); goal three via addition (2→3)</x:v>
      </x:c>
      <x:c r="H809" s="37" t="str">
        <x:v>Yes</x:v>
      </x:c>
      <x:c r="I809" s="37" t="str">
        <x:v>Replace prompt only</x:v>
      </x:c>
      <x:c r="J809" s="37" t="str">
        <x:v>Prompt-only relabeling; preserve episode 807 video, scene, trajectory, target, and start position.</x:v>
      </x:c>
      <x:c r="K809" s="37" t="str">
        <x:v>blue pen</x:v>
      </x:c>
      <x:c r="L809" s="37" t="str">
        <x:v>blue pen</x:v>
      </x:c>
      <x:c r="M809" s="37" t="str">
        <x:v>Recovery</x:v>
      </x:c>
      <x:c r="N809" s="37" t="str">
        <x:v>Pick up the blue pen and place it in the bowl.</x:v>
      </x:c>
      <x:c r="O809" s="37" t="str"/>
      <x:c r="P809" s="37" t="str">
        <x:v>The word one is explicitly trained through addition, while one-through-removal is withheld.</x:v>
      </x:c>
      <x:c r="Q809" s="38"/>
    </x:row>
    <x:row r="810" ht="60" customHeight="1">
      <x:c r="A810" s="70" t="n">
        <x:v>808</x:v>
      </x:c>
      <x:c r="B810" s="37" t="str">
        <x:v>Counting</x:v>
      </x:c>
      <x:c r="C810" s="37" t="str">
        <x:v>Make the bowl contain exactly two objects.</x:v>
      </x:c>
      <x:c r="D810" s="37" t="str">
        <x:v>Explicit goal-count grounding</x:v>
      </x:c>
      <x:c r="E810" s="37" t="str">
        <x:v>goal=2; in-distribution anchor</x:v>
      </x:c>
      <x:c r="F810" s="37" t="str">
        <x:v>count_goal_2_explicit_anchor</x:v>
      </x:c>
      <x:c r="G810" s="37" t="str">
        <x:v>goal one via removal (2→1); goal three via addition (2→3)</x:v>
      </x:c>
      <x:c r="H810" s="37" t="str">
        <x:v>No</x:v>
      </x:c>
      <x:c r="I810" s="37" t="str">
        <x:v>Keep prompt</x:v>
      </x:c>
      <x:c r="J810" s="37" t="str">
        <x:v>No prompt change required under the missing-cell design.</x:v>
      </x:c>
      <x:c r="K810" s="37" t="str">
        <x:v>yellow block, blue pen, green pencil sharpener, airplane toy without propellers</x:v>
      </x:c>
      <x:c r="L810" s="37" t="str">
        <x:v>blue pen</x:v>
      </x:c>
      <x:c r="M810" s="37" t="str">
        <x:v>Home</x:v>
      </x:c>
      <x:c r="N810" s="37" t="str">
        <x:v>Make the bowl contain exactly two objects.</x:v>
      </x:c>
      <x:c r="O810" s="37" t="str"/>
      <x:c r="P810" s="37" t="str">
        <x:v>Explicitly grounds final count 2 as an in-distribution counting anchor.</x:v>
      </x:c>
      <x:c r="Q810" s="38"/>
    </x:row>
    <x:row r="811" ht="60" customHeight="1">
      <x:c r="A811" s="70" t="n">
        <x:v>809</x:v>
      </x:c>
      <x:c r="B811" s="37" t="str">
        <x:v>Counting</x:v>
      </x:c>
      <x:c r="C811" s="37" t="str">
        <x:v>Adjust the bowl so that it contains two objects.</x:v>
      </x:c>
      <x:c r="D811" s="37" t="str">
        <x:v>Explicit goal-count grounding</x:v>
      </x:c>
      <x:c r="E811" s="37" t="str">
        <x:v>goal=2; in-distribution anchor</x:v>
      </x:c>
      <x:c r="F811" s="37" t="str">
        <x:v>count_goal_2_explicit_anchor</x:v>
      </x:c>
      <x:c r="G811" s="37" t="str">
        <x:v>goal one via removal (2→1); goal three via addition (2→3)</x:v>
      </x:c>
      <x:c r="H811" s="37" t="str">
        <x:v>No</x:v>
      </x:c>
      <x:c r="I811" s="37" t="str">
        <x:v>Keep prompt</x:v>
      </x:c>
      <x:c r="J811" s="37" t="str">
        <x:v>No prompt change required under the missing-cell design.</x:v>
      </x:c>
      <x:c r="K811" s="37" t="str">
        <x:v>green pencil sharpener, blue pen, yellow block</x:v>
      </x:c>
      <x:c r="L811" s="37" t="str">
        <x:v>blue pen</x:v>
      </x:c>
      <x:c r="M811" s="37" t="str">
        <x:v>Home</x:v>
      </x:c>
      <x:c r="N811" s="37" t="str">
        <x:v>Adjust the bowl so that it contains two objects.</x:v>
      </x:c>
      <x:c r="O811" s="37" t="str"/>
      <x:c r="P811" s="37" t="str">
        <x:v>Explicitly grounds final count 2 as an in-distribution counting anchor.</x:v>
      </x:c>
      <x:c r="Q811" s="38"/>
    </x:row>
    <x:row r="812" ht="60" customHeight="1">
      <x:c r="A812" s="70" t="n">
        <x:v>810</x:v>
      </x:c>
      <x:c r="B812" s="37" t="str">
        <x:v>Counting</x:v>
      </x:c>
      <x:c r="C812" s="37" t="str">
        <x:v>Make the bowl contain exactly two objects.</x:v>
      </x:c>
      <x:c r="D812" s="37" t="str">
        <x:v>Explicit goal-count grounding</x:v>
      </x:c>
      <x:c r="E812" s="37" t="str">
        <x:v>goal=2; in-distribution anchor</x:v>
      </x:c>
      <x:c r="F812" s="37" t="str">
        <x:v>count_goal_2_explicit_anchor</x:v>
      </x:c>
      <x:c r="G812" s="37" t="str">
        <x:v>goal one via removal (2→1); goal three via addition (2→3)</x:v>
      </x:c>
      <x:c r="H812" s="37" t="str">
        <x:v>No</x:v>
      </x:c>
      <x:c r="I812" s="37" t="str">
        <x:v>Keep prompt</x:v>
      </x:c>
      <x:c r="J812" s="37" t="str">
        <x:v>No prompt change required under the missing-cell design.</x:v>
      </x:c>
      <x:c r="K812" s="37" t="str">
        <x:v>airplane toy without propellers, blue pen, green pencil sharpener</x:v>
      </x:c>
      <x:c r="L812" s="37" t="str">
        <x:v>blue pen</x:v>
      </x:c>
      <x:c r="M812" s="37" t="str">
        <x:v>Home</x:v>
      </x:c>
      <x:c r="N812" s="37" t="str">
        <x:v>Make the bowl contain exactly two objects.</x:v>
      </x:c>
      <x:c r="O812" s="37" t="str"/>
      <x:c r="P812" s="37" t="str">
        <x:v>Explicitly grounds final count 2 as an in-distribution counting anchor.</x:v>
      </x:c>
      <x:c r="Q812" s="38"/>
    </x:row>
    <x:row r="813" ht="60" customHeight="1">
      <x:c r="A813" s="70" t="n">
        <x:v>811</x:v>
      </x:c>
      <x:c r="B813" s="37" t="str">
        <x:v>Counting</x:v>
      </x:c>
      <x:c r="C813" s="37" t="str">
        <x:v>Make the bowl contain exactly two objects.</x:v>
      </x:c>
      <x:c r="D813" s="37" t="str">
        <x:v>Explicit goal-count grounding</x:v>
      </x:c>
      <x:c r="E813" s="37" t="str">
        <x:v>goal=2; in-distribution anchor</x:v>
      </x:c>
      <x:c r="F813" s="37" t="str">
        <x:v>count_goal_2_explicit_anchor</x:v>
      </x:c>
      <x:c r="G813" s="37" t="str">
        <x:v>goal one via removal (2→1); goal three via addition (2→3)</x:v>
      </x:c>
      <x:c r="H813" s="37" t="str">
        <x:v>No</x:v>
      </x:c>
      <x:c r="I813" s="37" t="str">
        <x:v>Keep prompt</x:v>
      </x:c>
      <x:c r="J813" s="37" t="str">
        <x:v>No prompt change required under the missing-cell design.</x:v>
      </x:c>
      <x:c r="K813" s="37" t="str">
        <x:v>yellow block, blue pen, green pencil sharpener, airplane toy without propellers</x:v>
      </x:c>
      <x:c r="L813" s="37" t="str">
        <x:v>blue pen</x:v>
      </x:c>
      <x:c r="M813" s="37" t="str">
        <x:v>Post-Drop</x:v>
      </x:c>
      <x:c r="N813" s="37" t="str">
        <x:v>Make the bowl contain exactly two objects.</x:v>
      </x:c>
      <x:c r="O813" s="37" t="str"/>
      <x:c r="P813" s="37" t="str">
        <x:v>Explicitly grounds final count 2 as an in-distribution counting anchor.</x:v>
      </x:c>
      <x:c r="Q813" s="38"/>
    </x:row>
    <x:row r="814" ht="60" customHeight="1">
      <x:c r="A814" s="70" t="n">
        <x:v>812</x:v>
      </x:c>
      <x:c r="B814" s="37" t="str">
        <x:v>Counting</x:v>
      </x:c>
      <x:c r="C814" s="37" t="str">
        <x:v>Adjust the bowl so that it contains two objects.</x:v>
      </x:c>
      <x:c r="D814" s="37" t="str">
        <x:v>Explicit goal-count grounding</x:v>
      </x:c>
      <x:c r="E814" s="37" t="str">
        <x:v>goal=2; in-distribution anchor</x:v>
      </x:c>
      <x:c r="F814" s="37" t="str">
        <x:v>count_goal_2_explicit_anchor</x:v>
      </x:c>
      <x:c r="G814" s="37" t="str">
        <x:v>goal one via removal (2→1); goal three via addition (2→3)</x:v>
      </x:c>
      <x:c r="H814" s="37" t="str">
        <x:v>No</x:v>
      </x:c>
      <x:c r="I814" s="37" t="str">
        <x:v>Keep prompt</x:v>
      </x:c>
      <x:c r="J814" s="37" t="str">
        <x:v>No prompt change required under the missing-cell design.</x:v>
      </x:c>
      <x:c r="K814" s="37" t="str">
        <x:v>green pencil sharpener, blue pen, airplane toy without propellers</x:v>
      </x:c>
      <x:c r="L814" s="37" t="str">
        <x:v>blue pen</x:v>
      </x:c>
      <x:c r="M814" s="37" t="str">
        <x:v>Post-Drop</x:v>
      </x:c>
      <x:c r="N814" s="37" t="str">
        <x:v>Adjust the bowl so that it contains two objects.</x:v>
      </x:c>
      <x:c r="O814" s="37" t="str"/>
      <x:c r="P814" s="37" t="str">
        <x:v>Explicitly grounds final count 2 as an in-distribution counting anchor.</x:v>
      </x:c>
      <x:c r="Q814" s="38"/>
    </x:row>
    <x:row r="815" ht="60" customHeight="1">
      <x:c r="A815" s="70" t="n">
        <x:v>813</x:v>
      </x:c>
      <x:c r="B815" s="37" t="str">
        <x:v>Counting</x:v>
      </x:c>
      <x:c r="C815" s="37" t="str">
        <x:v>Make the bowl contain exactly two objects.</x:v>
      </x:c>
      <x:c r="D815" s="37" t="str">
        <x:v>Explicit goal-count grounding</x:v>
      </x:c>
      <x:c r="E815" s="37" t="str">
        <x:v>goal=2; in-distribution anchor</x:v>
      </x:c>
      <x:c r="F815" s="37" t="str">
        <x:v>count_goal_2_explicit_anchor</x:v>
      </x:c>
      <x:c r="G815" s="37" t="str">
        <x:v>goal one via removal (2→1); goal three via addition (2→3)</x:v>
      </x:c>
      <x:c r="H815" s="37" t="str">
        <x:v>No</x:v>
      </x:c>
      <x:c r="I815" s="37" t="str">
        <x:v>Keep prompt</x:v>
      </x:c>
      <x:c r="J815" s="37" t="str">
        <x:v>No prompt change required under the missing-cell design.</x:v>
      </x:c>
      <x:c r="K815" s="37" t="str">
        <x:v>airplane toy without propellers, blue pen, yellow block</x:v>
      </x:c>
      <x:c r="L815" s="37" t="str">
        <x:v>blue pen</x:v>
      </x:c>
      <x:c r="M815" s="37" t="str">
        <x:v>Post-Drop</x:v>
      </x:c>
      <x:c r="N815" s="37" t="str">
        <x:v>Make the bowl contain exactly two objects.</x:v>
      </x:c>
      <x:c r="O815" s="37" t="str"/>
      <x:c r="P815" s="37" t="str">
        <x:v>Explicitly grounds final count 2 as an in-distribution counting anchor.</x:v>
      </x:c>
      <x:c r="Q815" s="38"/>
    </x:row>
    <x:row r="816" ht="60" customHeight="1">
      <x:c r="A816" s="70" t="n">
        <x:v>814</x:v>
      </x:c>
      <x:c r="B816" s="37" t="str">
        <x:v>Counting</x:v>
      </x:c>
      <x:c r="C816" s="37" t="str">
        <x:v>Make the bowl contain exactly two objects.</x:v>
      </x:c>
      <x:c r="D816" s="37" t="str">
        <x:v>Explicit goal-count grounding</x:v>
      </x:c>
      <x:c r="E816" s="37" t="str">
        <x:v>goal=2; in-distribution anchor</x:v>
      </x:c>
      <x:c r="F816" s="37" t="str">
        <x:v>count_goal_2_explicit_anchor</x:v>
      </x:c>
      <x:c r="G816" s="37" t="str">
        <x:v>goal one via removal (2→1); goal three via addition (2→3)</x:v>
      </x:c>
      <x:c r="H816" s="37" t="str">
        <x:v>No</x:v>
      </x:c>
      <x:c r="I816" s="37" t="str">
        <x:v>Keep prompt</x:v>
      </x:c>
      <x:c r="J816" s="37" t="str">
        <x:v>No prompt change required under the missing-cell design.</x:v>
      </x:c>
      <x:c r="K816" s="37" t="str">
        <x:v>green pencil sharpener, blue pen, airplane toy without propellers</x:v>
      </x:c>
      <x:c r="L816" s="37" t="str">
        <x:v>blue pen</x:v>
      </x:c>
      <x:c r="M816" s="37" t="str">
        <x:v>Recovery</x:v>
      </x:c>
      <x:c r="N816" s="37" t="str">
        <x:v>Make the bowl contain exactly two objects.</x:v>
      </x:c>
      <x:c r="O816" s="37" t="str"/>
      <x:c r="P816" s="37" t="str">
        <x:v>Explicitly grounds final count 2 as an in-distribution counting anchor.</x:v>
      </x:c>
      <x:c r="Q816" s="38"/>
    </x:row>
    <x:row r="817" ht="60" customHeight="1">
      <x:c r="A817" s="70" t="n">
        <x:v>815</x:v>
      </x:c>
      <x:c r="B817" s="37" t="str">
        <x:v>Counting</x:v>
      </x:c>
      <x:c r="C817" s="37" t="str">
        <x:v>Adjust the bowl so that it contains two objects.</x:v>
      </x:c>
      <x:c r="D817" s="37" t="str">
        <x:v>Explicit goal-count grounding</x:v>
      </x:c>
      <x:c r="E817" s="37" t="str">
        <x:v>goal=2; in-distribution anchor</x:v>
      </x:c>
      <x:c r="F817" s="37" t="str">
        <x:v>count_goal_2_explicit_anchor</x:v>
      </x:c>
      <x:c r="G817" s="37" t="str">
        <x:v>goal one via removal (2→1); goal three via addition (2→3)</x:v>
      </x:c>
      <x:c r="H817" s="37" t="str">
        <x:v>No</x:v>
      </x:c>
      <x:c r="I817" s="37" t="str">
        <x:v>Keep prompt</x:v>
      </x:c>
      <x:c r="J817" s="37" t="str">
        <x:v>No prompt change required under the missing-cell design.</x:v>
      </x:c>
      <x:c r="K817" s="37" t="str">
        <x:v>yellow block, blue pen</x:v>
      </x:c>
      <x:c r="L817" s="37" t="str">
        <x:v>blue pen</x:v>
      </x:c>
      <x:c r="M817" s="37" t="str">
        <x:v>Recovery</x:v>
      </x:c>
      <x:c r="N817" s="37" t="str">
        <x:v>Adjust the bowl so that it contains two objects.</x:v>
      </x:c>
      <x:c r="O817" s="37" t="str"/>
      <x:c r="P817" s="37" t="str">
        <x:v>Explicitly grounds final count 2 as an in-distribution counting anchor.</x:v>
      </x:c>
      <x:c r="Q817" s="38"/>
    </x:row>
    <x:row r="818" ht="60" customHeight="1">
      <x:c r="A818" s="70" t="n">
        <x:v>816</x:v>
      </x:c>
      <x:c r="B818" s="37" t="str">
        <x:v>Counting</x:v>
      </x:c>
      <x:c r="C818" s="37" t="str">
        <x:v>Pick up the blue pen and place it in the bowl.</x:v>
      </x:c>
      <x:c r="D818" s="37" t="str">
        <x:v>Masked goal-count × transition composition</x:v>
      </x:c>
      <x:c r="E818" s="37" t="str">
        <x:v>direct addition of blue pen; hidden goal=3; transition=2→3</x:v>
      </x:c>
      <x:c r="F818" s="37" t="str">
        <x:v>count_goal_3_add_masked</x:v>
      </x:c>
      <x:c r="G818" s="37" t="str">
        <x:v>goal one via removal (2→1); goal three via addition (2→3)</x:v>
      </x:c>
      <x:c r="H818" s="37" t="str">
        <x:v>No</x:v>
      </x:c>
      <x:c r="I818" s="37" t="str">
        <x:v>Keep prompt</x:v>
      </x:c>
      <x:c r="J818" s="37" t="str">
        <x:v>No prompt change required under the missing-cell design.</x:v>
      </x:c>
      <x:c r="K818" s="37" t="str">
        <x:v>yellow block, green pencil sharpener, blue pen, airplane toy without propellers</x:v>
      </x:c>
      <x:c r="L818" s="37" t="str">
        <x:v>blue pen</x:v>
      </x:c>
      <x:c r="M818" s="37" t="str">
        <x:v>Home</x:v>
      </x:c>
      <x:c r="N818" s="37" t="str">
        <x:v>Pick up the blue pen and place it in the bowl.</x:v>
      </x:c>
      <x:c r="O818" s="37" t="str">
        <x:v>Leave exactly three objects in the bowl.</x:v>
      </x:c>
      <x:c r="P818" s="37" t="str">
        <x:v>The exact 2→3 motor transition is trained with a direct instruction, but the goal-count instruction is withheld.</x:v>
      </x:c>
      <x:c r="Q818" s="38"/>
    </x:row>
    <x:row r="819" ht="60" customHeight="1">
      <x:c r="A819" s="70" t="n">
        <x:v>817</x:v>
      </x:c>
      <x:c r="B819" s="37" t="str">
        <x:v>Counting</x:v>
      </x:c>
      <x:c r="C819" s="37" t="str">
        <x:v>Move the blue pen into the bowl.</x:v>
      </x:c>
      <x:c r="D819" s="37" t="str">
        <x:v>Masked goal-count × transition composition</x:v>
      </x:c>
      <x:c r="E819" s="37" t="str">
        <x:v>direct addition of blue pen; hidden goal=3; transition=2→3</x:v>
      </x:c>
      <x:c r="F819" s="37" t="str">
        <x:v>count_goal_3_add_masked</x:v>
      </x:c>
      <x:c r="G819" s="37" t="str">
        <x:v>goal one via removal (2→1); goal three via addition (2→3)</x:v>
      </x:c>
      <x:c r="H819" s="37" t="str">
        <x:v>No</x:v>
      </x:c>
      <x:c r="I819" s="37" t="str">
        <x:v>Keep prompt</x:v>
      </x:c>
      <x:c r="J819" s="37" t="str">
        <x:v>No prompt change required under the missing-cell design.</x:v>
      </x:c>
      <x:c r="K819" s="37" t="str">
        <x:v>green pencil sharpener, airplane toy without propellers, blue pen, yellow block</x:v>
      </x:c>
      <x:c r="L819" s="37" t="str">
        <x:v>blue pen</x:v>
      </x:c>
      <x:c r="M819" s="37" t="str">
        <x:v>Home</x:v>
      </x:c>
      <x:c r="N819" s="37" t="str">
        <x:v>Move the blue pen into the bowl.</x:v>
      </x:c>
      <x:c r="O819" s="37" t="str">
        <x:v>Leave exactly three objects in the bowl.</x:v>
      </x:c>
      <x:c r="P819" s="37" t="str">
        <x:v>The exact 2→3 motor transition is trained with a direct instruction, but the goal-count instruction is withheld.</x:v>
      </x:c>
      <x:c r="Q819" s="38"/>
    </x:row>
    <x:row r="820" ht="60" customHeight="1">
      <x:c r="A820" s="70" t="n">
        <x:v>818</x:v>
      </x:c>
      <x:c r="B820" s="37" t="str">
        <x:v>Counting</x:v>
      </x:c>
      <x:c r="C820" s="37" t="str">
        <x:v>Put the blue pen in the bowl.</x:v>
      </x:c>
      <x:c r="D820" s="37" t="str">
        <x:v>Masked goal-count × transition composition</x:v>
      </x:c>
      <x:c r="E820" s="37" t="str">
        <x:v>direct addition of blue pen; hidden goal=3; transition=2→3</x:v>
      </x:c>
      <x:c r="F820" s="37" t="str">
        <x:v>count_goal_3_add_masked</x:v>
      </x:c>
      <x:c r="G820" s="37" t="str">
        <x:v>goal one via removal (2→1); goal three via addition (2→3)</x:v>
      </x:c>
      <x:c r="H820" s="37" t="str">
        <x:v>No</x:v>
      </x:c>
      <x:c r="I820" s="37" t="str">
        <x:v>Keep prompt</x:v>
      </x:c>
      <x:c r="J820" s="37" t="str">
        <x:v>No prompt change required under the missing-cell design.</x:v>
      </x:c>
      <x:c r="K820" s="37" t="str">
        <x:v>yellow block, airplane toy without propellers, blue pen, green pencil sharpener</x:v>
      </x:c>
      <x:c r="L820" s="37" t="str">
        <x:v>blue pen</x:v>
      </x:c>
      <x:c r="M820" s="37" t="str">
        <x:v>Home</x:v>
      </x:c>
      <x:c r="N820" s="37" t="str">
        <x:v>Put the blue pen in the bowl.</x:v>
      </x:c>
      <x:c r="O820" s="37" t="str">
        <x:v>Leave exactly three objects in the bowl.</x:v>
      </x:c>
      <x:c r="P820" s="37" t="str">
        <x:v>The exact 2→3 motor transition is trained with a direct instruction, but the goal-count instruction is withheld.</x:v>
      </x:c>
      <x:c r="Q820" s="38"/>
    </x:row>
    <x:row r="821" ht="60" customHeight="1">
      <x:c r="A821" s="70" t="n">
        <x:v>819</x:v>
      </x:c>
      <x:c r="B821" s="37" t="str">
        <x:v>Counting</x:v>
      </x:c>
      <x:c r="C821" s="37" t="str">
        <x:v>Put the blue pen in the bowl.</x:v>
      </x:c>
      <x:c r="D821" s="37" t="str">
        <x:v>Masked goal-count × transition composition</x:v>
      </x:c>
      <x:c r="E821" s="37" t="str">
        <x:v>direct addition of blue pen; hidden goal=3; transition=2→3</x:v>
      </x:c>
      <x:c r="F821" s="37" t="str">
        <x:v>count_goal_3_add_masked</x:v>
      </x:c>
      <x:c r="G821" s="37" t="str">
        <x:v>goal one via removal (2→1); goal three via addition (2→3)</x:v>
      </x:c>
      <x:c r="H821" s="37" t="str">
        <x:v>No</x:v>
      </x:c>
      <x:c r="I821" s="37" t="str">
        <x:v>Keep prompt</x:v>
      </x:c>
      <x:c r="J821" s="37" t="str">
        <x:v>No prompt change required under the missing-cell design.</x:v>
      </x:c>
      <x:c r="K821" s="37" t="str">
        <x:v>yellow block, green pencil sharpener, blue pen</x:v>
      </x:c>
      <x:c r="L821" s="37" t="str">
        <x:v>blue pen</x:v>
      </x:c>
      <x:c r="M821" s="37" t="str">
        <x:v>Home</x:v>
      </x:c>
      <x:c r="N821" s="37" t="str">
        <x:v>Put the blue pen in the bowl.</x:v>
      </x:c>
      <x:c r="O821" s="37" t="str">
        <x:v>Leave exactly three objects in the bowl.</x:v>
      </x:c>
      <x:c r="P821" s="37" t="str">
        <x:v>The exact 2→3 motor transition is trained with a direct instruction, but the goal-count instruction is withheld.</x:v>
      </x:c>
      <x:c r="Q821" s="38"/>
    </x:row>
    <x:row r="822" ht="60" customHeight="1">
      <x:c r="A822" s="70" t="n">
        <x:v>820</x:v>
      </x:c>
      <x:c r="B822" s="37" t="str">
        <x:v>Counting</x:v>
      </x:c>
      <x:c r="C822" s="37" t="str">
        <x:v>Move the blue pen into the bowl.</x:v>
      </x:c>
      <x:c r="D822" s="37" t="str">
        <x:v>Masked goal-count × transition composition</x:v>
      </x:c>
      <x:c r="E822" s="37" t="str">
        <x:v>direct addition of blue pen; hidden goal=3; transition=2→3</x:v>
      </x:c>
      <x:c r="F822" s="37" t="str">
        <x:v>count_goal_3_add_masked</x:v>
      </x:c>
      <x:c r="G822" s="37" t="str">
        <x:v>goal one via removal (2→1); goal three via addition (2→3)</x:v>
      </x:c>
      <x:c r="H822" s="37" t="str">
        <x:v>No</x:v>
      </x:c>
      <x:c r="I822" s="37" t="str">
        <x:v>Keep prompt</x:v>
      </x:c>
      <x:c r="J822" s="37" t="str">
        <x:v>No prompt change required under the missing-cell design.</x:v>
      </x:c>
      <x:c r="K822" s="37" t="str">
        <x:v>green pencil sharpener, airplane toy without propellers, blue pen, yellow block</x:v>
      </x:c>
      <x:c r="L822" s="37" t="str">
        <x:v>blue pen</x:v>
      </x:c>
      <x:c r="M822" s="37" t="str">
        <x:v>Post-Drop</x:v>
      </x:c>
      <x:c r="N822" s="37" t="str">
        <x:v>Move the blue pen into the bowl.</x:v>
      </x:c>
      <x:c r="O822" s="37" t="str">
        <x:v>Leave exactly three objects in the bowl.</x:v>
      </x:c>
      <x:c r="P822" s="37" t="str">
        <x:v>The exact 2→3 motor transition is trained with a direct instruction, but the goal-count instruction is withheld.</x:v>
      </x:c>
      <x:c r="Q822" s="38"/>
    </x:row>
    <x:row r="823" ht="60" customHeight="1">
      <x:c r="A823" s="70" t="n">
        <x:v>821</x:v>
      </x:c>
      <x:c r="B823" s="37" t="str">
        <x:v>Counting</x:v>
      </x:c>
      <x:c r="C823" s="37" t="str">
        <x:v>Put the blue pen in the bowl.</x:v>
      </x:c>
      <x:c r="D823" s="37" t="str">
        <x:v>Masked goal-count × transition composition</x:v>
      </x:c>
      <x:c r="E823" s="37" t="str">
        <x:v>direct addition of blue pen; hidden goal=3; transition=2→3</x:v>
      </x:c>
      <x:c r="F823" s="37" t="str">
        <x:v>count_goal_3_add_masked</x:v>
      </x:c>
      <x:c r="G823" s="37" t="str">
        <x:v>goal one via removal (2→1); goal three via addition (2→3)</x:v>
      </x:c>
      <x:c r="H823" s="37" t="str">
        <x:v>No</x:v>
      </x:c>
      <x:c r="I823" s="37" t="str">
        <x:v>Keep prompt</x:v>
      </x:c>
      <x:c r="J823" s="37" t="str">
        <x:v>No prompt change required under the missing-cell design.</x:v>
      </x:c>
      <x:c r="K823" s="37" t="str">
        <x:v>yellow block, airplane toy without propellers, blue pen, green pencil sharpener</x:v>
      </x:c>
      <x:c r="L823" s="37" t="str">
        <x:v>blue pen</x:v>
      </x:c>
      <x:c r="M823" s="37" t="str">
        <x:v>Post-Drop</x:v>
      </x:c>
      <x:c r="N823" s="37" t="str">
        <x:v>Put the blue pen in the bowl.</x:v>
      </x:c>
      <x:c r="O823" s="37" t="str">
        <x:v>Leave exactly three objects in the bowl.</x:v>
      </x:c>
      <x:c r="P823" s="37" t="str">
        <x:v>The exact 2→3 motor transition is trained with a direct instruction, but the goal-count instruction is withheld.</x:v>
      </x:c>
      <x:c r="Q823" s="38"/>
    </x:row>
    <x:row r="824" ht="60" customHeight="1">
      <x:c r="A824" s="70" t="n">
        <x:v>822</x:v>
      </x:c>
      <x:c r="B824" s="37" t="str">
        <x:v>Counting</x:v>
      </x:c>
      <x:c r="C824" s="37" t="str">
        <x:v>Put the blue pen in the bowl.</x:v>
      </x:c>
      <x:c r="D824" s="37" t="str">
        <x:v>Masked goal-count × transition composition</x:v>
      </x:c>
      <x:c r="E824" s="37" t="str">
        <x:v>direct addition of blue pen; hidden goal=3; transition=2→3</x:v>
      </x:c>
      <x:c r="F824" s="37" t="str">
        <x:v>count_goal_3_add_masked</x:v>
      </x:c>
      <x:c r="G824" s="37" t="str">
        <x:v>goal one via removal (2→1); goal three via addition (2→3)</x:v>
      </x:c>
      <x:c r="H824" s="37" t="str">
        <x:v>No</x:v>
      </x:c>
      <x:c r="I824" s="37" t="str">
        <x:v>Keep prompt</x:v>
      </x:c>
      <x:c r="J824" s="37" t="str">
        <x:v>No prompt change required under the missing-cell design.</x:v>
      </x:c>
      <x:c r="K824" s="37" t="str">
        <x:v>yellow block, green pencil sharpener, blue pen, airplane toy without propellers</x:v>
      </x:c>
      <x:c r="L824" s="37" t="str">
        <x:v>blue pen</x:v>
      </x:c>
      <x:c r="M824" s="37" t="str">
        <x:v>Post-Drop</x:v>
      </x:c>
      <x:c r="N824" s="37" t="str">
        <x:v>Put the blue pen in the bowl.</x:v>
      </x:c>
      <x:c r="O824" s="37" t="str">
        <x:v>Leave exactly three objects in the bowl.</x:v>
      </x:c>
      <x:c r="P824" s="37" t="str">
        <x:v>The exact 2→3 motor transition is trained with a direct instruction, but the goal-count instruction is withheld.</x:v>
      </x:c>
      <x:c r="Q824" s="38"/>
    </x:row>
    <x:row r="825" ht="60" customHeight="1">
      <x:c r="A825" s="70" t="n">
        <x:v>823</x:v>
      </x:c>
      <x:c r="B825" s="37" t="str">
        <x:v>Counting</x:v>
      </x:c>
      <x:c r="C825" s="37" t="str">
        <x:v>Pick up the blue pen and place it in the bowl.</x:v>
      </x:c>
      <x:c r="D825" s="37" t="str">
        <x:v>Masked goal-count × transition composition</x:v>
      </x:c>
      <x:c r="E825" s="37" t="str">
        <x:v>direct addition of blue pen; hidden goal=3; transition=2→3</x:v>
      </x:c>
      <x:c r="F825" s="37" t="str">
        <x:v>count_goal_3_add_masked</x:v>
      </x:c>
      <x:c r="G825" s="37" t="str">
        <x:v>goal one via removal (2→1); goal three via addition (2→3)</x:v>
      </x:c>
      <x:c r="H825" s="37" t="str">
        <x:v>No</x:v>
      </x:c>
      <x:c r="I825" s="37" t="str">
        <x:v>Keep prompt</x:v>
      </x:c>
      <x:c r="J825" s="37" t="str">
        <x:v>No prompt change required under the missing-cell design.</x:v>
      </x:c>
      <x:c r="K825" s="37" t="str">
        <x:v>green pencil sharpener, airplane toy without propellers, blue pen</x:v>
      </x:c>
      <x:c r="L825" s="37" t="str">
        <x:v>blue pen</x:v>
      </x:c>
      <x:c r="M825" s="37" t="str">
        <x:v>Post-Drop</x:v>
      </x:c>
      <x:c r="N825" s="37" t="str">
        <x:v>Pick up the blue pen and place it in the bowl.</x:v>
      </x:c>
      <x:c r="O825" s="37" t="str">
        <x:v>Leave exactly three objects in the bowl.</x:v>
      </x:c>
      <x:c r="P825" s="37" t="str">
        <x:v>The exact 2→3 motor transition is trained with a direct instruction, but the goal-count instruction is withheld.</x:v>
      </x:c>
      <x:c r="Q825" s="38"/>
    </x:row>
    <x:row r="826" ht="60" customHeight="1">
      <x:c r="A826" s="70" t="n">
        <x:v>824</x:v>
      </x:c>
      <x:c r="B826" s="37" t="str">
        <x:v>Counting</x:v>
      </x:c>
      <x:c r="C826" s="37" t="str">
        <x:v>Put the blue pen in the bowl.</x:v>
      </x:c>
      <x:c r="D826" s="37" t="str">
        <x:v>Masked goal-count × transition composition</x:v>
      </x:c>
      <x:c r="E826" s="37" t="str">
        <x:v>direct addition of blue pen; hidden goal=3; transition=2→3</x:v>
      </x:c>
      <x:c r="F826" s="37" t="str">
        <x:v>count_goal_3_add_masked</x:v>
      </x:c>
      <x:c r="G826" s="37" t="str">
        <x:v>goal one via removal (2→1); goal three via addition (2→3)</x:v>
      </x:c>
      <x:c r="H826" s="37" t="str">
        <x:v>No</x:v>
      </x:c>
      <x:c r="I826" s="37" t="str">
        <x:v>Keep prompt</x:v>
      </x:c>
      <x:c r="J826" s="37" t="str">
        <x:v>No prompt change required under the missing-cell design.</x:v>
      </x:c>
      <x:c r="K826" s="37" t="str">
        <x:v>yellow block, airplane toy without propellers, blue pen</x:v>
      </x:c>
      <x:c r="L826" s="37" t="str">
        <x:v>blue pen</x:v>
      </x:c>
      <x:c r="M826" s="37" t="str">
        <x:v>Recovery</x:v>
      </x:c>
      <x:c r="N826" s="37" t="str">
        <x:v>Put the blue pen in the bowl.</x:v>
      </x:c>
      <x:c r="O826" s="37" t="str">
        <x:v>Leave exactly three objects in the bowl.</x:v>
      </x:c>
      <x:c r="P826" s="37" t="str">
        <x:v>The exact 2→3 motor transition is trained with a direct instruction, but the goal-count instruction is withheld.</x:v>
      </x:c>
      <x:c r="Q826" s="38"/>
    </x:row>
    <x:row r="827" ht="60" customHeight="1">
      <x:c r="A827" s="70" t="n">
        <x:v>825</x:v>
      </x:c>
      <x:c r="B827" s="37" t="str">
        <x:v>Counting</x:v>
      </x:c>
      <x:c r="C827" s="37" t="str">
        <x:v>Make the bowl contain exactly zero objects.</x:v>
      </x:c>
      <x:c r="D827" s="37" t="str">
        <x:v>Explicit goal-count grounding</x:v>
      </x:c>
      <x:c r="E827" s="37" t="str">
        <x:v>goal=0; in-distribution anchor</x:v>
      </x:c>
      <x:c r="F827" s="37" t="str">
        <x:v>count_goal_0_explicit_anchor</x:v>
      </x:c>
      <x:c r="G827" s="37" t="str">
        <x:v>goal one via removal (2→1); goal three via addition (2→3)</x:v>
      </x:c>
      <x:c r="H827" s="37" t="str">
        <x:v>No</x:v>
      </x:c>
      <x:c r="I827" s="37" t="str">
        <x:v>Keep prompt</x:v>
      </x:c>
      <x:c r="J827" s="37" t="str">
        <x:v>No prompt change required under the missing-cell design.</x:v>
      </x:c>
      <x:c r="K827" s="37" t="str">
        <x:v>blue pen, yellow block, green pencil sharpener, airplane toy without propellers</x:v>
      </x:c>
      <x:c r="L827" s="37" t="str">
        <x:v>blue pen</x:v>
      </x:c>
      <x:c r="M827" s="37" t="str">
        <x:v>Home</x:v>
      </x:c>
      <x:c r="N827" s="37" t="str">
        <x:v>Make the bowl contain exactly zero objects.</x:v>
      </x:c>
      <x:c r="O827" s="37" t="str"/>
      <x:c r="P827" s="37" t="str">
        <x:v>Explicitly grounds final count 0 as an in-distribution counting anchor.</x:v>
      </x:c>
      <x:c r="Q827" s="38"/>
    </x:row>
    <x:row r="828" ht="60" customHeight="1">
      <x:c r="A828" s="70" t="n">
        <x:v>826</x:v>
      </x:c>
      <x:c r="B828" s="37" t="str">
        <x:v>Counting</x:v>
      </x:c>
      <x:c r="C828" s="37" t="str">
        <x:v>Adjust the bowl so that it contains zero objects.</x:v>
      </x:c>
      <x:c r="D828" s="37" t="str">
        <x:v>Explicit goal-count grounding</x:v>
      </x:c>
      <x:c r="E828" s="37" t="str">
        <x:v>goal=0; in-distribution anchor</x:v>
      </x:c>
      <x:c r="F828" s="37" t="str">
        <x:v>count_goal_0_explicit_anchor</x:v>
      </x:c>
      <x:c r="G828" s="37" t="str">
        <x:v>goal one via removal (2→1); goal three via addition (2→3)</x:v>
      </x:c>
      <x:c r="H828" s="37" t="str">
        <x:v>No</x:v>
      </x:c>
      <x:c r="I828" s="37" t="str">
        <x:v>Keep prompt</x:v>
      </x:c>
      <x:c r="J828" s="37" t="str">
        <x:v>No prompt change required under the missing-cell design.</x:v>
      </x:c>
      <x:c r="K828" s="37" t="str">
        <x:v>blue pen, green pencil sharpener, airplane toy without propellers</x:v>
      </x:c>
      <x:c r="L828" s="37" t="str">
        <x:v>blue pen</x:v>
      </x:c>
      <x:c r="M828" s="37" t="str">
        <x:v>Home</x:v>
      </x:c>
      <x:c r="N828" s="37" t="str">
        <x:v>Adjust the bowl so that it contains zero objects.</x:v>
      </x:c>
      <x:c r="O828" s="37" t="str"/>
      <x:c r="P828" s="37" t="str">
        <x:v>Explicitly grounds final count 0 as an in-distribution counting anchor.</x:v>
      </x:c>
      <x:c r="Q828" s="38"/>
    </x:row>
    <x:row r="829" ht="60" customHeight="1">
      <x:c r="A829" s="70" t="n">
        <x:v>827</x:v>
      </x:c>
      <x:c r="B829" s="37" t="str">
        <x:v>Counting</x:v>
      </x:c>
      <x:c r="C829" s="37" t="str">
        <x:v>Adjust the bowl so that it contains zero objects.</x:v>
      </x:c>
      <x:c r="D829" s="37" t="str">
        <x:v>Explicit goal-count grounding</x:v>
      </x:c>
      <x:c r="E829" s="37" t="str">
        <x:v>goal=0; in-distribution anchor</x:v>
      </x:c>
      <x:c r="F829" s="37" t="str">
        <x:v>count_goal_0_explicit_anchor</x:v>
      </x:c>
      <x:c r="G829" s="37" t="str">
        <x:v>goal one via removal (2→1); goal three via addition (2→3)</x:v>
      </x:c>
      <x:c r="H829" s="37" t="str">
        <x:v>No</x:v>
      </x:c>
      <x:c r="I829" s="37" t="str">
        <x:v>Keep prompt</x:v>
      </x:c>
      <x:c r="J829" s="37" t="str">
        <x:v>No prompt change required under the missing-cell design.</x:v>
      </x:c>
      <x:c r="K829" s="37" t="str">
        <x:v>blue pen, yellow block, green pencil sharpener</x:v>
      </x:c>
      <x:c r="L829" s="37" t="str">
        <x:v>blue pen</x:v>
      </x:c>
      <x:c r="M829" s="37" t="str">
        <x:v>Post-Drop</x:v>
      </x:c>
      <x:c r="N829" s="37" t="str">
        <x:v>Adjust the bowl so that it contains zero objects.</x:v>
      </x:c>
      <x:c r="O829" s="37" t="str"/>
      <x:c r="P829" s="37" t="str">
        <x:v>Explicitly grounds final count 0 as an in-distribution counting anchor.</x:v>
      </x:c>
      <x:c r="Q829" s="38"/>
    </x:row>
    <x:row r="830" ht="60" customHeight="1">
      <x:c r="A830" s="70" t="n">
        <x:v>828</x:v>
      </x:c>
      <x:c r="B830" s="37" t="str">
        <x:v>Counting</x:v>
      </x:c>
      <x:c r="C830" s="37" t="str">
        <x:v>Leave no objects in the bowl.</x:v>
      </x:c>
      <x:c r="D830" s="37" t="str">
        <x:v>Explicit goal-count grounding</x:v>
      </x:c>
      <x:c r="E830" s="37" t="str">
        <x:v>goal=0; in-distribution anchor</x:v>
      </x:c>
      <x:c r="F830" s="37" t="str">
        <x:v>count_goal_0_explicit_anchor</x:v>
      </x:c>
      <x:c r="G830" s="37" t="str">
        <x:v>goal one via removal (2→1); goal three via addition (2→3)</x:v>
      </x:c>
      <x:c r="H830" s="37" t="str">
        <x:v>No</x:v>
      </x:c>
      <x:c r="I830" s="37" t="str">
        <x:v>Keep prompt</x:v>
      </x:c>
      <x:c r="J830" s="37" t="str">
        <x:v>No prompt change required under the missing-cell design.</x:v>
      </x:c>
      <x:c r="K830" s="37" t="str">
        <x:v>blue pen, airplane toy without propellers</x:v>
      </x:c>
      <x:c r="L830" s="37" t="str">
        <x:v>blue pen</x:v>
      </x:c>
      <x:c r="M830" s="37" t="str">
        <x:v>Post-Drop</x:v>
      </x:c>
      <x:c r="N830" s="37" t="str">
        <x:v>Leave no objects in the bowl.</x:v>
      </x:c>
      <x:c r="O830" s="37" t="str"/>
      <x:c r="P830" s="37" t="str">
        <x:v>Explicitly grounds final count 0 as an in-distribution counting anchor.</x:v>
      </x:c>
      <x:c r="Q830" s="38"/>
    </x:row>
    <x:row r="831" ht="60" customHeight="1">
      <x:c r="A831" s="70" t="n">
        <x:v>829</x:v>
      </x:c>
      <x:c r="B831" s="37" t="str">
        <x:v>Counting</x:v>
      </x:c>
      <x:c r="C831" s="37" t="str">
        <x:v>Leave no objects in the bowl.</x:v>
      </x:c>
      <x:c r="D831" s="37" t="str">
        <x:v>Explicit goal-count grounding</x:v>
      </x:c>
      <x:c r="E831" s="37" t="str">
        <x:v>goal=0; in-distribution anchor</x:v>
      </x:c>
      <x:c r="F831" s="37" t="str">
        <x:v>count_goal_0_explicit_anchor</x:v>
      </x:c>
      <x:c r="G831" s="37" t="str">
        <x:v>goal one via removal (2→1); goal three via addition (2→3)</x:v>
      </x:c>
      <x:c r="H831" s="37" t="str">
        <x:v>No</x:v>
      </x:c>
      <x:c r="I831" s="37" t="str">
        <x:v>Keep prompt</x:v>
      </x:c>
      <x:c r="J831" s="37" t="str">
        <x:v>No prompt change required under the missing-cell design.</x:v>
      </x:c>
      <x:c r="K831" s="37" t="str">
        <x:v>blue pen, yellow block, airplane toy without propellers</x:v>
      </x:c>
      <x:c r="L831" s="37" t="str">
        <x:v>blue pen</x:v>
      </x:c>
      <x:c r="M831" s="37" t="str">
        <x:v>Recovery</x:v>
      </x:c>
      <x:c r="N831" s="37" t="str">
        <x:v>Leave no objects in the bowl.</x:v>
      </x:c>
      <x:c r="O831" s="37" t="str"/>
      <x:c r="P831" s="37" t="str">
        <x:v>Explicitly grounds final count 0 as an in-distribution counting anchor.</x:v>
      </x:c>
      <x:c r="Q831" s="38"/>
    </x:row>
    <x:row r="832" ht="60" customHeight="1">
      <x:c r="A832" s="70" t="n">
        <x:v>830</x:v>
      </x:c>
      <x:c r="B832" s="37" t="str">
        <x:v>Counting</x:v>
      </x:c>
      <x:c r="C832" s="37" t="str">
        <x:v>Adjust the bowl so that it contains zero objects.</x:v>
      </x:c>
      <x:c r="D832" s="37" t="str">
        <x:v>Explicit goal-count grounding</x:v>
      </x:c>
      <x:c r="E832" s="37" t="str">
        <x:v>goal=0; in-distribution anchor</x:v>
      </x:c>
      <x:c r="F832" s="37" t="str">
        <x:v>count_goal_0_explicit_anchor</x:v>
      </x:c>
      <x:c r="G832" s="37" t="str">
        <x:v>goal one via removal (2→1); goal three via addition (2→3)</x:v>
      </x:c>
      <x:c r="H832" s="37" t="str">
        <x:v>No</x:v>
      </x:c>
      <x:c r="I832" s="37" t="str">
        <x:v>Keep prompt</x:v>
      </x:c>
      <x:c r="J832" s="37" t="str">
        <x:v>No prompt change required under the missing-cell design.</x:v>
      </x:c>
      <x:c r="K832" s="37" t="str">
        <x:v>blue pen</x:v>
      </x:c>
      <x:c r="L832" s="37" t="str">
        <x:v>blue pen</x:v>
      </x:c>
      <x:c r="M832" s="37" t="str">
        <x:v>Recovery</x:v>
      </x:c>
      <x:c r="N832" s="37" t="str">
        <x:v>Adjust the bowl so that it contains zero objects.</x:v>
      </x:c>
      <x:c r="O832" s="37" t="str"/>
      <x:c r="P832" s="37" t="str">
        <x:v>Explicitly grounds final count 0 as an in-distribution counting anchor.</x:v>
      </x:c>
      <x:c r="Q832" s="38"/>
    </x:row>
    <x:row r="833" ht="60" customHeight="1">
      <x:c r="A833" s="70" t="n">
        <x:v>831</x:v>
      </x:c>
      <x:c r="B833" s="37" t="str">
        <x:v>Counting</x:v>
      </x:c>
      <x:c r="C833" s="37" t="str">
        <x:v>Remove the blue pen from the bowl.</x:v>
      </x:c>
      <x:c r="D833" s="37" t="str">
        <x:v>Masked goal-count × transition composition</x:v>
      </x:c>
      <x:c r="E833" s="37" t="str">
        <x:v>direct removal of blue pen; hidden goal=1; transition=2→1</x:v>
      </x:c>
      <x:c r="F833" s="37" t="str">
        <x:v>count_goal_1_remove_masked</x:v>
      </x:c>
      <x:c r="G833" s="37" t="str">
        <x:v>goal one via removal (2→1); goal three via addition (2→3)</x:v>
      </x:c>
      <x:c r="H833" s="37" t="str">
        <x:v>No</x:v>
      </x:c>
      <x:c r="I833" s="37" t="str">
        <x:v>Keep prompt</x:v>
      </x:c>
      <x:c r="J833" s="37" t="str">
        <x:v>No prompt change required under the missing-cell design.</x:v>
      </x:c>
      <x:c r="K833" s="37" t="str">
        <x:v>blue pen, yellow block, green pencil sharpener, airplane toy without propellers</x:v>
      </x:c>
      <x:c r="L833" s="37" t="str">
        <x:v>blue pen</x:v>
      </x:c>
      <x:c r="M833" s="37" t="str">
        <x:v>Home</x:v>
      </x:c>
      <x:c r="N833" s="37" t="str">
        <x:v>Remove the blue pen from the bowl.</x:v>
      </x:c>
      <x:c r="O833" s="37" t="str">
        <x:v>Leave exactly one object in the bowl.</x:v>
      </x:c>
      <x:c r="P833" s="37" t="str">
        <x:v>The exact 2→1 motor transition is trained with a direct instruction, but the goal-count instruction is withheld.</x:v>
      </x:c>
      <x:c r="Q833" s="38"/>
    </x:row>
    <x:row r="834" ht="60" customHeight="1">
      <x:c r="A834" s="70" t="n">
        <x:v>832</x:v>
      </x:c>
      <x:c r="B834" s="37" t="str">
        <x:v>Counting</x:v>
      </x:c>
      <x:c r="C834" s="37" t="str">
        <x:v>Remove the blue pen from the bowl.</x:v>
      </x:c>
      <x:c r="D834" s="37" t="str">
        <x:v>Masked goal-count × transition composition</x:v>
      </x:c>
      <x:c r="E834" s="37" t="str">
        <x:v>direct removal of blue pen; hidden goal=1; transition=2→1</x:v>
      </x:c>
      <x:c r="F834" s="37" t="str">
        <x:v>count_goal_1_remove_masked</x:v>
      </x:c>
      <x:c r="G834" s="37" t="str">
        <x:v>goal one via removal (2→1); goal three via addition (2→3)</x:v>
      </x:c>
      <x:c r="H834" s="37" t="str">
        <x:v>No</x:v>
      </x:c>
      <x:c r="I834" s="37" t="str">
        <x:v>Keep prompt</x:v>
      </x:c>
      <x:c r="J834" s="37" t="str">
        <x:v>No prompt change required under the missing-cell design.</x:v>
      </x:c>
      <x:c r="K834" s="37" t="str">
        <x:v>blue pen, green pencil sharpener, yellow block</x:v>
      </x:c>
      <x:c r="L834" s="37" t="str">
        <x:v>blue pen</x:v>
      </x:c>
      <x:c r="M834" s="37" t="str">
        <x:v>Home</x:v>
      </x:c>
      <x:c r="N834" s="37" t="str">
        <x:v>Remove the blue pen from the bowl.</x:v>
      </x:c>
      <x:c r="O834" s="37" t="str">
        <x:v>Leave exactly one object in the bowl.</x:v>
      </x:c>
      <x:c r="P834" s="37" t="str">
        <x:v>The exact 2→1 motor transition is trained with a direct instruction, but the goal-count instruction is withheld.</x:v>
      </x:c>
      <x:c r="Q834" s="38"/>
    </x:row>
    <x:row r="835" ht="60" customHeight="1">
      <x:c r="A835" s="70" t="n">
        <x:v>833</x:v>
      </x:c>
      <x:c r="B835" s="37" t="str">
        <x:v>Counting</x:v>
      </x:c>
      <x:c r="C835" s="37" t="str">
        <x:v>Take the blue pen out of the bowl.</x:v>
      </x:c>
      <x:c r="D835" s="37" t="str">
        <x:v>Masked goal-count × transition composition</x:v>
      </x:c>
      <x:c r="E835" s="37" t="str">
        <x:v>direct removal of blue pen; hidden goal=1; transition=2→1</x:v>
      </x:c>
      <x:c r="F835" s="37" t="str">
        <x:v>count_goal_1_remove_masked</x:v>
      </x:c>
      <x:c r="G835" s="37" t="str">
        <x:v>goal one via removal (2→1); goal three via addition (2→3)</x:v>
      </x:c>
      <x:c r="H835" s="37" t="str">
        <x:v>No</x:v>
      </x:c>
      <x:c r="I835" s="37" t="str">
        <x:v>Keep prompt</x:v>
      </x:c>
      <x:c r="J835" s="37" t="str">
        <x:v>No prompt change required under the missing-cell design.</x:v>
      </x:c>
      <x:c r="K835" s="37" t="str">
        <x:v>blue pen, airplane toy without propellers, green pencil sharpener</x:v>
      </x:c>
      <x:c r="L835" s="37" t="str">
        <x:v>blue pen</x:v>
      </x:c>
      <x:c r="M835" s="37" t="str">
        <x:v>Home</x:v>
      </x:c>
      <x:c r="N835" s="37" t="str">
        <x:v>Take the blue pen out of the bowl.</x:v>
      </x:c>
      <x:c r="O835" s="37" t="str">
        <x:v>Leave exactly one object in the bowl.</x:v>
      </x:c>
      <x:c r="P835" s="37" t="str">
        <x:v>The exact 2→1 motor transition is trained with a direct instruction, but the goal-count instruction is withheld.</x:v>
      </x:c>
      <x:c r="Q835" s="38"/>
    </x:row>
    <x:row r="836" ht="60" customHeight="1">
      <x:c r="A836" s="70" t="n">
        <x:v>834</x:v>
      </x:c>
      <x:c r="B836" s="37" t="str">
        <x:v>Counting</x:v>
      </x:c>
      <x:c r="C836" s="37" t="str">
        <x:v>Take the blue pen out of the bowl.</x:v>
      </x:c>
      <x:c r="D836" s="37" t="str">
        <x:v>Masked goal-count × transition composition</x:v>
      </x:c>
      <x:c r="E836" s="37" t="str">
        <x:v>direct removal of blue pen; hidden goal=1; transition=2→1</x:v>
      </x:c>
      <x:c r="F836" s="37" t="str">
        <x:v>count_goal_1_remove_masked</x:v>
      </x:c>
      <x:c r="G836" s="37" t="str">
        <x:v>goal one via removal (2→1); goal three via addition (2→3)</x:v>
      </x:c>
      <x:c r="H836" s="37" t="str">
        <x:v>No</x:v>
      </x:c>
      <x:c r="I836" s="37" t="str">
        <x:v>Keep prompt</x:v>
      </x:c>
      <x:c r="J836" s="37" t="str">
        <x:v>No prompt change required under the missing-cell design.</x:v>
      </x:c>
      <x:c r="K836" s="37" t="str">
        <x:v>blue pen, yellow block, airplane toy without propellers</x:v>
      </x:c>
      <x:c r="L836" s="37" t="str">
        <x:v>blue pen</x:v>
      </x:c>
      <x:c r="M836" s="37" t="str">
        <x:v>Post-Drop</x:v>
      </x:c>
      <x:c r="N836" s="37" t="str">
        <x:v>Take the blue pen out of the bowl.</x:v>
      </x:c>
      <x:c r="O836" s="37" t="str">
        <x:v>Leave exactly one object in the bowl.</x:v>
      </x:c>
      <x:c r="P836" s="37" t="str">
        <x:v>The exact 2→1 motor transition is trained with a direct instruction, but the goal-count instruction is withheld.</x:v>
      </x:c>
      <x:c r="Q836" s="38"/>
    </x:row>
    <x:row r="837" ht="60" customHeight="1">
      <x:c r="A837" s="70" t="n">
        <x:v>835</x:v>
      </x:c>
      <x:c r="B837" s="37" t="str">
        <x:v>Counting</x:v>
      </x:c>
      <x:c r="C837" s="37" t="str">
        <x:v>Move the blue pen from the bowl to the table.</x:v>
      </x:c>
      <x:c r="D837" s="37" t="str">
        <x:v>Masked goal-count × transition composition</x:v>
      </x:c>
      <x:c r="E837" s="37" t="str">
        <x:v>direct removal of blue pen; hidden goal=1; transition=2→1</x:v>
      </x:c>
      <x:c r="F837" s="37" t="str">
        <x:v>count_goal_1_remove_masked</x:v>
      </x:c>
      <x:c r="G837" s="37" t="str">
        <x:v>goal one via removal (2→1); goal three via addition (2→3)</x:v>
      </x:c>
      <x:c r="H837" s="37" t="str">
        <x:v>No</x:v>
      </x:c>
      <x:c r="I837" s="37" t="str">
        <x:v>Keep prompt</x:v>
      </x:c>
      <x:c r="J837" s="37" t="str">
        <x:v>No prompt change required under the missing-cell design.</x:v>
      </x:c>
      <x:c r="K837" s="37" t="str">
        <x:v>blue pen, green pencil sharpener, yellow block, airplane toy without propellers</x:v>
      </x:c>
      <x:c r="L837" s="37" t="str">
        <x:v>blue pen</x:v>
      </x:c>
      <x:c r="M837" s="37" t="str">
        <x:v>Post-Drop</x:v>
      </x:c>
      <x:c r="N837" s="37" t="str">
        <x:v>Move the blue pen from the bowl to the table.</x:v>
      </x:c>
      <x:c r="O837" s="37" t="str">
        <x:v>Leave exactly one object in the bowl.</x:v>
      </x:c>
      <x:c r="P837" s="37" t="str">
        <x:v>The exact 2→1 motor transition is trained with a direct instruction, but the goal-count instruction is withheld.</x:v>
      </x:c>
      <x:c r="Q837" s="38"/>
    </x:row>
    <x:row r="838" ht="60" customHeight="1">
      <x:c r="A838" s="70" t="n">
        <x:v>836</x:v>
      </x:c>
      <x:c r="B838" s="37" t="str">
        <x:v>Counting</x:v>
      </x:c>
      <x:c r="C838" s="37" t="str">
        <x:v>Remove the blue pen from the bowl.</x:v>
      </x:c>
      <x:c r="D838" s="37" t="str">
        <x:v>Masked goal-count × transition composition</x:v>
      </x:c>
      <x:c r="E838" s="37" t="str">
        <x:v>direct removal of blue pen; hidden goal=1; transition=2→1</x:v>
      </x:c>
      <x:c r="F838" s="37" t="str">
        <x:v>count_goal_1_remove_masked</x:v>
      </x:c>
      <x:c r="G838" s="37" t="str">
        <x:v>goal one via removal (2→1); goal three via addition (2→3)</x:v>
      </x:c>
      <x:c r="H838" s="37" t="str">
        <x:v>No</x:v>
      </x:c>
      <x:c r="I838" s="37" t="str">
        <x:v>Keep prompt</x:v>
      </x:c>
      <x:c r="J838" s="37" t="str">
        <x:v>No prompt change required under the missing-cell design.</x:v>
      </x:c>
      <x:c r="K838" s="37" t="str">
        <x:v>blue pen, airplane toy without propellers</x:v>
      </x:c>
      <x:c r="L838" s="37" t="str">
        <x:v>blue pen</x:v>
      </x:c>
      <x:c r="M838" s="37" t="str">
        <x:v>Recovery</x:v>
      </x:c>
      <x:c r="N838" s="37" t="str">
        <x:v>Remove the blue pen from the bowl.</x:v>
      </x:c>
      <x:c r="O838" s="37" t="str">
        <x:v>Leave exactly one object in the bowl.</x:v>
      </x:c>
      <x:c r="P838" s="37" t="str">
        <x:v>The exact 2→1 motor transition is trained with a direct instruction, but the goal-count instruction is withheld.</x:v>
      </x:c>
      <x:c r="Q838" s="38"/>
    </x:row>
    <x:row r="839" ht="60" customHeight="1">
      <x:c r="A839" s="70" t="n">
        <x:v>837</x:v>
      </x:c>
      <x:c r="B839" s="37" t="str">
        <x:v>Counting</x:v>
      </x:c>
      <x:c r="C839" s="37" t="str">
        <x:v>Make the bowl contain exactly two objects.</x:v>
      </x:c>
      <x:c r="D839" s="37" t="str">
        <x:v>Explicit goal-count grounding</x:v>
      </x:c>
      <x:c r="E839" s="37" t="str">
        <x:v>goal=2; in-distribution anchor</x:v>
      </x:c>
      <x:c r="F839" s="37" t="str">
        <x:v>count_goal_2_explicit_anchor</x:v>
      </x:c>
      <x:c r="G839" s="37" t="str">
        <x:v>goal one via removal (2→1); goal three via addition (2→3)</x:v>
      </x:c>
      <x:c r="H839" s="37" t="str">
        <x:v>No</x:v>
      </x:c>
      <x:c r="I839" s="37" t="str">
        <x:v>Keep prompt</x:v>
      </x:c>
      <x:c r="J839" s="37" t="str">
        <x:v>No prompt change required under the missing-cell design.</x:v>
      </x:c>
      <x:c r="K839" s="37" t="str">
        <x:v>blue pen, yellow block, green pencil sharpener, airplane toy without propellers</x:v>
      </x:c>
      <x:c r="L839" s="37" t="str">
        <x:v>blue pen</x:v>
      </x:c>
      <x:c r="M839" s="37" t="str">
        <x:v>Home</x:v>
      </x:c>
      <x:c r="N839" s="37" t="str">
        <x:v>Make the bowl contain exactly two objects.</x:v>
      </x:c>
      <x:c r="O839" s="37" t="str"/>
      <x:c r="P839" s="37" t="str">
        <x:v>Explicitly grounds final count 2 as an in-distribution counting anchor.</x:v>
      </x:c>
      <x:c r="Q839" s="38"/>
    </x:row>
    <x:row r="840" ht="60" customHeight="1">
      <x:c r="A840" s="70" t="n">
        <x:v>838</x:v>
      </x:c>
      <x:c r="B840" s="37" t="str">
        <x:v>Counting</x:v>
      </x:c>
      <x:c r="C840" s="37" t="str">
        <x:v>Make the bowl contain exactly two objects.</x:v>
      </x:c>
      <x:c r="D840" s="37" t="str">
        <x:v>Explicit goal-count grounding</x:v>
      </x:c>
      <x:c r="E840" s="37" t="str">
        <x:v>goal=2; in-distribution anchor</x:v>
      </x:c>
      <x:c r="F840" s="37" t="str">
        <x:v>count_goal_2_explicit_anchor</x:v>
      </x:c>
      <x:c r="G840" s="37" t="str">
        <x:v>goal one via removal (2→1); goal three via addition (2→3)</x:v>
      </x:c>
      <x:c r="H840" s="37" t="str">
        <x:v>No</x:v>
      </x:c>
      <x:c r="I840" s="37" t="str">
        <x:v>Keep prompt</x:v>
      </x:c>
      <x:c r="J840" s="37" t="str">
        <x:v>No prompt change required under the missing-cell design.</x:v>
      </x:c>
      <x:c r="K840" s="37" t="str">
        <x:v>blue pen, green pencil sharpener, airplane toy without propellers, yellow block</x:v>
      </x:c>
      <x:c r="L840" s="37" t="str">
        <x:v>blue pen</x:v>
      </x:c>
      <x:c r="M840" s="37" t="str">
        <x:v>Home</x:v>
      </x:c>
      <x:c r="N840" s="37" t="str">
        <x:v>Make the bowl contain exactly two objects.</x:v>
      </x:c>
      <x:c r="O840" s="37" t="str"/>
      <x:c r="P840" s="37" t="str">
        <x:v>Explicitly grounds final count 2 as an in-distribution counting anchor.</x:v>
      </x:c>
      <x:c r="Q840" s="38"/>
    </x:row>
    <x:row r="841" ht="60" customHeight="1">
      <x:c r="A841" s="70" t="n">
        <x:v>839</x:v>
      </x:c>
      <x:c r="B841" s="37" t="str">
        <x:v>Counting</x:v>
      </x:c>
      <x:c r="C841" s="37" t="str">
        <x:v>Make the bowl contain exactly two objects.</x:v>
      </x:c>
      <x:c r="D841" s="37" t="str">
        <x:v>Explicit goal-count grounding</x:v>
      </x:c>
      <x:c r="E841" s="37" t="str">
        <x:v>goal=2; in-distribution anchor</x:v>
      </x:c>
      <x:c r="F841" s="37" t="str">
        <x:v>count_goal_2_explicit_anchor</x:v>
      </x:c>
      <x:c r="G841" s="37" t="str">
        <x:v>goal one via removal (2→1); goal three via addition (2→3)</x:v>
      </x:c>
      <x:c r="H841" s="37" t="str">
        <x:v>No</x:v>
      </x:c>
      <x:c r="I841" s="37" t="str">
        <x:v>Keep prompt</x:v>
      </x:c>
      <x:c r="J841" s="37" t="str">
        <x:v>No prompt change required under the missing-cell design.</x:v>
      </x:c>
      <x:c r="K841" s="37" t="str">
        <x:v>blue pen, yellow block, airplane toy without propellers, green pencil sharpener</x:v>
      </x:c>
      <x:c r="L841" s="37" t="str">
        <x:v>blue pen</x:v>
      </x:c>
      <x:c r="M841" s="37" t="str">
        <x:v>Post-Drop</x:v>
      </x:c>
      <x:c r="N841" s="37" t="str">
        <x:v>Make the bowl contain exactly two objects.</x:v>
      </x:c>
      <x:c r="O841" s="37" t="str"/>
      <x:c r="P841" s="37" t="str">
        <x:v>Explicitly grounds final count 2 as an in-distribution counting anchor.</x:v>
      </x:c>
      <x:c r="Q841" s="38"/>
    </x:row>
    <x:row r="842" ht="60" customHeight="1">
      <x:c r="A842" s="70" t="n">
        <x:v>840</x:v>
      </x:c>
      <x:c r="B842" s="37" t="str">
        <x:v>Counting</x:v>
      </x:c>
      <x:c r="C842" s="37" t="str">
        <x:v>Adjust the bowl so that it contains two objects.</x:v>
      </x:c>
      <x:c r="D842" s="37" t="str">
        <x:v>Explicit goal-count grounding</x:v>
      </x:c>
      <x:c r="E842" s="37" t="str">
        <x:v>goal=2; in-distribution anchor</x:v>
      </x:c>
      <x:c r="F842" s="37" t="str">
        <x:v>count_goal_2_explicit_anchor</x:v>
      </x:c>
      <x:c r="G842" s="37" t="str">
        <x:v>goal one via removal (2→1); goal three via addition (2→3)</x:v>
      </x:c>
      <x:c r="H842" s="37" t="str">
        <x:v>No</x:v>
      </x:c>
      <x:c r="I842" s="37" t="str">
        <x:v>Keep prompt</x:v>
      </x:c>
      <x:c r="J842" s="37" t="str">
        <x:v>No prompt change required under the missing-cell design.</x:v>
      </x:c>
      <x:c r="K842" s="37" t="str">
        <x:v>blue pen, yellow block, green pencil sharpener</x:v>
      </x:c>
      <x:c r="L842" s="37" t="str">
        <x:v>blue pen</x:v>
      </x:c>
      <x:c r="M842" s="37" t="str">
        <x:v>Post-Drop</x:v>
      </x:c>
      <x:c r="N842" s="37" t="str">
        <x:v>Adjust the bowl so that it contains two objects.</x:v>
      </x:c>
      <x:c r="O842" s="37" t="str"/>
      <x:c r="P842" s="37" t="str">
        <x:v>Explicitly grounds final count 2 as an in-distribution counting anchor.</x:v>
      </x:c>
      <x:c r="Q842" s="38"/>
    </x:row>
    <x:row r="843" ht="60" customHeight="1">
      <x:c r="A843" s="70" t="n">
        <x:v>841</x:v>
      </x:c>
      <x:c r="B843" s="37" t="str">
        <x:v>Counting</x:v>
      </x:c>
      <x:c r="C843" s="37" t="str">
        <x:v>Leave exactly two objects in the bowl.</x:v>
      </x:c>
      <x:c r="D843" s="37" t="str">
        <x:v>Explicit goal-count grounding</x:v>
      </x:c>
      <x:c r="E843" s="37" t="str">
        <x:v>goal=2; in-distribution anchor</x:v>
      </x:c>
      <x:c r="F843" s="37" t="str">
        <x:v>count_goal_2_explicit_anchor</x:v>
      </x:c>
      <x:c r="G843" s="37" t="str">
        <x:v>goal one via removal (2→1); goal three via addition (2→3)</x:v>
      </x:c>
      <x:c r="H843" s="37" t="str">
        <x:v>No</x:v>
      </x:c>
      <x:c r="I843" s="37" t="str">
        <x:v>Keep prompt</x:v>
      </x:c>
      <x:c r="J843" s="37" t="str">
        <x:v>No prompt change required under the missing-cell design.</x:v>
      </x:c>
      <x:c r="K843" s="37" t="str">
        <x:v>blue pen, green pencil sharpener, airplane toy without propellers</x:v>
      </x:c>
      <x:c r="L843" s="37" t="str">
        <x:v>blue pen</x:v>
      </x:c>
      <x:c r="M843" s="37" t="str">
        <x:v>Post-Drop</x:v>
      </x:c>
      <x:c r="N843" s="37" t="str">
        <x:v>Leave exactly two objects in the bowl.</x:v>
      </x:c>
      <x:c r="O843" s="37" t="str"/>
      <x:c r="P843" s="37" t="str">
        <x:v>Explicitly grounds final count 2 as an in-distribution counting anchor.</x:v>
      </x:c>
      <x:c r="Q843" s="38"/>
    </x:row>
    <x:row r="844" ht="60" customHeight="1">
      <x:c r="A844" s="70" t="n">
        <x:v>842</x:v>
      </x:c>
      <x:c r="B844" s="37" t="str">
        <x:v>Counting</x:v>
      </x:c>
      <x:c r="C844" s="37" t="str">
        <x:v>Make the bowl contain exactly two objects.</x:v>
      </x:c>
      <x:c r="D844" s="37" t="str">
        <x:v>Explicit goal-count grounding</x:v>
      </x:c>
      <x:c r="E844" s="37" t="str">
        <x:v>goal=2; in-distribution anchor</x:v>
      </x:c>
      <x:c r="F844" s="37" t="str">
        <x:v>count_goal_2_explicit_anchor</x:v>
      </x:c>
      <x:c r="G844" s="37" t="str">
        <x:v>goal one via removal (2→1); goal three via addition (2→3)</x:v>
      </x:c>
      <x:c r="H844" s="37" t="str">
        <x:v>No</x:v>
      </x:c>
      <x:c r="I844" s="37" t="str">
        <x:v>Keep prompt</x:v>
      </x:c>
      <x:c r="J844" s="37" t="str">
        <x:v>No prompt change required under the missing-cell design.</x:v>
      </x:c>
      <x:c r="K844" s="37" t="str">
        <x:v>blue pen, yellow block, airplane toy without propellers</x:v>
      </x:c>
      <x:c r="L844" s="37" t="str">
        <x:v>blue pen</x:v>
      </x:c>
      <x:c r="M844" s="37" t="str">
        <x:v>Recovery</x:v>
      </x:c>
      <x:c r="N844" s="37" t="str">
        <x:v>Make the bowl contain exactly two objects.</x:v>
      </x:c>
      <x:c r="O844" s="37" t="str"/>
      <x:c r="P844" s="37" t="str">
        <x:v>Explicitly grounds final count 2 as an in-distribution counting anchor.</x:v>
      </x:c>
      <x:c r="Q844" s="38"/>
    </x:row>
    <x:row r="845" ht="60" customHeight="1">
      <x:c r="A845" s="70" t="n">
        <x:v>843</x:v>
      </x:c>
      <x:c r="B845" s="37" t="str">
        <x:v>Counting</x:v>
      </x:c>
      <x:c r="C845" s="37" t="str">
        <x:v>Leave exactly three objects in the bowl.</x:v>
      </x:c>
      <x:c r="D845" s="37" t="str">
        <x:v>Explicit goal-count grounding</x:v>
      </x:c>
      <x:c r="E845" s="37" t="str">
        <x:v>goal=3; familiar transition=4→3 removal</x:v>
      </x:c>
      <x:c r="F845" s="37" t="str">
        <x:v>count_goal_3_seen_remove</x:v>
      </x:c>
      <x:c r="G845" s="37" t="str">
        <x:v>goal one via removal (2→1); goal three via addition (2→3)</x:v>
      </x:c>
      <x:c r="H845" s="37" t="str">
        <x:v>Yes</x:v>
      </x:c>
      <x:c r="I845" s="37" t="str">
        <x:v>Replace prompt only</x:v>
      </x:c>
      <x:c r="J845" s="37" t="str">
        <x:v>Prompt-only relabeling; preserve episode 843 video, scene, trajectory, target, and start position.</x:v>
      </x:c>
      <x:c r="K845" s="37" t="str">
        <x:v>blue pen, yellow block, green pencil sharpener, airplane toy without propellers</x:v>
      </x:c>
      <x:c r="L845" s="37" t="str">
        <x:v>blue pen</x:v>
      </x:c>
      <x:c r="M845" s="37" t="str">
        <x:v>Home</x:v>
      </x:c>
      <x:c r="N845" s="37" t="str">
        <x:v>Take the blue pen out of the bowl.</x:v>
      </x:c>
      <x:c r="O845" s="37" t="str"/>
      <x:c r="P845" s="37" t="str">
        <x:v>The word three is explicitly trained through removal, while three-through-addition is withheld.</x:v>
      </x:c>
      <x:c r="Q845" s="38"/>
    </x:row>
    <x:row r="846" ht="60" customHeight="1">
      <x:c r="A846" s="70" t="n">
        <x:v>844</x:v>
      </x:c>
      <x:c r="B846" s="37" t="str">
        <x:v>Counting</x:v>
      </x:c>
      <x:c r="C846" s="37" t="str">
        <x:v>Leave exactly three objects in the bowl.</x:v>
      </x:c>
      <x:c r="D846" s="37" t="str">
        <x:v>Explicit goal-count grounding</x:v>
      </x:c>
      <x:c r="E846" s="37" t="str">
        <x:v>goal=3; familiar transition=4→3 removal</x:v>
      </x:c>
      <x:c r="F846" s="37" t="str">
        <x:v>count_goal_3_seen_remove</x:v>
      </x:c>
      <x:c r="G846" s="37" t="str">
        <x:v>goal one via removal (2→1); goal three via addition (2→3)</x:v>
      </x:c>
      <x:c r="H846" s="37" t="str">
        <x:v>Yes</x:v>
      </x:c>
      <x:c r="I846" s="37" t="str">
        <x:v>Replace prompt only</x:v>
      </x:c>
      <x:c r="J846" s="37" t="str">
        <x:v>Prompt-only relabeling; preserve episode 844 video, scene, trajectory, target, and start position.</x:v>
      </x:c>
      <x:c r="K846" s="37" t="str">
        <x:v>blue pen, yellow block, green pencil sharpener, airplane toy without propellers</x:v>
      </x:c>
      <x:c r="L846" s="37" t="str">
        <x:v>blue pen</x:v>
      </x:c>
      <x:c r="M846" s="37" t="str">
        <x:v>Home</x:v>
      </x:c>
      <x:c r="N846" s="37" t="str">
        <x:v>Move the blue pen from the bowl to the table.</x:v>
      </x:c>
      <x:c r="O846" s="37" t="str"/>
      <x:c r="P846" s="37" t="str">
        <x:v>The word three is explicitly trained through removal, while three-through-addition is withheld.</x:v>
      </x:c>
      <x:c r="Q846" s="38"/>
    </x:row>
    <x:row r="847" ht="60" customHeight="1">
      <x:c r="A847" s="70" t="n">
        <x:v>845</x:v>
      </x:c>
      <x:c r="B847" s="37" t="str">
        <x:v>Counting</x:v>
      </x:c>
      <x:c r="C847" s="37" t="str">
        <x:v>Leave exactly three objects in the bowl.</x:v>
      </x:c>
      <x:c r="D847" s="37" t="str">
        <x:v>Explicit goal-count grounding</x:v>
      </x:c>
      <x:c r="E847" s="37" t="str">
        <x:v>goal=3; familiar transition=4→3 removal</x:v>
      </x:c>
      <x:c r="F847" s="37" t="str">
        <x:v>count_goal_3_seen_remove</x:v>
      </x:c>
      <x:c r="G847" s="37" t="str">
        <x:v>goal one via removal (2→1); goal three via addition (2→3)</x:v>
      </x:c>
      <x:c r="H847" s="37" t="str">
        <x:v>Yes</x:v>
      </x:c>
      <x:c r="I847" s="37" t="str">
        <x:v>Replace prompt only</x:v>
      </x:c>
      <x:c r="J847" s="37" t="str">
        <x:v>Prompt-only relabeling; preserve episode 845 video, scene, trajectory, target, and start position.</x:v>
      </x:c>
      <x:c r="K847" s="37" t="str">
        <x:v>blue pen, yellow block, green pencil sharpener, airplane toy without propellers</x:v>
      </x:c>
      <x:c r="L847" s="37" t="str">
        <x:v>blue pen</x:v>
      </x:c>
      <x:c r="M847" s="37" t="str">
        <x:v>Home</x:v>
      </x:c>
      <x:c r="N847" s="37" t="str">
        <x:v>Take the blue pen out of the bowl.</x:v>
      </x:c>
      <x:c r="O847" s="37" t="str"/>
      <x:c r="P847" s="37" t="str">
        <x:v>The word three is explicitly trained through removal, while three-through-addition is withheld.</x:v>
      </x:c>
      <x:c r="Q847" s="38"/>
    </x:row>
    <x:row r="848" ht="60" customHeight="1">
      <x:c r="A848" s="70" t="n">
        <x:v>846</x:v>
      </x:c>
      <x:c r="B848" s="37" t="str">
        <x:v>Counting</x:v>
      </x:c>
      <x:c r="C848" s="37" t="str">
        <x:v>Leave exactly three objects in the bowl.</x:v>
      </x:c>
      <x:c r="D848" s="37" t="str">
        <x:v>Explicit goal-count grounding</x:v>
      </x:c>
      <x:c r="E848" s="37" t="str">
        <x:v>goal=3; familiar transition=4→3 removal</x:v>
      </x:c>
      <x:c r="F848" s="37" t="str">
        <x:v>count_goal_3_seen_remove</x:v>
      </x:c>
      <x:c r="G848" s="37" t="str">
        <x:v>goal one via removal (2→1); goal three via addition (2→3)</x:v>
      </x:c>
      <x:c r="H848" s="37" t="str">
        <x:v>Yes</x:v>
      </x:c>
      <x:c r="I848" s="37" t="str">
        <x:v>Replace prompt only</x:v>
      </x:c>
      <x:c r="J848" s="37" t="str">
        <x:v>Prompt-only relabeling; preserve episode 846 video, scene, trajectory, target, and start position.</x:v>
      </x:c>
      <x:c r="K848" s="37" t="str">
        <x:v>blue pen, yellow block, green pencil sharpener, airplane toy without propellers</x:v>
      </x:c>
      <x:c r="L848" s="37" t="str">
        <x:v>blue pen</x:v>
      </x:c>
      <x:c r="M848" s="37" t="str">
        <x:v>Post-Drop</x:v>
      </x:c>
      <x:c r="N848" s="37" t="str">
        <x:v>Take the blue pen out of the bowl.</x:v>
      </x:c>
      <x:c r="O848" s="37" t="str"/>
      <x:c r="P848" s="37" t="str">
        <x:v>The word three is explicitly trained through removal, while three-through-addition is withheld.</x:v>
      </x:c>
      <x:c r="Q848" s="38"/>
    </x:row>
    <x:row r="849" ht="60" customHeight="1">
      <x:c r="A849" s="70" t="n">
        <x:v>847</x:v>
      </x:c>
      <x:c r="B849" s="37" t="str">
        <x:v>Counting</x:v>
      </x:c>
      <x:c r="C849" s="37" t="str">
        <x:v>Leave exactly three objects in the bowl.</x:v>
      </x:c>
      <x:c r="D849" s="37" t="str">
        <x:v>Explicit goal-count grounding</x:v>
      </x:c>
      <x:c r="E849" s="37" t="str">
        <x:v>goal=3; familiar transition=4→3 removal</x:v>
      </x:c>
      <x:c r="F849" s="37" t="str">
        <x:v>count_goal_3_seen_remove</x:v>
      </x:c>
      <x:c r="G849" s="37" t="str">
        <x:v>goal one via removal (2→1); goal three via addition (2→3)</x:v>
      </x:c>
      <x:c r="H849" s="37" t="str">
        <x:v>Yes</x:v>
      </x:c>
      <x:c r="I849" s="37" t="str">
        <x:v>Replace prompt only</x:v>
      </x:c>
      <x:c r="J849" s="37" t="str">
        <x:v>Prompt-only relabeling; preserve episode 847 video, scene, trajectory, target, and start position.</x:v>
      </x:c>
      <x:c r="K849" s="37" t="str">
        <x:v>blue pen, yellow block, green pencil sharpener, airplane toy without propellers</x:v>
      </x:c>
      <x:c r="L849" s="37" t="str">
        <x:v>blue pen</x:v>
      </x:c>
      <x:c r="M849" s="37" t="str">
        <x:v>Post-Drop</x:v>
      </x:c>
      <x:c r="N849" s="37" t="str">
        <x:v>Remove the blue pen from the bowl.</x:v>
      </x:c>
      <x:c r="O849" s="37" t="str"/>
      <x:c r="P849" s="37" t="str">
        <x:v>The word three is explicitly trained through removal, while three-through-addition is withheld.</x:v>
      </x:c>
      <x:c r="Q849" s="38"/>
    </x:row>
    <x:row r="850" ht="60" customHeight="1">
      <x:c r="A850" s="70" t="n">
        <x:v>848</x:v>
      </x:c>
      <x:c r="B850" s="37" t="str">
        <x:v>Counting</x:v>
      </x:c>
      <x:c r="C850" s="37" t="str">
        <x:v>Leave exactly three objects in the bowl.</x:v>
      </x:c>
      <x:c r="D850" s="37" t="str">
        <x:v>Explicit goal-count grounding</x:v>
      </x:c>
      <x:c r="E850" s="37" t="str">
        <x:v>goal=3; familiar transition=4→3 removal</x:v>
      </x:c>
      <x:c r="F850" s="37" t="str">
        <x:v>count_goal_3_seen_remove</x:v>
      </x:c>
      <x:c r="G850" s="37" t="str">
        <x:v>goal one via removal (2→1); goal three via addition (2→3)</x:v>
      </x:c>
      <x:c r="H850" s="37" t="str">
        <x:v>Yes</x:v>
      </x:c>
      <x:c r="I850" s="37" t="str">
        <x:v>Replace prompt only</x:v>
      </x:c>
      <x:c r="J850" s="37" t="str">
        <x:v>Prompt-only relabeling; preserve episode 848 video, scene, trajectory, target, and start position.</x:v>
      </x:c>
      <x:c r="K850" s="37" t="str">
        <x:v>blue pen, yellow block, green pencil sharpener, airplane toy without propellers</x:v>
      </x:c>
      <x:c r="L850" s="37" t="str">
        <x:v>blue pen</x:v>
      </x:c>
      <x:c r="M850" s="37" t="str">
        <x:v>Post-Drop</x:v>
      </x:c>
      <x:c r="N850" s="37" t="str">
        <x:v>Move the blue pen from the bowl to the table.</x:v>
      </x:c>
      <x:c r="O850" s="37" t="str"/>
      <x:c r="P850" s="37" t="str">
        <x:v>The word three is explicitly trained through removal, while three-through-addition is withheld.</x:v>
      </x:c>
      <x:c r="Q850" s="38"/>
    </x:row>
    <x:row r="851" ht="60" customHeight="1">
      <x:c r="A851" s="70" t="n">
        <x:v>849</x:v>
      </x:c>
      <x:c r="B851" s="37" t="str">
        <x:v>Counting</x:v>
      </x:c>
      <x:c r="C851" s="37" t="str">
        <x:v>Leave exactly three objects in the bowl.</x:v>
      </x:c>
      <x:c r="D851" s="37" t="str">
        <x:v>Explicit goal-count grounding</x:v>
      </x:c>
      <x:c r="E851" s="37" t="str">
        <x:v>goal=3; familiar transition=4→3 removal</x:v>
      </x:c>
      <x:c r="F851" s="37" t="str">
        <x:v>count_goal_3_seen_remove</x:v>
      </x:c>
      <x:c r="G851" s="37" t="str">
        <x:v>goal one via removal (2→1); goal three via addition (2→3)</x:v>
      </x:c>
      <x:c r="H851" s="37" t="str">
        <x:v>Yes</x:v>
      </x:c>
      <x:c r="I851" s="37" t="str">
        <x:v>Replace prompt only</x:v>
      </x:c>
      <x:c r="J851" s="37" t="str">
        <x:v>Prompt-only relabeling; preserve episode 849 video, scene, trajectory, target, and start position.</x:v>
      </x:c>
      <x:c r="K851" s="37" t="str">
        <x:v>blue pen, yellow block, green pencil sharpener, airplane toy without propellers</x:v>
      </x:c>
      <x:c r="L851" s="37" t="str">
        <x:v>blue pen</x:v>
      </x:c>
      <x:c r="M851" s="37" t="str">
        <x:v>Recovery</x:v>
      </x:c>
      <x:c r="N851" s="37" t="str">
        <x:v>Move the blue pen from the bowl to the table.</x:v>
      </x:c>
      <x:c r="O851" s="37" t="str"/>
      <x:c r="P851" s="37" t="str">
        <x:v>The word three is explicitly trained through removal, while three-through-addition is withheld.</x:v>
      </x:c>
      <x:c r="Q851" s="38"/>
    </x:row>
    <x:row r="852" ht="60" customHeight="1">
      <x:c r="A852" s="70" t="n">
        <x:v>850</x:v>
      </x:c>
      <x:c r="B852" s="37" t="str">
        <x:v>Counting</x:v>
      </x:c>
      <x:c r="C852" s="37" t="str">
        <x:v>Leave exactly one object in the bowl.</x:v>
      </x:c>
      <x:c r="D852" s="37" t="str">
        <x:v>Explicit goal-count grounding</x:v>
      </x:c>
      <x:c r="E852" s="37" t="str">
        <x:v>goal=1; familiar transition=0→1 addition</x:v>
      </x:c>
      <x:c r="F852" s="37" t="str">
        <x:v>count_goal_1_seen_add</x:v>
      </x:c>
      <x:c r="G852" s="37" t="str">
        <x:v>goal one via removal (2→1); goal three via addition (2→3)</x:v>
      </x:c>
      <x:c r="H852" s="37" t="str">
        <x:v>Yes</x:v>
      </x:c>
      <x:c r="I852" s="37" t="str">
        <x:v>Replace prompt only</x:v>
      </x:c>
      <x:c r="J852" s="37" t="str">
        <x:v>Prompt-only relabeling; preserve episode 850 video, scene, trajectory, target, and start position.</x:v>
      </x:c>
      <x:c r="K852" s="37" t="str">
        <x:v>yellow block, green pencil sharpener, airplane toy without propellers, blue pen</x:v>
      </x:c>
      <x:c r="L852" s="37" t="str">
        <x:v>yellow block</x:v>
      </x:c>
      <x:c r="M852" s="37" t="str">
        <x:v>Home</x:v>
      </x:c>
      <x:c r="N852" s="37" t="str">
        <x:v>Move the yellow block into the bowl.</x:v>
      </x:c>
      <x:c r="O852" s="37" t="str"/>
      <x:c r="P852" s="37" t="str">
        <x:v>The word one is explicitly trained through addition, while one-through-removal is withheld.</x:v>
      </x:c>
      <x:c r="Q852" s="38"/>
    </x:row>
    <x:row r="853" ht="60" customHeight="1">
      <x:c r="A853" s="70" t="n">
        <x:v>851</x:v>
      </x:c>
      <x:c r="B853" s="37" t="str">
        <x:v>Counting</x:v>
      </x:c>
      <x:c r="C853" s="37" t="str">
        <x:v>Leave exactly one object in the bowl.</x:v>
      </x:c>
      <x:c r="D853" s="37" t="str">
        <x:v>Explicit goal-count grounding</x:v>
      </x:c>
      <x:c r="E853" s="37" t="str">
        <x:v>goal=1; familiar transition=0→1 addition</x:v>
      </x:c>
      <x:c r="F853" s="37" t="str">
        <x:v>count_goal_1_seen_add</x:v>
      </x:c>
      <x:c r="G853" s="37" t="str">
        <x:v>goal one via removal (2→1); goal three via addition (2→3)</x:v>
      </x:c>
      <x:c r="H853" s="37" t="str">
        <x:v>Yes</x:v>
      </x:c>
      <x:c r="I853" s="37" t="str">
        <x:v>Replace prompt only</x:v>
      </x:c>
      <x:c r="J853" s="37" t="str">
        <x:v>Prompt-only relabeling; preserve episode 851 video, scene, trajectory, target, and start position.</x:v>
      </x:c>
      <x:c r="K853" s="37" t="str">
        <x:v>yellow block, green pencil sharpener, airplane toy without propellers</x:v>
      </x:c>
      <x:c r="L853" s="37" t="str">
        <x:v>yellow block</x:v>
      </x:c>
      <x:c r="M853" s="37" t="str">
        <x:v>Home</x:v>
      </x:c>
      <x:c r="N853" s="37" t="str">
        <x:v>Put the yellow block in the bowl.</x:v>
      </x:c>
      <x:c r="O853" s="37" t="str"/>
      <x:c r="P853" s="37" t="str">
        <x:v>The word one is explicitly trained through addition, while one-through-removal is withheld.</x:v>
      </x:c>
      <x:c r="Q853" s="38"/>
    </x:row>
    <x:row r="854" ht="60" customHeight="1">
      <x:c r="A854" s="70" t="n">
        <x:v>852</x:v>
      </x:c>
      <x:c r="B854" s="37" t="str">
        <x:v>Counting</x:v>
      </x:c>
      <x:c r="C854" s="37" t="str">
        <x:v>Leave exactly one object in the bowl.</x:v>
      </x:c>
      <x:c r="D854" s="37" t="str">
        <x:v>Explicit goal-count grounding</x:v>
      </x:c>
      <x:c r="E854" s="37" t="str">
        <x:v>goal=1; familiar transition=0→1 addition</x:v>
      </x:c>
      <x:c r="F854" s="37" t="str">
        <x:v>count_goal_1_seen_add</x:v>
      </x:c>
      <x:c r="G854" s="37" t="str">
        <x:v>goal one via removal (2→1); goal three via addition (2→3)</x:v>
      </x:c>
      <x:c r="H854" s="37" t="str">
        <x:v>Yes</x:v>
      </x:c>
      <x:c r="I854" s="37" t="str">
        <x:v>Replace prompt only</x:v>
      </x:c>
      <x:c r="J854" s="37" t="str">
        <x:v>Prompt-only relabeling; preserve episode 852 video, scene, trajectory, target, and start position.</x:v>
      </x:c>
      <x:c r="K854" s="37" t="str">
        <x:v>yellow block, blue pen</x:v>
      </x:c>
      <x:c r="L854" s="37" t="str">
        <x:v>yellow block</x:v>
      </x:c>
      <x:c r="M854" s="37" t="str">
        <x:v>Home</x:v>
      </x:c>
      <x:c r="N854" s="37" t="str">
        <x:v>Put the yellow block in the bowl.</x:v>
      </x:c>
      <x:c r="O854" s="37" t="str"/>
      <x:c r="P854" s="37" t="str">
        <x:v>The word one is explicitly trained through addition, while one-through-removal is withheld.</x:v>
      </x:c>
      <x:c r="Q854" s="38"/>
    </x:row>
    <x:row r="855" ht="60" customHeight="1">
      <x:c r="A855" s="70" t="n">
        <x:v>853</x:v>
      </x:c>
      <x:c r="B855" s="37" t="str">
        <x:v>Counting</x:v>
      </x:c>
      <x:c r="C855" s="37" t="str">
        <x:v>Leave exactly one object in the bowl.</x:v>
      </x:c>
      <x:c r="D855" s="37" t="str">
        <x:v>Explicit goal-count grounding</x:v>
      </x:c>
      <x:c r="E855" s="37" t="str">
        <x:v>goal=1; familiar transition=0→1 addition</x:v>
      </x:c>
      <x:c r="F855" s="37" t="str">
        <x:v>count_goal_1_seen_add</x:v>
      </x:c>
      <x:c r="G855" s="37" t="str">
        <x:v>goal one via removal (2→1); goal three via addition (2→3)</x:v>
      </x:c>
      <x:c r="H855" s="37" t="str">
        <x:v>Yes</x:v>
      </x:c>
      <x:c r="I855" s="37" t="str">
        <x:v>Replace prompt only</x:v>
      </x:c>
      <x:c r="J855" s="37" t="str">
        <x:v>Prompt-only relabeling; preserve episode 853 video, scene, trajectory, target, and start position.</x:v>
      </x:c>
      <x:c r="K855" s="37" t="str">
        <x:v>yellow block, green pencil sharpener, blue pen</x:v>
      </x:c>
      <x:c r="L855" s="37" t="str">
        <x:v>yellow block</x:v>
      </x:c>
      <x:c r="M855" s="37" t="str">
        <x:v>Post-Drop</x:v>
      </x:c>
      <x:c r="N855" s="37" t="str">
        <x:v>Put the yellow block in the bowl.</x:v>
      </x:c>
      <x:c r="O855" s="37" t="str"/>
      <x:c r="P855" s="37" t="str">
        <x:v>The word one is explicitly trained through addition, while one-through-removal is withheld.</x:v>
      </x:c>
      <x:c r="Q855" s="38"/>
    </x:row>
    <x:row r="856" ht="60" customHeight="1">
      <x:c r="A856" s="70" t="n">
        <x:v>854</x:v>
      </x:c>
      <x:c r="B856" s="37" t="str">
        <x:v>Counting</x:v>
      </x:c>
      <x:c r="C856" s="37" t="str">
        <x:v>Leave exactly one object in the bowl.</x:v>
      </x:c>
      <x:c r="D856" s="37" t="str">
        <x:v>Explicit goal-count grounding</x:v>
      </x:c>
      <x:c r="E856" s="37" t="str">
        <x:v>goal=1; familiar transition=0→1 addition</x:v>
      </x:c>
      <x:c r="F856" s="37" t="str">
        <x:v>count_goal_1_seen_add</x:v>
      </x:c>
      <x:c r="G856" s="37" t="str">
        <x:v>goal one via removal (2→1); goal three via addition (2→3)</x:v>
      </x:c>
      <x:c r="H856" s="37" t="str">
        <x:v>Yes</x:v>
      </x:c>
      <x:c r="I856" s="37" t="str">
        <x:v>Replace prompt only</x:v>
      </x:c>
      <x:c r="J856" s="37" t="str">
        <x:v>Prompt-only relabeling; preserve episode 854 video, scene, trajectory, target, and start position.</x:v>
      </x:c>
      <x:c r="K856" s="37" t="str">
        <x:v>yellow block, airplane toy without propellers</x:v>
      </x:c>
      <x:c r="L856" s="37" t="str">
        <x:v>yellow block</x:v>
      </x:c>
      <x:c r="M856" s="37" t="str">
        <x:v>Post-Drop</x:v>
      </x:c>
      <x:c r="N856" s="37" t="str">
        <x:v>Move the yellow block into the bowl.</x:v>
      </x:c>
      <x:c r="O856" s="37" t="str"/>
      <x:c r="P856" s="37" t="str">
        <x:v>The word one is explicitly trained through addition, while one-through-removal is withheld.</x:v>
      </x:c>
      <x:c r="Q856" s="38"/>
    </x:row>
    <x:row r="857" ht="60" customHeight="1">
      <x:c r="A857" s="70" t="n">
        <x:v>855</x:v>
      </x:c>
      <x:c r="B857" s="37" t="str">
        <x:v>Counting</x:v>
      </x:c>
      <x:c r="C857" s="37" t="str">
        <x:v>Leave exactly one object in the bowl.</x:v>
      </x:c>
      <x:c r="D857" s="37" t="str">
        <x:v>Explicit goal-count grounding</x:v>
      </x:c>
      <x:c r="E857" s="37" t="str">
        <x:v>goal=1; familiar transition=0→1 addition</x:v>
      </x:c>
      <x:c r="F857" s="37" t="str">
        <x:v>count_goal_1_seen_add</x:v>
      </x:c>
      <x:c r="G857" s="37" t="str">
        <x:v>goal one via removal (2→1); goal three via addition (2→3)</x:v>
      </x:c>
      <x:c r="H857" s="37" t="str">
        <x:v>Yes</x:v>
      </x:c>
      <x:c r="I857" s="37" t="str">
        <x:v>Replace prompt only</x:v>
      </x:c>
      <x:c r="J857" s="37" t="str">
        <x:v>Prompt-only relabeling; preserve episode 855 video, scene, trajectory, target, and start position.</x:v>
      </x:c>
      <x:c r="K857" s="37" t="str">
        <x:v>yellow block, green pencil sharpener</x:v>
      </x:c>
      <x:c r="L857" s="37" t="str">
        <x:v>yellow block</x:v>
      </x:c>
      <x:c r="M857" s="37" t="str">
        <x:v>Post-Drop</x:v>
      </x:c>
      <x:c r="N857" s="37" t="str">
        <x:v>Pick up the yellow block and place it in the bowl.</x:v>
      </x:c>
      <x:c r="O857" s="37" t="str"/>
      <x:c r="P857" s="37" t="str">
        <x:v>The word one is explicitly trained through addition, while one-through-removal is withheld.</x:v>
      </x:c>
      <x:c r="Q857" s="38"/>
    </x:row>
    <x:row r="858" ht="60" customHeight="1">
      <x:c r="A858" s="70" t="n">
        <x:v>856</x:v>
      </x:c>
      <x:c r="B858" s="37" t="str">
        <x:v>Counting</x:v>
      </x:c>
      <x:c r="C858" s="37" t="str">
        <x:v>Leave exactly one object in the bowl.</x:v>
      </x:c>
      <x:c r="D858" s="37" t="str">
        <x:v>Explicit goal-count grounding</x:v>
      </x:c>
      <x:c r="E858" s="37" t="str">
        <x:v>goal=1; familiar transition=0→1 addition</x:v>
      </x:c>
      <x:c r="F858" s="37" t="str">
        <x:v>count_goal_1_seen_add</x:v>
      </x:c>
      <x:c r="G858" s="37" t="str">
        <x:v>goal one via removal (2→1); goal three via addition (2→3)</x:v>
      </x:c>
      <x:c r="H858" s="37" t="str">
        <x:v>Yes</x:v>
      </x:c>
      <x:c r="I858" s="37" t="str">
        <x:v>Replace prompt only</x:v>
      </x:c>
      <x:c r="J858" s="37" t="str">
        <x:v>Prompt-only relabeling; preserve episode 856 video, scene, trajectory, target, and start position.</x:v>
      </x:c>
      <x:c r="K858" s="37" t="str">
        <x:v>yellow block, airplane toy without propellers, blue pen</x:v>
      </x:c>
      <x:c r="L858" s="37" t="str">
        <x:v>yellow block</x:v>
      </x:c>
      <x:c r="M858" s="37" t="str">
        <x:v>Recovery</x:v>
      </x:c>
      <x:c r="N858" s="37" t="str">
        <x:v>Pick up the yellow block and place it in the bowl.</x:v>
      </x:c>
      <x:c r="O858" s="37" t="str"/>
      <x:c r="P858" s="37" t="str">
        <x:v>The word one is explicitly trained through addition, while one-through-removal is withheld.</x:v>
      </x:c>
      <x:c r="Q858" s="38"/>
    </x:row>
    <x:row r="859" ht="60" customHeight="1">
      <x:c r="A859" s="70" t="n">
        <x:v>857</x:v>
      </x:c>
      <x:c r="B859" s="37" t="str">
        <x:v>Counting</x:v>
      </x:c>
      <x:c r="C859" s="37" t="str">
        <x:v>Leave exactly one object in the bowl.</x:v>
      </x:c>
      <x:c r="D859" s="37" t="str">
        <x:v>Explicit goal-count grounding</x:v>
      </x:c>
      <x:c r="E859" s="37" t="str">
        <x:v>goal=1; familiar transition=0→1 addition</x:v>
      </x:c>
      <x:c r="F859" s="37" t="str">
        <x:v>count_goal_1_seen_add</x:v>
      </x:c>
      <x:c r="G859" s="37" t="str">
        <x:v>goal one via removal (2→1); goal three via addition (2→3)</x:v>
      </x:c>
      <x:c r="H859" s="37" t="str">
        <x:v>Yes</x:v>
      </x:c>
      <x:c r="I859" s="37" t="str">
        <x:v>Replace prompt only</x:v>
      </x:c>
      <x:c r="J859" s="37" t="str">
        <x:v>Prompt-only relabeling; preserve episode 857 video, scene, trajectory, target, and start position.</x:v>
      </x:c>
      <x:c r="K859" s="37" t="str">
        <x:v>yellow block</x:v>
      </x:c>
      <x:c r="L859" s="37" t="str">
        <x:v>yellow block</x:v>
      </x:c>
      <x:c r="M859" s="37" t="str">
        <x:v>Recovery</x:v>
      </x:c>
      <x:c r="N859" s="37" t="str">
        <x:v>Pick up the yellow block and place it in the bowl.</x:v>
      </x:c>
      <x:c r="O859" s="37" t="str"/>
      <x:c r="P859" s="37" t="str">
        <x:v>The word one is explicitly trained through addition, while one-through-removal is withheld.</x:v>
      </x:c>
      <x:c r="Q859" s="38"/>
    </x:row>
    <x:row r="860" ht="60" customHeight="1">
      <x:c r="A860" s="70" t="n">
        <x:v>858</x:v>
      </x:c>
      <x:c r="B860" s="37" t="str">
        <x:v>Counting</x:v>
      </x:c>
      <x:c r="C860" s="37" t="str">
        <x:v>Adjust the bowl so that it contains two objects.</x:v>
      </x:c>
      <x:c r="D860" s="37" t="str">
        <x:v>Explicit goal-count grounding</x:v>
      </x:c>
      <x:c r="E860" s="37" t="str">
        <x:v>goal=2; in-distribution anchor</x:v>
      </x:c>
      <x:c r="F860" s="37" t="str">
        <x:v>count_goal_2_explicit_anchor</x:v>
      </x:c>
      <x:c r="G860" s="37" t="str">
        <x:v>goal one via removal (2→1); goal three via addition (2→3)</x:v>
      </x:c>
      <x:c r="H860" s="37" t="str">
        <x:v>No</x:v>
      </x:c>
      <x:c r="I860" s="37" t="str">
        <x:v>Keep prompt</x:v>
      </x:c>
      <x:c r="J860" s="37" t="str">
        <x:v>No prompt change required under the missing-cell design.</x:v>
      </x:c>
      <x:c r="K860" s="37" t="str">
        <x:v>green pencil sharpener, yellow block, airplane toy without propellers, blue pen</x:v>
      </x:c>
      <x:c r="L860" s="37" t="str">
        <x:v>yellow block</x:v>
      </x:c>
      <x:c r="M860" s="37" t="str">
        <x:v>Home</x:v>
      </x:c>
      <x:c r="N860" s="37" t="str">
        <x:v>Adjust the bowl so that it contains two objects.</x:v>
      </x:c>
      <x:c r="O860" s="37" t="str"/>
      <x:c r="P860" s="37" t="str">
        <x:v>Explicitly grounds final count 2 as an in-distribution counting anchor.</x:v>
      </x:c>
      <x:c r="Q860" s="38"/>
    </x:row>
    <x:row r="861" ht="60" customHeight="1">
      <x:c r="A861" s="70" t="n">
        <x:v>859</x:v>
      </x:c>
      <x:c r="B861" s="37" t="str">
        <x:v>Counting</x:v>
      </x:c>
      <x:c r="C861" s="37" t="str">
        <x:v>Adjust the bowl so that it contains two objects.</x:v>
      </x:c>
      <x:c r="D861" s="37" t="str">
        <x:v>Explicit goal-count grounding</x:v>
      </x:c>
      <x:c r="E861" s="37" t="str">
        <x:v>goal=2; in-distribution anchor</x:v>
      </x:c>
      <x:c r="F861" s="37" t="str">
        <x:v>count_goal_2_explicit_anchor</x:v>
      </x:c>
      <x:c r="G861" s="37" t="str">
        <x:v>goal one via removal (2→1); goal three via addition (2→3)</x:v>
      </x:c>
      <x:c r="H861" s="37" t="str">
        <x:v>No</x:v>
      </x:c>
      <x:c r="I861" s="37" t="str">
        <x:v>Keep prompt</x:v>
      </x:c>
      <x:c r="J861" s="37" t="str">
        <x:v>No prompt change required under the missing-cell design.</x:v>
      </x:c>
      <x:c r="K861" s="37" t="str">
        <x:v>airplane toy without propellers, yellow block, green pencil sharpener</x:v>
      </x:c>
      <x:c r="L861" s="37" t="str">
        <x:v>yellow block</x:v>
      </x:c>
      <x:c r="M861" s="37" t="str">
        <x:v>Home</x:v>
      </x:c>
      <x:c r="N861" s="37" t="str">
        <x:v>Adjust the bowl so that it contains two objects.</x:v>
      </x:c>
      <x:c r="O861" s="37" t="str"/>
      <x:c r="P861" s="37" t="str">
        <x:v>Explicitly grounds final count 2 as an in-distribution counting anchor.</x:v>
      </x:c>
      <x:c r="Q861" s="38"/>
    </x:row>
    <x:row r="862" ht="60" customHeight="1">
      <x:c r="A862" s="70" t="n">
        <x:v>860</x:v>
      </x:c>
      <x:c r="B862" s="37" t="str">
        <x:v>Counting</x:v>
      </x:c>
      <x:c r="C862" s="37" t="str">
        <x:v>Adjust the bowl so that it contains two objects.</x:v>
      </x:c>
      <x:c r="D862" s="37" t="str">
        <x:v>Explicit goal-count grounding</x:v>
      </x:c>
      <x:c r="E862" s="37" t="str">
        <x:v>goal=2; in-distribution anchor</x:v>
      </x:c>
      <x:c r="F862" s="37" t="str">
        <x:v>count_goal_2_explicit_anchor</x:v>
      </x:c>
      <x:c r="G862" s="37" t="str">
        <x:v>goal one via removal (2→1); goal three via addition (2→3)</x:v>
      </x:c>
      <x:c r="H862" s="37" t="str">
        <x:v>No</x:v>
      </x:c>
      <x:c r="I862" s="37" t="str">
        <x:v>Keep prompt</x:v>
      </x:c>
      <x:c r="J862" s="37" t="str">
        <x:v>No prompt change required under the missing-cell design.</x:v>
      </x:c>
      <x:c r="K862" s="37" t="str">
        <x:v>blue pen, yellow block, airplane toy without propellers</x:v>
      </x:c>
      <x:c r="L862" s="37" t="str">
        <x:v>yellow block</x:v>
      </x:c>
      <x:c r="M862" s="37" t="str">
        <x:v>Home</x:v>
      </x:c>
      <x:c r="N862" s="37" t="str">
        <x:v>Adjust the bowl so that it contains two objects.</x:v>
      </x:c>
      <x:c r="O862" s="37" t="str"/>
      <x:c r="P862" s="37" t="str">
        <x:v>Explicitly grounds final count 2 as an in-distribution counting anchor.</x:v>
      </x:c>
      <x:c r="Q862" s="38"/>
    </x:row>
    <x:row r="863" ht="60" customHeight="1">
      <x:c r="A863" s="70" t="n">
        <x:v>861</x:v>
      </x:c>
      <x:c r="B863" s="37" t="str">
        <x:v>Counting</x:v>
      </x:c>
      <x:c r="C863" s="37" t="str">
        <x:v>Leave exactly two objects in the bowl.</x:v>
      </x:c>
      <x:c r="D863" s="37" t="str">
        <x:v>Explicit goal-count grounding</x:v>
      </x:c>
      <x:c r="E863" s="37" t="str">
        <x:v>goal=2; in-distribution anchor</x:v>
      </x:c>
      <x:c r="F863" s="37" t="str">
        <x:v>count_goal_2_explicit_anchor</x:v>
      </x:c>
      <x:c r="G863" s="37" t="str">
        <x:v>goal one via removal (2→1); goal three via addition (2→3)</x:v>
      </x:c>
      <x:c r="H863" s="37" t="str">
        <x:v>No</x:v>
      </x:c>
      <x:c r="I863" s="37" t="str">
        <x:v>Keep prompt</x:v>
      </x:c>
      <x:c r="J863" s="37" t="str">
        <x:v>No prompt change required under the missing-cell design.</x:v>
      </x:c>
      <x:c r="K863" s="37" t="str">
        <x:v>green pencil sharpener, yellow block, airplane toy without propellers, blue pen</x:v>
      </x:c>
      <x:c r="L863" s="37" t="str">
        <x:v>yellow block</x:v>
      </x:c>
      <x:c r="M863" s="37" t="str">
        <x:v>Post-Drop</x:v>
      </x:c>
      <x:c r="N863" s="37" t="str">
        <x:v>Leave exactly two objects in the bowl.</x:v>
      </x:c>
      <x:c r="O863" s="37" t="str"/>
      <x:c r="P863" s="37" t="str">
        <x:v>Explicitly grounds final count 2 as an in-distribution counting anchor.</x:v>
      </x:c>
      <x:c r="Q863" s="38"/>
    </x:row>
    <x:row r="864" ht="60" customHeight="1">
      <x:c r="A864" s="70" t="n">
        <x:v>862</x:v>
      </x:c>
      <x:c r="B864" s="37" t="str">
        <x:v>Counting</x:v>
      </x:c>
      <x:c r="C864" s="37" t="str">
        <x:v>Make the bowl contain exactly two objects.</x:v>
      </x:c>
      <x:c r="D864" s="37" t="str">
        <x:v>Explicit goal-count grounding</x:v>
      </x:c>
      <x:c r="E864" s="37" t="str">
        <x:v>goal=2; in-distribution anchor</x:v>
      </x:c>
      <x:c r="F864" s="37" t="str">
        <x:v>count_goal_2_explicit_anchor</x:v>
      </x:c>
      <x:c r="G864" s="37" t="str">
        <x:v>goal one via removal (2→1); goal three via addition (2→3)</x:v>
      </x:c>
      <x:c r="H864" s="37" t="str">
        <x:v>No</x:v>
      </x:c>
      <x:c r="I864" s="37" t="str">
        <x:v>Keep prompt</x:v>
      </x:c>
      <x:c r="J864" s="37" t="str">
        <x:v>No prompt change required under the missing-cell design.</x:v>
      </x:c>
      <x:c r="K864" s="37" t="str">
        <x:v>airplane toy without propellers, yellow block, blue pen</x:v>
      </x:c>
      <x:c r="L864" s="37" t="str">
        <x:v>yellow block</x:v>
      </x:c>
      <x:c r="M864" s="37" t="str">
        <x:v>Post-Drop</x:v>
      </x:c>
      <x:c r="N864" s="37" t="str">
        <x:v>Make the bowl contain exactly two objects.</x:v>
      </x:c>
      <x:c r="O864" s="37" t="str"/>
      <x:c r="P864" s="37" t="str">
        <x:v>Explicitly grounds final count 2 as an in-distribution counting anchor.</x:v>
      </x:c>
      <x:c r="Q864" s="38"/>
    </x:row>
    <x:row r="865" ht="60" customHeight="1">
      <x:c r="A865" s="70" t="n">
        <x:v>863</x:v>
      </x:c>
      <x:c r="B865" s="37" t="str">
        <x:v>Counting</x:v>
      </x:c>
      <x:c r="C865" s="37" t="str">
        <x:v>Make the bowl contain exactly two objects.</x:v>
      </x:c>
      <x:c r="D865" s="37" t="str">
        <x:v>Explicit goal-count grounding</x:v>
      </x:c>
      <x:c r="E865" s="37" t="str">
        <x:v>goal=2; in-distribution anchor</x:v>
      </x:c>
      <x:c r="F865" s="37" t="str">
        <x:v>count_goal_2_explicit_anchor</x:v>
      </x:c>
      <x:c r="G865" s="37" t="str">
        <x:v>goal one via removal (2→1); goal three via addition (2→3)</x:v>
      </x:c>
      <x:c r="H865" s="37" t="str">
        <x:v>No</x:v>
      </x:c>
      <x:c r="I865" s="37" t="str">
        <x:v>Keep prompt</x:v>
      </x:c>
      <x:c r="J865" s="37" t="str">
        <x:v>No prompt change required under the missing-cell design.</x:v>
      </x:c>
      <x:c r="K865" s="37" t="str">
        <x:v>blue pen, yellow block, green pencil sharpener</x:v>
      </x:c>
      <x:c r="L865" s="37" t="str">
        <x:v>yellow block</x:v>
      </x:c>
      <x:c r="M865" s="37" t="str">
        <x:v>Post-Drop</x:v>
      </x:c>
      <x:c r="N865" s="37" t="str">
        <x:v>Make the bowl contain exactly two objects.</x:v>
      </x:c>
      <x:c r="O865" s="37" t="str"/>
      <x:c r="P865" s="37" t="str">
        <x:v>Explicitly grounds final count 2 as an in-distribution counting anchor.</x:v>
      </x:c>
      <x:c r="Q865" s="38"/>
    </x:row>
    <x:row r="866" ht="60" customHeight="1">
      <x:c r="A866" s="70" t="n">
        <x:v>864</x:v>
      </x:c>
      <x:c r="B866" s="37" t="str">
        <x:v>Counting</x:v>
      </x:c>
      <x:c r="C866" s="37" t="str">
        <x:v>Leave exactly two objects in the bowl.</x:v>
      </x:c>
      <x:c r="D866" s="37" t="str">
        <x:v>Explicit goal-count grounding</x:v>
      </x:c>
      <x:c r="E866" s="37" t="str">
        <x:v>goal=2; in-distribution anchor</x:v>
      </x:c>
      <x:c r="F866" s="37" t="str">
        <x:v>count_goal_2_explicit_anchor</x:v>
      </x:c>
      <x:c r="G866" s="37" t="str">
        <x:v>goal one via removal (2→1); goal three via addition (2→3)</x:v>
      </x:c>
      <x:c r="H866" s="37" t="str">
        <x:v>No</x:v>
      </x:c>
      <x:c r="I866" s="37" t="str">
        <x:v>Keep prompt</x:v>
      </x:c>
      <x:c r="J866" s="37" t="str">
        <x:v>No prompt change required under the missing-cell design.</x:v>
      </x:c>
      <x:c r="K866" s="37" t="str">
        <x:v>airplane toy without propellers, yellow block, blue pen</x:v>
      </x:c>
      <x:c r="L866" s="37" t="str">
        <x:v>yellow block</x:v>
      </x:c>
      <x:c r="M866" s="37" t="str">
        <x:v>Recovery</x:v>
      </x:c>
      <x:c r="N866" s="37" t="str">
        <x:v>Leave exactly two objects in the bowl.</x:v>
      </x:c>
      <x:c r="O866" s="37" t="str"/>
      <x:c r="P866" s="37" t="str">
        <x:v>Explicitly grounds final count 2 as an in-distribution counting anchor.</x:v>
      </x:c>
      <x:c r="Q866" s="38"/>
    </x:row>
    <x:row r="867" ht="60" customHeight="1">
      <x:c r="A867" s="70" t="n">
        <x:v>865</x:v>
      </x:c>
      <x:c r="B867" s="37" t="str">
        <x:v>Counting</x:v>
      </x:c>
      <x:c r="C867" s="37" t="str">
        <x:v>Make the bowl contain exactly two objects.</x:v>
      </x:c>
      <x:c r="D867" s="37" t="str">
        <x:v>Explicit goal-count grounding</x:v>
      </x:c>
      <x:c r="E867" s="37" t="str">
        <x:v>goal=2; in-distribution anchor</x:v>
      </x:c>
      <x:c r="F867" s="37" t="str">
        <x:v>count_goal_2_explicit_anchor</x:v>
      </x:c>
      <x:c r="G867" s="37" t="str">
        <x:v>goal one via removal (2→1); goal three via addition (2→3)</x:v>
      </x:c>
      <x:c r="H867" s="37" t="str">
        <x:v>No</x:v>
      </x:c>
      <x:c r="I867" s="37" t="str">
        <x:v>Keep prompt</x:v>
      </x:c>
      <x:c r="J867" s="37" t="str">
        <x:v>No prompt change required under the missing-cell design.</x:v>
      </x:c>
      <x:c r="K867" s="37" t="str">
        <x:v>green pencil sharpener, yellow block</x:v>
      </x:c>
      <x:c r="L867" s="37" t="str">
        <x:v>yellow block</x:v>
      </x:c>
      <x:c r="M867" s="37" t="str">
        <x:v>Recovery</x:v>
      </x:c>
      <x:c r="N867" s="37" t="str">
        <x:v>Make the bowl contain exactly two objects.</x:v>
      </x:c>
      <x:c r="O867" s="37" t="str"/>
      <x:c r="P867" s="37" t="str">
        <x:v>Explicitly grounds final count 2 as an in-distribution counting anchor.</x:v>
      </x:c>
      <x:c r="Q867" s="38"/>
    </x:row>
    <x:row r="868" ht="60" customHeight="1">
      <x:c r="A868" s="70" t="n">
        <x:v>866</x:v>
      </x:c>
      <x:c r="B868" s="37" t="str">
        <x:v>Counting</x:v>
      </x:c>
      <x:c r="C868" s="37" t="str">
        <x:v>Put the yellow block in the bowl.</x:v>
      </x:c>
      <x:c r="D868" s="37" t="str">
        <x:v>Masked goal-count × transition composition</x:v>
      </x:c>
      <x:c r="E868" s="37" t="str">
        <x:v>direct addition of yellow block; hidden goal=3; transition=2→3</x:v>
      </x:c>
      <x:c r="F868" s="37" t="str">
        <x:v>count_goal_3_add_masked</x:v>
      </x:c>
      <x:c r="G868" s="37" t="str">
        <x:v>goal one via removal (2→1); goal three via addition (2→3)</x:v>
      </x:c>
      <x:c r="H868" s="37" t="str">
        <x:v>No</x:v>
      </x:c>
      <x:c r="I868" s="37" t="str">
        <x:v>Keep prompt</x:v>
      </x:c>
      <x:c r="J868" s="37" t="str">
        <x:v>No prompt change required under the missing-cell design.</x:v>
      </x:c>
      <x:c r="K868" s="37" t="str">
        <x:v>green pencil sharpener, airplane toy without propellers, yellow block, blue pen</x:v>
      </x:c>
      <x:c r="L868" s="37" t="str">
        <x:v>yellow block</x:v>
      </x:c>
      <x:c r="M868" s="37" t="str">
        <x:v>Home</x:v>
      </x:c>
      <x:c r="N868" s="37" t="str">
        <x:v>Put the yellow block in the bowl.</x:v>
      </x:c>
      <x:c r="O868" s="37" t="str">
        <x:v>Leave exactly three objects in the bowl.</x:v>
      </x:c>
      <x:c r="P868" s="37" t="str">
        <x:v>The exact 2→3 motor transition is trained with a direct instruction, but the goal-count instruction is withheld.</x:v>
      </x:c>
      <x:c r="Q868" s="38"/>
    </x:row>
    <x:row r="869" ht="60" customHeight="1">
      <x:c r="A869" s="70" t="n">
        <x:v>867</x:v>
      </x:c>
      <x:c r="B869" s="37" t="str">
        <x:v>Counting</x:v>
      </x:c>
      <x:c r="C869" s="37" t="str">
        <x:v>Put the yellow block in the bowl.</x:v>
      </x:c>
      <x:c r="D869" s="37" t="str">
        <x:v>Masked goal-count × transition composition</x:v>
      </x:c>
      <x:c r="E869" s="37" t="str">
        <x:v>direct addition of yellow block; hidden goal=3; transition=2→3</x:v>
      </x:c>
      <x:c r="F869" s="37" t="str">
        <x:v>count_goal_3_add_masked</x:v>
      </x:c>
      <x:c r="G869" s="37" t="str">
        <x:v>goal one via removal (2→1); goal three via addition (2→3)</x:v>
      </x:c>
      <x:c r="H869" s="37" t="str">
        <x:v>No</x:v>
      </x:c>
      <x:c r="I869" s="37" t="str">
        <x:v>Keep prompt</x:v>
      </x:c>
      <x:c r="J869" s="37" t="str">
        <x:v>No prompt change required under the missing-cell design.</x:v>
      </x:c>
      <x:c r="K869" s="37" t="str">
        <x:v>airplane toy without propellers, blue pen, yellow block, green pencil sharpener</x:v>
      </x:c>
      <x:c r="L869" s="37" t="str">
        <x:v>yellow block</x:v>
      </x:c>
      <x:c r="M869" s="37" t="str">
        <x:v>Home</x:v>
      </x:c>
      <x:c r="N869" s="37" t="str">
        <x:v>Put the yellow block in the bowl.</x:v>
      </x:c>
      <x:c r="O869" s="37" t="str">
        <x:v>Leave exactly three objects in the bowl.</x:v>
      </x:c>
      <x:c r="P869" s="37" t="str">
        <x:v>The exact 2→3 motor transition is trained with a direct instruction, but the goal-count instruction is withheld.</x:v>
      </x:c>
      <x:c r="Q869" s="38"/>
    </x:row>
    <x:row r="870" ht="60" customHeight="1">
      <x:c r="A870" s="70" t="n">
        <x:v>868</x:v>
      </x:c>
      <x:c r="B870" s="37" t="str">
        <x:v>Counting</x:v>
      </x:c>
      <x:c r="C870" s="37" t="str">
        <x:v>Pick up the yellow block and place it in the bowl.</x:v>
      </x:c>
      <x:c r="D870" s="37" t="str">
        <x:v>Masked goal-count × transition composition</x:v>
      </x:c>
      <x:c r="E870" s="37" t="str">
        <x:v>direct addition of yellow block; hidden goal=3; transition=2→3</x:v>
      </x:c>
      <x:c r="F870" s="37" t="str">
        <x:v>count_goal_3_add_masked</x:v>
      </x:c>
      <x:c r="G870" s="37" t="str">
        <x:v>goal one via removal (2→1); goal three via addition (2→3)</x:v>
      </x:c>
      <x:c r="H870" s="37" t="str">
        <x:v>No</x:v>
      </x:c>
      <x:c r="I870" s="37" t="str">
        <x:v>Keep prompt</x:v>
      </x:c>
      <x:c r="J870" s="37" t="str">
        <x:v>No prompt change required under the missing-cell design.</x:v>
      </x:c>
      <x:c r="K870" s="37" t="str">
        <x:v>green pencil sharpener, blue pen, yellow block, airplane toy without propellers</x:v>
      </x:c>
      <x:c r="L870" s="37" t="str">
        <x:v>yellow block</x:v>
      </x:c>
      <x:c r="M870" s="37" t="str">
        <x:v>Home</x:v>
      </x:c>
      <x:c r="N870" s="37" t="str">
        <x:v>Pick up the yellow block and place it in the bowl.</x:v>
      </x:c>
      <x:c r="O870" s="37" t="str">
        <x:v>Leave exactly three objects in the bowl.</x:v>
      </x:c>
      <x:c r="P870" s="37" t="str">
        <x:v>The exact 2→3 motor transition is trained with a direct instruction, but the goal-count instruction is withheld.</x:v>
      </x:c>
      <x:c r="Q870" s="38"/>
    </x:row>
    <x:row r="871" ht="60" customHeight="1">
      <x:c r="A871" s="70" t="n">
        <x:v>869</x:v>
      </x:c>
      <x:c r="B871" s="37" t="str">
        <x:v>Counting</x:v>
      </x:c>
      <x:c r="C871" s="37" t="str">
        <x:v>Put the yellow block in the bowl.</x:v>
      </x:c>
      <x:c r="D871" s="37" t="str">
        <x:v>Masked goal-count × transition composition</x:v>
      </x:c>
      <x:c r="E871" s="37" t="str">
        <x:v>direct addition of yellow block; hidden goal=3; transition=2→3</x:v>
      </x:c>
      <x:c r="F871" s="37" t="str">
        <x:v>count_goal_3_add_masked</x:v>
      </x:c>
      <x:c r="G871" s="37" t="str">
        <x:v>goal one via removal (2→1); goal three via addition (2→3)</x:v>
      </x:c>
      <x:c r="H871" s="37" t="str">
        <x:v>No</x:v>
      </x:c>
      <x:c r="I871" s="37" t="str">
        <x:v>Keep prompt</x:v>
      </x:c>
      <x:c r="J871" s="37" t="str">
        <x:v>No prompt change required under the missing-cell design.</x:v>
      </x:c>
      <x:c r="K871" s="37" t="str">
        <x:v>green pencil sharpener, airplane toy without propellers, yellow block</x:v>
      </x:c>
      <x:c r="L871" s="37" t="str">
        <x:v>yellow block</x:v>
      </x:c>
      <x:c r="M871" s="37" t="str">
        <x:v>Home</x:v>
      </x:c>
      <x:c r="N871" s="37" t="str">
        <x:v>Put the yellow block in the bowl.</x:v>
      </x:c>
      <x:c r="O871" s="37" t="str">
        <x:v>Leave exactly three objects in the bowl.</x:v>
      </x:c>
      <x:c r="P871" s="37" t="str">
        <x:v>The exact 2→3 motor transition is trained with a direct instruction, but the goal-count instruction is withheld.</x:v>
      </x:c>
      <x:c r="Q871" s="38"/>
    </x:row>
    <x:row r="872" ht="60" customHeight="1">
      <x:c r="A872" s="70" t="n">
        <x:v>870</x:v>
      </x:c>
      <x:c r="B872" s="37" t="str">
        <x:v>Counting</x:v>
      </x:c>
      <x:c r="C872" s="37" t="str">
        <x:v>Pick up the yellow block and place it in the bowl.</x:v>
      </x:c>
      <x:c r="D872" s="37" t="str">
        <x:v>Masked goal-count × transition composition</x:v>
      </x:c>
      <x:c r="E872" s="37" t="str">
        <x:v>direct addition of yellow block; hidden goal=3; transition=2→3</x:v>
      </x:c>
      <x:c r="F872" s="37" t="str">
        <x:v>count_goal_3_add_masked</x:v>
      </x:c>
      <x:c r="G872" s="37" t="str">
        <x:v>goal one via removal (2→1); goal three via addition (2→3)</x:v>
      </x:c>
      <x:c r="H872" s="37" t="str">
        <x:v>No</x:v>
      </x:c>
      <x:c r="I872" s="37" t="str">
        <x:v>Keep prompt</x:v>
      </x:c>
      <x:c r="J872" s="37" t="str">
        <x:v>No prompt change required under the missing-cell design.</x:v>
      </x:c>
      <x:c r="K872" s="37" t="str">
        <x:v>airplane toy without propellers, blue pen, yellow block, green pencil sharpener</x:v>
      </x:c>
      <x:c r="L872" s="37" t="str">
        <x:v>yellow block</x:v>
      </x:c>
      <x:c r="M872" s="37" t="str">
        <x:v>Post-Drop</x:v>
      </x:c>
      <x:c r="N872" s="37" t="str">
        <x:v>Pick up the yellow block and place it in the bowl.</x:v>
      </x:c>
      <x:c r="O872" s="37" t="str">
        <x:v>Leave exactly three objects in the bowl.</x:v>
      </x:c>
      <x:c r="P872" s="37" t="str">
        <x:v>The exact 2→3 motor transition is trained with a direct instruction, but the goal-count instruction is withheld.</x:v>
      </x:c>
      <x:c r="Q872" s="38"/>
    </x:row>
    <x:row r="873" ht="60" customHeight="1">
      <x:c r="A873" s="70" t="n">
        <x:v>871</x:v>
      </x:c>
      <x:c r="B873" s="37" t="str">
        <x:v>Counting</x:v>
      </x:c>
      <x:c r="C873" s="37" t="str">
        <x:v>Pick up the yellow block and place it in the bowl.</x:v>
      </x:c>
      <x:c r="D873" s="37" t="str">
        <x:v>Masked goal-count × transition composition</x:v>
      </x:c>
      <x:c r="E873" s="37" t="str">
        <x:v>direct addition of yellow block; hidden goal=3; transition=2→3</x:v>
      </x:c>
      <x:c r="F873" s="37" t="str">
        <x:v>count_goal_3_add_masked</x:v>
      </x:c>
      <x:c r="G873" s="37" t="str">
        <x:v>goal one via removal (2→1); goal three via addition (2→3)</x:v>
      </x:c>
      <x:c r="H873" s="37" t="str">
        <x:v>No</x:v>
      </x:c>
      <x:c r="I873" s="37" t="str">
        <x:v>Keep prompt</x:v>
      </x:c>
      <x:c r="J873" s="37" t="str">
        <x:v>No prompt change required under the missing-cell design.</x:v>
      </x:c>
      <x:c r="K873" s="37" t="str">
        <x:v>green pencil sharpener, blue pen, yellow block, airplane toy without propellers</x:v>
      </x:c>
      <x:c r="L873" s="37" t="str">
        <x:v>yellow block</x:v>
      </x:c>
      <x:c r="M873" s="37" t="str">
        <x:v>Post-Drop</x:v>
      </x:c>
      <x:c r="N873" s="37" t="str">
        <x:v>Pick up the yellow block and place it in the bowl.</x:v>
      </x:c>
      <x:c r="O873" s="37" t="str">
        <x:v>Leave exactly three objects in the bowl.</x:v>
      </x:c>
      <x:c r="P873" s="37" t="str">
        <x:v>The exact 2→3 motor transition is trained with a direct instruction, but the goal-count instruction is withheld.</x:v>
      </x:c>
      <x:c r="Q873" s="38"/>
    </x:row>
    <x:row r="874" ht="60" customHeight="1">
      <x:c r="A874" s="70" t="n">
        <x:v>872</x:v>
      </x:c>
      <x:c r="B874" s="37" t="str">
        <x:v>Counting</x:v>
      </x:c>
      <x:c r="C874" s="37" t="str">
        <x:v>Move the yellow block into the bowl.</x:v>
      </x:c>
      <x:c r="D874" s="37" t="str">
        <x:v>Masked goal-count × transition composition</x:v>
      </x:c>
      <x:c r="E874" s="37" t="str">
        <x:v>direct addition of yellow block; hidden goal=3; transition=2→3</x:v>
      </x:c>
      <x:c r="F874" s="37" t="str">
        <x:v>count_goal_3_add_masked</x:v>
      </x:c>
      <x:c r="G874" s="37" t="str">
        <x:v>goal one via removal (2→1); goal three via addition (2→3)</x:v>
      </x:c>
      <x:c r="H874" s="37" t="str">
        <x:v>No</x:v>
      </x:c>
      <x:c r="I874" s="37" t="str">
        <x:v>Keep prompt</x:v>
      </x:c>
      <x:c r="J874" s="37" t="str">
        <x:v>No prompt change required under the missing-cell design.</x:v>
      </x:c>
      <x:c r="K874" s="37" t="str">
        <x:v>green pencil sharpener, airplane toy without propellers, yellow block, blue pen</x:v>
      </x:c>
      <x:c r="L874" s="37" t="str">
        <x:v>yellow block</x:v>
      </x:c>
      <x:c r="M874" s="37" t="str">
        <x:v>Post-Drop</x:v>
      </x:c>
      <x:c r="N874" s="37" t="str">
        <x:v>Move the yellow block into the bowl.</x:v>
      </x:c>
      <x:c r="O874" s="37" t="str">
        <x:v>Leave exactly three objects in the bowl.</x:v>
      </x:c>
      <x:c r="P874" s="37" t="str">
        <x:v>The exact 2→3 motor transition is trained with a direct instruction, but the goal-count instruction is withheld.</x:v>
      </x:c>
      <x:c r="Q874" s="38"/>
    </x:row>
    <x:row r="875" ht="60" customHeight="1">
      <x:c r="A875" s="70" t="n">
        <x:v>873</x:v>
      </x:c>
      <x:c r="B875" s="37" t="str">
        <x:v>Counting</x:v>
      </x:c>
      <x:c r="C875" s="37" t="str">
        <x:v>Move the yellow block into the bowl.</x:v>
      </x:c>
      <x:c r="D875" s="37" t="str">
        <x:v>Masked goal-count × transition composition</x:v>
      </x:c>
      <x:c r="E875" s="37" t="str">
        <x:v>direct addition of yellow block; hidden goal=3; transition=2→3</x:v>
      </x:c>
      <x:c r="F875" s="37" t="str">
        <x:v>count_goal_3_add_masked</x:v>
      </x:c>
      <x:c r="G875" s="37" t="str">
        <x:v>goal one via removal (2→1); goal three via addition (2→3)</x:v>
      </x:c>
      <x:c r="H875" s="37" t="str">
        <x:v>No</x:v>
      </x:c>
      <x:c r="I875" s="37" t="str">
        <x:v>Keep prompt</x:v>
      </x:c>
      <x:c r="J875" s="37" t="str">
        <x:v>No prompt change required under the missing-cell design.</x:v>
      </x:c>
      <x:c r="K875" s="37" t="str">
        <x:v>airplane toy without propellers, blue pen, yellow block</x:v>
      </x:c>
      <x:c r="L875" s="37" t="str">
        <x:v>yellow block</x:v>
      </x:c>
      <x:c r="M875" s="37" t="str">
        <x:v>Post-Drop</x:v>
      </x:c>
      <x:c r="N875" s="37" t="str">
        <x:v>Move the yellow block into the bowl.</x:v>
      </x:c>
      <x:c r="O875" s="37" t="str">
        <x:v>Leave exactly three objects in the bowl.</x:v>
      </x:c>
      <x:c r="P875" s="37" t="str">
        <x:v>The exact 2→3 motor transition is trained with a direct instruction, but the goal-count instruction is withheld.</x:v>
      </x:c>
      <x:c r="Q875" s="38"/>
    </x:row>
    <x:row r="876" ht="60" customHeight="1">
      <x:c r="A876" s="70" t="n">
        <x:v>874</x:v>
      </x:c>
      <x:c r="B876" s="37" t="str">
        <x:v>Counting</x:v>
      </x:c>
      <x:c r="C876" s="37" t="str">
        <x:v>Move the yellow block into the bowl.</x:v>
      </x:c>
      <x:c r="D876" s="37" t="str">
        <x:v>Masked goal-count × transition composition</x:v>
      </x:c>
      <x:c r="E876" s="37" t="str">
        <x:v>direct addition of yellow block; hidden goal=3; transition=2→3</x:v>
      </x:c>
      <x:c r="F876" s="37" t="str">
        <x:v>count_goal_3_add_masked</x:v>
      </x:c>
      <x:c r="G876" s="37" t="str">
        <x:v>goal one via removal (2→1); goal three via addition (2→3)</x:v>
      </x:c>
      <x:c r="H876" s="37" t="str">
        <x:v>No</x:v>
      </x:c>
      <x:c r="I876" s="37" t="str">
        <x:v>Keep prompt</x:v>
      </x:c>
      <x:c r="J876" s="37" t="str">
        <x:v>No prompt change required under the missing-cell design.</x:v>
      </x:c>
      <x:c r="K876" s="37" t="str">
        <x:v>green pencil sharpener, blue pen, yellow block</x:v>
      </x:c>
      <x:c r="L876" s="37" t="str">
        <x:v>yellow block</x:v>
      </x:c>
      <x:c r="M876" s="37" t="str">
        <x:v>Recovery</x:v>
      </x:c>
      <x:c r="N876" s="37" t="str">
        <x:v>Move the yellow block into the bowl.</x:v>
      </x:c>
      <x:c r="O876" s="37" t="str">
        <x:v>Leave exactly three objects in the bowl.</x:v>
      </x:c>
      <x:c r="P876" s="37" t="str">
        <x:v>The exact 2→3 motor transition is trained with a direct instruction, but the goal-count instruction is withheld.</x:v>
      </x:c>
      <x:c r="Q876" s="38"/>
    </x:row>
    <x:row r="877" ht="60" customHeight="1">
      <x:c r="A877" s="70" t="n">
        <x:v>875</x:v>
      </x:c>
      <x:c r="B877" s="37" t="str">
        <x:v>Counting</x:v>
      </x:c>
      <x:c r="C877" s="37" t="str">
        <x:v>Adjust the bowl so that it contains zero objects.</x:v>
      </x:c>
      <x:c r="D877" s="37" t="str">
        <x:v>Explicit goal-count grounding</x:v>
      </x:c>
      <x:c r="E877" s="37" t="str">
        <x:v>goal=0; in-distribution anchor</x:v>
      </x:c>
      <x:c r="F877" s="37" t="str">
        <x:v>count_goal_0_explicit_anchor</x:v>
      </x:c>
      <x:c r="G877" s="37" t="str">
        <x:v>goal one via removal (2→1); goal three via addition (2→3)</x:v>
      </x:c>
      <x:c r="H877" s="37" t="str">
        <x:v>No</x:v>
      </x:c>
      <x:c r="I877" s="37" t="str">
        <x:v>Keep prompt</x:v>
      </x:c>
      <x:c r="J877" s="37" t="str">
        <x:v>No prompt change required under the missing-cell design.</x:v>
      </x:c>
      <x:c r="K877" s="37" t="str">
        <x:v>yellow block, green pencil sharpener, airplane toy without propellers, blue pen</x:v>
      </x:c>
      <x:c r="L877" s="37" t="str">
        <x:v>yellow block</x:v>
      </x:c>
      <x:c r="M877" s="37" t="str">
        <x:v>Home</x:v>
      </x:c>
      <x:c r="N877" s="37" t="str">
        <x:v>Adjust the bowl so that it contains zero objects.</x:v>
      </x:c>
      <x:c r="O877" s="37" t="str"/>
      <x:c r="P877" s="37" t="str">
        <x:v>Explicitly grounds final count 0 as an in-distribution counting anchor.</x:v>
      </x:c>
      <x:c r="Q877" s="38"/>
    </x:row>
    <x:row r="878" ht="60" customHeight="1">
      <x:c r="A878" s="70" t="n">
        <x:v>876</x:v>
      </x:c>
      <x:c r="B878" s="37" t="str">
        <x:v>Counting</x:v>
      </x:c>
      <x:c r="C878" s="37" t="str">
        <x:v>Leave no objects in the bowl.</x:v>
      </x:c>
      <x:c r="D878" s="37" t="str">
        <x:v>Explicit goal-count grounding</x:v>
      </x:c>
      <x:c r="E878" s="37" t="str">
        <x:v>goal=0; in-distribution anchor</x:v>
      </x:c>
      <x:c r="F878" s="37" t="str">
        <x:v>count_goal_0_explicit_anchor</x:v>
      </x:c>
      <x:c r="G878" s="37" t="str">
        <x:v>goal one via removal (2→1); goal three via addition (2→3)</x:v>
      </x:c>
      <x:c r="H878" s="37" t="str">
        <x:v>No</x:v>
      </x:c>
      <x:c r="I878" s="37" t="str">
        <x:v>Keep prompt</x:v>
      </x:c>
      <x:c r="J878" s="37" t="str">
        <x:v>No prompt change required under the missing-cell design.</x:v>
      </x:c>
      <x:c r="K878" s="37" t="str">
        <x:v>yellow block, airplane toy without propellers, blue pen</x:v>
      </x:c>
      <x:c r="L878" s="37" t="str">
        <x:v>yellow block</x:v>
      </x:c>
      <x:c r="M878" s="37" t="str">
        <x:v>Home</x:v>
      </x:c>
      <x:c r="N878" s="37" t="str">
        <x:v>Leave no objects in the bowl.</x:v>
      </x:c>
      <x:c r="O878" s="37" t="str"/>
      <x:c r="P878" s="37" t="str">
        <x:v>Explicitly grounds final count 0 as an in-distribution counting anchor.</x:v>
      </x:c>
      <x:c r="Q878" s="38"/>
    </x:row>
    <x:row r="879" ht="60" customHeight="1">
      <x:c r="A879" s="70" t="n">
        <x:v>877</x:v>
      </x:c>
      <x:c r="B879" s="37" t="str">
        <x:v>Counting</x:v>
      </x:c>
      <x:c r="C879" s="37" t="str">
        <x:v>Make the bowl contain exactly zero objects.</x:v>
      </x:c>
      <x:c r="D879" s="37" t="str">
        <x:v>Explicit goal-count grounding</x:v>
      </x:c>
      <x:c r="E879" s="37" t="str">
        <x:v>goal=0; in-distribution anchor</x:v>
      </x:c>
      <x:c r="F879" s="37" t="str">
        <x:v>count_goal_0_explicit_anchor</x:v>
      </x:c>
      <x:c r="G879" s="37" t="str">
        <x:v>goal one via removal (2→1); goal three via addition (2→3)</x:v>
      </x:c>
      <x:c r="H879" s="37" t="str">
        <x:v>No</x:v>
      </x:c>
      <x:c r="I879" s="37" t="str">
        <x:v>Keep prompt</x:v>
      </x:c>
      <x:c r="J879" s="37" t="str">
        <x:v>No prompt change required under the missing-cell design.</x:v>
      </x:c>
      <x:c r="K879" s="37" t="str">
        <x:v>yellow block, green pencil sharpener, airplane toy without propellers</x:v>
      </x:c>
      <x:c r="L879" s="37" t="str">
        <x:v>yellow block</x:v>
      </x:c>
      <x:c r="M879" s="37" t="str">
        <x:v>Post-Drop</x:v>
      </x:c>
      <x:c r="N879" s="37" t="str">
        <x:v>Make the bowl contain exactly zero objects.</x:v>
      </x:c>
      <x:c r="O879" s="37" t="str"/>
      <x:c r="P879" s="37" t="str">
        <x:v>Explicitly grounds final count 0 as an in-distribution counting anchor.</x:v>
      </x:c>
      <x:c r="Q879" s="38"/>
    </x:row>
    <x:row r="880" ht="60" customHeight="1">
      <x:c r="A880" s="70" t="n">
        <x:v>878</x:v>
      </x:c>
      <x:c r="B880" s="37" t="str">
        <x:v>Counting</x:v>
      </x:c>
      <x:c r="C880" s="37" t="str">
        <x:v>Adjust the bowl so that it contains zero objects.</x:v>
      </x:c>
      <x:c r="D880" s="37" t="str">
        <x:v>Explicit goal-count grounding</x:v>
      </x:c>
      <x:c r="E880" s="37" t="str">
        <x:v>goal=0; in-distribution anchor</x:v>
      </x:c>
      <x:c r="F880" s="37" t="str">
        <x:v>count_goal_0_explicit_anchor</x:v>
      </x:c>
      <x:c r="G880" s="37" t="str">
        <x:v>goal one via removal (2→1); goal three via addition (2→3)</x:v>
      </x:c>
      <x:c r="H880" s="37" t="str">
        <x:v>No</x:v>
      </x:c>
      <x:c r="I880" s="37" t="str">
        <x:v>Keep prompt</x:v>
      </x:c>
      <x:c r="J880" s="37" t="str">
        <x:v>No prompt change required under the missing-cell design.</x:v>
      </x:c>
      <x:c r="K880" s="37" t="str">
        <x:v>yellow block, blue pen</x:v>
      </x:c>
      <x:c r="L880" s="37" t="str">
        <x:v>yellow block</x:v>
      </x:c>
      <x:c r="M880" s="37" t="str">
        <x:v>Post-Drop</x:v>
      </x:c>
      <x:c r="N880" s="37" t="str">
        <x:v>Adjust the bowl so that it contains zero objects.</x:v>
      </x:c>
      <x:c r="O880" s="37" t="str"/>
      <x:c r="P880" s="37" t="str">
        <x:v>Explicitly grounds final count 0 as an in-distribution counting anchor.</x:v>
      </x:c>
      <x:c r="Q880" s="38"/>
    </x:row>
    <x:row r="881" ht="60" customHeight="1">
      <x:c r="A881" s="70" t="n">
        <x:v>879</x:v>
      </x:c>
      <x:c r="B881" s="37" t="str">
        <x:v>Counting</x:v>
      </x:c>
      <x:c r="C881" s="37" t="str">
        <x:v>Adjust the bowl so that it contains zero objects.</x:v>
      </x:c>
      <x:c r="D881" s="37" t="str">
        <x:v>Explicit goal-count grounding</x:v>
      </x:c>
      <x:c r="E881" s="37" t="str">
        <x:v>goal=0; in-distribution anchor</x:v>
      </x:c>
      <x:c r="F881" s="37" t="str">
        <x:v>count_goal_0_explicit_anchor</x:v>
      </x:c>
      <x:c r="G881" s="37" t="str">
        <x:v>goal one via removal (2→1); goal three via addition (2→3)</x:v>
      </x:c>
      <x:c r="H881" s="37" t="str">
        <x:v>No</x:v>
      </x:c>
      <x:c r="I881" s="37" t="str">
        <x:v>Keep prompt</x:v>
      </x:c>
      <x:c r="J881" s="37" t="str">
        <x:v>No prompt change required under the missing-cell design.</x:v>
      </x:c>
      <x:c r="K881" s="37" t="str">
        <x:v>yellow block, green pencil sharpener, blue pen</x:v>
      </x:c>
      <x:c r="L881" s="37" t="str">
        <x:v>yellow block</x:v>
      </x:c>
      <x:c r="M881" s="37" t="str">
        <x:v>Recovery</x:v>
      </x:c>
      <x:c r="N881" s="37" t="str">
        <x:v>Adjust the bowl so that it contains zero objects.</x:v>
      </x:c>
      <x:c r="O881" s="37" t="str"/>
      <x:c r="P881" s="37" t="str">
        <x:v>Explicitly grounds final count 0 as an in-distribution counting anchor.</x:v>
      </x:c>
      <x:c r="Q881" s="38"/>
    </x:row>
    <x:row r="882" ht="60" customHeight="1">
      <x:c r="A882" s="70" t="n">
        <x:v>880</x:v>
      </x:c>
      <x:c r="B882" s="37" t="str">
        <x:v>Counting</x:v>
      </x:c>
      <x:c r="C882" s="37" t="str">
        <x:v>Make the bowl contain exactly zero objects.</x:v>
      </x:c>
      <x:c r="D882" s="37" t="str">
        <x:v>Explicit goal-count grounding</x:v>
      </x:c>
      <x:c r="E882" s="37" t="str">
        <x:v>goal=0; in-distribution anchor</x:v>
      </x:c>
      <x:c r="F882" s="37" t="str">
        <x:v>count_goal_0_explicit_anchor</x:v>
      </x:c>
      <x:c r="G882" s="37" t="str">
        <x:v>goal one via removal (2→1); goal three via addition (2→3)</x:v>
      </x:c>
      <x:c r="H882" s="37" t="str">
        <x:v>No</x:v>
      </x:c>
      <x:c r="I882" s="37" t="str">
        <x:v>Keep prompt</x:v>
      </x:c>
      <x:c r="J882" s="37" t="str">
        <x:v>No prompt change required under the missing-cell design.</x:v>
      </x:c>
      <x:c r="K882" s="37" t="str">
        <x:v>yellow block</x:v>
      </x:c>
      <x:c r="L882" s="37" t="str">
        <x:v>yellow block</x:v>
      </x:c>
      <x:c r="M882" s="37" t="str">
        <x:v>Recovery</x:v>
      </x:c>
      <x:c r="N882" s="37" t="str">
        <x:v>Make the bowl contain exactly zero objects.</x:v>
      </x:c>
      <x:c r="O882" s="37" t="str"/>
      <x:c r="P882" s="37" t="str">
        <x:v>Explicitly grounds final count 0 as an in-distribution counting anchor.</x:v>
      </x:c>
      <x:c r="Q882" s="38"/>
    </x:row>
    <x:row r="883" ht="60" customHeight="1">
      <x:c r="A883" s="70" t="n">
        <x:v>881</x:v>
      </x:c>
      <x:c r="B883" s="37" t="str">
        <x:v>Counting</x:v>
      </x:c>
      <x:c r="C883" s="37" t="str">
        <x:v>Remove the yellow block from the bowl.</x:v>
      </x:c>
      <x:c r="D883" s="37" t="str">
        <x:v>Masked goal-count × transition composition</x:v>
      </x:c>
      <x:c r="E883" s="37" t="str">
        <x:v>direct removal of yellow block; hidden goal=1; transition=2→1</x:v>
      </x:c>
      <x:c r="F883" s="37" t="str">
        <x:v>count_goal_1_remove_masked</x:v>
      </x:c>
      <x:c r="G883" s="37" t="str">
        <x:v>goal one via removal (2→1); goal three via addition (2→3)</x:v>
      </x:c>
      <x:c r="H883" s="37" t="str">
        <x:v>No</x:v>
      </x:c>
      <x:c r="I883" s="37" t="str">
        <x:v>Keep prompt</x:v>
      </x:c>
      <x:c r="J883" s="37" t="str">
        <x:v>No prompt change required under the missing-cell design.</x:v>
      </x:c>
      <x:c r="K883" s="37" t="str">
        <x:v>yellow block, green pencil sharpener, airplane toy without propellers, blue pen</x:v>
      </x:c>
      <x:c r="L883" s="37" t="str">
        <x:v>yellow block</x:v>
      </x:c>
      <x:c r="M883" s="37" t="str">
        <x:v>Home</x:v>
      </x:c>
      <x:c r="N883" s="37" t="str">
        <x:v>Remove the yellow block from the bowl.</x:v>
      </x:c>
      <x:c r="O883" s="37" t="str">
        <x:v>Leave exactly one object in the bowl.</x:v>
      </x:c>
      <x:c r="P883" s="37" t="str">
        <x:v>The exact 2→1 motor transition is trained with a direct instruction, but the goal-count instruction is withheld.</x:v>
      </x:c>
      <x:c r="Q883" s="38"/>
    </x:row>
    <x:row r="884" ht="60" customHeight="1">
      <x:c r="A884" s="70" t="n">
        <x:v>882</x:v>
      </x:c>
      <x:c r="B884" s="37" t="str">
        <x:v>Counting</x:v>
      </x:c>
      <x:c r="C884" s="37" t="str">
        <x:v>Move the yellow block from the bowl to the table.</x:v>
      </x:c>
      <x:c r="D884" s="37" t="str">
        <x:v>Masked goal-count × transition composition</x:v>
      </x:c>
      <x:c r="E884" s="37" t="str">
        <x:v>direct removal of yellow block; hidden goal=1; transition=2→1</x:v>
      </x:c>
      <x:c r="F884" s="37" t="str">
        <x:v>count_goal_1_remove_masked</x:v>
      </x:c>
      <x:c r="G884" s="37" t="str">
        <x:v>goal one via removal (2→1); goal three via addition (2→3)</x:v>
      </x:c>
      <x:c r="H884" s="37" t="str">
        <x:v>No</x:v>
      </x:c>
      <x:c r="I884" s="37" t="str">
        <x:v>Keep prompt</x:v>
      </x:c>
      <x:c r="J884" s="37" t="str">
        <x:v>No prompt change required under the missing-cell design.</x:v>
      </x:c>
      <x:c r="K884" s="37" t="str">
        <x:v>yellow block, airplane toy without propellers, green pencil sharpener</x:v>
      </x:c>
      <x:c r="L884" s="37" t="str">
        <x:v>yellow block</x:v>
      </x:c>
      <x:c r="M884" s="37" t="str">
        <x:v>Home</x:v>
      </x:c>
      <x:c r="N884" s="37" t="str">
        <x:v>Move the yellow block from the bowl to the table.</x:v>
      </x:c>
      <x:c r="O884" s="37" t="str">
        <x:v>Leave exactly one object in the bowl.</x:v>
      </x:c>
      <x:c r="P884" s="37" t="str">
        <x:v>The exact 2→1 motor transition is trained with a direct instruction, but the goal-count instruction is withheld.</x:v>
      </x:c>
      <x:c r="Q884" s="38"/>
    </x:row>
    <x:row r="885" ht="60" customHeight="1">
      <x:c r="A885" s="70" t="n">
        <x:v>883</x:v>
      </x:c>
      <x:c r="B885" s="37" t="str">
        <x:v>Counting</x:v>
      </x:c>
      <x:c r="C885" s="37" t="str">
        <x:v>Take the yellow block out of the bowl.</x:v>
      </x:c>
      <x:c r="D885" s="37" t="str">
        <x:v>Masked goal-count × transition composition</x:v>
      </x:c>
      <x:c r="E885" s="37" t="str">
        <x:v>direct removal of yellow block; hidden goal=1; transition=2→1</x:v>
      </x:c>
      <x:c r="F885" s="37" t="str">
        <x:v>count_goal_1_remove_masked</x:v>
      </x:c>
      <x:c r="G885" s="37" t="str">
        <x:v>goal one via removal (2→1); goal three via addition (2→3)</x:v>
      </x:c>
      <x:c r="H885" s="37" t="str">
        <x:v>No</x:v>
      </x:c>
      <x:c r="I885" s="37" t="str">
        <x:v>Keep prompt</x:v>
      </x:c>
      <x:c r="J885" s="37" t="str">
        <x:v>No prompt change required under the missing-cell design.</x:v>
      </x:c>
      <x:c r="K885" s="37" t="str">
        <x:v>yellow block, blue pen, airplane toy without propellers</x:v>
      </x:c>
      <x:c r="L885" s="37" t="str">
        <x:v>yellow block</x:v>
      </x:c>
      <x:c r="M885" s="37" t="str">
        <x:v>Home</x:v>
      </x:c>
      <x:c r="N885" s="37" t="str">
        <x:v>Take the yellow block out of the bowl.</x:v>
      </x:c>
      <x:c r="O885" s="37" t="str">
        <x:v>Leave exactly one object in the bowl.</x:v>
      </x:c>
      <x:c r="P885" s="37" t="str">
        <x:v>The exact 2→1 motor transition is trained with a direct instruction, but the goal-count instruction is withheld.</x:v>
      </x:c>
      <x:c r="Q885" s="38"/>
    </x:row>
    <x:row r="886" ht="60" customHeight="1">
      <x:c r="A886" s="70" t="n">
        <x:v>884</x:v>
      </x:c>
      <x:c r="B886" s="37" t="str">
        <x:v>Counting</x:v>
      </x:c>
      <x:c r="C886" s="37" t="str">
        <x:v>Move the yellow block from the bowl to the table.</x:v>
      </x:c>
      <x:c r="D886" s="37" t="str">
        <x:v>Masked goal-count × transition composition</x:v>
      </x:c>
      <x:c r="E886" s="37" t="str">
        <x:v>direct removal of yellow block; hidden goal=1; transition=2→1</x:v>
      </x:c>
      <x:c r="F886" s="37" t="str">
        <x:v>count_goal_1_remove_masked</x:v>
      </x:c>
      <x:c r="G886" s="37" t="str">
        <x:v>goal one via removal (2→1); goal three via addition (2→3)</x:v>
      </x:c>
      <x:c r="H886" s="37" t="str">
        <x:v>No</x:v>
      </x:c>
      <x:c r="I886" s="37" t="str">
        <x:v>Keep prompt</x:v>
      </x:c>
      <x:c r="J886" s="37" t="str">
        <x:v>No prompt change required under the missing-cell design.</x:v>
      </x:c>
      <x:c r="K886" s="37" t="str">
        <x:v>yellow block, green pencil sharpener, blue pen</x:v>
      </x:c>
      <x:c r="L886" s="37" t="str">
        <x:v>yellow block</x:v>
      </x:c>
      <x:c r="M886" s="37" t="str">
        <x:v>Post-Drop</x:v>
      </x:c>
      <x:c r="N886" s="37" t="str">
        <x:v>Move the yellow block from the bowl to the table.</x:v>
      </x:c>
      <x:c r="O886" s="37" t="str">
        <x:v>Leave exactly one object in the bowl.</x:v>
      </x:c>
      <x:c r="P886" s="37" t="str">
        <x:v>The exact 2→1 motor transition is trained with a direct instruction, but the goal-count instruction is withheld.</x:v>
      </x:c>
      <x:c r="Q886" s="38"/>
    </x:row>
    <x:row r="887" ht="60" customHeight="1">
      <x:c r="A887" s="70" t="n">
        <x:v>885</x:v>
      </x:c>
      <x:c r="B887" s="37" t="str">
        <x:v>Counting</x:v>
      </x:c>
      <x:c r="C887" s="37" t="str">
        <x:v>Move the yellow block from the bowl to the table.</x:v>
      </x:c>
      <x:c r="D887" s="37" t="str">
        <x:v>Masked goal-count × transition composition</x:v>
      </x:c>
      <x:c r="E887" s="37" t="str">
        <x:v>direct removal of yellow block; hidden goal=1; transition=2→1</x:v>
      </x:c>
      <x:c r="F887" s="37" t="str">
        <x:v>count_goal_1_remove_masked</x:v>
      </x:c>
      <x:c r="G887" s="37" t="str">
        <x:v>goal one via removal (2→1); goal three via addition (2→3)</x:v>
      </x:c>
      <x:c r="H887" s="37" t="str">
        <x:v>No</x:v>
      </x:c>
      <x:c r="I887" s="37" t="str">
        <x:v>Keep prompt</x:v>
      </x:c>
      <x:c r="J887" s="37" t="str">
        <x:v>No prompt change required under the missing-cell design.</x:v>
      </x:c>
      <x:c r="K887" s="37" t="str">
        <x:v>yellow block, airplane toy without propellers, green pencil sharpener, blue pen</x:v>
      </x:c>
      <x:c r="L887" s="37" t="str">
        <x:v>yellow block</x:v>
      </x:c>
      <x:c r="M887" s="37" t="str">
        <x:v>Post-Drop</x:v>
      </x:c>
      <x:c r="N887" s="37" t="str">
        <x:v>Move the yellow block from the bowl to the table.</x:v>
      </x:c>
      <x:c r="O887" s="37" t="str">
        <x:v>Leave exactly one object in the bowl.</x:v>
      </x:c>
      <x:c r="P887" s="37" t="str">
        <x:v>The exact 2→1 motor transition is trained with a direct instruction, but the goal-count instruction is withheld.</x:v>
      </x:c>
      <x:c r="Q887" s="38"/>
    </x:row>
    <x:row r="888" ht="60" customHeight="1">
      <x:c r="A888" s="70" t="n">
        <x:v>886</x:v>
      </x:c>
      <x:c r="B888" s="37" t="str">
        <x:v>Counting</x:v>
      </x:c>
      <x:c r="C888" s="37" t="str">
        <x:v>Take the yellow block out of the bowl.</x:v>
      </x:c>
      <x:c r="D888" s="37" t="str">
        <x:v>Masked goal-count × transition composition</x:v>
      </x:c>
      <x:c r="E888" s="37" t="str">
        <x:v>direct removal of yellow block; hidden goal=1; transition=2→1</x:v>
      </x:c>
      <x:c r="F888" s="37" t="str">
        <x:v>count_goal_1_remove_masked</x:v>
      </x:c>
      <x:c r="G888" s="37" t="str">
        <x:v>goal one via removal (2→1); goal three via addition (2→3)</x:v>
      </x:c>
      <x:c r="H888" s="37" t="str">
        <x:v>No</x:v>
      </x:c>
      <x:c r="I888" s="37" t="str">
        <x:v>Keep prompt</x:v>
      </x:c>
      <x:c r="J888" s="37" t="str">
        <x:v>No prompt change required under the missing-cell design.</x:v>
      </x:c>
      <x:c r="K888" s="37" t="str">
        <x:v>yellow block, blue pen</x:v>
      </x:c>
      <x:c r="L888" s="37" t="str">
        <x:v>yellow block</x:v>
      </x:c>
      <x:c r="M888" s="37" t="str">
        <x:v>Recovery</x:v>
      </x:c>
      <x:c r="N888" s="37" t="str">
        <x:v>Take the yellow block out of the bowl.</x:v>
      </x:c>
      <x:c r="O888" s="37" t="str">
        <x:v>Leave exactly one object in the bowl.</x:v>
      </x:c>
      <x:c r="P888" s="37" t="str">
        <x:v>The exact 2→1 motor transition is trained with a direct instruction, but the goal-count instruction is withheld.</x:v>
      </x:c>
      <x:c r="Q888" s="38"/>
    </x:row>
    <x:row r="889" ht="60" customHeight="1">
      <x:c r="A889" s="70" t="n">
        <x:v>887</x:v>
      </x:c>
      <x:c r="B889" s="37" t="str">
        <x:v>Counting</x:v>
      </x:c>
      <x:c r="C889" s="37" t="str">
        <x:v>Make the bowl contain exactly two objects.</x:v>
      </x:c>
      <x:c r="D889" s="37" t="str">
        <x:v>Explicit goal-count grounding</x:v>
      </x:c>
      <x:c r="E889" s="37" t="str">
        <x:v>goal=2; in-distribution anchor</x:v>
      </x:c>
      <x:c r="F889" s="37" t="str">
        <x:v>count_goal_2_explicit_anchor</x:v>
      </x:c>
      <x:c r="G889" s="37" t="str">
        <x:v>goal one via removal (2→1); goal three via addition (2→3)</x:v>
      </x:c>
      <x:c r="H889" s="37" t="str">
        <x:v>No</x:v>
      </x:c>
      <x:c r="I889" s="37" t="str">
        <x:v>Keep prompt</x:v>
      </x:c>
      <x:c r="J889" s="37" t="str">
        <x:v>No prompt change required under the missing-cell design.</x:v>
      </x:c>
      <x:c r="K889" s="37" t="str">
        <x:v>yellow block, green pencil sharpener, airplane toy without propellers, blue pen</x:v>
      </x:c>
      <x:c r="L889" s="37" t="str">
        <x:v>yellow block</x:v>
      </x:c>
      <x:c r="M889" s="37" t="str">
        <x:v>Home</x:v>
      </x:c>
      <x:c r="N889" s="37" t="str">
        <x:v>Make the bowl contain exactly two objects.</x:v>
      </x:c>
      <x:c r="O889" s="37" t="str"/>
      <x:c r="P889" s="37" t="str">
        <x:v>Explicitly grounds final count 2 as an in-distribution counting anchor.</x:v>
      </x:c>
      <x:c r="Q889" s="38"/>
    </x:row>
    <x:row r="890" ht="60" customHeight="1">
      <x:c r="A890" s="70" t="n">
        <x:v>888</x:v>
      </x:c>
      <x:c r="B890" s="37" t="str">
        <x:v>Counting</x:v>
      </x:c>
      <x:c r="C890" s="37" t="str">
        <x:v>Leave exactly two objects in the bowl.</x:v>
      </x:c>
      <x:c r="D890" s="37" t="str">
        <x:v>Explicit goal-count grounding</x:v>
      </x:c>
      <x:c r="E890" s="37" t="str">
        <x:v>goal=2; in-distribution anchor</x:v>
      </x:c>
      <x:c r="F890" s="37" t="str">
        <x:v>count_goal_2_explicit_anchor</x:v>
      </x:c>
      <x:c r="G890" s="37" t="str">
        <x:v>goal one via removal (2→1); goal three via addition (2→3)</x:v>
      </x:c>
      <x:c r="H890" s="37" t="str">
        <x:v>No</x:v>
      </x:c>
      <x:c r="I890" s="37" t="str">
        <x:v>Keep prompt</x:v>
      </x:c>
      <x:c r="J890" s="37" t="str">
        <x:v>No prompt change required under the missing-cell design.</x:v>
      </x:c>
      <x:c r="K890" s="37" t="str">
        <x:v>yellow block, airplane toy without propellers, blue pen, green pencil sharpener</x:v>
      </x:c>
      <x:c r="L890" s="37" t="str">
        <x:v>yellow block</x:v>
      </x:c>
      <x:c r="M890" s="37" t="str">
        <x:v>Home</x:v>
      </x:c>
      <x:c r="N890" s="37" t="str">
        <x:v>Leave exactly two objects in the bowl.</x:v>
      </x:c>
      <x:c r="O890" s="37" t="str"/>
      <x:c r="P890" s="37" t="str">
        <x:v>Explicitly grounds final count 2 as an in-distribution counting anchor.</x:v>
      </x:c>
      <x:c r="Q890" s="38"/>
    </x:row>
    <x:row r="891" ht="60" customHeight="1">
      <x:c r="A891" s="70" t="n">
        <x:v>889</x:v>
      </x:c>
      <x:c r="B891" s="37" t="str">
        <x:v>Counting</x:v>
      </x:c>
      <x:c r="C891" s="37" t="str">
        <x:v>Make the bowl contain exactly two objects.</x:v>
      </x:c>
      <x:c r="D891" s="37" t="str">
        <x:v>Explicit goal-count grounding</x:v>
      </x:c>
      <x:c r="E891" s="37" t="str">
        <x:v>goal=2; in-distribution anchor</x:v>
      </x:c>
      <x:c r="F891" s="37" t="str">
        <x:v>count_goal_2_explicit_anchor</x:v>
      </x:c>
      <x:c r="G891" s="37" t="str">
        <x:v>goal one via removal (2→1); goal three via addition (2→3)</x:v>
      </x:c>
      <x:c r="H891" s="37" t="str">
        <x:v>No</x:v>
      </x:c>
      <x:c r="I891" s="37" t="str">
        <x:v>Keep prompt</x:v>
      </x:c>
      <x:c r="J891" s="37" t="str">
        <x:v>No prompt change required under the missing-cell design.</x:v>
      </x:c>
      <x:c r="K891" s="37" t="str">
        <x:v>yellow block, green pencil sharpener, blue pen, airplane toy without propellers</x:v>
      </x:c>
      <x:c r="L891" s="37" t="str">
        <x:v>yellow block</x:v>
      </x:c>
      <x:c r="M891" s="37" t="str">
        <x:v>Post-Drop</x:v>
      </x:c>
      <x:c r="N891" s="37" t="str">
        <x:v>Make the bowl contain exactly two objects.</x:v>
      </x:c>
      <x:c r="O891" s="37" t="str"/>
      <x:c r="P891" s="37" t="str">
        <x:v>Explicitly grounds final count 2 as an in-distribution counting anchor.</x:v>
      </x:c>
      <x:c r="Q891" s="38"/>
    </x:row>
    <x:row r="892" ht="60" customHeight="1">
      <x:c r="A892" s="70" t="n">
        <x:v>890</x:v>
      </x:c>
      <x:c r="B892" s="37" t="str">
        <x:v>Counting</x:v>
      </x:c>
      <x:c r="C892" s="37" t="str">
        <x:v>Adjust the bowl so that it contains two objects.</x:v>
      </x:c>
      <x:c r="D892" s="37" t="str">
        <x:v>Explicit goal-count grounding</x:v>
      </x:c>
      <x:c r="E892" s="37" t="str">
        <x:v>goal=2; in-distribution anchor</x:v>
      </x:c>
      <x:c r="F892" s="37" t="str">
        <x:v>count_goal_2_explicit_anchor</x:v>
      </x:c>
      <x:c r="G892" s="37" t="str">
        <x:v>goal one via removal (2→1); goal three via addition (2→3)</x:v>
      </x:c>
      <x:c r="H892" s="37" t="str">
        <x:v>No</x:v>
      </x:c>
      <x:c r="I892" s="37" t="str">
        <x:v>Keep prompt</x:v>
      </x:c>
      <x:c r="J892" s="37" t="str">
        <x:v>No prompt change required under the missing-cell design.</x:v>
      </x:c>
      <x:c r="K892" s="37" t="str">
        <x:v>yellow block, green pencil sharpener, airplane toy without propellers</x:v>
      </x:c>
      <x:c r="L892" s="37" t="str">
        <x:v>yellow block</x:v>
      </x:c>
      <x:c r="M892" s="37" t="str">
        <x:v>Post-Drop</x:v>
      </x:c>
      <x:c r="N892" s="37" t="str">
        <x:v>Adjust the bowl so that it contains two objects.</x:v>
      </x:c>
      <x:c r="O892" s="37" t="str"/>
      <x:c r="P892" s="37" t="str">
        <x:v>Explicitly grounds final count 2 as an in-distribution counting anchor.</x:v>
      </x:c>
      <x:c r="Q892" s="38"/>
    </x:row>
    <x:row r="893" ht="60" customHeight="1">
      <x:c r="A893" s="70" t="n">
        <x:v>891</x:v>
      </x:c>
      <x:c r="B893" s="37" t="str">
        <x:v>Counting</x:v>
      </x:c>
      <x:c r="C893" s="37" t="str">
        <x:v>Leave exactly two objects in the bowl.</x:v>
      </x:c>
      <x:c r="D893" s="37" t="str">
        <x:v>Explicit goal-count grounding</x:v>
      </x:c>
      <x:c r="E893" s="37" t="str">
        <x:v>goal=2; in-distribution anchor</x:v>
      </x:c>
      <x:c r="F893" s="37" t="str">
        <x:v>count_goal_2_explicit_anchor</x:v>
      </x:c>
      <x:c r="G893" s="37" t="str">
        <x:v>goal one via removal (2→1); goal three via addition (2→3)</x:v>
      </x:c>
      <x:c r="H893" s="37" t="str">
        <x:v>No</x:v>
      </x:c>
      <x:c r="I893" s="37" t="str">
        <x:v>Keep prompt</x:v>
      </x:c>
      <x:c r="J893" s="37" t="str">
        <x:v>No prompt change required under the missing-cell design.</x:v>
      </x:c>
      <x:c r="K893" s="37" t="str">
        <x:v>yellow block, airplane toy without propellers, blue pen</x:v>
      </x:c>
      <x:c r="L893" s="37" t="str">
        <x:v>yellow block</x:v>
      </x:c>
      <x:c r="M893" s="37" t="str">
        <x:v>Post-Drop</x:v>
      </x:c>
      <x:c r="N893" s="37" t="str">
        <x:v>Leave exactly two objects in the bowl.</x:v>
      </x:c>
      <x:c r="O893" s="37" t="str"/>
      <x:c r="P893" s="37" t="str">
        <x:v>Explicitly grounds final count 2 as an in-distribution counting anchor.</x:v>
      </x:c>
      <x:c r="Q893" s="38"/>
    </x:row>
    <x:row r="894" ht="60" customHeight="1">
      <x:c r="A894" s="70" t="n">
        <x:v>892</x:v>
      </x:c>
      <x:c r="B894" s="37" t="str">
        <x:v>Counting</x:v>
      </x:c>
      <x:c r="C894" s="37" t="str">
        <x:v>Leave exactly two objects in the bowl.</x:v>
      </x:c>
      <x:c r="D894" s="37" t="str">
        <x:v>Explicit goal-count grounding</x:v>
      </x:c>
      <x:c r="E894" s="37" t="str">
        <x:v>goal=2; in-distribution anchor</x:v>
      </x:c>
      <x:c r="F894" s="37" t="str">
        <x:v>count_goal_2_explicit_anchor</x:v>
      </x:c>
      <x:c r="G894" s="37" t="str">
        <x:v>goal one via removal (2→1); goal three via addition (2→3)</x:v>
      </x:c>
      <x:c r="H894" s="37" t="str">
        <x:v>No</x:v>
      </x:c>
      <x:c r="I894" s="37" t="str">
        <x:v>Keep prompt</x:v>
      </x:c>
      <x:c r="J894" s="37" t="str">
        <x:v>No prompt change required under the missing-cell design.</x:v>
      </x:c>
      <x:c r="K894" s="37" t="str">
        <x:v>yellow block, green pencil sharpener, blue pen</x:v>
      </x:c>
      <x:c r="L894" s="37" t="str">
        <x:v>yellow block</x:v>
      </x:c>
      <x:c r="M894" s="37" t="str">
        <x:v>Recovery</x:v>
      </x:c>
      <x:c r="N894" s="37" t="str">
        <x:v>Leave exactly two objects in the bowl.</x:v>
      </x:c>
      <x:c r="O894" s="37" t="str"/>
      <x:c r="P894" s="37" t="str">
        <x:v>Explicitly grounds final count 2 as an in-distribution counting anchor.</x:v>
      </x:c>
      <x:c r="Q894" s="38"/>
    </x:row>
    <x:row r="895" ht="60" customHeight="1">
      <x:c r="A895" s="70" t="n">
        <x:v>893</x:v>
      </x:c>
      <x:c r="B895" s="37" t="str">
        <x:v>Counting</x:v>
      </x:c>
      <x:c r="C895" s="37" t="str">
        <x:v>Leave exactly three objects in the bowl.</x:v>
      </x:c>
      <x:c r="D895" s="37" t="str">
        <x:v>Explicit goal-count grounding</x:v>
      </x:c>
      <x:c r="E895" s="37" t="str">
        <x:v>goal=3; familiar transition=4→3 removal</x:v>
      </x:c>
      <x:c r="F895" s="37" t="str">
        <x:v>count_goal_3_seen_remove</x:v>
      </x:c>
      <x:c r="G895" s="37" t="str">
        <x:v>goal one via removal (2→1); goal three via addition (2→3)</x:v>
      </x:c>
      <x:c r="H895" s="37" t="str">
        <x:v>Yes</x:v>
      </x:c>
      <x:c r="I895" s="37" t="str">
        <x:v>Replace prompt only</x:v>
      </x:c>
      <x:c r="J895" s="37" t="str">
        <x:v>Prompt-only relabeling; preserve episode 893 video, scene, trajectory, target, and start position.</x:v>
      </x:c>
      <x:c r="K895" s="37" t="str">
        <x:v>yellow block, green pencil sharpener, airplane toy without propellers, blue pen</x:v>
      </x:c>
      <x:c r="L895" s="37" t="str">
        <x:v>yellow block</x:v>
      </x:c>
      <x:c r="M895" s="37" t="str">
        <x:v>Home</x:v>
      </x:c>
      <x:c r="N895" s="37" t="str">
        <x:v>Take the yellow block out of the bowl.</x:v>
      </x:c>
      <x:c r="O895" s="37" t="str"/>
      <x:c r="P895" s="37" t="str">
        <x:v>The word three is explicitly trained through removal, while three-through-addition is withheld.</x:v>
      </x:c>
      <x:c r="Q895" s="38"/>
    </x:row>
    <x:row r="896" ht="60" customHeight="1">
      <x:c r="A896" s="70" t="n">
        <x:v>894</x:v>
      </x:c>
      <x:c r="B896" s="37" t="str">
        <x:v>Counting</x:v>
      </x:c>
      <x:c r="C896" s="37" t="str">
        <x:v>Leave exactly three objects in the bowl.</x:v>
      </x:c>
      <x:c r="D896" s="37" t="str">
        <x:v>Explicit goal-count grounding</x:v>
      </x:c>
      <x:c r="E896" s="37" t="str">
        <x:v>goal=3; familiar transition=4→3 removal</x:v>
      </x:c>
      <x:c r="F896" s="37" t="str">
        <x:v>count_goal_3_seen_remove</x:v>
      </x:c>
      <x:c r="G896" s="37" t="str">
        <x:v>goal one via removal (2→1); goal three via addition (2→3)</x:v>
      </x:c>
      <x:c r="H896" s="37" t="str">
        <x:v>Yes</x:v>
      </x:c>
      <x:c r="I896" s="37" t="str">
        <x:v>Replace prompt only</x:v>
      </x:c>
      <x:c r="J896" s="37" t="str">
        <x:v>Prompt-only relabeling; preserve episode 894 video, scene, trajectory, target, and start position.</x:v>
      </x:c>
      <x:c r="K896" s="37" t="str">
        <x:v>yellow block, green pencil sharpener, airplane toy without propellers, blue pen</x:v>
      </x:c>
      <x:c r="L896" s="37" t="str">
        <x:v>yellow block</x:v>
      </x:c>
      <x:c r="M896" s="37" t="str">
        <x:v>Home</x:v>
      </x:c>
      <x:c r="N896" s="37" t="str">
        <x:v>Take the yellow block out of the bowl.</x:v>
      </x:c>
      <x:c r="O896" s="37" t="str"/>
      <x:c r="P896" s="37" t="str">
        <x:v>The word three is explicitly trained through removal, while three-through-addition is withheld.</x:v>
      </x:c>
      <x:c r="Q896" s="38"/>
    </x:row>
    <x:row r="897" ht="60" customHeight="1">
      <x:c r="A897" s="70" t="n">
        <x:v>895</x:v>
      </x:c>
      <x:c r="B897" s="37" t="str">
        <x:v>Counting</x:v>
      </x:c>
      <x:c r="C897" s="37" t="str">
        <x:v>Leave exactly three objects in the bowl.</x:v>
      </x:c>
      <x:c r="D897" s="37" t="str">
        <x:v>Explicit goal-count grounding</x:v>
      </x:c>
      <x:c r="E897" s="37" t="str">
        <x:v>goal=3; familiar transition=4→3 removal</x:v>
      </x:c>
      <x:c r="F897" s="37" t="str">
        <x:v>count_goal_3_seen_remove</x:v>
      </x:c>
      <x:c r="G897" s="37" t="str">
        <x:v>goal one via removal (2→1); goal three via addition (2→3)</x:v>
      </x:c>
      <x:c r="H897" s="37" t="str">
        <x:v>Yes</x:v>
      </x:c>
      <x:c r="I897" s="37" t="str">
        <x:v>Replace prompt only</x:v>
      </x:c>
      <x:c r="J897" s="37" t="str">
        <x:v>Prompt-only relabeling; preserve episode 895 video, scene, trajectory, target, and start position.</x:v>
      </x:c>
      <x:c r="K897" s="37" t="str">
        <x:v>yellow block, green pencil sharpener, airplane toy without propellers, blue pen</x:v>
      </x:c>
      <x:c r="L897" s="37" t="str">
        <x:v>yellow block</x:v>
      </x:c>
      <x:c r="M897" s="37" t="str">
        <x:v>Home</x:v>
      </x:c>
      <x:c r="N897" s="37" t="str">
        <x:v>Move the yellow block from the bowl to the table.</x:v>
      </x:c>
      <x:c r="O897" s="37" t="str"/>
      <x:c r="P897" s="37" t="str">
        <x:v>The word three is explicitly trained through removal, while three-through-addition is withheld.</x:v>
      </x:c>
      <x:c r="Q897" s="38"/>
    </x:row>
    <x:row r="898" ht="60" customHeight="1">
      <x:c r="A898" s="70" t="n">
        <x:v>896</x:v>
      </x:c>
      <x:c r="B898" s="37" t="str">
        <x:v>Counting</x:v>
      </x:c>
      <x:c r="C898" s="37" t="str">
        <x:v>Leave exactly three objects in the bowl.</x:v>
      </x:c>
      <x:c r="D898" s="37" t="str">
        <x:v>Explicit goal-count grounding</x:v>
      </x:c>
      <x:c r="E898" s="37" t="str">
        <x:v>goal=3; familiar transition=4→3 removal</x:v>
      </x:c>
      <x:c r="F898" s="37" t="str">
        <x:v>count_goal_3_seen_remove</x:v>
      </x:c>
      <x:c r="G898" s="37" t="str">
        <x:v>goal one via removal (2→1); goal three via addition (2→3)</x:v>
      </x:c>
      <x:c r="H898" s="37" t="str">
        <x:v>Yes</x:v>
      </x:c>
      <x:c r="I898" s="37" t="str">
        <x:v>Replace prompt only</x:v>
      </x:c>
      <x:c r="J898" s="37" t="str">
        <x:v>Prompt-only relabeling; preserve episode 896 video, scene, trajectory, target, and start position.</x:v>
      </x:c>
      <x:c r="K898" s="37" t="str">
        <x:v>yellow block, green pencil sharpener, airplane toy without propellers, blue pen</x:v>
      </x:c>
      <x:c r="L898" s="37" t="str">
        <x:v>yellow block</x:v>
      </x:c>
      <x:c r="M898" s="37" t="str">
        <x:v>Post-Drop</x:v>
      </x:c>
      <x:c r="N898" s="37" t="str">
        <x:v>Remove the yellow block from the bowl.</x:v>
      </x:c>
      <x:c r="O898" s="37" t="str"/>
      <x:c r="P898" s="37" t="str">
        <x:v>The word three is explicitly trained through removal, while three-through-addition is withheld.</x:v>
      </x:c>
      <x:c r="Q898" s="38"/>
    </x:row>
    <x:row r="899" ht="60" customHeight="1">
      <x:c r="A899" s="70" t="n">
        <x:v>897</x:v>
      </x:c>
      <x:c r="B899" s="37" t="str">
        <x:v>Counting</x:v>
      </x:c>
      <x:c r="C899" s="37" t="str">
        <x:v>Leave exactly three objects in the bowl.</x:v>
      </x:c>
      <x:c r="D899" s="37" t="str">
        <x:v>Explicit goal-count grounding</x:v>
      </x:c>
      <x:c r="E899" s="37" t="str">
        <x:v>goal=3; familiar transition=4→3 removal</x:v>
      </x:c>
      <x:c r="F899" s="37" t="str">
        <x:v>count_goal_3_seen_remove</x:v>
      </x:c>
      <x:c r="G899" s="37" t="str">
        <x:v>goal one via removal (2→1); goal three via addition (2→3)</x:v>
      </x:c>
      <x:c r="H899" s="37" t="str">
        <x:v>Yes</x:v>
      </x:c>
      <x:c r="I899" s="37" t="str">
        <x:v>Replace prompt only</x:v>
      </x:c>
      <x:c r="J899" s="37" t="str">
        <x:v>Prompt-only relabeling; preserve episode 897 video, scene, trajectory, target, and start position.</x:v>
      </x:c>
      <x:c r="K899" s="37" t="str">
        <x:v>yellow block, green pencil sharpener, airplane toy without propellers, blue pen</x:v>
      </x:c>
      <x:c r="L899" s="37" t="str">
        <x:v>yellow block</x:v>
      </x:c>
      <x:c r="M899" s="37" t="str">
        <x:v>Post-Drop</x:v>
      </x:c>
      <x:c r="N899" s="37" t="str">
        <x:v>Remove the yellow block from the bowl.</x:v>
      </x:c>
      <x:c r="O899" s="37" t="str"/>
      <x:c r="P899" s="37" t="str">
        <x:v>The word three is explicitly trained through removal, while three-through-addition is withheld.</x:v>
      </x:c>
      <x:c r="Q899" s="38"/>
    </x:row>
    <x:row r="900" ht="60" customHeight="1">
      <x:c r="A900" s="70" t="n">
        <x:v>898</x:v>
      </x:c>
      <x:c r="B900" s="37" t="str">
        <x:v>Counting</x:v>
      </x:c>
      <x:c r="C900" s="37" t="str">
        <x:v>Leave exactly three objects in the bowl.</x:v>
      </x:c>
      <x:c r="D900" s="37" t="str">
        <x:v>Explicit goal-count grounding</x:v>
      </x:c>
      <x:c r="E900" s="37" t="str">
        <x:v>goal=3; familiar transition=4→3 removal</x:v>
      </x:c>
      <x:c r="F900" s="37" t="str">
        <x:v>count_goal_3_seen_remove</x:v>
      </x:c>
      <x:c r="G900" s="37" t="str">
        <x:v>goal one via removal (2→1); goal three via addition (2→3)</x:v>
      </x:c>
      <x:c r="H900" s="37" t="str">
        <x:v>Yes</x:v>
      </x:c>
      <x:c r="I900" s="37" t="str">
        <x:v>Replace prompt only</x:v>
      </x:c>
      <x:c r="J900" s="37" t="str">
        <x:v>Prompt-only relabeling; preserve episode 898 video, scene, trajectory, target, and start position.</x:v>
      </x:c>
      <x:c r="K900" s="37" t="str">
        <x:v>yellow block, green pencil sharpener, airplane toy without propellers, blue pen</x:v>
      </x:c>
      <x:c r="L900" s="37" t="str">
        <x:v>yellow block</x:v>
      </x:c>
      <x:c r="M900" s="37" t="str">
        <x:v>Post-Drop</x:v>
      </x:c>
      <x:c r="N900" s="37" t="str">
        <x:v>Take the yellow block out of the bowl.</x:v>
      </x:c>
      <x:c r="O900" s="37" t="str"/>
      <x:c r="P900" s="37" t="str">
        <x:v>The word three is explicitly trained through removal, while three-through-addition is withheld.</x:v>
      </x:c>
      <x:c r="Q900" s="38"/>
    </x:row>
    <x:row r="901" ht="60" customHeight="1">
      <x:c r="A901" s="70" t="n">
        <x:v>899</x:v>
      </x:c>
      <x:c r="B901" s="37" t="str">
        <x:v>Counting</x:v>
      </x:c>
      <x:c r="C901" s="37" t="str">
        <x:v>Leave exactly three objects in the bowl.</x:v>
      </x:c>
      <x:c r="D901" s="37" t="str">
        <x:v>Explicit goal-count grounding</x:v>
      </x:c>
      <x:c r="E901" s="37" t="str">
        <x:v>goal=3; familiar transition=4→3 removal</x:v>
      </x:c>
      <x:c r="F901" s="37" t="str">
        <x:v>count_goal_3_seen_remove</x:v>
      </x:c>
      <x:c r="G901" s="37" t="str">
        <x:v>goal one via removal (2→1); goal three via addition (2→3)</x:v>
      </x:c>
      <x:c r="H901" s="37" t="str">
        <x:v>Yes</x:v>
      </x:c>
      <x:c r="I901" s="37" t="str">
        <x:v>Replace prompt only</x:v>
      </x:c>
      <x:c r="J901" s="37" t="str">
        <x:v>Prompt-only relabeling; preserve episode 899 video, scene, trajectory, target, and start position.</x:v>
      </x:c>
      <x:c r="K901" s="37" t="str">
        <x:v>yellow block, green pencil sharpener, airplane toy without propellers, blue pen</x:v>
      </x:c>
      <x:c r="L901" s="37" t="str">
        <x:v>yellow block</x:v>
      </x:c>
      <x:c r="M901" s="37" t="str">
        <x:v>Recovery</x:v>
      </x:c>
      <x:c r="N901" s="37" t="str">
        <x:v>Remove the yellow block from the bowl.</x:v>
      </x:c>
      <x:c r="O901" s="37" t="str"/>
      <x:c r="P901" s="37" t="str">
        <x:v>The word three is explicitly trained through removal, while three-through-addition is withheld.</x:v>
      </x:c>
      <x:c r="Q901" s="38"/>
    </x:row>
    <x:row r="902" ht="60" customHeight="1">
      <x:c r="A902" s="70" t="n">
        <x:v>900</x:v>
      </x:c>
      <x:c r="B902" s="37" t="str">
        <x:v>Counting</x:v>
      </x:c>
      <x:c r="C902" s="37" t="str">
        <x:v>Leave exactly one object in the bowl.</x:v>
      </x:c>
      <x:c r="D902" s="37" t="str">
        <x:v>Explicit goal-count grounding</x:v>
      </x:c>
      <x:c r="E902" s="37" t="str">
        <x:v>goal=1; familiar transition=0→1 addition</x:v>
      </x:c>
      <x:c r="F902" s="37" t="str">
        <x:v>count_goal_1_seen_add</x:v>
      </x:c>
      <x:c r="G902" s="37" t="str">
        <x:v>goal one via removal (2→1); goal three via addition (2→3)</x:v>
      </x:c>
      <x:c r="H902" s="37" t="str">
        <x:v>Yes</x:v>
      </x:c>
      <x:c r="I902" s="37" t="str">
        <x:v>Replace prompt only</x:v>
      </x:c>
      <x:c r="J902" s="37" t="str">
        <x:v>Prompt-only relabeling; preserve episode 900 video, scene, trajectory, target, and start position.</x:v>
      </x:c>
      <x:c r="K902" s="37" t="str">
        <x:v>green pencil sharpener, airplane toy without propellers, blue pen, yellow block</x:v>
      </x:c>
      <x:c r="L902" s="37" t="str">
        <x:v>green pencil sharpener</x:v>
      </x:c>
      <x:c r="M902" s="37" t="str">
        <x:v>Home</x:v>
      </x:c>
      <x:c r="N902" s="37" t="str">
        <x:v>Pick up the green pencil sharpener and place it in the bowl.</x:v>
      </x:c>
      <x:c r="O902" s="37" t="str"/>
      <x:c r="P902" s="37" t="str">
        <x:v>The word one is explicitly trained through addition, while one-through-removal is withheld.</x:v>
      </x:c>
      <x:c r="Q902" s="38"/>
    </x:row>
    <x:row r="903" ht="60" customHeight="1">
      <x:c r="A903" s="70" t="n">
        <x:v>901</x:v>
      </x:c>
      <x:c r="B903" s="37" t="str">
        <x:v>Counting</x:v>
      </x:c>
      <x:c r="C903" s="37" t="str">
        <x:v>Leave exactly one object in the bowl.</x:v>
      </x:c>
      <x:c r="D903" s="37" t="str">
        <x:v>Explicit goal-count grounding</x:v>
      </x:c>
      <x:c r="E903" s="37" t="str">
        <x:v>goal=1; familiar transition=0→1 addition</x:v>
      </x:c>
      <x:c r="F903" s="37" t="str">
        <x:v>count_goal_1_seen_add</x:v>
      </x:c>
      <x:c r="G903" s="37" t="str">
        <x:v>goal one via removal (2→1); goal three via addition (2→3)</x:v>
      </x:c>
      <x:c r="H903" s="37" t="str">
        <x:v>Yes</x:v>
      </x:c>
      <x:c r="I903" s="37" t="str">
        <x:v>Replace prompt only</x:v>
      </x:c>
      <x:c r="J903" s="37" t="str">
        <x:v>Prompt-only relabeling; preserve episode 901 video, scene, trajectory, target, and start position.</x:v>
      </x:c>
      <x:c r="K903" s="37" t="str">
        <x:v>green pencil sharpener, airplane toy without propellers, blue pen</x:v>
      </x:c>
      <x:c r="L903" s="37" t="str">
        <x:v>green pencil sharpener</x:v>
      </x:c>
      <x:c r="M903" s="37" t="str">
        <x:v>Home</x:v>
      </x:c>
      <x:c r="N903" s="37" t="str">
        <x:v>Put the green pencil sharpener in the bowl.</x:v>
      </x:c>
      <x:c r="O903" s="37" t="str"/>
      <x:c r="P903" s="37" t="str">
        <x:v>The word one is explicitly trained through addition, while one-through-removal is withheld.</x:v>
      </x:c>
      <x:c r="Q903" s="38"/>
    </x:row>
    <x:row r="904" ht="60" customHeight="1">
      <x:c r="A904" s="70" t="n">
        <x:v>902</x:v>
      </x:c>
      <x:c r="B904" s="37" t="str">
        <x:v>Counting</x:v>
      </x:c>
      <x:c r="C904" s="37" t="str">
        <x:v>Leave exactly one object in the bowl.</x:v>
      </x:c>
      <x:c r="D904" s="37" t="str">
        <x:v>Explicit goal-count grounding</x:v>
      </x:c>
      <x:c r="E904" s="37" t="str">
        <x:v>goal=1; familiar transition=0→1 addition</x:v>
      </x:c>
      <x:c r="F904" s="37" t="str">
        <x:v>count_goal_1_seen_add</x:v>
      </x:c>
      <x:c r="G904" s="37" t="str">
        <x:v>goal one via removal (2→1); goal three via addition (2→3)</x:v>
      </x:c>
      <x:c r="H904" s="37" t="str">
        <x:v>Yes</x:v>
      </x:c>
      <x:c r="I904" s="37" t="str">
        <x:v>Replace prompt only</x:v>
      </x:c>
      <x:c r="J904" s="37" t="str">
        <x:v>Prompt-only relabeling; preserve episode 902 video, scene, trajectory, target, and start position.</x:v>
      </x:c>
      <x:c r="K904" s="37" t="str">
        <x:v>green pencil sharpener, yellow block</x:v>
      </x:c>
      <x:c r="L904" s="37" t="str">
        <x:v>green pencil sharpener</x:v>
      </x:c>
      <x:c r="M904" s="37" t="str">
        <x:v>Home</x:v>
      </x:c>
      <x:c r="N904" s="37" t="str">
        <x:v>Pick up the green pencil sharpener and place it in the bowl.</x:v>
      </x:c>
      <x:c r="O904" s="37" t="str"/>
      <x:c r="P904" s="37" t="str">
        <x:v>The word one is explicitly trained through addition, while one-through-removal is withheld.</x:v>
      </x:c>
      <x:c r="Q904" s="38"/>
    </x:row>
    <x:row r="905" ht="60" customHeight="1">
      <x:c r="A905" s="70" t="n">
        <x:v>903</x:v>
      </x:c>
      <x:c r="B905" s="37" t="str">
        <x:v>Counting</x:v>
      </x:c>
      <x:c r="C905" s="37" t="str">
        <x:v>Leave exactly one object in the bowl.</x:v>
      </x:c>
      <x:c r="D905" s="37" t="str">
        <x:v>Explicit goal-count grounding</x:v>
      </x:c>
      <x:c r="E905" s="37" t="str">
        <x:v>goal=1; familiar transition=0→1 addition</x:v>
      </x:c>
      <x:c r="F905" s="37" t="str">
        <x:v>count_goal_1_seen_add</x:v>
      </x:c>
      <x:c r="G905" s="37" t="str">
        <x:v>goal one via removal (2→1); goal three via addition (2→3)</x:v>
      </x:c>
      <x:c r="H905" s="37" t="str">
        <x:v>Yes</x:v>
      </x:c>
      <x:c r="I905" s="37" t="str">
        <x:v>Replace prompt only</x:v>
      </x:c>
      <x:c r="J905" s="37" t="str">
        <x:v>Prompt-only relabeling; preserve episode 903 video, scene, trajectory, target, and start position.</x:v>
      </x:c>
      <x:c r="K905" s="37" t="str">
        <x:v>green pencil sharpener, airplane toy without propellers, yellow block</x:v>
      </x:c>
      <x:c r="L905" s="37" t="str">
        <x:v>green pencil sharpener</x:v>
      </x:c>
      <x:c r="M905" s="37" t="str">
        <x:v>Post-Drop</x:v>
      </x:c>
      <x:c r="N905" s="37" t="str">
        <x:v>Put the green pencil sharpener in the bowl.</x:v>
      </x:c>
      <x:c r="O905" s="37" t="str"/>
      <x:c r="P905" s="37" t="str">
        <x:v>The word one is explicitly trained through addition, while one-through-removal is withheld.</x:v>
      </x:c>
      <x:c r="Q905" s="38"/>
    </x:row>
    <x:row r="906" ht="60" customHeight="1">
      <x:c r="A906" s="70" t="n">
        <x:v>904</x:v>
      </x:c>
      <x:c r="B906" s="37" t="str">
        <x:v>Counting</x:v>
      </x:c>
      <x:c r="C906" s="37" t="str">
        <x:v>Leave exactly one object in the bowl.</x:v>
      </x:c>
      <x:c r="D906" s="37" t="str">
        <x:v>Explicit goal-count grounding</x:v>
      </x:c>
      <x:c r="E906" s="37" t="str">
        <x:v>goal=1; familiar transition=0→1 addition</x:v>
      </x:c>
      <x:c r="F906" s="37" t="str">
        <x:v>count_goal_1_seen_add</x:v>
      </x:c>
      <x:c r="G906" s="37" t="str">
        <x:v>goal one via removal (2→1); goal three via addition (2→3)</x:v>
      </x:c>
      <x:c r="H906" s="37" t="str">
        <x:v>Yes</x:v>
      </x:c>
      <x:c r="I906" s="37" t="str">
        <x:v>Replace prompt only</x:v>
      </x:c>
      <x:c r="J906" s="37" t="str">
        <x:v>Prompt-only relabeling; preserve episode 904 video, scene, trajectory, target, and start position.</x:v>
      </x:c>
      <x:c r="K906" s="37" t="str">
        <x:v>green pencil sharpener, blue pen</x:v>
      </x:c>
      <x:c r="L906" s="37" t="str">
        <x:v>green pencil sharpener</x:v>
      </x:c>
      <x:c r="M906" s="37" t="str">
        <x:v>Post-Drop</x:v>
      </x:c>
      <x:c r="N906" s="37" t="str">
        <x:v>Put the green pencil sharpener in the bowl.</x:v>
      </x:c>
      <x:c r="O906" s="37" t="str"/>
      <x:c r="P906" s="37" t="str">
        <x:v>The word one is explicitly trained through addition, while one-through-removal is withheld.</x:v>
      </x:c>
      <x:c r="Q906" s="38"/>
    </x:row>
    <x:row r="907" ht="60" customHeight="1">
      <x:c r="A907" s="70" t="n">
        <x:v>905</x:v>
      </x:c>
      <x:c r="B907" s="37" t="str">
        <x:v>Counting</x:v>
      </x:c>
      <x:c r="C907" s="37" t="str">
        <x:v>Leave exactly one object in the bowl.</x:v>
      </x:c>
      <x:c r="D907" s="37" t="str">
        <x:v>Explicit goal-count grounding</x:v>
      </x:c>
      <x:c r="E907" s="37" t="str">
        <x:v>goal=1; familiar transition=0→1 addition</x:v>
      </x:c>
      <x:c r="F907" s="37" t="str">
        <x:v>count_goal_1_seen_add</x:v>
      </x:c>
      <x:c r="G907" s="37" t="str">
        <x:v>goal one via removal (2→1); goal three via addition (2→3)</x:v>
      </x:c>
      <x:c r="H907" s="37" t="str">
        <x:v>Yes</x:v>
      </x:c>
      <x:c r="I907" s="37" t="str">
        <x:v>Replace prompt only</x:v>
      </x:c>
      <x:c r="J907" s="37" t="str">
        <x:v>Prompt-only relabeling; preserve episode 905 video, scene, trajectory, target, and start position.</x:v>
      </x:c>
      <x:c r="K907" s="37" t="str">
        <x:v>green pencil sharpener, airplane toy without propellers</x:v>
      </x:c>
      <x:c r="L907" s="37" t="str">
        <x:v>green pencil sharpener</x:v>
      </x:c>
      <x:c r="M907" s="37" t="str">
        <x:v>Post-Drop</x:v>
      </x:c>
      <x:c r="N907" s="37" t="str">
        <x:v>Put the green pencil sharpener in the bowl.</x:v>
      </x:c>
      <x:c r="O907" s="37" t="str"/>
      <x:c r="P907" s="37" t="str">
        <x:v>The word one is explicitly trained through addition, while one-through-removal is withheld.</x:v>
      </x:c>
      <x:c r="Q907" s="38"/>
    </x:row>
    <x:row r="908" ht="60" customHeight="1">
      <x:c r="A908" s="70" t="n">
        <x:v>906</x:v>
      </x:c>
      <x:c r="B908" s="37" t="str">
        <x:v>Counting</x:v>
      </x:c>
      <x:c r="C908" s="37" t="str">
        <x:v>Leave exactly one object in the bowl.</x:v>
      </x:c>
      <x:c r="D908" s="37" t="str">
        <x:v>Explicit goal-count grounding</x:v>
      </x:c>
      <x:c r="E908" s="37" t="str">
        <x:v>goal=1; familiar transition=0→1 addition</x:v>
      </x:c>
      <x:c r="F908" s="37" t="str">
        <x:v>count_goal_1_seen_add</x:v>
      </x:c>
      <x:c r="G908" s="37" t="str">
        <x:v>goal one via removal (2→1); goal three via addition (2→3)</x:v>
      </x:c>
      <x:c r="H908" s="37" t="str">
        <x:v>Yes</x:v>
      </x:c>
      <x:c r="I908" s="37" t="str">
        <x:v>Replace prompt only</x:v>
      </x:c>
      <x:c r="J908" s="37" t="str">
        <x:v>Prompt-only relabeling; preserve episode 906 video, scene, trajectory, target, and start position.</x:v>
      </x:c>
      <x:c r="K908" s="37" t="str">
        <x:v>green pencil sharpener, blue pen, yellow block</x:v>
      </x:c>
      <x:c r="L908" s="37" t="str">
        <x:v>green pencil sharpener</x:v>
      </x:c>
      <x:c r="M908" s="37" t="str">
        <x:v>Recovery</x:v>
      </x:c>
      <x:c r="N908" s="37" t="str">
        <x:v>Move the green pencil sharpener into the bowl.</x:v>
      </x:c>
      <x:c r="O908" s="37" t="str"/>
      <x:c r="P908" s="37" t="str">
        <x:v>The word one is explicitly trained through addition, while one-through-removal is withheld.</x:v>
      </x:c>
      <x:c r="Q908" s="38"/>
    </x:row>
    <x:row r="909" ht="60" customHeight="1">
      <x:c r="A909" s="70" t="n">
        <x:v>907</x:v>
      </x:c>
      <x:c r="B909" s="37" t="str">
        <x:v>Counting</x:v>
      </x:c>
      <x:c r="C909" s="37" t="str">
        <x:v>Leave exactly one object in the bowl.</x:v>
      </x:c>
      <x:c r="D909" s="37" t="str">
        <x:v>Explicit goal-count grounding</x:v>
      </x:c>
      <x:c r="E909" s="37" t="str">
        <x:v>goal=1; familiar transition=0→1 addition</x:v>
      </x:c>
      <x:c r="F909" s="37" t="str">
        <x:v>count_goal_1_seen_add</x:v>
      </x:c>
      <x:c r="G909" s="37" t="str">
        <x:v>goal one via removal (2→1); goal three via addition (2→3)</x:v>
      </x:c>
      <x:c r="H909" s="37" t="str">
        <x:v>Yes</x:v>
      </x:c>
      <x:c r="I909" s="37" t="str">
        <x:v>Replace prompt only</x:v>
      </x:c>
      <x:c r="J909" s="37" t="str">
        <x:v>Prompt-only relabeling; preserve episode 907 video, scene, trajectory, target, and start position.</x:v>
      </x:c>
      <x:c r="K909" s="37" t="str">
        <x:v>green pencil sharpener</x:v>
      </x:c>
      <x:c r="L909" s="37" t="str">
        <x:v>green pencil sharpener</x:v>
      </x:c>
      <x:c r="M909" s="37" t="str">
        <x:v>Recovery</x:v>
      </x:c>
      <x:c r="N909" s="37" t="str">
        <x:v>Pick up the green pencil sharpener and place it in the bowl.</x:v>
      </x:c>
      <x:c r="O909" s="37" t="str"/>
      <x:c r="P909" s="37" t="str">
        <x:v>The word one is explicitly trained through addition, while one-through-removal is withheld.</x:v>
      </x:c>
      <x:c r="Q909" s="38"/>
    </x:row>
    <x:row r="910" ht="60" customHeight="1">
      <x:c r="A910" s="70" t="n">
        <x:v>908</x:v>
      </x:c>
      <x:c r="B910" s="37" t="str">
        <x:v>Counting</x:v>
      </x:c>
      <x:c r="C910" s="37" t="str">
        <x:v>Leave exactly two objects in the bowl.</x:v>
      </x:c>
      <x:c r="D910" s="37" t="str">
        <x:v>Explicit goal-count grounding</x:v>
      </x:c>
      <x:c r="E910" s="37" t="str">
        <x:v>goal=2; in-distribution anchor</x:v>
      </x:c>
      <x:c r="F910" s="37" t="str">
        <x:v>count_goal_2_explicit_anchor</x:v>
      </x:c>
      <x:c r="G910" s="37" t="str">
        <x:v>goal one via removal (2→1); goal three via addition (2→3)</x:v>
      </x:c>
      <x:c r="H910" s="37" t="str">
        <x:v>No</x:v>
      </x:c>
      <x:c r="I910" s="37" t="str">
        <x:v>Keep prompt</x:v>
      </x:c>
      <x:c r="J910" s="37" t="str">
        <x:v>No prompt change required under the missing-cell design.</x:v>
      </x:c>
      <x:c r="K910" s="37" t="str">
        <x:v>airplane toy without propellers, green pencil sharpener, blue pen, yellow block</x:v>
      </x:c>
      <x:c r="L910" s="37" t="str">
        <x:v>green pencil sharpener</x:v>
      </x:c>
      <x:c r="M910" s="37" t="str">
        <x:v>Home</x:v>
      </x:c>
      <x:c r="N910" s="37" t="str">
        <x:v>Leave exactly two objects in the bowl.</x:v>
      </x:c>
      <x:c r="O910" s="37" t="str"/>
      <x:c r="P910" s="37" t="str">
        <x:v>Explicitly grounds final count 2 as an in-distribution counting anchor.</x:v>
      </x:c>
      <x:c r="Q910" s="38"/>
    </x:row>
    <x:row r="911" ht="60" customHeight="1">
      <x:c r="A911" s="70" t="n">
        <x:v>909</x:v>
      </x:c>
      <x:c r="B911" s="37" t="str">
        <x:v>Counting</x:v>
      </x:c>
      <x:c r="C911" s="37" t="str">
        <x:v>Adjust the bowl so that it contains two objects.</x:v>
      </x:c>
      <x:c r="D911" s="37" t="str">
        <x:v>Explicit goal-count grounding</x:v>
      </x:c>
      <x:c r="E911" s="37" t="str">
        <x:v>goal=2; in-distribution anchor</x:v>
      </x:c>
      <x:c r="F911" s="37" t="str">
        <x:v>count_goal_2_explicit_anchor</x:v>
      </x:c>
      <x:c r="G911" s="37" t="str">
        <x:v>goal one via removal (2→1); goal three via addition (2→3)</x:v>
      </x:c>
      <x:c r="H911" s="37" t="str">
        <x:v>No</x:v>
      </x:c>
      <x:c r="I911" s="37" t="str">
        <x:v>Keep prompt</x:v>
      </x:c>
      <x:c r="J911" s="37" t="str">
        <x:v>No prompt change required under the missing-cell design.</x:v>
      </x:c>
      <x:c r="K911" s="37" t="str">
        <x:v>blue pen, green pencil sharpener, airplane toy without propellers</x:v>
      </x:c>
      <x:c r="L911" s="37" t="str">
        <x:v>green pencil sharpener</x:v>
      </x:c>
      <x:c r="M911" s="37" t="str">
        <x:v>Home</x:v>
      </x:c>
      <x:c r="N911" s="37" t="str">
        <x:v>Adjust the bowl so that it contains two objects.</x:v>
      </x:c>
      <x:c r="O911" s="37" t="str"/>
      <x:c r="P911" s="37" t="str">
        <x:v>Explicitly grounds final count 2 as an in-distribution counting anchor.</x:v>
      </x:c>
      <x:c r="Q911" s="38"/>
    </x:row>
    <x:row r="912" ht="60" customHeight="1">
      <x:c r="A912" s="70" t="n">
        <x:v>910</x:v>
      </x:c>
      <x:c r="B912" s="37" t="str">
        <x:v>Counting</x:v>
      </x:c>
      <x:c r="C912" s="37" t="str">
        <x:v>Adjust the bowl so that it contains two objects.</x:v>
      </x:c>
      <x:c r="D912" s="37" t="str">
        <x:v>Explicit goal-count grounding</x:v>
      </x:c>
      <x:c r="E912" s="37" t="str">
        <x:v>goal=2; in-distribution anchor</x:v>
      </x:c>
      <x:c r="F912" s="37" t="str">
        <x:v>count_goal_2_explicit_anchor</x:v>
      </x:c>
      <x:c r="G912" s="37" t="str">
        <x:v>goal one via removal (2→1); goal three via addition (2→3)</x:v>
      </x:c>
      <x:c r="H912" s="37" t="str">
        <x:v>No</x:v>
      </x:c>
      <x:c r="I912" s="37" t="str">
        <x:v>Keep prompt</x:v>
      </x:c>
      <x:c r="J912" s="37" t="str">
        <x:v>No prompt change required under the missing-cell design.</x:v>
      </x:c>
      <x:c r="K912" s="37" t="str">
        <x:v>yellow block, green pencil sharpener, blue pen</x:v>
      </x:c>
      <x:c r="L912" s="37" t="str">
        <x:v>green pencil sharpener</x:v>
      </x:c>
      <x:c r="M912" s="37" t="str">
        <x:v>Home</x:v>
      </x:c>
      <x:c r="N912" s="37" t="str">
        <x:v>Adjust the bowl so that it contains two objects.</x:v>
      </x:c>
      <x:c r="O912" s="37" t="str"/>
      <x:c r="P912" s="37" t="str">
        <x:v>Explicitly grounds final count 2 as an in-distribution counting anchor.</x:v>
      </x:c>
      <x:c r="Q912" s="38"/>
    </x:row>
    <x:row r="913" ht="60" customHeight="1">
      <x:c r="A913" s="70" t="n">
        <x:v>911</x:v>
      </x:c>
      <x:c r="B913" s="37" t="str">
        <x:v>Counting</x:v>
      </x:c>
      <x:c r="C913" s="37" t="str">
        <x:v>Leave exactly two objects in the bowl.</x:v>
      </x:c>
      <x:c r="D913" s="37" t="str">
        <x:v>Explicit goal-count grounding</x:v>
      </x:c>
      <x:c r="E913" s="37" t="str">
        <x:v>goal=2; in-distribution anchor</x:v>
      </x:c>
      <x:c r="F913" s="37" t="str">
        <x:v>count_goal_2_explicit_anchor</x:v>
      </x:c>
      <x:c r="G913" s="37" t="str">
        <x:v>goal one via removal (2→1); goal three via addition (2→3)</x:v>
      </x:c>
      <x:c r="H913" s="37" t="str">
        <x:v>No</x:v>
      </x:c>
      <x:c r="I913" s="37" t="str">
        <x:v>Keep prompt</x:v>
      </x:c>
      <x:c r="J913" s="37" t="str">
        <x:v>No prompt change required under the missing-cell design.</x:v>
      </x:c>
      <x:c r="K913" s="37" t="str">
        <x:v>airplane toy without propellers, green pencil sharpener, blue pen, yellow block</x:v>
      </x:c>
      <x:c r="L913" s="37" t="str">
        <x:v>green pencil sharpener</x:v>
      </x:c>
      <x:c r="M913" s="37" t="str">
        <x:v>Post-Drop</x:v>
      </x:c>
      <x:c r="N913" s="37" t="str">
        <x:v>Leave exactly two objects in the bowl.</x:v>
      </x:c>
      <x:c r="O913" s="37" t="str"/>
      <x:c r="P913" s="37" t="str">
        <x:v>Explicitly grounds final count 2 as an in-distribution counting anchor.</x:v>
      </x:c>
      <x:c r="Q913" s="38"/>
    </x:row>
    <x:row r="914" ht="60" customHeight="1">
      <x:c r="A914" s="70" t="n">
        <x:v>912</x:v>
      </x:c>
      <x:c r="B914" s="37" t="str">
        <x:v>Counting</x:v>
      </x:c>
      <x:c r="C914" s="37" t="str">
        <x:v>Leave exactly two objects in the bowl.</x:v>
      </x:c>
      <x:c r="D914" s="37" t="str">
        <x:v>Explicit goal-count grounding</x:v>
      </x:c>
      <x:c r="E914" s="37" t="str">
        <x:v>goal=2; in-distribution anchor</x:v>
      </x:c>
      <x:c r="F914" s="37" t="str">
        <x:v>count_goal_2_explicit_anchor</x:v>
      </x:c>
      <x:c r="G914" s="37" t="str">
        <x:v>goal one via removal (2→1); goal three via addition (2→3)</x:v>
      </x:c>
      <x:c r="H914" s="37" t="str">
        <x:v>No</x:v>
      </x:c>
      <x:c r="I914" s="37" t="str">
        <x:v>Keep prompt</x:v>
      </x:c>
      <x:c r="J914" s="37" t="str">
        <x:v>No prompt change required under the missing-cell design.</x:v>
      </x:c>
      <x:c r="K914" s="37" t="str">
        <x:v>blue pen, green pencil sharpener, yellow block</x:v>
      </x:c>
      <x:c r="L914" s="37" t="str">
        <x:v>green pencil sharpener</x:v>
      </x:c>
      <x:c r="M914" s="37" t="str">
        <x:v>Post-Drop</x:v>
      </x:c>
      <x:c r="N914" s="37" t="str">
        <x:v>Leave exactly two objects in the bowl.</x:v>
      </x:c>
      <x:c r="O914" s="37" t="str"/>
      <x:c r="P914" s="37" t="str">
        <x:v>Explicitly grounds final count 2 as an in-distribution counting anchor.</x:v>
      </x:c>
      <x:c r="Q914" s="38"/>
    </x:row>
    <x:row r="915" ht="60" customHeight="1">
      <x:c r="A915" s="70" t="n">
        <x:v>913</x:v>
      </x:c>
      <x:c r="B915" s="37" t="str">
        <x:v>Counting</x:v>
      </x:c>
      <x:c r="C915" s="37" t="str">
        <x:v>Make the bowl contain exactly two objects.</x:v>
      </x:c>
      <x:c r="D915" s="37" t="str">
        <x:v>Explicit goal-count grounding</x:v>
      </x:c>
      <x:c r="E915" s="37" t="str">
        <x:v>goal=2; in-distribution anchor</x:v>
      </x:c>
      <x:c r="F915" s="37" t="str">
        <x:v>count_goal_2_explicit_anchor</x:v>
      </x:c>
      <x:c r="G915" s="37" t="str">
        <x:v>goal one via removal (2→1); goal three via addition (2→3)</x:v>
      </x:c>
      <x:c r="H915" s="37" t="str">
        <x:v>No</x:v>
      </x:c>
      <x:c r="I915" s="37" t="str">
        <x:v>Keep prompt</x:v>
      </x:c>
      <x:c r="J915" s="37" t="str">
        <x:v>No prompt change required under the missing-cell design.</x:v>
      </x:c>
      <x:c r="K915" s="37" t="str">
        <x:v>yellow block, green pencil sharpener, airplane toy without propellers</x:v>
      </x:c>
      <x:c r="L915" s="37" t="str">
        <x:v>green pencil sharpener</x:v>
      </x:c>
      <x:c r="M915" s="37" t="str">
        <x:v>Post-Drop</x:v>
      </x:c>
      <x:c r="N915" s="37" t="str">
        <x:v>Make the bowl contain exactly two objects.</x:v>
      </x:c>
      <x:c r="O915" s="37" t="str"/>
      <x:c r="P915" s="37" t="str">
        <x:v>Explicitly grounds final count 2 as an in-distribution counting anchor.</x:v>
      </x:c>
      <x:c r="Q915" s="38"/>
    </x:row>
    <x:row r="916" ht="60" customHeight="1">
      <x:c r="A916" s="70" t="n">
        <x:v>914</x:v>
      </x:c>
      <x:c r="B916" s="37" t="str">
        <x:v>Counting</x:v>
      </x:c>
      <x:c r="C916" s="37" t="str">
        <x:v>Adjust the bowl so that it contains two objects.</x:v>
      </x:c>
      <x:c r="D916" s="37" t="str">
        <x:v>Explicit goal-count grounding</x:v>
      </x:c>
      <x:c r="E916" s="37" t="str">
        <x:v>goal=2; in-distribution anchor</x:v>
      </x:c>
      <x:c r="F916" s="37" t="str">
        <x:v>count_goal_2_explicit_anchor</x:v>
      </x:c>
      <x:c r="G916" s="37" t="str">
        <x:v>goal one via removal (2→1); goal three via addition (2→3)</x:v>
      </x:c>
      <x:c r="H916" s="37" t="str">
        <x:v>No</x:v>
      </x:c>
      <x:c r="I916" s="37" t="str">
        <x:v>Keep prompt</x:v>
      </x:c>
      <x:c r="J916" s="37" t="str">
        <x:v>No prompt change required under the missing-cell design.</x:v>
      </x:c>
      <x:c r="K916" s="37" t="str">
        <x:v>blue pen, green pencil sharpener, yellow block</x:v>
      </x:c>
      <x:c r="L916" s="37" t="str">
        <x:v>green pencil sharpener</x:v>
      </x:c>
      <x:c r="M916" s="37" t="str">
        <x:v>Recovery</x:v>
      </x:c>
      <x:c r="N916" s="37" t="str">
        <x:v>Adjust the bowl so that it contains two objects.</x:v>
      </x:c>
      <x:c r="O916" s="37" t="str"/>
      <x:c r="P916" s="37" t="str">
        <x:v>Explicitly grounds final count 2 as an in-distribution counting anchor.</x:v>
      </x:c>
      <x:c r="Q916" s="38"/>
    </x:row>
    <x:row r="917" ht="60" customHeight="1">
      <x:c r="A917" s="70" t="n">
        <x:v>915</x:v>
      </x:c>
      <x:c r="B917" s="37" t="str">
        <x:v>Counting</x:v>
      </x:c>
      <x:c r="C917" s="37" t="str">
        <x:v>Leave exactly two objects in the bowl.</x:v>
      </x:c>
      <x:c r="D917" s="37" t="str">
        <x:v>Explicit goal-count grounding</x:v>
      </x:c>
      <x:c r="E917" s="37" t="str">
        <x:v>goal=2; in-distribution anchor</x:v>
      </x:c>
      <x:c r="F917" s="37" t="str">
        <x:v>count_goal_2_explicit_anchor</x:v>
      </x:c>
      <x:c r="G917" s="37" t="str">
        <x:v>goal one via removal (2→1); goal three via addition (2→3)</x:v>
      </x:c>
      <x:c r="H917" s="37" t="str">
        <x:v>No</x:v>
      </x:c>
      <x:c r="I917" s="37" t="str">
        <x:v>Keep prompt</x:v>
      </x:c>
      <x:c r="J917" s="37" t="str">
        <x:v>No prompt change required under the missing-cell design.</x:v>
      </x:c>
      <x:c r="K917" s="37" t="str">
        <x:v>airplane toy without propellers, green pencil sharpener</x:v>
      </x:c>
      <x:c r="L917" s="37" t="str">
        <x:v>green pencil sharpener</x:v>
      </x:c>
      <x:c r="M917" s="37" t="str">
        <x:v>Recovery</x:v>
      </x:c>
      <x:c r="N917" s="37" t="str">
        <x:v>Leave exactly two objects in the bowl.</x:v>
      </x:c>
      <x:c r="O917" s="37" t="str"/>
      <x:c r="P917" s="37" t="str">
        <x:v>Explicitly grounds final count 2 as an in-distribution counting anchor.</x:v>
      </x:c>
      <x:c r="Q917" s="38"/>
    </x:row>
    <x:row r="918" ht="60" customHeight="1">
      <x:c r="A918" s="70" t="n">
        <x:v>916</x:v>
      </x:c>
      <x:c r="B918" s="37" t="str">
        <x:v>Counting</x:v>
      </x:c>
      <x:c r="C918" s="37" t="str">
        <x:v>Put the green pencil sharpener in the bowl.</x:v>
      </x:c>
      <x:c r="D918" s="37" t="str">
        <x:v>Masked goal-count × transition composition</x:v>
      </x:c>
      <x:c r="E918" s="37" t="str">
        <x:v>direct addition of green pencil sharpener; hidden goal=3; transition=2→3</x:v>
      </x:c>
      <x:c r="F918" s="37" t="str">
        <x:v>count_goal_3_add_masked</x:v>
      </x:c>
      <x:c r="G918" s="37" t="str">
        <x:v>goal one via removal (2→1); goal three via addition (2→3)</x:v>
      </x:c>
      <x:c r="H918" s="37" t="str">
        <x:v>No</x:v>
      </x:c>
      <x:c r="I918" s="37" t="str">
        <x:v>Keep prompt</x:v>
      </x:c>
      <x:c r="J918" s="37" t="str">
        <x:v>No prompt change required under the missing-cell design.</x:v>
      </x:c>
      <x:c r="K918" s="37" t="str">
        <x:v>airplane toy without propellers, blue pen, green pencil sharpener, yellow block</x:v>
      </x:c>
      <x:c r="L918" s="37" t="str">
        <x:v>green pencil sharpener</x:v>
      </x:c>
      <x:c r="M918" s="37" t="str">
        <x:v>Home</x:v>
      </x:c>
      <x:c r="N918" s="37" t="str">
        <x:v>Put the green pencil sharpener in the bowl.</x:v>
      </x:c>
      <x:c r="O918" s="37" t="str">
        <x:v>Leave exactly three objects in the bowl.</x:v>
      </x:c>
      <x:c r="P918" s="37" t="str">
        <x:v>The exact 2→3 motor transition is trained with a direct instruction, but the goal-count instruction is withheld.</x:v>
      </x:c>
      <x:c r="Q918" s="38"/>
    </x:row>
    <x:row r="919" ht="60" customHeight="1">
      <x:c r="A919" s="70" t="n">
        <x:v>917</x:v>
      </x:c>
      <x:c r="B919" s="37" t="str">
        <x:v>Counting</x:v>
      </x:c>
      <x:c r="C919" s="37" t="str">
        <x:v>Move the green pencil sharpener into the bowl.</x:v>
      </x:c>
      <x:c r="D919" s="37" t="str">
        <x:v>Masked goal-count × transition composition</x:v>
      </x:c>
      <x:c r="E919" s="37" t="str">
        <x:v>direct addition of green pencil sharpener; hidden goal=3; transition=2→3</x:v>
      </x:c>
      <x:c r="F919" s="37" t="str">
        <x:v>count_goal_3_add_masked</x:v>
      </x:c>
      <x:c r="G919" s="37" t="str">
        <x:v>goal one via removal (2→1); goal three via addition (2→3)</x:v>
      </x:c>
      <x:c r="H919" s="37" t="str">
        <x:v>No</x:v>
      </x:c>
      <x:c r="I919" s="37" t="str">
        <x:v>Keep prompt</x:v>
      </x:c>
      <x:c r="J919" s="37" t="str">
        <x:v>No prompt change required under the missing-cell design.</x:v>
      </x:c>
      <x:c r="K919" s="37" t="str">
        <x:v>blue pen, yellow block, green pencil sharpener, airplane toy without propellers</x:v>
      </x:c>
      <x:c r="L919" s="37" t="str">
        <x:v>green pencil sharpener</x:v>
      </x:c>
      <x:c r="M919" s="37" t="str">
        <x:v>Home</x:v>
      </x:c>
      <x:c r="N919" s="37" t="str">
        <x:v>Move the green pencil sharpener into the bowl.</x:v>
      </x:c>
      <x:c r="O919" s="37" t="str">
        <x:v>Leave exactly three objects in the bowl.</x:v>
      </x:c>
      <x:c r="P919" s="37" t="str">
        <x:v>The exact 2→3 motor transition is trained with a direct instruction, but the goal-count instruction is withheld.</x:v>
      </x:c>
      <x:c r="Q919" s="38"/>
    </x:row>
    <x:row r="920" ht="60" customHeight="1">
      <x:c r="A920" s="70" t="n">
        <x:v>918</x:v>
      </x:c>
      <x:c r="B920" s="37" t="str">
        <x:v>Counting</x:v>
      </x:c>
      <x:c r="C920" s="37" t="str">
        <x:v>Pick up the green pencil sharpener and place it in the bowl.</x:v>
      </x:c>
      <x:c r="D920" s="37" t="str">
        <x:v>Masked goal-count × transition composition</x:v>
      </x:c>
      <x:c r="E920" s="37" t="str">
        <x:v>direct addition of green pencil sharpener; hidden goal=3; transition=2→3</x:v>
      </x:c>
      <x:c r="F920" s="37" t="str">
        <x:v>count_goal_3_add_masked</x:v>
      </x:c>
      <x:c r="G920" s="37" t="str">
        <x:v>goal one via removal (2→1); goal three via addition (2→3)</x:v>
      </x:c>
      <x:c r="H920" s="37" t="str">
        <x:v>No</x:v>
      </x:c>
      <x:c r="I920" s="37" t="str">
        <x:v>Keep prompt</x:v>
      </x:c>
      <x:c r="J920" s="37" t="str">
        <x:v>No prompt change required under the missing-cell design.</x:v>
      </x:c>
      <x:c r="K920" s="37" t="str">
        <x:v>airplane toy without propellers, yellow block, green pencil sharpener, blue pen</x:v>
      </x:c>
      <x:c r="L920" s="37" t="str">
        <x:v>green pencil sharpener</x:v>
      </x:c>
      <x:c r="M920" s="37" t="str">
        <x:v>Home</x:v>
      </x:c>
      <x:c r="N920" s="37" t="str">
        <x:v>Pick up the green pencil sharpener and place it in the bowl.</x:v>
      </x:c>
      <x:c r="O920" s="37" t="str">
        <x:v>Leave exactly three objects in the bowl.</x:v>
      </x:c>
      <x:c r="P920" s="37" t="str">
        <x:v>The exact 2→3 motor transition is trained with a direct instruction, but the goal-count instruction is withheld.</x:v>
      </x:c>
      <x:c r="Q920" s="38"/>
    </x:row>
    <x:row r="921" ht="60" customHeight="1">
      <x:c r="A921" s="70" t="n">
        <x:v>919</x:v>
      </x:c>
      <x:c r="B921" s="37" t="str">
        <x:v>Counting</x:v>
      </x:c>
      <x:c r="C921" s="37" t="str">
        <x:v>Move the green pencil sharpener into the bowl.</x:v>
      </x:c>
      <x:c r="D921" s="37" t="str">
        <x:v>Masked goal-count × transition composition</x:v>
      </x:c>
      <x:c r="E921" s="37" t="str">
        <x:v>direct addition of green pencil sharpener; hidden goal=3; transition=2→3</x:v>
      </x:c>
      <x:c r="F921" s="37" t="str">
        <x:v>count_goal_3_add_masked</x:v>
      </x:c>
      <x:c r="G921" s="37" t="str">
        <x:v>goal one via removal (2→1); goal three via addition (2→3)</x:v>
      </x:c>
      <x:c r="H921" s="37" t="str">
        <x:v>No</x:v>
      </x:c>
      <x:c r="I921" s="37" t="str">
        <x:v>Keep prompt</x:v>
      </x:c>
      <x:c r="J921" s="37" t="str">
        <x:v>No prompt change required under the missing-cell design.</x:v>
      </x:c>
      <x:c r="K921" s="37" t="str">
        <x:v>airplane toy without propellers, blue pen, green pencil sharpener</x:v>
      </x:c>
      <x:c r="L921" s="37" t="str">
        <x:v>green pencil sharpener</x:v>
      </x:c>
      <x:c r="M921" s="37" t="str">
        <x:v>Home</x:v>
      </x:c>
      <x:c r="N921" s="37" t="str">
        <x:v>Move the green pencil sharpener into the bowl.</x:v>
      </x:c>
      <x:c r="O921" s="37" t="str">
        <x:v>Leave exactly three objects in the bowl.</x:v>
      </x:c>
      <x:c r="P921" s="37" t="str">
        <x:v>The exact 2→3 motor transition is trained with a direct instruction, but the goal-count instruction is withheld.</x:v>
      </x:c>
      <x:c r="Q921" s="38"/>
    </x:row>
    <x:row r="922" ht="60" customHeight="1">
      <x:c r="A922" s="70" t="n">
        <x:v>920</x:v>
      </x:c>
      <x:c r="B922" s="37" t="str">
        <x:v>Counting</x:v>
      </x:c>
      <x:c r="C922" s="37" t="str">
        <x:v>Move the green pencil sharpener into the bowl.</x:v>
      </x:c>
      <x:c r="D922" s="37" t="str">
        <x:v>Masked goal-count × transition composition</x:v>
      </x:c>
      <x:c r="E922" s="37" t="str">
        <x:v>direct addition of green pencil sharpener; hidden goal=3; transition=2→3</x:v>
      </x:c>
      <x:c r="F922" s="37" t="str">
        <x:v>count_goal_3_add_masked</x:v>
      </x:c>
      <x:c r="G922" s="37" t="str">
        <x:v>goal one via removal (2→1); goal three via addition (2→3)</x:v>
      </x:c>
      <x:c r="H922" s="37" t="str">
        <x:v>No</x:v>
      </x:c>
      <x:c r="I922" s="37" t="str">
        <x:v>Keep prompt</x:v>
      </x:c>
      <x:c r="J922" s="37" t="str">
        <x:v>No prompt change required under the missing-cell design.</x:v>
      </x:c>
      <x:c r="K922" s="37" t="str">
        <x:v>blue pen, yellow block, green pencil sharpener, airplane toy without propellers</x:v>
      </x:c>
      <x:c r="L922" s="37" t="str">
        <x:v>green pencil sharpener</x:v>
      </x:c>
      <x:c r="M922" s="37" t="str">
        <x:v>Post-Drop</x:v>
      </x:c>
      <x:c r="N922" s="37" t="str">
        <x:v>Move the green pencil sharpener into the bowl.</x:v>
      </x:c>
      <x:c r="O922" s="37" t="str">
        <x:v>Leave exactly three objects in the bowl.</x:v>
      </x:c>
      <x:c r="P922" s="37" t="str">
        <x:v>The exact 2→3 motor transition is trained with a direct instruction, but the goal-count instruction is withheld.</x:v>
      </x:c>
      <x:c r="Q922" s="38"/>
    </x:row>
    <x:row r="923" ht="60" customHeight="1">
      <x:c r="A923" s="70" t="n">
        <x:v>921</x:v>
      </x:c>
      <x:c r="B923" s="37" t="str">
        <x:v>Counting</x:v>
      </x:c>
      <x:c r="C923" s="37" t="str">
        <x:v>Put the green pencil sharpener in the bowl.</x:v>
      </x:c>
      <x:c r="D923" s="37" t="str">
        <x:v>Masked goal-count × transition composition</x:v>
      </x:c>
      <x:c r="E923" s="37" t="str">
        <x:v>direct addition of green pencil sharpener; hidden goal=3; transition=2→3</x:v>
      </x:c>
      <x:c r="F923" s="37" t="str">
        <x:v>count_goal_3_add_masked</x:v>
      </x:c>
      <x:c r="G923" s="37" t="str">
        <x:v>goal one via removal (2→1); goal three via addition (2→3)</x:v>
      </x:c>
      <x:c r="H923" s="37" t="str">
        <x:v>No</x:v>
      </x:c>
      <x:c r="I923" s="37" t="str">
        <x:v>Keep prompt</x:v>
      </x:c>
      <x:c r="J923" s="37" t="str">
        <x:v>No prompt change required under the missing-cell design.</x:v>
      </x:c>
      <x:c r="K923" s="37" t="str">
        <x:v>airplane toy without propellers, yellow block, green pencil sharpener, blue pen</x:v>
      </x:c>
      <x:c r="L923" s="37" t="str">
        <x:v>green pencil sharpener</x:v>
      </x:c>
      <x:c r="M923" s="37" t="str">
        <x:v>Post-Drop</x:v>
      </x:c>
      <x:c r="N923" s="37" t="str">
        <x:v>Put the green pencil sharpener in the bowl.</x:v>
      </x:c>
      <x:c r="O923" s="37" t="str">
        <x:v>Leave exactly three objects in the bowl.</x:v>
      </x:c>
      <x:c r="P923" s="37" t="str">
        <x:v>The exact 2→3 motor transition is trained with a direct instruction, but the goal-count instruction is withheld.</x:v>
      </x:c>
      <x:c r="Q923" s="38"/>
    </x:row>
    <x:row r="924" ht="60" customHeight="1">
      <x:c r="A924" s="70" t="n">
        <x:v>922</x:v>
      </x:c>
      <x:c r="B924" s="37" t="str">
        <x:v>Counting</x:v>
      </x:c>
      <x:c r="C924" s="37" t="str">
        <x:v>Move the green pencil sharpener into the bowl.</x:v>
      </x:c>
      <x:c r="D924" s="37" t="str">
        <x:v>Masked goal-count × transition composition</x:v>
      </x:c>
      <x:c r="E924" s="37" t="str">
        <x:v>direct addition of green pencil sharpener; hidden goal=3; transition=2→3</x:v>
      </x:c>
      <x:c r="F924" s="37" t="str">
        <x:v>count_goal_3_add_masked</x:v>
      </x:c>
      <x:c r="G924" s="37" t="str">
        <x:v>goal one via removal (2→1); goal three via addition (2→3)</x:v>
      </x:c>
      <x:c r="H924" s="37" t="str">
        <x:v>No</x:v>
      </x:c>
      <x:c r="I924" s="37" t="str">
        <x:v>Keep prompt</x:v>
      </x:c>
      <x:c r="J924" s="37" t="str">
        <x:v>No prompt change required under the missing-cell design.</x:v>
      </x:c>
      <x:c r="K924" s="37" t="str">
        <x:v>airplane toy without propellers, blue pen, green pencil sharpener, yellow block</x:v>
      </x:c>
      <x:c r="L924" s="37" t="str">
        <x:v>green pencil sharpener</x:v>
      </x:c>
      <x:c r="M924" s="37" t="str">
        <x:v>Post-Drop</x:v>
      </x:c>
      <x:c r="N924" s="37" t="str">
        <x:v>Move the green pencil sharpener into the bowl.</x:v>
      </x:c>
      <x:c r="O924" s="37" t="str">
        <x:v>Leave exactly three objects in the bowl.</x:v>
      </x:c>
      <x:c r="P924" s="37" t="str">
        <x:v>The exact 2→3 motor transition is trained with a direct instruction, but the goal-count instruction is withheld.</x:v>
      </x:c>
      <x:c r="Q924" s="38"/>
    </x:row>
    <x:row r="925" ht="60" customHeight="1">
      <x:c r="A925" s="70" t="n">
        <x:v>923</x:v>
      </x:c>
      <x:c r="B925" s="37" t="str">
        <x:v>Counting</x:v>
      </x:c>
      <x:c r="C925" s="37" t="str">
        <x:v>Pick up the green pencil sharpener and place it in the bowl.</x:v>
      </x:c>
      <x:c r="D925" s="37" t="str">
        <x:v>Masked goal-count × transition composition</x:v>
      </x:c>
      <x:c r="E925" s="37" t="str">
        <x:v>direct addition of green pencil sharpener; hidden goal=3; transition=2→3</x:v>
      </x:c>
      <x:c r="F925" s="37" t="str">
        <x:v>count_goal_3_add_masked</x:v>
      </x:c>
      <x:c r="G925" s="37" t="str">
        <x:v>goal one via removal (2→1); goal three via addition (2→3)</x:v>
      </x:c>
      <x:c r="H925" s="37" t="str">
        <x:v>No</x:v>
      </x:c>
      <x:c r="I925" s="37" t="str">
        <x:v>Keep prompt</x:v>
      </x:c>
      <x:c r="J925" s="37" t="str">
        <x:v>No prompt change required under the missing-cell design.</x:v>
      </x:c>
      <x:c r="K925" s="37" t="str">
        <x:v>blue pen, yellow block, green pencil sharpener</x:v>
      </x:c>
      <x:c r="L925" s="37" t="str">
        <x:v>green pencil sharpener</x:v>
      </x:c>
      <x:c r="M925" s="37" t="str">
        <x:v>Post-Drop</x:v>
      </x:c>
      <x:c r="N925" s="37" t="str">
        <x:v>Pick up the green pencil sharpener and place it in the bowl.</x:v>
      </x:c>
      <x:c r="O925" s="37" t="str">
        <x:v>Leave exactly three objects in the bowl.</x:v>
      </x:c>
      <x:c r="P925" s="37" t="str">
        <x:v>The exact 2→3 motor transition is trained with a direct instruction, but the goal-count instruction is withheld.</x:v>
      </x:c>
      <x:c r="Q925" s="38"/>
    </x:row>
    <x:row r="926" ht="60" customHeight="1">
      <x:c r="A926" s="70" t="n">
        <x:v>924</x:v>
      </x:c>
      <x:c r="B926" s="37" t="str">
        <x:v>Counting</x:v>
      </x:c>
      <x:c r="C926" s="37" t="str">
        <x:v>Pick up the green pencil sharpener and place it in the bowl.</x:v>
      </x:c>
      <x:c r="D926" s="37" t="str">
        <x:v>Masked goal-count × transition composition</x:v>
      </x:c>
      <x:c r="E926" s="37" t="str">
        <x:v>direct addition of green pencil sharpener; hidden goal=3; transition=2→3</x:v>
      </x:c>
      <x:c r="F926" s="37" t="str">
        <x:v>count_goal_3_add_masked</x:v>
      </x:c>
      <x:c r="G926" s="37" t="str">
        <x:v>goal one via removal (2→1); goal three via addition (2→3)</x:v>
      </x:c>
      <x:c r="H926" s="37" t="str">
        <x:v>No</x:v>
      </x:c>
      <x:c r="I926" s="37" t="str">
        <x:v>Keep prompt</x:v>
      </x:c>
      <x:c r="J926" s="37" t="str">
        <x:v>No prompt change required under the missing-cell design.</x:v>
      </x:c>
      <x:c r="K926" s="37" t="str">
        <x:v>airplane toy without propellers, yellow block, green pencil sharpener</x:v>
      </x:c>
      <x:c r="L926" s="37" t="str">
        <x:v>green pencil sharpener</x:v>
      </x:c>
      <x:c r="M926" s="37" t="str">
        <x:v>Recovery</x:v>
      </x:c>
      <x:c r="N926" s="37" t="str">
        <x:v>Pick up the green pencil sharpener and place it in the bowl.</x:v>
      </x:c>
      <x:c r="O926" s="37" t="str">
        <x:v>Leave exactly three objects in the bowl.</x:v>
      </x:c>
      <x:c r="P926" s="37" t="str">
        <x:v>The exact 2→3 motor transition is trained with a direct instruction, but the goal-count instruction is withheld.</x:v>
      </x:c>
      <x:c r="Q926" s="38"/>
    </x:row>
    <x:row r="927" ht="60" customHeight="1">
      <x:c r="A927" s="70" t="n">
        <x:v>925</x:v>
      </x:c>
      <x:c r="B927" s="37" t="str">
        <x:v>Counting</x:v>
      </x:c>
      <x:c r="C927" s="37" t="str">
        <x:v>Adjust the bowl so that it contains zero objects.</x:v>
      </x:c>
      <x:c r="D927" s="37" t="str">
        <x:v>Explicit goal-count grounding</x:v>
      </x:c>
      <x:c r="E927" s="37" t="str">
        <x:v>goal=0; in-distribution anchor</x:v>
      </x:c>
      <x:c r="F927" s="37" t="str">
        <x:v>count_goal_0_explicit_anchor</x:v>
      </x:c>
      <x:c r="G927" s="37" t="str">
        <x:v>goal one via removal (2→1); goal three via addition (2→3)</x:v>
      </x:c>
      <x:c r="H927" s="37" t="str">
        <x:v>No</x:v>
      </x:c>
      <x:c r="I927" s="37" t="str">
        <x:v>Keep prompt</x:v>
      </x:c>
      <x:c r="J927" s="37" t="str">
        <x:v>No prompt change required under the missing-cell design.</x:v>
      </x:c>
      <x:c r="K927" s="37" t="str">
        <x:v>green pencil sharpener, airplane toy without propellers, blue pen, yellow block</x:v>
      </x:c>
      <x:c r="L927" s="37" t="str">
        <x:v>green pencil sharpener</x:v>
      </x:c>
      <x:c r="M927" s="37" t="str">
        <x:v>Home</x:v>
      </x:c>
      <x:c r="N927" s="37" t="str">
        <x:v>Adjust the bowl so that it contains zero objects.</x:v>
      </x:c>
      <x:c r="O927" s="37" t="str"/>
      <x:c r="P927" s="37" t="str">
        <x:v>Explicitly grounds final count 0 as an in-distribution counting anchor.</x:v>
      </x:c>
      <x:c r="Q927" s="38"/>
    </x:row>
    <x:row r="928" ht="60" customHeight="1">
      <x:c r="A928" s="70" t="n">
        <x:v>926</x:v>
      </x:c>
      <x:c r="B928" s="37" t="str">
        <x:v>Counting</x:v>
      </x:c>
      <x:c r="C928" s="37" t="str">
        <x:v>Leave no objects in the bowl.</x:v>
      </x:c>
      <x:c r="D928" s="37" t="str">
        <x:v>Explicit goal-count grounding</x:v>
      </x:c>
      <x:c r="E928" s="37" t="str">
        <x:v>goal=0; in-distribution anchor</x:v>
      </x:c>
      <x:c r="F928" s="37" t="str">
        <x:v>count_goal_0_explicit_anchor</x:v>
      </x:c>
      <x:c r="G928" s="37" t="str">
        <x:v>goal one via removal (2→1); goal three via addition (2→3)</x:v>
      </x:c>
      <x:c r="H928" s="37" t="str">
        <x:v>No</x:v>
      </x:c>
      <x:c r="I928" s="37" t="str">
        <x:v>Keep prompt</x:v>
      </x:c>
      <x:c r="J928" s="37" t="str">
        <x:v>No prompt change required under the missing-cell design.</x:v>
      </x:c>
      <x:c r="K928" s="37" t="str">
        <x:v>green pencil sharpener, blue pen, yellow block</x:v>
      </x:c>
      <x:c r="L928" s="37" t="str">
        <x:v>green pencil sharpener</x:v>
      </x:c>
      <x:c r="M928" s="37" t="str">
        <x:v>Home</x:v>
      </x:c>
      <x:c r="N928" s="37" t="str">
        <x:v>Leave no objects in the bowl.</x:v>
      </x:c>
      <x:c r="O928" s="37" t="str"/>
      <x:c r="P928" s="37" t="str">
        <x:v>Explicitly grounds final count 0 as an in-distribution counting anchor.</x:v>
      </x:c>
      <x:c r="Q928" s="38"/>
    </x:row>
    <x:row r="929" ht="60" customHeight="1">
      <x:c r="A929" s="70" t="n">
        <x:v>927</x:v>
      </x:c>
      <x:c r="B929" s="37" t="str">
        <x:v>Counting</x:v>
      </x:c>
      <x:c r="C929" s="37" t="str">
        <x:v>Leave no objects in the bowl.</x:v>
      </x:c>
      <x:c r="D929" s="37" t="str">
        <x:v>Explicit goal-count grounding</x:v>
      </x:c>
      <x:c r="E929" s="37" t="str">
        <x:v>goal=0; in-distribution anchor</x:v>
      </x:c>
      <x:c r="F929" s="37" t="str">
        <x:v>count_goal_0_explicit_anchor</x:v>
      </x:c>
      <x:c r="G929" s="37" t="str">
        <x:v>goal one via removal (2→1); goal three via addition (2→3)</x:v>
      </x:c>
      <x:c r="H929" s="37" t="str">
        <x:v>No</x:v>
      </x:c>
      <x:c r="I929" s="37" t="str">
        <x:v>Keep prompt</x:v>
      </x:c>
      <x:c r="J929" s="37" t="str">
        <x:v>No prompt change required under the missing-cell design.</x:v>
      </x:c>
      <x:c r="K929" s="37" t="str">
        <x:v>green pencil sharpener, airplane toy without propellers, blue pen</x:v>
      </x:c>
      <x:c r="L929" s="37" t="str">
        <x:v>green pencil sharpener</x:v>
      </x:c>
      <x:c r="M929" s="37" t="str">
        <x:v>Post-Drop</x:v>
      </x:c>
      <x:c r="N929" s="37" t="str">
        <x:v>Leave no objects in the bowl.</x:v>
      </x:c>
      <x:c r="O929" s="37" t="str"/>
      <x:c r="P929" s="37" t="str">
        <x:v>Explicitly grounds final count 0 as an in-distribution counting anchor.</x:v>
      </x:c>
      <x:c r="Q929" s="38"/>
    </x:row>
    <x:row r="930" ht="60" customHeight="1">
      <x:c r="A930" s="70" t="n">
        <x:v>928</x:v>
      </x:c>
      <x:c r="B930" s="37" t="str">
        <x:v>Counting</x:v>
      </x:c>
      <x:c r="C930" s="37" t="str">
        <x:v>Make the bowl contain exactly zero objects.</x:v>
      </x:c>
      <x:c r="D930" s="37" t="str">
        <x:v>Explicit goal-count grounding</x:v>
      </x:c>
      <x:c r="E930" s="37" t="str">
        <x:v>goal=0; in-distribution anchor</x:v>
      </x:c>
      <x:c r="F930" s="37" t="str">
        <x:v>count_goal_0_explicit_anchor</x:v>
      </x:c>
      <x:c r="G930" s="37" t="str">
        <x:v>goal one via removal (2→1); goal three via addition (2→3)</x:v>
      </x:c>
      <x:c r="H930" s="37" t="str">
        <x:v>No</x:v>
      </x:c>
      <x:c r="I930" s="37" t="str">
        <x:v>Keep prompt</x:v>
      </x:c>
      <x:c r="J930" s="37" t="str">
        <x:v>No prompt change required under the missing-cell design.</x:v>
      </x:c>
      <x:c r="K930" s="37" t="str">
        <x:v>green pencil sharpener, yellow block</x:v>
      </x:c>
      <x:c r="L930" s="37" t="str">
        <x:v>green pencil sharpener</x:v>
      </x:c>
      <x:c r="M930" s="37" t="str">
        <x:v>Post-Drop</x:v>
      </x:c>
      <x:c r="N930" s="37" t="str">
        <x:v>Make the bowl contain exactly zero objects.</x:v>
      </x:c>
      <x:c r="O930" s="37" t="str"/>
      <x:c r="P930" s="37" t="str">
        <x:v>Explicitly grounds final count 0 as an in-distribution counting anchor.</x:v>
      </x:c>
      <x:c r="Q930" s="38"/>
    </x:row>
    <x:row r="931" ht="60" customHeight="1">
      <x:c r="A931" s="70" t="n">
        <x:v>929</x:v>
      </x:c>
      <x:c r="B931" s="37" t="str">
        <x:v>Counting</x:v>
      </x:c>
      <x:c r="C931" s="37" t="str">
        <x:v>Make the bowl contain exactly zero objects.</x:v>
      </x:c>
      <x:c r="D931" s="37" t="str">
        <x:v>Explicit goal-count grounding</x:v>
      </x:c>
      <x:c r="E931" s="37" t="str">
        <x:v>goal=0; in-distribution anchor</x:v>
      </x:c>
      <x:c r="F931" s="37" t="str">
        <x:v>count_goal_0_explicit_anchor</x:v>
      </x:c>
      <x:c r="G931" s="37" t="str">
        <x:v>goal one via removal (2→1); goal three via addition (2→3)</x:v>
      </x:c>
      <x:c r="H931" s="37" t="str">
        <x:v>No</x:v>
      </x:c>
      <x:c r="I931" s="37" t="str">
        <x:v>Keep prompt</x:v>
      </x:c>
      <x:c r="J931" s="37" t="str">
        <x:v>No prompt change required under the missing-cell design.</x:v>
      </x:c>
      <x:c r="K931" s="37" t="str">
        <x:v>green pencil sharpener, airplane toy without propellers, yellow block</x:v>
      </x:c>
      <x:c r="L931" s="37" t="str">
        <x:v>green pencil sharpener</x:v>
      </x:c>
      <x:c r="M931" s="37" t="str">
        <x:v>Recovery</x:v>
      </x:c>
      <x:c r="N931" s="37" t="str">
        <x:v>Make the bowl contain exactly zero objects.</x:v>
      </x:c>
      <x:c r="O931" s="37" t="str"/>
      <x:c r="P931" s="37" t="str">
        <x:v>Explicitly grounds final count 0 as an in-distribution counting anchor.</x:v>
      </x:c>
      <x:c r="Q931" s="38"/>
    </x:row>
    <x:row r="932" ht="60" customHeight="1">
      <x:c r="A932" s="70" t="n">
        <x:v>930</x:v>
      </x:c>
      <x:c r="B932" s="37" t="str">
        <x:v>Counting</x:v>
      </x:c>
      <x:c r="C932" s="37" t="str">
        <x:v>Make the bowl contain exactly zero objects.</x:v>
      </x:c>
      <x:c r="D932" s="37" t="str">
        <x:v>Explicit goal-count grounding</x:v>
      </x:c>
      <x:c r="E932" s="37" t="str">
        <x:v>goal=0; in-distribution anchor</x:v>
      </x:c>
      <x:c r="F932" s="37" t="str">
        <x:v>count_goal_0_explicit_anchor</x:v>
      </x:c>
      <x:c r="G932" s="37" t="str">
        <x:v>goal one via removal (2→1); goal three via addition (2→3)</x:v>
      </x:c>
      <x:c r="H932" s="37" t="str">
        <x:v>No</x:v>
      </x:c>
      <x:c r="I932" s="37" t="str">
        <x:v>Keep prompt</x:v>
      </x:c>
      <x:c r="J932" s="37" t="str">
        <x:v>No prompt change required under the missing-cell design.</x:v>
      </x:c>
      <x:c r="K932" s="37" t="str">
        <x:v>green pencil sharpener</x:v>
      </x:c>
      <x:c r="L932" s="37" t="str">
        <x:v>green pencil sharpener</x:v>
      </x:c>
      <x:c r="M932" s="37" t="str">
        <x:v>Recovery</x:v>
      </x:c>
      <x:c r="N932" s="37" t="str">
        <x:v>Make the bowl contain exactly zero objects.</x:v>
      </x:c>
      <x:c r="O932" s="37" t="str"/>
      <x:c r="P932" s="37" t="str">
        <x:v>Explicitly grounds final count 0 as an in-distribution counting anchor.</x:v>
      </x:c>
      <x:c r="Q932" s="38"/>
    </x:row>
    <x:row r="933" ht="60" customHeight="1">
      <x:c r="A933" s="70" t="n">
        <x:v>931</x:v>
      </x:c>
      <x:c r="B933" s="37" t="str">
        <x:v>Counting</x:v>
      </x:c>
      <x:c r="C933" s="37" t="str">
        <x:v>Remove the green pencil sharpener from the bowl.</x:v>
      </x:c>
      <x:c r="D933" s="37" t="str">
        <x:v>Masked goal-count × transition composition</x:v>
      </x:c>
      <x:c r="E933" s="37" t="str">
        <x:v>direct removal of green pencil sharpener; hidden goal=1; transition=2→1</x:v>
      </x:c>
      <x:c r="F933" s="37" t="str">
        <x:v>count_goal_1_remove_masked</x:v>
      </x:c>
      <x:c r="G933" s="37" t="str">
        <x:v>goal one via removal (2→1); goal three via addition (2→3)</x:v>
      </x:c>
      <x:c r="H933" s="37" t="str">
        <x:v>No</x:v>
      </x:c>
      <x:c r="I933" s="37" t="str">
        <x:v>Keep prompt</x:v>
      </x:c>
      <x:c r="J933" s="37" t="str">
        <x:v>No prompt change required under the missing-cell design.</x:v>
      </x:c>
      <x:c r="K933" s="37" t="str">
        <x:v>green pencil sharpener, airplane toy without propellers, blue pen, yellow block</x:v>
      </x:c>
      <x:c r="L933" s="37" t="str">
        <x:v>green pencil sharpener</x:v>
      </x:c>
      <x:c r="M933" s="37" t="str">
        <x:v>Home</x:v>
      </x:c>
      <x:c r="N933" s="37" t="str">
        <x:v>Remove the green pencil sharpener from the bowl.</x:v>
      </x:c>
      <x:c r="O933" s="37" t="str">
        <x:v>Leave exactly one object in the bowl.</x:v>
      </x:c>
      <x:c r="P933" s="37" t="str">
        <x:v>The exact 2→1 motor transition is trained with a direct instruction, but the goal-count instruction is withheld.</x:v>
      </x:c>
      <x:c r="Q933" s="38"/>
    </x:row>
    <x:row r="934" ht="60" customHeight="1">
      <x:c r="A934" s="70" t="n">
        <x:v>932</x:v>
      </x:c>
      <x:c r="B934" s="37" t="str">
        <x:v>Counting</x:v>
      </x:c>
      <x:c r="C934" s="37" t="str">
        <x:v>Move the green pencil sharpener from the bowl to the table.</x:v>
      </x:c>
      <x:c r="D934" s="37" t="str">
        <x:v>Masked goal-count × transition composition</x:v>
      </x:c>
      <x:c r="E934" s="37" t="str">
        <x:v>direct removal of green pencil sharpener; hidden goal=1; transition=2→1</x:v>
      </x:c>
      <x:c r="F934" s="37" t="str">
        <x:v>count_goal_1_remove_masked</x:v>
      </x:c>
      <x:c r="G934" s="37" t="str">
        <x:v>goal one via removal (2→1); goal three via addition (2→3)</x:v>
      </x:c>
      <x:c r="H934" s="37" t="str">
        <x:v>No</x:v>
      </x:c>
      <x:c r="I934" s="37" t="str">
        <x:v>Keep prompt</x:v>
      </x:c>
      <x:c r="J934" s="37" t="str">
        <x:v>No prompt change required under the missing-cell design.</x:v>
      </x:c>
      <x:c r="K934" s="37" t="str">
        <x:v>green pencil sharpener, blue pen, airplane toy without propellers</x:v>
      </x:c>
      <x:c r="L934" s="37" t="str">
        <x:v>green pencil sharpener</x:v>
      </x:c>
      <x:c r="M934" s="37" t="str">
        <x:v>Home</x:v>
      </x:c>
      <x:c r="N934" s="37" t="str">
        <x:v>Move the green pencil sharpener from the bowl to the table.</x:v>
      </x:c>
      <x:c r="O934" s="37" t="str">
        <x:v>Leave exactly one object in the bowl.</x:v>
      </x:c>
      <x:c r="P934" s="37" t="str">
        <x:v>The exact 2→1 motor transition is trained with a direct instruction, but the goal-count instruction is withheld.</x:v>
      </x:c>
      <x:c r="Q934" s="38"/>
    </x:row>
    <x:row r="935" ht="60" customHeight="1">
      <x:c r="A935" s="70" t="n">
        <x:v>933</x:v>
      </x:c>
      <x:c r="B935" s="37" t="str">
        <x:v>Counting</x:v>
      </x:c>
      <x:c r="C935" s="37" t="str">
        <x:v>Move the green pencil sharpener from the bowl to the table.</x:v>
      </x:c>
      <x:c r="D935" s="37" t="str">
        <x:v>Masked goal-count × transition composition</x:v>
      </x:c>
      <x:c r="E935" s="37" t="str">
        <x:v>direct removal of green pencil sharpener; hidden goal=1; transition=2→1</x:v>
      </x:c>
      <x:c r="F935" s="37" t="str">
        <x:v>count_goal_1_remove_masked</x:v>
      </x:c>
      <x:c r="G935" s="37" t="str">
        <x:v>goal one via removal (2→1); goal three via addition (2→3)</x:v>
      </x:c>
      <x:c r="H935" s="37" t="str">
        <x:v>No</x:v>
      </x:c>
      <x:c r="I935" s="37" t="str">
        <x:v>Keep prompt</x:v>
      </x:c>
      <x:c r="J935" s="37" t="str">
        <x:v>No prompt change required under the missing-cell design.</x:v>
      </x:c>
      <x:c r="K935" s="37" t="str">
        <x:v>green pencil sharpener, yellow block, blue pen</x:v>
      </x:c>
      <x:c r="L935" s="37" t="str">
        <x:v>green pencil sharpener</x:v>
      </x:c>
      <x:c r="M935" s="37" t="str">
        <x:v>Home</x:v>
      </x:c>
      <x:c r="N935" s="37" t="str">
        <x:v>Move the green pencil sharpener from the bowl to the table.</x:v>
      </x:c>
      <x:c r="O935" s="37" t="str">
        <x:v>Leave exactly one object in the bowl.</x:v>
      </x:c>
      <x:c r="P935" s="37" t="str">
        <x:v>The exact 2→1 motor transition is trained with a direct instruction, but the goal-count instruction is withheld.</x:v>
      </x:c>
      <x:c r="Q935" s="38"/>
    </x:row>
    <x:row r="936" ht="60" customHeight="1">
      <x:c r="A936" s="70" t="n">
        <x:v>934</x:v>
      </x:c>
      <x:c r="B936" s="37" t="str">
        <x:v>Counting</x:v>
      </x:c>
      <x:c r="C936" s="37" t="str">
        <x:v>Remove the green pencil sharpener from the bowl.</x:v>
      </x:c>
      <x:c r="D936" s="37" t="str">
        <x:v>Masked goal-count × transition composition</x:v>
      </x:c>
      <x:c r="E936" s="37" t="str">
        <x:v>direct removal of green pencil sharpener; hidden goal=1; transition=2→1</x:v>
      </x:c>
      <x:c r="F936" s="37" t="str">
        <x:v>count_goal_1_remove_masked</x:v>
      </x:c>
      <x:c r="G936" s="37" t="str">
        <x:v>goal one via removal (2→1); goal three via addition (2→3)</x:v>
      </x:c>
      <x:c r="H936" s="37" t="str">
        <x:v>No</x:v>
      </x:c>
      <x:c r="I936" s="37" t="str">
        <x:v>Keep prompt</x:v>
      </x:c>
      <x:c r="J936" s="37" t="str">
        <x:v>No prompt change required under the missing-cell design.</x:v>
      </x:c>
      <x:c r="K936" s="37" t="str">
        <x:v>green pencil sharpener, airplane toy without propellers, yellow block</x:v>
      </x:c>
      <x:c r="L936" s="37" t="str">
        <x:v>green pencil sharpener</x:v>
      </x:c>
      <x:c r="M936" s="37" t="str">
        <x:v>Post-Drop</x:v>
      </x:c>
      <x:c r="N936" s="37" t="str">
        <x:v>Remove the green pencil sharpener from the bowl.</x:v>
      </x:c>
      <x:c r="O936" s="37" t="str">
        <x:v>Leave exactly one object in the bowl.</x:v>
      </x:c>
      <x:c r="P936" s="37" t="str">
        <x:v>The exact 2→1 motor transition is trained with a direct instruction, but the goal-count instruction is withheld.</x:v>
      </x:c>
      <x:c r="Q936" s="38"/>
    </x:row>
    <x:row r="937" ht="60" customHeight="1">
      <x:c r="A937" s="70" t="n">
        <x:v>935</x:v>
      </x:c>
      <x:c r="B937" s="37" t="str">
        <x:v>Counting</x:v>
      </x:c>
      <x:c r="C937" s="37" t="str">
        <x:v>Move the green pencil sharpener from the bowl to the table.</x:v>
      </x:c>
      <x:c r="D937" s="37" t="str">
        <x:v>Masked goal-count × transition composition</x:v>
      </x:c>
      <x:c r="E937" s="37" t="str">
        <x:v>direct removal of green pencil sharpener; hidden goal=1; transition=2→1</x:v>
      </x:c>
      <x:c r="F937" s="37" t="str">
        <x:v>count_goal_1_remove_masked</x:v>
      </x:c>
      <x:c r="G937" s="37" t="str">
        <x:v>goal one via removal (2→1); goal three via addition (2→3)</x:v>
      </x:c>
      <x:c r="H937" s="37" t="str">
        <x:v>No</x:v>
      </x:c>
      <x:c r="I937" s="37" t="str">
        <x:v>Keep prompt</x:v>
      </x:c>
      <x:c r="J937" s="37" t="str">
        <x:v>No prompt change required under the missing-cell design.</x:v>
      </x:c>
      <x:c r="K937" s="37" t="str">
        <x:v>green pencil sharpener, blue pen, airplane toy without propellers, yellow block</x:v>
      </x:c>
      <x:c r="L937" s="37" t="str">
        <x:v>green pencil sharpener</x:v>
      </x:c>
      <x:c r="M937" s="37" t="str">
        <x:v>Post-Drop</x:v>
      </x:c>
      <x:c r="N937" s="37" t="str">
        <x:v>Move the green pencil sharpener from the bowl to the table.</x:v>
      </x:c>
      <x:c r="O937" s="37" t="str">
        <x:v>Leave exactly one object in the bowl.</x:v>
      </x:c>
      <x:c r="P937" s="37" t="str">
        <x:v>The exact 2→1 motor transition is trained with a direct instruction, but the goal-count instruction is withheld.</x:v>
      </x:c>
      <x:c r="Q937" s="38"/>
    </x:row>
    <x:row r="938" ht="60" customHeight="1">
      <x:c r="A938" s="70" t="n">
        <x:v>936</x:v>
      </x:c>
      <x:c r="B938" s="37" t="str">
        <x:v>Counting</x:v>
      </x:c>
      <x:c r="C938" s="37" t="str">
        <x:v>Take the green pencil sharpener out of the bowl.</x:v>
      </x:c>
      <x:c r="D938" s="37" t="str">
        <x:v>Masked goal-count × transition composition</x:v>
      </x:c>
      <x:c r="E938" s="37" t="str">
        <x:v>direct removal of green pencil sharpener; hidden goal=1; transition=2→1</x:v>
      </x:c>
      <x:c r="F938" s="37" t="str">
        <x:v>count_goal_1_remove_masked</x:v>
      </x:c>
      <x:c r="G938" s="37" t="str">
        <x:v>goal one via removal (2→1); goal three via addition (2→3)</x:v>
      </x:c>
      <x:c r="H938" s="37" t="str">
        <x:v>No</x:v>
      </x:c>
      <x:c r="I938" s="37" t="str">
        <x:v>Keep prompt</x:v>
      </x:c>
      <x:c r="J938" s="37" t="str">
        <x:v>No prompt change required under the missing-cell design.</x:v>
      </x:c>
      <x:c r="K938" s="37" t="str">
        <x:v>green pencil sharpener, yellow block</x:v>
      </x:c>
      <x:c r="L938" s="37" t="str">
        <x:v>green pencil sharpener</x:v>
      </x:c>
      <x:c r="M938" s="37" t="str">
        <x:v>Recovery</x:v>
      </x:c>
      <x:c r="N938" s="37" t="str">
        <x:v>Take the green pencil sharpener out of the bowl.</x:v>
      </x:c>
      <x:c r="O938" s="37" t="str">
        <x:v>Leave exactly one object in the bowl.</x:v>
      </x:c>
      <x:c r="P938" s="37" t="str">
        <x:v>The exact 2→1 motor transition is trained with a direct instruction, but the goal-count instruction is withheld.</x:v>
      </x:c>
      <x:c r="Q938" s="38"/>
    </x:row>
    <x:row r="939" ht="60" customHeight="1">
      <x:c r="A939" s="70" t="n">
        <x:v>937</x:v>
      </x:c>
      <x:c r="B939" s="37" t="str">
        <x:v>Counting</x:v>
      </x:c>
      <x:c r="C939" s="37" t="str">
        <x:v>Adjust the bowl so that it contains two objects.</x:v>
      </x:c>
      <x:c r="D939" s="37" t="str">
        <x:v>Explicit goal-count grounding</x:v>
      </x:c>
      <x:c r="E939" s="37" t="str">
        <x:v>goal=2; in-distribution anchor</x:v>
      </x:c>
      <x:c r="F939" s="37" t="str">
        <x:v>count_goal_2_explicit_anchor</x:v>
      </x:c>
      <x:c r="G939" s="37" t="str">
        <x:v>goal one via removal (2→1); goal three via addition (2→3)</x:v>
      </x:c>
      <x:c r="H939" s="37" t="str">
        <x:v>No</x:v>
      </x:c>
      <x:c r="I939" s="37" t="str">
        <x:v>Keep prompt</x:v>
      </x:c>
      <x:c r="J939" s="37" t="str">
        <x:v>No prompt change required under the missing-cell design.</x:v>
      </x:c>
      <x:c r="K939" s="37" t="str">
        <x:v>green pencil sharpener, airplane toy without propellers, blue pen, yellow block</x:v>
      </x:c>
      <x:c r="L939" s="37" t="str">
        <x:v>green pencil sharpener</x:v>
      </x:c>
      <x:c r="M939" s="37" t="str">
        <x:v>Home</x:v>
      </x:c>
      <x:c r="N939" s="37" t="str">
        <x:v>Adjust the bowl so that it contains two objects.</x:v>
      </x:c>
      <x:c r="O939" s="37" t="str"/>
      <x:c r="P939" s="37" t="str">
        <x:v>Explicitly grounds final count 2 as an in-distribution counting anchor.</x:v>
      </x:c>
      <x:c r="Q939" s="38"/>
    </x:row>
    <x:row r="940" ht="60" customHeight="1">
      <x:c r="A940" s="70" t="n">
        <x:v>938</x:v>
      </x:c>
      <x:c r="B940" s="37" t="str">
        <x:v>Counting</x:v>
      </x:c>
      <x:c r="C940" s="37" t="str">
        <x:v>Adjust the bowl so that it contains two objects.</x:v>
      </x:c>
      <x:c r="D940" s="37" t="str">
        <x:v>Explicit goal-count grounding</x:v>
      </x:c>
      <x:c r="E940" s="37" t="str">
        <x:v>goal=2; in-distribution anchor</x:v>
      </x:c>
      <x:c r="F940" s="37" t="str">
        <x:v>count_goal_2_explicit_anchor</x:v>
      </x:c>
      <x:c r="G940" s="37" t="str">
        <x:v>goal one via removal (2→1); goal three via addition (2→3)</x:v>
      </x:c>
      <x:c r="H940" s="37" t="str">
        <x:v>No</x:v>
      </x:c>
      <x:c r="I940" s="37" t="str">
        <x:v>Keep prompt</x:v>
      </x:c>
      <x:c r="J940" s="37" t="str">
        <x:v>No prompt change required under the missing-cell design.</x:v>
      </x:c>
      <x:c r="K940" s="37" t="str">
        <x:v>green pencil sharpener, blue pen, yellow block, airplane toy without propellers</x:v>
      </x:c>
      <x:c r="L940" s="37" t="str">
        <x:v>green pencil sharpener</x:v>
      </x:c>
      <x:c r="M940" s="37" t="str">
        <x:v>Home</x:v>
      </x:c>
      <x:c r="N940" s="37" t="str">
        <x:v>Adjust the bowl so that it contains two objects.</x:v>
      </x:c>
      <x:c r="O940" s="37" t="str"/>
      <x:c r="P940" s="37" t="str">
        <x:v>Explicitly grounds final count 2 as an in-distribution counting anchor.</x:v>
      </x:c>
      <x:c r="Q940" s="38"/>
    </x:row>
    <x:row r="941" ht="60" customHeight="1">
      <x:c r="A941" s="70" t="n">
        <x:v>939</x:v>
      </x:c>
      <x:c r="B941" s="37" t="str">
        <x:v>Counting</x:v>
      </x:c>
      <x:c r="C941" s="37" t="str">
        <x:v>Leave exactly two objects in the bowl.</x:v>
      </x:c>
      <x:c r="D941" s="37" t="str">
        <x:v>Explicit goal-count grounding</x:v>
      </x:c>
      <x:c r="E941" s="37" t="str">
        <x:v>goal=2; in-distribution anchor</x:v>
      </x:c>
      <x:c r="F941" s="37" t="str">
        <x:v>count_goal_2_explicit_anchor</x:v>
      </x:c>
      <x:c r="G941" s="37" t="str">
        <x:v>goal one via removal (2→1); goal three via addition (2→3)</x:v>
      </x:c>
      <x:c r="H941" s="37" t="str">
        <x:v>No</x:v>
      </x:c>
      <x:c r="I941" s="37" t="str">
        <x:v>Keep prompt</x:v>
      </x:c>
      <x:c r="J941" s="37" t="str">
        <x:v>No prompt change required under the missing-cell design.</x:v>
      </x:c>
      <x:c r="K941" s="37" t="str">
        <x:v>green pencil sharpener, airplane toy without propellers, yellow block, blue pen</x:v>
      </x:c>
      <x:c r="L941" s="37" t="str">
        <x:v>green pencil sharpener</x:v>
      </x:c>
      <x:c r="M941" s="37" t="str">
        <x:v>Post-Drop</x:v>
      </x:c>
      <x:c r="N941" s="37" t="str">
        <x:v>Leave exactly two objects in the bowl.</x:v>
      </x:c>
      <x:c r="O941" s="37" t="str"/>
      <x:c r="P941" s="37" t="str">
        <x:v>Explicitly grounds final count 2 as an in-distribution counting anchor.</x:v>
      </x:c>
      <x:c r="Q941" s="38"/>
    </x:row>
    <x:row r="942" ht="60" customHeight="1">
      <x:c r="A942" s="70" t="n">
        <x:v>940</x:v>
      </x:c>
      <x:c r="B942" s="37" t="str">
        <x:v>Counting</x:v>
      </x:c>
      <x:c r="C942" s="37" t="str">
        <x:v>Leave exactly two objects in the bowl.</x:v>
      </x:c>
      <x:c r="D942" s="37" t="str">
        <x:v>Explicit goal-count grounding</x:v>
      </x:c>
      <x:c r="E942" s="37" t="str">
        <x:v>goal=2; in-distribution anchor</x:v>
      </x:c>
      <x:c r="F942" s="37" t="str">
        <x:v>count_goal_2_explicit_anchor</x:v>
      </x:c>
      <x:c r="G942" s="37" t="str">
        <x:v>goal one via removal (2→1); goal three via addition (2→3)</x:v>
      </x:c>
      <x:c r="H942" s="37" t="str">
        <x:v>No</x:v>
      </x:c>
      <x:c r="I942" s="37" t="str">
        <x:v>Keep prompt</x:v>
      </x:c>
      <x:c r="J942" s="37" t="str">
        <x:v>No prompt change required under the missing-cell design.</x:v>
      </x:c>
      <x:c r="K942" s="37" t="str">
        <x:v>green pencil sharpener, airplane toy without propellers, blue pen</x:v>
      </x:c>
      <x:c r="L942" s="37" t="str">
        <x:v>green pencil sharpener</x:v>
      </x:c>
      <x:c r="M942" s="37" t="str">
        <x:v>Post-Drop</x:v>
      </x:c>
      <x:c r="N942" s="37" t="str">
        <x:v>Leave exactly two objects in the bowl.</x:v>
      </x:c>
      <x:c r="O942" s="37" t="str"/>
      <x:c r="P942" s="37" t="str">
        <x:v>Explicitly grounds final count 2 as an in-distribution counting anchor.</x:v>
      </x:c>
      <x:c r="Q942" s="38"/>
    </x:row>
    <x:row r="943" ht="60" customHeight="1">
      <x:c r="A943" s="70" t="n">
        <x:v>941</x:v>
      </x:c>
      <x:c r="B943" s="37" t="str">
        <x:v>Counting</x:v>
      </x:c>
      <x:c r="C943" s="37" t="str">
        <x:v>Leave exactly two objects in the bowl.</x:v>
      </x:c>
      <x:c r="D943" s="37" t="str">
        <x:v>Explicit goal-count grounding</x:v>
      </x:c>
      <x:c r="E943" s="37" t="str">
        <x:v>goal=2; in-distribution anchor</x:v>
      </x:c>
      <x:c r="F943" s="37" t="str">
        <x:v>count_goal_2_explicit_anchor</x:v>
      </x:c>
      <x:c r="G943" s="37" t="str">
        <x:v>goal one via removal (2→1); goal three via addition (2→3)</x:v>
      </x:c>
      <x:c r="H943" s="37" t="str">
        <x:v>No</x:v>
      </x:c>
      <x:c r="I943" s="37" t="str">
        <x:v>Keep prompt</x:v>
      </x:c>
      <x:c r="J943" s="37" t="str">
        <x:v>No prompt change required under the missing-cell design.</x:v>
      </x:c>
      <x:c r="K943" s="37" t="str">
        <x:v>green pencil sharpener, blue pen, yellow block</x:v>
      </x:c>
      <x:c r="L943" s="37" t="str">
        <x:v>green pencil sharpener</x:v>
      </x:c>
      <x:c r="M943" s="37" t="str">
        <x:v>Post-Drop</x:v>
      </x:c>
      <x:c r="N943" s="37" t="str">
        <x:v>Leave exactly two objects in the bowl.</x:v>
      </x:c>
      <x:c r="O943" s="37" t="str"/>
      <x:c r="P943" s="37" t="str">
        <x:v>Explicitly grounds final count 2 as an in-distribution counting anchor.</x:v>
      </x:c>
      <x:c r="Q943" s="38"/>
    </x:row>
    <x:row r="944" ht="60" customHeight="1">
      <x:c r="A944" s="70" t="n">
        <x:v>942</x:v>
      </x:c>
      <x:c r="B944" s="37" t="str">
        <x:v>Counting</x:v>
      </x:c>
      <x:c r="C944" s="37" t="str">
        <x:v>Make the bowl contain exactly two objects.</x:v>
      </x:c>
      <x:c r="D944" s="37" t="str">
        <x:v>Explicit goal-count grounding</x:v>
      </x:c>
      <x:c r="E944" s="37" t="str">
        <x:v>goal=2; in-distribution anchor</x:v>
      </x:c>
      <x:c r="F944" s="37" t="str">
        <x:v>count_goal_2_explicit_anchor</x:v>
      </x:c>
      <x:c r="G944" s="37" t="str">
        <x:v>goal one via removal (2→1); goal three via addition (2→3)</x:v>
      </x:c>
      <x:c r="H944" s="37" t="str">
        <x:v>No</x:v>
      </x:c>
      <x:c r="I944" s="37" t="str">
        <x:v>Keep prompt</x:v>
      </x:c>
      <x:c r="J944" s="37" t="str">
        <x:v>No prompt change required under the missing-cell design.</x:v>
      </x:c>
      <x:c r="K944" s="37" t="str">
        <x:v>green pencil sharpener, airplane toy without propellers, yellow block</x:v>
      </x:c>
      <x:c r="L944" s="37" t="str">
        <x:v>green pencil sharpener</x:v>
      </x:c>
      <x:c r="M944" s="37" t="str">
        <x:v>Recovery</x:v>
      </x:c>
      <x:c r="N944" s="37" t="str">
        <x:v>Make the bowl contain exactly two objects.</x:v>
      </x:c>
      <x:c r="O944" s="37" t="str"/>
      <x:c r="P944" s="37" t="str">
        <x:v>Explicitly grounds final count 2 as an in-distribution counting anchor.</x:v>
      </x:c>
      <x:c r="Q944" s="38"/>
    </x:row>
    <x:row r="945" ht="60" customHeight="1">
      <x:c r="A945" s="70" t="n">
        <x:v>943</x:v>
      </x:c>
      <x:c r="B945" s="37" t="str">
        <x:v>Counting</x:v>
      </x:c>
      <x:c r="C945" s="37" t="str">
        <x:v>Leave exactly three objects in the bowl.</x:v>
      </x:c>
      <x:c r="D945" s="37" t="str">
        <x:v>Explicit goal-count grounding</x:v>
      </x:c>
      <x:c r="E945" s="37" t="str">
        <x:v>goal=3; familiar transition=4→3 removal</x:v>
      </x:c>
      <x:c r="F945" s="37" t="str">
        <x:v>count_goal_3_seen_remove</x:v>
      </x:c>
      <x:c r="G945" s="37" t="str">
        <x:v>goal one via removal (2→1); goal three via addition (2→3)</x:v>
      </x:c>
      <x:c r="H945" s="37" t="str">
        <x:v>Yes</x:v>
      </x:c>
      <x:c r="I945" s="37" t="str">
        <x:v>Replace prompt only</x:v>
      </x:c>
      <x:c r="J945" s="37" t="str">
        <x:v>Prompt-only relabeling; preserve episode 943 video, scene, trajectory, target, and start position.</x:v>
      </x:c>
      <x:c r="K945" s="37" t="str">
        <x:v>green pencil sharpener, airplane toy without propellers, blue pen, yellow block</x:v>
      </x:c>
      <x:c r="L945" s="37" t="str">
        <x:v>green pencil sharpener</x:v>
      </x:c>
      <x:c r="M945" s="37" t="str">
        <x:v>Home</x:v>
      </x:c>
      <x:c r="N945" s="37" t="str">
        <x:v>Take the green pencil sharpener out of the bowl.</x:v>
      </x:c>
      <x:c r="O945" s="37" t="str"/>
      <x:c r="P945" s="37" t="str">
        <x:v>The word three is explicitly trained through removal, while three-through-addition is withheld.</x:v>
      </x:c>
      <x:c r="Q945" s="38"/>
    </x:row>
    <x:row r="946" ht="60" customHeight="1">
      <x:c r="A946" s="70" t="n">
        <x:v>944</x:v>
      </x:c>
      <x:c r="B946" s="37" t="str">
        <x:v>Counting</x:v>
      </x:c>
      <x:c r="C946" s="37" t="str">
        <x:v>Leave exactly three objects in the bowl.</x:v>
      </x:c>
      <x:c r="D946" s="37" t="str">
        <x:v>Explicit goal-count grounding</x:v>
      </x:c>
      <x:c r="E946" s="37" t="str">
        <x:v>goal=3; familiar transition=4→3 removal</x:v>
      </x:c>
      <x:c r="F946" s="37" t="str">
        <x:v>count_goal_3_seen_remove</x:v>
      </x:c>
      <x:c r="G946" s="37" t="str">
        <x:v>goal one via removal (2→1); goal three via addition (2→3)</x:v>
      </x:c>
      <x:c r="H946" s="37" t="str">
        <x:v>Yes</x:v>
      </x:c>
      <x:c r="I946" s="37" t="str">
        <x:v>Replace prompt only</x:v>
      </x:c>
      <x:c r="J946" s="37" t="str">
        <x:v>Prompt-only relabeling; preserve episode 944 video, scene, trajectory, target, and start position.</x:v>
      </x:c>
      <x:c r="K946" s="37" t="str">
        <x:v>green pencil sharpener, airplane toy without propellers, blue pen, yellow block</x:v>
      </x:c>
      <x:c r="L946" s="37" t="str">
        <x:v>green pencil sharpener</x:v>
      </x:c>
      <x:c r="M946" s="37" t="str">
        <x:v>Home</x:v>
      </x:c>
      <x:c r="N946" s="37" t="str">
        <x:v>Take the green pencil sharpener out of the bowl.</x:v>
      </x:c>
      <x:c r="O946" s="37" t="str"/>
      <x:c r="P946" s="37" t="str">
        <x:v>The word three is explicitly trained through removal, while three-through-addition is withheld.</x:v>
      </x:c>
      <x:c r="Q946" s="38"/>
    </x:row>
    <x:row r="947" ht="60" customHeight="1">
      <x:c r="A947" s="70" t="n">
        <x:v>945</x:v>
      </x:c>
      <x:c r="B947" s="37" t="str">
        <x:v>Counting</x:v>
      </x:c>
      <x:c r="C947" s="37" t="str">
        <x:v>Leave exactly three objects in the bowl.</x:v>
      </x:c>
      <x:c r="D947" s="37" t="str">
        <x:v>Explicit goal-count grounding</x:v>
      </x:c>
      <x:c r="E947" s="37" t="str">
        <x:v>goal=3; familiar transition=4→3 removal</x:v>
      </x:c>
      <x:c r="F947" s="37" t="str">
        <x:v>count_goal_3_seen_remove</x:v>
      </x:c>
      <x:c r="G947" s="37" t="str">
        <x:v>goal one via removal (2→1); goal three via addition (2→3)</x:v>
      </x:c>
      <x:c r="H947" s="37" t="str">
        <x:v>Yes</x:v>
      </x:c>
      <x:c r="I947" s="37" t="str">
        <x:v>Replace prompt only</x:v>
      </x:c>
      <x:c r="J947" s="37" t="str">
        <x:v>Prompt-only relabeling; preserve episode 945 video, scene, trajectory, target, and start position.</x:v>
      </x:c>
      <x:c r="K947" s="37" t="str">
        <x:v>green pencil sharpener, airplane toy without propellers, blue pen, yellow block</x:v>
      </x:c>
      <x:c r="L947" s="37" t="str">
        <x:v>green pencil sharpener</x:v>
      </x:c>
      <x:c r="M947" s="37" t="str">
        <x:v>Home</x:v>
      </x:c>
      <x:c r="N947" s="37" t="str">
        <x:v>Move the green pencil sharpener from the bowl to the table.</x:v>
      </x:c>
      <x:c r="O947" s="37" t="str"/>
      <x:c r="P947" s="37" t="str">
        <x:v>The word three is explicitly trained through removal, while three-through-addition is withheld.</x:v>
      </x:c>
      <x:c r="Q947" s="38"/>
    </x:row>
    <x:row r="948" ht="60" customHeight="1">
      <x:c r="A948" s="70" t="n">
        <x:v>946</x:v>
      </x:c>
      <x:c r="B948" s="37" t="str">
        <x:v>Counting</x:v>
      </x:c>
      <x:c r="C948" s="37" t="str">
        <x:v>Leave exactly three objects in the bowl.</x:v>
      </x:c>
      <x:c r="D948" s="37" t="str">
        <x:v>Explicit goal-count grounding</x:v>
      </x:c>
      <x:c r="E948" s="37" t="str">
        <x:v>goal=3; familiar transition=4→3 removal</x:v>
      </x:c>
      <x:c r="F948" s="37" t="str">
        <x:v>count_goal_3_seen_remove</x:v>
      </x:c>
      <x:c r="G948" s="37" t="str">
        <x:v>goal one via removal (2→1); goal three via addition (2→3)</x:v>
      </x:c>
      <x:c r="H948" s="37" t="str">
        <x:v>Yes</x:v>
      </x:c>
      <x:c r="I948" s="37" t="str">
        <x:v>Replace prompt only</x:v>
      </x:c>
      <x:c r="J948" s="37" t="str">
        <x:v>Prompt-only relabeling; preserve episode 946 video, scene, trajectory, target, and start position.</x:v>
      </x:c>
      <x:c r="K948" s="37" t="str">
        <x:v>green pencil sharpener, airplane toy without propellers, blue pen, yellow block</x:v>
      </x:c>
      <x:c r="L948" s="37" t="str">
        <x:v>green pencil sharpener</x:v>
      </x:c>
      <x:c r="M948" s="37" t="str">
        <x:v>Post-Drop</x:v>
      </x:c>
      <x:c r="N948" s="37" t="str">
        <x:v>Take the green pencil sharpener out of the bowl.</x:v>
      </x:c>
      <x:c r="O948" s="37" t="str"/>
      <x:c r="P948" s="37" t="str">
        <x:v>The word three is explicitly trained through removal, while three-through-addition is withheld.</x:v>
      </x:c>
      <x:c r="Q948" s="38"/>
    </x:row>
    <x:row r="949" ht="60" customHeight="1">
      <x:c r="A949" s="70" t="n">
        <x:v>947</x:v>
      </x:c>
      <x:c r="B949" s="37" t="str">
        <x:v>Counting</x:v>
      </x:c>
      <x:c r="C949" s="37" t="str">
        <x:v>Leave exactly three objects in the bowl.</x:v>
      </x:c>
      <x:c r="D949" s="37" t="str">
        <x:v>Explicit goal-count grounding</x:v>
      </x:c>
      <x:c r="E949" s="37" t="str">
        <x:v>goal=3; familiar transition=4→3 removal</x:v>
      </x:c>
      <x:c r="F949" s="37" t="str">
        <x:v>count_goal_3_seen_remove</x:v>
      </x:c>
      <x:c r="G949" s="37" t="str">
        <x:v>goal one via removal (2→1); goal three via addition (2→3)</x:v>
      </x:c>
      <x:c r="H949" s="37" t="str">
        <x:v>Yes</x:v>
      </x:c>
      <x:c r="I949" s="37" t="str">
        <x:v>Replace prompt only</x:v>
      </x:c>
      <x:c r="J949" s="37" t="str">
        <x:v>Prompt-only relabeling; preserve episode 947 video, scene, trajectory, target, and start position.</x:v>
      </x:c>
      <x:c r="K949" s="37" t="str">
        <x:v>green pencil sharpener, airplane toy without propellers, blue pen, yellow block</x:v>
      </x:c>
      <x:c r="L949" s="37" t="str">
        <x:v>green pencil sharpener</x:v>
      </x:c>
      <x:c r="M949" s="37" t="str">
        <x:v>Post-Drop</x:v>
      </x:c>
      <x:c r="N949" s="37" t="str">
        <x:v>Remove the green pencil sharpener from the bowl.</x:v>
      </x:c>
      <x:c r="O949" s="37" t="str"/>
      <x:c r="P949" s="37" t="str">
        <x:v>The word three is explicitly trained through removal, while three-through-addition is withheld.</x:v>
      </x:c>
      <x:c r="Q949" s="38"/>
    </x:row>
    <x:row r="950" ht="60" customHeight="1">
      <x:c r="A950" s="70" t="n">
        <x:v>948</x:v>
      </x:c>
      <x:c r="B950" s="37" t="str">
        <x:v>Counting</x:v>
      </x:c>
      <x:c r="C950" s="37" t="str">
        <x:v>Leave exactly three objects in the bowl.</x:v>
      </x:c>
      <x:c r="D950" s="37" t="str">
        <x:v>Explicit goal-count grounding</x:v>
      </x:c>
      <x:c r="E950" s="37" t="str">
        <x:v>goal=3; familiar transition=4→3 removal</x:v>
      </x:c>
      <x:c r="F950" s="37" t="str">
        <x:v>count_goal_3_seen_remove</x:v>
      </x:c>
      <x:c r="G950" s="37" t="str">
        <x:v>goal one via removal (2→1); goal three via addition (2→3)</x:v>
      </x:c>
      <x:c r="H950" s="37" t="str">
        <x:v>Yes</x:v>
      </x:c>
      <x:c r="I950" s="37" t="str">
        <x:v>Replace prompt only</x:v>
      </x:c>
      <x:c r="J950" s="37" t="str">
        <x:v>Prompt-only relabeling; preserve episode 948 video, scene, trajectory, target, and start position.</x:v>
      </x:c>
      <x:c r="K950" s="37" t="str">
        <x:v>green pencil sharpener, airplane toy without propellers, blue pen, yellow block</x:v>
      </x:c>
      <x:c r="L950" s="37" t="str">
        <x:v>green pencil sharpener</x:v>
      </x:c>
      <x:c r="M950" s="37" t="str">
        <x:v>Post-Drop</x:v>
      </x:c>
      <x:c r="N950" s="37" t="str">
        <x:v>Remove the green pencil sharpener from the bowl.</x:v>
      </x:c>
      <x:c r="O950" s="37" t="str"/>
      <x:c r="P950" s="37" t="str">
        <x:v>The word three is explicitly trained through removal, while three-through-addition is withheld.</x:v>
      </x:c>
      <x:c r="Q950" s="38"/>
    </x:row>
    <x:row r="951" ht="60" customHeight="1">
      <x:c r="A951" s="70" t="n">
        <x:v>949</x:v>
      </x:c>
      <x:c r="B951" s="37" t="str">
        <x:v>Counting</x:v>
      </x:c>
      <x:c r="C951" s="37" t="str">
        <x:v>Leave exactly three objects in the bowl.</x:v>
      </x:c>
      <x:c r="D951" s="37" t="str">
        <x:v>Explicit goal-count grounding</x:v>
      </x:c>
      <x:c r="E951" s="37" t="str">
        <x:v>goal=3; familiar transition=4→3 removal</x:v>
      </x:c>
      <x:c r="F951" s="37" t="str">
        <x:v>count_goal_3_seen_remove</x:v>
      </x:c>
      <x:c r="G951" s="37" t="str">
        <x:v>goal one via removal (2→1); goal three via addition (2→3)</x:v>
      </x:c>
      <x:c r="H951" s="37" t="str">
        <x:v>Yes</x:v>
      </x:c>
      <x:c r="I951" s="37" t="str">
        <x:v>Replace prompt only</x:v>
      </x:c>
      <x:c r="J951" s="37" t="str">
        <x:v>Prompt-only relabeling; preserve episode 949 video, scene, trajectory, target, and start position.</x:v>
      </x:c>
      <x:c r="K951" s="37" t="str">
        <x:v>green pencil sharpener, airplane toy without propellers, blue pen, yellow block</x:v>
      </x:c>
      <x:c r="L951" s="37" t="str">
        <x:v>green pencil sharpener</x:v>
      </x:c>
      <x:c r="M951" s="37" t="str">
        <x:v>Recovery</x:v>
      </x:c>
      <x:c r="N951" s="37" t="str">
        <x:v>Take the green pencil sharpener out of the bowl.</x:v>
      </x:c>
      <x:c r="O951" s="37" t="str"/>
      <x:c r="P951" s="37" t="str">
        <x:v>The word three is explicitly trained through removal, while three-through-addition is withheld.</x:v>
      </x:c>
      <x:c r="Q951" s="38"/>
    </x:row>
    <x:row r="952" ht="60" customHeight="1">
      <x:c r="A952" s="70" t="n">
        <x:v>950</x:v>
      </x:c>
      <x:c r="B952" s="37" t="str">
        <x:v>Counting</x:v>
      </x:c>
      <x:c r="C952" s="37" t="str">
        <x:v>Leave exactly one object in the bowl.</x:v>
      </x:c>
      <x:c r="D952" s="37" t="str">
        <x:v>Explicit goal-count grounding</x:v>
      </x:c>
      <x:c r="E952" s="37" t="str">
        <x:v>goal=1; familiar transition=0→1 addition</x:v>
      </x:c>
      <x:c r="F952" s="37" t="str">
        <x:v>count_goal_1_seen_add</x:v>
      </x:c>
      <x:c r="G952" s="37" t="str">
        <x:v>goal one via removal (2→1); goal three via addition (2→3)</x:v>
      </x:c>
      <x:c r="H952" s="37" t="str">
        <x:v>Yes</x:v>
      </x:c>
      <x:c r="I952" s="37" t="str">
        <x:v>Replace prompt only</x:v>
      </x:c>
      <x:c r="J952" s="37" t="str">
        <x:v>Prompt-only relabeling; preserve episode 950 video, scene, trajectory, target, and start position.</x:v>
      </x:c>
      <x:c r="K952" s="37" t="str">
        <x:v>airplane toy without propellers, blue pen, yellow block, green pencil sharpener</x:v>
      </x:c>
      <x:c r="L952" s="37" t="str">
        <x:v>airplane toy without propellers</x:v>
      </x:c>
      <x:c r="M952" s="37" t="str">
        <x:v>Home</x:v>
      </x:c>
      <x:c r="N952" s="37" t="str">
        <x:v>Move the airplane toy without propellers into the bowl.</x:v>
      </x:c>
      <x:c r="O952" s="37" t="str"/>
      <x:c r="P952" s="37" t="str">
        <x:v>The word one is explicitly trained through addition, while one-through-removal is withheld.</x:v>
      </x:c>
      <x:c r="Q952" s="38"/>
    </x:row>
    <x:row r="953" ht="60" customHeight="1">
      <x:c r="A953" s="70" t="n">
        <x:v>951</x:v>
      </x:c>
      <x:c r="B953" s="37" t="str">
        <x:v>Counting</x:v>
      </x:c>
      <x:c r="C953" s="37" t="str">
        <x:v>Leave exactly one object in the bowl.</x:v>
      </x:c>
      <x:c r="D953" s="37" t="str">
        <x:v>Explicit goal-count grounding</x:v>
      </x:c>
      <x:c r="E953" s="37" t="str">
        <x:v>goal=1; familiar transition=0→1 addition</x:v>
      </x:c>
      <x:c r="F953" s="37" t="str">
        <x:v>count_goal_1_seen_add</x:v>
      </x:c>
      <x:c r="G953" s="37" t="str">
        <x:v>goal one via removal (2→1); goal three via addition (2→3)</x:v>
      </x:c>
      <x:c r="H953" s="37" t="str">
        <x:v>Yes</x:v>
      </x:c>
      <x:c r="I953" s="37" t="str">
        <x:v>Replace prompt only</x:v>
      </x:c>
      <x:c r="J953" s="37" t="str">
        <x:v>Prompt-only relabeling; preserve episode 951 video, scene, trajectory, target, and start position.</x:v>
      </x:c>
      <x:c r="K953" s="37" t="str">
        <x:v>airplane toy without propellers, blue pen, yellow block</x:v>
      </x:c>
      <x:c r="L953" s="37" t="str">
        <x:v>airplane toy without propellers</x:v>
      </x:c>
      <x:c r="M953" s="37" t="str">
        <x:v>Home</x:v>
      </x:c>
      <x:c r="N953" s="37" t="str">
        <x:v>Put the airplane toy without propellers in the bowl.</x:v>
      </x:c>
      <x:c r="O953" s="37" t="str"/>
      <x:c r="P953" s="37" t="str">
        <x:v>The word one is explicitly trained through addition, while one-through-removal is withheld.</x:v>
      </x:c>
      <x:c r="Q953" s="38"/>
    </x:row>
    <x:row r="954" ht="60" customHeight="1">
      <x:c r="A954" s="70" t="n">
        <x:v>952</x:v>
      </x:c>
      <x:c r="B954" s="37" t="str">
        <x:v>Counting</x:v>
      </x:c>
      <x:c r="C954" s="37" t="str">
        <x:v>Leave exactly one object in the bowl.</x:v>
      </x:c>
      <x:c r="D954" s="37" t="str">
        <x:v>Explicit goal-count grounding</x:v>
      </x:c>
      <x:c r="E954" s="37" t="str">
        <x:v>goal=1; familiar transition=0→1 addition</x:v>
      </x:c>
      <x:c r="F954" s="37" t="str">
        <x:v>count_goal_1_seen_add</x:v>
      </x:c>
      <x:c r="G954" s="37" t="str">
        <x:v>goal one via removal (2→1); goal three via addition (2→3)</x:v>
      </x:c>
      <x:c r="H954" s="37" t="str">
        <x:v>Yes</x:v>
      </x:c>
      <x:c r="I954" s="37" t="str">
        <x:v>Replace prompt only</x:v>
      </x:c>
      <x:c r="J954" s="37" t="str">
        <x:v>Prompt-only relabeling; preserve episode 952 video, scene, trajectory, target, and start position.</x:v>
      </x:c>
      <x:c r="K954" s="37" t="str">
        <x:v>airplane toy without propellers, green pencil sharpener</x:v>
      </x:c>
      <x:c r="L954" s="37" t="str">
        <x:v>airplane toy without propellers</x:v>
      </x:c>
      <x:c r="M954" s="37" t="str">
        <x:v>Home</x:v>
      </x:c>
      <x:c r="N954" s="37" t="str">
        <x:v>Move the airplane toy without propellers into the bowl.</x:v>
      </x:c>
      <x:c r="O954" s="37" t="str"/>
      <x:c r="P954" s="37" t="str">
        <x:v>The word one is explicitly trained through addition, while one-through-removal is withheld.</x:v>
      </x:c>
      <x:c r="Q954" s="38"/>
    </x:row>
    <x:row r="955" ht="60" customHeight="1">
      <x:c r="A955" s="70" t="n">
        <x:v>953</x:v>
      </x:c>
      <x:c r="B955" s="37" t="str">
        <x:v>Counting</x:v>
      </x:c>
      <x:c r="C955" s="37" t="str">
        <x:v>Leave exactly one object in the bowl.</x:v>
      </x:c>
      <x:c r="D955" s="37" t="str">
        <x:v>Explicit goal-count grounding</x:v>
      </x:c>
      <x:c r="E955" s="37" t="str">
        <x:v>goal=1; familiar transition=0→1 addition</x:v>
      </x:c>
      <x:c r="F955" s="37" t="str">
        <x:v>count_goal_1_seen_add</x:v>
      </x:c>
      <x:c r="G955" s="37" t="str">
        <x:v>goal one via removal (2→1); goal three via addition (2→3)</x:v>
      </x:c>
      <x:c r="H955" s="37" t="str">
        <x:v>Yes</x:v>
      </x:c>
      <x:c r="I955" s="37" t="str">
        <x:v>Replace prompt only</x:v>
      </x:c>
      <x:c r="J955" s="37" t="str">
        <x:v>Prompt-only relabeling; preserve episode 953 video, scene, trajectory, target, and start position.</x:v>
      </x:c>
      <x:c r="K955" s="37" t="str">
        <x:v>airplane toy without propellers, blue pen, green pencil sharpener</x:v>
      </x:c>
      <x:c r="L955" s="37" t="str">
        <x:v>airplane toy without propellers</x:v>
      </x:c>
      <x:c r="M955" s="37" t="str">
        <x:v>Post-Drop</x:v>
      </x:c>
      <x:c r="N955" s="37" t="str">
        <x:v>Put the airplane toy without propellers in the bowl.</x:v>
      </x:c>
      <x:c r="O955" s="37" t="str"/>
      <x:c r="P955" s="37" t="str">
        <x:v>The word one is explicitly trained through addition, while one-through-removal is withheld.</x:v>
      </x:c>
      <x:c r="Q955" s="38"/>
    </x:row>
    <x:row r="956" ht="60" customHeight="1">
      <x:c r="A956" s="70" t="n">
        <x:v>954</x:v>
      </x:c>
      <x:c r="B956" s="37" t="str">
        <x:v>Counting</x:v>
      </x:c>
      <x:c r="C956" s="37" t="str">
        <x:v>Leave exactly one object in the bowl.</x:v>
      </x:c>
      <x:c r="D956" s="37" t="str">
        <x:v>Explicit goal-count grounding</x:v>
      </x:c>
      <x:c r="E956" s="37" t="str">
        <x:v>goal=1; familiar transition=0→1 addition</x:v>
      </x:c>
      <x:c r="F956" s="37" t="str">
        <x:v>count_goal_1_seen_add</x:v>
      </x:c>
      <x:c r="G956" s="37" t="str">
        <x:v>goal one via removal (2→1); goal three via addition (2→3)</x:v>
      </x:c>
      <x:c r="H956" s="37" t="str">
        <x:v>Yes</x:v>
      </x:c>
      <x:c r="I956" s="37" t="str">
        <x:v>Replace prompt only</x:v>
      </x:c>
      <x:c r="J956" s="37" t="str">
        <x:v>Prompt-only relabeling; preserve episode 954 video, scene, trajectory, target, and start position.</x:v>
      </x:c>
      <x:c r="K956" s="37" t="str">
        <x:v>airplane toy without propellers, yellow block</x:v>
      </x:c>
      <x:c r="L956" s="37" t="str">
        <x:v>airplane toy without propellers</x:v>
      </x:c>
      <x:c r="M956" s="37" t="str">
        <x:v>Post-Drop</x:v>
      </x:c>
      <x:c r="N956" s="37" t="str">
        <x:v>Pick up the airplane toy without propellers and place it in the bowl.</x:v>
      </x:c>
      <x:c r="O956" s="37" t="str"/>
      <x:c r="P956" s="37" t="str">
        <x:v>The word one is explicitly trained through addition, while one-through-removal is withheld.</x:v>
      </x:c>
      <x:c r="Q956" s="38"/>
    </x:row>
    <x:row r="957" ht="60" customHeight="1">
      <x:c r="A957" s="70" t="n">
        <x:v>955</x:v>
      </x:c>
      <x:c r="B957" s="37" t="str">
        <x:v>Counting</x:v>
      </x:c>
      <x:c r="C957" s="37" t="str">
        <x:v>Leave exactly one object in the bowl.</x:v>
      </x:c>
      <x:c r="D957" s="37" t="str">
        <x:v>Explicit goal-count grounding</x:v>
      </x:c>
      <x:c r="E957" s="37" t="str">
        <x:v>goal=1; familiar transition=0→1 addition</x:v>
      </x:c>
      <x:c r="F957" s="37" t="str">
        <x:v>count_goal_1_seen_add</x:v>
      </x:c>
      <x:c r="G957" s="37" t="str">
        <x:v>goal one via removal (2→1); goal three via addition (2→3)</x:v>
      </x:c>
      <x:c r="H957" s="37" t="str">
        <x:v>Yes</x:v>
      </x:c>
      <x:c r="I957" s="37" t="str">
        <x:v>Replace prompt only</x:v>
      </x:c>
      <x:c r="J957" s="37" t="str">
        <x:v>Prompt-only relabeling; preserve episode 955 video, scene, trajectory, target, and start position.</x:v>
      </x:c>
      <x:c r="K957" s="37" t="str">
        <x:v>airplane toy without propellers, blue pen</x:v>
      </x:c>
      <x:c r="L957" s="37" t="str">
        <x:v>airplane toy without propellers</x:v>
      </x:c>
      <x:c r="M957" s="37" t="str">
        <x:v>Post-Drop</x:v>
      </x:c>
      <x:c r="N957" s="37" t="str">
        <x:v>Put the airplane toy without propellers in the bowl.</x:v>
      </x:c>
      <x:c r="O957" s="37" t="str"/>
      <x:c r="P957" s="37" t="str">
        <x:v>The word one is explicitly trained through addition, while one-through-removal is withheld.</x:v>
      </x:c>
      <x:c r="Q957" s="38"/>
    </x:row>
    <x:row r="958" ht="60" customHeight="1">
      <x:c r="A958" s="70" t="n">
        <x:v>956</x:v>
      </x:c>
      <x:c r="B958" s="37" t="str">
        <x:v>Counting</x:v>
      </x:c>
      <x:c r="C958" s="37" t="str">
        <x:v>Leave exactly one object in the bowl.</x:v>
      </x:c>
      <x:c r="D958" s="37" t="str">
        <x:v>Explicit goal-count grounding</x:v>
      </x:c>
      <x:c r="E958" s="37" t="str">
        <x:v>goal=1; familiar transition=0→1 addition</x:v>
      </x:c>
      <x:c r="F958" s="37" t="str">
        <x:v>count_goal_1_seen_add</x:v>
      </x:c>
      <x:c r="G958" s="37" t="str">
        <x:v>goal one via removal (2→1); goal three via addition (2→3)</x:v>
      </x:c>
      <x:c r="H958" s="37" t="str">
        <x:v>Yes</x:v>
      </x:c>
      <x:c r="I958" s="37" t="str">
        <x:v>Replace prompt only</x:v>
      </x:c>
      <x:c r="J958" s="37" t="str">
        <x:v>Prompt-only relabeling; preserve episode 956 video, scene, trajectory, target, and start position.</x:v>
      </x:c>
      <x:c r="K958" s="37" t="str">
        <x:v>airplane toy without propellers, yellow block, green pencil sharpener</x:v>
      </x:c>
      <x:c r="L958" s="37" t="str">
        <x:v>airplane toy without propellers</x:v>
      </x:c>
      <x:c r="M958" s="37" t="str">
        <x:v>Recovery</x:v>
      </x:c>
      <x:c r="N958" s="37" t="str">
        <x:v>Pick up the airplane toy without propellers and place it in the bowl.</x:v>
      </x:c>
      <x:c r="O958" s="37" t="str"/>
      <x:c r="P958" s="37" t="str">
        <x:v>The word one is explicitly trained through addition, while one-through-removal is withheld.</x:v>
      </x:c>
      <x:c r="Q958" s="38"/>
    </x:row>
    <x:row r="959" ht="60" customHeight="1">
      <x:c r="A959" s="70" t="n">
        <x:v>957</x:v>
      </x:c>
      <x:c r="B959" s="37" t="str">
        <x:v>Counting</x:v>
      </x:c>
      <x:c r="C959" s="37" t="str">
        <x:v>Leave exactly one object in the bowl.</x:v>
      </x:c>
      <x:c r="D959" s="37" t="str">
        <x:v>Explicit goal-count grounding</x:v>
      </x:c>
      <x:c r="E959" s="37" t="str">
        <x:v>goal=1; familiar transition=0→1 addition</x:v>
      </x:c>
      <x:c r="F959" s="37" t="str">
        <x:v>count_goal_1_seen_add</x:v>
      </x:c>
      <x:c r="G959" s="37" t="str">
        <x:v>goal one via removal (2→1); goal three via addition (2→3)</x:v>
      </x:c>
      <x:c r="H959" s="37" t="str">
        <x:v>Yes</x:v>
      </x:c>
      <x:c r="I959" s="37" t="str">
        <x:v>Replace prompt only</x:v>
      </x:c>
      <x:c r="J959" s="37" t="str">
        <x:v>Prompt-only relabeling; preserve episode 957 video, scene, trajectory, target, and start position.</x:v>
      </x:c>
      <x:c r="K959" s="37" t="str">
        <x:v>airplane toy without propellers</x:v>
      </x:c>
      <x:c r="L959" s="37" t="str">
        <x:v>airplane toy without propellers</x:v>
      </x:c>
      <x:c r="M959" s="37" t="str">
        <x:v>Recovery</x:v>
      </x:c>
      <x:c r="N959" s="37" t="str">
        <x:v>Put the airplane toy without propellers in the bowl.</x:v>
      </x:c>
      <x:c r="O959" s="37" t="str"/>
      <x:c r="P959" s="37" t="str">
        <x:v>The word one is explicitly trained through addition, while one-through-removal is withheld.</x:v>
      </x:c>
      <x:c r="Q959" s="38"/>
    </x:row>
    <x:row r="960" ht="60" customHeight="1">
      <x:c r="A960" s="70" t="n">
        <x:v>958</x:v>
      </x:c>
      <x:c r="B960" s="37" t="str">
        <x:v>Counting</x:v>
      </x:c>
      <x:c r="C960" s="37" t="str">
        <x:v>Adjust the bowl so that it contains two objects.</x:v>
      </x:c>
      <x:c r="D960" s="37" t="str">
        <x:v>Explicit goal-count grounding</x:v>
      </x:c>
      <x:c r="E960" s="37" t="str">
        <x:v>goal=2; in-distribution anchor</x:v>
      </x:c>
      <x:c r="F960" s="37" t="str">
        <x:v>count_goal_2_explicit_anchor</x:v>
      </x:c>
      <x:c r="G960" s="37" t="str">
        <x:v>goal one via removal (2→1); goal three via addition (2→3)</x:v>
      </x:c>
      <x:c r="H960" s="37" t="str">
        <x:v>No</x:v>
      </x:c>
      <x:c r="I960" s="37" t="str">
        <x:v>Keep prompt</x:v>
      </x:c>
      <x:c r="J960" s="37" t="str">
        <x:v>No prompt change required under the missing-cell design.</x:v>
      </x:c>
      <x:c r="K960" s="37" t="str">
        <x:v>blue pen, airplane toy without propellers, yellow block, green pencil sharpener</x:v>
      </x:c>
      <x:c r="L960" s="37" t="str">
        <x:v>airplane toy without propellers</x:v>
      </x:c>
      <x:c r="M960" s="37" t="str">
        <x:v>Home</x:v>
      </x:c>
      <x:c r="N960" s="37" t="str">
        <x:v>Adjust the bowl so that it contains two objects.</x:v>
      </x:c>
      <x:c r="O960" s="37" t="str"/>
      <x:c r="P960" s="37" t="str">
        <x:v>Explicitly grounds final count 2 as an in-distribution counting anchor.</x:v>
      </x:c>
      <x:c r="Q960" s="38"/>
    </x:row>
    <x:row r="961" ht="60" customHeight="1">
      <x:c r="A961" s="70" t="n">
        <x:v>959</x:v>
      </x:c>
      <x:c r="B961" s="37" t="str">
        <x:v>Counting</x:v>
      </x:c>
      <x:c r="C961" s="37" t="str">
        <x:v>Leave exactly two objects in the bowl.</x:v>
      </x:c>
      <x:c r="D961" s="37" t="str">
        <x:v>Explicit goal-count grounding</x:v>
      </x:c>
      <x:c r="E961" s="37" t="str">
        <x:v>goal=2; in-distribution anchor</x:v>
      </x:c>
      <x:c r="F961" s="37" t="str">
        <x:v>count_goal_2_explicit_anchor</x:v>
      </x:c>
      <x:c r="G961" s="37" t="str">
        <x:v>goal one via removal (2→1); goal three via addition (2→3)</x:v>
      </x:c>
      <x:c r="H961" s="37" t="str">
        <x:v>No</x:v>
      </x:c>
      <x:c r="I961" s="37" t="str">
        <x:v>Keep prompt</x:v>
      </x:c>
      <x:c r="J961" s="37" t="str">
        <x:v>No prompt change required under the missing-cell design.</x:v>
      </x:c>
      <x:c r="K961" s="37" t="str">
        <x:v>yellow block, airplane toy without propellers, blue pen</x:v>
      </x:c>
      <x:c r="L961" s="37" t="str">
        <x:v>airplane toy without propellers</x:v>
      </x:c>
      <x:c r="M961" s="37" t="str">
        <x:v>Home</x:v>
      </x:c>
      <x:c r="N961" s="37" t="str">
        <x:v>Leave exactly two objects in the bowl.</x:v>
      </x:c>
      <x:c r="O961" s="37" t="str"/>
      <x:c r="P961" s="37" t="str">
        <x:v>Explicitly grounds final count 2 as an in-distribution counting anchor.</x:v>
      </x:c>
      <x:c r="Q961" s="38"/>
    </x:row>
    <x:row r="962" ht="60" customHeight="1">
      <x:c r="A962" s="70" t="n">
        <x:v>960</x:v>
      </x:c>
      <x:c r="B962" s="37" t="str">
        <x:v>Counting</x:v>
      </x:c>
      <x:c r="C962" s="37" t="str">
        <x:v>Make the bowl contain exactly two objects.</x:v>
      </x:c>
      <x:c r="D962" s="37" t="str">
        <x:v>Explicit goal-count grounding</x:v>
      </x:c>
      <x:c r="E962" s="37" t="str">
        <x:v>goal=2; in-distribution anchor</x:v>
      </x:c>
      <x:c r="F962" s="37" t="str">
        <x:v>count_goal_2_explicit_anchor</x:v>
      </x:c>
      <x:c r="G962" s="37" t="str">
        <x:v>goal one via removal (2→1); goal three via addition (2→3)</x:v>
      </x:c>
      <x:c r="H962" s="37" t="str">
        <x:v>No</x:v>
      </x:c>
      <x:c r="I962" s="37" t="str">
        <x:v>Keep prompt</x:v>
      </x:c>
      <x:c r="J962" s="37" t="str">
        <x:v>No prompt change required under the missing-cell design.</x:v>
      </x:c>
      <x:c r="K962" s="37" t="str">
        <x:v>green pencil sharpener, airplane toy without propellers, yellow block</x:v>
      </x:c>
      <x:c r="L962" s="37" t="str">
        <x:v>airplane toy without propellers</x:v>
      </x:c>
      <x:c r="M962" s="37" t="str">
        <x:v>Home</x:v>
      </x:c>
      <x:c r="N962" s="37" t="str">
        <x:v>Make the bowl contain exactly two objects.</x:v>
      </x:c>
      <x:c r="O962" s="37" t="str"/>
      <x:c r="P962" s="37" t="str">
        <x:v>Explicitly grounds final count 2 as an in-distribution counting anchor.</x:v>
      </x:c>
      <x:c r="Q962" s="38"/>
    </x:row>
    <x:row r="963" ht="60" customHeight="1">
      <x:c r="A963" s="70" t="n">
        <x:v>961</x:v>
      </x:c>
      <x:c r="B963" s="37" t="str">
        <x:v>Counting</x:v>
      </x:c>
      <x:c r="C963" s="37" t="str">
        <x:v>Make the bowl contain exactly two objects.</x:v>
      </x:c>
      <x:c r="D963" s="37" t="str">
        <x:v>Explicit goal-count grounding</x:v>
      </x:c>
      <x:c r="E963" s="37" t="str">
        <x:v>goal=2; in-distribution anchor</x:v>
      </x:c>
      <x:c r="F963" s="37" t="str">
        <x:v>count_goal_2_explicit_anchor</x:v>
      </x:c>
      <x:c r="G963" s="37" t="str">
        <x:v>goal one via removal (2→1); goal three via addition (2→3)</x:v>
      </x:c>
      <x:c r="H963" s="37" t="str">
        <x:v>No</x:v>
      </x:c>
      <x:c r="I963" s="37" t="str">
        <x:v>Keep prompt</x:v>
      </x:c>
      <x:c r="J963" s="37" t="str">
        <x:v>No prompt change required under the missing-cell design.</x:v>
      </x:c>
      <x:c r="K963" s="37" t="str">
        <x:v>blue pen, airplane toy without propellers, yellow block, green pencil sharpener</x:v>
      </x:c>
      <x:c r="L963" s="37" t="str">
        <x:v>airplane toy without propellers</x:v>
      </x:c>
      <x:c r="M963" s="37" t="str">
        <x:v>Post-Drop</x:v>
      </x:c>
      <x:c r="N963" s="37" t="str">
        <x:v>Make the bowl contain exactly two objects.</x:v>
      </x:c>
      <x:c r="O963" s="37" t="str"/>
      <x:c r="P963" s="37" t="str">
        <x:v>Explicitly grounds final count 2 as an in-distribution counting anchor.</x:v>
      </x:c>
      <x:c r="Q963" s="38"/>
    </x:row>
    <x:row r="964" ht="60" customHeight="1">
      <x:c r="A964" s="70" t="n">
        <x:v>962</x:v>
      </x:c>
      <x:c r="B964" s="37" t="str">
        <x:v>Counting</x:v>
      </x:c>
      <x:c r="C964" s="37" t="str">
        <x:v>Leave exactly two objects in the bowl.</x:v>
      </x:c>
      <x:c r="D964" s="37" t="str">
        <x:v>Explicit goal-count grounding</x:v>
      </x:c>
      <x:c r="E964" s="37" t="str">
        <x:v>goal=2; in-distribution anchor</x:v>
      </x:c>
      <x:c r="F964" s="37" t="str">
        <x:v>count_goal_2_explicit_anchor</x:v>
      </x:c>
      <x:c r="G964" s="37" t="str">
        <x:v>goal one via removal (2→1); goal three via addition (2→3)</x:v>
      </x:c>
      <x:c r="H964" s="37" t="str">
        <x:v>No</x:v>
      </x:c>
      <x:c r="I964" s="37" t="str">
        <x:v>Keep prompt</x:v>
      </x:c>
      <x:c r="J964" s="37" t="str">
        <x:v>No prompt change required under the missing-cell design.</x:v>
      </x:c>
      <x:c r="K964" s="37" t="str">
        <x:v>yellow block, airplane toy without propellers, green pencil sharpener</x:v>
      </x:c>
      <x:c r="L964" s="37" t="str">
        <x:v>airplane toy without propellers</x:v>
      </x:c>
      <x:c r="M964" s="37" t="str">
        <x:v>Post-Drop</x:v>
      </x:c>
      <x:c r="N964" s="37" t="str">
        <x:v>Leave exactly two objects in the bowl.</x:v>
      </x:c>
      <x:c r="O964" s="37" t="str"/>
      <x:c r="P964" s="37" t="str">
        <x:v>Explicitly grounds final count 2 as an in-distribution counting anchor.</x:v>
      </x:c>
      <x:c r="Q964" s="38"/>
    </x:row>
    <x:row r="965" ht="60" customHeight="1">
      <x:c r="A965" s="70" t="n">
        <x:v>963</x:v>
      </x:c>
      <x:c r="B965" s="37" t="str">
        <x:v>Counting</x:v>
      </x:c>
      <x:c r="C965" s="37" t="str">
        <x:v>Leave exactly two objects in the bowl.</x:v>
      </x:c>
      <x:c r="D965" s="37" t="str">
        <x:v>Explicit goal-count grounding</x:v>
      </x:c>
      <x:c r="E965" s="37" t="str">
        <x:v>goal=2; in-distribution anchor</x:v>
      </x:c>
      <x:c r="F965" s="37" t="str">
        <x:v>count_goal_2_explicit_anchor</x:v>
      </x:c>
      <x:c r="G965" s="37" t="str">
        <x:v>goal one via removal (2→1); goal three via addition (2→3)</x:v>
      </x:c>
      <x:c r="H965" s="37" t="str">
        <x:v>No</x:v>
      </x:c>
      <x:c r="I965" s="37" t="str">
        <x:v>Keep prompt</x:v>
      </x:c>
      <x:c r="J965" s="37" t="str">
        <x:v>No prompt change required under the missing-cell design.</x:v>
      </x:c>
      <x:c r="K965" s="37" t="str">
        <x:v>green pencil sharpener, airplane toy without propellers, blue pen</x:v>
      </x:c>
      <x:c r="L965" s="37" t="str">
        <x:v>airplane toy without propellers</x:v>
      </x:c>
      <x:c r="M965" s="37" t="str">
        <x:v>Post-Drop</x:v>
      </x:c>
      <x:c r="N965" s="37" t="str">
        <x:v>Leave exactly two objects in the bowl.</x:v>
      </x:c>
      <x:c r="O965" s="37" t="str"/>
      <x:c r="P965" s="37" t="str">
        <x:v>Explicitly grounds final count 2 as an in-distribution counting anchor.</x:v>
      </x:c>
      <x:c r="Q965" s="38"/>
    </x:row>
    <x:row r="966" ht="60" customHeight="1">
      <x:c r="A966" s="70" t="n">
        <x:v>964</x:v>
      </x:c>
      <x:c r="B966" s="37" t="str">
        <x:v>Counting</x:v>
      </x:c>
      <x:c r="C966" s="37" t="str">
        <x:v>Leave exactly two objects in the bowl.</x:v>
      </x:c>
      <x:c r="D966" s="37" t="str">
        <x:v>Explicit goal-count grounding</x:v>
      </x:c>
      <x:c r="E966" s="37" t="str">
        <x:v>goal=2; in-distribution anchor</x:v>
      </x:c>
      <x:c r="F966" s="37" t="str">
        <x:v>count_goal_2_explicit_anchor</x:v>
      </x:c>
      <x:c r="G966" s="37" t="str">
        <x:v>goal one via removal (2→1); goal three via addition (2→3)</x:v>
      </x:c>
      <x:c r="H966" s="37" t="str">
        <x:v>No</x:v>
      </x:c>
      <x:c r="I966" s="37" t="str">
        <x:v>Keep prompt</x:v>
      </x:c>
      <x:c r="J966" s="37" t="str">
        <x:v>No prompt change required under the missing-cell design.</x:v>
      </x:c>
      <x:c r="K966" s="37" t="str">
        <x:v>yellow block, airplane toy without propellers, green pencil sharpener</x:v>
      </x:c>
      <x:c r="L966" s="37" t="str">
        <x:v>airplane toy without propellers</x:v>
      </x:c>
      <x:c r="M966" s="37" t="str">
        <x:v>Recovery</x:v>
      </x:c>
      <x:c r="N966" s="37" t="str">
        <x:v>Leave exactly two objects in the bowl.</x:v>
      </x:c>
      <x:c r="O966" s="37" t="str"/>
      <x:c r="P966" s="37" t="str">
        <x:v>Explicitly grounds final count 2 as an in-distribution counting anchor.</x:v>
      </x:c>
      <x:c r="Q966" s="38"/>
    </x:row>
    <x:row r="967" ht="60" customHeight="1">
      <x:c r="A967" s="70" t="n">
        <x:v>965</x:v>
      </x:c>
      <x:c r="B967" s="37" t="str">
        <x:v>Counting</x:v>
      </x:c>
      <x:c r="C967" s="37" t="str">
        <x:v>Leave exactly two objects in the bowl.</x:v>
      </x:c>
      <x:c r="D967" s="37" t="str">
        <x:v>Explicit goal-count grounding</x:v>
      </x:c>
      <x:c r="E967" s="37" t="str">
        <x:v>goal=2; in-distribution anchor</x:v>
      </x:c>
      <x:c r="F967" s="37" t="str">
        <x:v>count_goal_2_explicit_anchor</x:v>
      </x:c>
      <x:c r="G967" s="37" t="str">
        <x:v>goal one via removal (2→1); goal three via addition (2→3)</x:v>
      </x:c>
      <x:c r="H967" s="37" t="str">
        <x:v>No</x:v>
      </x:c>
      <x:c r="I967" s="37" t="str">
        <x:v>Keep prompt</x:v>
      </x:c>
      <x:c r="J967" s="37" t="str">
        <x:v>No prompt change required under the missing-cell design.</x:v>
      </x:c>
      <x:c r="K967" s="37" t="str">
        <x:v>blue pen, airplane toy without propellers</x:v>
      </x:c>
      <x:c r="L967" s="37" t="str">
        <x:v>airplane toy without propellers</x:v>
      </x:c>
      <x:c r="M967" s="37" t="str">
        <x:v>Recovery</x:v>
      </x:c>
      <x:c r="N967" s="37" t="str">
        <x:v>Leave exactly two objects in the bowl.</x:v>
      </x:c>
      <x:c r="O967" s="37" t="str"/>
      <x:c r="P967" s="37" t="str">
        <x:v>Explicitly grounds final count 2 as an in-distribution counting anchor.</x:v>
      </x:c>
      <x:c r="Q967" s="38"/>
    </x:row>
    <x:row r="968" ht="60" customHeight="1">
      <x:c r="A968" s="70" t="n">
        <x:v>966</x:v>
      </x:c>
      <x:c r="B968" s="37" t="str">
        <x:v>Counting</x:v>
      </x:c>
      <x:c r="C968" s="37" t="str">
        <x:v>Pick up the airplane toy without propellers and place it in the bowl.</x:v>
      </x:c>
      <x:c r="D968" s="37" t="str">
        <x:v>Masked goal-count × transition composition</x:v>
      </x:c>
      <x:c r="E968" s="37" t="str">
        <x:v>direct addition of airplane toy without propellers; hidden goal=3; transition=2→3</x:v>
      </x:c>
      <x:c r="F968" s="37" t="str">
        <x:v>count_goal_3_add_masked</x:v>
      </x:c>
      <x:c r="G968" s="37" t="str">
        <x:v>goal one via removal (2→1); goal three via addition (2→3)</x:v>
      </x:c>
      <x:c r="H968" s="37" t="str">
        <x:v>No</x:v>
      </x:c>
      <x:c r="I968" s="37" t="str">
        <x:v>Keep prompt</x:v>
      </x:c>
      <x:c r="J968" s="37" t="str">
        <x:v>No prompt change required under the missing-cell design.</x:v>
      </x:c>
      <x:c r="K968" s="37" t="str">
        <x:v>blue pen, yellow block, airplane toy without propellers, green pencil sharpener</x:v>
      </x:c>
      <x:c r="L968" s="37" t="str">
        <x:v>airplane toy without propellers</x:v>
      </x:c>
      <x:c r="M968" s="37" t="str">
        <x:v>Home</x:v>
      </x:c>
      <x:c r="N968" s="37" t="str">
        <x:v>Pick up the airplane toy without propellers and place it in the bowl.</x:v>
      </x:c>
      <x:c r="O968" s="37" t="str">
        <x:v>Leave exactly three objects in the bowl.</x:v>
      </x:c>
      <x:c r="P968" s="37" t="str">
        <x:v>The exact 2→3 motor transition is trained with a direct instruction, but the goal-count instruction is withheld.</x:v>
      </x:c>
      <x:c r="Q968" s="38"/>
    </x:row>
    <x:row r="969" ht="60" customHeight="1">
      <x:c r="A969" s="70" t="n">
        <x:v>967</x:v>
      </x:c>
      <x:c r="B969" s="37" t="str">
        <x:v>Counting</x:v>
      </x:c>
      <x:c r="C969" s="37" t="str">
        <x:v>Pick up the airplane toy without propellers and place it in the bowl.</x:v>
      </x:c>
      <x:c r="D969" s="37" t="str">
        <x:v>Masked goal-count × transition composition</x:v>
      </x:c>
      <x:c r="E969" s="37" t="str">
        <x:v>direct addition of airplane toy without propellers; hidden goal=3; transition=2→3</x:v>
      </x:c>
      <x:c r="F969" s="37" t="str">
        <x:v>count_goal_3_add_masked</x:v>
      </x:c>
      <x:c r="G969" s="37" t="str">
        <x:v>goal one via removal (2→1); goal three via addition (2→3)</x:v>
      </x:c>
      <x:c r="H969" s="37" t="str">
        <x:v>No</x:v>
      </x:c>
      <x:c r="I969" s="37" t="str">
        <x:v>Keep prompt</x:v>
      </x:c>
      <x:c r="J969" s="37" t="str">
        <x:v>No prompt change required under the missing-cell design.</x:v>
      </x:c>
      <x:c r="K969" s="37" t="str">
        <x:v>yellow block, green pencil sharpener, airplane toy without propellers, blue pen</x:v>
      </x:c>
      <x:c r="L969" s="37" t="str">
        <x:v>airplane toy without propellers</x:v>
      </x:c>
      <x:c r="M969" s="37" t="str">
        <x:v>Home</x:v>
      </x:c>
      <x:c r="N969" s="37" t="str">
        <x:v>Pick up the airplane toy without propellers and place it in the bowl.</x:v>
      </x:c>
      <x:c r="O969" s="37" t="str">
        <x:v>Leave exactly three objects in the bowl.</x:v>
      </x:c>
      <x:c r="P969" s="37" t="str">
        <x:v>The exact 2→3 motor transition is trained with a direct instruction, but the goal-count instruction is withheld.</x:v>
      </x:c>
      <x:c r="Q969" s="38"/>
    </x:row>
    <x:row r="970" ht="60" customHeight="1">
      <x:c r="A970" s="70" t="n">
        <x:v>968</x:v>
      </x:c>
      <x:c r="B970" s="37" t="str">
        <x:v>Counting</x:v>
      </x:c>
      <x:c r="C970" s="37" t="str">
        <x:v>Move the airplane toy without propellers into the bowl.</x:v>
      </x:c>
      <x:c r="D970" s="37" t="str">
        <x:v>Masked goal-count × transition composition</x:v>
      </x:c>
      <x:c r="E970" s="37" t="str">
        <x:v>direct addition of airplane toy without propellers; hidden goal=3; transition=2→3</x:v>
      </x:c>
      <x:c r="F970" s="37" t="str">
        <x:v>count_goal_3_add_masked</x:v>
      </x:c>
      <x:c r="G970" s="37" t="str">
        <x:v>goal one via removal (2→1); goal three via addition (2→3)</x:v>
      </x:c>
      <x:c r="H970" s="37" t="str">
        <x:v>No</x:v>
      </x:c>
      <x:c r="I970" s="37" t="str">
        <x:v>Keep prompt</x:v>
      </x:c>
      <x:c r="J970" s="37" t="str">
        <x:v>No prompt change required under the missing-cell design.</x:v>
      </x:c>
      <x:c r="K970" s="37" t="str">
        <x:v>blue pen, green pencil sharpener, airplane toy without propellers, yellow block</x:v>
      </x:c>
      <x:c r="L970" s="37" t="str">
        <x:v>airplane toy without propellers</x:v>
      </x:c>
      <x:c r="M970" s="37" t="str">
        <x:v>Home</x:v>
      </x:c>
      <x:c r="N970" s="37" t="str">
        <x:v>Move the airplane toy without propellers into the bowl.</x:v>
      </x:c>
      <x:c r="O970" s="37" t="str">
        <x:v>Leave exactly three objects in the bowl.</x:v>
      </x:c>
      <x:c r="P970" s="37" t="str">
        <x:v>The exact 2→3 motor transition is trained with a direct instruction, but the goal-count instruction is withheld.</x:v>
      </x:c>
      <x:c r="Q970" s="38"/>
    </x:row>
    <x:row r="971" ht="60" customHeight="1">
      <x:c r="A971" s="70" t="n">
        <x:v>969</x:v>
      </x:c>
      <x:c r="B971" s="37" t="str">
        <x:v>Counting</x:v>
      </x:c>
      <x:c r="C971" s="37" t="str">
        <x:v>Move the airplane toy without propellers into the bowl.</x:v>
      </x:c>
      <x:c r="D971" s="37" t="str">
        <x:v>Masked goal-count × transition composition</x:v>
      </x:c>
      <x:c r="E971" s="37" t="str">
        <x:v>direct addition of airplane toy without propellers; hidden goal=3; transition=2→3</x:v>
      </x:c>
      <x:c r="F971" s="37" t="str">
        <x:v>count_goal_3_add_masked</x:v>
      </x:c>
      <x:c r="G971" s="37" t="str">
        <x:v>goal one via removal (2→1); goal three via addition (2→3)</x:v>
      </x:c>
      <x:c r="H971" s="37" t="str">
        <x:v>No</x:v>
      </x:c>
      <x:c r="I971" s="37" t="str">
        <x:v>Keep prompt</x:v>
      </x:c>
      <x:c r="J971" s="37" t="str">
        <x:v>No prompt change required under the missing-cell design.</x:v>
      </x:c>
      <x:c r="K971" s="37" t="str">
        <x:v>blue pen, yellow block, airplane toy without propellers</x:v>
      </x:c>
      <x:c r="L971" s="37" t="str">
        <x:v>airplane toy without propellers</x:v>
      </x:c>
      <x:c r="M971" s="37" t="str">
        <x:v>Home</x:v>
      </x:c>
      <x:c r="N971" s="37" t="str">
        <x:v>Move the airplane toy without propellers into the bowl.</x:v>
      </x:c>
      <x:c r="O971" s="37" t="str">
        <x:v>Leave exactly three objects in the bowl.</x:v>
      </x:c>
      <x:c r="P971" s="37" t="str">
        <x:v>The exact 2→3 motor transition is trained with a direct instruction, but the goal-count instruction is withheld.</x:v>
      </x:c>
      <x:c r="Q971" s="38"/>
    </x:row>
    <x:row r="972" ht="60" customHeight="1">
      <x:c r="A972" s="70" t="n">
        <x:v>970</x:v>
      </x:c>
      <x:c r="B972" s="37" t="str">
        <x:v>Counting</x:v>
      </x:c>
      <x:c r="C972" s="37" t="str">
        <x:v>Put the airplane toy without propellers in the bowl.</x:v>
      </x:c>
      <x:c r="D972" s="37" t="str">
        <x:v>Masked goal-count × transition composition</x:v>
      </x:c>
      <x:c r="E972" s="37" t="str">
        <x:v>direct addition of airplane toy without propellers; hidden goal=3; transition=2→3</x:v>
      </x:c>
      <x:c r="F972" s="37" t="str">
        <x:v>count_goal_3_add_masked</x:v>
      </x:c>
      <x:c r="G972" s="37" t="str">
        <x:v>goal one via removal (2→1); goal three via addition (2→3)</x:v>
      </x:c>
      <x:c r="H972" s="37" t="str">
        <x:v>No</x:v>
      </x:c>
      <x:c r="I972" s="37" t="str">
        <x:v>Keep prompt</x:v>
      </x:c>
      <x:c r="J972" s="37" t="str">
        <x:v>No prompt change required under the missing-cell design.</x:v>
      </x:c>
      <x:c r="K972" s="37" t="str">
        <x:v>yellow block, green pencil sharpener, airplane toy without propellers, blue pen</x:v>
      </x:c>
      <x:c r="L972" s="37" t="str">
        <x:v>airplane toy without propellers</x:v>
      </x:c>
      <x:c r="M972" s="37" t="str">
        <x:v>Post-Drop</x:v>
      </x:c>
      <x:c r="N972" s="37" t="str">
        <x:v>Put the airplane toy without propellers in the bowl.</x:v>
      </x:c>
      <x:c r="O972" s="37" t="str">
        <x:v>Leave exactly three objects in the bowl.</x:v>
      </x:c>
      <x:c r="P972" s="37" t="str">
        <x:v>The exact 2→3 motor transition is trained with a direct instruction, but the goal-count instruction is withheld.</x:v>
      </x:c>
      <x:c r="Q972" s="38"/>
    </x:row>
    <x:row r="973" ht="60" customHeight="1">
      <x:c r="A973" s="70" t="n">
        <x:v>971</x:v>
      </x:c>
      <x:c r="B973" s="37" t="str">
        <x:v>Counting</x:v>
      </x:c>
      <x:c r="C973" s="37" t="str">
        <x:v>Pick up the airplane toy without propellers and place it in the bowl.</x:v>
      </x:c>
      <x:c r="D973" s="37" t="str">
        <x:v>Masked goal-count × transition composition</x:v>
      </x:c>
      <x:c r="E973" s="37" t="str">
        <x:v>direct addition of airplane toy without propellers; hidden goal=3; transition=2→3</x:v>
      </x:c>
      <x:c r="F973" s="37" t="str">
        <x:v>count_goal_3_add_masked</x:v>
      </x:c>
      <x:c r="G973" s="37" t="str">
        <x:v>goal one via removal (2→1); goal three via addition (2→3)</x:v>
      </x:c>
      <x:c r="H973" s="37" t="str">
        <x:v>No</x:v>
      </x:c>
      <x:c r="I973" s="37" t="str">
        <x:v>Keep prompt</x:v>
      </x:c>
      <x:c r="J973" s="37" t="str">
        <x:v>No prompt change required under the missing-cell design.</x:v>
      </x:c>
      <x:c r="K973" s="37" t="str">
        <x:v>blue pen, green pencil sharpener, airplane toy without propellers, yellow block</x:v>
      </x:c>
      <x:c r="L973" s="37" t="str">
        <x:v>airplane toy without propellers</x:v>
      </x:c>
      <x:c r="M973" s="37" t="str">
        <x:v>Post-Drop</x:v>
      </x:c>
      <x:c r="N973" s="37" t="str">
        <x:v>Pick up the airplane toy without propellers and place it in the bowl.</x:v>
      </x:c>
      <x:c r="O973" s="37" t="str">
        <x:v>Leave exactly three objects in the bowl.</x:v>
      </x:c>
      <x:c r="P973" s="37" t="str">
        <x:v>The exact 2→3 motor transition is trained with a direct instruction, but the goal-count instruction is withheld.</x:v>
      </x:c>
      <x:c r="Q973" s="38"/>
    </x:row>
    <x:row r="974" ht="60" customHeight="1">
      <x:c r="A974" s="70" t="n">
        <x:v>972</x:v>
      </x:c>
      <x:c r="B974" s="37" t="str">
        <x:v>Counting</x:v>
      </x:c>
      <x:c r="C974" s="37" t="str">
        <x:v>Move the airplane toy without propellers into the bowl.</x:v>
      </x:c>
      <x:c r="D974" s="37" t="str">
        <x:v>Masked goal-count × transition composition</x:v>
      </x:c>
      <x:c r="E974" s="37" t="str">
        <x:v>direct addition of airplane toy without propellers; hidden goal=3; transition=2→3</x:v>
      </x:c>
      <x:c r="F974" s="37" t="str">
        <x:v>count_goal_3_add_masked</x:v>
      </x:c>
      <x:c r="G974" s="37" t="str">
        <x:v>goal one via removal (2→1); goal three via addition (2→3)</x:v>
      </x:c>
      <x:c r="H974" s="37" t="str">
        <x:v>No</x:v>
      </x:c>
      <x:c r="I974" s="37" t="str">
        <x:v>Keep prompt</x:v>
      </x:c>
      <x:c r="J974" s="37" t="str">
        <x:v>No prompt change required under the missing-cell design.</x:v>
      </x:c>
      <x:c r="K974" s="37" t="str">
        <x:v>blue pen, yellow block, airplane toy without propellers, green pencil sharpener</x:v>
      </x:c>
      <x:c r="L974" s="37" t="str">
        <x:v>airplane toy without propellers</x:v>
      </x:c>
      <x:c r="M974" s="37" t="str">
        <x:v>Post-Drop</x:v>
      </x:c>
      <x:c r="N974" s="37" t="str">
        <x:v>Move the airplane toy without propellers into the bowl.</x:v>
      </x:c>
      <x:c r="O974" s="37" t="str">
        <x:v>Leave exactly three objects in the bowl.</x:v>
      </x:c>
      <x:c r="P974" s="37" t="str">
        <x:v>The exact 2→3 motor transition is trained with a direct instruction, but the goal-count instruction is withheld.</x:v>
      </x:c>
      <x:c r="Q974" s="38"/>
    </x:row>
    <x:row r="975" ht="60" customHeight="1">
      <x:c r="A975" s="70" t="n">
        <x:v>973</x:v>
      </x:c>
      <x:c r="B975" s="37" t="str">
        <x:v>Counting</x:v>
      </x:c>
      <x:c r="C975" s="37" t="str">
        <x:v>Pick up the airplane toy without propellers and place it in the bowl.</x:v>
      </x:c>
      <x:c r="D975" s="37" t="str">
        <x:v>Masked goal-count × transition composition</x:v>
      </x:c>
      <x:c r="E975" s="37" t="str">
        <x:v>direct addition of airplane toy without propellers; hidden goal=3; transition=2→3</x:v>
      </x:c>
      <x:c r="F975" s="37" t="str">
        <x:v>count_goal_3_add_masked</x:v>
      </x:c>
      <x:c r="G975" s="37" t="str">
        <x:v>goal one via removal (2→1); goal three via addition (2→3)</x:v>
      </x:c>
      <x:c r="H975" s="37" t="str">
        <x:v>No</x:v>
      </x:c>
      <x:c r="I975" s="37" t="str">
        <x:v>Keep prompt</x:v>
      </x:c>
      <x:c r="J975" s="37" t="str">
        <x:v>No prompt change required under the missing-cell design.</x:v>
      </x:c>
      <x:c r="K975" s="37" t="str">
        <x:v>yellow block, green pencil sharpener, airplane toy without propellers</x:v>
      </x:c>
      <x:c r="L975" s="37" t="str">
        <x:v>airplane toy without propellers</x:v>
      </x:c>
      <x:c r="M975" s="37" t="str">
        <x:v>Post-Drop</x:v>
      </x:c>
      <x:c r="N975" s="37" t="str">
        <x:v>Pick up the airplane toy without propellers and place it in the bowl.</x:v>
      </x:c>
      <x:c r="O975" s="37" t="str">
        <x:v>Leave exactly three objects in the bowl.</x:v>
      </x:c>
      <x:c r="P975" s="37" t="str">
        <x:v>The exact 2→3 motor transition is trained with a direct instruction, but the goal-count instruction is withheld.</x:v>
      </x:c>
      <x:c r="Q975" s="38"/>
    </x:row>
    <x:row r="976" ht="60" customHeight="1">
      <x:c r="A976" s="70" t="n">
        <x:v>974</x:v>
      </x:c>
      <x:c r="B976" s="37" t="str">
        <x:v>Counting</x:v>
      </x:c>
      <x:c r="C976" s="37" t="str">
        <x:v>Put the airplane toy without propellers in the bowl.</x:v>
      </x:c>
      <x:c r="D976" s="37" t="str">
        <x:v>Masked goal-count × transition composition</x:v>
      </x:c>
      <x:c r="E976" s="37" t="str">
        <x:v>direct addition of airplane toy without propellers; hidden goal=3; transition=2→3</x:v>
      </x:c>
      <x:c r="F976" s="37" t="str">
        <x:v>count_goal_3_add_masked</x:v>
      </x:c>
      <x:c r="G976" s="37" t="str">
        <x:v>goal one via removal (2→1); goal three via addition (2→3)</x:v>
      </x:c>
      <x:c r="H976" s="37" t="str">
        <x:v>No</x:v>
      </x:c>
      <x:c r="I976" s="37" t="str">
        <x:v>Keep prompt</x:v>
      </x:c>
      <x:c r="J976" s="37" t="str">
        <x:v>No prompt change required under the missing-cell design.</x:v>
      </x:c>
      <x:c r="K976" s="37" t="str">
        <x:v>blue pen, green pencil sharpener, airplane toy without propellers</x:v>
      </x:c>
      <x:c r="L976" s="37" t="str">
        <x:v>airplane toy without propellers</x:v>
      </x:c>
      <x:c r="M976" s="37" t="str">
        <x:v>Recovery</x:v>
      </x:c>
      <x:c r="N976" s="37" t="str">
        <x:v>Put the airplane toy without propellers in the bowl.</x:v>
      </x:c>
      <x:c r="O976" s="37" t="str">
        <x:v>Leave exactly three objects in the bowl.</x:v>
      </x:c>
      <x:c r="P976" s="37" t="str">
        <x:v>The exact 2→3 motor transition is trained with a direct instruction, but the goal-count instruction is withheld.</x:v>
      </x:c>
      <x:c r="Q976" s="38"/>
    </x:row>
    <x:row r="977" ht="60" customHeight="1">
      <x:c r="A977" s="70" t="n">
        <x:v>975</x:v>
      </x:c>
      <x:c r="B977" s="37" t="str">
        <x:v>Counting</x:v>
      </x:c>
      <x:c r="C977" s="37" t="str">
        <x:v>Leave no objects in the bowl.</x:v>
      </x:c>
      <x:c r="D977" s="37" t="str">
        <x:v>Explicit goal-count grounding</x:v>
      </x:c>
      <x:c r="E977" s="37" t="str">
        <x:v>goal=0; in-distribution anchor</x:v>
      </x:c>
      <x:c r="F977" s="37" t="str">
        <x:v>count_goal_0_explicit_anchor</x:v>
      </x:c>
      <x:c r="G977" s="37" t="str">
        <x:v>goal one via removal (2→1); goal three via addition (2→3)</x:v>
      </x:c>
      <x:c r="H977" s="37" t="str">
        <x:v>No</x:v>
      </x:c>
      <x:c r="I977" s="37" t="str">
        <x:v>Keep prompt</x:v>
      </x:c>
      <x:c r="J977" s="37" t="str">
        <x:v>No prompt change required under the missing-cell design.</x:v>
      </x:c>
      <x:c r="K977" s="37" t="str">
        <x:v>airplane toy without propellers, blue pen, yellow block, green pencil sharpener</x:v>
      </x:c>
      <x:c r="L977" s="37" t="str">
        <x:v>airplane toy without propellers</x:v>
      </x:c>
      <x:c r="M977" s="37" t="str">
        <x:v>Home</x:v>
      </x:c>
      <x:c r="N977" s="37" t="str">
        <x:v>Leave no objects in the bowl.</x:v>
      </x:c>
      <x:c r="O977" s="37" t="str"/>
      <x:c r="P977" s="37" t="str">
        <x:v>Explicitly grounds final count 0 as an in-distribution counting anchor.</x:v>
      </x:c>
      <x:c r="Q977" s="38"/>
    </x:row>
    <x:row r="978" ht="60" customHeight="1">
      <x:c r="A978" s="70" t="n">
        <x:v>976</x:v>
      </x:c>
      <x:c r="B978" s="37" t="str">
        <x:v>Counting</x:v>
      </x:c>
      <x:c r="C978" s="37" t="str">
        <x:v>Make the bowl contain exactly zero objects.</x:v>
      </x:c>
      <x:c r="D978" s="37" t="str">
        <x:v>Explicit goal-count grounding</x:v>
      </x:c>
      <x:c r="E978" s="37" t="str">
        <x:v>goal=0; in-distribution anchor</x:v>
      </x:c>
      <x:c r="F978" s="37" t="str">
        <x:v>count_goal_0_explicit_anchor</x:v>
      </x:c>
      <x:c r="G978" s="37" t="str">
        <x:v>goal one via removal (2→1); goal three via addition (2→3)</x:v>
      </x:c>
      <x:c r="H978" s="37" t="str">
        <x:v>No</x:v>
      </x:c>
      <x:c r="I978" s="37" t="str">
        <x:v>Keep prompt</x:v>
      </x:c>
      <x:c r="J978" s="37" t="str">
        <x:v>No prompt change required under the missing-cell design.</x:v>
      </x:c>
      <x:c r="K978" s="37" t="str">
        <x:v>airplane toy without propellers, yellow block, green pencil sharpener</x:v>
      </x:c>
      <x:c r="L978" s="37" t="str">
        <x:v>airplane toy without propellers</x:v>
      </x:c>
      <x:c r="M978" s="37" t="str">
        <x:v>Home</x:v>
      </x:c>
      <x:c r="N978" s="37" t="str">
        <x:v>Make the bowl contain exactly zero objects.</x:v>
      </x:c>
      <x:c r="O978" s="37" t="str"/>
      <x:c r="P978" s="37" t="str">
        <x:v>Explicitly grounds final count 0 as an in-distribution counting anchor.</x:v>
      </x:c>
      <x:c r="Q978" s="38"/>
    </x:row>
    <x:row r="979" ht="60" customHeight="1">
      <x:c r="A979" s="70" t="n">
        <x:v>977</x:v>
      </x:c>
      <x:c r="B979" s="37" t="str">
        <x:v>Counting</x:v>
      </x:c>
      <x:c r="C979" s="37" t="str">
        <x:v>Adjust the bowl so that it contains zero objects.</x:v>
      </x:c>
      <x:c r="D979" s="37" t="str">
        <x:v>Explicit goal-count grounding</x:v>
      </x:c>
      <x:c r="E979" s="37" t="str">
        <x:v>goal=0; in-distribution anchor</x:v>
      </x:c>
      <x:c r="F979" s="37" t="str">
        <x:v>count_goal_0_explicit_anchor</x:v>
      </x:c>
      <x:c r="G979" s="37" t="str">
        <x:v>goal one via removal (2→1); goal three via addition (2→3)</x:v>
      </x:c>
      <x:c r="H979" s="37" t="str">
        <x:v>No</x:v>
      </x:c>
      <x:c r="I979" s="37" t="str">
        <x:v>Keep prompt</x:v>
      </x:c>
      <x:c r="J979" s="37" t="str">
        <x:v>No prompt change required under the missing-cell design.</x:v>
      </x:c>
      <x:c r="K979" s="37" t="str">
        <x:v>airplane toy without propellers, blue pen, yellow block</x:v>
      </x:c>
      <x:c r="L979" s="37" t="str">
        <x:v>airplane toy without propellers</x:v>
      </x:c>
      <x:c r="M979" s="37" t="str">
        <x:v>Post-Drop</x:v>
      </x:c>
      <x:c r="N979" s="37" t="str">
        <x:v>Adjust the bowl so that it contains zero objects.</x:v>
      </x:c>
      <x:c r="O979" s="37" t="str"/>
      <x:c r="P979" s="37" t="str">
        <x:v>Explicitly grounds final count 0 as an in-distribution counting anchor.</x:v>
      </x:c>
      <x:c r="Q979" s="38"/>
    </x:row>
    <x:row r="980" ht="60" customHeight="1">
      <x:c r="A980" s="70" t="n">
        <x:v>978</x:v>
      </x:c>
      <x:c r="B980" s="37" t="str">
        <x:v>Counting</x:v>
      </x:c>
      <x:c r="C980" s="37" t="str">
        <x:v>Leave no objects in the bowl.</x:v>
      </x:c>
      <x:c r="D980" s="37" t="str">
        <x:v>Explicit goal-count grounding</x:v>
      </x:c>
      <x:c r="E980" s="37" t="str">
        <x:v>goal=0; in-distribution anchor</x:v>
      </x:c>
      <x:c r="F980" s="37" t="str">
        <x:v>count_goal_0_explicit_anchor</x:v>
      </x:c>
      <x:c r="G980" s="37" t="str">
        <x:v>goal one via removal (2→1); goal three via addition (2→3)</x:v>
      </x:c>
      <x:c r="H980" s="37" t="str">
        <x:v>No</x:v>
      </x:c>
      <x:c r="I980" s="37" t="str">
        <x:v>Keep prompt</x:v>
      </x:c>
      <x:c r="J980" s="37" t="str">
        <x:v>No prompt change required under the missing-cell design.</x:v>
      </x:c>
      <x:c r="K980" s="37" t="str">
        <x:v>airplane toy without propellers, green pencil sharpener</x:v>
      </x:c>
      <x:c r="L980" s="37" t="str">
        <x:v>airplane toy without propellers</x:v>
      </x:c>
      <x:c r="M980" s="37" t="str">
        <x:v>Post-Drop</x:v>
      </x:c>
      <x:c r="N980" s="37" t="str">
        <x:v>Leave no objects in the bowl.</x:v>
      </x:c>
      <x:c r="O980" s="37" t="str"/>
      <x:c r="P980" s="37" t="str">
        <x:v>Explicitly grounds final count 0 as an in-distribution counting anchor.</x:v>
      </x:c>
      <x:c r="Q980" s="38"/>
    </x:row>
    <x:row r="981" ht="60" customHeight="1">
      <x:c r="A981" s="70" t="n">
        <x:v>979</x:v>
      </x:c>
      <x:c r="B981" s="37" t="str">
        <x:v>Counting</x:v>
      </x:c>
      <x:c r="C981" s="37" t="str">
        <x:v>Make the bowl contain exactly zero objects.</x:v>
      </x:c>
      <x:c r="D981" s="37" t="str">
        <x:v>Explicit goal-count grounding</x:v>
      </x:c>
      <x:c r="E981" s="37" t="str">
        <x:v>goal=0; in-distribution anchor</x:v>
      </x:c>
      <x:c r="F981" s="37" t="str">
        <x:v>count_goal_0_explicit_anchor</x:v>
      </x:c>
      <x:c r="G981" s="37" t="str">
        <x:v>goal one via removal (2→1); goal three via addition (2→3)</x:v>
      </x:c>
      <x:c r="H981" s="37" t="str">
        <x:v>No</x:v>
      </x:c>
      <x:c r="I981" s="37" t="str">
        <x:v>Keep prompt</x:v>
      </x:c>
      <x:c r="J981" s="37" t="str">
        <x:v>No prompt change required under the missing-cell design.</x:v>
      </x:c>
      <x:c r="K981" s="37" t="str">
        <x:v>airplane toy without propellers, blue pen, green pencil sharpener</x:v>
      </x:c>
      <x:c r="L981" s="37" t="str">
        <x:v>airplane toy without propellers</x:v>
      </x:c>
      <x:c r="M981" s="37" t="str">
        <x:v>Recovery</x:v>
      </x:c>
      <x:c r="N981" s="37" t="str">
        <x:v>Make the bowl contain exactly zero objects.</x:v>
      </x:c>
      <x:c r="O981" s="37" t="str"/>
      <x:c r="P981" s="37" t="str">
        <x:v>Explicitly grounds final count 0 as an in-distribution counting anchor.</x:v>
      </x:c>
      <x:c r="Q981" s="38"/>
    </x:row>
    <x:row r="982" ht="60" customHeight="1">
      <x:c r="A982" s="70" t="n">
        <x:v>980</x:v>
      </x:c>
      <x:c r="B982" s="37" t="str">
        <x:v>Counting</x:v>
      </x:c>
      <x:c r="C982" s="37" t="str">
        <x:v>Leave no objects in the bowl.</x:v>
      </x:c>
      <x:c r="D982" s="37" t="str">
        <x:v>Explicit goal-count grounding</x:v>
      </x:c>
      <x:c r="E982" s="37" t="str">
        <x:v>goal=0; in-distribution anchor</x:v>
      </x:c>
      <x:c r="F982" s="37" t="str">
        <x:v>count_goal_0_explicit_anchor</x:v>
      </x:c>
      <x:c r="G982" s="37" t="str">
        <x:v>goal one via removal (2→1); goal three via addition (2→3)</x:v>
      </x:c>
      <x:c r="H982" s="37" t="str">
        <x:v>No</x:v>
      </x:c>
      <x:c r="I982" s="37" t="str">
        <x:v>Keep prompt</x:v>
      </x:c>
      <x:c r="J982" s="37" t="str">
        <x:v>No prompt change required under the missing-cell design.</x:v>
      </x:c>
      <x:c r="K982" s="37" t="str">
        <x:v>airplane toy without propellers</x:v>
      </x:c>
      <x:c r="L982" s="37" t="str">
        <x:v>airplane toy without propellers</x:v>
      </x:c>
      <x:c r="M982" s="37" t="str">
        <x:v>Recovery</x:v>
      </x:c>
      <x:c r="N982" s="37" t="str">
        <x:v>Leave no objects in the bowl.</x:v>
      </x:c>
      <x:c r="O982" s="37" t="str"/>
      <x:c r="P982" s="37" t="str">
        <x:v>Explicitly grounds final count 0 as an in-distribution counting anchor.</x:v>
      </x:c>
      <x:c r="Q982" s="38"/>
    </x:row>
    <x:row r="983" ht="60" customHeight="1">
      <x:c r="A983" s="70" t="n">
        <x:v>981</x:v>
      </x:c>
      <x:c r="B983" s="37" t="str">
        <x:v>Counting</x:v>
      </x:c>
      <x:c r="C983" s="37" t="str">
        <x:v>Remove the airplane toy without propellers from the bowl.</x:v>
      </x:c>
      <x:c r="D983" s="37" t="str">
        <x:v>Masked goal-count × transition composition</x:v>
      </x:c>
      <x:c r="E983" s="37" t="str">
        <x:v>direct removal of airplane toy without propellers; hidden goal=1; transition=2→1</x:v>
      </x:c>
      <x:c r="F983" s="37" t="str">
        <x:v>count_goal_1_remove_masked</x:v>
      </x:c>
      <x:c r="G983" s="37" t="str">
        <x:v>goal one via removal (2→1); goal three via addition (2→3)</x:v>
      </x:c>
      <x:c r="H983" s="37" t="str">
        <x:v>No</x:v>
      </x:c>
      <x:c r="I983" s="37" t="str">
        <x:v>Keep prompt</x:v>
      </x:c>
      <x:c r="J983" s="37" t="str">
        <x:v>No prompt change required under the missing-cell design.</x:v>
      </x:c>
      <x:c r="K983" s="37" t="str">
        <x:v>airplane toy without propellers, blue pen, yellow block, green pencil sharpener</x:v>
      </x:c>
      <x:c r="L983" s="37" t="str">
        <x:v>airplane toy without propellers</x:v>
      </x:c>
      <x:c r="M983" s="37" t="str">
        <x:v>Home</x:v>
      </x:c>
      <x:c r="N983" s="37" t="str">
        <x:v>Remove the airplane toy without propellers from the bowl.</x:v>
      </x:c>
      <x:c r="O983" s="37" t="str">
        <x:v>Leave exactly one object in the bowl.</x:v>
      </x:c>
      <x:c r="P983" s="37" t="str">
        <x:v>The exact 2→1 motor transition is trained with a direct instruction, but the goal-count instruction is withheld.</x:v>
      </x:c>
      <x:c r="Q983" s="38"/>
    </x:row>
    <x:row r="984" ht="60" customHeight="1">
      <x:c r="A984" s="70" t="n">
        <x:v>982</x:v>
      </x:c>
      <x:c r="B984" s="37" t="str">
        <x:v>Counting</x:v>
      </x:c>
      <x:c r="C984" s="37" t="str">
        <x:v>Take the airplane toy without propellers out of the bowl.</x:v>
      </x:c>
      <x:c r="D984" s="37" t="str">
        <x:v>Masked goal-count × transition composition</x:v>
      </x:c>
      <x:c r="E984" s="37" t="str">
        <x:v>direct removal of airplane toy without propellers; hidden goal=1; transition=2→1</x:v>
      </x:c>
      <x:c r="F984" s="37" t="str">
        <x:v>count_goal_1_remove_masked</x:v>
      </x:c>
      <x:c r="G984" s="37" t="str">
        <x:v>goal one via removal (2→1); goal three via addition (2→3)</x:v>
      </x:c>
      <x:c r="H984" s="37" t="str">
        <x:v>No</x:v>
      </x:c>
      <x:c r="I984" s="37" t="str">
        <x:v>Keep prompt</x:v>
      </x:c>
      <x:c r="J984" s="37" t="str">
        <x:v>No prompt change required under the missing-cell design.</x:v>
      </x:c>
      <x:c r="K984" s="37" t="str">
        <x:v>airplane toy without propellers, yellow block, blue pen</x:v>
      </x:c>
      <x:c r="L984" s="37" t="str">
        <x:v>airplane toy without propellers</x:v>
      </x:c>
      <x:c r="M984" s="37" t="str">
        <x:v>Home</x:v>
      </x:c>
      <x:c r="N984" s="37" t="str">
        <x:v>Take the airplane toy without propellers out of the bowl.</x:v>
      </x:c>
      <x:c r="O984" s="37" t="str">
        <x:v>Leave exactly one object in the bowl.</x:v>
      </x:c>
      <x:c r="P984" s="37" t="str">
        <x:v>The exact 2→1 motor transition is trained with a direct instruction, but the goal-count instruction is withheld.</x:v>
      </x:c>
      <x:c r="Q984" s="38"/>
    </x:row>
    <x:row r="985" ht="60" customHeight="1">
      <x:c r="A985" s="70" t="n">
        <x:v>983</x:v>
      </x:c>
      <x:c r="B985" s="37" t="str">
        <x:v>Counting</x:v>
      </x:c>
      <x:c r="C985" s="37" t="str">
        <x:v>Take the airplane toy without propellers out of the bowl.</x:v>
      </x:c>
      <x:c r="D985" s="37" t="str">
        <x:v>Masked goal-count × transition composition</x:v>
      </x:c>
      <x:c r="E985" s="37" t="str">
        <x:v>direct removal of airplane toy without propellers; hidden goal=1; transition=2→1</x:v>
      </x:c>
      <x:c r="F985" s="37" t="str">
        <x:v>count_goal_1_remove_masked</x:v>
      </x:c>
      <x:c r="G985" s="37" t="str">
        <x:v>goal one via removal (2→1); goal three via addition (2→3)</x:v>
      </x:c>
      <x:c r="H985" s="37" t="str">
        <x:v>No</x:v>
      </x:c>
      <x:c r="I985" s="37" t="str">
        <x:v>Keep prompt</x:v>
      </x:c>
      <x:c r="J985" s="37" t="str">
        <x:v>No prompt change required under the missing-cell design.</x:v>
      </x:c>
      <x:c r="K985" s="37" t="str">
        <x:v>airplane toy without propellers, green pencil sharpener, yellow block</x:v>
      </x:c>
      <x:c r="L985" s="37" t="str">
        <x:v>airplane toy without propellers</x:v>
      </x:c>
      <x:c r="M985" s="37" t="str">
        <x:v>Home</x:v>
      </x:c>
      <x:c r="N985" s="37" t="str">
        <x:v>Take the airplane toy without propellers out of the bowl.</x:v>
      </x:c>
      <x:c r="O985" s="37" t="str">
        <x:v>Leave exactly one object in the bowl.</x:v>
      </x:c>
      <x:c r="P985" s="37" t="str">
        <x:v>The exact 2→1 motor transition is trained with a direct instruction, but the goal-count instruction is withheld.</x:v>
      </x:c>
      <x:c r="Q985" s="38"/>
    </x:row>
    <x:row r="986" ht="60" customHeight="1">
      <x:c r="A986" s="70" t="n">
        <x:v>984</x:v>
      </x:c>
      <x:c r="B986" s="37" t="str">
        <x:v>Counting</x:v>
      </x:c>
      <x:c r="C986" s="37" t="str">
        <x:v>Take the airplane toy without propellers out of the bowl.</x:v>
      </x:c>
      <x:c r="D986" s="37" t="str">
        <x:v>Masked goal-count × transition composition</x:v>
      </x:c>
      <x:c r="E986" s="37" t="str">
        <x:v>direct removal of airplane toy without propellers; hidden goal=1; transition=2→1</x:v>
      </x:c>
      <x:c r="F986" s="37" t="str">
        <x:v>count_goal_1_remove_masked</x:v>
      </x:c>
      <x:c r="G986" s="37" t="str">
        <x:v>goal one via removal (2→1); goal three via addition (2→3)</x:v>
      </x:c>
      <x:c r="H986" s="37" t="str">
        <x:v>No</x:v>
      </x:c>
      <x:c r="I986" s="37" t="str">
        <x:v>Keep prompt</x:v>
      </x:c>
      <x:c r="J986" s="37" t="str">
        <x:v>No prompt change required under the missing-cell design.</x:v>
      </x:c>
      <x:c r="K986" s="37" t="str">
        <x:v>airplane toy without propellers, blue pen, green pencil sharpener</x:v>
      </x:c>
      <x:c r="L986" s="37" t="str">
        <x:v>airplane toy without propellers</x:v>
      </x:c>
      <x:c r="M986" s="37" t="str">
        <x:v>Post-Drop</x:v>
      </x:c>
      <x:c r="N986" s="37" t="str">
        <x:v>Take the airplane toy without propellers out of the bowl.</x:v>
      </x:c>
      <x:c r="O986" s="37" t="str">
        <x:v>Leave exactly one object in the bowl.</x:v>
      </x:c>
      <x:c r="P986" s="37" t="str">
        <x:v>The exact 2→1 motor transition is trained with a direct instruction, but the goal-count instruction is withheld.</x:v>
      </x:c>
      <x:c r="Q986" s="38"/>
    </x:row>
    <x:row r="987" ht="60" customHeight="1">
      <x:c r="A987" s="70" t="n">
        <x:v>985</x:v>
      </x:c>
      <x:c r="B987" s="37" t="str">
        <x:v>Counting</x:v>
      </x:c>
      <x:c r="C987" s="37" t="str">
        <x:v>Move the airplane toy without propellers from the bowl to the table.</x:v>
      </x:c>
      <x:c r="D987" s="37" t="str">
        <x:v>Masked goal-count × transition composition</x:v>
      </x:c>
      <x:c r="E987" s="37" t="str">
        <x:v>direct removal of airplane toy without propellers; hidden goal=1; transition=2→1</x:v>
      </x:c>
      <x:c r="F987" s="37" t="str">
        <x:v>count_goal_1_remove_masked</x:v>
      </x:c>
      <x:c r="G987" s="37" t="str">
        <x:v>goal one via removal (2→1); goal three via addition (2→3)</x:v>
      </x:c>
      <x:c r="H987" s="37" t="str">
        <x:v>No</x:v>
      </x:c>
      <x:c r="I987" s="37" t="str">
        <x:v>Keep prompt</x:v>
      </x:c>
      <x:c r="J987" s="37" t="str">
        <x:v>No prompt change required under the missing-cell design.</x:v>
      </x:c>
      <x:c r="K987" s="37" t="str">
        <x:v>airplane toy without propellers, yellow block, blue pen, green pencil sharpener</x:v>
      </x:c>
      <x:c r="L987" s="37" t="str">
        <x:v>airplane toy without propellers</x:v>
      </x:c>
      <x:c r="M987" s="37" t="str">
        <x:v>Post-Drop</x:v>
      </x:c>
      <x:c r="N987" s="37" t="str">
        <x:v>Move the airplane toy without propellers from the bowl to the table.</x:v>
      </x:c>
      <x:c r="O987" s="37" t="str">
        <x:v>Leave exactly one object in the bowl.</x:v>
      </x:c>
      <x:c r="P987" s="37" t="str">
        <x:v>The exact 2→1 motor transition is trained with a direct instruction, but the goal-count instruction is withheld.</x:v>
      </x:c>
      <x:c r="Q987" s="38"/>
    </x:row>
    <x:row r="988" ht="60" customHeight="1">
      <x:c r="A988" s="70" t="n">
        <x:v>986</x:v>
      </x:c>
      <x:c r="B988" s="37" t="str">
        <x:v>Counting</x:v>
      </x:c>
      <x:c r="C988" s="37" t="str">
        <x:v>Remove the airplane toy without propellers from the bowl.</x:v>
      </x:c>
      <x:c r="D988" s="37" t="str">
        <x:v>Masked goal-count × transition composition</x:v>
      </x:c>
      <x:c r="E988" s="37" t="str">
        <x:v>direct removal of airplane toy without propellers; hidden goal=1; transition=2→1</x:v>
      </x:c>
      <x:c r="F988" s="37" t="str">
        <x:v>count_goal_1_remove_masked</x:v>
      </x:c>
      <x:c r="G988" s="37" t="str">
        <x:v>goal one via removal (2→1); goal three via addition (2→3)</x:v>
      </x:c>
      <x:c r="H988" s="37" t="str">
        <x:v>No</x:v>
      </x:c>
      <x:c r="I988" s="37" t="str">
        <x:v>Keep prompt</x:v>
      </x:c>
      <x:c r="J988" s="37" t="str">
        <x:v>No prompt change required under the missing-cell design.</x:v>
      </x:c>
      <x:c r="K988" s="37" t="str">
        <x:v>airplane toy without propellers, green pencil sharpener</x:v>
      </x:c>
      <x:c r="L988" s="37" t="str">
        <x:v>airplane toy without propellers</x:v>
      </x:c>
      <x:c r="M988" s="37" t="str">
        <x:v>Recovery</x:v>
      </x:c>
      <x:c r="N988" s="37" t="str">
        <x:v>Remove the airplane toy without propellers from the bowl.</x:v>
      </x:c>
      <x:c r="O988" s="37" t="str">
        <x:v>Leave exactly one object in the bowl.</x:v>
      </x:c>
      <x:c r="P988" s="37" t="str">
        <x:v>The exact 2→1 motor transition is trained with a direct instruction, but the goal-count instruction is withheld.</x:v>
      </x:c>
      <x:c r="Q988" s="38"/>
    </x:row>
    <x:row r="989" ht="60" customHeight="1">
      <x:c r="A989" s="70" t="n">
        <x:v>987</x:v>
      </x:c>
      <x:c r="B989" s="37" t="str">
        <x:v>Counting</x:v>
      </x:c>
      <x:c r="C989" s="37" t="str">
        <x:v>Adjust the bowl so that it contains two objects.</x:v>
      </x:c>
      <x:c r="D989" s="37" t="str">
        <x:v>Explicit goal-count grounding</x:v>
      </x:c>
      <x:c r="E989" s="37" t="str">
        <x:v>goal=2; in-distribution anchor</x:v>
      </x:c>
      <x:c r="F989" s="37" t="str">
        <x:v>count_goal_2_explicit_anchor</x:v>
      </x:c>
      <x:c r="G989" s="37" t="str">
        <x:v>goal one via removal (2→1); goal three via addition (2→3)</x:v>
      </x:c>
      <x:c r="H989" s="37" t="str">
        <x:v>No</x:v>
      </x:c>
      <x:c r="I989" s="37" t="str">
        <x:v>Keep prompt</x:v>
      </x:c>
      <x:c r="J989" s="37" t="str">
        <x:v>No prompt change required under the missing-cell design.</x:v>
      </x:c>
      <x:c r="K989" s="37" t="str">
        <x:v>airplane toy without propellers, blue pen, yellow block, green pencil sharpener</x:v>
      </x:c>
      <x:c r="L989" s="37" t="str">
        <x:v>airplane toy without propellers</x:v>
      </x:c>
      <x:c r="M989" s="37" t="str">
        <x:v>Home</x:v>
      </x:c>
      <x:c r="N989" s="37" t="str">
        <x:v>Adjust the bowl so that it contains two objects.</x:v>
      </x:c>
      <x:c r="O989" s="37" t="str"/>
      <x:c r="P989" s="37" t="str">
        <x:v>Explicitly grounds final count 2 as an in-distribution counting anchor.</x:v>
      </x:c>
      <x:c r="Q989" s="38"/>
    </x:row>
    <x:row r="990" ht="60" customHeight="1">
      <x:c r="A990" s="70" t="n">
        <x:v>988</x:v>
      </x:c>
      <x:c r="B990" s="37" t="str">
        <x:v>Counting</x:v>
      </x:c>
      <x:c r="C990" s="37" t="str">
        <x:v>Adjust the bowl so that it contains two objects.</x:v>
      </x:c>
      <x:c r="D990" s="37" t="str">
        <x:v>Explicit goal-count grounding</x:v>
      </x:c>
      <x:c r="E990" s="37" t="str">
        <x:v>goal=2; in-distribution anchor</x:v>
      </x:c>
      <x:c r="F990" s="37" t="str">
        <x:v>count_goal_2_explicit_anchor</x:v>
      </x:c>
      <x:c r="G990" s="37" t="str">
        <x:v>goal one via removal (2→1); goal three via addition (2→3)</x:v>
      </x:c>
      <x:c r="H990" s="37" t="str">
        <x:v>No</x:v>
      </x:c>
      <x:c r="I990" s="37" t="str">
        <x:v>Keep prompt</x:v>
      </x:c>
      <x:c r="J990" s="37" t="str">
        <x:v>No prompt change required under the missing-cell design.</x:v>
      </x:c>
      <x:c r="K990" s="37" t="str">
        <x:v>airplane toy without propellers, yellow block, green pencil sharpener, blue pen</x:v>
      </x:c>
      <x:c r="L990" s="37" t="str">
        <x:v>airplane toy without propellers</x:v>
      </x:c>
      <x:c r="M990" s="37" t="str">
        <x:v>Home</x:v>
      </x:c>
      <x:c r="N990" s="37" t="str">
        <x:v>Adjust the bowl so that it contains two objects.</x:v>
      </x:c>
      <x:c r="O990" s="37" t="str"/>
      <x:c r="P990" s="37" t="str">
        <x:v>Explicitly grounds final count 2 as an in-distribution counting anchor.</x:v>
      </x:c>
      <x:c r="Q990" s="38"/>
    </x:row>
    <x:row r="991" ht="60" customHeight="1">
      <x:c r="A991" s="70" t="n">
        <x:v>989</x:v>
      </x:c>
      <x:c r="B991" s="37" t="str">
        <x:v>Counting</x:v>
      </x:c>
      <x:c r="C991" s="37" t="str">
        <x:v>Adjust the bowl so that it contains two objects.</x:v>
      </x:c>
      <x:c r="D991" s="37" t="str">
        <x:v>Explicit goal-count grounding</x:v>
      </x:c>
      <x:c r="E991" s="37" t="str">
        <x:v>goal=2; in-distribution anchor</x:v>
      </x:c>
      <x:c r="F991" s="37" t="str">
        <x:v>count_goal_2_explicit_anchor</x:v>
      </x:c>
      <x:c r="G991" s="37" t="str">
        <x:v>goal one via removal (2→1); goal three via addition (2→3)</x:v>
      </x:c>
      <x:c r="H991" s="37" t="str">
        <x:v>No</x:v>
      </x:c>
      <x:c r="I991" s="37" t="str">
        <x:v>Keep prompt</x:v>
      </x:c>
      <x:c r="J991" s="37" t="str">
        <x:v>No prompt change required under the missing-cell design.</x:v>
      </x:c>
      <x:c r="K991" s="37" t="str">
        <x:v>airplane toy without propellers, blue pen, green pencil sharpener, yellow block</x:v>
      </x:c>
      <x:c r="L991" s="37" t="str">
        <x:v>airplane toy without propellers</x:v>
      </x:c>
      <x:c r="M991" s="37" t="str">
        <x:v>Post-Drop</x:v>
      </x:c>
      <x:c r="N991" s="37" t="str">
        <x:v>Adjust the bowl so that it contains two objects.</x:v>
      </x:c>
      <x:c r="O991" s="37" t="str"/>
      <x:c r="P991" s="37" t="str">
        <x:v>Explicitly grounds final count 2 as an in-distribution counting anchor.</x:v>
      </x:c>
      <x:c r="Q991" s="38"/>
    </x:row>
    <x:row r="992" ht="60" customHeight="1">
      <x:c r="A992" s="70" t="n">
        <x:v>990</x:v>
      </x:c>
      <x:c r="B992" s="37" t="str">
        <x:v>Counting</x:v>
      </x:c>
      <x:c r="C992" s="37" t="str">
        <x:v>Make the bowl contain exactly two objects.</x:v>
      </x:c>
      <x:c r="D992" s="37" t="str">
        <x:v>Explicit goal-count grounding</x:v>
      </x:c>
      <x:c r="E992" s="37" t="str">
        <x:v>goal=2; in-distribution anchor</x:v>
      </x:c>
      <x:c r="F992" s="37" t="str">
        <x:v>count_goal_2_explicit_anchor</x:v>
      </x:c>
      <x:c r="G992" s="37" t="str">
        <x:v>goal one via removal (2→1); goal three via addition (2→3)</x:v>
      </x:c>
      <x:c r="H992" s="37" t="str">
        <x:v>No</x:v>
      </x:c>
      <x:c r="I992" s="37" t="str">
        <x:v>Keep prompt</x:v>
      </x:c>
      <x:c r="J992" s="37" t="str">
        <x:v>No prompt change required under the missing-cell design.</x:v>
      </x:c>
      <x:c r="K992" s="37" t="str">
        <x:v>airplane toy without propellers, blue pen, yellow block</x:v>
      </x:c>
      <x:c r="L992" s="37" t="str">
        <x:v>airplane toy without propellers</x:v>
      </x:c>
      <x:c r="M992" s="37" t="str">
        <x:v>Post-Drop</x:v>
      </x:c>
      <x:c r="N992" s="37" t="str">
        <x:v>Make the bowl contain exactly two objects.</x:v>
      </x:c>
      <x:c r="O992" s="37" t="str"/>
      <x:c r="P992" s="37" t="str">
        <x:v>Explicitly grounds final count 2 as an in-distribution counting anchor.</x:v>
      </x:c>
      <x:c r="Q992" s="38"/>
    </x:row>
    <x:row r="993" ht="60" customHeight="1">
      <x:c r="A993" s="70" t="n">
        <x:v>991</x:v>
      </x:c>
      <x:c r="B993" s="37" t="str">
        <x:v>Counting</x:v>
      </x:c>
      <x:c r="C993" s="37" t="str">
        <x:v>Leave exactly two objects in the bowl.</x:v>
      </x:c>
      <x:c r="D993" s="37" t="str">
        <x:v>Explicit goal-count grounding</x:v>
      </x:c>
      <x:c r="E993" s="37" t="str">
        <x:v>goal=2; in-distribution anchor</x:v>
      </x:c>
      <x:c r="F993" s="37" t="str">
        <x:v>count_goal_2_explicit_anchor</x:v>
      </x:c>
      <x:c r="G993" s="37" t="str">
        <x:v>goal one via removal (2→1); goal three via addition (2→3)</x:v>
      </x:c>
      <x:c r="H993" s="37" t="str">
        <x:v>No</x:v>
      </x:c>
      <x:c r="I993" s="37" t="str">
        <x:v>Keep prompt</x:v>
      </x:c>
      <x:c r="J993" s="37" t="str">
        <x:v>No prompt change required under the missing-cell design.</x:v>
      </x:c>
      <x:c r="K993" s="37" t="str">
        <x:v>airplane toy without propellers, yellow block, green pencil sharpener</x:v>
      </x:c>
      <x:c r="L993" s="37" t="str">
        <x:v>airplane toy without propellers</x:v>
      </x:c>
      <x:c r="M993" s="37" t="str">
        <x:v>Post-Drop</x:v>
      </x:c>
      <x:c r="N993" s="37" t="str">
        <x:v>Leave exactly two objects in the bowl.</x:v>
      </x:c>
      <x:c r="O993" s="37" t="str"/>
      <x:c r="P993" s="37" t="str">
        <x:v>Explicitly grounds final count 2 as an in-distribution counting anchor.</x:v>
      </x:c>
      <x:c r="Q993" s="38"/>
    </x:row>
    <x:row r="994" ht="60" customHeight="1">
      <x:c r="A994" s="70" t="n">
        <x:v>992</x:v>
      </x:c>
      <x:c r="B994" s="37" t="str">
        <x:v>Counting</x:v>
      </x:c>
      <x:c r="C994" s="37" t="str">
        <x:v>Adjust the bowl so that it contains two objects.</x:v>
      </x:c>
      <x:c r="D994" s="37" t="str">
        <x:v>Explicit goal-count grounding</x:v>
      </x:c>
      <x:c r="E994" s="37" t="str">
        <x:v>goal=2; in-distribution anchor</x:v>
      </x:c>
      <x:c r="F994" s="37" t="str">
        <x:v>count_goal_2_explicit_anchor</x:v>
      </x:c>
      <x:c r="G994" s="37" t="str">
        <x:v>goal one via removal (2→1); goal three via addition (2→3)</x:v>
      </x:c>
      <x:c r="H994" s="37" t="str">
        <x:v>No</x:v>
      </x:c>
      <x:c r="I994" s="37" t="str">
        <x:v>Keep prompt</x:v>
      </x:c>
      <x:c r="J994" s="37" t="str">
        <x:v>No prompt change required under the missing-cell design.</x:v>
      </x:c>
      <x:c r="K994" s="37" t="str">
        <x:v>airplane toy without propellers, blue pen, green pencil sharpener</x:v>
      </x:c>
      <x:c r="L994" s="37" t="str">
        <x:v>airplane toy without propellers</x:v>
      </x:c>
      <x:c r="M994" s="37" t="str">
        <x:v>Recovery</x:v>
      </x:c>
      <x:c r="N994" s="37" t="str">
        <x:v>Adjust the bowl so that it contains two objects.</x:v>
      </x:c>
      <x:c r="O994" s="37" t="str"/>
      <x:c r="P994" s="37" t="str">
        <x:v>Explicitly grounds final count 2 as an in-distribution counting anchor.</x:v>
      </x:c>
      <x:c r="Q994" s="38"/>
    </x:row>
    <x:row r="995" ht="60" customHeight="1">
      <x:c r="A995" s="70" t="n">
        <x:v>993</x:v>
      </x:c>
      <x:c r="B995" s="37" t="str">
        <x:v>Counting</x:v>
      </x:c>
      <x:c r="C995" s="37" t="str">
        <x:v>Leave exactly three objects in the bowl.</x:v>
      </x:c>
      <x:c r="D995" s="37" t="str">
        <x:v>Explicit goal-count grounding</x:v>
      </x:c>
      <x:c r="E995" s="37" t="str">
        <x:v>goal=3; familiar transition=4→3 removal</x:v>
      </x:c>
      <x:c r="F995" s="37" t="str">
        <x:v>count_goal_3_seen_remove</x:v>
      </x:c>
      <x:c r="G995" s="37" t="str">
        <x:v>goal one via removal (2→1); goal three via addition (2→3)</x:v>
      </x:c>
      <x:c r="H995" s="37" t="str">
        <x:v>Yes</x:v>
      </x:c>
      <x:c r="I995" s="37" t="str">
        <x:v>Replace prompt only</x:v>
      </x:c>
      <x:c r="J995" s="37" t="str">
        <x:v>Prompt-only relabeling; preserve episode 993 video, scene, trajectory, target, and start position.</x:v>
      </x:c>
      <x:c r="K995" s="37" t="str">
        <x:v>airplane toy without propellers, blue pen, yellow block, green pencil sharpener</x:v>
      </x:c>
      <x:c r="L995" s="37" t="str">
        <x:v>airplane toy without propellers</x:v>
      </x:c>
      <x:c r="M995" s="37" t="str">
        <x:v>Home</x:v>
      </x:c>
      <x:c r="N995" s="37" t="str">
        <x:v>Remove the airplane toy without propellers from the bowl.</x:v>
      </x:c>
      <x:c r="O995" s="37" t="str"/>
      <x:c r="P995" s="37" t="str">
        <x:v>The word three is explicitly trained through removal, while three-through-addition is withheld.</x:v>
      </x:c>
      <x:c r="Q995" s="38"/>
    </x:row>
    <x:row r="996" ht="60" customHeight="1">
      <x:c r="A996" s="70" t="n">
        <x:v>994</x:v>
      </x:c>
      <x:c r="B996" s="37" t="str">
        <x:v>Counting</x:v>
      </x:c>
      <x:c r="C996" s="37" t="str">
        <x:v>Leave exactly three objects in the bowl.</x:v>
      </x:c>
      <x:c r="D996" s="37" t="str">
        <x:v>Explicit goal-count grounding</x:v>
      </x:c>
      <x:c r="E996" s="37" t="str">
        <x:v>goal=3; familiar transition=4→3 removal</x:v>
      </x:c>
      <x:c r="F996" s="37" t="str">
        <x:v>count_goal_3_seen_remove</x:v>
      </x:c>
      <x:c r="G996" s="37" t="str">
        <x:v>goal one via removal (2→1); goal three via addition (2→3)</x:v>
      </x:c>
      <x:c r="H996" s="37" t="str">
        <x:v>Yes</x:v>
      </x:c>
      <x:c r="I996" s="37" t="str">
        <x:v>Replace prompt only</x:v>
      </x:c>
      <x:c r="J996" s="37" t="str">
        <x:v>Prompt-only relabeling; preserve episode 994 video, scene, trajectory, target, and start position.</x:v>
      </x:c>
      <x:c r="K996" s="37" t="str">
        <x:v>airplane toy without propellers, blue pen, yellow block, green pencil sharpener</x:v>
      </x:c>
      <x:c r="L996" s="37" t="str">
        <x:v>airplane toy without propellers</x:v>
      </x:c>
      <x:c r="M996" s="37" t="str">
        <x:v>Home</x:v>
      </x:c>
      <x:c r="N996" s="37" t="str">
        <x:v>Take the airplane toy without propellers out of the bowl.</x:v>
      </x:c>
      <x:c r="O996" s="37" t="str"/>
      <x:c r="P996" s="37" t="str">
        <x:v>The word three is explicitly trained through removal, while three-through-addition is withheld.</x:v>
      </x:c>
      <x:c r="Q996" s="38"/>
    </x:row>
    <x:row r="997" ht="60" customHeight="1">
      <x:c r="A997" s="70" t="n">
        <x:v>995</x:v>
      </x:c>
      <x:c r="B997" s="37" t="str">
        <x:v>Counting</x:v>
      </x:c>
      <x:c r="C997" s="37" t="str">
        <x:v>Leave exactly three objects in the bowl.</x:v>
      </x:c>
      <x:c r="D997" s="37" t="str">
        <x:v>Explicit goal-count grounding</x:v>
      </x:c>
      <x:c r="E997" s="37" t="str">
        <x:v>goal=3; familiar transition=4→3 removal</x:v>
      </x:c>
      <x:c r="F997" s="37" t="str">
        <x:v>count_goal_3_seen_remove</x:v>
      </x:c>
      <x:c r="G997" s="37" t="str">
        <x:v>goal one via removal (2→1); goal three via addition (2→3)</x:v>
      </x:c>
      <x:c r="H997" s="37" t="str">
        <x:v>Yes</x:v>
      </x:c>
      <x:c r="I997" s="37" t="str">
        <x:v>Replace prompt only</x:v>
      </x:c>
      <x:c r="J997" s="37" t="str">
        <x:v>Prompt-only relabeling; preserve episode 995 video, scene, trajectory, target, and start position.</x:v>
      </x:c>
      <x:c r="K997" s="37" t="str">
        <x:v>airplane toy without propellers, blue pen, yellow block, green pencil sharpener</x:v>
      </x:c>
      <x:c r="L997" s="37" t="str">
        <x:v>airplane toy without propellers</x:v>
      </x:c>
      <x:c r="M997" s="37" t="str">
        <x:v>Home</x:v>
      </x:c>
      <x:c r="N997" s="37" t="str">
        <x:v>Move the airplane toy without propellers from the bowl to the table.</x:v>
      </x:c>
      <x:c r="O997" s="37" t="str"/>
      <x:c r="P997" s="37" t="str">
        <x:v>The word three is explicitly trained through removal, while three-through-addition is withheld.</x:v>
      </x:c>
      <x:c r="Q997" s="38"/>
    </x:row>
    <x:row r="998" ht="60" customHeight="1">
      <x:c r="A998" s="70" t="n">
        <x:v>996</x:v>
      </x:c>
      <x:c r="B998" s="37" t="str">
        <x:v>Counting</x:v>
      </x:c>
      <x:c r="C998" s="37" t="str">
        <x:v>Leave exactly three objects in the bowl.</x:v>
      </x:c>
      <x:c r="D998" s="37" t="str">
        <x:v>Explicit goal-count grounding</x:v>
      </x:c>
      <x:c r="E998" s="37" t="str">
        <x:v>goal=3; familiar transition=4→3 removal</x:v>
      </x:c>
      <x:c r="F998" s="37" t="str">
        <x:v>count_goal_3_seen_remove</x:v>
      </x:c>
      <x:c r="G998" s="37" t="str">
        <x:v>goal one via removal (2→1); goal three via addition (2→3)</x:v>
      </x:c>
      <x:c r="H998" s="37" t="str">
        <x:v>Yes</x:v>
      </x:c>
      <x:c r="I998" s="37" t="str">
        <x:v>Replace prompt only</x:v>
      </x:c>
      <x:c r="J998" s="37" t="str">
        <x:v>Prompt-only relabeling; preserve episode 996 video, scene, trajectory, target, and start position.</x:v>
      </x:c>
      <x:c r="K998" s="37" t="str">
        <x:v>airplane toy without propellers, blue pen, yellow block, green pencil sharpener</x:v>
      </x:c>
      <x:c r="L998" s="37" t="str">
        <x:v>airplane toy without propellers</x:v>
      </x:c>
      <x:c r="M998" s="37" t="str">
        <x:v>Post-Drop</x:v>
      </x:c>
      <x:c r="N998" s="37" t="str">
        <x:v>Take the airplane toy without propellers out of the bowl.</x:v>
      </x:c>
      <x:c r="O998" s="37" t="str"/>
      <x:c r="P998" s="37" t="str">
        <x:v>The word three is explicitly trained through removal, while three-through-addition is withheld.</x:v>
      </x:c>
      <x:c r="Q998" s="38"/>
    </x:row>
    <x:row r="999" ht="60" customHeight="1">
      <x:c r="A999" s="70" t="n">
        <x:v>997</x:v>
      </x:c>
      <x:c r="B999" s="37" t="str">
        <x:v>Counting</x:v>
      </x:c>
      <x:c r="C999" s="37" t="str">
        <x:v>Leave exactly three objects in the bowl.</x:v>
      </x:c>
      <x:c r="D999" s="37" t="str">
        <x:v>Explicit goal-count grounding</x:v>
      </x:c>
      <x:c r="E999" s="37" t="str">
        <x:v>goal=3; familiar transition=4→3 removal</x:v>
      </x:c>
      <x:c r="F999" s="37" t="str">
        <x:v>count_goal_3_seen_remove</x:v>
      </x:c>
      <x:c r="G999" s="37" t="str">
        <x:v>goal one via removal (2→1); goal three via addition (2→3)</x:v>
      </x:c>
      <x:c r="H999" s="37" t="str">
        <x:v>Yes</x:v>
      </x:c>
      <x:c r="I999" s="37" t="str">
        <x:v>Replace prompt only</x:v>
      </x:c>
      <x:c r="J999" s="37" t="str">
        <x:v>Prompt-only relabeling; preserve episode 997 video, scene, trajectory, target, and start position.</x:v>
      </x:c>
      <x:c r="K999" s="37" t="str">
        <x:v>airplane toy without propellers, blue pen, yellow block, green pencil sharpener</x:v>
      </x:c>
      <x:c r="L999" s="37" t="str">
        <x:v>airplane toy without propellers</x:v>
      </x:c>
      <x:c r="M999" s="37" t="str">
        <x:v>Post-Drop</x:v>
      </x:c>
      <x:c r="N999" s="37" t="str">
        <x:v>Move the airplane toy without propellers from the bowl to the table.</x:v>
      </x:c>
      <x:c r="O999" s="37" t="str"/>
      <x:c r="P999" s="37" t="str">
        <x:v>The word three is explicitly trained through removal, while three-through-addition is withheld.</x:v>
      </x:c>
      <x:c r="Q999" s="38"/>
    </x:row>
    <x:row r="1000" ht="60" customHeight="1">
      <x:c r="A1000" s="70" t="n">
        <x:v>998</x:v>
      </x:c>
      <x:c r="B1000" s="37" t="str">
        <x:v>Counting</x:v>
      </x:c>
      <x:c r="C1000" s="37" t="str">
        <x:v>Leave exactly three objects in the bowl.</x:v>
      </x:c>
      <x:c r="D1000" s="37" t="str">
        <x:v>Explicit goal-count grounding</x:v>
      </x:c>
      <x:c r="E1000" s="37" t="str">
        <x:v>goal=3; familiar transition=4→3 removal</x:v>
      </x:c>
      <x:c r="F1000" s="37" t="str">
        <x:v>count_goal_3_seen_remove</x:v>
      </x:c>
      <x:c r="G1000" s="37" t="str">
        <x:v>goal one via removal (2→1); goal three via addition (2→3)</x:v>
      </x:c>
      <x:c r="H1000" s="37" t="str">
        <x:v>Yes</x:v>
      </x:c>
      <x:c r="I1000" s="37" t="str">
        <x:v>Replace prompt only</x:v>
      </x:c>
      <x:c r="J1000" s="37" t="str">
        <x:v>Prompt-only relabeling; preserve episode 998 video, scene, trajectory, target, and start position.</x:v>
      </x:c>
      <x:c r="K1000" s="37" t="str">
        <x:v>airplane toy without propellers, blue pen, yellow block, green pencil sharpener</x:v>
      </x:c>
      <x:c r="L1000" s="37" t="str">
        <x:v>airplane toy without propellers</x:v>
      </x:c>
      <x:c r="M1000" s="37" t="str">
        <x:v>Post-Drop</x:v>
      </x:c>
      <x:c r="N1000" s="37" t="str">
        <x:v>Remove the airplane toy without propellers from the bowl.</x:v>
      </x:c>
      <x:c r="O1000" s="37" t="str"/>
      <x:c r="P1000" s="37" t="str">
        <x:v>The word three is explicitly trained through removal, while three-through-addition is withheld.</x:v>
      </x:c>
      <x:c r="Q1000" s="38"/>
    </x:row>
    <x:row r="1001" ht="60" customHeight="1">
      <x:c r="A1001" s="70" t="n">
        <x:v>999</x:v>
      </x:c>
      <x:c r="B1001" s="37" t="str">
        <x:v>Counting</x:v>
      </x:c>
      <x:c r="C1001" s="37" t="str">
        <x:v>Leave exactly three objects in the bowl.</x:v>
      </x:c>
      <x:c r="D1001" s="37" t="str">
        <x:v>Explicit goal-count grounding</x:v>
      </x:c>
      <x:c r="E1001" s="37" t="str">
        <x:v>goal=3; familiar transition=4→3 removal</x:v>
      </x:c>
      <x:c r="F1001" s="37" t="str">
        <x:v>count_goal_3_seen_remove</x:v>
      </x:c>
      <x:c r="G1001" s="37" t="str">
        <x:v>goal one via removal (2→1); goal three via addition (2→3)</x:v>
      </x:c>
      <x:c r="H1001" s="37" t="str">
        <x:v>Yes</x:v>
      </x:c>
      <x:c r="I1001" s="37" t="str">
        <x:v>Replace prompt only</x:v>
      </x:c>
      <x:c r="J1001" s="37" t="str">
        <x:v>Prompt-only relabeling; preserve episode 999 video, scene, trajectory, target, and start position.</x:v>
      </x:c>
      <x:c r="K1001" s="37" t="str">
        <x:v>airplane toy without propellers, blue pen, yellow block, green pencil sharpener</x:v>
      </x:c>
      <x:c r="L1001" s="37" t="str">
        <x:v>airplane toy without propellers</x:v>
      </x:c>
      <x:c r="M1001" s="37" t="str">
        <x:v>Recovery</x:v>
      </x:c>
      <x:c r="N1001" s="37" t="str">
        <x:v>Move the airplane toy without propellers from the bowl to the table.</x:v>
      </x:c>
      <x:c r="O1001" s="37" t="str"/>
      <x:c r="P1001" s="37" t="str">
        <x:v>The word three is explicitly trained through removal, while three-through-addition is withheld.</x:v>
      </x:c>
      <x:c r="Q1001" s="38"/>
    </x:row>
    <x:row r="1002" ht="60" customHeight="1">
      <x:c r="A1002" s="70" t="n">
        <x:v>1000</x:v>
      </x:c>
      <x:c r="B1002" s="37" t="str">
        <x:v>Size Recognition</x:v>
      </x:c>
      <x:c r="C1002" s="37" t="str">
        <x:v>Put the red pencil sharpener in the bowl.</x:v>
      </x:c>
      <x:c r="D1002" s="37" t="str">
        <x:v>Direct-object identity control</x:v>
      </x:c>
      <x:c r="E1002" s="37" t="str">
        <x:v>direct identity=red pencil sharpener; physical size role=smallest</x:v>
      </x:c>
      <x:c r="F1002" s="37" t="str">
        <x:v>size_red_pencil_sharpener_smallest_direct_control</x:v>
      </x:c>
      <x:c r="G1002" s="37" t="str">
        <x:v>green-block×largest; juggling-ball×smallest</x:v>
      </x:c>
      <x:c r="H1002" s="37" t="str">
        <x:v>Yes</x:v>
      </x:c>
      <x:c r="I1002" s="37" t="str">
        <x:v>Replace prompt only</x:v>
      </x:c>
      <x:c r="J1002" s="37" t="str">
        <x:v>Prompt-only relabeling; preserve episode 1000 video, scene, trajectory, target, and start position.</x:v>
      </x:c>
      <x:c r="K1002" s="37" t="str">
        <x:v>red pencil sharpener, green block, juggling ball, crushed Pepsi can</x:v>
      </x:c>
      <x:c r="L1002" s="37" t="str">
        <x:v>red pencil sharpener</x:v>
      </x:c>
      <x:c r="M1002" s="37" t="str">
        <x:v>Home</x:v>
      </x:c>
      <x:c r="N1002" s="37" t="str">
        <x:v>Move the object that is smallest into the bowl.</x:v>
      </x:c>
      <x:c r="O1002" s="37" t="str"/>
      <x:c r="P1002" s="37" t="str">
        <x:v>Provides direct-name grounding within the size task. Five direct controls are retained for every object identity.</x:v>
      </x:c>
      <x:c r="Q1002" s="38"/>
    </x:row>
    <x:row r="1003" ht="60" customHeight="1">
      <x:c r="A1003" s="70" t="n">
        <x:v>1001</x:v>
      </x:c>
      <x:c r="B1003" s="37" t="str">
        <x:v>Size Recognition</x:v>
      </x:c>
      <x:c r="C1003" s="37" t="str">
        <x:v>Pick up the red pencil sharpener and place it in the bowl.</x:v>
      </x:c>
      <x:c r="D1003" s="37" t="str">
        <x:v>Direct-object identity control</x:v>
      </x:c>
      <x:c r="E1003" s="37" t="str">
        <x:v>direct identity=red pencil sharpener; physical size role=smallest</x:v>
      </x:c>
      <x:c r="F1003" s="37" t="str">
        <x:v>size_red_pencil_sharpener_smallest_direct_control</x:v>
      </x:c>
      <x:c r="G1003" s="37" t="str">
        <x:v>green-block×largest; juggling-ball×smallest</x:v>
      </x:c>
      <x:c r="H1003" s="37" t="str">
        <x:v>Yes</x:v>
      </x:c>
      <x:c r="I1003" s="37" t="str">
        <x:v>Replace prompt only</x:v>
      </x:c>
      <x:c r="J1003" s="37" t="str">
        <x:v>Prompt-only relabeling; preserve episode 1001 video, scene, trajectory, target, and start position.</x:v>
      </x:c>
      <x:c r="K1003" s="37" t="str">
        <x:v>red pencil sharpener, green block, juggling ball, crushed Pepsi can</x:v>
      </x:c>
      <x:c r="L1003" s="37" t="str">
        <x:v>red pencil sharpener</x:v>
      </x:c>
      <x:c r="M1003" s="37" t="str">
        <x:v>Home</x:v>
      </x:c>
      <x:c r="N1003" s="37" t="str">
        <x:v>Move the object that is smallest into the bowl.</x:v>
      </x:c>
      <x:c r="O1003" s="37" t="str"/>
      <x:c r="P1003" s="37" t="str">
        <x:v>Provides direct-name grounding within the size task. Five direct controls are retained for every object identity.</x:v>
      </x:c>
      <x:c r="Q1003" s="38"/>
    </x:row>
    <x:row r="1004" ht="60" customHeight="1">
      <x:c r="A1004" s="70" t="n">
        <x:v>1002</x:v>
      </x:c>
      <x:c r="B1004" s="37" t="str">
        <x:v>Size Recognition</x:v>
      </x:c>
      <x:c r="C1004" s="37" t="str">
        <x:v>Move the red pencil sharpener into the bowl.</x:v>
      </x:c>
      <x:c r="D1004" s="37" t="str">
        <x:v>Direct-object identity control</x:v>
      </x:c>
      <x:c r="E1004" s="37" t="str">
        <x:v>direct identity=red pencil sharpener; physical size role=smallest</x:v>
      </x:c>
      <x:c r="F1004" s="37" t="str">
        <x:v>size_red_pencil_sharpener_smallest_direct_control</x:v>
      </x:c>
      <x:c r="G1004" s="37" t="str">
        <x:v>green-block×largest; juggling-ball×smallest</x:v>
      </x:c>
      <x:c r="H1004" s="37" t="str">
        <x:v>Yes</x:v>
      </x:c>
      <x:c r="I1004" s="37" t="str">
        <x:v>Replace prompt only</x:v>
      </x:c>
      <x:c r="J1004" s="37" t="str">
        <x:v>Prompt-only relabeling; preserve episode 1002 video, scene, trajectory, target, and start position.</x:v>
      </x:c>
      <x:c r="K1004" s="37" t="str">
        <x:v>red pencil sharpener, green block, juggling ball, crushed Pepsi can</x:v>
      </x:c>
      <x:c r="L1004" s="37" t="str">
        <x:v>red pencil sharpener</x:v>
      </x:c>
      <x:c r="M1004" s="37" t="str">
        <x:v>Home</x:v>
      </x:c>
      <x:c r="N1004" s="37" t="str">
        <x:v>Move the object that is smallest into the bowl.</x:v>
      </x:c>
      <x:c r="O1004" s="37" t="str"/>
      <x:c r="P1004" s="37" t="str">
        <x:v>Provides direct-name grounding within the size task. Five direct controls are retained for every object identity.</x:v>
      </x:c>
      <x:c r="Q1004" s="38"/>
    </x:row>
    <x:row r="1005" ht="60" customHeight="1">
      <x:c r="A1005" s="70" t="n">
        <x:v>1003</x:v>
      </x:c>
      <x:c r="B1005" s="37" t="str">
        <x:v>Size Recognition</x:v>
      </x:c>
      <x:c r="C1005" s="37" t="str">
        <x:v>Put the red pencil sharpener in the bowl.</x:v>
      </x:c>
      <x:c r="D1005" s="37" t="str">
        <x:v>Direct-object identity control</x:v>
      </x:c>
      <x:c r="E1005" s="37" t="str">
        <x:v>direct identity=red pencil sharpener; physical size role=smallest</x:v>
      </x:c>
      <x:c r="F1005" s="37" t="str">
        <x:v>size_red_pencil_sharpener_smallest_direct_control</x:v>
      </x:c>
      <x:c r="G1005" s="37" t="str">
        <x:v>green-block×largest; juggling-ball×smallest</x:v>
      </x:c>
      <x:c r="H1005" s="37" t="str">
        <x:v>Yes</x:v>
      </x:c>
      <x:c r="I1005" s="37" t="str">
        <x:v>Replace prompt only</x:v>
      </x:c>
      <x:c r="J1005" s="37" t="str">
        <x:v>Prompt-only relabeling; preserve episode 1003 video, scene, trajectory, target, and start position.</x:v>
      </x:c>
      <x:c r="K1005" s="37" t="str">
        <x:v>red pencil sharpener, green block, juggling ball, crushed Pepsi can</x:v>
      </x:c>
      <x:c r="L1005" s="37" t="str">
        <x:v>red pencil sharpener</x:v>
      </x:c>
      <x:c r="M1005" s="37" t="str">
        <x:v>Home</x:v>
      </x:c>
      <x:c r="N1005" s="37" t="str">
        <x:v>Pick up the smallest item and place it in the bowl.</x:v>
      </x:c>
      <x:c r="O1005" s="37" t="str"/>
      <x:c r="P1005" s="37" t="str">
        <x:v>Provides direct-name grounding within the size task. Five direct controls are retained for every object identity.</x:v>
      </x:c>
      <x:c r="Q1005" s="38"/>
    </x:row>
    <x:row r="1006" ht="60" customHeight="1">
      <x:c r="A1006" s="70" t="n">
        <x:v>1004</x:v>
      </x:c>
      <x:c r="B1006" s="37" t="str">
        <x:v>Size Recognition</x:v>
      </x:c>
      <x:c r="C1006" s="37" t="str">
        <x:v>Pick up the red pencil sharpener and place it in the bowl.</x:v>
      </x:c>
      <x:c r="D1006" s="37" t="str">
        <x:v>Direct-object identity control</x:v>
      </x:c>
      <x:c r="E1006" s="37" t="str">
        <x:v>direct identity=red pencil sharpener; physical size role=smallest</x:v>
      </x:c>
      <x:c r="F1006" s="37" t="str">
        <x:v>size_red_pencil_sharpener_smallest_direct_control</x:v>
      </x:c>
      <x:c r="G1006" s="37" t="str">
        <x:v>green-block×largest; juggling-ball×smallest</x:v>
      </x:c>
      <x:c r="H1006" s="37" t="str">
        <x:v>Yes</x:v>
      </x:c>
      <x:c r="I1006" s="37" t="str">
        <x:v>Replace prompt only</x:v>
      </x:c>
      <x:c r="J1006" s="37" t="str">
        <x:v>Prompt-only relabeling; preserve episode 1004 video, scene, trajectory, target, and start position.</x:v>
      </x:c>
      <x:c r="K1006" s="37" t="str">
        <x:v>red pencil sharpener, green block, juggling ball, crushed Pepsi can</x:v>
      </x:c>
      <x:c r="L1006" s="37" t="str">
        <x:v>red pencil sharpener</x:v>
      </x:c>
      <x:c r="M1006" s="37" t="str">
        <x:v>Home</x:v>
      </x:c>
      <x:c r="N1006" s="37" t="str">
        <x:v>Put the smallest object in the bowl.</x:v>
      </x:c>
      <x:c r="O1006" s="37" t="str"/>
      <x:c r="P1006" s="37" t="str">
        <x:v>Provides direct-name grounding within the size task. Five direct controls are retained for every object identity.</x:v>
      </x:c>
      <x:c r="Q1006" s="38"/>
    </x:row>
    <x:row r="1007" ht="60" customHeight="1">
      <x:c r="A1007" s="70" t="n">
        <x:v>1005</x:v>
      </x:c>
      <x:c r="B1007" s="37" t="str">
        <x:v>Size Recognition</x:v>
      </x:c>
      <x:c r="C1007" s="37" t="str">
        <x:v>Move the object that is smallest into the bowl.</x:v>
      </x:c>
      <x:c r="D1007" s="37" t="str">
        <x:v>Explicit size grounding</x:v>
      </x:c>
      <x:c r="E1007" s="37" t="str">
        <x:v>smallest × red pencil sharpener</x:v>
      </x:c>
      <x:c r="F1007" s="37" t="str">
        <x:v>size_red_pencil_sharpener_smallest_explicit</x:v>
      </x:c>
      <x:c r="G1007" s="37" t="str">
        <x:v>green-block×largest; juggling-ball×smallest</x:v>
      </x:c>
      <x:c r="H1007" s="37" t="str">
        <x:v>No</x:v>
      </x:c>
      <x:c r="I1007" s="37" t="str">
        <x:v>Keep prompt</x:v>
      </x:c>
      <x:c r="J1007" s="37" t="str">
        <x:v>No prompt change required under the missing-cell design.</x:v>
      </x:c>
      <x:c r="K1007" s="37" t="str">
        <x:v>red pencil sharpener, green block, juggling ball, crushed Pepsi can</x:v>
      </x:c>
      <x:c r="L1007" s="37" t="str">
        <x:v>red pencil sharpener</x:v>
      </x:c>
      <x:c r="M1007" s="37" t="str">
        <x:v>Home</x:v>
      </x:c>
      <x:c r="N1007" s="37" t="str">
        <x:v>Move the object that is smallest into the bowl.</x:v>
      </x:c>
      <x:c r="O1007" s="37" t="str"/>
      <x:c r="P1007" s="37" t="str">
        <x:v>Explicitly grounds smallest with red pencil sharpener; only the selected size-role/object cell is withheld.</x:v>
      </x:c>
      <x:c r="Q1007" s="38"/>
    </x:row>
    <x:row r="1008" ht="60" customHeight="1">
      <x:c r="A1008" s="70" t="n">
        <x:v>1006</x:v>
      </x:c>
      <x:c r="B1008" s="37" t="str">
        <x:v>Size Recognition</x:v>
      </x:c>
      <x:c r="C1008" s="37" t="str">
        <x:v>Pick up the smallest item and place it in the bowl.</x:v>
      </x:c>
      <x:c r="D1008" s="37" t="str">
        <x:v>Explicit size grounding</x:v>
      </x:c>
      <x:c r="E1008" s="37" t="str">
        <x:v>smallest × red pencil sharpener</x:v>
      </x:c>
      <x:c r="F1008" s="37" t="str">
        <x:v>size_red_pencil_sharpener_smallest_explicit</x:v>
      </x:c>
      <x:c r="G1008" s="37" t="str">
        <x:v>green-block×largest; juggling-ball×smallest</x:v>
      </x:c>
      <x:c r="H1008" s="37" t="str">
        <x:v>No</x:v>
      </x:c>
      <x:c r="I1008" s="37" t="str">
        <x:v>Keep prompt</x:v>
      </x:c>
      <x:c r="J1008" s="37" t="str">
        <x:v>No prompt change required under the missing-cell design.</x:v>
      </x:c>
      <x:c r="K1008" s="37" t="str">
        <x:v>red pencil sharpener, green block, juggling ball, crushed Pepsi can</x:v>
      </x:c>
      <x:c r="L1008" s="37" t="str">
        <x:v>red pencil sharpener</x:v>
      </x:c>
      <x:c r="M1008" s="37" t="str">
        <x:v>Home</x:v>
      </x:c>
      <x:c r="N1008" s="37" t="str">
        <x:v>Pick up the smallest item and place it in the bowl.</x:v>
      </x:c>
      <x:c r="O1008" s="37" t="str"/>
      <x:c r="P1008" s="37" t="str">
        <x:v>Explicitly grounds smallest with red pencil sharpener; only the selected size-role/object cell is withheld.</x:v>
      </x:c>
      <x:c r="Q1008" s="38"/>
    </x:row>
    <x:row r="1009" ht="60" customHeight="1">
      <x:c r="A1009" s="70" t="n">
        <x:v>1007</x:v>
      </x:c>
      <x:c r="B1009" s="37" t="str">
        <x:v>Size Recognition</x:v>
      </x:c>
      <x:c r="C1009" s="37" t="str">
        <x:v>Move the object that is smallest into the bowl.</x:v>
      </x:c>
      <x:c r="D1009" s="37" t="str">
        <x:v>Explicit size grounding</x:v>
      </x:c>
      <x:c r="E1009" s="37" t="str">
        <x:v>smallest × red pencil sharpener</x:v>
      </x:c>
      <x:c r="F1009" s="37" t="str">
        <x:v>size_red_pencil_sharpener_smallest_explicit</x:v>
      </x:c>
      <x:c r="G1009" s="37" t="str">
        <x:v>green-block×largest; juggling-ball×smallest</x:v>
      </x:c>
      <x:c r="H1009" s="37" t="str">
        <x:v>No</x:v>
      </x:c>
      <x:c r="I1009" s="37" t="str">
        <x:v>Keep prompt</x:v>
      </x:c>
      <x:c r="J1009" s="37" t="str">
        <x:v>No prompt change required under the missing-cell design.</x:v>
      </x:c>
      <x:c r="K1009" s="37" t="str">
        <x:v>red pencil sharpener, green block, juggling ball, crushed Pepsi can</x:v>
      </x:c>
      <x:c r="L1009" s="37" t="str">
        <x:v>red pencil sharpener</x:v>
      </x:c>
      <x:c r="M1009" s="37" t="str">
        <x:v>Home</x:v>
      </x:c>
      <x:c r="N1009" s="37" t="str">
        <x:v>Move the object that is smallest into the bowl.</x:v>
      </x:c>
      <x:c r="O1009" s="37" t="str"/>
      <x:c r="P1009" s="37" t="str">
        <x:v>Explicitly grounds smallest with red pencil sharpener; only the selected size-role/object cell is withheld.</x:v>
      </x:c>
      <x:c r="Q1009" s="38"/>
    </x:row>
    <x:row r="1010" ht="60" customHeight="1">
      <x:c r="A1010" s="70" t="n">
        <x:v>1008</x:v>
      </x:c>
      <x:c r="B1010" s="37" t="str">
        <x:v>Size Recognition</x:v>
      </x:c>
      <x:c r="C1010" s="37" t="str">
        <x:v>Put the smallest object in the bowl.</x:v>
      </x:c>
      <x:c r="D1010" s="37" t="str">
        <x:v>Explicit size grounding</x:v>
      </x:c>
      <x:c r="E1010" s="37" t="str">
        <x:v>smallest × red pencil sharpener</x:v>
      </x:c>
      <x:c r="F1010" s="37" t="str">
        <x:v>size_red_pencil_sharpener_smallest_explicit</x:v>
      </x:c>
      <x:c r="G1010" s="37" t="str">
        <x:v>green-block×largest; juggling-ball×smallest</x:v>
      </x:c>
      <x:c r="H1010" s="37" t="str">
        <x:v>No</x:v>
      </x:c>
      <x:c r="I1010" s="37" t="str">
        <x:v>Keep prompt</x:v>
      </x:c>
      <x:c r="J1010" s="37" t="str">
        <x:v>No prompt change required under the missing-cell design.</x:v>
      </x:c>
      <x:c r="K1010" s="37" t="str">
        <x:v>red pencil sharpener, green block, juggling ball, crushed Pepsi can</x:v>
      </x:c>
      <x:c r="L1010" s="37" t="str">
        <x:v>red pencil sharpener</x:v>
      </x:c>
      <x:c r="M1010" s="37" t="str">
        <x:v>Home</x:v>
      </x:c>
      <x:c r="N1010" s="37" t="str">
        <x:v>Put the smallest object in the bowl.</x:v>
      </x:c>
      <x:c r="O1010" s="37" t="str"/>
      <x:c r="P1010" s="37" t="str">
        <x:v>Explicitly grounds smallest with red pencil sharpener; only the selected size-role/object cell is withheld.</x:v>
      </x:c>
      <x:c r="Q1010" s="38"/>
    </x:row>
    <x:row r="1011" ht="60" customHeight="1">
      <x:c r="A1011" s="70" t="n">
        <x:v>1009</x:v>
      </x:c>
      <x:c r="B1011" s="37" t="str">
        <x:v>Size Recognition</x:v>
      </x:c>
      <x:c r="C1011" s="37" t="str">
        <x:v>Move the object that is smallest into the bowl.</x:v>
      </x:c>
      <x:c r="D1011" s="37" t="str">
        <x:v>Explicit size grounding</x:v>
      </x:c>
      <x:c r="E1011" s="37" t="str">
        <x:v>smallest × red pencil sharpener</x:v>
      </x:c>
      <x:c r="F1011" s="37" t="str">
        <x:v>size_red_pencil_sharpener_smallest_explicit</x:v>
      </x:c>
      <x:c r="G1011" s="37" t="str">
        <x:v>green-block×largest; juggling-ball×smallest</x:v>
      </x:c>
      <x:c r="H1011" s="37" t="str">
        <x:v>No</x:v>
      </x:c>
      <x:c r="I1011" s="37" t="str">
        <x:v>Keep prompt</x:v>
      </x:c>
      <x:c r="J1011" s="37" t="str">
        <x:v>No prompt change required under the missing-cell design.</x:v>
      </x:c>
      <x:c r="K1011" s="37" t="str">
        <x:v>red pencil sharpener, green block, juggling ball, crushed Pepsi can</x:v>
      </x:c>
      <x:c r="L1011" s="37" t="str">
        <x:v>red pencil sharpener</x:v>
      </x:c>
      <x:c r="M1011" s="37" t="str">
        <x:v>Home</x:v>
      </x:c>
      <x:c r="N1011" s="37" t="str">
        <x:v>Move the object that is smallest into the bowl.</x:v>
      </x:c>
      <x:c r="O1011" s="37" t="str"/>
      <x:c r="P1011" s="37" t="str">
        <x:v>Explicitly grounds smallest with red pencil sharpener; only the selected size-role/object cell is withheld.</x:v>
      </x:c>
      <x:c r="Q1011" s="38"/>
    </x:row>
    <x:row r="1012" ht="60" customHeight="1">
      <x:c r="A1012" s="70" t="n">
        <x:v>1010</x:v>
      </x:c>
      <x:c r="B1012" s="37" t="str">
        <x:v>Size Recognition</x:v>
      </x:c>
      <x:c r="C1012" s="37" t="str">
        <x:v>Put the smallest object in the bowl.</x:v>
      </x:c>
      <x:c r="D1012" s="37" t="str">
        <x:v>Explicit size grounding</x:v>
      </x:c>
      <x:c r="E1012" s="37" t="str">
        <x:v>smallest × red pencil sharpener</x:v>
      </x:c>
      <x:c r="F1012" s="37" t="str">
        <x:v>size_red_pencil_sharpener_smallest_explicit</x:v>
      </x:c>
      <x:c r="G1012" s="37" t="str">
        <x:v>green-block×largest; juggling-ball×smallest</x:v>
      </x:c>
      <x:c r="H1012" s="37" t="str">
        <x:v>No</x:v>
      </x:c>
      <x:c r="I1012" s="37" t="str">
        <x:v>Keep prompt</x:v>
      </x:c>
      <x:c r="J1012" s="37" t="str">
        <x:v>No prompt change required under the missing-cell design.</x:v>
      </x:c>
      <x:c r="K1012" s="37" t="str">
        <x:v>red pencil sharpener, green block, juggling ball, crushed Pepsi can</x:v>
      </x:c>
      <x:c r="L1012" s="37" t="str">
        <x:v>red pencil sharpener</x:v>
      </x:c>
      <x:c r="M1012" s="37" t="str">
        <x:v>Home</x:v>
      </x:c>
      <x:c r="N1012" s="37" t="str">
        <x:v>Put the smallest object in the bowl.</x:v>
      </x:c>
      <x:c r="O1012" s="37" t="str"/>
      <x:c r="P1012" s="37" t="str">
        <x:v>Explicitly grounds smallest with red pencil sharpener; only the selected size-role/object cell is withheld.</x:v>
      </x:c>
      <x:c r="Q1012" s="38"/>
    </x:row>
    <x:row r="1013" ht="60" customHeight="1">
      <x:c r="A1013" s="70" t="n">
        <x:v>1011</x:v>
      </x:c>
      <x:c r="B1013" s="37" t="str">
        <x:v>Size Recognition</x:v>
      </x:c>
      <x:c r="C1013" s="37" t="str">
        <x:v>Pick up the smallest item and place it in the bowl.</x:v>
      </x:c>
      <x:c r="D1013" s="37" t="str">
        <x:v>Explicit size grounding</x:v>
      </x:c>
      <x:c r="E1013" s="37" t="str">
        <x:v>smallest × red pencil sharpener</x:v>
      </x:c>
      <x:c r="F1013" s="37" t="str">
        <x:v>size_red_pencil_sharpener_smallest_explicit</x:v>
      </x:c>
      <x:c r="G1013" s="37" t="str">
        <x:v>green-block×largest; juggling-ball×smallest</x:v>
      </x:c>
      <x:c r="H1013" s="37" t="str">
        <x:v>No</x:v>
      </x:c>
      <x:c r="I1013" s="37" t="str">
        <x:v>Keep prompt</x:v>
      </x:c>
      <x:c r="J1013" s="37" t="str">
        <x:v>No prompt change required under the missing-cell design.</x:v>
      </x:c>
      <x:c r="K1013" s="37" t="str">
        <x:v>red pencil sharpener, green block, juggling ball, crushed Pepsi can</x:v>
      </x:c>
      <x:c r="L1013" s="37" t="str">
        <x:v>red pencil sharpener</x:v>
      </x:c>
      <x:c r="M1013" s="37" t="str">
        <x:v>Home</x:v>
      </x:c>
      <x:c r="N1013" s="37" t="str">
        <x:v>Pick up the smallest item and place it in the bowl.</x:v>
      </x:c>
      <x:c r="O1013" s="37" t="str"/>
      <x:c r="P1013" s="37" t="str">
        <x:v>Explicitly grounds smallest with red pencil sharpener; only the selected size-role/object cell is withheld.</x:v>
      </x:c>
      <x:c r="Q1013" s="38"/>
    </x:row>
    <x:row r="1014" ht="60" customHeight="1">
      <x:c r="A1014" s="70" t="n">
        <x:v>1012</x:v>
      </x:c>
      <x:c r="B1014" s="37" t="str">
        <x:v>Size Recognition</x:v>
      </x:c>
      <x:c r="C1014" s="37" t="str">
        <x:v>Put the smallest object in the bowl.</x:v>
      </x:c>
      <x:c r="D1014" s="37" t="str">
        <x:v>Explicit size grounding</x:v>
      </x:c>
      <x:c r="E1014" s="37" t="str">
        <x:v>smallest × red pencil sharpener</x:v>
      </x:c>
      <x:c r="F1014" s="37" t="str">
        <x:v>size_red_pencil_sharpener_smallest_explicit</x:v>
      </x:c>
      <x:c r="G1014" s="37" t="str">
        <x:v>green-block×largest; juggling-ball×smallest</x:v>
      </x:c>
      <x:c r="H1014" s="37" t="str">
        <x:v>No</x:v>
      </x:c>
      <x:c r="I1014" s="37" t="str">
        <x:v>Keep prompt</x:v>
      </x:c>
      <x:c r="J1014" s="37" t="str">
        <x:v>No prompt change required under the missing-cell design.</x:v>
      </x:c>
      <x:c r="K1014" s="37" t="str">
        <x:v>red pencil sharpener, green block, juggling ball, crushed Pepsi can</x:v>
      </x:c>
      <x:c r="L1014" s="37" t="str">
        <x:v>red pencil sharpener</x:v>
      </x:c>
      <x:c r="M1014" s="37" t="str">
        <x:v>Recovery</x:v>
      </x:c>
      <x:c r="N1014" s="37" t="str">
        <x:v>Put the smallest object in the bowl.</x:v>
      </x:c>
      <x:c r="O1014" s="37" t="str"/>
      <x:c r="P1014" s="37" t="str">
        <x:v>Explicitly grounds smallest with red pencil sharpener; only the selected size-role/object cell is withheld.</x:v>
      </x:c>
      <x:c r="Q1014" s="38"/>
    </x:row>
    <x:row r="1015" ht="60" customHeight="1">
      <x:c r="A1015" s="70" t="n">
        <x:v>1013</x:v>
      </x:c>
      <x:c r="B1015" s="37" t="str">
        <x:v>Size Recognition</x:v>
      </x:c>
      <x:c r="C1015" s="37" t="str">
        <x:v>Put the smallest object in the bowl.</x:v>
      </x:c>
      <x:c r="D1015" s="37" t="str">
        <x:v>Explicit size grounding</x:v>
      </x:c>
      <x:c r="E1015" s="37" t="str">
        <x:v>smallest × red pencil sharpener</x:v>
      </x:c>
      <x:c r="F1015" s="37" t="str">
        <x:v>size_red_pencil_sharpener_smallest_explicit</x:v>
      </x:c>
      <x:c r="G1015" s="37" t="str">
        <x:v>green-block×largest; juggling-ball×smallest</x:v>
      </x:c>
      <x:c r="H1015" s="37" t="str">
        <x:v>No</x:v>
      </x:c>
      <x:c r="I1015" s="37" t="str">
        <x:v>Keep prompt</x:v>
      </x:c>
      <x:c r="J1015" s="37" t="str">
        <x:v>No prompt change required under the missing-cell design.</x:v>
      </x:c>
      <x:c r="K1015" s="37" t="str">
        <x:v>red pencil sharpener, green block, juggling ball, crushed Pepsi can</x:v>
      </x:c>
      <x:c r="L1015" s="37" t="str">
        <x:v>red pencil sharpener</x:v>
      </x:c>
      <x:c r="M1015" s="37" t="str">
        <x:v>Recovery</x:v>
      </x:c>
      <x:c r="N1015" s="37" t="str">
        <x:v>Put the smallest object in the bowl.</x:v>
      </x:c>
      <x:c r="O1015" s="37" t="str"/>
      <x:c r="P1015" s="37" t="str">
        <x:v>Explicitly grounds smallest with red pencil sharpener; only the selected size-role/object cell is withheld.</x:v>
      </x:c>
      <x:c r="Q1015" s="38"/>
    </x:row>
    <x:row r="1016" ht="60" customHeight="1">
      <x:c r="A1016" s="70" t="n">
        <x:v>1014</x:v>
      </x:c>
      <x:c r="B1016" s="37" t="str">
        <x:v>Size Recognition</x:v>
      </x:c>
      <x:c r="C1016" s="37" t="str">
        <x:v>Pick up the smallest item and place it in the bowl.</x:v>
      </x:c>
      <x:c r="D1016" s="37" t="str">
        <x:v>Explicit size grounding</x:v>
      </x:c>
      <x:c r="E1016" s="37" t="str">
        <x:v>smallest × red pencil sharpener</x:v>
      </x:c>
      <x:c r="F1016" s="37" t="str">
        <x:v>size_red_pencil_sharpener_smallest_explicit</x:v>
      </x:c>
      <x:c r="G1016" s="37" t="str">
        <x:v>green-block×largest; juggling-ball×smallest</x:v>
      </x:c>
      <x:c r="H1016" s="37" t="str">
        <x:v>No</x:v>
      </x:c>
      <x:c r="I1016" s="37" t="str">
        <x:v>Keep prompt</x:v>
      </x:c>
      <x:c r="J1016" s="37" t="str">
        <x:v>No prompt change required under the missing-cell design.</x:v>
      </x:c>
      <x:c r="K1016" s="37" t="str">
        <x:v>red pencil sharpener, green block, juggling ball, crushed Pepsi can</x:v>
      </x:c>
      <x:c r="L1016" s="37" t="str">
        <x:v>red pencil sharpener</x:v>
      </x:c>
      <x:c r="M1016" s="37" t="str">
        <x:v>Recovery</x:v>
      </x:c>
      <x:c r="N1016" s="37" t="str">
        <x:v>Pick up the smallest item and place it in the bowl.</x:v>
      </x:c>
      <x:c r="O1016" s="37" t="str"/>
      <x:c r="P1016" s="37" t="str">
        <x:v>Explicitly grounds smallest with red pencil sharpener; only the selected size-role/object cell is withheld.</x:v>
      </x:c>
      <x:c r="Q1016" s="38"/>
    </x:row>
    <x:row r="1017" ht="60" customHeight="1">
      <x:c r="A1017" s="70" t="n">
        <x:v>1015</x:v>
      </x:c>
      <x:c r="B1017" s="37" t="str">
        <x:v>Size Recognition</x:v>
      </x:c>
      <x:c r="C1017" s="37" t="str">
        <x:v>Move the object that is smallest into the bowl.</x:v>
      </x:c>
      <x:c r="D1017" s="37" t="str">
        <x:v>Explicit size grounding</x:v>
      </x:c>
      <x:c r="E1017" s="37" t="str">
        <x:v>smallest × red pencil sharpener</x:v>
      </x:c>
      <x:c r="F1017" s="37" t="str">
        <x:v>size_red_pencil_sharpener_smallest_explicit</x:v>
      </x:c>
      <x:c r="G1017" s="37" t="str">
        <x:v>green-block×largest; juggling-ball×smallest</x:v>
      </x:c>
      <x:c r="H1017" s="37" t="str">
        <x:v>No</x:v>
      </x:c>
      <x:c r="I1017" s="37" t="str">
        <x:v>Keep prompt</x:v>
      </x:c>
      <x:c r="J1017" s="37" t="str">
        <x:v>No prompt change required under the missing-cell design.</x:v>
      </x:c>
      <x:c r="K1017" s="37" t="str">
        <x:v>red pencil sharpener, green block, crushed Pepsi can</x:v>
      </x:c>
      <x:c r="L1017" s="37" t="str">
        <x:v>red pencil sharpener</x:v>
      </x:c>
      <x:c r="M1017" s="37" t="str">
        <x:v>Home</x:v>
      </x:c>
      <x:c r="N1017" s="37" t="str">
        <x:v>Move the object that is smallest into the bowl.</x:v>
      </x:c>
      <x:c r="O1017" s="37" t="str"/>
      <x:c r="P1017" s="37" t="str">
        <x:v>Explicitly grounds smallest with red pencil sharpener; only the selected size-role/object cell is withheld.</x:v>
      </x:c>
      <x:c r="Q1017" s="38"/>
    </x:row>
    <x:row r="1018" ht="60" customHeight="1">
      <x:c r="A1018" s="70" t="n">
        <x:v>1016</x:v>
      </x:c>
      <x:c r="B1018" s="37" t="str">
        <x:v>Size Recognition</x:v>
      </x:c>
      <x:c r="C1018" s="37" t="str">
        <x:v>Pick up the smallest item and place it in the bowl.</x:v>
      </x:c>
      <x:c r="D1018" s="37" t="str">
        <x:v>Explicit size grounding</x:v>
      </x:c>
      <x:c r="E1018" s="37" t="str">
        <x:v>smallest × red pencil sharpener</x:v>
      </x:c>
      <x:c r="F1018" s="37" t="str">
        <x:v>size_red_pencil_sharpener_smallest_explicit</x:v>
      </x:c>
      <x:c r="G1018" s="37" t="str">
        <x:v>green-block×largest; juggling-ball×smallest</x:v>
      </x:c>
      <x:c r="H1018" s="37" t="str">
        <x:v>No</x:v>
      </x:c>
      <x:c r="I1018" s="37" t="str">
        <x:v>Keep prompt</x:v>
      </x:c>
      <x:c r="J1018" s="37" t="str">
        <x:v>No prompt change required under the missing-cell design.</x:v>
      </x:c>
      <x:c r="K1018" s="37" t="str">
        <x:v>red pencil sharpener, green block, crushed Pepsi can</x:v>
      </x:c>
      <x:c r="L1018" s="37" t="str">
        <x:v>red pencil sharpener</x:v>
      </x:c>
      <x:c r="M1018" s="37" t="str">
        <x:v>Home</x:v>
      </x:c>
      <x:c r="N1018" s="37" t="str">
        <x:v>Pick up the smallest item and place it in the bowl.</x:v>
      </x:c>
      <x:c r="O1018" s="37" t="str"/>
      <x:c r="P1018" s="37" t="str">
        <x:v>Explicitly grounds smallest with red pencil sharpener; only the selected size-role/object cell is withheld.</x:v>
      </x:c>
      <x:c r="Q1018" s="38"/>
    </x:row>
    <x:row r="1019" ht="60" customHeight="1">
      <x:c r="A1019" s="70" t="n">
        <x:v>1017</x:v>
      </x:c>
      <x:c r="B1019" s="37" t="str">
        <x:v>Size Recognition</x:v>
      </x:c>
      <x:c r="C1019" s="37" t="str">
        <x:v>Move the object that is smallest into the bowl.</x:v>
      </x:c>
      <x:c r="D1019" s="37" t="str">
        <x:v>Explicit size grounding</x:v>
      </x:c>
      <x:c r="E1019" s="37" t="str">
        <x:v>smallest × red pencil sharpener</x:v>
      </x:c>
      <x:c r="F1019" s="37" t="str">
        <x:v>size_red_pencil_sharpener_smallest_explicit</x:v>
      </x:c>
      <x:c r="G1019" s="37" t="str">
        <x:v>green-block×largest; juggling-ball×smallest</x:v>
      </x:c>
      <x:c r="H1019" s="37" t="str">
        <x:v>No</x:v>
      </x:c>
      <x:c r="I1019" s="37" t="str">
        <x:v>Keep prompt</x:v>
      </x:c>
      <x:c r="J1019" s="37" t="str">
        <x:v>No prompt change required under the missing-cell design.</x:v>
      </x:c>
      <x:c r="K1019" s="37" t="str">
        <x:v>red pencil sharpener, green block, crushed Pepsi can</x:v>
      </x:c>
      <x:c r="L1019" s="37" t="str">
        <x:v>red pencil sharpener</x:v>
      </x:c>
      <x:c r="M1019" s="37" t="str">
        <x:v>Home</x:v>
      </x:c>
      <x:c r="N1019" s="37" t="str">
        <x:v>Move the object that is smallest into the bowl.</x:v>
      </x:c>
      <x:c r="O1019" s="37" t="str"/>
      <x:c r="P1019" s="37" t="str">
        <x:v>Explicitly grounds smallest with red pencil sharpener; only the selected size-role/object cell is withheld.</x:v>
      </x:c>
      <x:c r="Q1019" s="38"/>
    </x:row>
    <x:row r="1020" ht="60" customHeight="1">
      <x:c r="A1020" s="70" t="n">
        <x:v>1018</x:v>
      </x:c>
      <x:c r="B1020" s="37" t="str">
        <x:v>Size Recognition</x:v>
      </x:c>
      <x:c r="C1020" s="37" t="str">
        <x:v>Pick up the smallest item and place it in the bowl.</x:v>
      </x:c>
      <x:c r="D1020" s="37" t="str">
        <x:v>Explicit size grounding</x:v>
      </x:c>
      <x:c r="E1020" s="37" t="str">
        <x:v>smallest × red pencil sharpener</x:v>
      </x:c>
      <x:c r="F1020" s="37" t="str">
        <x:v>size_red_pencil_sharpener_smallest_explicit</x:v>
      </x:c>
      <x:c r="G1020" s="37" t="str">
        <x:v>green-block×largest; juggling-ball×smallest</x:v>
      </x:c>
      <x:c r="H1020" s="37" t="str">
        <x:v>No</x:v>
      </x:c>
      <x:c r="I1020" s="37" t="str">
        <x:v>Keep prompt</x:v>
      </x:c>
      <x:c r="J1020" s="37" t="str">
        <x:v>No prompt change required under the missing-cell design.</x:v>
      </x:c>
      <x:c r="K1020" s="37" t="str">
        <x:v>red pencil sharpener, green block, crushed Pepsi can</x:v>
      </x:c>
      <x:c r="L1020" s="37" t="str">
        <x:v>red pencil sharpener</x:v>
      </x:c>
      <x:c r="M1020" s="37" t="str">
        <x:v>Home</x:v>
      </x:c>
      <x:c r="N1020" s="37" t="str">
        <x:v>Pick up the smallest item and place it in the bowl.</x:v>
      </x:c>
      <x:c r="O1020" s="37" t="str"/>
      <x:c r="P1020" s="37" t="str">
        <x:v>Explicitly grounds smallest with red pencil sharpener; only the selected size-role/object cell is withheld.</x:v>
      </x:c>
      <x:c r="Q1020" s="38"/>
    </x:row>
    <x:row r="1021" ht="60" customHeight="1">
      <x:c r="A1021" s="70" t="n">
        <x:v>1019</x:v>
      </x:c>
      <x:c r="B1021" s="37" t="str">
        <x:v>Size Recognition</x:v>
      </x:c>
      <x:c r="C1021" s="37" t="str">
        <x:v>Move the object that is smallest into the bowl.</x:v>
      </x:c>
      <x:c r="D1021" s="37" t="str">
        <x:v>Explicit size grounding</x:v>
      </x:c>
      <x:c r="E1021" s="37" t="str">
        <x:v>smallest × red pencil sharpener</x:v>
      </x:c>
      <x:c r="F1021" s="37" t="str">
        <x:v>size_red_pencil_sharpener_smallest_explicit</x:v>
      </x:c>
      <x:c r="G1021" s="37" t="str">
        <x:v>green-block×largest; juggling-ball×smallest</x:v>
      </x:c>
      <x:c r="H1021" s="37" t="str">
        <x:v>No</x:v>
      </x:c>
      <x:c r="I1021" s="37" t="str">
        <x:v>Keep prompt</x:v>
      </x:c>
      <x:c r="J1021" s="37" t="str">
        <x:v>No prompt change required under the missing-cell design.</x:v>
      </x:c>
      <x:c r="K1021" s="37" t="str">
        <x:v>red pencil sharpener, green block, crushed Pepsi can</x:v>
      </x:c>
      <x:c r="L1021" s="37" t="str">
        <x:v>red pencil sharpener</x:v>
      </x:c>
      <x:c r="M1021" s="37" t="str">
        <x:v>Home</x:v>
      </x:c>
      <x:c r="N1021" s="37" t="str">
        <x:v>Move the object that is smallest into the bowl.</x:v>
      </x:c>
      <x:c r="O1021" s="37" t="str"/>
      <x:c r="P1021" s="37" t="str">
        <x:v>Explicitly grounds smallest with red pencil sharpener; only the selected size-role/object cell is withheld.</x:v>
      </x:c>
      <x:c r="Q1021" s="38"/>
    </x:row>
    <x:row r="1022" ht="60" customHeight="1">
      <x:c r="A1022" s="70" t="n">
        <x:v>1020</x:v>
      </x:c>
      <x:c r="B1022" s="37" t="str">
        <x:v>Size Recognition</x:v>
      </x:c>
      <x:c r="C1022" s="37" t="str">
        <x:v>Pick up the smallest item and place it in the bowl.</x:v>
      </x:c>
      <x:c r="D1022" s="37" t="str">
        <x:v>Explicit size grounding</x:v>
      </x:c>
      <x:c r="E1022" s="37" t="str">
        <x:v>smallest × red pencil sharpener</x:v>
      </x:c>
      <x:c r="F1022" s="37" t="str">
        <x:v>size_red_pencil_sharpener_smallest_explicit</x:v>
      </x:c>
      <x:c r="G1022" s="37" t="str">
        <x:v>green-block×largest; juggling-ball×smallest</x:v>
      </x:c>
      <x:c r="H1022" s="37" t="str">
        <x:v>No</x:v>
      </x:c>
      <x:c r="I1022" s="37" t="str">
        <x:v>Keep prompt</x:v>
      </x:c>
      <x:c r="J1022" s="37" t="str">
        <x:v>No prompt change required under the missing-cell design.</x:v>
      </x:c>
      <x:c r="K1022" s="37" t="str">
        <x:v>red pencil sharpener, green block, crushed Pepsi can</x:v>
      </x:c>
      <x:c r="L1022" s="37" t="str">
        <x:v>red pencil sharpener</x:v>
      </x:c>
      <x:c r="M1022" s="37" t="str">
        <x:v>Home</x:v>
      </x:c>
      <x:c r="N1022" s="37" t="str">
        <x:v>Pick up the smallest item and place it in the bowl.</x:v>
      </x:c>
      <x:c r="O1022" s="37" t="str"/>
      <x:c r="P1022" s="37" t="str">
        <x:v>Explicitly grounds smallest with red pencil sharpener; only the selected size-role/object cell is withheld.</x:v>
      </x:c>
      <x:c r="Q1022" s="38"/>
    </x:row>
    <x:row r="1023" ht="60" customHeight="1">
      <x:c r="A1023" s="70" t="n">
        <x:v>1021</x:v>
      </x:c>
      <x:c r="B1023" s="37" t="str">
        <x:v>Size Recognition</x:v>
      </x:c>
      <x:c r="C1023" s="37" t="str">
        <x:v>Move the object that is smallest into the bowl.</x:v>
      </x:c>
      <x:c r="D1023" s="37" t="str">
        <x:v>Explicit size grounding</x:v>
      </x:c>
      <x:c r="E1023" s="37" t="str">
        <x:v>smallest × red pencil sharpener</x:v>
      </x:c>
      <x:c r="F1023" s="37" t="str">
        <x:v>size_red_pencil_sharpener_smallest_explicit</x:v>
      </x:c>
      <x:c r="G1023" s="37" t="str">
        <x:v>green-block×largest; juggling-ball×smallest</x:v>
      </x:c>
      <x:c r="H1023" s="37" t="str">
        <x:v>No</x:v>
      </x:c>
      <x:c r="I1023" s="37" t="str">
        <x:v>Keep prompt</x:v>
      </x:c>
      <x:c r="J1023" s="37" t="str">
        <x:v>No prompt change required under the missing-cell design.</x:v>
      </x:c>
      <x:c r="K1023" s="37" t="str">
        <x:v>red pencil sharpener, green block, crushed Pepsi can</x:v>
      </x:c>
      <x:c r="L1023" s="37" t="str">
        <x:v>red pencil sharpener</x:v>
      </x:c>
      <x:c r="M1023" s="37" t="str">
        <x:v>Home</x:v>
      </x:c>
      <x:c r="N1023" s="37" t="str">
        <x:v>Move the object that is smallest into the bowl.</x:v>
      </x:c>
      <x:c r="O1023" s="37" t="str"/>
      <x:c r="P1023" s="37" t="str">
        <x:v>Explicitly grounds smallest with red pencil sharpener; only the selected size-role/object cell is withheld.</x:v>
      </x:c>
      <x:c r="Q1023" s="38"/>
    </x:row>
    <x:row r="1024" ht="60" customHeight="1">
      <x:c r="A1024" s="70" t="n">
        <x:v>1022</x:v>
      </x:c>
      <x:c r="B1024" s="37" t="str">
        <x:v>Size Recognition</x:v>
      </x:c>
      <x:c r="C1024" s="37" t="str">
        <x:v>Put the smallest object in the bowl.</x:v>
      </x:c>
      <x:c r="D1024" s="37" t="str">
        <x:v>Explicit size grounding</x:v>
      </x:c>
      <x:c r="E1024" s="37" t="str">
        <x:v>smallest × red pencil sharpener</x:v>
      </x:c>
      <x:c r="F1024" s="37" t="str">
        <x:v>size_red_pencil_sharpener_smallest_explicit</x:v>
      </x:c>
      <x:c r="G1024" s="37" t="str">
        <x:v>green-block×largest; juggling-ball×smallest</x:v>
      </x:c>
      <x:c r="H1024" s="37" t="str">
        <x:v>No</x:v>
      </x:c>
      <x:c r="I1024" s="37" t="str">
        <x:v>Keep prompt</x:v>
      </x:c>
      <x:c r="J1024" s="37" t="str">
        <x:v>No prompt change required under the missing-cell design.</x:v>
      </x:c>
      <x:c r="K1024" s="37" t="str">
        <x:v>red pencil sharpener, green block, crushed Pepsi can</x:v>
      </x:c>
      <x:c r="L1024" s="37" t="str">
        <x:v>red pencil sharpener</x:v>
      </x:c>
      <x:c r="M1024" s="37" t="str">
        <x:v>Home</x:v>
      </x:c>
      <x:c r="N1024" s="37" t="str">
        <x:v>Put the smallest object in the bowl.</x:v>
      </x:c>
      <x:c r="O1024" s="37" t="str"/>
      <x:c r="P1024" s="37" t="str">
        <x:v>Explicitly grounds smallest with red pencil sharpener; only the selected size-role/object cell is withheld.</x:v>
      </x:c>
      <x:c r="Q1024" s="38"/>
    </x:row>
    <x:row r="1025" ht="60" customHeight="1">
      <x:c r="A1025" s="70" t="n">
        <x:v>1023</x:v>
      </x:c>
      <x:c r="B1025" s="37" t="str">
        <x:v>Size Recognition</x:v>
      </x:c>
      <x:c r="C1025" s="37" t="str">
        <x:v>Move the object that is smallest into the bowl.</x:v>
      </x:c>
      <x:c r="D1025" s="37" t="str">
        <x:v>Explicit size grounding</x:v>
      </x:c>
      <x:c r="E1025" s="37" t="str">
        <x:v>smallest × red pencil sharpener</x:v>
      </x:c>
      <x:c r="F1025" s="37" t="str">
        <x:v>size_red_pencil_sharpener_smallest_explicit</x:v>
      </x:c>
      <x:c r="G1025" s="37" t="str">
        <x:v>green-block×largest; juggling-ball×smallest</x:v>
      </x:c>
      <x:c r="H1025" s="37" t="str">
        <x:v>No</x:v>
      </x:c>
      <x:c r="I1025" s="37" t="str">
        <x:v>Keep prompt</x:v>
      </x:c>
      <x:c r="J1025" s="37" t="str">
        <x:v>No prompt change required under the missing-cell design.</x:v>
      </x:c>
      <x:c r="K1025" s="37" t="str">
        <x:v>red pencil sharpener, green block, crushed Pepsi can</x:v>
      </x:c>
      <x:c r="L1025" s="37" t="str">
        <x:v>red pencil sharpener</x:v>
      </x:c>
      <x:c r="M1025" s="37" t="str">
        <x:v>Home</x:v>
      </x:c>
      <x:c r="N1025" s="37" t="str">
        <x:v>Move the object that is smallest into the bowl.</x:v>
      </x:c>
      <x:c r="O1025" s="37" t="str"/>
      <x:c r="P1025" s="37" t="str">
        <x:v>Explicitly grounds smallest with red pencil sharpener; only the selected size-role/object cell is withheld.</x:v>
      </x:c>
      <x:c r="Q1025" s="38"/>
    </x:row>
    <x:row r="1026" ht="60" customHeight="1">
      <x:c r="A1026" s="70" t="n">
        <x:v>1024</x:v>
      </x:c>
      <x:c r="B1026" s="37" t="str">
        <x:v>Size Recognition</x:v>
      </x:c>
      <x:c r="C1026" s="37" t="str">
        <x:v>Move the object that is smallest into the bowl.</x:v>
      </x:c>
      <x:c r="D1026" s="37" t="str">
        <x:v>Explicit size grounding</x:v>
      </x:c>
      <x:c r="E1026" s="37" t="str">
        <x:v>smallest × red pencil sharpener</x:v>
      </x:c>
      <x:c r="F1026" s="37" t="str">
        <x:v>size_red_pencil_sharpener_smallest_explicit</x:v>
      </x:c>
      <x:c r="G1026" s="37" t="str">
        <x:v>green-block×largest; juggling-ball×smallest</x:v>
      </x:c>
      <x:c r="H1026" s="37" t="str">
        <x:v>No</x:v>
      </x:c>
      <x:c r="I1026" s="37" t="str">
        <x:v>Keep prompt</x:v>
      </x:c>
      <x:c r="J1026" s="37" t="str">
        <x:v>No prompt change required under the missing-cell design.</x:v>
      </x:c>
      <x:c r="K1026" s="37" t="str">
        <x:v>red pencil sharpener, green block, crushed Pepsi can</x:v>
      </x:c>
      <x:c r="L1026" s="37" t="str">
        <x:v>red pencil sharpener</x:v>
      </x:c>
      <x:c r="M1026" s="37" t="str">
        <x:v>Home</x:v>
      </x:c>
      <x:c r="N1026" s="37" t="str">
        <x:v>Move the object that is smallest into the bowl.</x:v>
      </x:c>
      <x:c r="O1026" s="37" t="str"/>
      <x:c r="P1026" s="37" t="str">
        <x:v>Explicitly grounds smallest with red pencil sharpener; only the selected size-role/object cell is withheld.</x:v>
      </x:c>
      <x:c r="Q1026" s="38"/>
    </x:row>
    <x:row r="1027" ht="60" customHeight="1">
      <x:c r="A1027" s="70" t="n">
        <x:v>1025</x:v>
      </x:c>
      <x:c r="B1027" s="37" t="str">
        <x:v>Size Recognition</x:v>
      </x:c>
      <x:c r="C1027" s="37" t="str">
        <x:v>Move the object that is smallest into the bowl.</x:v>
      </x:c>
      <x:c r="D1027" s="37" t="str">
        <x:v>Explicit size grounding</x:v>
      </x:c>
      <x:c r="E1027" s="37" t="str">
        <x:v>smallest × red pencil sharpener</x:v>
      </x:c>
      <x:c r="F1027" s="37" t="str">
        <x:v>size_red_pencil_sharpener_smallest_explicit</x:v>
      </x:c>
      <x:c r="G1027" s="37" t="str">
        <x:v>green-block×largest; juggling-ball×smallest</x:v>
      </x:c>
      <x:c r="H1027" s="37" t="str">
        <x:v>No</x:v>
      </x:c>
      <x:c r="I1027" s="37" t="str">
        <x:v>Keep prompt</x:v>
      </x:c>
      <x:c r="J1027" s="37" t="str">
        <x:v>No prompt change required under the missing-cell design.</x:v>
      </x:c>
      <x:c r="K1027" s="37" t="str">
        <x:v>red pencil sharpener, green block, crushed Pepsi can</x:v>
      </x:c>
      <x:c r="L1027" s="37" t="str">
        <x:v>red pencil sharpener</x:v>
      </x:c>
      <x:c r="M1027" s="37" t="str">
        <x:v>Home</x:v>
      </x:c>
      <x:c r="N1027" s="37" t="str">
        <x:v>Move the object that is smallest into the bowl.</x:v>
      </x:c>
      <x:c r="O1027" s="37" t="str"/>
      <x:c r="P1027" s="37" t="str">
        <x:v>Explicitly grounds smallest with red pencil sharpener; only the selected size-role/object cell is withheld.</x:v>
      </x:c>
      <x:c r="Q1027" s="38"/>
    </x:row>
    <x:row r="1028" ht="60" customHeight="1">
      <x:c r="A1028" s="70" t="n">
        <x:v>1026</x:v>
      </x:c>
      <x:c r="B1028" s="37" t="str">
        <x:v>Size Recognition</x:v>
      </x:c>
      <x:c r="C1028" s="37" t="str">
        <x:v>Pick up the smallest item and place it in the bowl.</x:v>
      </x:c>
      <x:c r="D1028" s="37" t="str">
        <x:v>Explicit size grounding</x:v>
      </x:c>
      <x:c r="E1028" s="37" t="str">
        <x:v>smallest × red pencil sharpener</x:v>
      </x:c>
      <x:c r="F1028" s="37" t="str">
        <x:v>size_red_pencil_sharpener_smallest_explicit</x:v>
      </x:c>
      <x:c r="G1028" s="37" t="str">
        <x:v>green-block×largest; juggling-ball×smallest</x:v>
      </x:c>
      <x:c r="H1028" s="37" t="str">
        <x:v>No</x:v>
      </x:c>
      <x:c r="I1028" s="37" t="str">
        <x:v>Keep prompt</x:v>
      </x:c>
      <x:c r="J1028" s="37" t="str">
        <x:v>No prompt change required under the missing-cell design.</x:v>
      </x:c>
      <x:c r="K1028" s="37" t="str">
        <x:v>red pencil sharpener, green block, crushed Pepsi can</x:v>
      </x:c>
      <x:c r="L1028" s="37" t="str">
        <x:v>red pencil sharpener</x:v>
      </x:c>
      <x:c r="M1028" s="37" t="str">
        <x:v>Home</x:v>
      </x:c>
      <x:c r="N1028" s="37" t="str">
        <x:v>Pick up the smallest item and place it in the bowl.</x:v>
      </x:c>
      <x:c r="O1028" s="37" t="str"/>
      <x:c r="P1028" s="37" t="str">
        <x:v>Explicitly grounds smallest with red pencil sharpener; only the selected size-role/object cell is withheld.</x:v>
      </x:c>
      <x:c r="Q1028" s="38"/>
    </x:row>
    <x:row r="1029" ht="60" customHeight="1">
      <x:c r="A1029" s="70" t="n">
        <x:v>1027</x:v>
      </x:c>
      <x:c r="B1029" s="37" t="str">
        <x:v>Size Recognition</x:v>
      </x:c>
      <x:c r="C1029" s="37" t="str">
        <x:v>Pick up the smallest item and place it in the bowl.</x:v>
      </x:c>
      <x:c r="D1029" s="37" t="str">
        <x:v>Explicit size grounding</x:v>
      </x:c>
      <x:c r="E1029" s="37" t="str">
        <x:v>smallest × red pencil sharpener</x:v>
      </x:c>
      <x:c r="F1029" s="37" t="str">
        <x:v>size_red_pencil_sharpener_smallest_explicit</x:v>
      </x:c>
      <x:c r="G1029" s="37" t="str">
        <x:v>green-block×largest; juggling-ball×smallest</x:v>
      </x:c>
      <x:c r="H1029" s="37" t="str">
        <x:v>No</x:v>
      </x:c>
      <x:c r="I1029" s="37" t="str">
        <x:v>Keep prompt</x:v>
      </x:c>
      <x:c r="J1029" s="37" t="str">
        <x:v>No prompt change required under the missing-cell design.</x:v>
      </x:c>
      <x:c r="K1029" s="37" t="str">
        <x:v>red pencil sharpener, green block, crushed Pepsi can</x:v>
      </x:c>
      <x:c r="L1029" s="37" t="str">
        <x:v>red pencil sharpener</x:v>
      </x:c>
      <x:c r="M1029" s="37" t="str">
        <x:v>Recovery</x:v>
      </x:c>
      <x:c r="N1029" s="37" t="str">
        <x:v>Pick up the smallest item and place it in the bowl.</x:v>
      </x:c>
      <x:c r="O1029" s="37" t="str"/>
      <x:c r="P1029" s="37" t="str">
        <x:v>Explicitly grounds smallest with red pencil sharpener; only the selected size-role/object cell is withheld.</x:v>
      </x:c>
      <x:c r="Q1029" s="38"/>
    </x:row>
    <x:row r="1030" ht="60" customHeight="1">
      <x:c r="A1030" s="70" t="n">
        <x:v>1028</x:v>
      </x:c>
      <x:c r="B1030" s="37" t="str">
        <x:v>Size Recognition</x:v>
      </x:c>
      <x:c r="C1030" s="37" t="str">
        <x:v>Put the smallest object in the bowl.</x:v>
      </x:c>
      <x:c r="D1030" s="37" t="str">
        <x:v>Explicit size grounding</x:v>
      </x:c>
      <x:c r="E1030" s="37" t="str">
        <x:v>smallest × red pencil sharpener</x:v>
      </x:c>
      <x:c r="F1030" s="37" t="str">
        <x:v>size_red_pencil_sharpener_smallest_explicit</x:v>
      </x:c>
      <x:c r="G1030" s="37" t="str">
        <x:v>green-block×largest; juggling-ball×smallest</x:v>
      </x:c>
      <x:c r="H1030" s="37" t="str">
        <x:v>No</x:v>
      </x:c>
      <x:c r="I1030" s="37" t="str">
        <x:v>Keep prompt</x:v>
      </x:c>
      <x:c r="J1030" s="37" t="str">
        <x:v>No prompt change required under the missing-cell design.</x:v>
      </x:c>
      <x:c r="K1030" s="37" t="str">
        <x:v>red pencil sharpener, green block, crushed Pepsi can</x:v>
      </x:c>
      <x:c r="L1030" s="37" t="str">
        <x:v>red pencil sharpener</x:v>
      </x:c>
      <x:c r="M1030" s="37" t="str">
        <x:v>Recovery</x:v>
      </x:c>
      <x:c r="N1030" s="37" t="str">
        <x:v>Put the smallest object in the bowl.</x:v>
      </x:c>
      <x:c r="O1030" s="37" t="str"/>
      <x:c r="P1030" s="37" t="str">
        <x:v>Explicitly grounds smallest with red pencil sharpener; only the selected size-role/object cell is withheld.</x:v>
      </x:c>
      <x:c r="Q1030" s="38"/>
    </x:row>
    <x:row r="1031" ht="60" customHeight="1">
      <x:c r="A1031" s="70" t="n">
        <x:v>1029</x:v>
      </x:c>
      <x:c r="B1031" s="37" t="str">
        <x:v>Size Recognition</x:v>
      </x:c>
      <x:c r="C1031" s="37" t="str">
        <x:v>Move the object that is smallest into the bowl.</x:v>
      </x:c>
      <x:c r="D1031" s="37" t="str">
        <x:v>Explicit size grounding</x:v>
      </x:c>
      <x:c r="E1031" s="37" t="str">
        <x:v>smallest × red pencil sharpener</x:v>
      </x:c>
      <x:c r="F1031" s="37" t="str">
        <x:v>size_red_pencil_sharpener_smallest_explicit</x:v>
      </x:c>
      <x:c r="G1031" s="37" t="str">
        <x:v>green-block×largest; juggling-ball×smallest</x:v>
      </x:c>
      <x:c r="H1031" s="37" t="str">
        <x:v>No</x:v>
      </x:c>
      <x:c r="I1031" s="37" t="str">
        <x:v>Keep prompt</x:v>
      </x:c>
      <x:c r="J1031" s="37" t="str">
        <x:v>No prompt change required under the missing-cell design.</x:v>
      </x:c>
      <x:c r="K1031" s="37" t="str">
        <x:v>red pencil sharpener, green block, crushed Pepsi can</x:v>
      </x:c>
      <x:c r="L1031" s="37" t="str">
        <x:v>red pencil sharpener</x:v>
      </x:c>
      <x:c r="M1031" s="37" t="str">
        <x:v>Recovery</x:v>
      </x:c>
      <x:c r="N1031" s="37" t="str">
        <x:v>Move the object that is smallest into the bowl.</x:v>
      </x:c>
      <x:c r="O1031" s="37" t="str"/>
      <x:c r="P1031" s="37" t="str">
        <x:v>Explicitly grounds smallest with red pencil sharpener; only the selected size-role/object cell is withheld.</x:v>
      </x:c>
      <x:c r="Q1031" s="38"/>
    </x:row>
    <x:row r="1032" ht="60" customHeight="1">
      <x:c r="A1032" s="70" t="n">
        <x:v>1030</x:v>
      </x:c>
      <x:c r="B1032" s="37" t="str">
        <x:v>Size Recognition</x:v>
      </x:c>
      <x:c r="C1032" s="37" t="str">
        <x:v>Put the smallest object in the bowl.</x:v>
      </x:c>
      <x:c r="D1032" s="37" t="str">
        <x:v>Explicit size grounding</x:v>
      </x:c>
      <x:c r="E1032" s="37" t="str">
        <x:v>smallest × red pencil sharpener</x:v>
      </x:c>
      <x:c r="F1032" s="37" t="str">
        <x:v>size_red_pencil_sharpener_smallest_explicit</x:v>
      </x:c>
      <x:c r="G1032" s="37" t="str">
        <x:v>green-block×largest; juggling-ball×smallest</x:v>
      </x:c>
      <x:c r="H1032" s="37" t="str">
        <x:v>No</x:v>
      </x:c>
      <x:c r="I1032" s="37" t="str">
        <x:v>Keep prompt</x:v>
      </x:c>
      <x:c r="J1032" s="37" t="str">
        <x:v>No prompt change required under the missing-cell design.</x:v>
      </x:c>
      <x:c r="K1032" s="37" t="str">
        <x:v>red pencil sharpener, juggling ball</x:v>
      </x:c>
      <x:c r="L1032" s="37" t="str">
        <x:v>red pencil sharpener</x:v>
      </x:c>
      <x:c r="M1032" s="37" t="str">
        <x:v>Home</x:v>
      </x:c>
      <x:c r="N1032" s="37" t="str">
        <x:v>Put the smallest object in the bowl.</x:v>
      </x:c>
      <x:c r="O1032" s="37" t="str"/>
      <x:c r="P1032" s="37" t="str">
        <x:v>Explicitly grounds smallest with red pencil sharpener; only the selected size-role/object cell is withheld.</x:v>
      </x:c>
      <x:c r="Q1032" s="38"/>
    </x:row>
    <x:row r="1033" ht="60" customHeight="1">
      <x:c r="A1033" s="70" t="n">
        <x:v>1031</x:v>
      </x:c>
      <x:c r="B1033" s="37" t="str">
        <x:v>Size Recognition</x:v>
      </x:c>
      <x:c r="C1033" s="37" t="str">
        <x:v>Pick up the smallest item and place it in the bowl.</x:v>
      </x:c>
      <x:c r="D1033" s="37" t="str">
        <x:v>Explicit size grounding</x:v>
      </x:c>
      <x:c r="E1033" s="37" t="str">
        <x:v>smallest × red pencil sharpener</x:v>
      </x:c>
      <x:c r="F1033" s="37" t="str">
        <x:v>size_red_pencil_sharpener_smallest_explicit</x:v>
      </x:c>
      <x:c r="G1033" s="37" t="str">
        <x:v>green-block×largest; juggling-ball×smallest</x:v>
      </x:c>
      <x:c r="H1033" s="37" t="str">
        <x:v>No</x:v>
      </x:c>
      <x:c r="I1033" s="37" t="str">
        <x:v>Keep prompt</x:v>
      </x:c>
      <x:c r="J1033" s="37" t="str">
        <x:v>No prompt change required under the missing-cell design.</x:v>
      </x:c>
      <x:c r="K1033" s="37" t="str">
        <x:v>red pencil sharpener, juggling ball</x:v>
      </x:c>
      <x:c r="L1033" s="37" t="str">
        <x:v>red pencil sharpener</x:v>
      </x:c>
      <x:c r="M1033" s="37" t="str">
        <x:v>Home</x:v>
      </x:c>
      <x:c r="N1033" s="37" t="str">
        <x:v>Pick up the smallest item and place it in the bowl.</x:v>
      </x:c>
      <x:c r="O1033" s="37" t="str"/>
      <x:c r="P1033" s="37" t="str">
        <x:v>Explicitly grounds smallest with red pencil sharpener; only the selected size-role/object cell is withheld.</x:v>
      </x:c>
      <x:c r="Q1033" s="38"/>
    </x:row>
    <x:row r="1034" ht="60" customHeight="1">
      <x:c r="A1034" s="70" t="n">
        <x:v>1032</x:v>
      </x:c>
      <x:c r="B1034" s="37" t="str">
        <x:v>Size Recognition</x:v>
      </x:c>
      <x:c r="C1034" s="37" t="str">
        <x:v>Put the smallest object in the bowl.</x:v>
      </x:c>
      <x:c r="D1034" s="37" t="str">
        <x:v>Explicit size grounding</x:v>
      </x:c>
      <x:c r="E1034" s="37" t="str">
        <x:v>smallest × red pencil sharpener</x:v>
      </x:c>
      <x:c r="F1034" s="37" t="str">
        <x:v>size_red_pencil_sharpener_smallest_explicit</x:v>
      </x:c>
      <x:c r="G1034" s="37" t="str">
        <x:v>green-block×largest; juggling-ball×smallest</x:v>
      </x:c>
      <x:c r="H1034" s="37" t="str">
        <x:v>No</x:v>
      </x:c>
      <x:c r="I1034" s="37" t="str">
        <x:v>Keep prompt</x:v>
      </x:c>
      <x:c r="J1034" s="37" t="str">
        <x:v>No prompt change required under the missing-cell design.</x:v>
      </x:c>
      <x:c r="K1034" s="37" t="str">
        <x:v>red pencil sharpener, juggling ball</x:v>
      </x:c>
      <x:c r="L1034" s="37" t="str">
        <x:v>red pencil sharpener</x:v>
      </x:c>
      <x:c r="M1034" s="37" t="str">
        <x:v>Home</x:v>
      </x:c>
      <x:c r="N1034" s="37" t="str">
        <x:v>Put the smallest object in the bowl.</x:v>
      </x:c>
      <x:c r="O1034" s="37" t="str"/>
      <x:c r="P1034" s="37" t="str">
        <x:v>Explicitly grounds smallest with red pencil sharpener; only the selected size-role/object cell is withheld.</x:v>
      </x:c>
      <x:c r="Q1034" s="38"/>
    </x:row>
    <x:row r="1035" ht="60" customHeight="1">
      <x:c r="A1035" s="70" t="n">
        <x:v>1033</x:v>
      </x:c>
      <x:c r="B1035" s="37" t="str">
        <x:v>Size Recognition</x:v>
      </x:c>
      <x:c r="C1035" s="37" t="str">
        <x:v>Pick up the smallest item and place it in the bowl.</x:v>
      </x:c>
      <x:c r="D1035" s="37" t="str">
        <x:v>Explicit size grounding</x:v>
      </x:c>
      <x:c r="E1035" s="37" t="str">
        <x:v>smallest × red pencil sharpener</x:v>
      </x:c>
      <x:c r="F1035" s="37" t="str">
        <x:v>size_red_pencil_sharpener_smallest_explicit</x:v>
      </x:c>
      <x:c r="G1035" s="37" t="str">
        <x:v>green-block×largest; juggling-ball×smallest</x:v>
      </x:c>
      <x:c r="H1035" s="37" t="str">
        <x:v>No</x:v>
      </x:c>
      <x:c r="I1035" s="37" t="str">
        <x:v>Keep prompt</x:v>
      </x:c>
      <x:c r="J1035" s="37" t="str">
        <x:v>No prompt change required under the missing-cell design.</x:v>
      </x:c>
      <x:c r="K1035" s="37" t="str">
        <x:v>red pencil sharpener, juggling ball</x:v>
      </x:c>
      <x:c r="L1035" s="37" t="str">
        <x:v>red pencil sharpener</x:v>
      </x:c>
      <x:c r="M1035" s="37" t="str">
        <x:v>Home</x:v>
      </x:c>
      <x:c r="N1035" s="37" t="str">
        <x:v>Pick up the smallest item and place it in the bowl.</x:v>
      </x:c>
      <x:c r="O1035" s="37" t="str"/>
      <x:c r="P1035" s="37" t="str">
        <x:v>Explicitly grounds smallest with red pencil sharpener; only the selected size-role/object cell is withheld.</x:v>
      </x:c>
      <x:c r="Q1035" s="38"/>
    </x:row>
    <x:row r="1036" ht="60" customHeight="1">
      <x:c r="A1036" s="70" t="n">
        <x:v>1034</x:v>
      </x:c>
      <x:c r="B1036" s="37" t="str">
        <x:v>Size Recognition</x:v>
      </x:c>
      <x:c r="C1036" s="37" t="str">
        <x:v>Move the object that is smallest into the bowl.</x:v>
      </x:c>
      <x:c r="D1036" s="37" t="str">
        <x:v>Explicit size grounding</x:v>
      </x:c>
      <x:c r="E1036" s="37" t="str">
        <x:v>smallest × red pencil sharpener</x:v>
      </x:c>
      <x:c r="F1036" s="37" t="str">
        <x:v>size_red_pencil_sharpener_smallest_explicit</x:v>
      </x:c>
      <x:c r="G1036" s="37" t="str">
        <x:v>green-block×largest; juggling-ball×smallest</x:v>
      </x:c>
      <x:c r="H1036" s="37" t="str">
        <x:v>No</x:v>
      </x:c>
      <x:c r="I1036" s="37" t="str">
        <x:v>Keep prompt</x:v>
      </x:c>
      <x:c r="J1036" s="37" t="str">
        <x:v>No prompt change required under the missing-cell design.</x:v>
      </x:c>
      <x:c r="K1036" s="37" t="str">
        <x:v>red pencil sharpener, juggling ball</x:v>
      </x:c>
      <x:c r="L1036" s="37" t="str">
        <x:v>red pencil sharpener</x:v>
      </x:c>
      <x:c r="M1036" s="37" t="str">
        <x:v>Home</x:v>
      </x:c>
      <x:c r="N1036" s="37" t="str">
        <x:v>Move the object that is smallest into the bowl.</x:v>
      </x:c>
      <x:c r="O1036" s="37" t="str"/>
      <x:c r="P1036" s="37" t="str">
        <x:v>Explicitly grounds smallest with red pencil sharpener; only the selected size-role/object cell is withheld.</x:v>
      </x:c>
      <x:c r="Q1036" s="38"/>
    </x:row>
    <x:row r="1037" ht="60" customHeight="1">
      <x:c r="A1037" s="70" t="n">
        <x:v>1035</x:v>
      </x:c>
      <x:c r="B1037" s="37" t="str">
        <x:v>Size Recognition</x:v>
      </x:c>
      <x:c r="C1037" s="37" t="str">
        <x:v>Put the smallest object in the bowl.</x:v>
      </x:c>
      <x:c r="D1037" s="37" t="str">
        <x:v>Explicit size grounding</x:v>
      </x:c>
      <x:c r="E1037" s="37" t="str">
        <x:v>smallest × red pencil sharpener</x:v>
      </x:c>
      <x:c r="F1037" s="37" t="str">
        <x:v>size_red_pencil_sharpener_smallest_explicit</x:v>
      </x:c>
      <x:c r="G1037" s="37" t="str">
        <x:v>green-block×largest; juggling-ball×smallest</x:v>
      </x:c>
      <x:c r="H1037" s="37" t="str">
        <x:v>No</x:v>
      </x:c>
      <x:c r="I1037" s="37" t="str">
        <x:v>Keep prompt</x:v>
      </x:c>
      <x:c r="J1037" s="37" t="str">
        <x:v>No prompt change required under the missing-cell design.</x:v>
      </x:c>
      <x:c r="K1037" s="37" t="str">
        <x:v>red pencil sharpener, juggling ball</x:v>
      </x:c>
      <x:c r="L1037" s="37" t="str">
        <x:v>red pencil sharpener</x:v>
      </x:c>
      <x:c r="M1037" s="37" t="str">
        <x:v>Home</x:v>
      </x:c>
      <x:c r="N1037" s="37" t="str">
        <x:v>Put the smallest object in the bowl.</x:v>
      </x:c>
      <x:c r="O1037" s="37" t="str"/>
      <x:c r="P1037" s="37" t="str">
        <x:v>Explicitly grounds smallest with red pencil sharpener; only the selected size-role/object cell is withheld.</x:v>
      </x:c>
      <x:c r="Q1037" s="38"/>
    </x:row>
    <x:row r="1038" ht="60" customHeight="1">
      <x:c r="A1038" s="70" t="n">
        <x:v>1036</x:v>
      </x:c>
      <x:c r="B1038" s="37" t="str">
        <x:v>Size Recognition</x:v>
      </x:c>
      <x:c r="C1038" s="37" t="str">
        <x:v>Pick up the smallest item and place it in the bowl.</x:v>
      </x:c>
      <x:c r="D1038" s="37" t="str">
        <x:v>Explicit size grounding</x:v>
      </x:c>
      <x:c r="E1038" s="37" t="str">
        <x:v>smallest × red pencil sharpener</x:v>
      </x:c>
      <x:c r="F1038" s="37" t="str">
        <x:v>size_red_pencil_sharpener_smallest_explicit</x:v>
      </x:c>
      <x:c r="G1038" s="37" t="str">
        <x:v>green-block×largest; juggling-ball×smallest</x:v>
      </x:c>
      <x:c r="H1038" s="37" t="str">
        <x:v>No</x:v>
      </x:c>
      <x:c r="I1038" s="37" t="str">
        <x:v>Keep prompt</x:v>
      </x:c>
      <x:c r="J1038" s="37" t="str">
        <x:v>No prompt change required under the missing-cell design.</x:v>
      </x:c>
      <x:c r="K1038" s="37" t="str">
        <x:v>red pencil sharpener, juggling ball</x:v>
      </x:c>
      <x:c r="L1038" s="37" t="str">
        <x:v>red pencil sharpener</x:v>
      </x:c>
      <x:c r="M1038" s="37" t="str">
        <x:v>Home</x:v>
      </x:c>
      <x:c r="N1038" s="37" t="str">
        <x:v>Pick up the smallest item and place it in the bowl.</x:v>
      </x:c>
      <x:c r="O1038" s="37" t="str"/>
      <x:c r="P1038" s="37" t="str">
        <x:v>Explicitly grounds smallest with red pencil sharpener; only the selected size-role/object cell is withheld.</x:v>
      </x:c>
      <x:c r="Q1038" s="38"/>
    </x:row>
    <x:row r="1039" ht="60" customHeight="1">
      <x:c r="A1039" s="70" t="n">
        <x:v>1037</x:v>
      </x:c>
      <x:c r="B1039" s="37" t="str">
        <x:v>Size Recognition</x:v>
      </x:c>
      <x:c r="C1039" s="37" t="str">
        <x:v>Put the smallest object in the bowl.</x:v>
      </x:c>
      <x:c r="D1039" s="37" t="str">
        <x:v>Explicit size grounding</x:v>
      </x:c>
      <x:c r="E1039" s="37" t="str">
        <x:v>smallest × red pencil sharpener</x:v>
      </x:c>
      <x:c r="F1039" s="37" t="str">
        <x:v>size_red_pencil_sharpener_smallest_explicit</x:v>
      </x:c>
      <x:c r="G1039" s="37" t="str">
        <x:v>green-block×largest; juggling-ball×smallest</x:v>
      </x:c>
      <x:c r="H1039" s="37" t="str">
        <x:v>No</x:v>
      </x:c>
      <x:c r="I1039" s="37" t="str">
        <x:v>Keep prompt</x:v>
      </x:c>
      <x:c r="J1039" s="37" t="str">
        <x:v>No prompt change required under the missing-cell design.</x:v>
      </x:c>
      <x:c r="K1039" s="37" t="str">
        <x:v>red pencil sharpener, juggling ball</x:v>
      </x:c>
      <x:c r="L1039" s="37" t="str">
        <x:v>red pencil sharpener</x:v>
      </x:c>
      <x:c r="M1039" s="37" t="str">
        <x:v>Home</x:v>
      </x:c>
      <x:c r="N1039" s="37" t="str">
        <x:v>Put the smallest object in the bowl.</x:v>
      </x:c>
      <x:c r="O1039" s="37" t="str"/>
      <x:c r="P1039" s="37" t="str">
        <x:v>Explicitly grounds smallest with red pencil sharpener; only the selected size-role/object cell is withheld.</x:v>
      </x:c>
      <x:c r="Q1039" s="38"/>
    </x:row>
    <x:row r="1040" ht="60" customHeight="1">
      <x:c r="A1040" s="70" t="n">
        <x:v>1038</x:v>
      </x:c>
      <x:c r="B1040" s="37" t="str">
        <x:v>Size Recognition</x:v>
      </x:c>
      <x:c r="C1040" s="37" t="str">
        <x:v>Move the object that is smallest into the bowl.</x:v>
      </x:c>
      <x:c r="D1040" s="37" t="str">
        <x:v>Explicit size grounding</x:v>
      </x:c>
      <x:c r="E1040" s="37" t="str">
        <x:v>smallest × red pencil sharpener</x:v>
      </x:c>
      <x:c r="F1040" s="37" t="str">
        <x:v>size_red_pencil_sharpener_smallest_explicit</x:v>
      </x:c>
      <x:c r="G1040" s="37" t="str">
        <x:v>green-block×largest; juggling-ball×smallest</x:v>
      </x:c>
      <x:c r="H1040" s="37" t="str">
        <x:v>No</x:v>
      </x:c>
      <x:c r="I1040" s="37" t="str">
        <x:v>Keep prompt</x:v>
      </x:c>
      <x:c r="J1040" s="37" t="str">
        <x:v>No prompt change required under the missing-cell design.</x:v>
      </x:c>
      <x:c r="K1040" s="37" t="str">
        <x:v>red pencil sharpener, juggling ball</x:v>
      </x:c>
      <x:c r="L1040" s="37" t="str">
        <x:v>red pencil sharpener</x:v>
      </x:c>
      <x:c r="M1040" s="37" t="str">
        <x:v>Home</x:v>
      </x:c>
      <x:c r="N1040" s="37" t="str">
        <x:v>Move the object that is smallest into the bowl.</x:v>
      </x:c>
      <x:c r="O1040" s="37" t="str"/>
      <x:c r="P1040" s="37" t="str">
        <x:v>Explicitly grounds smallest with red pencil sharpener; only the selected size-role/object cell is withheld.</x:v>
      </x:c>
      <x:c r="Q1040" s="38"/>
    </x:row>
    <x:row r="1041" ht="60" customHeight="1">
      <x:c r="A1041" s="70" t="n">
        <x:v>1039</x:v>
      </x:c>
      <x:c r="B1041" s="37" t="str">
        <x:v>Size Recognition</x:v>
      </x:c>
      <x:c r="C1041" s="37" t="str">
        <x:v>Put the smallest object in the bowl.</x:v>
      </x:c>
      <x:c r="D1041" s="37" t="str">
        <x:v>Explicit size grounding</x:v>
      </x:c>
      <x:c r="E1041" s="37" t="str">
        <x:v>smallest × red pencil sharpener</x:v>
      </x:c>
      <x:c r="F1041" s="37" t="str">
        <x:v>size_red_pencil_sharpener_smallest_explicit</x:v>
      </x:c>
      <x:c r="G1041" s="37" t="str">
        <x:v>green-block×largest; juggling-ball×smallest</x:v>
      </x:c>
      <x:c r="H1041" s="37" t="str">
        <x:v>No</x:v>
      </x:c>
      <x:c r="I1041" s="37" t="str">
        <x:v>Keep prompt</x:v>
      </x:c>
      <x:c r="J1041" s="37" t="str">
        <x:v>No prompt change required under the missing-cell design.</x:v>
      </x:c>
      <x:c r="K1041" s="37" t="str">
        <x:v>red pencil sharpener, juggling ball</x:v>
      </x:c>
      <x:c r="L1041" s="37" t="str">
        <x:v>red pencil sharpener</x:v>
      </x:c>
      <x:c r="M1041" s="37" t="str">
        <x:v>Home</x:v>
      </x:c>
      <x:c r="N1041" s="37" t="str">
        <x:v>Put the smallest object in the bowl.</x:v>
      </x:c>
      <x:c r="O1041" s="37" t="str"/>
      <x:c r="P1041" s="37" t="str">
        <x:v>Explicitly grounds smallest with red pencil sharpener; only the selected size-role/object cell is withheld.</x:v>
      </x:c>
      <x:c r="Q1041" s="38"/>
    </x:row>
    <x:row r="1042" ht="60" customHeight="1">
      <x:c r="A1042" s="70" t="n">
        <x:v>1040</x:v>
      </x:c>
      <x:c r="B1042" s="37" t="str">
        <x:v>Size Recognition</x:v>
      </x:c>
      <x:c r="C1042" s="37" t="str">
        <x:v>Move the object that is smallest into the bowl.</x:v>
      </x:c>
      <x:c r="D1042" s="37" t="str">
        <x:v>Explicit size grounding</x:v>
      </x:c>
      <x:c r="E1042" s="37" t="str">
        <x:v>smallest × red pencil sharpener</x:v>
      </x:c>
      <x:c r="F1042" s="37" t="str">
        <x:v>size_red_pencil_sharpener_smallest_explicit</x:v>
      </x:c>
      <x:c r="G1042" s="37" t="str">
        <x:v>green-block×largest; juggling-ball×smallest</x:v>
      </x:c>
      <x:c r="H1042" s="37" t="str">
        <x:v>No</x:v>
      </x:c>
      <x:c r="I1042" s="37" t="str">
        <x:v>Keep prompt</x:v>
      </x:c>
      <x:c r="J1042" s="37" t="str">
        <x:v>No prompt change required under the missing-cell design.</x:v>
      </x:c>
      <x:c r="K1042" s="37" t="str">
        <x:v>red pencil sharpener, juggling ball</x:v>
      </x:c>
      <x:c r="L1042" s="37" t="str">
        <x:v>red pencil sharpener</x:v>
      </x:c>
      <x:c r="M1042" s="37" t="str">
        <x:v>Home</x:v>
      </x:c>
      <x:c r="N1042" s="37" t="str">
        <x:v>Move the object that is smallest into the bowl.</x:v>
      </x:c>
      <x:c r="O1042" s="37" t="str"/>
      <x:c r="P1042" s="37" t="str">
        <x:v>Explicitly grounds smallest with red pencil sharpener; only the selected size-role/object cell is withheld.</x:v>
      </x:c>
      <x:c r="Q1042" s="38"/>
    </x:row>
    <x:row r="1043" ht="60" customHeight="1">
      <x:c r="A1043" s="70" t="n">
        <x:v>1041</x:v>
      </x:c>
      <x:c r="B1043" s="37" t="str">
        <x:v>Size Recognition</x:v>
      </x:c>
      <x:c r="C1043" s="37" t="str">
        <x:v>Put the smallest object in the bowl.</x:v>
      </x:c>
      <x:c r="D1043" s="37" t="str">
        <x:v>Explicit size grounding</x:v>
      </x:c>
      <x:c r="E1043" s="37" t="str">
        <x:v>smallest × red pencil sharpener</x:v>
      </x:c>
      <x:c r="F1043" s="37" t="str">
        <x:v>size_red_pencil_sharpener_smallest_explicit</x:v>
      </x:c>
      <x:c r="G1043" s="37" t="str">
        <x:v>green-block×largest; juggling-ball×smallest</x:v>
      </x:c>
      <x:c r="H1043" s="37" t="str">
        <x:v>No</x:v>
      </x:c>
      <x:c r="I1043" s="37" t="str">
        <x:v>Keep prompt</x:v>
      </x:c>
      <x:c r="J1043" s="37" t="str">
        <x:v>No prompt change required under the missing-cell design.</x:v>
      </x:c>
      <x:c r="K1043" s="37" t="str">
        <x:v>red pencil sharpener, juggling ball</x:v>
      </x:c>
      <x:c r="L1043" s="37" t="str">
        <x:v>red pencil sharpener</x:v>
      </x:c>
      <x:c r="M1043" s="37" t="str">
        <x:v>Home</x:v>
      </x:c>
      <x:c r="N1043" s="37" t="str">
        <x:v>Put the smallest object in the bowl.</x:v>
      </x:c>
      <x:c r="O1043" s="37" t="str"/>
      <x:c r="P1043" s="37" t="str">
        <x:v>Explicitly grounds smallest with red pencil sharpener; only the selected size-role/object cell is withheld.</x:v>
      </x:c>
      <x:c r="Q1043" s="38"/>
    </x:row>
    <x:row r="1044" ht="60" customHeight="1">
      <x:c r="A1044" s="70" t="n">
        <x:v>1042</x:v>
      </x:c>
      <x:c r="B1044" s="37" t="str">
        <x:v>Size Recognition</x:v>
      </x:c>
      <x:c r="C1044" s="37" t="str">
        <x:v>Pick up the smallest item and place it in the bowl.</x:v>
      </x:c>
      <x:c r="D1044" s="37" t="str">
        <x:v>Explicit size grounding</x:v>
      </x:c>
      <x:c r="E1044" s="37" t="str">
        <x:v>smallest × red pencil sharpener</x:v>
      </x:c>
      <x:c r="F1044" s="37" t="str">
        <x:v>size_red_pencil_sharpener_smallest_explicit</x:v>
      </x:c>
      <x:c r="G1044" s="37" t="str">
        <x:v>green-block×largest; juggling-ball×smallest</x:v>
      </x:c>
      <x:c r="H1044" s="37" t="str">
        <x:v>No</x:v>
      </x:c>
      <x:c r="I1044" s="37" t="str">
        <x:v>Keep prompt</x:v>
      </x:c>
      <x:c r="J1044" s="37" t="str">
        <x:v>No prompt change required under the missing-cell design.</x:v>
      </x:c>
      <x:c r="K1044" s="37" t="str">
        <x:v>red pencil sharpener, juggling ball</x:v>
      </x:c>
      <x:c r="L1044" s="37" t="str">
        <x:v>red pencil sharpener</x:v>
      </x:c>
      <x:c r="M1044" s="37" t="str">
        <x:v>Home</x:v>
      </x:c>
      <x:c r="N1044" s="37" t="str">
        <x:v>Pick up the smallest item and place it in the bowl.</x:v>
      </x:c>
      <x:c r="O1044" s="37" t="str"/>
      <x:c r="P1044" s="37" t="str">
        <x:v>Explicitly grounds smallest with red pencil sharpener; only the selected size-role/object cell is withheld.</x:v>
      </x:c>
      <x:c r="Q1044" s="38"/>
    </x:row>
    <x:row r="1045" ht="60" customHeight="1">
      <x:c r="A1045" s="70" t="n">
        <x:v>1043</x:v>
      </x:c>
      <x:c r="B1045" s="37" t="str">
        <x:v>Size Recognition</x:v>
      </x:c>
      <x:c r="C1045" s="37" t="str">
        <x:v>Pick up the smallest item and place it in the bowl.</x:v>
      </x:c>
      <x:c r="D1045" s="37" t="str">
        <x:v>Explicit size grounding</x:v>
      </x:c>
      <x:c r="E1045" s="37" t="str">
        <x:v>smallest × red pencil sharpener</x:v>
      </x:c>
      <x:c r="F1045" s="37" t="str">
        <x:v>size_red_pencil_sharpener_smallest_explicit</x:v>
      </x:c>
      <x:c r="G1045" s="37" t="str">
        <x:v>green-block×largest; juggling-ball×smallest</x:v>
      </x:c>
      <x:c r="H1045" s="37" t="str">
        <x:v>No</x:v>
      </x:c>
      <x:c r="I1045" s="37" t="str">
        <x:v>Keep prompt</x:v>
      </x:c>
      <x:c r="J1045" s="37" t="str">
        <x:v>No prompt change required under the missing-cell design.</x:v>
      </x:c>
      <x:c r="K1045" s="37" t="str">
        <x:v>red pencil sharpener, juggling ball</x:v>
      </x:c>
      <x:c r="L1045" s="37" t="str">
        <x:v>red pencil sharpener</x:v>
      </x:c>
      <x:c r="M1045" s="37" t="str">
        <x:v>Home</x:v>
      </x:c>
      <x:c r="N1045" s="37" t="str">
        <x:v>Pick up the smallest item and place it in the bowl.</x:v>
      </x:c>
      <x:c r="O1045" s="37" t="str"/>
      <x:c r="P1045" s="37" t="str">
        <x:v>Explicitly grounds smallest with red pencil sharpener; only the selected size-role/object cell is withheld.</x:v>
      </x:c>
      <x:c r="Q1045" s="38"/>
    </x:row>
    <x:row r="1046" ht="60" customHeight="1">
      <x:c r="A1046" s="70" t="n">
        <x:v>1044</x:v>
      </x:c>
      <x:c r="B1046" s="37" t="str">
        <x:v>Size Recognition</x:v>
      </x:c>
      <x:c r="C1046" s="37" t="str">
        <x:v>Pick up the smallest item and place it in the bowl.</x:v>
      </x:c>
      <x:c r="D1046" s="37" t="str">
        <x:v>Explicit size grounding</x:v>
      </x:c>
      <x:c r="E1046" s="37" t="str">
        <x:v>smallest × red pencil sharpener</x:v>
      </x:c>
      <x:c r="F1046" s="37" t="str">
        <x:v>size_red_pencil_sharpener_smallest_explicit</x:v>
      </x:c>
      <x:c r="G1046" s="37" t="str">
        <x:v>green-block×largest; juggling-ball×smallest</x:v>
      </x:c>
      <x:c r="H1046" s="37" t="str">
        <x:v>No</x:v>
      </x:c>
      <x:c r="I1046" s="37" t="str">
        <x:v>Keep prompt</x:v>
      </x:c>
      <x:c r="J1046" s="37" t="str">
        <x:v>No prompt change required under the missing-cell design.</x:v>
      </x:c>
      <x:c r="K1046" s="37" t="str">
        <x:v>red pencil sharpener, juggling ball</x:v>
      </x:c>
      <x:c r="L1046" s="37" t="str">
        <x:v>red pencil sharpener</x:v>
      </x:c>
      <x:c r="M1046" s="37" t="str">
        <x:v>Home</x:v>
      </x:c>
      <x:c r="N1046" s="37" t="str">
        <x:v>Pick up the smallest item and place it in the bowl.</x:v>
      </x:c>
      <x:c r="O1046" s="37" t="str"/>
      <x:c r="P1046" s="37" t="str">
        <x:v>Explicitly grounds smallest with red pencil sharpener; only the selected size-role/object cell is withheld.</x:v>
      </x:c>
      <x:c r="Q1046" s="38"/>
    </x:row>
    <x:row r="1047" ht="60" customHeight="1">
      <x:c r="A1047" s="70" t="n">
        <x:v>1045</x:v>
      </x:c>
      <x:c r="B1047" s="37" t="str">
        <x:v>Size Recognition</x:v>
      </x:c>
      <x:c r="C1047" s="37" t="str">
        <x:v>Pick up the smallest item and place it in the bowl.</x:v>
      </x:c>
      <x:c r="D1047" s="37" t="str">
        <x:v>Explicit size grounding</x:v>
      </x:c>
      <x:c r="E1047" s="37" t="str">
        <x:v>smallest × red pencil sharpener</x:v>
      </x:c>
      <x:c r="F1047" s="37" t="str">
        <x:v>size_red_pencil_sharpener_smallest_explicit</x:v>
      </x:c>
      <x:c r="G1047" s="37" t="str">
        <x:v>green-block×largest; juggling-ball×smallest</x:v>
      </x:c>
      <x:c r="H1047" s="37" t="str">
        <x:v>No</x:v>
      </x:c>
      <x:c r="I1047" s="37" t="str">
        <x:v>Keep prompt</x:v>
      </x:c>
      <x:c r="J1047" s="37" t="str">
        <x:v>No prompt change required under the missing-cell design.</x:v>
      </x:c>
      <x:c r="K1047" s="37" t="str">
        <x:v>red pencil sharpener, juggling ball</x:v>
      </x:c>
      <x:c r="L1047" s="37" t="str">
        <x:v>red pencil sharpener</x:v>
      </x:c>
      <x:c r="M1047" s="37" t="str">
        <x:v>Home</x:v>
      </x:c>
      <x:c r="N1047" s="37" t="str">
        <x:v>Pick up the smallest item and place it in the bowl.</x:v>
      </x:c>
      <x:c r="O1047" s="37" t="str"/>
      <x:c r="P1047" s="37" t="str">
        <x:v>Explicitly grounds smallest with red pencil sharpener; only the selected size-role/object cell is withheld.</x:v>
      </x:c>
      <x:c r="Q1047" s="38"/>
    </x:row>
    <x:row r="1048" ht="60" customHeight="1">
      <x:c r="A1048" s="70" t="n">
        <x:v>1046</x:v>
      </x:c>
      <x:c r="B1048" s="37" t="str">
        <x:v>Size Recognition</x:v>
      </x:c>
      <x:c r="C1048" s="37" t="str">
        <x:v>Pick up the smallest item and place it in the bowl.</x:v>
      </x:c>
      <x:c r="D1048" s="37" t="str">
        <x:v>Explicit size grounding</x:v>
      </x:c>
      <x:c r="E1048" s="37" t="str">
        <x:v>smallest × red pencil sharpener</x:v>
      </x:c>
      <x:c r="F1048" s="37" t="str">
        <x:v>size_red_pencil_sharpener_smallest_explicit</x:v>
      </x:c>
      <x:c r="G1048" s="37" t="str">
        <x:v>green-block×largest; juggling-ball×smallest</x:v>
      </x:c>
      <x:c r="H1048" s="37" t="str">
        <x:v>No</x:v>
      </x:c>
      <x:c r="I1048" s="37" t="str">
        <x:v>Keep prompt</x:v>
      </x:c>
      <x:c r="J1048" s="37" t="str">
        <x:v>No prompt change required under the missing-cell design.</x:v>
      </x:c>
      <x:c r="K1048" s="37" t="str">
        <x:v>red pencil sharpener, juggling ball</x:v>
      </x:c>
      <x:c r="L1048" s="37" t="str">
        <x:v>red pencil sharpener</x:v>
      </x:c>
      <x:c r="M1048" s="37" t="str">
        <x:v>Recovery</x:v>
      </x:c>
      <x:c r="N1048" s="37" t="str">
        <x:v>Pick up the smallest item and place it in the bowl.</x:v>
      </x:c>
      <x:c r="O1048" s="37" t="str"/>
      <x:c r="P1048" s="37" t="str">
        <x:v>Explicitly grounds smallest with red pencil sharpener; only the selected size-role/object cell is withheld.</x:v>
      </x:c>
      <x:c r="Q1048" s="38"/>
    </x:row>
    <x:row r="1049" ht="60" customHeight="1">
      <x:c r="A1049" s="70" t="n">
        <x:v>1047</x:v>
      </x:c>
      <x:c r="B1049" s="37" t="str">
        <x:v>Size Recognition</x:v>
      </x:c>
      <x:c r="C1049" s="37" t="str">
        <x:v>Put the smallest object in the bowl.</x:v>
      </x:c>
      <x:c r="D1049" s="37" t="str">
        <x:v>Explicit size grounding</x:v>
      </x:c>
      <x:c r="E1049" s="37" t="str">
        <x:v>smallest × red pencil sharpener</x:v>
      </x:c>
      <x:c r="F1049" s="37" t="str">
        <x:v>size_red_pencil_sharpener_smallest_explicit</x:v>
      </x:c>
      <x:c r="G1049" s="37" t="str">
        <x:v>green-block×largest; juggling-ball×smallest</x:v>
      </x:c>
      <x:c r="H1049" s="37" t="str">
        <x:v>No</x:v>
      </x:c>
      <x:c r="I1049" s="37" t="str">
        <x:v>Keep prompt</x:v>
      </x:c>
      <x:c r="J1049" s="37" t="str">
        <x:v>No prompt change required under the missing-cell design.</x:v>
      </x:c>
      <x:c r="K1049" s="37" t="str">
        <x:v>red pencil sharpener, juggling ball</x:v>
      </x:c>
      <x:c r="L1049" s="37" t="str">
        <x:v>red pencil sharpener</x:v>
      </x:c>
      <x:c r="M1049" s="37" t="str">
        <x:v>Recovery</x:v>
      </x:c>
      <x:c r="N1049" s="37" t="str">
        <x:v>Put the smallest object in the bowl.</x:v>
      </x:c>
      <x:c r="O1049" s="37" t="str"/>
      <x:c r="P1049" s="37" t="str">
        <x:v>Explicitly grounds smallest with red pencil sharpener; only the selected size-role/object cell is withheld.</x:v>
      </x:c>
      <x:c r="Q1049" s="38"/>
    </x:row>
    <x:row r="1050" ht="60" customHeight="1">
      <x:c r="A1050" s="70" t="n">
        <x:v>1048</x:v>
      </x:c>
      <x:c r="B1050" s="37" t="str">
        <x:v>Size Recognition</x:v>
      </x:c>
      <x:c r="C1050" s="37" t="str">
        <x:v>Put the smallest object in the bowl.</x:v>
      </x:c>
      <x:c r="D1050" s="37" t="str">
        <x:v>Explicit size grounding</x:v>
      </x:c>
      <x:c r="E1050" s="37" t="str">
        <x:v>smallest × red pencil sharpener</x:v>
      </x:c>
      <x:c r="F1050" s="37" t="str">
        <x:v>size_red_pencil_sharpener_smallest_explicit</x:v>
      </x:c>
      <x:c r="G1050" s="37" t="str">
        <x:v>green-block×largest; juggling-ball×smallest</x:v>
      </x:c>
      <x:c r="H1050" s="37" t="str">
        <x:v>No</x:v>
      </x:c>
      <x:c r="I1050" s="37" t="str">
        <x:v>Keep prompt</x:v>
      </x:c>
      <x:c r="J1050" s="37" t="str">
        <x:v>No prompt change required under the missing-cell design.</x:v>
      </x:c>
      <x:c r="K1050" s="37" t="str">
        <x:v>red pencil sharpener, juggling ball</x:v>
      </x:c>
      <x:c r="L1050" s="37" t="str">
        <x:v>red pencil sharpener</x:v>
      </x:c>
      <x:c r="M1050" s="37" t="str">
        <x:v>Recovery</x:v>
      </x:c>
      <x:c r="N1050" s="37" t="str">
        <x:v>Put the smallest object in the bowl.</x:v>
      </x:c>
      <x:c r="O1050" s="37" t="str"/>
      <x:c r="P1050" s="37" t="str">
        <x:v>Explicitly grounds smallest with red pencil sharpener; only the selected size-role/object cell is withheld.</x:v>
      </x:c>
      <x:c r="Q1050" s="38"/>
    </x:row>
    <x:row r="1051" ht="60" customHeight="1">
      <x:c r="A1051" s="70" t="n">
        <x:v>1049</x:v>
      </x:c>
      <x:c r="B1051" s="37" t="str">
        <x:v>Size Recognition</x:v>
      </x:c>
      <x:c r="C1051" s="37" t="str">
        <x:v>Move the object that is smallest into the bowl.</x:v>
      </x:c>
      <x:c r="D1051" s="37" t="str">
        <x:v>Explicit size grounding</x:v>
      </x:c>
      <x:c r="E1051" s="37" t="str">
        <x:v>smallest × red pencil sharpener</x:v>
      </x:c>
      <x:c r="F1051" s="37" t="str">
        <x:v>size_red_pencil_sharpener_smallest_explicit</x:v>
      </x:c>
      <x:c r="G1051" s="37" t="str">
        <x:v>green-block×largest; juggling-ball×smallest</x:v>
      </x:c>
      <x:c r="H1051" s="37" t="str">
        <x:v>No</x:v>
      </x:c>
      <x:c r="I1051" s="37" t="str">
        <x:v>Keep prompt</x:v>
      </x:c>
      <x:c r="J1051" s="37" t="str">
        <x:v>No prompt change required under the missing-cell design.</x:v>
      </x:c>
      <x:c r="K1051" s="37" t="str">
        <x:v>red pencil sharpener, juggling ball</x:v>
      </x:c>
      <x:c r="L1051" s="37" t="str">
        <x:v>red pencil sharpener</x:v>
      </x:c>
      <x:c r="M1051" s="37" t="str">
        <x:v>Recovery</x:v>
      </x:c>
      <x:c r="N1051" s="37" t="str">
        <x:v>Move the object that is smallest into the bowl.</x:v>
      </x:c>
      <x:c r="O1051" s="37" t="str"/>
      <x:c r="P1051" s="37" t="str">
        <x:v>Explicitly grounds smallest with red pencil sharpener; only the selected size-role/object cell is withheld.</x:v>
      </x:c>
      <x:c r="Q1051" s="38"/>
    </x:row>
    <x:row r="1052" ht="60" customHeight="1">
      <x:c r="A1052" s="70" t="n">
        <x:v>1050</x:v>
      </x:c>
      <x:c r="B1052" s="37" t="str">
        <x:v>Size Recognition</x:v>
      </x:c>
      <x:c r="C1052" s="37" t="str">
        <x:v>Pick up the smallest item and place it in the bowl.</x:v>
      </x:c>
      <x:c r="D1052" s="37" t="str">
        <x:v>Explicit size grounding</x:v>
      </x:c>
      <x:c r="E1052" s="37" t="str">
        <x:v>smallest × green block</x:v>
      </x:c>
      <x:c r="F1052" s="37" t="str">
        <x:v>size_green_block_smallest_explicit</x:v>
      </x:c>
      <x:c r="G1052" s="37" t="str">
        <x:v>green-block×largest; juggling-ball×smallest</x:v>
      </x:c>
      <x:c r="H1052" s="37" t="str">
        <x:v>No</x:v>
      </x:c>
      <x:c r="I1052" s="37" t="str">
        <x:v>Keep prompt</x:v>
      </x:c>
      <x:c r="J1052" s="37" t="str">
        <x:v>No prompt change required under the missing-cell design.</x:v>
      </x:c>
      <x:c r="K1052" s="37" t="str">
        <x:v>green block, juggling ball, crushed Pepsi can</x:v>
      </x:c>
      <x:c r="L1052" s="37" t="str">
        <x:v>green block</x:v>
      </x:c>
      <x:c r="M1052" s="37" t="str">
        <x:v>Home</x:v>
      </x:c>
      <x:c r="N1052" s="37" t="str">
        <x:v>Pick up the smallest item and place it in the bowl.</x:v>
      </x:c>
      <x:c r="O1052" s="37" t="str"/>
      <x:c r="P1052" s="37" t="str">
        <x:v>Explicitly grounds smallest with green block; only the selected size-role/object cell is withheld.</x:v>
      </x:c>
      <x:c r="Q1052" s="38"/>
    </x:row>
    <x:row r="1053" ht="60" customHeight="1">
      <x:c r="A1053" s="70" t="n">
        <x:v>1051</x:v>
      </x:c>
      <x:c r="B1053" s="37" t="str">
        <x:v>Size Recognition</x:v>
      </x:c>
      <x:c r="C1053" s="37" t="str">
        <x:v>Pick up the smallest item and place it in the bowl.</x:v>
      </x:c>
      <x:c r="D1053" s="37" t="str">
        <x:v>Explicit size grounding</x:v>
      </x:c>
      <x:c r="E1053" s="37" t="str">
        <x:v>smallest × green block</x:v>
      </x:c>
      <x:c r="F1053" s="37" t="str">
        <x:v>size_green_block_smallest_explicit</x:v>
      </x:c>
      <x:c r="G1053" s="37" t="str">
        <x:v>green-block×largest; juggling-ball×smallest</x:v>
      </x:c>
      <x:c r="H1053" s="37" t="str">
        <x:v>No</x:v>
      </x:c>
      <x:c r="I1053" s="37" t="str">
        <x:v>Keep prompt</x:v>
      </x:c>
      <x:c r="J1053" s="37" t="str">
        <x:v>No prompt change required under the missing-cell design.</x:v>
      </x:c>
      <x:c r="K1053" s="37" t="str">
        <x:v>green block, juggling ball, crushed Pepsi can</x:v>
      </x:c>
      <x:c r="L1053" s="37" t="str">
        <x:v>green block</x:v>
      </x:c>
      <x:c r="M1053" s="37" t="str">
        <x:v>Home</x:v>
      </x:c>
      <x:c r="N1053" s="37" t="str">
        <x:v>Pick up the smallest item and place it in the bowl.</x:v>
      </x:c>
      <x:c r="O1053" s="37" t="str"/>
      <x:c r="P1053" s="37" t="str">
        <x:v>Explicitly grounds smallest with green block; only the selected size-role/object cell is withheld.</x:v>
      </x:c>
      <x:c r="Q1053" s="38"/>
    </x:row>
    <x:row r="1054" ht="60" customHeight="1">
      <x:c r="A1054" s="70" t="n">
        <x:v>1052</x:v>
      </x:c>
      <x:c r="B1054" s="37" t="str">
        <x:v>Size Recognition</x:v>
      </x:c>
      <x:c r="C1054" s="37" t="str">
        <x:v>Put the smallest object in the bowl.</x:v>
      </x:c>
      <x:c r="D1054" s="37" t="str">
        <x:v>Explicit size grounding</x:v>
      </x:c>
      <x:c r="E1054" s="37" t="str">
        <x:v>smallest × green block</x:v>
      </x:c>
      <x:c r="F1054" s="37" t="str">
        <x:v>size_green_block_smallest_explicit</x:v>
      </x:c>
      <x:c r="G1054" s="37" t="str">
        <x:v>green-block×largest; juggling-ball×smallest</x:v>
      </x:c>
      <x:c r="H1054" s="37" t="str">
        <x:v>No</x:v>
      </x:c>
      <x:c r="I1054" s="37" t="str">
        <x:v>Keep prompt</x:v>
      </x:c>
      <x:c r="J1054" s="37" t="str">
        <x:v>No prompt change required under the missing-cell design.</x:v>
      </x:c>
      <x:c r="K1054" s="37" t="str">
        <x:v>green block, juggling ball, crushed Pepsi can</x:v>
      </x:c>
      <x:c r="L1054" s="37" t="str">
        <x:v>green block</x:v>
      </x:c>
      <x:c r="M1054" s="37" t="str">
        <x:v>Home</x:v>
      </x:c>
      <x:c r="N1054" s="37" t="str">
        <x:v>Put the smallest object in the bowl.</x:v>
      </x:c>
      <x:c r="O1054" s="37" t="str"/>
      <x:c r="P1054" s="37" t="str">
        <x:v>Explicitly grounds smallest with green block; only the selected size-role/object cell is withheld.</x:v>
      </x:c>
      <x:c r="Q1054" s="38"/>
    </x:row>
    <x:row r="1055" ht="60" customHeight="1">
      <x:c r="A1055" s="70" t="n">
        <x:v>1053</x:v>
      </x:c>
      <x:c r="B1055" s="37" t="str">
        <x:v>Size Recognition</x:v>
      </x:c>
      <x:c r="C1055" s="37" t="str">
        <x:v>Put the smallest object in the bowl.</x:v>
      </x:c>
      <x:c r="D1055" s="37" t="str">
        <x:v>Explicit size grounding</x:v>
      </x:c>
      <x:c r="E1055" s="37" t="str">
        <x:v>smallest × green block</x:v>
      </x:c>
      <x:c r="F1055" s="37" t="str">
        <x:v>size_green_block_smallest_explicit</x:v>
      </x:c>
      <x:c r="G1055" s="37" t="str">
        <x:v>green-block×largest; juggling-ball×smallest</x:v>
      </x:c>
      <x:c r="H1055" s="37" t="str">
        <x:v>No</x:v>
      </x:c>
      <x:c r="I1055" s="37" t="str">
        <x:v>Keep prompt</x:v>
      </x:c>
      <x:c r="J1055" s="37" t="str">
        <x:v>No prompt change required under the missing-cell design.</x:v>
      </x:c>
      <x:c r="K1055" s="37" t="str">
        <x:v>green block, juggling ball, crushed Pepsi can</x:v>
      </x:c>
      <x:c r="L1055" s="37" t="str">
        <x:v>green block</x:v>
      </x:c>
      <x:c r="M1055" s="37" t="str">
        <x:v>Home</x:v>
      </x:c>
      <x:c r="N1055" s="37" t="str">
        <x:v>Put the smallest object in the bowl.</x:v>
      </x:c>
      <x:c r="O1055" s="37" t="str"/>
      <x:c r="P1055" s="37" t="str">
        <x:v>Explicitly grounds smallest with green block; only the selected size-role/object cell is withheld.</x:v>
      </x:c>
      <x:c r="Q1055" s="38"/>
    </x:row>
    <x:row r="1056" ht="60" customHeight="1">
      <x:c r="A1056" s="70" t="n">
        <x:v>1054</x:v>
      </x:c>
      <x:c r="B1056" s="37" t="str">
        <x:v>Size Recognition</x:v>
      </x:c>
      <x:c r="C1056" s="37" t="str">
        <x:v>Put the smallest object in the bowl.</x:v>
      </x:c>
      <x:c r="D1056" s="37" t="str">
        <x:v>Explicit size grounding</x:v>
      </x:c>
      <x:c r="E1056" s="37" t="str">
        <x:v>smallest × green block</x:v>
      </x:c>
      <x:c r="F1056" s="37" t="str">
        <x:v>size_green_block_smallest_explicit</x:v>
      </x:c>
      <x:c r="G1056" s="37" t="str">
        <x:v>green-block×largest; juggling-ball×smallest</x:v>
      </x:c>
      <x:c r="H1056" s="37" t="str">
        <x:v>No</x:v>
      </x:c>
      <x:c r="I1056" s="37" t="str">
        <x:v>Keep prompt</x:v>
      </x:c>
      <x:c r="J1056" s="37" t="str">
        <x:v>No prompt change required under the missing-cell design.</x:v>
      </x:c>
      <x:c r="K1056" s="37" t="str">
        <x:v>green block, juggling ball, crushed Pepsi can</x:v>
      </x:c>
      <x:c r="L1056" s="37" t="str">
        <x:v>green block</x:v>
      </x:c>
      <x:c r="M1056" s="37" t="str">
        <x:v>Home</x:v>
      </x:c>
      <x:c r="N1056" s="37" t="str">
        <x:v>Put the smallest object in the bowl.</x:v>
      </x:c>
      <x:c r="O1056" s="37" t="str"/>
      <x:c r="P1056" s="37" t="str">
        <x:v>Explicitly grounds smallest with green block; only the selected size-role/object cell is withheld.</x:v>
      </x:c>
      <x:c r="Q1056" s="38"/>
    </x:row>
    <x:row r="1057" ht="60" customHeight="1">
      <x:c r="A1057" s="70" t="n">
        <x:v>1055</x:v>
      </x:c>
      <x:c r="B1057" s="37" t="str">
        <x:v>Size Recognition</x:v>
      </x:c>
      <x:c r="C1057" s="37" t="str">
        <x:v>Put the smallest object in the bowl.</x:v>
      </x:c>
      <x:c r="D1057" s="37" t="str">
        <x:v>Explicit size grounding</x:v>
      </x:c>
      <x:c r="E1057" s="37" t="str">
        <x:v>smallest × green block</x:v>
      </x:c>
      <x:c r="F1057" s="37" t="str">
        <x:v>size_green_block_smallest_explicit</x:v>
      </x:c>
      <x:c r="G1057" s="37" t="str">
        <x:v>green-block×largest; juggling-ball×smallest</x:v>
      </x:c>
      <x:c r="H1057" s="37" t="str">
        <x:v>No</x:v>
      </x:c>
      <x:c r="I1057" s="37" t="str">
        <x:v>Keep prompt</x:v>
      </x:c>
      <x:c r="J1057" s="37" t="str">
        <x:v>No prompt change required under the missing-cell design.</x:v>
      </x:c>
      <x:c r="K1057" s="37" t="str">
        <x:v>green block, juggling ball, crushed Pepsi can</x:v>
      </x:c>
      <x:c r="L1057" s="37" t="str">
        <x:v>green block</x:v>
      </x:c>
      <x:c r="M1057" s="37" t="str">
        <x:v>Home</x:v>
      </x:c>
      <x:c r="N1057" s="37" t="str">
        <x:v>Put the smallest object in the bowl.</x:v>
      </x:c>
      <x:c r="O1057" s="37" t="str"/>
      <x:c r="P1057" s="37" t="str">
        <x:v>Explicitly grounds smallest with green block; only the selected size-role/object cell is withheld.</x:v>
      </x:c>
      <x:c r="Q1057" s="38"/>
    </x:row>
    <x:row r="1058" ht="60" customHeight="1">
      <x:c r="A1058" s="70" t="n">
        <x:v>1056</x:v>
      </x:c>
      <x:c r="B1058" s="37" t="str">
        <x:v>Size Recognition</x:v>
      </x:c>
      <x:c r="C1058" s="37" t="str">
        <x:v>Pick up the smallest item and place it in the bowl.</x:v>
      </x:c>
      <x:c r="D1058" s="37" t="str">
        <x:v>Explicit size grounding</x:v>
      </x:c>
      <x:c r="E1058" s="37" t="str">
        <x:v>smallest × green block</x:v>
      </x:c>
      <x:c r="F1058" s="37" t="str">
        <x:v>size_green_block_smallest_explicit</x:v>
      </x:c>
      <x:c r="G1058" s="37" t="str">
        <x:v>green-block×largest; juggling-ball×smallest</x:v>
      </x:c>
      <x:c r="H1058" s="37" t="str">
        <x:v>No</x:v>
      </x:c>
      <x:c r="I1058" s="37" t="str">
        <x:v>Keep prompt</x:v>
      </x:c>
      <x:c r="J1058" s="37" t="str">
        <x:v>No prompt change required under the missing-cell design.</x:v>
      </x:c>
      <x:c r="K1058" s="37" t="str">
        <x:v>green block, juggling ball, crushed Pepsi can</x:v>
      </x:c>
      <x:c r="L1058" s="37" t="str">
        <x:v>green block</x:v>
      </x:c>
      <x:c r="M1058" s="37" t="str">
        <x:v>Home</x:v>
      </x:c>
      <x:c r="N1058" s="37" t="str">
        <x:v>Pick up the smallest item and place it in the bowl.</x:v>
      </x:c>
      <x:c r="O1058" s="37" t="str"/>
      <x:c r="P1058" s="37" t="str">
        <x:v>Explicitly grounds smallest with green block; only the selected size-role/object cell is withheld.</x:v>
      </x:c>
      <x:c r="Q1058" s="38"/>
    </x:row>
    <x:row r="1059" ht="60" customHeight="1">
      <x:c r="A1059" s="70" t="n">
        <x:v>1057</x:v>
      </x:c>
      <x:c r="B1059" s="37" t="str">
        <x:v>Size Recognition</x:v>
      </x:c>
      <x:c r="C1059" s="37" t="str">
        <x:v>Move the object that is smallest into the bowl.</x:v>
      </x:c>
      <x:c r="D1059" s="37" t="str">
        <x:v>Explicit size grounding</x:v>
      </x:c>
      <x:c r="E1059" s="37" t="str">
        <x:v>smallest × green block</x:v>
      </x:c>
      <x:c r="F1059" s="37" t="str">
        <x:v>size_green_block_smallest_explicit</x:v>
      </x:c>
      <x:c r="G1059" s="37" t="str">
        <x:v>green-block×largest; juggling-ball×smallest</x:v>
      </x:c>
      <x:c r="H1059" s="37" t="str">
        <x:v>No</x:v>
      </x:c>
      <x:c r="I1059" s="37" t="str">
        <x:v>Keep prompt</x:v>
      </x:c>
      <x:c r="J1059" s="37" t="str">
        <x:v>No prompt change required under the missing-cell design.</x:v>
      </x:c>
      <x:c r="K1059" s="37" t="str">
        <x:v>green block, juggling ball, crushed Pepsi can</x:v>
      </x:c>
      <x:c r="L1059" s="37" t="str">
        <x:v>green block</x:v>
      </x:c>
      <x:c r="M1059" s="37" t="str">
        <x:v>Home</x:v>
      </x:c>
      <x:c r="N1059" s="37" t="str">
        <x:v>Move the object that is smallest into the bowl.</x:v>
      </x:c>
      <x:c r="O1059" s="37" t="str"/>
      <x:c r="P1059" s="37" t="str">
        <x:v>Explicitly grounds smallest with green block; only the selected size-role/object cell is withheld.</x:v>
      </x:c>
      <x:c r="Q1059" s="38"/>
    </x:row>
    <x:row r="1060" ht="60" customHeight="1">
      <x:c r="A1060" s="70" t="n">
        <x:v>1058</x:v>
      </x:c>
      <x:c r="B1060" s="37" t="str">
        <x:v>Size Recognition</x:v>
      </x:c>
      <x:c r="C1060" s="37" t="str">
        <x:v>Put the smallest object in the bowl.</x:v>
      </x:c>
      <x:c r="D1060" s="37" t="str">
        <x:v>Explicit size grounding</x:v>
      </x:c>
      <x:c r="E1060" s="37" t="str">
        <x:v>smallest × green block</x:v>
      </x:c>
      <x:c r="F1060" s="37" t="str">
        <x:v>size_green_block_smallest_explicit</x:v>
      </x:c>
      <x:c r="G1060" s="37" t="str">
        <x:v>green-block×largest; juggling-ball×smallest</x:v>
      </x:c>
      <x:c r="H1060" s="37" t="str">
        <x:v>No</x:v>
      </x:c>
      <x:c r="I1060" s="37" t="str">
        <x:v>Keep prompt</x:v>
      </x:c>
      <x:c r="J1060" s="37" t="str">
        <x:v>No prompt change required under the missing-cell design.</x:v>
      </x:c>
      <x:c r="K1060" s="37" t="str">
        <x:v>green block, juggling ball, crushed Pepsi can</x:v>
      </x:c>
      <x:c r="L1060" s="37" t="str">
        <x:v>green block</x:v>
      </x:c>
      <x:c r="M1060" s="37" t="str">
        <x:v>Recovery</x:v>
      </x:c>
      <x:c r="N1060" s="37" t="str">
        <x:v>Put the smallest object in the bowl.</x:v>
      </x:c>
      <x:c r="O1060" s="37" t="str"/>
      <x:c r="P1060" s="37" t="str">
        <x:v>Explicitly grounds smallest with green block; only the selected size-role/object cell is withheld.</x:v>
      </x:c>
      <x:c r="Q1060" s="38"/>
    </x:row>
    <x:row r="1061" ht="60" customHeight="1">
      <x:c r="A1061" s="70" t="n">
        <x:v>1059</x:v>
      </x:c>
      <x:c r="B1061" s="37" t="str">
        <x:v>Size Recognition</x:v>
      </x:c>
      <x:c r="C1061" s="37" t="str">
        <x:v>Pick up the smallest item and place it in the bowl.</x:v>
      </x:c>
      <x:c r="D1061" s="37" t="str">
        <x:v>Explicit size grounding</x:v>
      </x:c>
      <x:c r="E1061" s="37" t="str">
        <x:v>smallest × green block</x:v>
      </x:c>
      <x:c r="F1061" s="37" t="str">
        <x:v>size_green_block_smallest_explicit</x:v>
      </x:c>
      <x:c r="G1061" s="37" t="str">
        <x:v>green-block×largest; juggling-ball×smallest</x:v>
      </x:c>
      <x:c r="H1061" s="37" t="str">
        <x:v>No</x:v>
      </x:c>
      <x:c r="I1061" s="37" t="str">
        <x:v>Keep prompt</x:v>
      </x:c>
      <x:c r="J1061" s="37" t="str">
        <x:v>No prompt change required under the missing-cell design.</x:v>
      </x:c>
      <x:c r="K1061" s="37" t="str">
        <x:v>green block, juggling ball, crushed Pepsi can</x:v>
      </x:c>
      <x:c r="L1061" s="37" t="str">
        <x:v>green block</x:v>
      </x:c>
      <x:c r="M1061" s="37" t="str">
        <x:v>Recovery</x:v>
      </x:c>
      <x:c r="N1061" s="37" t="str">
        <x:v>Pick up the smallest item and place it in the bowl.</x:v>
      </x:c>
      <x:c r="O1061" s="37" t="str"/>
      <x:c r="P1061" s="37" t="str">
        <x:v>Explicitly grounds smallest with green block; only the selected size-role/object cell is withheld.</x:v>
      </x:c>
      <x:c r="Q1061" s="38"/>
    </x:row>
    <x:row r="1062" ht="60" customHeight="1">
      <x:c r="A1062" s="70" t="n">
        <x:v>1060</x:v>
      </x:c>
      <x:c r="B1062" s="37" t="str">
        <x:v>Size Recognition</x:v>
      </x:c>
      <x:c r="C1062" s="37" t="str">
        <x:v>Put the smallest object in the bowl.</x:v>
      </x:c>
      <x:c r="D1062" s="37" t="str">
        <x:v>Explicit size grounding</x:v>
      </x:c>
      <x:c r="E1062" s="37" t="str">
        <x:v>smallest × green block</x:v>
      </x:c>
      <x:c r="F1062" s="37" t="str">
        <x:v>size_green_block_smallest_explicit</x:v>
      </x:c>
      <x:c r="G1062" s="37" t="str">
        <x:v>green-block×largest; juggling-ball×smallest</x:v>
      </x:c>
      <x:c r="H1062" s="37" t="str">
        <x:v>No</x:v>
      </x:c>
      <x:c r="I1062" s="37" t="str">
        <x:v>Keep prompt</x:v>
      </x:c>
      <x:c r="J1062" s="37" t="str">
        <x:v>No prompt change required under the missing-cell design.</x:v>
      </x:c>
      <x:c r="K1062" s="37" t="str">
        <x:v>green block, crushed Pepsi can</x:v>
      </x:c>
      <x:c r="L1062" s="37" t="str">
        <x:v>green block</x:v>
      </x:c>
      <x:c r="M1062" s="37" t="str">
        <x:v>Home</x:v>
      </x:c>
      <x:c r="N1062" s="37" t="str">
        <x:v>Put the smallest object in the bowl.</x:v>
      </x:c>
      <x:c r="O1062" s="37" t="str"/>
      <x:c r="P1062" s="37" t="str">
        <x:v>Explicitly grounds smallest with green block; only the selected size-role/object cell is withheld.</x:v>
      </x:c>
      <x:c r="Q1062" s="38"/>
    </x:row>
    <x:row r="1063" ht="60" customHeight="1">
      <x:c r="A1063" s="70" t="n">
        <x:v>1061</x:v>
      </x:c>
      <x:c r="B1063" s="37" t="str">
        <x:v>Size Recognition</x:v>
      </x:c>
      <x:c r="C1063" s="37" t="str">
        <x:v>Pick up the smallest item and place it in the bowl.</x:v>
      </x:c>
      <x:c r="D1063" s="37" t="str">
        <x:v>Explicit size grounding</x:v>
      </x:c>
      <x:c r="E1063" s="37" t="str">
        <x:v>smallest × green block</x:v>
      </x:c>
      <x:c r="F1063" s="37" t="str">
        <x:v>size_green_block_smallest_explicit</x:v>
      </x:c>
      <x:c r="G1063" s="37" t="str">
        <x:v>green-block×largest; juggling-ball×smallest</x:v>
      </x:c>
      <x:c r="H1063" s="37" t="str">
        <x:v>No</x:v>
      </x:c>
      <x:c r="I1063" s="37" t="str">
        <x:v>Keep prompt</x:v>
      </x:c>
      <x:c r="J1063" s="37" t="str">
        <x:v>No prompt change required under the missing-cell design.</x:v>
      </x:c>
      <x:c r="K1063" s="37" t="str">
        <x:v>green block, crushed Pepsi can</x:v>
      </x:c>
      <x:c r="L1063" s="37" t="str">
        <x:v>green block</x:v>
      </x:c>
      <x:c r="M1063" s="37" t="str">
        <x:v>Home</x:v>
      </x:c>
      <x:c r="N1063" s="37" t="str">
        <x:v>Pick up the smallest item and place it in the bowl.</x:v>
      </x:c>
      <x:c r="O1063" s="37" t="str"/>
      <x:c r="P1063" s="37" t="str">
        <x:v>Explicitly grounds smallest with green block; only the selected size-role/object cell is withheld.</x:v>
      </x:c>
      <x:c r="Q1063" s="38"/>
    </x:row>
    <x:row r="1064" ht="60" customHeight="1">
      <x:c r="A1064" s="70" t="n">
        <x:v>1062</x:v>
      </x:c>
      <x:c r="B1064" s="37" t="str">
        <x:v>Size Recognition</x:v>
      </x:c>
      <x:c r="C1064" s="37" t="str">
        <x:v>Move the object that is smallest into the bowl.</x:v>
      </x:c>
      <x:c r="D1064" s="37" t="str">
        <x:v>Explicit size grounding</x:v>
      </x:c>
      <x:c r="E1064" s="37" t="str">
        <x:v>smallest × green block</x:v>
      </x:c>
      <x:c r="F1064" s="37" t="str">
        <x:v>size_green_block_smallest_explicit</x:v>
      </x:c>
      <x:c r="G1064" s="37" t="str">
        <x:v>green-block×largest; juggling-ball×smallest</x:v>
      </x:c>
      <x:c r="H1064" s="37" t="str">
        <x:v>No</x:v>
      </x:c>
      <x:c r="I1064" s="37" t="str">
        <x:v>Keep prompt</x:v>
      </x:c>
      <x:c r="J1064" s="37" t="str">
        <x:v>No prompt change required under the missing-cell design.</x:v>
      </x:c>
      <x:c r="K1064" s="37" t="str">
        <x:v>green block, crushed Pepsi can</x:v>
      </x:c>
      <x:c r="L1064" s="37" t="str">
        <x:v>green block</x:v>
      </x:c>
      <x:c r="M1064" s="37" t="str">
        <x:v>Home</x:v>
      </x:c>
      <x:c r="N1064" s="37" t="str">
        <x:v>Move the object that is smallest into the bowl.</x:v>
      </x:c>
      <x:c r="O1064" s="37" t="str"/>
      <x:c r="P1064" s="37" t="str">
        <x:v>Explicitly grounds smallest with green block; only the selected size-role/object cell is withheld.</x:v>
      </x:c>
      <x:c r="Q1064" s="38"/>
    </x:row>
    <x:row r="1065" ht="60" customHeight="1">
      <x:c r="A1065" s="70" t="n">
        <x:v>1063</x:v>
      </x:c>
      <x:c r="B1065" s="37" t="str">
        <x:v>Size Recognition</x:v>
      </x:c>
      <x:c r="C1065" s="37" t="str">
        <x:v>Move the object that is smallest into the bowl.</x:v>
      </x:c>
      <x:c r="D1065" s="37" t="str">
        <x:v>Explicit size grounding</x:v>
      </x:c>
      <x:c r="E1065" s="37" t="str">
        <x:v>smallest × green block</x:v>
      </x:c>
      <x:c r="F1065" s="37" t="str">
        <x:v>size_green_block_smallest_explicit</x:v>
      </x:c>
      <x:c r="G1065" s="37" t="str">
        <x:v>green-block×largest; juggling-ball×smallest</x:v>
      </x:c>
      <x:c r="H1065" s="37" t="str">
        <x:v>No</x:v>
      </x:c>
      <x:c r="I1065" s="37" t="str">
        <x:v>Keep prompt</x:v>
      </x:c>
      <x:c r="J1065" s="37" t="str">
        <x:v>No prompt change required under the missing-cell design.</x:v>
      </x:c>
      <x:c r="K1065" s="37" t="str">
        <x:v>green block, crushed Pepsi can</x:v>
      </x:c>
      <x:c r="L1065" s="37" t="str">
        <x:v>green block</x:v>
      </x:c>
      <x:c r="M1065" s="37" t="str">
        <x:v>Home</x:v>
      </x:c>
      <x:c r="N1065" s="37" t="str">
        <x:v>Move the object that is smallest into the bowl.</x:v>
      </x:c>
      <x:c r="O1065" s="37" t="str"/>
      <x:c r="P1065" s="37" t="str">
        <x:v>Explicitly grounds smallest with green block; only the selected size-role/object cell is withheld.</x:v>
      </x:c>
      <x:c r="Q1065" s="38"/>
    </x:row>
    <x:row r="1066" ht="60" customHeight="1">
      <x:c r="A1066" s="70" t="n">
        <x:v>1064</x:v>
      </x:c>
      <x:c r="B1066" s="37" t="str">
        <x:v>Size Recognition</x:v>
      </x:c>
      <x:c r="C1066" s="37" t="str">
        <x:v>Move the object that is smallest into the bowl.</x:v>
      </x:c>
      <x:c r="D1066" s="37" t="str">
        <x:v>Explicit size grounding</x:v>
      </x:c>
      <x:c r="E1066" s="37" t="str">
        <x:v>smallest × green block</x:v>
      </x:c>
      <x:c r="F1066" s="37" t="str">
        <x:v>size_green_block_smallest_explicit</x:v>
      </x:c>
      <x:c r="G1066" s="37" t="str">
        <x:v>green-block×largest; juggling-ball×smallest</x:v>
      </x:c>
      <x:c r="H1066" s="37" t="str">
        <x:v>No</x:v>
      </x:c>
      <x:c r="I1066" s="37" t="str">
        <x:v>Keep prompt</x:v>
      </x:c>
      <x:c r="J1066" s="37" t="str">
        <x:v>No prompt change required under the missing-cell design.</x:v>
      </x:c>
      <x:c r="K1066" s="37" t="str">
        <x:v>green block, crushed Pepsi can</x:v>
      </x:c>
      <x:c r="L1066" s="37" t="str">
        <x:v>green block</x:v>
      </x:c>
      <x:c r="M1066" s="37" t="str">
        <x:v>Home</x:v>
      </x:c>
      <x:c r="N1066" s="37" t="str">
        <x:v>Move the object that is smallest into the bowl.</x:v>
      </x:c>
      <x:c r="O1066" s="37" t="str"/>
      <x:c r="P1066" s="37" t="str">
        <x:v>Explicitly grounds smallest with green block; only the selected size-role/object cell is withheld.</x:v>
      </x:c>
      <x:c r="Q1066" s="38"/>
    </x:row>
    <x:row r="1067" ht="60" customHeight="1">
      <x:c r="A1067" s="70" t="n">
        <x:v>1065</x:v>
      </x:c>
      <x:c r="B1067" s="37" t="str">
        <x:v>Size Recognition</x:v>
      </x:c>
      <x:c r="C1067" s="37" t="str">
        <x:v>Pick up the smallest item and place it in the bowl.</x:v>
      </x:c>
      <x:c r="D1067" s="37" t="str">
        <x:v>Explicit size grounding</x:v>
      </x:c>
      <x:c r="E1067" s="37" t="str">
        <x:v>smallest × green block</x:v>
      </x:c>
      <x:c r="F1067" s="37" t="str">
        <x:v>size_green_block_smallest_explicit</x:v>
      </x:c>
      <x:c r="G1067" s="37" t="str">
        <x:v>green-block×largest; juggling-ball×smallest</x:v>
      </x:c>
      <x:c r="H1067" s="37" t="str">
        <x:v>No</x:v>
      </x:c>
      <x:c r="I1067" s="37" t="str">
        <x:v>Keep prompt</x:v>
      </x:c>
      <x:c r="J1067" s="37" t="str">
        <x:v>No prompt change required under the missing-cell design.</x:v>
      </x:c>
      <x:c r="K1067" s="37" t="str">
        <x:v>green block, crushed Pepsi can</x:v>
      </x:c>
      <x:c r="L1067" s="37" t="str">
        <x:v>green block</x:v>
      </x:c>
      <x:c r="M1067" s="37" t="str">
        <x:v>Home</x:v>
      </x:c>
      <x:c r="N1067" s="37" t="str">
        <x:v>Pick up the smallest item and place it in the bowl.</x:v>
      </x:c>
      <x:c r="O1067" s="37" t="str"/>
      <x:c r="P1067" s="37" t="str">
        <x:v>Explicitly grounds smallest with green block; only the selected size-role/object cell is withheld.</x:v>
      </x:c>
      <x:c r="Q1067" s="38"/>
    </x:row>
    <x:row r="1068" ht="60" customHeight="1">
      <x:c r="A1068" s="70" t="n">
        <x:v>1066</x:v>
      </x:c>
      <x:c r="B1068" s="37" t="str">
        <x:v>Size Recognition</x:v>
      </x:c>
      <x:c r="C1068" s="37" t="str">
        <x:v>Put the smallest object in the bowl.</x:v>
      </x:c>
      <x:c r="D1068" s="37" t="str">
        <x:v>Explicit size grounding</x:v>
      </x:c>
      <x:c r="E1068" s="37" t="str">
        <x:v>smallest × green block</x:v>
      </x:c>
      <x:c r="F1068" s="37" t="str">
        <x:v>size_green_block_smallest_explicit</x:v>
      </x:c>
      <x:c r="G1068" s="37" t="str">
        <x:v>green-block×largest; juggling-ball×smallest</x:v>
      </x:c>
      <x:c r="H1068" s="37" t="str">
        <x:v>No</x:v>
      </x:c>
      <x:c r="I1068" s="37" t="str">
        <x:v>Keep prompt</x:v>
      </x:c>
      <x:c r="J1068" s="37" t="str">
        <x:v>No prompt change required under the missing-cell design.</x:v>
      </x:c>
      <x:c r="K1068" s="37" t="str">
        <x:v>green block, crushed Pepsi can</x:v>
      </x:c>
      <x:c r="L1068" s="37" t="str">
        <x:v>green block</x:v>
      </x:c>
      <x:c r="M1068" s="37" t="str">
        <x:v>Home</x:v>
      </x:c>
      <x:c r="N1068" s="37" t="str">
        <x:v>Put the smallest object in the bowl.</x:v>
      </x:c>
      <x:c r="O1068" s="37" t="str"/>
      <x:c r="P1068" s="37" t="str">
        <x:v>Explicitly grounds smallest with green block; only the selected size-role/object cell is withheld.</x:v>
      </x:c>
      <x:c r="Q1068" s="38"/>
    </x:row>
    <x:row r="1069" ht="60" customHeight="1">
      <x:c r="A1069" s="70" t="n">
        <x:v>1067</x:v>
      </x:c>
      <x:c r="B1069" s="37" t="str">
        <x:v>Size Recognition</x:v>
      </x:c>
      <x:c r="C1069" s="37" t="str">
        <x:v>Pick up the smallest item and place it in the bowl.</x:v>
      </x:c>
      <x:c r="D1069" s="37" t="str">
        <x:v>Explicit size grounding</x:v>
      </x:c>
      <x:c r="E1069" s="37" t="str">
        <x:v>smallest × green block</x:v>
      </x:c>
      <x:c r="F1069" s="37" t="str">
        <x:v>size_green_block_smallest_explicit</x:v>
      </x:c>
      <x:c r="G1069" s="37" t="str">
        <x:v>green-block×largest; juggling-ball×smallest</x:v>
      </x:c>
      <x:c r="H1069" s="37" t="str">
        <x:v>No</x:v>
      </x:c>
      <x:c r="I1069" s="37" t="str">
        <x:v>Keep prompt</x:v>
      </x:c>
      <x:c r="J1069" s="37" t="str">
        <x:v>No prompt change required under the missing-cell design.</x:v>
      </x:c>
      <x:c r="K1069" s="37" t="str">
        <x:v>green block, crushed Pepsi can</x:v>
      </x:c>
      <x:c r="L1069" s="37" t="str">
        <x:v>green block</x:v>
      </x:c>
      <x:c r="M1069" s="37" t="str">
        <x:v>Home</x:v>
      </x:c>
      <x:c r="N1069" s="37" t="str">
        <x:v>Pick up the smallest item and place it in the bowl.</x:v>
      </x:c>
      <x:c r="O1069" s="37" t="str"/>
      <x:c r="P1069" s="37" t="str">
        <x:v>Explicitly grounds smallest with green block; only the selected size-role/object cell is withheld.</x:v>
      </x:c>
      <x:c r="Q1069" s="38"/>
    </x:row>
    <x:row r="1070" ht="60" customHeight="1">
      <x:c r="A1070" s="70" t="n">
        <x:v>1068</x:v>
      </x:c>
      <x:c r="B1070" s="37" t="str">
        <x:v>Size Recognition</x:v>
      </x:c>
      <x:c r="C1070" s="37" t="str">
        <x:v>Put the smallest object in the bowl.</x:v>
      </x:c>
      <x:c r="D1070" s="37" t="str">
        <x:v>Explicit size grounding</x:v>
      </x:c>
      <x:c r="E1070" s="37" t="str">
        <x:v>smallest × green block</x:v>
      </x:c>
      <x:c r="F1070" s="37" t="str">
        <x:v>size_green_block_smallest_explicit</x:v>
      </x:c>
      <x:c r="G1070" s="37" t="str">
        <x:v>green-block×largest; juggling-ball×smallest</x:v>
      </x:c>
      <x:c r="H1070" s="37" t="str">
        <x:v>No</x:v>
      </x:c>
      <x:c r="I1070" s="37" t="str">
        <x:v>Keep prompt</x:v>
      </x:c>
      <x:c r="J1070" s="37" t="str">
        <x:v>No prompt change required under the missing-cell design.</x:v>
      </x:c>
      <x:c r="K1070" s="37" t="str">
        <x:v>green block, crushed Pepsi can</x:v>
      </x:c>
      <x:c r="L1070" s="37" t="str">
        <x:v>green block</x:v>
      </x:c>
      <x:c r="M1070" s="37" t="str">
        <x:v>Home</x:v>
      </x:c>
      <x:c r="N1070" s="37" t="str">
        <x:v>Put the smallest object in the bowl.</x:v>
      </x:c>
      <x:c r="O1070" s="37" t="str"/>
      <x:c r="P1070" s="37" t="str">
        <x:v>Explicitly grounds smallest with green block; only the selected size-role/object cell is withheld.</x:v>
      </x:c>
      <x:c r="Q1070" s="38"/>
    </x:row>
    <x:row r="1071" ht="60" customHeight="1">
      <x:c r="A1071" s="70" t="n">
        <x:v>1069</x:v>
      </x:c>
      <x:c r="B1071" s="37" t="str">
        <x:v>Size Recognition</x:v>
      </x:c>
      <x:c r="C1071" s="37" t="str">
        <x:v>Put the smallest object in the bowl.</x:v>
      </x:c>
      <x:c r="D1071" s="37" t="str">
        <x:v>Explicit size grounding</x:v>
      </x:c>
      <x:c r="E1071" s="37" t="str">
        <x:v>smallest × green block</x:v>
      </x:c>
      <x:c r="F1071" s="37" t="str">
        <x:v>size_green_block_smallest_explicit</x:v>
      </x:c>
      <x:c r="G1071" s="37" t="str">
        <x:v>green-block×largest; juggling-ball×smallest</x:v>
      </x:c>
      <x:c r="H1071" s="37" t="str">
        <x:v>No</x:v>
      </x:c>
      <x:c r="I1071" s="37" t="str">
        <x:v>Keep prompt</x:v>
      </x:c>
      <x:c r="J1071" s="37" t="str">
        <x:v>No prompt change required under the missing-cell design.</x:v>
      </x:c>
      <x:c r="K1071" s="37" t="str">
        <x:v>green block, crushed Pepsi can</x:v>
      </x:c>
      <x:c r="L1071" s="37" t="str">
        <x:v>green block</x:v>
      </x:c>
      <x:c r="M1071" s="37" t="str">
        <x:v>Home</x:v>
      </x:c>
      <x:c r="N1071" s="37" t="str">
        <x:v>Put the smallest object in the bowl.</x:v>
      </x:c>
      <x:c r="O1071" s="37" t="str"/>
      <x:c r="P1071" s="37" t="str">
        <x:v>Explicitly grounds smallest with green block; only the selected size-role/object cell is withheld.</x:v>
      </x:c>
      <x:c r="Q1071" s="38"/>
    </x:row>
    <x:row r="1072" ht="60" customHeight="1">
      <x:c r="A1072" s="70" t="n">
        <x:v>1070</x:v>
      </x:c>
      <x:c r="B1072" s="37" t="str">
        <x:v>Size Recognition</x:v>
      </x:c>
      <x:c r="C1072" s="37" t="str">
        <x:v>Move the object that is smallest into the bowl.</x:v>
      </x:c>
      <x:c r="D1072" s="37" t="str">
        <x:v>Explicit size grounding</x:v>
      </x:c>
      <x:c r="E1072" s="37" t="str">
        <x:v>smallest × green block</x:v>
      </x:c>
      <x:c r="F1072" s="37" t="str">
        <x:v>size_green_block_smallest_explicit</x:v>
      </x:c>
      <x:c r="G1072" s="37" t="str">
        <x:v>green-block×largest; juggling-ball×smallest</x:v>
      </x:c>
      <x:c r="H1072" s="37" t="str">
        <x:v>No</x:v>
      </x:c>
      <x:c r="I1072" s="37" t="str">
        <x:v>Keep prompt</x:v>
      </x:c>
      <x:c r="J1072" s="37" t="str">
        <x:v>No prompt change required under the missing-cell design.</x:v>
      </x:c>
      <x:c r="K1072" s="37" t="str">
        <x:v>green block, crushed Pepsi can</x:v>
      </x:c>
      <x:c r="L1072" s="37" t="str">
        <x:v>green block</x:v>
      </x:c>
      <x:c r="M1072" s="37" t="str">
        <x:v>Home</x:v>
      </x:c>
      <x:c r="N1072" s="37" t="str">
        <x:v>Move the object that is smallest into the bowl.</x:v>
      </x:c>
      <x:c r="O1072" s="37" t="str"/>
      <x:c r="P1072" s="37" t="str">
        <x:v>Explicitly grounds smallest with green block; only the selected size-role/object cell is withheld.</x:v>
      </x:c>
      <x:c r="Q1072" s="38"/>
    </x:row>
    <x:row r="1073" ht="60" customHeight="1">
      <x:c r="A1073" s="70" t="n">
        <x:v>1071</x:v>
      </x:c>
      <x:c r="B1073" s="37" t="str">
        <x:v>Size Recognition</x:v>
      </x:c>
      <x:c r="C1073" s="37" t="str">
        <x:v>Move the object that is smallest into the bowl.</x:v>
      </x:c>
      <x:c r="D1073" s="37" t="str">
        <x:v>Explicit size grounding</x:v>
      </x:c>
      <x:c r="E1073" s="37" t="str">
        <x:v>smallest × green block</x:v>
      </x:c>
      <x:c r="F1073" s="37" t="str">
        <x:v>size_green_block_smallest_explicit</x:v>
      </x:c>
      <x:c r="G1073" s="37" t="str">
        <x:v>green-block×largest; juggling-ball×smallest</x:v>
      </x:c>
      <x:c r="H1073" s="37" t="str">
        <x:v>No</x:v>
      </x:c>
      <x:c r="I1073" s="37" t="str">
        <x:v>Keep prompt</x:v>
      </x:c>
      <x:c r="J1073" s="37" t="str">
        <x:v>No prompt change required under the missing-cell design.</x:v>
      </x:c>
      <x:c r="K1073" s="37" t="str">
        <x:v>green block, crushed Pepsi can</x:v>
      </x:c>
      <x:c r="L1073" s="37" t="str">
        <x:v>green block</x:v>
      </x:c>
      <x:c r="M1073" s="37" t="str">
        <x:v>Home</x:v>
      </x:c>
      <x:c r="N1073" s="37" t="str">
        <x:v>Move the object that is smallest into the bowl.</x:v>
      </x:c>
      <x:c r="O1073" s="37" t="str"/>
      <x:c r="P1073" s="37" t="str">
        <x:v>Explicitly grounds smallest with green block; only the selected size-role/object cell is withheld.</x:v>
      </x:c>
      <x:c r="Q1073" s="38"/>
    </x:row>
    <x:row r="1074" ht="60" customHeight="1">
      <x:c r="A1074" s="70" t="n">
        <x:v>1072</x:v>
      </x:c>
      <x:c r="B1074" s="37" t="str">
        <x:v>Size Recognition</x:v>
      </x:c>
      <x:c r="C1074" s="37" t="str">
        <x:v>Pick up the smallest item and place it in the bowl.</x:v>
      </x:c>
      <x:c r="D1074" s="37" t="str">
        <x:v>Explicit size grounding</x:v>
      </x:c>
      <x:c r="E1074" s="37" t="str">
        <x:v>smallest × green block</x:v>
      </x:c>
      <x:c r="F1074" s="37" t="str">
        <x:v>size_green_block_smallest_explicit</x:v>
      </x:c>
      <x:c r="G1074" s="37" t="str">
        <x:v>green-block×largest; juggling-ball×smallest</x:v>
      </x:c>
      <x:c r="H1074" s="37" t="str">
        <x:v>No</x:v>
      </x:c>
      <x:c r="I1074" s="37" t="str">
        <x:v>Keep prompt</x:v>
      </x:c>
      <x:c r="J1074" s="37" t="str">
        <x:v>No prompt change required under the missing-cell design.</x:v>
      </x:c>
      <x:c r="K1074" s="37" t="str">
        <x:v>green block, crushed Pepsi can</x:v>
      </x:c>
      <x:c r="L1074" s="37" t="str">
        <x:v>green block</x:v>
      </x:c>
      <x:c r="M1074" s="37" t="str">
        <x:v>Recovery</x:v>
      </x:c>
      <x:c r="N1074" s="37" t="str">
        <x:v>Pick up the smallest item and place it in the bowl.</x:v>
      </x:c>
      <x:c r="O1074" s="37" t="str"/>
      <x:c r="P1074" s="37" t="str">
        <x:v>Explicitly grounds smallest with green block; only the selected size-role/object cell is withheld.</x:v>
      </x:c>
      <x:c r="Q1074" s="38"/>
    </x:row>
    <x:row r="1075" ht="60" customHeight="1">
      <x:c r="A1075" s="70" t="n">
        <x:v>1073</x:v>
      </x:c>
      <x:c r="B1075" s="37" t="str">
        <x:v>Size Recognition</x:v>
      </x:c>
      <x:c r="C1075" s="37" t="str">
        <x:v>Move the object that is smallest into the bowl.</x:v>
      </x:c>
      <x:c r="D1075" s="37" t="str">
        <x:v>Explicit size grounding</x:v>
      </x:c>
      <x:c r="E1075" s="37" t="str">
        <x:v>smallest × green block</x:v>
      </x:c>
      <x:c r="F1075" s="37" t="str">
        <x:v>size_green_block_smallest_explicit</x:v>
      </x:c>
      <x:c r="G1075" s="37" t="str">
        <x:v>green-block×largest; juggling-ball×smallest</x:v>
      </x:c>
      <x:c r="H1075" s="37" t="str">
        <x:v>No</x:v>
      </x:c>
      <x:c r="I1075" s="37" t="str">
        <x:v>Keep prompt</x:v>
      </x:c>
      <x:c r="J1075" s="37" t="str">
        <x:v>No prompt change required under the missing-cell design.</x:v>
      </x:c>
      <x:c r="K1075" s="37" t="str">
        <x:v>green block, crushed Pepsi can</x:v>
      </x:c>
      <x:c r="L1075" s="37" t="str">
        <x:v>green block</x:v>
      </x:c>
      <x:c r="M1075" s="37" t="str">
        <x:v>Recovery</x:v>
      </x:c>
      <x:c r="N1075" s="37" t="str">
        <x:v>Move the object that is smallest into the bowl.</x:v>
      </x:c>
      <x:c r="O1075" s="37" t="str"/>
      <x:c r="P1075" s="37" t="str">
        <x:v>Explicitly grounds smallest with green block; only the selected size-role/object cell is withheld.</x:v>
      </x:c>
      <x:c r="Q1075" s="38"/>
    </x:row>
    <x:row r="1076" ht="60" customHeight="1">
      <x:c r="A1076" s="70" t="n">
        <x:v>1074</x:v>
      </x:c>
      <x:c r="B1076" s="37" t="str">
        <x:v>Size Recognition</x:v>
      </x:c>
      <x:c r="C1076" s="37" t="str">
        <x:v>Put the smallest object in the bowl.</x:v>
      </x:c>
      <x:c r="D1076" s="37" t="str">
        <x:v>Explicit size grounding</x:v>
      </x:c>
      <x:c r="E1076" s="37" t="str">
        <x:v>smallest × green block</x:v>
      </x:c>
      <x:c r="F1076" s="37" t="str">
        <x:v>size_green_block_smallest_explicit</x:v>
      </x:c>
      <x:c r="G1076" s="37" t="str">
        <x:v>green-block×largest; juggling-ball×smallest</x:v>
      </x:c>
      <x:c r="H1076" s="37" t="str">
        <x:v>No</x:v>
      </x:c>
      <x:c r="I1076" s="37" t="str">
        <x:v>Keep prompt</x:v>
      </x:c>
      <x:c r="J1076" s="37" t="str">
        <x:v>No prompt change required under the missing-cell design.</x:v>
      </x:c>
      <x:c r="K1076" s="37" t="str">
        <x:v>green block, crushed Pepsi can</x:v>
      </x:c>
      <x:c r="L1076" s="37" t="str">
        <x:v>green block</x:v>
      </x:c>
      <x:c r="M1076" s="37" t="str">
        <x:v>Recovery</x:v>
      </x:c>
      <x:c r="N1076" s="37" t="str">
        <x:v>Put the smallest object in the bowl.</x:v>
      </x:c>
      <x:c r="O1076" s="37" t="str"/>
      <x:c r="P1076" s="37" t="str">
        <x:v>Explicitly grounds smallest with green block; only the selected size-role/object cell is withheld.</x:v>
      </x:c>
      <x:c r="Q1076" s="38"/>
    </x:row>
    <x:row r="1077" ht="60" customHeight="1">
      <x:c r="A1077" s="70" t="n">
        <x:v>1075</x:v>
      </x:c>
      <x:c r="B1077" s="37" t="str">
        <x:v>Size Recognition</x:v>
      </x:c>
      <x:c r="C1077" s="37" t="str">
        <x:v>Pick up the green block and place it in the bowl.</x:v>
      </x:c>
      <x:c r="D1077" s="37" t="str">
        <x:v>Direct-object identity control</x:v>
      </x:c>
      <x:c r="E1077" s="37" t="str">
        <x:v>direct identity=green block; physical size role=largest</x:v>
      </x:c>
      <x:c r="F1077" s="37" t="str">
        <x:v>size_green_block_largest_direct_control</x:v>
      </x:c>
      <x:c r="G1077" s="37" t="str">
        <x:v>green-block×largest; juggling-ball×smallest</x:v>
      </x:c>
      <x:c r="H1077" s="37" t="str">
        <x:v>No</x:v>
      </x:c>
      <x:c r="I1077" s="37" t="str">
        <x:v>Keep prompt</x:v>
      </x:c>
      <x:c r="J1077" s="37" t="str">
        <x:v>No prompt change required under the missing-cell design.</x:v>
      </x:c>
      <x:c r="K1077" s="37" t="str">
        <x:v>red pencil sharpener, green block</x:v>
      </x:c>
      <x:c r="L1077" s="37" t="str">
        <x:v>green block</x:v>
      </x:c>
      <x:c r="M1077" s="37" t="str">
        <x:v>Home</x:v>
      </x:c>
      <x:c r="N1077" s="37" t="str">
        <x:v>Pick up the green block and place it in the bowl.</x:v>
      </x:c>
      <x:c r="O1077" s="37" t="str">
        <x:v>Pick up the largest object and place it in the bowl.</x:v>
      </x:c>
      <x:c r="P1077" s="37" t="str">
        <x:v>Provides direct-name grounding within the size task. Five direct controls are retained for every object identity.</x:v>
      </x:c>
      <x:c r="Q1077" s="38"/>
    </x:row>
    <x:row r="1078" ht="60" customHeight="1">
      <x:c r="A1078" s="70" t="n">
        <x:v>1076</x:v>
      </x:c>
      <x:c r="B1078" s="37" t="str">
        <x:v>Size Recognition</x:v>
      </x:c>
      <x:c r="C1078" s="37" t="str">
        <x:v>Move the green block into the bowl.</x:v>
      </x:c>
      <x:c r="D1078" s="37" t="str">
        <x:v>Direct-object identity control</x:v>
      </x:c>
      <x:c r="E1078" s="37" t="str">
        <x:v>direct identity=green block; physical size role=largest</x:v>
      </x:c>
      <x:c r="F1078" s="37" t="str">
        <x:v>size_green_block_largest_direct_control</x:v>
      </x:c>
      <x:c r="G1078" s="37" t="str">
        <x:v>green-block×largest; juggling-ball×smallest</x:v>
      </x:c>
      <x:c r="H1078" s="37" t="str">
        <x:v>No</x:v>
      </x:c>
      <x:c r="I1078" s="37" t="str">
        <x:v>Keep prompt</x:v>
      </x:c>
      <x:c r="J1078" s="37" t="str">
        <x:v>No prompt change required under the missing-cell design.</x:v>
      </x:c>
      <x:c r="K1078" s="37" t="str">
        <x:v>red pencil sharpener, green block</x:v>
      </x:c>
      <x:c r="L1078" s="37" t="str">
        <x:v>green block</x:v>
      </x:c>
      <x:c r="M1078" s="37" t="str">
        <x:v>Home</x:v>
      </x:c>
      <x:c r="N1078" s="37" t="str">
        <x:v>Move the green block into the bowl.</x:v>
      </x:c>
      <x:c r="O1078" s="37" t="str">
        <x:v>Pick up the largest object and place it in the bowl.</x:v>
      </x:c>
      <x:c r="P1078" s="37" t="str">
        <x:v>Provides direct-name grounding within the size task. Five direct controls are retained for every object identity.</x:v>
      </x:c>
      <x:c r="Q1078" s="38"/>
    </x:row>
    <x:row r="1079" ht="60" customHeight="1">
      <x:c r="A1079" s="70" t="n">
        <x:v>1077</x:v>
      </x:c>
      <x:c r="B1079" s="37" t="str">
        <x:v>Size Recognition</x:v>
      </x:c>
      <x:c r="C1079" s="37" t="str">
        <x:v>Put the green block in the bowl.</x:v>
      </x:c>
      <x:c r="D1079" s="37" t="str">
        <x:v>Direct-object identity control</x:v>
      </x:c>
      <x:c r="E1079" s="37" t="str">
        <x:v>direct identity=green block; physical size role=largest</x:v>
      </x:c>
      <x:c r="F1079" s="37" t="str">
        <x:v>size_green_block_largest_direct_control</x:v>
      </x:c>
      <x:c r="G1079" s="37" t="str">
        <x:v>green-block×largest; juggling-ball×smallest</x:v>
      </x:c>
      <x:c r="H1079" s="37" t="str">
        <x:v>No</x:v>
      </x:c>
      <x:c r="I1079" s="37" t="str">
        <x:v>Keep prompt</x:v>
      </x:c>
      <x:c r="J1079" s="37" t="str">
        <x:v>No prompt change required under the missing-cell design.</x:v>
      </x:c>
      <x:c r="K1079" s="37" t="str">
        <x:v>red pencil sharpener, green block</x:v>
      </x:c>
      <x:c r="L1079" s="37" t="str">
        <x:v>green block</x:v>
      </x:c>
      <x:c r="M1079" s="37" t="str">
        <x:v>Home</x:v>
      </x:c>
      <x:c r="N1079" s="37" t="str">
        <x:v>Put the green block in the bowl.</x:v>
      </x:c>
      <x:c r="O1079" s="37" t="str">
        <x:v>Pick up the largest object and place it in the bowl.</x:v>
      </x:c>
      <x:c r="P1079" s="37" t="str">
        <x:v>Provides direct-name grounding within the size task. Five direct controls are retained for every object identity.</x:v>
      </x:c>
      <x:c r="Q1079" s="38"/>
    </x:row>
    <x:row r="1080" ht="60" customHeight="1">
      <x:c r="A1080" s="70" t="n">
        <x:v>1078</x:v>
      </x:c>
      <x:c r="B1080" s="37" t="str">
        <x:v>Size Recognition</x:v>
      </x:c>
      <x:c r="C1080" s="37" t="str">
        <x:v>Pick up the green block and place it in the bowl.</x:v>
      </x:c>
      <x:c r="D1080" s="37" t="str">
        <x:v>Direct-object identity control</x:v>
      </x:c>
      <x:c r="E1080" s="37" t="str">
        <x:v>direct identity=green block; physical size role=largest</x:v>
      </x:c>
      <x:c r="F1080" s="37" t="str">
        <x:v>size_green_block_largest_direct_control</x:v>
      </x:c>
      <x:c r="G1080" s="37" t="str">
        <x:v>green-block×largest; juggling-ball×smallest</x:v>
      </x:c>
      <x:c r="H1080" s="37" t="str">
        <x:v>No</x:v>
      </x:c>
      <x:c r="I1080" s="37" t="str">
        <x:v>Keep prompt</x:v>
      </x:c>
      <x:c r="J1080" s="37" t="str">
        <x:v>No prompt change required under the missing-cell design.</x:v>
      </x:c>
      <x:c r="K1080" s="37" t="str">
        <x:v>red pencil sharpener, green block</x:v>
      </x:c>
      <x:c r="L1080" s="37" t="str">
        <x:v>green block</x:v>
      </x:c>
      <x:c r="M1080" s="37" t="str">
        <x:v>Home</x:v>
      </x:c>
      <x:c r="N1080" s="37" t="str">
        <x:v>Pick up the green block and place it in the bowl.</x:v>
      </x:c>
      <x:c r="O1080" s="37" t="str">
        <x:v>Pick up the largest object and place it in the bowl.</x:v>
      </x:c>
      <x:c r="P1080" s="37" t="str">
        <x:v>Provides direct-name grounding within the size task. Five direct controls are retained for every object identity.</x:v>
      </x:c>
      <x:c r="Q1080" s="38"/>
    </x:row>
    <x:row r="1081" ht="60" customHeight="1">
      <x:c r="A1081" s="70" t="n">
        <x:v>1079</x:v>
      </x:c>
      <x:c r="B1081" s="37" t="str">
        <x:v>Size Recognition</x:v>
      </x:c>
      <x:c r="C1081" s="37" t="str">
        <x:v>Move the green block into the bowl.</x:v>
      </x:c>
      <x:c r="D1081" s="37" t="str">
        <x:v>Direct-object identity control</x:v>
      </x:c>
      <x:c r="E1081" s="37" t="str">
        <x:v>direct identity=green block; physical size role=largest</x:v>
      </x:c>
      <x:c r="F1081" s="37" t="str">
        <x:v>size_green_block_largest_direct_control</x:v>
      </x:c>
      <x:c r="G1081" s="37" t="str">
        <x:v>green-block×largest; juggling-ball×smallest</x:v>
      </x:c>
      <x:c r="H1081" s="37" t="str">
        <x:v>No</x:v>
      </x:c>
      <x:c r="I1081" s="37" t="str">
        <x:v>Keep prompt</x:v>
      </x:c>
      <x:c r="J1081" s="37" t="str">
        <x:v>No prompt change required under the missing-cell design.</x:v>
      </x:c>
      <x:c r="K1081" s="37" t="str">
        <x:v>red pencil sharpener, green block</x:v>
      </x:c>
      <x:c r="L1081" s="37" t="str">
        <x:v>green block</x:v>
      </x:c>
      <x:c r="M1081" s="37" t="str">
        <x:v>Home</x:v>
      </x:c>
      <x:c r="N1081" s="37" t="str">
        <x:v>Move the green block into the bowl.</x:v>
      </x:c>
      <x:c r="O1081" s="37" t="str">
        <x:v>Pick up the largest object and place it in the bowl.</x:v>
      </x:c>
      <x:c r="P1081" s="37" t="str">
        <x:v>Provides direct-name grounding within the size task. Five direct controls are retained for every object identity.</x:v>
      </x:c>
      <x:c r="Q1081" s="38"/>
    </x:row>
    <x:row r="1082" ht="60" customHeight="1">
      <x:c r="A1082" s="70" t="n">
        <x:v>1080</x:v>
      </x:c>
      <x:c r="B1082" s="37" t="str">
        <x:v>Size Recognition</x:v>
      </x:c>
      <x:c r="C1082" s="37" t="str">
        <x:v>Move the green block into the bowl.</x:v>
      </x:c>
      <x:c r="D1082" s="37" t="str">
        <x:v>Masked size-role × object-identity composition</x:v>
      </x:c>
      <x:c r="E1082" s="37" t="str">
        <x:v>direct identity=green block; hidden size role=largest</x:v>
      </x:c>
      <x:c r="F1082" s="37" t="str">
        <x:v>size_green_block_largest_masked</x:v>
      </x:c>
      <x:c r="G1082" s="37" t="str">
        <x:v>green-block×largest; juggling-ball×smallest</x:v>
      </x:c>
      <x:c r="H1082" s="37" t="str">
        <x:v>No</x:v>
      </x:c>
      <x:c r="I1082" s="37" t="str">
        <x:v>Keep prompt</x:v>
      </x:c>
      <x:c r="J1082" s="37" t="str">
        <x:v>No prompt change required under the missing-cell design.</x:v>
      </x:c>
      <x:c r="K1082" s="37" t="str">
        <x:v>red pencil sharpener, green block</x:v>
      </x:c>
      <x:c r="L1082" s="37" t="str">
        <x:v>green block</x:v>
      </x:c>
      <x:c r="M1082" s="37" t="str">
        <x:v>Home</x:v>
      </x:c>
      <x:c r="N1082" s="37" t="str">
        <x:v>Move the green block into the bowl.</x:v>
      </x:c>
      <x:c r="O1082" s="37" t="str">
        <x:v>Pick up the largest object and place it in the bowl.</x:v>
      </x:c>
      <x:c r="P1082" s="37" t="str">
        <x:v>The green block is named and manipulated directly, but it is never selected with the word largest.</x:v>
      </x:c>
      <x:c r="Q1082" s="38"/>
    </x:row>
    <x:row r="1083" ht="60" customHeight="1">
      <x:c r="A1083" s="70" t="n">
        <x:v>1081</x:v>
      </x:c>
      <x:c r="B1083" s="37" t="str">
        <x:v>Size Recognition</x:v>
      </x:c>
      <x:c r="C1083" s="37" t="str">
        <x:v>Put the green block in the bowl.</x:v>
      </x:c>
      <x:c r="D1083" s="37" t="str">
        <x:v>Masked size-role × object-identity composition</x:v>
      </x:c>
      <x:c r="E1083" s="37" t="str">
        <x:v>direct identity=green block; hidden size role=largest</x:v>
      </x:c>
      <x:c r="F1083" s="37" t="str">
        <x:v>size_green_block_largest_masked</x:v>
      </x:c>
      <x:c r="G1083" s="37" t="str">
        <x:v>green-block×largest; juggling-ball×smallest</x:v>
      </x:c>
      <x:c r="H1083" s="37" t="str">
        <x:v>No</x:v>
      </x:c>
      <x:c r="I1083" s="37" t="str">
        <x:v>Keep prompt</x:v>
      </x:c>
      <x:c r="J1083" s="37" t="str">
        <x:v>No prompt change required under the missing-cell design.</x:v>
      </x:c>
      <x:c r="K1083" s="37" t="str">
        <x:v>red pencil sharpener, green block</x:v>
      </x:c>
      <x:c r="L1083" s="37" t="str">
        <x:v>green block</x:v>
      </x:c>
      <x:c r="M1083" s="37" t="str">
        <x:v>Home</x:v>
      </x:c>
      <x:c r="N1083" s="37" t="str">
        <x:v>Put the green block in the bowl.</x:v>
      </x:c>
      <x:c r="O1083" s="37" t="str">
        <x:v>Pick up the largest object and place it in the bowl.</x:v>
      </x:c>
      <x:c r="P1083" s="37" t="str">
        <x:v>The green block is named and manipulated directly, but it is never selected with the word largest.</x:v>
      </x:c>
      <x:c r="Q1083" s="38"/>
    </x:row>
    <x:row r="1084" ht="60" customHeight="1">
      <x:c r="A1084" s="70" t="n">
        <x:v>1082</x:v>
      </x:c>
      <x:c r="B1084" s="37" t="str">
        <x:v>Size Recognition</x:v>
      </x:c>
      <x:c r="C1084" s="37" t="str">
        <x:v>Move the green block into the bowl.</x:v>
      </x:c>
      <x:c r="D1084" s="37" t="str">
        <x:v>Masked size-role × object-identity composition</x:v>
      </x:c>
      <x:c r="E1084" s="37" t="str">
        <x:v>direct identity=green block; hidden size role=largest</x:v>
      </x:c>
      <x:c r="F1084" s="37" t="str">
        <x:v>size_green_block_largest_masked</x:v>
      </x:c>
      <x:c r="G1084" s="37" t="str">
        <x:v>green-block×largest; juggling-ball×smallest</x:v>
      </x:c>
      <x:c r="H1084" s="37" t="str">
        <x:v>No</x:v>
      </x:c>
      <x:c r="I1084" s="37" t="str">
        <x:v>Keep prompt</x:v>
      </x:c>
      <x:c r="J1084" s="37" t="str">
        <x:v>No prompt change required under the missing-cell design.</x:v>
      </x:c>
      <x:c r="K1084" s="37" t="str">
        <x:v>red pencil sharpener, green block</x:v>
      </x:c>
      <x:c r="L1084" s="37" t="str">
        <x:v>green block</x:v>
      </x:c>
      <x:c r="M1084" s="37" t="str">
        <x:v>Home</x:v>
      </x:c>
      <x:c r="N1084" s="37" t="str">
        <x:v>Move the green block into the bowl.</x:v>
      </x:c>
      <x:c r="O1084" s="37" t="str">
        <x:v>Pick up the largest object and place it in the bowl.</x:v>
      </x:c>
      <x:c r="P1084" s="37" t="str">
        <x:v>The green block is named and manipulated directly, but it is never selected with the word largest.</x:v>
      </x:c>
      <x:c r="Q1084" s="38"/>
    </x:row>
    <x:row r="1085" ht="60" customHeight="1">
      <x:c r="A1085" s="70" t="n">
        <x:v>1083</x:v>
      </x:c>
      <x:c r="B1085" s="37" t="str">
        <x:v>Size Recognition</x:v>
      </x:c>
      <x:c r="C1085" s="37" t="str">
        <x:v>Move the green block into the bowl.</x:v>
      </x:c>
      <x:c r="D1085" s="37" t="str">
        <x:v>Masked size-role × object-identity composition</x:v>
      </x:c>
      <x:c r="E1085" s="37" t="str">
        <x:v>direct identity=green block; hidden size role=largest</x:v>
      </x:c>
      <x:c r="F1085" s="37" t="str">
        <x:v>size_green_block_largest_masked</x:v>
      </x:c>
      <x:c r="G1085" s="37" t="str">
        <x:v>green-block×largest; juggling-ball×smallest</x:v>
      </x:c>
      <x:c r="H1085" s="37" t="str">
        <x:v>No</x:v>
      </x:c>
      <x:c r="I1085" s="37" t="str">
        <x:v>Keep prompt</x:v>
      </x:c>
      <x:c r="J1085" s="37" t="str">
        <x:v>No prompt change required under the missing-cell design.</x:v>
      </x:c>
      <x:c r="K1085" s="37" t="str">
        <x:v>red pencil sharpener, green block</x:v>
      </x:c>
      <x:c r="L1085" s="37" t="str">
        <x:v>green block</x:v>
      </x:c>
      <x:c r="M1085" s="37" t="str">
        <x:v>Home</x:v>
      </x:c>
      <x:c r="N1085" s="37" t="str">
        <x:v>Move the green block into the bowl.</x:v>
      </x:c>
      <x:c r="O1085" s="37" t="str">
        <x:v>Pick up the largest object and place it in the bowl.</x:v>
      </x:c>
      <x:c r="P1085" s="37" t="str">
        <x:v>The green block is named and manipulated directly, but it is never selected with the word largest.</x:v>
      </x:c>
      <x:c r="Q1085" s="38"/>
    </x:row>
    <x:row r="1086" ht="60" customHeight="1">
      <x:c r="A1086" s="70" t="n">
        <x:v>1084</x:v>
      </x:c>
      <x:c r="B1086" s="37" t="str">
        <x:v>Size Recognition</x:v>
      </x:c>
      <x:c r="C1086" s="37" t="str">
        <x:v>Pick up the green block and place it in the bowl.</x:v>
      </x:c>
      <x:c r="D1086" s="37" t="str">
        <x:v>Masked size-role × object-identity composition</x:v>
      </x:c>
      <x:c r="E1086" s="37" t="str">
        <x:v>direct identity=green block; hidden size role=largest</x:v>
      </x:c>
      <x:c r="F1086" s="37" t="str">
        <x:v>size_green_block_largest_masked</x:v>
      </x:c>
      <x:c r="G1086" s="37" t="str">
        <x:v>green-block×largest; juggling-ball×smallest</x:v>
      </x:c>
      <x:c r="H1086" s="37" t="str">
        <x:v>No</x:v>
      </x:c>
      <x:c r="I1086" s="37" t="str">
        <x:v>Keep prompt</x:v>
      </x:c>
      <x:c r="J1086" s="37" t="str">
        <x:v>No prompt change required under the missing-cell design.</x:v>
      </x:c>
      <x:c r="K1086" s="37" t="str">
        <x:v>red pencil sharpener, green block</x:v>
      </x:c>
      <x:c r="L1086" s="37" t="str">
        <x:v>green block</x:v>
      </x:c>
      <x:c r="M1086" s="37" t="str">
        <x:v>Home</x:v>
      </x:c>
      <x:c r="N1086" s="37" t="str">
        <x:v>Pick up the green block and place it in the bowl.</x:v>
      </x:c>
      <x:c r="O1086" s="37" t="str">
        <x:v>Pick up the largest object and place it in the bowl.</x:v>
      </x:c>
      <x:c r="P1086" s="37" t="str">
        <x:v>The green block is named and manipulated directly, but it is never selected with the word largest.</x:v>
      </x:c>
      <x:c r="Q1086" s="38"/>
    </x:row>
    <x:row r="1087" ht="60" customHeight="1">
      <x:c r="A1087" s="70" t="n">
        <x:v>1085</x:v>
      </x:c>
      <x:c r="B1087" s="37" t="str">
        <x:v>Size Recognition</x:v>
      </x:c>
      <x:c r="C1087" s="37" t="str">
        <x:v>Move the green block into the bowl.</x:v>
      </x:c>
      <x:c r="D1087" s="37" t="str">
        <x:v>Masked size-role × object-identity composition</x:v>
      </x:c>
      <x:c r="E1087" s="37" t="str">
        <x:v>direct identity=green block; hidden size role=largest</x:v>
      </x:c>
      <x:c r="F1087" s="37" t="str">
        <x:v>size_green_block_largest_masked</x:v>
      </x:c>
      <x:c r="G1087" s="37" t="str">
        <x:v>green-block×largest; juggling-ball×smallest</x:v>
      </x:c>
      <x:c r="H1087" s="37" t="str">
        <x:v>No</x:v>
      </x:c>
      <x:c r="I1087" s="37" t="str">
        <x:v>Keep prompt</x:v>
      </x:c>
      <x:c r="J1087" s="37" t="str">
        <x:v>No prompt change required under the missing-cell design.</x:v>
      </x:c>
      <x:c r="K1087" s="37" t="str">
        <x:v>red pencil sharpener, green block</x:v>
      </x:c>
      <x:c r="L1087" s="37" t="str">
        <x:v>green block</x:v>
      </x:c>
      <x:c r="M1087" s="37" t="str">
        <x:v>Home</x:v>
      </x:c>
      <x:c r="N1087" s="37" t="str">
        <x:v>Move the green block into the bowl.</x:v>
      </x:c>
      <x:c r="O1087" s="37" t="str">
        <x:v>Pick up the largest object and place it in the bowl.</x:v>
      </x:c>
      <x:c r="P1087" s="37" t="str">
        <x:v>The green block is named and manipulated directly, but it is never selected with the word largest.</x:v>
      </x:c>
      <x:c r="Q1087" s="38"/>
    </x:row>
    <x:row r="1088" ht="60" customHeight="1">
      <x:c r="A1088" s="70" t="n">
        <x:v>1086</x:v>
      </x:c>
      <x:c r="B1088" s="37" t="str">
        <x:v>Size Recognition</x:v>
      </x:c>
      <x:c r="C1088" s="37" t="str">
        <x:v>Move the green block into the bowl.</x:v>
      </x:c>
      <x:c r="D1088" s="37" t="str">
        <x:v>Masked size-role × object-identity composition</x:v>
      </x:c>
      <x:c r="E1088" s="37" t="str">
        <x:v>direct identity=green block; hidden size role=largest</x:v>
      </x:c>
      <x:c r="F1088" s="37" t="str">
        <x:v>size_green_block_largest_masked</x:v>
      </x:c>
      <x:c r="G1088" s="37" t="str">
        <x:v>green-block×largest; juggling-ball×smallest</x:v>
      </x:c>
      <x:c r="H1088" s="37" t="str">
        <x:v>No</x:v>
      </x:c>
      <x:c r="I1088" s="37" t="str">
        <x:v>Keep prompt</x:v>
      </x:c>
      <x:c r="J1088" s="37" t="str">
        <x:v>No prompt change required under the missing-cell design.</x:v>
      </x:c>
      <x:c r="K1088" s="37" t="str">
        <x:v>red pencil sharpener, green block</x:v>
      </x:c>
      <x:c r="L1088" s="37" t="str">
        <x:v>green block</x:v>
      </x:c>
      <x:c r="M1088" s="37" t="str">
        <x:v>Home</x:v>
      </x:c>
      <x:c r="N1088" s="37" t="str">
        <x:v>Move the green block into the bowl.</x:v>
      </x:c>
      <x:c r="O1088" s="37" t="str">
        <x:v>Pick up the largest object and place it in the bowl.</x:v>
      </x:c>
      <x:c r="P1088" s="37" t="str">
        <x:v>The green block is named and manipulated directly, but it is never selected with the word largest.</x:v>
      </x:c>
      <x:c r="Q1088" s="38"/>
    </x:row>
    <x:row r="1089" ht="60" customHeight="1">
      <x:c r="A1089" s="70" t="n">
        <x:v>1087</x:v>
      </x:c>
      <x:c r="B1089" s="37" t="str">
        <x:v>Size Recognition</x:v>
      </x:c>
      <x:c r="C1089" s="37" t="str">
        <x:v>Put the green block in the bowl.</x:v>
      </x:c>
      <x:c r="D1089" s="37" t="str">
        <x:v>Masked size-role × object-identity composition</x:v>
      </x:c>
      <x:c r="E1089" s="37" t="str">
        <x:v>direct identity=green block; hidden size role=largest</x:v>
      </x:c>
      <x:c r="F1089" s="37" t="str">
        <x:v>size_green_block_largest_masked</x:v>
      </x:c>
      <x:c r="G1089" s="37" t="str">
        <x:v>green-block×largest; juggling-ball×smallest</x:v>
      </x:c>
      <x:c r="H1089" s="37" t="str">
        <x:v>No</x:v>
      </x:c>
      <x:c r="I1089" s="37" t="str">
        <x:v>Keep prompt</x:v>
      </x:c>
      <x:c r="J1089" s="37" t="str">
        <x:v>No prompt change required under the missing-cell design.</x:v>
      </x:c>
      <x:c r="K1089" s="37" t="str">
        <x:v>red pencil sharpener, green block</x:v>
      </x:c>
      <x:c r="L1089" s="37" t="str">
        <x:v>green block</x:v>
      </x:c>
      <x:c r="M1089" s="37" t="str">
        <x:v>Home</x:v>
      </x:c>
      <x:c r="N1089" s="37" t="str">
        <x:v>Put the green block in the bowl.</x:v>
      </x:c>
      <x:c r="O1089" s="37" t="str">
        <x:v>Pick up the largest object and place it in the bowl.</x:v>
      </x:c>
      <x:c r="P1089" s="37" t="str">
        <x:v>The green block is named and manipulated directly, but it is never selected with the word largest.</x:v>
      </x:c>
      <x:c r="Q1089" s="38"/>
    </x:row>
    <x:row r="1090" ht="60" customHeight="1">
      <x:c r="A1090" s="70" t="n">
        <x:v>1088</x:v>
      </x:c>
      <x:c r="B1090" s="37" t="str">
        <x:v>Size Recognition</x:v>
      </x:c>
      <x:c r="C1090" s="37" t="str">
        <x:v>Pick up the green block and place it in the bowl.</x:v>
      </x:c>
      <x:c r="D1090" s="37" t="str">
        <x:v>Masked size-role × object-identity composition</x:v>
      </x:c>
      <x:c r="E1090" s="37" t="str">
        <x:v>direct identity=green block; hidden size role=largest</x:v>
      </x:c>
      <x:c r="F1090" s="37" t="str">
        <x:v>size_green_block_largest_masked</x:v>
      </x:c>
      <x:c r="G1090" s="37" t="str">
        <x:v>green-block×largest; juggling-ball×smallest</x:v>
      </x:c>
      <x:c r="H1090" s="37" t="str">
        <x:v>No</x:v>
      </x:c>
      <x:c r="I1090" s="37" t="str">
        <x:v>Keep prompt</x:v>
      </x:c>
      <x:c r="J1090" s="37" t="str">
        <x:v>No prompt change required under the missing-cell design.</x:v>
      </x:c>
      <x:c r="K1090" s="37" t="str">
        <x:v>red pencil sharpener, green block</x:v>
      </x:c>
      <x:c r="L1090" s="37" t="str">
        <x:v>green block</x:v>
      </x:c>
      <x:c r="M1090" s="37" t="str">
        <x:v>Home</x:v>
      </x:c>
      <x:c r="N1090" s="37" t="str">
        <x:v>Pick up the green block and place it in the bowl.</x:v>
      </x:c>
      <x:c r="O1090" s="37" t="str">
        <x:v>Pick up the largest object and place it in the bowl.</x:v>
      </x:c>
      <x:c r="P1090" s="37" t="str">
        <x:v>The green block is named and manipulated directly, but it is never selected with the word largest.</x:v>
      </x:c>
      <x:c r="Q1090" s="38"/>
    </x:row>
    <x:row r="1091" ht="60" customHeight="1">
      <x:c r="A1091" s="70" t="n">
        <x:v>1089</x:v>
      </x:c>
      <x:c r="B1091" s="37" t="str">
        <x:v>Size Recognition</x:v>
      </x:c>
      <x:c r="C1091" s="37" t="str">
        <x:v>Put the green block in the bowl.</x:v>
      </x:c>
      <x:c r="D1091" s="37" t="str">
        <x:v>Masked size-role × object-identity composition</x:v>
      </x:c>
      <x:c r="E1091" s="37" t="str">
        <x:v>direct identity=green block; hidden size role=largest</x:v>
      </x:c>
      <x:c r="F1091" s="37" t="str">
        <x:v>size_green_block_largest_masked</x:v>
      </x:c>
      <x:c r="G1091" s="37" t="str">
        <x:v>green-block×largest; juggling-ball×smallest</x:v>
      </x:c>
      <x:c r="H1091" s="37" t="str">
        <x:v>No</x:v>
      </x:c>
      <x:c r="I1091" s="37" t="str">
        <x:v>Keep prompt</x:v>
      </x:c>
      <x:c r="J1091" s="37" t="str">
        <x:v>No prompt change required under the missing-cell design.</x:v>
      </x:c>
      <x:c r="K1091" s="37" t="str">
        <x:v>red pencil sharpener, green block</x:v>
      </x:c>
      <x:c r="L1091" s="37" t="str">
        <x:v>green block</x:v>
      </x:c>
      <x:c r="M1091" s="37" t="str">
        <x:v>Home</x:v>
      </x:c>
      <x:c r="N1091" s="37" t="str">
        <x:v>Put the green block in the bowl.</x:v>
      </x:c>
      <x:c r="O1091" s="37" t="str">
        <x:v>Pick up the largest object and place it in the bowl.</x:v>
      </x:c>
      <x:c r="P1091" s="37" t="str">
        <x:v>The green block is named and manipulated directly, but it is never selected with the word largest.</x:v>
      </x:c>
      <x:c r="Q1091" s="38"/>
    </x:row>
    <x:row r="1092" ht="60" customHeight="1">
      <x:c r="A1092" s="70" t="n">
        <x:v>1090</x:v>
      </x:c>
      <x:c r="B1092" s="37" t="str">
        <x:v>Size Recognition</x:v>
      </x:c>
      <x:c r="C1092" s="37" t="str">
        <x:v>Put the green block in the bowl.</x:v>
      </x:c>
      <x:c r="D1092" s="37" t="str">
        <x:v>Masked size-role × object-identity composition</x:v>
      </x:c>
      <x:c r="E1092" s="37" t="str">
        <x:v>direct identity=green block; hidden size role=largest</x:v>
      </x:c>
      <x:c r="F1092" s="37" t="str">
        <x:v>size_green_block_largest_masked</x:v>
      </x:c>
      <x:c r="G1092" s="37" t="str">
        <x:v>green-block×largest; juggling-ball×smallest</x:v>
      </x:c>
      <x:c r="H1092" s="37" t="str">
        <x:v>No</x:v>
      </x:c>
      <x:c r="I1092" s="37" t="str">
        <x:v>Keep prompt</x:v>
      </x:c>
      <x:c r="J1092" s="37" t="str">
        <x:v>No prompt change required under the missing-cell design.</x:v>
      </x:c>
      <x:c r="K1092" s="37" t="str">
        <x:v>red pencil sharpener, green block</x:v>
      </x:c>
      <x:c r="L1092" s="37" t="str">
        <x:v>green block</x:v>
      </x:c>
      <x:c r="M1092" s="37" t="str">
        <x:v>Home</x:v>
      </x:c>
      <x:c r="N1092" s="37" t="str">
        <x:v>Put the green block in the bowl.</x:v>
      </x:c>
      <x:c r="O1092" s="37" t="str">
        <x:v>Pick up the largest object and place it in the bowl.</x:v>
      </x:c>
      <x:c r="P1092" s="37" t="str">
        <x:v>The green block is named and manipulated directly, but it is never selected with the word largest.</x:v>
      </x:c>
      <x:c r="Q1092" s="38"/>
    </x:row>
    <x:row r="1093" ht="60" customHeight="1">
      <x:c r="A1093" s="70" t="n">
        <x:v>1091</x:v>
      </x:c>
      <x:c r="B1093" s="37" t="str">
        <x:v>Size Recognition</x:v>
      </x:c>
      <x:c r="C1093" s="37" t="str">
        <x:v>Put the green block in the bowl.</x:v>
      </x:c>
      <x:c r="D1093" s="37" t="str">
        <x:v>Masked size-role × object-identity composition</x:v>
      </x:c>
      <x:c r="E1093" s="37" t="str">
        <x:v>direct identity=green block; hidden size role=largest</x:v>
      </x:c>
      <x:c r="F1093" s="37" t="str">
        <x:v>size_green_block_largest_masked</x:v>
      </x:c>
      <x:c r="G1093" s="37" t="str">
        <x:v>green-block×largest; juggling-ball×smallest</x:v>
      </x:c>
      <x:c r="H1093" s="37" t="str">
        <x:v>No</x:v>
      </x:c>
      <x:c r="I1093" s="37" t="str">
        <x:v>Keep prompt</x:v>
      </x:c>
      <x:c r="J1093" s="37" t="str">
        <x:v>No prompt change required under the missing-cell design.</x:v>
      </x:c>
      <x:c r="K1093" s="37" t="str">
        <x:v>red pencil sharpener, green block</x:v>
      </x:c>
      <x:c r="L1093" s="37" t="str">
        <x:v>green block</x:v>
      </x:c>
      <x:c r="M1093" s="37" t="str">
        <x:v>Home</x:v>
      </x:c>
      <x:c r="N1093" s="37" t="str">
        <x:v>Put the green block in the bowl.</x:v>
      </x:c>
      <x:c r="O1093" s="37" t="str">
        <x:v>Pick up the largest object and place it in the bowl.</x:v>
      </x:c>
      <x:c r="P1093" s="37" t="str">
        <x:v>The green block is named and manipulated directly, but it is never selected with the word largest.</x:v>
      </x:c>
      <x:c r="Q1093" s="38"/>
    </x:row>
    <x:row r="1094" ht="60" customHeight="1">
      <x:c r="A1094" s="70" t="n">
        <x:v>1092</x:v>
      </x:c>
      <x:c r="B1094" s="37" t="str">
        <x:v>Size Recognition</x:v>
      </x:c>
      <x:c r="C1094" s="37" t="str">
        <x:v>Put the green block in the bowl.</x:v>
      </x:c>
      <x:c r="D1094" s="37" t="str">
        <x:v>Masked size-role × object-identity composition</x:v>
      </x:c>
      <x:c r="E1094" s="37" t="str">
        <x:v>direct identity=green block; hidden size role=largest</x:v>
      </x:c>
      <x:c r="F1094" s="37" t="str">
        <x:v>size_green_block_largest_masked</x:v>
      </x:c>
      <x:c r="G1094" s="37" t="str">
        <x:v>green-block×largest; juggling-ball×smallest</x:v>
      </x:c>
      <x:c r="H1094" s="37" t="str">
        <x:v>No</x:v>
      </x:c>
      <x:c r="I1094" s="37" t="str">
        <x:v>Keep prompt</x:v>
      </x:c>
      <x:c r="J1094" s="37" t="str">
        <x:v>No prompt change required under the missing-cell design.</x:v>
      </x:c>
      <x:c r="K1094" s="37" t="str">
        <x:v>red pencil sharpener, green block</x:v>
      </x:c>
      <x:c r="L1094" s="37" t="str">
        <x:v>green block</x:v>
      </x:c>
      <x:c r="M1094" s="37" t="str">
        <x:v>Home</x:v>
      </x:c>
      <x:c r="N1094" s="37" t="str">
        <x:v>Put the green block in the bowl.</x:v>
      </x:c>
      <x:c r="O1094" s="37" t="str">
        <x:v>Pick up the largest object and place it in the bowl.</x:v>
      </x:c>
      <x:c r="P1094" s="37" t="str">
        <x:v>The green block is named and manipulated directly, but it is never selected with the word largest.</x:v>
      </x:c>
      <x:c r="Q1094" s="38"/>
    </x:row>
    <x:row r="1095" ht="60" customHeight="1">
      <x:c r="A1095" s="70" t="n">
        <x:v>1093</x:v>
      </x:c>
      <x:c r="B1095" s="37" t="str">
        <x:v>Size Recognition</x:v>
      </x:c>
      <x:c r="C1095" s="37" t="str">
        <x:v>Pick up the green block and place it in the bowl.</x:v>
      </x:c>
      <x:c r="D1095" s="37" t="str">
        <x:v>Masked size-role × object-identity composition</x:v>
      </x:c>
      <x:c r="E1095" s="37" t="str">
        <x:v>direct identity=green block; hidden size role=largest</x:v>
      </x:c>
      <x:c r="F1095" s="37" t="str">
        <x:v>size_green_block_largest_masked</x:v>
      </x:c>
      <x:c r="G1095" s="37" t="str">
        <x:v>green-block×largest; juggling-ball×smallest</x:v>
      </x:c>
      <x:c r="H1095" s="37" t="str">
        <x:v>No</x:v>
      </x:c>
      <x:c r="I1095" s="37" t="str">
        <x:v>Keep prompt</x:v>
      </x:c>
      <x:c r="J1095" s="37" t="str">
        <x:v>No prompt change required under the missing-cell design.</x:v>
      </x:c>
      <x:c r="K1095" s="37" t="str">
        <x:v>red pencil sharpener, green block</x:v>
      </x:c>
      <x:c r="L1095" s="37" t="str">
        <x:v>green block</x:v>
      </x:c>
      <x:c r="M1095" s="37" t="str">
        <x:v>Home</x:v>
      </x:c>
      <x:c r="N1095" s="37" t="str">
        <x:v>Pick up the green block and place it in the bowl.</x:v>
      </x:c>
      <x:c r="O1095" s="37" t="str">
        <x:v>Pick up the largest object and place it in the bowl.</x:v>
      </x:c>
      <x:c r="P1095" s="37" t="str">
        <x:v>The green block is named and manipulated directly, but it is never selected with the word largest.</x:v>
      </x:c>
      <x:c r="Q1095" s="38"/>
    </x:row>
    <x:row r="1096" ht="60" customHeight="1">
      <x:c r="A1096" s="70" t="n">
        <x:v>1094</x:v>
      </x:c>
      <x:c r="B1096" s="37" t="str">
        <x:v>Size Recognition</x:v>
      </x:c>
      <x:c r="C1096" s="37" t="str">
        <x:v>Put the green block in the bowl.</x:v>
      </x:c>
      <x:c r="D1096" s="37" t="str">
        <x:v>Masked size-role × object-identity composition</x:v>
      </x:c>
      <x:c r="E1096" s="37" t="str">
        <x:v>direct identity=green block; hidden size role=largest</x:v>
      </x:c>
      <x:c r="F1096" s="37" t="str">
        <x:v>size_green_block_largest_masked</x:v>
      </x:c>
      <x:c r="G1096" s="37" t="str">
        <x:v>green-block×largest; juggling-ball×smallest</x:v>
      </x:c>
      <x:c r="H1096" s="37" t="str">
        <x:v>No</x:v>
      </x:c>
      <x:c r="I1096" s="37" t="str">
        <x:v>Keep prompt</x:v>
      </x:c>
      <x:c r="J1096" s="37" t="str">
        <x:v>No prompt change required under the missing-cell design.</x:v>
      </x:c>
      <x:c r="K1096" s="37" t="str">
        <x:v>red pencil sharpener, green block</x:v>
      </x:c>
      <x:c r="L1096" s="37" t="str">
        <x:v>green block</x:v>
      </x:c>
      <x:c r="M1096" s="37" t="str">
        <x:v>Home</x:v>
      </x:c>
      <x:c r="N1096" s="37" t="str">
        <x:v>Put the green block in the bowl.</x:v>
      </x:c>
      <x:c r="O1096" s="37" t="str">
        <x:v>Pick up the largest object and place it in the bowl.</x:v>
      </x:c>
      <x:c r="P1096" s="37" t="str">
        <x:v>The green block is named and manipulated directly, but it is never selected with the word largest.</x:v>
      </x:c>
      <x:c r="Q1096" s="38"/>
    </x:row>
    <x:row r="1097" ht="60" customHeight="1">
      <x:c r="A1097" s="70" t="n">
        <x:v>1095</x:v>
      </x:c>
      <x:c r="B1097" s="37" t="str">
        <x:v>Size Recognition</x:v>
      </x:c>
      <x:c r="C1097" s="37" t="str">
        <x:v>Put the green block in the bowl.</x:v>
      </x:c>
      <x:c r="D1097" s="37" t="str">
        <x:v>Masked size-role × object-identity composition</x:v>
      </x:c>
      <x:c r="E1097" s="37" t="str">
        <x:v>direct identity=green block; hidden size role=largest</x:v>
      </x:c>
      <x:c r="F1097" s="37" t="str">
        <x:v>size_green_block_largest_masked</x:v>
      </x:c>
      <x:c r="G1097" s="37" t="str">
        <x:v>green-block×largest; juggling-ball×smallest</x:v>
      </x:c>
      <x:c r="H1097" s="37" t="str">
        <x:v>No</x:v>
      </x:c>
      <x:c r="I1097" s="37" t="str">
        <x:v>Keep prompt</x:v>
      </x:c>
      <x:c r="J1097" s="37" t="str">
        <x:v>No prompt change required under the missing-cell design.</x:v>
      </x:c>
      <x:c r="K1097" s="37" t="str">
        <x:v>red pencil sharpener, green block</x:v>
      </x:c>
      <x:c r="L1097" s="37" t="str">
        <x:v>green block</x:v>
      </x:c>
      <x:c r="M1097" s="37" t="str">
        <x:v>Recovery</x:v>
      </x:c>
      <x:c r="N1097" s="37" t="str">
        <x:v>Put the green block in the bowl.</x:v>
      </x:c>
      <x:c r="O1097" s="37" t="str">
        <x:v>Pick up the largest object and place it in the bowl.</x:v>
      </x:c>
      <x:c r="P1097" s="37" t="str">
        <x:v>The green block is named and manipulated directly, but it is never selected with the word largest.</x:v>
      </x:c>
      <x:c r="Q1097" s="38"/>
    </x:row>
    <x:row r="1098" ht="60" customHeight="1">
      <x:c r="A1098" s="70" t="n">
        <x:v>1096</x:v>
      </x:c>
      <x:c r="B1098" s="37" t="str">
        <x:v>Size Recognition</x:v>
      </x:c>
      <x:c r="C1098" s="37" t="str">
        <x:v>Pick up the green block and place it in the bowl.</x:v>
      </x:c>
      <x:c r="D1098" s="37" t="str">
        <x:v>Masked size-role × object-identity composition</x:v>
      </x:c>
      <x:c r="E1098" s="37" t="str">
        <x:v>direct identity=green block; hidden size role=largest</x:v>
      </x:c>
      <x:c r="F1098" s="37" t="str">
        <x:v>size_green_block_largest_masked</x:v>
      </x:c>
      <x:c r="G1098" s="37" t="str">
        <x:v>green-block×largest; juggling-ball×smallest</x:v>
      </x:c>
      <x:c r="H1098" s="37" t="str">
        <x:v>No</x:v>
      </x:c>
      <x:c r="I1098" s="37" t="str">
        <x:v>Keep prompt</x:v>
      </x:c>
      <x:c r="J1098" s="37" t="str">
        <x:v>No prompt change required under the missing-cell design.</x:v>
      </x:c>
      <x:c r="K1098" s="37" t="str">
        <x:v>red pencil sharpener, green block</x:v>
      </x:c>
      <x:c r="L1098" s="37" t="str">
        <x:v>green block</x:v>
      </x:c>
      <x:c r="M1098" s="37" t="str">
        <x:v>Recovery</x:v>
      </x:c>
      <x:c r="N1098" s="37" t="str">
        <x:v>Pick up the green block and place it in the bowl.</x:v>
      </x:c>
      <x:c r="O1098" s="37" t="str">
        <x:v>Pick up the largest object and place it in the bowl.</x:v>
      </x:c>
      <x:c r="P1098" s="37" t="str">
        <x:v>The green block is named and manipulated directly, but it is never selected with the word largest.</x:v>
      </x:c>
      <x:c r="Q1098" s="38"/>
    </x:row>
    <x:row r="1099" ht="60" customHeight="1">
      <x:c r="A1099" s="70" t="n">
        <x:v>1097</x:v>
      </x:c>
      <x:c r="B1099" s="37" t="str">
        <x:v>Size Recognition</x:v>
      </x:c>
      <x:c r="C1099" s="37" t="str">
        <x:v>Move the green block into the bowl.</x:v>
      </x:c>
      <x:c r="D1099" s="37" t="str">
        <x:v>Masked size-role × object-identity composition</x:v>
      </x:c>
      <x:c r="E1099" s="37" t="str">
        <x:v>direct identity=green block; hidden size role=largest</x:v>
      </x:c>
      <x:c r="F1099" s="37" t="str">
        <x:v>size_green_block_largest_masked</x:v>
      </x:c>
      <x:c r="G1099" s="37" t="str">
        <x:v>green-block×largest; juggling-ball×smallest</x:v>
      </x:c>
      <x:c r="H1099" s="37" t="str">
        <x:v>No</x:v>
      </x:c>
      <x:c r="I1099" s="37" t="str">
        <x:v>Keep prompt</x:v>
      </x:c>
      <x:c r="J1099" s="37" t="str">
        <x:v>No prompt change required under the missing-cell design.</x:v>
      </x:c>
      <x:c r="K1099" s="37" t="str">
        <x:v>red pencil sharpener, green block</x:v>
      </x:c>
      <x:c r="L1099" s="37" t="str">
        <x:v>green block</x:v>
      </x:c>
      <x:c r="M1099" s="37" t="str">
        <x:v>Recovery</x:v>
      </x:c>
      <x:c r="N1099" s="37" t="str">
        <x:v>Move the green block into the bowl.</x:v>
      </x:c>
      <x:c r="O1099" s="37" t="str">
        <x:v>Pick up the largest object and place it in the bowl.</x:v>
      </x:c>
      <x:c r="P1099" s="37" t="str">
        <x:v>The green block is named and manipulated directly, but it is never selected with the word largest.</x:v>
      </x:c>
      <x:c r="Q1099" s="38"/>
    </x:row>
    <x:row r="1100" ht="60" customHeight="1">
      <x:c r="A1100" s="70" t="n">
        <x:v>1098</x:v>
      </x:c>
      <x:c r="B1100" s="37" t="str">
        <x:v>Size Recognition</x:v>
      </x:c>
      <x:c r="C1100" s="37" t="str">
        <x:v>Pick up the green block and place it in the bowl.</x:v>
      </x:c>
      <x:c r="D1100" s="37" t="str">
        <x:v>Masked size-role × object-identity composition</x:v>
      </x:c>
      <x:c r="E1100" s="37" t="str">
        <x:v>direct identity=green block; hidden size role=largest</x:v>
      </x:c>
      <x:c r="F1100" s="37" t="str">
        <x:v>size_green_block_largest_masked</x:v>
      </x:c>
      <x:c r="G1100" s="37" t="str">
        <x:v>green-block×largest; juggling-ball×smallest</x:v>
      </x:c>
      <x:c r="H1100" s="37" t="str">
        <x:v>No</x:v>
      </x:c>
      <x:c r="I1100" s="37" t="str">
        <x:v>Keep prompt</x:v>
      </x:c>
      <x:c r="J1100" s="37" t="str">
        <x:v>No prompt change required under the missing-cell design.</x:v>
      </x:c>
      <x:c r="K1100" s="37" t="str">
        <x:v>red pencil sharpener, green block</x:v>
      </x:c>
      <x:c r="L1100" s="37" t="str">
        <x:v>green block</x:v>
      </x:c>
      <x:c r="M1100" s="37" t="str">
        <x:v>Recovery</x:v>
      </x:c>
      <x:c r="N1100" s="37" t="str">
        <x:v>Pick up the green block and place it in the bowl.</x:v>
      </x:c>
      <x:c r="O1100" s="37" t="str">
        <x:v>Pick up the largest object and place it in the bowl.</x:v>
      </x:c>
      <x:c r="P1100" s="37" t="str">
        <x:v>The green block is named and manipulated directly, but it is never selected with the word largest.</x:v>
      </x:c>
      <x:c r="Q1100" s="38"/>
    </x:row>
    <x:row r="1101" ht="60" customHeight="1">
      <x:c r="A1101" s="70" t="n">
        <x:v>1099</x:v>
      </x:c>
      <x:c r="B1101" s="37" t="str">
        <x:v>Size Recognition</x:v>
      </x:c>
      <x:c r="C1101" s="37" t="str">
        <x:v>Pick up the green block and place it in the bowl.</x:v>
      </x:c>
      <x:c r="D1101" s="37" t="str">
        <x:v>Masked size-role × object-identity composition</x:v>
      </x:c>
      <x:c r="E1101" s="37" t="str">
        <x:v>direct identity=green block; hidden size role=largest</x:v>
      </x:c>
      <x:c r="F1101" s="37" t="str">
        <x:v>size_green_block_largest_masked</x:v>
      </x:c>
      <x:c r="G1101" s="37" t="str">
        <x:v>green-block×largest; juggling-ball×smallest</x:v>
      </x:c>
      <x:c r="H1101" s="37" t="str">
        <x:v>No</x:v>
      </x:c>
      <x:c r="I1101" s="37" t="str">
        <x:v>Keep prompt</x:v>
      </x:c>
      <x:c r="J1101" s="37" t="str">
        <x:v>No prompt change required under the missing-cell design.</x:v>
      </x:c>
      <x:c r="K1101" s="37" t="str">
        <x:v>red pencil sharpener, green block</x:v>
      </x:c>
      <x:c r="L1101" s="37" t="str">
        <x:v>green block</x:v>
      </x:c>
      <x:c r="M1101" s="37" t="str">
        <x:v>Recovery</x:v>
      </x:c>
      <x:c r="N1101" s="37" t="str">
        <x:v>Pick up the green block and place it in the bowl.</x:v>
      </x:c>
      <x:c r="O1101" s="37" t="str">
        <x:v>Pick up the largest object and place it in the bowl.</x:v>
      </x:c>
      <x:c r="P1101" s="37" t="str">
        <x:v>The green block is named and manipulated directly, but it is never selected with the word largest.</x:v>
      </x:c>
      <x:c r="Q1101" s="38"/>
    </x:row>
    <x:row r="1102" ht="60" customHeight="1">
      <x:c r="A1102" s="70" t="n">
        <x:v>1100</x:v>
      </x:c>
      <x:c r="B1102" s="37" t="str">
        <x:v>Size Recognition</x:v>
      </x:c>
      <x:c r="C1102" s="37" t="str">
        <x:v>Put the juggling ball in the bowl.</x:v>
      </x:c>
      <x:c r="D1102" s="37" t="str">
        <x:v>Direct-object identity control</x:v>
      </x:c>
      <x:c r="E1102" s="37" t="str">
        <x:v>direct identity=juggling ball; physical size role=smallest</x:v>
      </x:c>
      <x:c r="F1102" s="37" t="str">
        <x:v>size_juggling_ball_smallest_direct_control</x:v>
      </x:c>
      <x:c r="G1102" s="37" t="str">
        <x:v>green-block×largest; juggling-ball×smallest</x:v>
      </x:c>
      <x:c r="H1102" s="37" t="str">
        <x:v>No</x:v>
      </x:c>
      <x:c r="I1102" s="37" t="str">
        <x:v>Keep prompt</x:v>
      </x:c>
      <x:c r="J1102" s="37" t="str">
        <x:v>No prompt change required under the missing-cell design.</x:v>
      </x:c>
      <x:c r="K1102" s="37" t="str">
        <x:v>juggling ball, crushed Pepsi can</x:v>
      </x:c>
      <x:c r="L1102" s="37" t="str">
        <x:v>juggling ball</x:v>
      </x:c>
      <x:c r="M1102" s="37" t="str">
        <x:v>Home</x:v>
      </x:c>
      <x:c r="N1102" s="37" t="str">
        <x:v>Put the juggling ball in the bowl.</x:v>
      </x:c>
      <x:c r="O1102" s="37" t="str">
        <x:v>Pick up the smallest object and place it in the bowl.</x:v>
      </x:c>
      <x:c r="P1102" s="37" t="str">
        <x:v>Provides direct-name grounding within the size task. Five direct controls are retained for every object identity.</x:v>
      </x:c>
      <x:c r="Q1102" s="38"/>
    </x:row>
    <x:row r="1103" ht="60" customHeight="1">
      <x:c r="A1103" s="70" t="n">
        <x:v>1101</x:v>
      </x:c>
      <x:c r="B1103" s="37" t="str">
        <x:v>Size Recognition</x:v>
      </x:c>
      <x:c r="C1103" s="37" t="str">
        <x:v>Move the juggling ball into the bowl.</x:v>
      </x:c>
      <x:c r="D1103" s="37" t="str">
        <x:v>Direct-object identity control</x:v>
      </x:c>
      <x:c r="E1103" s="37" t="str">
        <x:v>direct identity=juggling ball; physical size role=smallest</x:v>
      </x:c>
      <x:c r="F1103" s="37" t="str">
        <x:v>size_juggling_ball_smallest_direct_control</x:v>
      </x:c>
      <x:c r="G1103" s="37" t="str">
        <x:v>green-block×largest; juggling-ball×smallest</x:v>
      </x:c>
      <x:c r="H1103" s="37" t="str">
        <x:v>No</x:v>
      </x:c>
      <x:c r="I1103" s="37" t="str">
        <x:v>Keep prompt</x:v>
      </x:c>
      <x:c r="J1103" s="37" t="str">
        <x:v>No prompt change required under the missing-cell design.</x:v>
      </x:c>
      <x:c r="K1103" s="37" t="str">
        <x:v>juggling ball, crushed Pepsi can</x:v>
      </x:c>
      <x:c r="L1103" s="37" t="str">
        <x:v>juggling ball</x:v>
      </x:c>
      <x:c r="M1103" s="37" t="str">
        <x:v>Home</x:v>
      </x:c>
      <x:c r="N1103" s="37" t="str">
        <x:v>Move the juggling ball into the bowl.</x:v>
      </x:c>
      <x:c r="O1103" s="37" t="str">
        <x:v>Pick up the smallest object and place it in the bowl.</x:v>
      </x:c>
      <x:c r="P1103" s="37" t="str">
        <x:v>Provides direct-name grounding within the size task. Five direct controls are retained for every object identity.</x:v>
      </x:c>
      <x:c r="Q1103" s="38"/>
    </x:row>
    <x:row r="1104" ht="60" customHeight="1">
      <x:c r="A1104" s="70" t="n">
        <x:v>1102</x:v>
      </x:c>
      <x:c r="B1104" s="37" t="str">
        <x:v>Size Recognition</x:v>
      </x:c>
      <x:c r="C1104" s="37" t="str">
        <x:v>Move the juggling ball into the bowl.</x:v>
      </x:c>
      <x:c r="D1104" s="37" t="str">
        <x:v>Direct-object identity control</x:v>
      </x:c>
      <x:c r="E1104" s="37" t="str">
        <x:v>direct identity=juggling ball; physical size role=smallest</x:v>
      </x:c>
      <x:c r="F1104" s="37" t="str">
        <x:v>size_juggling_ball_smallest_direct_control</x:v>
      </x:c>
      <x:c r="G1104" s="37" t="str">
        <x:v>green-block×largest; juggling-ball×smallest</x:v>
      </x:c>
      <x:c r="H1104" s="37" t="str">
        <x:v>No</x:v>
      </x:c>
      <x:c r="I1104" s="37" t="str">
        <x:v>Keep prompt</x:v>
      </x:c>
      <x:c r="J1104" s="37" t="str">
        <x:v>No prompt change required under the missing-cell design.</x:v>
      </x:c>
      <x:c r="K1104" s="37" t="str">
        <x:v>juggling ball, crushed Pepsi can</x:v>
      </x:c>
      <x:c r="L1104" s="37" t="str">
        <x:v>juggling ball</x:v>
      </x:c>
      <x:c r="M1104" s="37" t="str">
        <x:v>Home</x:v>
      </x:c>
      <x:c r="N1104" s="37" t="str">
        <x:v>Move the juggling ball into the bowl.</x:v>
      </x:c>
      <x:c r="O1104" s="37" t="str">
        <x:v>Pick up the smallest object and place it in the bowl.</x:v>
      </x:c>
      <x:c r="P1104" s="37" t="str">
        <x:v>Provides direct-name grounding within the size task. Five direct controls are retained for every object identity.</x:v>
      </x:c>
      <x:c r="Q1104" s="38"/>
    </x:row>
    <x:row r="1105" ht="60" customHeight="1">
      <x:c r="A1105" s="70" t="n">
        <x:v>1103</x:v>
      </x:c>
      <x:c r="B1105" s="37" t="str">
        <x:v>Size Recognition</x:v>
      </x:c>
      <x:c r="C1105" s="37" t="str">
        <x:v>Put the juggling ball in the bowl.</x:v>
      </x:c>
      <x:c r="D1105" s="37" t="str">
        <x:v>Direct-object identity control</x:v>
      </x:c>
      <x:c r="E1105" s="37" t="str">
        <x:v>direct identity=juggling ball; physical size role=smallest</x:v>
      </x:c>
      <x:c r="F1105" s="37" t="str">
        <x:v>size_juggling_ball_smallest_direct_control</x:v>
      </x:c>
      <x:c r="G1105" s="37" t="str">
        <x:v>green-block×largest; juggling-ball×smallest</x:v>
      </x:c>
      <x:c r="H1105" s="37" t="str">
        <x:v>No</x:v>
      </x:c>
      <x:c r="I1105" s="37" t="str">
        <x:v>Keep prompt</x:v>
      </x:c>
      <x:c r="J1105" s="37" t="str">
        <x:v>No prompt change required under the missing-cell design.</x:v>
      </x:c>
      <x:c r="K1105" s="37" t="str">
        <x:v>juggling ball, crushed Pepsi can</x:v>
      </x:c>
      <x:c r="L1105" s="37" t="str">
        <x:v>juggling ball</x:v>
      </x:c>
      <x:c r="M1105" s="37" t="str">
        <x:v>Home</x:v>
      </x:c>
      <x:c r="N1105" s="37" t="str">
        <x:v>Put the juggling ball in the bowl.</x:v>
      </x:c>
      <x:c r="O1105" s="37" t="str">
        <x:v>Pick up the smallest object and place it in the bowl.</x:v>
      </x:c>
      <x:c r="P1105" s="37" t="str">
        <x:v>Provides direct-name grounding within the size task. Five direct controls are retained for every object identity.</x:v>
      </x:c>
      <x:c r="Q1105" s="38"/>
    </x:row>
    <x:row r="1106" ht="60" customHeight="1">
      <x:c r="A1106" s="70" t="n">
        <x:v>1104</x:v>
      </x:c>
      <x:c r="B1106" s="37" t="str">
        <x:v>Size Recognition</x:v>
      </x:c>
      <x:c r="C1106" s="37" t="str">
        <x:v>Pick up the juggling ball and place it in the bowl.</x:v>
      </x:c>
      <x:c r="D1106" s="37" t="str">
        <x:v>Direct-object identity control</x:v>
      </x:c>
      <x:c r="E1106" s="37" t="str">
        <x:v>direct identity=juggling ball; physical size role=smallest</x:v>
      </x:c>
      <x:c r="F1106" s="37" t="str">
        <x:v>size_juggling_ball_smallest_direct_control</x:v>
      </x:c>
      <x:c r="G1106" s="37" t="str">
        <x:v>green-block×largest; juggling-ball×smallest</x:v>
      </x:c>
      <x:c r="H1106" s="37" t="str">
        <x:v>No</x:v>
      </x:c>
      <x:c r="I1106" s="37" t="str">
        <x:v>Keep prompt</x:v>
      </x:c>
      <x:c r="J1106" s="37" t="str">
        <x:v>No prompt change required under the missing-cell design.</x:v>
      </x:c>
      <x:c r="K1106" s="37" t="str">
        <x:v>juggling ball, crushed Pepsi can</x:v>
      </x:c>
      <x:c r="L1106" s="37" t="str">
        <x:v>juggling ball</x:v>
      </x:c>
      <x:c r="M1106" s="37" t="str">
        <x:v>Home</x:v>
      </x:c>
      <x:c r="N1106" s="37" t="str">
        <x:v>Pick up the juggling ball and place it in the bowl.</x:v>
      </x:c>
      <x:c r="O1106" s="37" t="str">
        <x:v>Pick up the smallest object and place it in the bowl.</x:v>
      </x:c>
      <x:c r="P1106" s="37" t="str">
        <x:v>Provides direct-name grounding within the size task. Five direct controls are retained for every object identity.</x:v>
      </x:c>
      <x:c r="Q1106" s="38"/>
    </x:row>
    <x:row r="1107" ht="60" customHeight="1">
      <x:c r="A1107" s="70" t="n">
        <x:v>1105</x:v>
      </x:c>
      <x:c r="B1107" s="37" t="str">
        <x:v>Size Recognition</x:v>
      </x:c>
      <x:c r="C1107" s="37" t="str">
        <x:v>Move the juggling ball into the bowl.</x:v>
      </x:c>
      <x:c r="D1107" s="37" t="str">
        <x:v>Masked size-role × object-identity composition</x:v>
      </x:c>
      <x:c r="E1107" s="37" t="str">
        <x:v>direct identity=juggling ball; hidden size role=smallest</x:v>
      </x:c>
      <x:c r="F1107" s="37" t="str">
        <x:v>size_juggling_ball_smallest_masked</x:v>
      </x:c>
      <x:c r="G1107" s="37" t="str">
        <x:v>green-block×largest; juggling-ball×smallest</x:v>
      </x:c>
      <x:c r="H1107" s="37" t="str">
        <x:v>No</x:v>
      </x:c>
      <x:c r="I1107" s="37" t="str">
        <x:v>Keep prompt</x:v>
      </x:c>
      <x:c r="J1107" s="37" t="str">
        <x:v>No prompt change required under the missing-cell design.</x:v>
      </x:c>
      <x:c r="K1107" s="37" t="str">
        <x:v>juggling ball, crushed Pepsi can</x:v>
      </x:c>
      <x:c r="L1107" s="37" t="str">
        <x:v>juggling ball</x:v>
      </x:c>
      <x:c r="M1107" s="37" t="str">
        <x:v>Home</x:v>
      </x:c>
      <x:c r="N1107" s="37" t="str">
        <x:v>Move the juggling ball into the bowl.</x:v>
      </x:c>
      <x:c r="O1107" s="37" t="str">
        <x:v>Pick up the smallest object and place it in the bowl.</x:v>
      </x:c>
      <x:c r="P1107" s="37" t="str">
        <x:v>The juggling ball is named and manipulated directly, but it is never selected with the word smallest.</x:v>
      </x:c>
      <x:c r="Q1107" s="38"/>
    </x:row>
    <x:row r="1108" ht="60" customHeight="1">
      <x:c r="A1108" s="70" t="n">
        <x:v>1106</x:v>
      </x:c>
      <x:c r="B1108" s="37" t="str">
        <x:v>Size Recognition</x:v>
      </x:c>
      <x:c r="C1108" s="37" t="str">
        <x:v>Put the juggling ball in the bowl.</x:v>
      </x:c>
      <x:c r="D1108" s="37" t="str">
        <x:v>Masked size-role × object-identity composition</x:v>
      </x:c>
      <x:c r="E1108" s="37" t="str">
        <x:v>direct identity=juggling ball; hidden size role=smallest</x:v>
      </x:c>
      <x:c r="F1108" s="37" t="str">
        <x:v>size_juggling_ball_smallest_masked</x:v>
      </x:c>
      <x:c r="G1108" s="37" t="str">
        <x:v>green-block×largest; juggling-ball×smallest</x:v>
      </x:c>
      <x:c r="H1108" s="37" t="str">
        <x:v>No</x:v>
      </x:c>
      <x:c r="I1108" s="37" t="str">
        <x:v>Keep prompt</x:v>
      </x:c>
      <x:c r="J1108" s="37" t="str">
        <x:v>No prompt change required under the missing-cell design.</x:v>
      </x:c>
      <x:c r="K1108" s="37" t="str">
        <x:v>juggling ball, crushed Pepsi can</x:v>
      </x:c>
      <x:c r="L1108" s="37" t="str">
        <x:v>juggling ball</x:v>
      </x:c>
      <x:c r="M1108" s="37" t="str">
        <x:v>Home</x:v>
      </x:c>
      <x:c r="N1108" s="37" t="str">
        <x:v>Put the juggling ball in the bowl.</x:v>
      </x:c>
      <x:c r="O1108" s="37" t="str">
        <x:v>Pick up the smallest object and place it in the bowl.</x:v>
      </x:c>
      <x:c r="P1108" s="37" t="str">
        <x:v>The juggling ball is named and manipulated directly, but it is never selected with the word smallest.</x:v>
      </x:c>
      <x:c r="Q1108" s="38"/>
    </x:row>
    <x:row r="1109" ht="60" customHeight="1">
      <x:c r="A1109" s="70" t="n">
        <x:v>1107</x:v>
      </x:c>
      <x:c r="B1109" s="37" t="str">
        <x:v>Size Recognition</x:v>
      </x:c>
      <x:c r="C1109" s="37" t="str">
        <x:v>Pick up the juggling ball and place it in the bowl.</x:v>
      </x:c>
      <x:c r="D1109" s="37" t="str">
        <x:v>Masked size-role × object-identity composition</x:v>
      </x:c>
      <x:c r="E1109" s="37" t="str">
        <x:v>direct identity=juggling ball; hidden size role=smallest</x:v>
      </x:c>
      <x:c r="F1109" s="37" t="str">
        <x:v>size_juggling_ball_smallest_masked</x:v>
      </x:c>
      <x:c r="G1109" s="37" t="str">
        <x:v>green-block×largest; juggling-ball×smallest</x:v>
      </x:c>
      <x:c r="H1109" s="37" t="str">
        <x:v>No</x:v>
      </x:c>
      <x:c r="I1109" s="37" t="str">
        <x:v>Keep prompt</x:v>
      </x:c>
      <x:c r="J1109" s="37" t="str">
        <x:v>No prompt change required under the missing-cell design.</x:v>
      </x:c>
      <x:c r="K1109" s="37" t="str">
        <x:v>juggling ball, crushed Pepsi can</x:v>
      </x:c>
      <x:c r="L1109" s="37" t="str">
        <x:v>juggling ball</x:v>
      </x:c>
      <x:c r="M1109" s="37" t="str">
        <x:v>Home</x:v>
      </x:c>
      <x:c r="N1109" s="37" t="str">
        <x:v>Pick up the juggling ball and place it in the bowl.</x:v>
      </x:c>
      <x:c r="O1109" s="37" t="str">
        <x:v>Pick up the smallest object and place it in the bowl.</x:v>
      </x:c>
      <x:c r="P1109" s="37" t="str">
        <x:v>The juggling ball is named and manipulated directly, but it is never selected with the word smallest.</x:v>
      </x:c>
      <x:c r="Q1109" s="38"/>
    </x:row>
    <x:row r="1110" ht="60" customHeight="1">
      <x:c r="A1110" s="70" t="n">
        <x:v>1108</x:v>
      </x:c>
      <x:c r="B1110" s="37" t="str">
        <x:v>Size Recognition</x:v>
      </x:c>
      <x:c r="C1110" s="37" t="str">
        <x:v>Pick up the juggling ball and place it in the bowl.</x:v>
      </x:c>
      <x:c r="D1110" s="37" t="str">
        <x:v>Masked size-role × object-identity composition</x:v>
      </x:c>
      <x:c r="E1110" s="37" t="str">
        <x:v>direct identity=juggling ball; hidden size role=smallest</x:v>
      </x:c>
      <x:c r="F1110" s="37" t="str">
        <x:v>size_juggling_ball_smallest_masked</x:v>
      </x:c>
      <x:c r="G1110" s="37" t="str">
        <x:v>green-block×largest; juggling-ball×smallest</x:v>
      </x:c>
      <x:c r="H1110" s="37" t="str">
        <x:v>No</x:v>
      </x:c>
      <x:c r="I1110" s="37" t="str">
        <x:v>Keep prompt</x:v>
      </x:c>
      <x:c r="J1110" s="37" t="str">
        <x:v>No prompt change required under the missing-cell design.</x:v>
      </x:c>
      <x:c r="K1110" s="37" t="str">
        <x:v>juggling ball, crushed Pepsi can</x:v>
      </x:c>
      <x:c r="L1110" s="37" t="str">
        <x:v>juggling ball</x:v>
      </x:c>
      <x:c r="M1110" s="37" t="str">
        <x:v>Home</x:v>
      </x:c>
      <x:c r="N1110" s="37" t="str">
        <x:v>Pick up the juggling ball and place it in the bowl.</x:v>
      </x:c>
      <x:c r="O1110" s="37" t="str">
        <x:v>Pick up the smallest object and place it in the bowl.</x:v>
      </x:c>
      <x:c r="P1110" s="37" t="str">
        <x:v>The juggling ball is named and manipulated directly, but it is never selected with the word smallest.</x:v>
      </x:c>
      <x:c r="Q1110" s="38"/>
    </x:row>
    <x:row r="1111" ht="60" customHeight="1">
      <x:c r="A1111" s="70" t="n">
        <x:v>1109</x:v>
      </x:c>
      <x:c r="B1111" s="37" t="str">
        <x:v>Size Recognition</x:v>
      </x:c>
      <x:c r="C1111" s="37" t="str">
        <x:v>Pick up the juggling ball and place it in the bowl.</x:v>
      </x:c>
      <x:c r="D1111" s="37" t="str">
        <x:v>Masked size-role × object-identity composition</x:v>
      </x:c>
      <x:c r="E1111" s="37" t="str">
        <x:v>direct identity=juggling ball; hidden size role=smallest</x:v>
      </x:c>
      <x:c r="F1111" s="37" t="str">
        <x:v>size_juggling_ball_smallest_masked</x:v>
      </x:c>
      <x:c r="G1111" s="37" t="str">
        <x:v>green-block×largest; juggling-ball×smallest</x:v>
      </x:c>
      <x:c r="H1111" s="37" t="str">
        <x:v>No</x:v>
      </x:c>
      <x:c r="I1111" s="37" t="str">
        <x:v>Keep prompt</x:v>
      </x:c>
      <x:c r="J1111" s="37" t="str">
        <x:v>No prompt change required under the missing-cell design.</x:v>
      </x:c>
      <x:c r="K1111" s="37" t="str">
        <x:v>juggling ball, crushed Pepsi can</x:v>
      </x:c>
      <x:c r="L1111" s="37" t="str">
        <x:v>juggling ball</x:v>
      </x:c>
      <x:c r="M1111" s="37" t="str">
        <x:v>Home</x:v>
      </x:c>
      <x:c r="N1111" s="37" t="str">
        <x:v>Pick up the juggling ball and place it in the bowl.</x:v>
      </x:c>
      <x:c r="O1111" s="37" t="str">
        <x:v>Pick up the smallest object and place it in the bowl.</x:v>
      </x:c>
      <x:c r="P1111" s="37" t="str">
        <x:v>The juggling ball is named and manipulated directly, but it is never selected with the word smallest.</x:v>
      </x:c>
      <x:c r="Q1111" s="38"/>
    </x:row>
    <x:row r="1112" ht="60" customHeight="1">
      <x:c r="A1112" s="70" t="n">
        <x:v>1110</x:v>
      </x:c>
      <x:c r="B1112" s="37" t="str">
        <x:v>Size Recognition</x:v>
      </x:c>
      <x:c r="C1112" s="37" t="str">
        <x:v>Move the juggling ball into the bowl.</x:v>
      </x:c>
      <x:c r="D1112" s="37" t="str">
        <x:v>Masked size-role × object-identity composition</x:v>
      </x:c>
      <x:c r="E1112" s="37" t="str">
        <x:v>direct identity=juggling ball; hidden size role=smallest</x:v>
      </x:c>
      <x:c r="F1112" s="37" t="str">
        <x:v>size_juggling_ball_smallest_masked</x:v>
      </x:c>
      <x:c r="G1112" s="37" t="str">
        <x:v>green-block×largest; juggling-ball×smallest</x:v>
      </x:c>
      <x:c r="H1112" s="37" t="str">
        <x:v>No</x:v>
      </x:c>
      <x:c r="I1112" s="37" t="str">
        <x:v>Keep prompt</x:v>
      </x:c>
      <x:c r="J1112" s="37" t="str">
        <x:v>No prompt change required under the missing-cell design.</x:v>
      </x:c>
      <x:c r="K1112" s="37" t="str">
        <x:v>juggling ball, crushed Pepsi can</x:v>
      </x:c>
      <x:c r="L1112" s="37" t="str">
        <x:v>juggling ball</x:v>
      </x:c>
      <x:c r="M1112" s="37" t="str">
        <x:v>Home</x:v>
      </x:c>
      <x:c r="N1112" s="37" t="str">
        <x:v>Move the juggling ball into the bowl.</x:v>
      </x:c>
      <x:c r="O1112" s="37" t="str">
        <x:v>Pick up the smallest object and place it in the bowl.</x:v>
      </x:c>
      <x:c r="P1112" s="37" t="str">
        <x:v>The juggling ball is named and manipulated directly, but it is never selected with the word smallest.</x:v>
      </x:c>
      <x:c r="Q1112" s="38"/>
    </x:row>
    <x:row r="1113" ht="60" customHeight="1">
      <x:c r="A1113" s="70" t="n">
        <x:v>1111</x:v>
      </x:c>
      <x:c r="B1113" s="37" t="str">
        <x:v>Size Recognition</x:v>
      </x:c>
      <x:c r="C1113" s="37" t="str">
        <x:v>Put the juggling ball in the bowl.</x:v>
      </x:c>
      <x:c r="D1113" s="37" t="str">
        <x:v>Masked size-role × object-identity composition</x:v>
      </x:c>
      <x:c r="E1113" s="37" t="str">
        <x:v>direct identity=juggling ball; hidden size role=smallest</x:v>
      </x:c>
      <x:c r="F1113" s="37" t="str">
        <x:v>size_juggling_ball_smallest_masked</x:v>
      </x:c>
      <x:c r="G1113" s="37" t="str">
        <x:v>green-block×largest; juggling-ball×smallest</x:v>
      </x:c>
      <x:c r="H1113" s="37" t="str">
        <x:v>No</x:v>
      </x:c>
      <x:c r="I1113" s="37" t="str">
        <x:v>Keep prompt</x:v>
      </x:c>
      <x:c r="J1113" s="37" t="str">
        <x:v>No prompt change required under the missing-cell design.</x:v>
      </x:c>
      <x:c r="K1113" s="37" t="str">
        <x:v>juggling ball, crushed Pepsi can</x:v>
      </x:c>
      <x:c r="L1113" s="37" t="str">
        <x:v>juggling ball</x:v>
      </x:c>
      <x:c r="M1113" s="37" t="str">
        <x:v>Home</x:v>
      </x:c>
      <x:c r="N1113" s="37" t="str">
        <x:v>Put the juggling ball in the bowl.</x:v>
      </x:c>
      <x:c r="O1113" s="37" t="str">
        <x:v>Pick up the smallest object and place it in the bowl.</x:v>
      </x:c>
      <x:c r="P1113" s="37" t="str">
        <x:v>The juggling ball is named and manipulated directly, but it is never selected with the word smallest.</x:v>
      </x:c>
      <x:c r="Q1113" s="38"/>
    </x:row>
    <x:row r="1114" ht="60" customHeight="1">
      <x:c r="A1114" s="70" t="n">
        <x:v>1112</x:v>
      </x:c>
      <x:c r="B1114" s="37" t="str">
        <x:v>Size Recognition</x:v>
      </x:c>
      <x:c r="C1114" s="37" t="str">
        <x:v>Pick up the juggling ball and place it in the bowl.</x:v>
      </x:c>
      <x:c r="D1114" s="37" t="str">
        <x:v>Masked size-role × object-identity composition</x:v>
      </x:c>
      <x:c r="E1114" s="37" t="str">
        <x:v>direct identity=juggling ball; hidden size role=smallest</x:v>
      </x:c>
      <x:c r="F1114" s="37" t="str">
        <x:v>size_juggling_ball_smallest_masked</x:v>
      </x:c>
      <x:c r="G1114" s="37" t="str">
        <x:v>green-block×largest; juggling-ball×smallest</x:v>
      </x:c>
      <x:c r="H1114" s="37" t="str">
        <x:v>No</x:v>
      </x:c>
      <x:c r="I1114" s="37" t="str">
        <x:v>Keep prompt</x:v>
      </x:c>
      <x:c r="J1114" s="37" t="str">
        <x:v>No prompt change required under the missing-cell design.</x:v>
      </x:c>
      <x:c r="K1114" s="37" t="str">
        <x:v>juggling ball, crushed Pepsi can</x:v>
      </x:c>
      <x:c r="L1114" s="37" t="str">
        <x:v>juggling ball</x:v>
      </x:c>
      <x:c r="M1114" s="37" t="str">
        <x:v>Home</x:v>
      </x:c>
      <x:c r="N1114" s="37" t="str">
        <x:v>Pick up the juggling ball and place it in the bowl.</x:v>
      </x:c>
      <x:c r="O1114" s="37" t="str">
        <x:v>Pick up the smallest object and place it in the bowl.</x:v>
      </x:c>
      <x:c r="P1114" s="37" t="str">
        <x:v>The juggling ball is named and manipulated directly, but it is never selected with the word smallest.</x:v>
      </x:c>
      <x:c r="Q1114" s="38"/>
    </x:row>
    <x:row r="1115" ht="60" customHeight="1">
      <x:c r="A1115" s="70" t="n">
        <x:v>1113</x:v>
      </x:c>
      <x:c r="B1115" s="37" t="str">
        <x:v>Size Recognition</x:v>
      </x:c>
      <x:c r="C1115" s="37" t="str">
        <x:v>Move the juggling ball into the bowl.</x:v>
      </x:c>
      <x:c r="D1115" s="37" t="str">
        <x:v>Masked size-role × object-identity composition</x:v>
      </x:c>
      <x:c r="E1115" s="37" t="str">
        <x:v>direct identity=juggling ball; hidden size role=smallest</x:v>
      </x:c>
      <x:c r="F1115" s="37" t="str">
        <x:v>size_juggling_ball_smallest_masked</x:v>
      </x:c>
      <x:c r="G1115" s="37" t="str">
        <x:v>green-block×largest; juggling-ball×smallest</x:v>
      </x:c>
      <x:c r="H1115" s="37" t="str">
        <x:v>No</x:v>
      </x:c>
      <x:c r="I1115" s="37" t="str">
        <x:v>Keep prompt</x:v>
      </x:c>
      <x:c r="J1115" s="37" t="str">
        <x:v>No prompt change required under the missing-cell design.</x:v>
      </x:c>
      <x:c r="K1115" s="37" t="str">
        <x:v>juggling ball, crushed Pepsi can</x:v>
      </x:c>
      <x:c r="L1115" s="37" t="str">
        <x:v>juggling ball</x:v>
      </x:c>
      <x:c r="M1115" s="37" t="str">
        <x:v>Home</x:v>
      </x:c>
      <x:c r="N1115" s="37" t="str">
        <x:v>Move the juggling ball into the bowl.</x:v>
      </x:c>
      <x:c r="O1115" s="37" t="str">
        <x:v>Pick up the smallest object and place it in the bowl.</x:v>
      </x:c>
      <x:c r="P1115" s="37" t="str">
        <x:v>The juggling ball is named and manipulated directly, but it is never selected with the word smallest.</x:v>
      </x:c>
      <x:c r="Q1115" s="38"/>
    </x:row>
    <x:row r="1116" ht="60" customHeight="1">
      <x:c r="A1116" s="70" t="n">
        <x:v>1114</x:v>
      </x:c>
      <x:c r="B1116" s="37" t="str">
        <x:v>Size Recognition</x:v>
      </x:c>
      <x:c r="C1116" s="37" t="str">
        <x:v>Put the juggling ball in the bowl.</x:v>
      </x:c>
      <x:c r="D1116" s="37" t="str">
        <x:v>Masked size-role × object-identity composition</x:v>
      </x:c>
      <x:c r="E1116" s="37" t="str">
        <x:v>direct identity=juggling ball; hidden size role=smallest</x:v>
      </x:c>
      <x:c r="F1116" s="37" t="str">
        <x:v>size_juggling_ball_smallest_masked</x:v>
      </x:c>
      <x:c r="G1116" s="37" t="str">
        <x:v>green-block×largest; juggling-ball×smallest</x:v>
      </x:c>
      <x:c r="H1116" s="37" t="str">
        <x:v>No</x:v>
      </x:c>
      <x:c r="I1116" s="37" t="str">
        <x:v>Keep prompt</x:v>
      </x:c>
      <x:c r="J1116" s="37" t="str">
        <x:v>No prompt change required under the missing-cell design.</x:v>
      </x:c>
      <x:c r="K1116" s="37" t="str">
        <x:v>juggling ball, crushed Pepsi can</x:v>
      </x:c>
      <x:c r="L1116" s="37" t="str">
        <x:v>juggling ball</x:v>
      </x:c>
      <x:c r="M1116" s="37" t="str">
        <x:v>Home</x:v>
      </x:c>
      <x:c r="N1116" s="37" t="str">
        <x:v>Put the juggling ball in the bowl.</x:v>
      </x:c>
      <x:c r="O1116" s="37" t="str">
        <x:v>Pick up the smallest object and place it in the bowl.</x:v>
      </x:c>
      <x:c r="P1116" s="37" t="str">
        <x:v>The juggling ball is named and manipulated directly, but it is never selected with the word smallest.</x:v>
      </x:c>
      <x:c r="Q1116" s="38"/>
    </x:row>
    <x:row r="1117" ht="60" customHeight="1">
      <x:c r="A1117" s="70" t="n">
        <x:v>1115</x:v>
      </x:c>
      <x:c r="B1117" s="37" t="str">
        <x:v>Size Recognition</x:v>
      </x:c>
      <x:c r="C1117" s="37" t="str">
        <x:v>Move the juggling ball into the bowl.</x:v>
      </x:c>
      <x:c r="D1117" s="37" t="str">
        <x:v>Masked size-role × object-identity composition</x:v>
      </x:c>
      <x:c r="E1117" s="37" t="str">
        <x:v>direct identity=juggling ball; hidden size role=smallest</x:v>
      </x:c>
      <x:c r="F1117" s="37" t="str">
        <x:v>size_juggling_ball_smallest_masked</x:v>
      </x:c>
      <x:c r="G1117" s="37" t="str">
        <x:v>green-block×largest; juggling-ball×smallest</x:v>
      </x:c>
      <x:c r="H1117" s="37" t="str">
        <x:v>No</x:v>
      </x:c>
      <x:c r="I1117" s="37" t="str">
        <x:v>Keep prompt</x:v>
      </x:c>
      <x:c r="J1117" s="37" t="str">
        <x:v>No prompt change required under the missing-cell design.</x:v>
      </x:c>
      <x:c r="K1117" s="37" t="str">
        <x:v>juggling ball, crushed Pepsi can</x:v>
      </x:c>
      <x:c r="L1117" s="37" t="str">
        <x:v>juggling ball</x:v>
      </x:c>
      <x:c r="M1117" s="37" t="str">
        <x:v>Home</x:v>
      </x:c>
      <x:c r="N1117" s="37" t="str">
        <x:v>Move the juggling ball into the bowl.</x:v>
      </x:c>
      <x:c r="O1117" s="37" t="str">
        <x:v>Pick up the smallest object and place it in the bowl.</x:v>
      </x:c>
      <x:c r="P1117" s="37" t="str">
        <x:v>The juggling ball is named and manipulated directly, but it is never selected with the word smallest.</x:v>
      </x:c>
      <x:c r="Q1117" s="38"/>
    </x:row>
    <x:row r="1118" ht="60" customHeight="1">
      <x:c r="A1118" s="70" t="n">
        <x:v>1116</x:v>
      </x:c>
      <x:c r="B1118" s="37" t="str">
        <x:v>Size Recognition</x:v>
      </x:c>
      <x:c r="C1118" s="37" t="str">
        <x:v>Pick up the juggling ball and place it in the bowl.</x:v>
      </x:c>
      <x:c r="D1118" s="37" t="str">
        <x:v>Masked size-role × object-identity composition</x:v>
      </x:c>
      <x:c r="E1118" s="37" t="str">
        <x:v>direct identity=juggling ball; hidden size role=smallest</x:v>
      </x:c>
      <x:c r="F1118" s="37" t="str">
        <x:v>size_juggling_ball_smallest_masked</x:v>
      </x:c>
      <x:c r="G1118" s="37" t="str">
        <x:v>green-block×largest; juggling-ball×smallest</x:v>
      </x:c>
      <x:c r="H1118" s="37" t="str">
        <x:v>No</x:v>
      </x:c>
      <x:c r="I1118" s="37" t="str">
        <x:v>Keep prompt</x:v>
      </x:c>
      <x:c r="J1118" s="37" t="str">
        <x:v>No prompt change required under the missing-cell design.</x:v>
      </x:c>
      <x:c r="K1118" s="37" t="str">
        <x:v>juggling ball, crushed Pepsi can</x:v>
      </x:c>
      <x:c r="L1118" s="37" t="str">
        <x:v>juggling ball</x:v>
      </x:c>
      <x:c r="M1118" s="37" t="str">
        <x:v>Home</x:v>
      </x:c>
      <x:c r="N1118" s="37" t="str">
        <x:v>Pick up the juggling ball and place it in the bowl.</x:v>
      </x:c>
      <x:c r="O1118" s="37" t="str">
        <x:v>Pick up the smallest object and place it in the bowl.</x:v>
      </x:c>
      <x:c r="P1118" s="37" t="str">
        <x:v>The juggling ball is named and manipulated directly, but it is never selected with the word smallest.</x:v>
      </x:c>
      <x:c r="Q1118" s="38"/>
    </x:row>
    <x:row r="1119" ht="60" customHeight="1">
      <x:c r="A1119" s="70" t="n">
        <x:v>1117</x:v>
      </x:c>
      <x:c r="B1119" s="37" t="str">
        <x:v>Size Recognition</x:v>
      </x:c>
      <x:c r="C1119" s="37" t="str">
        <x:v>Put the juggling ball in the bowl.</x:v>
      </x:c>
      <x:c r="D1119" s="37" t="str">
        <x:v>Masked size-role × object-identity composition</x:v>
      </x:c>
      <x:c r="E1119" s="37" t="str">
        <x:v>direct identity=juggling ball; hidden size role=smallest</x:v>
      </x:c>
      <x:c r="F1119" s="37" t="str">
        <x:v>size_juggling_ball_smallest_masked</x:v>
      </x:c>
      <x:c r="G1119" s="37" t="str">
        <x:v>green-block×largest; juggling-ball×smallest</x:v>
      </x:c>
      <x:c r="H1119" s="37" t="str">
        <x:v>No</x:v>
      </x:c>
      <x:c r="I1119" s="37" t="str">
        <x:v>Keep prompt</x:v>
      </x:c>
      <x:c r="J1119" s="37" t="str">
        <x:v>No prompt change required under the missing-cell design.</x:v>
      </x:c>
      <x:c r="K1119" s="37" t="str">
        <x:v>juggling ball, crushed Pepsi can</x:v>
      </x:c>
      <x:c r="L1119" s="37" t="str">
        <x:v>juggling ball</x:v>
      </x:c>
      <x:c r="M1119" s="37" t="str">
        <x:v>Home</x:v>
      </x:c>
      <x:c r="N1119" s="37" t="str">
        <x:v>Put the juggling ball in the bowl.</x:v>
      </x:c>
      <x:c r="O1119" s="37" t="str">
        <x:v>Pick up the smallest object and place it in the bowl.</x:v>
      </x:c>
      <x:c r="P1119" s="37" t="str">
        <x:v>The juggling ball is named and manipulated directly, but it is never selected with the word smallest.</x:v>
      </x:c>
      <x:c r="Q1119" s="38"/>
    </x:row>
    <x:row r="1120" ht="60" customHeight="1">
      <x:c r="A1120" s="70" t="n">
        <x:v>1118</x:v>
      </x:c>
      <x:c r="B1120" s="37" t="str">
        <x:v>Size Recognition</x:v>
      </x:c>
      <x:c r="C1120" s="37" t="str">
        <x:v>Move the juggling ball into the bowl.</x:v>
      </x:c>
      <x:c r="D1120" s="37" t="str">
        <x:v>Masked size-role × object-identity composition</x:v>
      </x:c>
      <x:c r="E1120" s="37" t="str">
        <x:v>direct identity=juggling ball; hidden size role=smallest</x:v>
      </x:c>
      <x:c r="F1120" s="37" t="str">
        <x:v>size_juggling_ball_smallest_masked</x:v>
      </x:c>
      <x:c r="G1120" s="37" t="str">
        <x:v>green-block×largest; juggling-ball×smallest</x:v>
      </x:c>
      <x:c r="H1120" s="37" t="str">
        <x:v>No</x:v>
      </x:c>
      <x:c r="I1120" s="37" t="str">
        <x:v>Keep prompt</x:v>
      </x:c>
      <x:c r="J1120" s="37" t="str">
        <x:v>No prompt change required under the missing-cell design.</x:v>
      </x:c>
      <x:c r="K1120" s="37" t="str">
        <x:v>juggling ball, crushed Pepsi can</x:v>
      </x:c>
      <x:c r="L1120" s="37" t="str">
        <x:v>juggling ball</x:v>
      </x:c>
      <x:c r="M1120" s="37" t="str">
        <x:v>Home</x:v>
      </x:c>
      <x:c r="N1120" s="37" t="str">
        <x:v>Move the juggling ball into the bowl.</x:v>
      </x:c>
      <x:c r="O1120" s="37" t="str">
        <x:v>Pick up the smallest object and place it in the bowl.</x:v>
      </x:c>
      <x:c r="P1120" s="37" t="str">
        <x:v>The juggling ball is named and manipulated directly, but it is never selected with the word smallest.</x:v>
      </x:c>
      <x:c r="Q1120" s="38"/>
    </x:row>
    <x:row r="1121" ht="60" customHeight="1">
      <x:c r="A1121" s="70" t="n">
        <x:v>1119</x:v>
      </x:c>
      <x:c r="B1121" s="37" t="str">
        <x:v>Size Recognition</x:v>
      </x:c>
      <x:c r="C1121" s="37" t="str">
        <x:v>Put the juggling ball in the bowl.</x:v>
      </x:c>
      <x:c r="D1121" s="37" t="str">
        <x:v>Masked size-role × object-identity composition</x:v>
      </x:c>
      <x:c r="E1121" s="37" t="str">
        <x:v>direct identity=juggling ball; hidden size role=smallest</x:v>
      </x:c>
      <x:c r="F1121" s="37" t="str">
        <x:v>size_juggling_ball_smallest_masked</x:v>
      </x:c>
      <x:c r="G1121" s="37" t="str">
        <x:v>green-block×largest; juggling-ball×smallest</x:v>
      </x:c>
      <x:c r="H1121" s="37" t="str">
        <x:v>No</x:v>
      </x:c>
      <x:c r="I1121" s="37" t="str">
        <x:v>Keep prompt</x:v>
      </x:c>
      <x:c r="J1121" s="37" t="str">
        <x:v>No prompt change required under the missing-cell design.</x:v>
      </x:c>
      <x:c r="K1121" s="37" t="str">
        <x:v>juggling ball, crushed Pepsi can</x:v>
      </x:c>
      <x:c r="L1121" s="37" t="str">
        <x:v>juggling ball</x:v>
      </x:c>
      <x:c r="M1121" s="37" t="str">
        <x:v>Home</x:v>
      </x:c>
      <x:c r="N1121" s="37" t="str">
        <x:v>Put the juggling ball in the bowl.</x:v>
      </x:c>
      <x:c r="O1121" s="37" t="str">
        <x:v>Pick up the smallest object and place it in the bowl.</x:v>
      </x:c>
      <x:c r="P1121" s="37" t="str">
        <x:v>The juggling ball is named and manipulated directly, but it is never selected with the word smallest.</x:v>
      </x:c>
      <x:c r="Q1121" s="38"/>
    </x:row>
    <x:row r="1122" ht="60" customHeight="1">
      <x:c r="A1122" s="70" t="n">
        <x:v>1120</x:v>
      </x:c>
      <x:c r="B1122" s="37" t="str">
        <x:v>Size Recognition</x:v>
      </x:c>
      <x:c r="C1122" s="37" t="str">
        <x:v>Move the juggling ball into the bowl.</x:v>
      </x:c>
      <x:c r="D1122" s="37" t="str">
        <x:v>Masked size-role × object-identity composition</x:v>
      </x:c>
      <x:c r="E1122" s="37" t="str">
        <x:v>direct identity=juggling ball; hidden size role=smallest</x:v>
      </x:c>
      <x:c r="F1122" s="37" t="str">
        <x:v>size_juggling_ball_smallest_masked</x:v>
      </x:c>
      <x:c r="G1122" s="37" t="str">
        <x:v>green-block×largest; juggling-ball×smallest</x:v>
      </x:c>
      <x:c r="H1122" s="37" t="str">
        <x:v>No</x:v>
      </x:c>
      <x:c r="I1122" s="37" t="str">
        <x:v>Keep prompt</x:v>
      </x:c>
      <x:c r="J1122" s="37" t="str">
        <x:v>No prompt change required under the missing-cell design.</x:v>
      </x:c>
      <x:c r="K1122" s="37" t="str">
        <x:v>juggling ball, crushed Pepsi can</x:v>
      </x:c>
      <x:c r="L1122" s="37" t="str">
        <x:v>juggling ball</x:v>
      </x:c>
      <x:c r="M1122" s="37" t="str">
        <x:v>Recovery</x:v>
      </x:c>
      <x:c r="N1122" s="37" t="str">
        <x:v>Move the juggling ball into the bowl.</x:v>
      </x:c>
      <x:c r="O1122" s="37" t="str">
        <x:v>Pick up the smallest object and place it in the bowl.</x:v>
      </x:c>
      <x:c r="P1122" s="37" t="str">
        <x:v>The juggling ball is named and manipulated directly, but it is never selected with the word smallest.</x:v>
      </x:c>
      <x:c r="Q1122" s="38"/>
    </x:row>
    <x:row r="1123" ht="60" customHeight="1">
      <x:c r="A1123" s="70" t="n">
        <x:v>1121</x:v>
      </x:c>
      <x:c r="B1123" s="37" t="str">
        <x:v>Size Recognition</x:v>
      </x:c>
      <x:c r="C1123" s="37" t="str">
        <x:v>Put the juggling ball in the bowl.</x:v>
      </x:c>
      <x:c r="D1123" s="37" t="str">
        <x:v>Masked size-role × object-identity composition</x:v>
      </x:c>
      <x:c r="E1123" s="37" t="str">
        <x:v>direct identity=juggling ball; hidden size role=smallest</x:v>
      </x:c>
      <x:c r="F1123" s="37" t="str">
        <x:v>size_juggling_ball_smallest_masked</x:v>
      </x:c>
      <x:c r="G1123" s="37" t="str">
        <x:v>green-block×largest; juggling-ball×smallest</x:v>
      </x:c>
      <x:c r="H1123" s="37" t="str">
        <x:v>No</x:v>
      </x:c>
      <x:c r="I1123" s="37" t="str">
        <x:v>Keep prompt</x:v>
      </x:c>
      <x:c r="J1123" s="37" t="str">
        <x:v>No prompt change required under the missing-cell design.</x:v>
      </x:c>
      <x:c r="K1123" s="37" t="str">
        <x:v>juggling ball, crushed Pepsi can</x:v>
      </x:c>
      <x:c r="L1123" s="37" t="str">
        <x:v>juggling ball</x:v>
      </x:c>
      <x:c r="M1123" s="37" t="str">
        <x:v>Recovery</x:v>
      </x:c>
      <x:c r="N1123" s="37" t="str">
        <x:v>Put the juggling ball in the bowl.</x:v>
      </x:c>
      <x:c r="O1123" s="37" t="str">
        <x:v>Pick up the smallest object and place it in the bowl.</x:v>
      </x:c>
      <x:c r="P1123" s="37" t="str">
        <x:v>The juggling ball is named and manipulated directly, but it is never selected with the word smallest.</x:v>
      </x:c>
      <x:c r="Q1123" s="38"/>
    </x:row>
    <x:row r="1124" ht="60" customHeight="1">
      <x:c r="A1124" s="70" t="n">
        <x:v>1122</x:v>
      </x:c>
      <x:c r="B1124" s="37" t="str">
        <x:v>Size Recognition</x:v>
      </x:c>
      <x:c r="C1124" s="37" t="str">
        <x:v>Put the juggling ball in the bowl.</x:v>
      </x:c>
      <x:c r="D1124" s="37" t="str">
        <x:v>Masked size-role × object-identity composition</x:v>
      </x:c>
      <x:c r="E1124" s="37" t="str">
        <x:v>direct identity=juggling ball; hidden size role=smallest</x:v>
      </x:c>
      <x:c r="F1124" s="37" t="str">
        <x:v>size_juggling_ball_smallest_masked</x:v>
      </x:c>
      <x:c r="G1124" s="37" t="str">
        <x:v>green-block×largest; juggling-ball×smallest</x:v>
      </x:c>
      <x:c r="H1124" s="37" t="str">
        <x:v>No</x:v>
      </x:c>
      <x:c r="I1124" s="37" t="str">
        <x:v>Keep prompt</x:v>
      </x:c>
      <x:c r="J1124" s="37" t="str">
        <x:v>No prompt change required under the missing-cell design.</x:v>
      </x:c>
      <x:c r="K1124" s="37" t="str">
        <x:v>juggling ball, crushed Pepsi can</x:v>
      </x:c>
      <x:c r="L1124" s="37" t="str">
        <x:v>juggling ball</x:v>
      </x:c>
      <x:c r="M1124" s="37" t="str">
        <x:v>Recovery</x:v>
      </x:c>
      <x:c r="N1124" s="37" t="str">
        <x:v>Put the juggling ball in the bowl.</x:v>
      </x:c>
      <x:c r="O1124" s="37" t="str">
        <x:v>Pick up the smallest object and place it in the bowl.</x:v>
      </x:c>
      <x:c r="P1124" s="37" t="str">
        <x:v>The juggling ball is named and manipulated directly, but it is never selected with the word smallest.</x:v>
      </x:c>
      <x:c r="Q1124" s="38"/>
    </x:row>
    <x:row r="1125" ht="60" customHeight="1">
      <x:c r="A1125" s="70" t="n">
        <x:v>1123</x:v>
      </x:c>
      <x:c r="B1125" s="37" t="str">
        <x:v>Size Recognition</x:v>
      </x:c>
      <x:c r="C1125" s="37" t="str">
        <x:v>Pick up the juggling ball and place it in the bowl.</x:v>
      </x:c>
      <x:c r="D1125" s="37" t="str">
        <x:v>Masked size-role × object-identity composition</x:v>
      </x:c>
      <x:c r="E1125" s="37" t="str">
        <x:v>direct identity=juggling ball; hidden size role=smallest</x:v>
      </x:c>
      <x:c r="F1125" s="37" t="str">
        <x:v>size_juggling_ball_smallest_masked</x:v>
      </x:c>
      <x:c r="G1125" s="37" t="str">
        <x:v>green-block×largest; juggling-ball×smallest</x:v>
      </x:c>
      <x:c r="H1125" s="37" t="str">
        <x:v>No</x:v>
      </x:c>
      <x:c r="I1125" s="37" t="str">
        <x:v>Keep prompt</x:v>
      </x:c>
      <x:c r="J1125" s="37" t="str">
        <x:v>No prompt change required under the missing-cell design.</x:v>
      </x:c>
      <x:c r="K1125" s="37" t="str">
        <x:v>juggling ball, crushed Pepsi can</x:v>
      </x:c>
      <x:c r="L1125" s="37" t="str">
        <x:v>juggling ball</x:v>
      </x:c>
      <x:c r="M1125" s="37" t="str">
        <x:v>Recovery</x:v>
      </x:c>
      <x:c r="N1125" s="37" t="str">
        <x:v>Pick up the juggling ball and place it in the bowl.</x:v>
      </x:c>
      <x:c r="O1125" s="37" t="str">
        <x:v>Pick up the smallest object and place it in the bowl.</x:v>
      </x:c>
      <x:c r="P1125" s="37" t="str">
        <x:v>The juggling ball is named and manipulated directly, but it is never selected with the word smallest.</x:v>
      </x:c>
      <x:c r="Q1125" s="38"/>
    </x:row>
    <x:row r="1126" ht="60" customHeight="1">
      <x:c r="A1126" s="70" t="n">
        <x:v>1124</x:v>
      </x:c>
      <x:c r="B1126" s="37" t="str">
        <x:v>Size Recognition</x:v>
      </x:c>
      <x:c r="C1126" s="37" t="str">
        <x:v>Pick up the juggling ball and place it in the bowl.</x:v>
      </x:c>
      <x:c r="D1126" s="37" t="str">
        <x:v>Masked size-role × object-identity composition</x:v>
      </x:c>
      <x:c r="E1126" s="37" t="str">
        <x:v>direct identity=juggling ball; hidden size role=smallest</x:v>
      </x:c>
      <x:c r="F1126" s="37" t="str">
        <x:v>size_juggling_ball_smallest_masked</x:v>
      </x:c>
      <x:c r="G1126" s="37" t="str">
        <x:v>green-block×largest; juggling-ball×smallest</x:v>
      </x:c>
      <x:c r="H1126" s="37" t="str">
        <x:v>No</x:v>
      </x:c>
      <x:c r="I1126" s="37" t="str">
        <x:v>Keep prompt</x:v>
      </x:c>
      <x:c r="J1126" s="37" t="str">
        <x:v>No prompt change required under the missing-cell design.</x:v>
      </x:c>
      <x:c r="K1126" s="37" t="str">
        <x:v>juggling ball, crushed Pepsi can</x:v>
      </x:c>
      <x:c r="L1126" s="37" t="str">
        <x:v>juggling ball</x:v>
      </x:c>
      <x:c r="M1126" s="37" t="str">
        <x:v>Recovery</x:v>
      </x:c>
      <x:c r="N1126" s="37" t="str">
        <x:v>Pick up the juggling ball and place it in the bowl.</x:v>
      </x:c>
      <x:c r="O1126" s="37" t="str">
        <x:v>Pick up the smallest object and place it in the bowl.</x:v>
      </x:c>
      <x:c r="P1126" s="37" t="str">
        <x:v>The juggling ball is named and manipulated directly, but it is never selected with the word smallest.</x:v>
      </x:c>
      <x:c r="Q1126" s="38"/>
    </x:row>
    <x:row r="1127" ht="60" customHeight="1">
      <x:c r="A1127" s="70" t="n">
        <x:v>1125</x:v>
      </x:c>
      <x:c r="B1127" s="37" t="str">
        <x:v>Size Recognition</x:v>
      </x:c>
      <x:c r="C1127" s="37" t="str">
        <x:v>Put the largest object in the bowl.</x:v>
      </x:c>
      <x:c r="D1127" s="37" t="str">
        <x:v>Explicit size grounding</x:v>
      </x:c>
      <x:c r="E1127" s="37" t="str">
        <x:v>largest × juggling ball</x:v>
      </x:c>
      <x:c r="F1127" s="37" t="str">
        <x:v>size_juggling_ball_largest_explicit</x:v>
      </x:c>
      <x:c r="G1127" s="37" t="str">
        <x:v>green-block×largest; juggling-ball×smallest</x:v>
      </x:c>
      <x:c r="H1127" s="37" t="str">
        <x:v>No</x:v>
      </x:c>
      <x:c r="I1127" s="37" t="str">
        <x:v>Keep prompt</x:v>
      </x:c>
      <x:c r="J1127" s="37" t="str">
        <x:v>No prompt change required under the missing-cell design.</x:v>
      </x:c>
      <x:c r="K1127" s="37" t="str">
        <x:v>red pencil sharpener, green block, juggling ball</x:v>
      </x:c>
      <x:c r="L1127" s="37" t="str">
        <x:v>juggling ball</x:v>
      </x:c>
      <x:c r="M1127" s="37" t="str">
        <x:v>Home</x:v>
      </x:c>
      <x:c r="N1127" s="37" t="str">
        <x:v>Put the largest object in the bowl.</x:v>
      </x:c>
      <x:c r="O1127" s="37" t="str"/>
      <x:c r="P1127" s="37" t="str">
        <x:v>Explicitly grounds largest with juggling ball; only the selected size-role/object cell is withheld.</x:v>
      </x:c>
      <x:c r="Q1127" s="38"/>
    </x:row>
    <x:row r="1128" ht="60" customHeight="1">
      <x:c r="A1128" s="70" t="n">
        <x:v>1126</x:v>
      </x:c>
      <x:c r="B1128" s="37" t="str">
        <x:v>Size Recognition</x:v>
      </x:c>
      <x:c r="C1128" s="37" t="str">
        <x:v>Pick up the largest item and place it in the bowl.</x:v>
      </x:c>
      <x:c r="D1128" s="37" t="str">
        <x:v>Explicit size grounding</x:v>
      </x:c>
      <x:c r="E1128" s="37" t="str">
        <x:v>largest × juggling ball</x:v>
      </x:c>
      <x:c r="F1128" s="37" t="str">
        <x:v>size_juggling_ball_largest_explicit</x:v>
      </x:c>
      <x:c r="G1128" s="37" t="str">
        <x:v>green-block×largest; juggling-ball×smallest</x:v>
      </x:c>
      <x:c r="H1128" s="37" t="str">
        <x:v>No</x:v>
      </x:c>
      <x:c r="I1128" s="37" t="str">
        <x:v>Keep prompt</x:v>
      </x:c>
      <x:c r="J1128" s="37" t="str">
        <x:v>No prompt change required under the missing-cell design.</x:v>
      </x:c>
      <x:c r="K1128" s="37" t="str">
        <x:v>red pencil sharpener, green block, juggling ball</x:v>
      </x:c>
      <x:c r="L1128" s="37" t="str">
        <x:v>juggling ball</x:v>
      </x:c>
      <x:c r="M1128" s="37" t="str">
        <x:v>Home</x:v>
      </x:c>
      <x:c r="N1128" s="37" t="str">
        <x:v>Pick up the largest item and place it in the bowl.</x:v>
      </x:c>
      <x:c r="O1128" s="37" t="str"/>
      <x:c r="P1128" s="37" t="str">
        <x:v>Explicitly grounds largest with juggling ball; only the selected size-role/object cell is withheld.</x:v>
      </x:c>
      <x:c r="Q1128" s="38"/>
    </x:row>
    <x:row r="1129" ht="60" customHeight="1">
      <x:c r="A1129" s="70" t="n">
        <x:v>1127</x:v>
      </x:c>
      <x:c r="B1129" s="37" t="str">
        <x:v>Size Recognition</x:v>
      </x:c>
      <x:c r="C1129" s="37" t="str">
        <x:v>Pick up the largest item and place it in the bowl.</x:v>
      </x:c>
      <x:c r="D1129" s="37" t="str">
        <x:v>Explicit size grounding</x:v>
      </x:c>
      <x:c r="E1129" s="37" t="str">
        <x:v>largest × juggling ball</x:v>
      </x:c>
      <x:c r="F1129" s="37" t="str">
        <x:v>size_juggling_ball_largest_explicit</x:v>
      </x:c>
      <x:c r="G1129" s="37" t="str">
        <x:v>green-block×largest; juggling-ball×smallest</x:v>
      </x:c>
      <x:c r="H1129" s="37" t="str">
        <x:v>No</x:v>
      </x:c>
      <x:c r="I1129" s="37" t="str">
        <x:v>Keep prompt</x:v>
      </x:c>
      <x:c r="J1129" s="37" t="str">
        <x:v>No prompt change required under the missing-cell design.</x:v>
      </x:c>
      <x:c r="K1129" s="37" t="str">
        <x:v>red pencil sharpener, green block, juggling ball</x:v>
      </x:c>
      <x:c r="L1129" s="37" t="str">
        <x:v>juggling ball</x:v>
      </x:c>
      <x:c r="M1129" s="37" t="str">
        <x:v>Home</x:v>
      </x:c>
      <x:c r="N1129" s="37" t="str">
        <x:v>Pick up the largest item and place it in the bowl.</x:v>
      </x:c>
      <x:c r="O1129" s="37" t="str"/>
      <x:c r="P1129" s="37" t="str">
        <x:v>Explicitly grounds largest with juggling ball; only the selected size-role/object cell is withheld.</x:v>
      </x:c>
      <x:c r="Q1129" s="38"/>
    </x:row>
    <x:row r="1130" ht="60" customHeight="1">
      <x:c r="A1130" s="70" t="n">
        <x:v>1128</x:v>
      </x:c>
      <x:c r="B1130" s="37" t="str">
        <x:v>Size Recognition</x:v>
      </x:c>
      <x:c r="C1130" s="37" t="str">
        <x:v>Pick up the largest item and place it in the bowl.</x:v>
      </x:c>
      <x:c r="D1130" s="37" t="str">
        <x:v>Explicit size grounding</x:v>
      </x:c>
      <x:c r="E1130" s="37" t="str">
        <x:v>largest × juggling ball</x:v>
      </x:c>
      <x:c r="F1130" s="37" t="str">
        <x:v>size_juggling_ball_largest_explicit</x:v>
      </x:c>
      <x:c r="G1130" s="37" t="str">
        <x:v>green-block×largest; juggling-ball×smallest</x:v>
      </x:c>
      <x:c r="H1130" s="37" t="str">
        <x:v>No</x:v>
      </x:c>
      <x:c r="I1130" s="37" t="str">
        <x:v>Keep prompt</x:v>
      </x:c>
      <x:c r="J1130" s="37" t="str">
        <x:v>No prompt change required under the missing-cell design.</x:v>
      </x:c>
      <x:c r="K1130" s="37" t="str">
        <x:v>red pencil sharpener, green block, juggling ball</x:v>
      </x:c>
      <x:c r="L1130" s="37" t="str">
        <x:v>juggling ball</x:v>
      </x:c>
      <x:c r="M1130" s="37" t="str">
        <x:v>Home</x:v>
      </x:c>
      <x:c r="N1130" s="37" t="str">
        <x:v>Pick up the largest item and place it in the bowl.</x:v>
      </x:c>
      <x:c r="O1130" s="37" t="str"/>
      <x:c r="P1130" s="37" t="str">
        <x:v>Explicitly grounds largest with juggling ball; only the selected size-role/object cell is withheld.</x:v>
      </x:c>
      <x:c r="Q1130" s="38"/>
    </x:row>
    <x:row r="1131" ht="60" customHeight="1">
      <x:c r="A1131" s="70" t="n">
        <x:v>1129</x:v>
      </x:c>
      <x:c r="B1131" s="37" t="str">
        <x:v>Size Recognition</x:v>
      </x:c>
      <x:c r="C1131" s="37" t="str">
        <x:v>Put the largest object in the bowl.</x:v>
      </x:c>
      <x:c r="D1131" s="37" t="str">
        <x:v>Explicit size grounding</x:v>
      </x:c>
      <x:c r="E1131" s="37" t="str">
        <x:v>largest × juggling ball</x:v>
      </x:c>
      <x:c r="F1131" s="37" t="str">
        <x:v>size_juggling_ball_largest_explicit</x:v>
      </x:c>
      <x:c r="G1131" s="37" t="str">
        <x:v>green-block×largest; juggling-ball×smallest</x:v>
      </x:c>
      <x:c r="H1131" s="37" t="str">
        <x:v>No</x:v>
      </x:c>
      <x:c r="I1131" s="37" t="str">
        <x:v>Keep prompt</x:v>
      </x:c>
      <x:c r="J1131" s="37" t="str">
        <x:v>No prompt change required under the missing-cell design.</x:v>
      </x:c>
      <x:c r="K1131" s="37" t="str">
        <x:v>red pencil sharpener, green block, juggling ball</x:v>
      </x:c>
      <x:c r="L1131" s="37" t="str">
        <x:v>juggling ball</x:v>
      </x:c>
      <x:c r="M1131" s="37" t="str">
        <x:v>Home</x:v>
      </x:c>
      <x:c r="N1131" s="37" t="str">
        <x:v>Put the largest object in the bowl.</x:v>
      </x:c>
      <x:c r="O1131" s="37" t="str"/>
      <x:c r="P1131" s="37" t="str">
        <x:v>Explicitly grounds largest with juggling ball; only the selected size-role/object cell is withheld.</x:v>
      </x:c>
      <x:c r="Q1131" s="38"/>
    </x:row>
    <x:row r="1132" ht="60" customHeight="1">
      <x:c r="A1132" s="70" t="n">
        <x:v>1130</x:v>
      </x:c>
      <x:c r="B1132" s="37" t="str">
        <x:v>Size Recognition</x:v>
      </x:c>
      <x:c r="C1132" s="37" t="str">
        <x:v>Move the object that is largest into the bowl.</x:v>
      </x:c>
      <x:c r="D1132" s="37" t="str">
        <x:v>Explicit size grounding</x:v>
      </x:c>
      <x:c r="E1132" s="37" t="str">
        <x:v>largest × juggling ball</x:v>
      </x:c>
      <x:c r="F1132" s="37" t="str">
        <x:v>size_juggling_ball_largest_explicit</x:v>
      </x:c>
      <x:c r="G1132" s="37" t="str">
        <x:v>green-block×largest; juggling-ball×smallest</x:v>
      </x:c>
      <x:c r="H1132" s="37" t="str">
        <x:v>No</x:v>
      </x:c>
      <x:c r="I1132" s="37" t="str">
        <x:v>Keep prompt</x:v>
      </x:c>
      <x:c r="J1132" s="37" t="str">
        <x:v>No prompt change required under the missing-cell design.</x:v>
      </x:c>
      <x:c r="K1132" s="37" t="str">
        <x:v>red pencil sharpener, green block, juggling ball</x:v>
      </x:c>
      <x:c r="L1132" s="37" t="str">
        <x:v>juggling ball</x:v>
      </x:c>
      <x:c r="M1132" s="37" t="str">
        <x:v>Home</x:v>
      </x:c>
      <x:c r="N1132" s="37" t="str">
        <x:v>Move the object that is largest into the bowl.</x:v>
      </x:c>
      <x:c r="O1132" s="37" t="str"/>
      <x:c r="P1132" s="37" t="str">
        <x:v>Explicitly grounds largest with juggling ball; only the selected size-role/object cell is withheld.</x:v>
      </x:c>
      <x:c r="Q1132" s="38"/>
    </x:row>
    <x:row r="1133" ht="60" customHeight="1">
      <x:c r="A1133" s="70" t="n">
        <x:v>1131</x:v>
      </x:c>
      <x:c r="B1133" s="37" t="str">
        <x:v>Size Recognition</x:v>
      </x:c>
      <x:c r="C1133" s="37" t="str">
        <x:v>Pick up the largest item and place it in the bowl.</x:v>
      </x:c>
      <x:c r="D1133" s="37" t="str">
        <x:v>Explicit size grounding</x:v>
      </x:c>
      <x:c r="E1133" s="37" t="str">
        <x:v>largest × juggling ball</x:v>
      </x:c>
      <x:c r="F1133" s="37" t="str">
        <x:v>size_juggling_ball_largest_explicit</x:v>
      </x:c>
      <x:c r="G1133" s="37" t="str">
        <x:v>green-block×largest; juggling-ball×smallest</x:v>
      </x:c>
      <x:c r="H1133" s="37" t="str">
        <x:v>No</x:v>
      </x:c>
      <x:c r="I1133" s="37" t="str">
        <x:v>Keep prompt</x:v>
      </x:c>
      <x:c r="J1133" s="37" t="str">
        <x:v>No prompt change required under the missing-cell design.</x:v>
      </x:c>
      <x:c r="K1133" s="37" t="str">
        <x:v>red pencil sharpener, green block, juggling ball</x:v>
      </x:c>
      <x:c r="L1133" s="37" t="str">
        <x:v>juggling ball</x:v>
      </x:c>
      <x:c r="M1133" s="37" t="str">
        <x:v>Home</x:v>
      </x:c>
      <x:c r="N1133" s="37" t="str">
        <x:v>Pick up the largest item and place it in the bowl.</x:v>
      </x:c>
      <x:c r="O1133" s="37" t="str"/>
      <x:c r="P1133" s="37" t="str">
        <x:v>Explicitly grounds largest with juggling ball; only the selected size-role/object cell is withheld.</x:v>
      </x:c>
      <x:c r="Q1133" s="38"/>
    </x:row>
    <x:row r="1134" ht="60" customHeight="1">
      <x:c r="A1134" s="70" t="n">
        <x:v>1132</x:v>
      </x:c>
      <x:c r="B1134" s="37" t="str">
        <x:v>Size Recognition</x:v>
      </x:c>
      <x:c r="C1134" s="37" t="str">
        <x:v>Move the object that is largest into the bowl.</x:v>
      </x:c>
      <x:c r="D1134" s="37" t="str">
        <x:v>Explicit size grounding</x:v>
      </x:c>
      <x:c r="E1134" s="37" t="str">
        <x:v>largest × juggling ball</x:v>
      </x:c>
      <x:c r="F1134" s="37" t="str">
        <x:v>size_juggling_ball_largest_explicit</x:v>
      </x:c>
      <x:c r="G1134" s="37" t="str">
        <x:v>green-block×largest; juggling-ball×smallest</x:v>
      </x:c>
      <x:c r="H1134" s="37" t="str">
        <x:v>No</x:v>
      </x:c>
      <x:c r="I1134" s="37" t="str">
        <x:v>Keep prompt</x:v>
      </x:c>
      <x:c r="J1134" s="37" t="str">
        <x:v>No prompt change required under the missing-cell design.</x:v>
      </x:c>
      <x:c r="K1134" s="37" t="str">
        <x:v>red pencil sharpener, green block, juggling ball</x:v>
      </x:c>
      <x:c r="L1134" s="37" t="str">
        <x:v>juggling ball</x:v>
      </x:c>
      <x:c r="M1134" s="37" t="str">
        <x:v>Home</x:v>
      </x:c>
      <x:c r="N1134" s="37" t="str">
        <x:v>Move the object that is largest into the bowl.</x:v>
      </x:c>
      <x:c r="O1134" s="37" t="str"/>
      <x:c r="P1134" s="37" t="str">
        <x:v>Explicitly grounds largest with juggling ball; only the selected size-role/object cell is withheld.</x:v>
      </x:c>
      <x:c r="Q1134" s="38"/>
    </x:row>
    <x:row r="1135" ht="60" customHeight="1">
      <x:c r="A1135" s="70" t="n">
        <x:v>1133</x:v>
      </x:c>
      <x:c r="B1135" s="37" t="str">
        <x:v>Size Recognition</x:v>
      </x:c>
      <x:c r="C1135" s="37" t="str">
        <x:v>Put the largest object in the bowl.</x:v>
      </x:c>
      <x:c r="D1135" s="37" t="str">
        <x:v>Explicit size grounding</x:v>
      </x:c>
      <x:c r="E1135" s="37" t="str">
        <x:v>largest × juggling ball</x:v>
      </x:c>
      <x:c r="F1135" s="37" t="str">
        <x:v>size_juggling_ball_largest_explicit</x:v>
      </x:c>
      <x:c r="G1135" s="37" t="str">
        <x:v>green-block×largest; juggling-ball×smallest</x:v>
      </x:c>
      <x:c r="H1135" s="37" t="str">
        <x:v>No</x:v>
      </x:c>
      <x:c r="I1135" s="37" t="str">
        <x:v>Keep prompt</x:v>
      </x:c>
      <x:c r="J1135" s="37" t="str">
        <x:v>No prompt change required under the missing-cell design.</x:v>
      </x:c>
      <x:c r="K1135" s="37" t="str">
        <x:v>red pencil sharpener, green block, juggling ball</x:v>
      </x:c>
      <x:c r="L1135" s="37" t="str">
        <x:v>juggling ball</x:v>
      </x:c>
      <x:c r="M1135" s="37" t="str">
        <x:v>Recovery</x:v>
      </x:c>
      <x:c r="N1135" s="37" t="str">
        <x:v>Put the largest object in the bowl.</x:v>
      </x:c>
      <x:c r="O1135" s="37" t="str"/>
      <x:c r="P1135" s="37" t="str">
        <x:v>Explicitly grounds largest with juggling ball; only the selected size-role/object cell is withheld.</x:v>
      </x:c>
      <x:c r="Q1135" s="38"/>
    </x:row>
    <x:row r="1136" ht="60" customHeight="1">
      <x:c r="A1136" s="70" t="n">
        <x:v>1134</x:v>
      </x:c>
      <x:c r="B1136" s="37" t="str">
        <x:v>Size Recognition</x:v>
      </x:c>
      <x:c r="C1136" s="37" t="str">
        <x:v>Pick up the largest item and place it in the bowl.</x:v>
      </x:c>
      <x:c r="D1136" s="37" t="str">
        <x:v>Explicit size grounding</x:v>
      </x:c>
      <x:c r="E1136" s="37" t="str">
        <x:v>largest × juggling ball</x:v>
      </x:c>
      <x:c r="F1136" s="37" t="str">
        <x:v>size_juggling_ball_largest_explicit</x:v>
      </x:c>
      <x:c r="G1136" s="37" t="str">
        <x:v>green-block×largest; juggling-ball×smallest</x:v>
      </x:c>
      <x:c r="H1136" s="37" t="str">
        <x:v>No</x:v>
      </x:c>
      <x:c r="I1136" s="37" t="str">
        <x:v>Keep prompt</x:v>
      </x:c>
      <x:c r="J1136" s="37" t="str">
        <x:v>No prompt change required under the missing-cell design.</x:v>
      </x:c>
      <x:c r="K1136" s="37" t="str">
        <x:v>red pencil sharpener, green block, juggling ball</x:v>
      </x:c>
      <x:c r="L1136" s="37" t="str">
        <x:v>juggling ball</x:v>
      </x:c>
      <x:c r="M1136" s="37" t="str">
        <x:v>Recovery</x:v>
      </x:c>
      <x:c r="N1136" s="37" t="str">
        <x:v>Pick up the largest item and place it in the bowl.</x:v>
      </x:c>
      <x:c r="O1136" s="37" t="str"/>
      <x:c r="P1136" s="37" t="str">
        <x:v>Explicitly grounds largest with juggling ball; only the selected size-role/object cell is withheld.</x:v>
      </x:c>
      <x:c r="Q1136" s="38"/>
    </x:row>
    <x:row r="1137" ht="60" customHeight="1">
      <x:c r="A1137" s="70" t="n">
        <x:v>1135</x:v>
      </x:c>
      <x:c r="B1137" s="37" t="str">
        <x:v>Size Recognition</x:v>
      </x:c>
      <x:c r="C1137" s="37" t="str">
        <x:v>Put the largest object in the bowl.</x:v>
      </x:c>
      <x:c r="D1137" s="37" t="str">
        <x:v>Explicit size grounding</x:v>
      </x:c>
      <x:c r="E1137" s="37" t="str">
        <x:v>largest × juggling ball</x:v>
      </x:c>
      <x:c r="F1137" s="37" t="str">
        <x:v>size_juggling_ball_largest_explicit</x:v>
      </x:c>
      <x:c r="G1137" s="37" t="str">
        <x:v>green-block×largest; juggling-ball×smallest</x:v>
      </x:c>
      <x:c r="H1137" s="37" t="str">
        <x:v>No</x:v>
      </x:c>
      <x:c r="I1137" s="37" t="str">
        <x:v>Keep prompt</x:v>
      </x:c>
      <x:c r="J1137" s="37" t="str">
        <x:v>No prompt change required under the missing-cell design.</x:v>
      </x:c>
      <x:c r="K1137" s="37" t="str">
        <x:v>red pencil sharpener, juggling ball</x:v>
      </x:c>
      <x:c r="L1137" s="37" t="str">
        <x:v>juggling ball</x:v>
      </x:c>
      <x:c r="M1137" s="37" t="str">
        <x:v>Home</x:v>
      </x:c>
      <x:c r="N1137" s="37" t="str">
        <x:v>Put the largest object in the bowl.</x:v>
      </x:c>
      <x:c r="O1137" s="37" t="str"/>
      <x:c r="P1137" s="37" t="str">
        <x:v>Explicitly grounds largest with juggling ball; only the selected size-role/object cell is withheld.</x:v>
      </x:c>
      <x:c r="Q1137" s="38"/>
    </x:row>
    <x:row r="1138" ht="60" customHeight="1">
      <x:c r="A1138" s="70" t="n">
        <x:v>1136</x:v>
      </x:c>
      <x:c r="B1138" s="37" t="str">
        <x:v>Size Recognition</x:v>
      </x:c>
      <x:c r="C1138" s="37" t="str">
        <x:v>Put the largest object in the bowl.</x:v>
      </x:c>
      <x:c r="D1138" s="37" t="str">
        <x:v>Explicit size grounding</x:v>
      </x:c>
      <x:c r="E1138" s="37" t="str">
        <x:v>largest × juggling ball</x:v>
      </x:c>
      <x:c r="F1138" s="37" t="str">
        <x:v>size_juggling_ball_largest_explicit</x:v>
      </x:c>
      <x:c r="G1138" s="37" t="str">
        <x:v>green-block×largest; juggling-ball×smallest</x:v>
      </x:c>
      <x:c r="H1138" s="37" t="str">
        <x:v>No</x:v>
      </x:c>
      <x:c r="I1138" s="37" t="str">
        <x:v>Keep prompt</x:v>
      </x:c>
      <x:c r="J1138" s="37" t="str">
        <x:v>No prompt change required under the missing-cell design.</x:v>
      </x:c>
      <x:c r="K1138" s="37" t="str">
        <x:v>red pencil sharpener, juggling ball</x:v>
      </x:c>
      <x:c r="L1138" s="37" t="str">
        <x:v>juggling ball</x:v>
      </x:c>
      <x:c r="M1138" s="37" t="str">
        <x:v>Home</x:v>
      </x:c>
      <x:c r="N1138" s="37" t="str">
        <x:v>Put the largest object in the bowl.</x:v>
      </x:c>
      <x:c r="O1138" s="37" t="str"/>
      <x:c r="P1138" s="37" t="str">
        <x:v>Explicitly grounds largest with juggling ball; only the selected size-role/object cell is withheld.</x:v>
      </x:c>
      <x:c r="Q1138" s="38"/>
    </x:row>
    <x:row r="1139" ht="60" customHeight="1">
      <x:c r="A1139" s="70" t="n">
        <x:v>1137</x:v>
      </x:c>
      <x:c r="B1139" s="37" t="str">
        <x:v>Size Recognition</x:v>
      </x:c>
      <x:c r="C1139" s="37" t="str">
        <x:v>Put the largest object in the bowl.</x:v>
      </x:c>
      <x:c r="D1139" s="37" t="str">
        <x:v>Explicit size grounding</x:v>
      </x:c>
      <x:c r="E1139" s="37" t="str">
        <x:v>largest × juggling ball</x:v>
      </x:c>
      <x:c r="F1139" s="37" t="str">
        <x:v>size_juggling_ball_largest_explicit</x:v>
      </x:c>
      <x:c r="G1139" s="37" t="str">
        <x:v>green-block×largest; juggling-ball×smallest</x:v>
      </x:c>
      <x:c r="H1139" s="37" t="str">
        <x:v>No</x:v>
      </x:c>
      <x:c r="I1139" s="37" t="str">
        <x:v>Keep prompt</x:v>
      </x:c>
      <x:c r="J1139" s="37" t="str">
        <x:v>No prompt change required under the missing-cell design.</x:v>
      </x:c>
      <x:c r="K1139" s="37" t="str">
        <x:v>red pencil sharpener, juggling ball</x:v>
      </x:c>
      <x:c r="L1139" s="37" t="str">
        <x:v>juggling ball</x:v>
      </x:c>
      <x:c r="M1139" s="37" t="str">
        <x:v>Home</x:v>
      </x:c>
      <x:c r="N1139" s="37" t="str">
        <x:v>Put the largest object in the bowl.</x:v>
      </x:c>
      <x:c r="O1139" s="37" t="str"/>
      <x:c r="P1139" s="37" t="str">
        <x:v>Explicitly grounds largest with juggling ball; only the selected size-role/object cell is withheld.</x:v>
      </x:c>
      <x:c r="Q1139" s="38"/>
    </x:row>
    <x:row r="1140" ht="60" customHeight="1">
      <x:c r="A1140" s="70" t="n">
        <x:v>1138</x:v>
      </x:c>
      <x:c r="B1140" s="37" t="str">
        <x:v>Size Recognition</x:v>
      </x:c>
      <x:c r="C1140" s="37" t="str">
        <x:v>Put the largest object in the bowl.</x:v>
      </x:c>
      <x:c r="D1140" s="37" t="str">
        <x:v>Explicit size grounding</x:v>
      </x:c>
      <x:c r="E1140" s="37" t="str">
        <x:v>largest × juggling ball</x:v>
      </x:c>
      <x:c r="F1140" s="37" t="str">
        <x:v>size_juggling_ball_largest_explicit</x:v>
      </x:c>
      <x:c r="G1140" s="37" t="str">
        <x:v>green-block×largest; juggling-ball×smallest</x:v>
      </x:c>
      <x:c r="H1140" s="37" t="str">
        <x:v>No</x:v>
      </x:c>
      <x:c r="I1140" s="37" t="str">
        <x:v>Keep prompt</x:v>
      </x:c>
      <x:c r="J1140" s="37" t="str">
        <x:v>No prompt change required under the missing-cell design.</x:v>
      </x:c>
      <x:c r="K1140" s="37" t="str">
        <x:v>red pencil sharpener, juggling ball</x:v>
      </x:c>
      <x:c r="L1140" s="37" t="str">
        <x:v>juggling ball</x:v>
      </x:c>
      <x:c r="M1140" s="37" t="str">
        <x:v>Home</x:v>
      </x:c>
      <x:c r="N1140" s="37" t="str">
        <x:v>Put the largest object in the bowl.</x:v>
      </x:c>
      <x:c r="O1140" s="37" t="str"/>
      <x:c r="P1140" s="37" t="str">
        <x:v>Explicitly grounds largest with juggling ball; only the selected size-role/object cell is withheld.</x:v>
      </x:c>
      <x:c r="Q1140" s="38"/>
    </x:row>
    <x:row r="1141" ht="60" customHeight="1">
      <x:c r="A1141" s="70" t="n">
        <x:v>1139</x:v>
      </x:c>
      <x:c r="B1141" s="37" t="str">
        <x:v>Size Recognition</x:v>
      </x:c>
      <x:c r="C1141" s="37" t="str">
        <x:v>Put the largest object in the bowl.</x:v>
      </x:c>
      <x:c r="D1141" s="37" t="str">
        <x:v>Explicit size grounding</x:v>
      </x:c>
      <x:c r="E1141" s="37" t="str">
        <x:v>largest × juggling ball</x:v>
      </x:c>
      <x:c r="F1141" s="37" t="str">
        <x:v>size_juggling_ball_largest_explicit</x:v>
      </x:c>
      <x:c r="G1141" s="37" t="str">
        <x:v>green-block×largest; juggling-ball×smallest</x:v>
      </x:c>
      <x:c r="H1141" s="37" t="str">
        <x:v>No</x:v>
      </x:c>
      <x:c r="I1141" s="37" t="str">
        <x:v>Keep prompt</x:v>
      </x:c>
      <x:c r="J1141" s="37" t="str">
        <x:v>No prompt change required under the missing-cell design.</x:v>
      </x:c>
      <x:c r="K1141" s="37" t="str">
        <x:v>red pencil sharpener, juggling ball</x:v>
      </x:c>
      <x:c r="L1141" s="37" t="str">
        <x:v>juggling ball</x:v>
      </x:c>
      <x:c r="M1141" s="37" t="str">
        <x:v>Home</x:v>
      </x:c>
      <x:c r="N1141" s="37" t="str">
        <x:v>Put the largest object in the bowl.</x:v>
      </x:c>
      <x:c r="O1141" s="37" t="str"/>
      <x:c r="P1141" s="37" t="str">
        <x:v>Explicitly grounds largest with juggling ball; only the selected size-role/object cell is withheld.</x:v>
      </x:c>
      <x:c r="Q1141" s="38"/>
    </x:row>
    <x:row r="1142" ht="60" customHeight="1">
      <x:c r="A1142" s="70" t="n">
        <x:v>1140</x:v>
      </x:c>
      <x:c r="B1142" s="37" t="str">
        <x:v>Size Recognition</x:v>
      </x:c>
      <x:c r="C1142" s="37" t="str">
        <x:v>Put the largest object in the bowl.</x:v>
      </x:c>
      <x:c r="D1142" s="37" t="str">
        <x:v>Explicit size grounding</x:v>
      </x:c>
      <x:c r="E1142" s="37" t="str">
        <x:v>largest × juggling ball</x:v>
      </x:c>
      <x:c r="F1142" s="37" t="str">
        <x:v>size_juggling_ball_largest_explicit</x:v>
      </x:c>
      <x:c r="G1142" s="37" t="str">
        <x:v>green-block×largest; juggling-ball×smallest</x:v>
      </x:c>
      <x:c r="H1142" s="37" t="str">
        <x:v>No</x:v>
      </x:c>
      <x:c r="I1142" s="37" t="str">
        <x:v>Keep prompt</x:v>
      </x:c>
      <x:c r="J1142" s="37" t="str">
        <x:v>No prompt change required under the missing-cell design.</x:v>
      </x:c>
      <x:c r="K1142" s="37" t="str">
        <x:v>red pencil sharpener, juggling ball</x:v>
      </x:c>
      <x:c r="L1142" s="37" t="str">
        <x:v>juggling ball</x:v>
      </x:c>
      <x:c r="M1142" s="37" t="str">
        <x:v>Home</x:v>
      </x:c>
      <x:c r="N1142" s="37" t="str">
        <x:v>Put the largest object in the bowl.</x:v>
      </x:c>
      <x:c r="O1142" s="37" t="str"/>
      <x:c r="P1142" s="37" t="str">
        <x:v>Explicitly grounds largest with juggling ball; only the selected size-role/object cell is withheld.</x:v>
      </x:c>
      <x:c r="Q1142" s="38"/>
    </x:row>
    <x:row r="1143" ht="60" customHeight="1">
      <x:c r="A1143" s="70" t="n">
        <x:v>1141</x:v>
      </x:c>
      <x:c r="B1143" s="37" t="str">
        <x:v>Size Recognition</x:v>
      </x:c>
      <x:c r="C1143" s="37" t="str">
        <x:v>Pick up the largest item and place it in the bowl.</x:v>
      </x:c>
      <x:c r="D1143" s="37" t="str">
        <x:v>Explicit size grounding</x:v>
      </x:c>
      <x:c r="E1143" s="37" t="str">
        <x:v>largest × juggling ball</x:v>
      </x:c>
      <x:c r="F1143" s="37" t="str">
        <x:v>size_juggling_ball_largest_explicit</x:v>
      </x:c>
      <x:c r="G1143" s="37" t="str">
        <x:v>green-block×largest; juggling-ball×smallest</x:v>
      </x:c>
      <x:c r="H1143" s="37" t="str">
        <x:v>No</x:v>
      </x:c>
      <x:c r="I1143" s="37" t="str">
        <x:v>Keep prompt</x:v>
      </x:c>
      <x:c r="J1143" s="37" t="str">
        <x:v>No prompt change required under the missing-cell design.</x:v>
      </x:c>
      <x:c r="K1143" s="37" t="str">
        <x:v>red pencil sharpener, juggling ball</x:v>
      </x:c>
      <x:c r="L1143" s="37" t="str">
        <x:v>juggling ball</x:v>
      </x:c>
      <x:c r="M1143" s="37" t="str">
        <x:v>Home</x:v>
      </x:c>
      <x:c r="N1143" s="37" t="str">
        <x:v>Pick up the largest item and place it in the bowl.</x:v>
      </x:c>
      <x:c r="O1143" s="37" t="str"/>
      <x:c r="P1143" s="37" t="str">
        <x:v>Explicitly grounds largest with juggling ball; only the selected size-role/object cell is withheld.</x:v>
      </x:c>
      <x:c r="Q1143" s="38"/>
    </x:row>
    <x:row r="1144" ht="60" customHeight="1">
      <x:c r="A1144" s="70" t="n">
        <x:v>1142</x:v>
      </x:c>
      <x:c r="B1144" s="37" t="str">
        <x:v>Size Recognition</x:v>
      </x:c>
      <x:c r="C1144" s="37" t="str">
        <x:v>Move the object that is largest into the bowl.</x:v>
      </x:c>
      <x:c r="D1144" s="37" t="str">
        <x:v>Explicit size grounding</x:v>
      </x:c>
      <x:c r="E1144" s="37" t="str">
        <x:v>largest × juggling ball</x:v>
      </x:c>
      <x:c r="F1144" s="37" t="str">
        <x:v>size_juggling_ball_largest_explicit</x:v>
      </x:c>
      <x:c r="G1144" s="37" t="str">
        <x:v>green-block×largest; juggling-ball×smallest</x:v>
      </x:c>
      <x:c r="H1144" s="37" t="str">
        <x:v>No</x:v>
      </x:c>
      <x:c r="I1144" s="37" t="str">
        <x:v>Keep prompt</x:v>
      </x:c>
      <x:c r="J1144" s="37" t="str">
        <x:v>No prompt change required under the missing-cell design.</x:v>
      </x:c>
      <x:c r="K1144" s="37" t="str">
        <x:v>red pencil sharpener, juggling ball</x:v>
      </x:c>
      <x:c r="L1144" s="37" t="str">
        <x:v>juggling ball</x:v>
      </x:c>
      <x:c r="M1144" s="37" t="str">
        <x:v>Home</x:v>
      </x:c>
      <x:c r="N1144" s="37" t="str">
        <x:v>Move the object that is largest into the bowl.</x:v>
      </x:c>
      <x:c r="O1144" s="37" t="str"/>
      <x:c r="P1144" s="37" t="str">
        <x:v>Explicitly grounds largest with juggling ball; only the selected size-role/object cell is withheld.</x:v>
      </x:c>
      <x:c r="Q1144" s="38"/>
    </x:row>
    <x:row r="1145" ht="60" customHeight="1">
      <x:c r="A1145" s="70" t="n">
        <x:v>1143</x:v>
      </x:c>
      <x:c r="B1145" s="37" t="str">
        <x:v>Size Recognition</x:v>
      </x:c>
      <x:c r="C1145" s="37" t="str">
        <x:v>Put the largest object in the bowl.</x:v>
      </x:c>
      <x:c r="D1145" s="37" t="str">
        <x:v>Explicit size grounding</x:v>
      </x:c>
      <x:c r="E1145" s="37" t="str">
        <x:v>largest × juggling ball</x:v>
      </x:c>
      <x:c r="F1145" s="37" t="str">
        <x:v>size_juggling_ball_largest_explicit</x:v>
      </x:c>
      <x:c r="G1145" s="37" t="str">
        <x:v>green-block×largest; juggling-ball×smallest</x:v>
      </x:c>
      <x:c r="H1145" s="37" t="str">
        <x:v>No</x:v>
      </x:c>
      <x:c r="I1145" s="37" t="str">
        <x:v>Keep prompt</x:v>
      </x:c>
      <x:c r="J1145" s="37" t="str">
        <x:v>No prompt change required under the missing-cell design.</x:v>
      </x:c>
      <x:c r="K1145" s="37" t="str">
        <x:v>red pencil sharpener, juggling ball</x:v>
      </x:c>
      <x:c r="L1145" s="37" t="str">
        <x:v>juggling ball</x:v>
      </x:c>
      <x:c r="M1145" s="37" t="str">
        <x:v>Home</x:v>
      </x:c>
      <x:c r="N1145" s="37" t="str">
        <x:v>Put the largest object in the bowl.</x:v>
      </x:c>
      <x:c r="O1145" s="37" t="str"/>
      <x:c r="P1145" s="37" t="str">
        <x:v>Explicitly grounds largest with juggling ball; only the selected size-role/object cell is withheld.</x:v>
      </x:c>
      <x:c r="Q1145" s="38"/>
    </x:row>
    <x:row r="1146" ht="60" customHeight="1">
      <x:c r="A1146" s="70" t="n">
        <x:v>1144</x:v>
      </x:c>
      <x:c r="B1146" s="37" t="str">
        <x:v>Size Recognition</x:v>
      </x:c>
      <x:c r="C1146" s="37" t="str">
        <x:v>Move the object that is largest into the bowl.</x:v>
      </x:c>
      <x:c r="D1146" s="37" t="str">
        <x:v>Explicit size grounding</x:v>
      </x:c>
      <x:c r="E1146" s="37" t="str">
        <x:v>largest × juggling ball</x:v>
      </x:c>
      <x:c r="F1146" s="37" t="str">
        <x:v>size_juggling_ball_largest_explicit</x:v>
      </x:c>
      <x:c r="G1146" s="37" t="str">
        <x:v>green-block×largest; juggling-ball×smallest</x:v>
      </x:c>
      <x:c r="H1146" s="37" t="str">
        <x:v>No</x:v>
      </x:c>
      <x:c r="I1146" s="37" t="str">
        <x:v>Keep prompt</x:v>
      </x:c>
      <x:c r="J1146" s="37" t="str">
        <x:v>No prompt change required under the missing-cell design.</x:v>
      </x:c>
      <x:c r="K1146" s="37" t="str">
        <x:v>red pencil sharpener, juggling ball</x:v>
      </x:c>
      <x:c r="L1146" s="37" t="str">
        <x:v>juggling ball</x:v>
      </x:c>
      <x:c r="M1146" s="37" t="str">
        <x:v>Home</x:v>
      </x:c>
      <x:c r="N1146" s="37" t="str">
        <x:v>Move the object that is largest into the bowl.</x:v>
      </x:c>
      <x:c r="O1146" s="37" t="str"/>
      <x:c r="P1146" s="37" t="str">
        <x:v>Explicitly grounds largest with juggling ball; only the selected size-role/object cell is withheld.</x:v>
      </x:c>
      <x:c r="Q1146" s="38"/>
    </x:row>
    <x:row r="1147" ht="60" customHeight="1">
      <x:c r="A1147" s="70" t="n">
        <x:v>1145</x:v>
      </x:c>
      <x:c r="B1147" s="37" t="str">
        <x:v>Size Recognition</x:v>
      </x:c>
      <x:c r="C1147" s="37" t="str">
        <x:v>Move the object that is largest into the bowl.</x:v>
      </x:c>
      <x:c r="D1147" s="37" t="str">
        <x:v>Explicit size grounding</x:v>
      </x:c>
      <x:c r="E1147" s="37" t="str">
        <x:v>largest × juggling ball</x:v>
      </x:c>
      <x:c r="F1147" s="37" t="str">
        <x:v>size_juggling_ball_largest_explicit</x:v>
      </x:c>
      <x:c r="G1147" s="37" t="str">
        <x:v>green-block×largest; juggling-ball×smallest</x:v>
      </x:c>
      <x:c r="H1147" s="37" t="str">
        <x:v>No</x:v>
      </x:c>
      <x:c r="I1147" s="37" t="str">
        <x:v>Keep prompt</x:v>
      </x:c>
      <x:c r="J1147" s="37" t="str">
        <x:v>No prompt change required under the missing-cell design.</x:v>
      </x:c>
      <x:c r="K1147" s="37" t="str">
        <x:v>red pencil sharpener, juggling ball</x:v>
      </x:c>
      <x:c r="L1147" s="37" t="str">
        <x:v>juggling ball</x:v>
      </x:c>
      <x:c r="M1147" s="37" t="str">
        <x:v>Home</x:v>
      </x:c>
      <x:c r="N1147" s="37" t="str">
        <x:v>Move the object that is largest into the bowl.</x:v>
      </x:c>
      <x:c r="O1147" s="37" t="str"/>
      <x:c r="P1147" s="37" t="str">
        <x:v>Explicitly grounds largest with juggling ball; only the selected size-role/object cell is withheld.</x:v>
      </x:c>
      <x:c r="Q1147" s="38"/>
    </x:row>
    <x:row r="1148" ht="60" customHeight="1">
      <x:c r="A1148" s="70" t="n">
        <x:v>1146</x:v>
      </x:c>
      <x:c r="B1148" s="37" t="str">
        <x:v>Size Recognition</x:v>
      </x:c>
      <x:c r="C1148" s="37" t="str">
        <x:v>Move the object that is largest into the bowl.</x:v>
      </x:c>
      <x:c r="D1148" s="37" t="str">
        <x:v>Explicit size grounding</x:v>
      </x:c>
      <x:c r="E1148" s="37" t="str">
        <x:v>largest × juggling ball</x:v>
      </x:c>
      <x:c r="F1148" s="37" t="str">
        <x:v>size_juggling_ball_largest_explicit</x:v>
      </x:c>
      <x:c r="G1148" s="37" t="str">
        <x:v>green-block×largest; juggling-ball×smallest</x:v>
      </x:c>
      <x:c r="H1148" s="37" t="str">
        <x:v>No</x:v>
      </x:c>
      <x:c r="I1148" s="37" t="str">
        <x:v>Keep prompt</x:v>
      </x:c>
      <x:c r="J1148" s="37" t="str">
        <x:v>No prompt change required under the missing-cell design.</x:v>
      </x:c>
      <x:c r="K1148" s="37" t="str">
        <x:v>red pencil sharpener, juggling ball</x:v>
      </x:c>
      <x:c r="L1148" s="37" t="str">
        <x:v>juggling ball</x:v>
      </x:c>
      <x:c r="M1148" s="37" t="str">
        <x:v>Home</x:v>
      </x:c>
      <x:c r="N1148" s="37" t="str">
        <x:v>Move the object that is largest into the bowl.</x:v>
      </x:c>
      <x:c r="O1148" s="37" t="str"/>
      <x:c r="P1148" s="37" t="str">
        <x:v>Explicitly grounds largest with juggling ball; only the selected size-role/object cell is withheld.</x:v>
      </x:c>
      <x:c r="Q1148" s="38"/>
    </x:row>
    <x:row r="1149" ht="60" customHeight="1">
      <x:c r="A1149" s="70" t="n">
        <x:v>1147</x:v>
      </x:c>
      <x:c r="B1149" s="37" t="str">
        <x:v>Size Recognition</x:v>
      </x:c>
      <x:c r="C1149" s="37" t="str">
        <x:v>Put the largest object in the bowl.</x:v>
      </x:c>
      <x:c r="D1149" s="37" t="str">
        <x:v>Explicit size grounding</x:v>
      </x:c>
      <x:c r="E1149" s="37" t="str">
        <x:v>largest × juggling ball</x:v>
      </x:c>
      <x:c r="F1149" s="37" t="str">
        <x:v>size_juggling_ball_largest_explicit</x:v>
      </x:c>
      <x:c r="G1149" s="37" t="str">
        <x:v>green-block×largest; juggling-ball×smallest</x:v>
      </x:c>
      <x:c r="H1149" s="37" t="str">
        <x:v>No</x:v>
      </x:c>
      <x:c r="I1149" s="37" t="str">
        <x:v>Keep prompt</x:v>
      </x:c>
      <x:c r="J1149" s="37" t="str">
        <x:v>No prompt change required under the missing-cell design.</x:v>
      </x:c>
      <x:c r="K1149" s="37" t="str">
        <x:v>red pencil sharpener, juggling ball</x:v>
      </x:c>
      <x:c r="L1149" s="37" t="str">
        <x:v>juggling ball</x:v>
      </x:c>
      <x:c r="M1149" s="37" t="str">
        <x:v>Recovery</x:v>
      </x:c>
      <x:c r="N1149" s="37" t="str">
        <x:v>Put the largest object in the bowl.</x:v>
      </x:c>
      <x:c r="O1149" s="37" t="str"/>
      <x:c r="P1149" s="37" t="str">
        <x:v>Explicitly grounds largest with juggling ball; only the selected size-role/object cell is withheld.</x:v>
      </x:c>
      <x:c r="Q1149" s="38"/>
    </x:row>
    <x:row r="1150" ht="60" customHeight="1">
      <x:c r="A1150" s="70" t="n">
        <x:v>1148</x:v>
      </x:c>
      <x:c r="B1150" s="37" t="str">
        <x:v>Size Recognition</x:v>
      </x:c>
      <x:c r="C1150" s="37" t="str">
        <x:v>Put the largest object in the bowl.</x:v>
      </x:c>
      <x:c r="D1150" s="37" t="str">
        <x:v>Explicit size grounding</x:v>
      </x:c>
      <x:c r="E1150" s="37" t="str">
        <x:v>largest × juggling ball</x:v>
      </x:c>
      <x:c r="F1150" s="37" t="str">
        <x:v>size_juggling_ball_largest_explicit</x:v>
      </x:c>
      <x:c r="G1150" s="37" t="str">
        <x:v>green-block×largest; juggling-ball×smallest</x:v>
      </x:c>
      <x:c r="H1150" s="37" t="str">
        <x:v>No</x:v>
      </x:c>
      <x:c r="I1150" s="37" t="str">
        <x:v>Keep prompt</x:v>
      </x:c>
      <x:c r="J1150" s="37" t="str">
        <x:v>No prompt change required under the missing-cell design.</x:v>
      </x:c>
      <x:c r="K1150" s="37" t="str">
        <x:v>red pencil sharpener, juggling ball</x:v>
      </x:c>
      <x:c r="L1150" s="37" t="str">
        <x:v>juggling ball</x:v>
      </x:c>
      <x:c r="M1150" s="37" t="str">
        <x:v>Recovery</x:v>
      </x:c>
      <x:c r="N1150" s="37" t="str">
        <x:v>Put the largest object in the bowl.</x:v>
      </x:c>
      <x:c r="O1150" s="37" t="str"/>
      <x:c r="P1150" s="37" t="str">
        <x:v>Explicitly grounds largest with juggling ball; only the selected size-role/object cell is withheld.</x:v>
      </x:c>
      <x:c r="Q1150" s="38"/>
    </x:row>
    <x:row r="1151" ht="60" customHeight="1">
      <x:c r="A1151" s="70" t="n">
        <x:v>1149</x:v>
      </x:c>
      <x:c r="B1151" s="37" t="str">
        <x:v>Size Recognition</x:v>
      </x:c>
      <x:c r="C1151" s="37" t="str">
        <x:v>Pick up the largest item and place it in the bowl.</x:v>
      </x:c>
      <x:c r="D1151" s="37" t="str">
        <x:v>Explicit size grounding</x:v>
      </x:c>
      <x:c r="E1151" s="37" t="str">
        <x:v>largest × juggling ball</x:v>
      </x:c>
      <x:c r="F1151" s="37" t="str">
        <x:v>size_juggling_ball_largest_explicit</x:v>
      </x:c>
      <x:c r="G1151" s="37" t="str">
        <x:v>green-block×largest; juggling-ball×smallest</x:v>
      </x:c>
      <x:c r="H1151" s="37" t="str">
        <x:v>No</x:v>
      </x:c>
      <x:c r="I1151" s="37" t="str">
        <x:v>Keep prompt</x:v>
      </x:c>
      <x:c r="J1151" s="37" t="str">
        <x:v>No prompt change required under the missing-cell design.</x:v>
      </x:c>
      <x:c r="K1151" s="37" t="str">
        <x:v>red pencil sharpener, juggling ball</x:v>
      </x:c>
      <x:c r="L1151" s="37" t="str">
        <x:v>juggling ball</x:v>
      </x:c>
      <x:c r="M1151" s="37" t="str">
        <x:v>Recovery</x:v>
      </x:c>
      <x:c r="N1151" s="37" t="str">
        <x:v>Pick up the largest item and place it in the bowl.</x:v>
      </x:c>
      <x:c r="O1151" s="37" t="str"/>
      <x:c r="P1151" s="37" t="str">
        <x:v>Explicitly grounds largest with juggling ball; only the selected size-role/object cell is withheld.</x:v>
      </x:c>
      <x:c r="Q1151" s="38"/>
    </x:row>
    <x:row r="1152" ht="60" customHeight="1">
      <x:c r="A1152" s="70" t="n">
        <x:v>1150</x:v>
      </x:c>
      <x:c r="B1152" s="37" t="str">
        <x:v>Size Recognition</x:v>
      </x:c>
      <x:c r="C1152" s="37" t="str">
        <x:v>Put the crushed Pepsi can in the bowl.</x:v>
      </x:c>
      <x:c r="D1152" s="37" t="str">
        <x:v>Direct-object identity control</x:v>
      </x:c>
      <x:c r="E1152" s="37" t="str">
        <x:v>direct identity=crushed Pepsi can; physical size role=largest</x:v>
      </x:c>
      <x:c r="F1152" s="37" t="str">
        <x:v>size_crushed_pepsi_can_largest_direct_control</x:v>
      </x:c>
      <x:c r="G1152" s="37" t="str">
        <x:v>green-block×largest; juggling-ball×smallest</x:v>
      </x:c>
      <x:c r="H1152" s="37" t="str">
        <x:v>Yes</x:v>
      </x:c>
      <x:c r="I1152" s="37" t="str">
        <x:v>Replace prompt only</x:v>
      </x:c>
      <x:c r="J1152" s="37" t="str">
        <x:v>Prompt-only relabeling; preserve episode 1150 video, scene, trajectory, target, and start position.</x:v>
      </x:c>
      <x:c r="K1152" s="37" t="str">
        <x:v>red pencil sharpener, green block, juggling ball, crushed Pepsi can</x:v>
      </x:c>
      <x:c r="L1152" s="37" t="str">
        <x:v>crushed Pepsi can</x:v>
      </x:c>
      <x:c r="M1152" s="37" t="str">
        <x:v>Home</x:v>
      </x:c>
      <x:c r="N1152" s="37" t="str">
        <x:v>Pick up the largest item and place it in the bowl.</x:v>
      </x:c>
      <x:c r="O1152" s="37" t="str"/>
      <x:c r="P1152" s="37" t="str">
        <x:v>Provides direct-name grounding within the size task. Five direct controls are retained for every object identity.</x:v>
      </x:c>
      <x:c r="Q1152" s="38"/>
    </x:row>
    <x:row r="1153" ht="60" customHeight="1">
      <x:c r="A1153" s="70" t="n">
        <x:v>1151</x:v>
      </x:c>
      <x:c r="B1153" s="37" t="str">
        <x:v>Size Recognition</x:v>
      </x:c>
      <x:c r="C1153" s="37" t="str">
        <x:v>Pick up the crushed Pepsi can and place it in the bowl.</x:v>
      </x:c>
      <x:c r="D1153" s="37" t="str">
        <x:v>Direct-object identity control</x:v>
      </x:c>
      <x:c r="E1153" s="37" t="str">
        <x:v>direct identity=crushed Pepsi can; physical size role=largest</x:v>
      </x:c>
      <x:c r="F1153" s="37" t="str">
        <x:v>size_crushed_pepsi_can_largest_direct_control</x:v>
      </x:c>
      <x:c r="G1153" s="37" t="str">
        <x:v>green-block×largest; juggling-ball×smallest</x:v>
      </x:c>
      <x:c r="H1153" s="37" t="str">
        <x:v>Yes</x:v>
      </x:c>
      <x:c r="I1153" s="37" t="str">
        <x:v>Replace prompt only</x:v>
      </x:c>
      <x:c r="J1153" s="37" t="str">
        <x:v>Prompt-only relabeling; preserve episode 1151 video, scene, trajectory, target, and start position.</x:v>
      </x:c>
      <x:c r="K1153" s="37" t="str">
        <x:v>red pencil sharpener, green block, juggling ball, crushed Pepsi can</x:v>
      </x:c>
      <x:c r="L1153" s="37" t="str">
        <x:v>crushed Pepsi can</x:v>
      </x:c>
      <x:c r="M1153" s="37" t="str">
        <x:v>Home</x:v>
      </x:c>
      <x:c r="N1153" s="37" t="str">
        <x:v>Pick up the largest item and place it in the bowl.</x:v>
      </x:c>
      <x:c r="O1153" s="37" t="str"/>
      <x:c r="P1153" s="37" t="str">
        <x:v>Provides direct-name grounding within the size task. Five direct controls are retained for every object identity.</x:v>
      </x:c>
      <x:c r="Q1153" s="38"/>
    </x:row>
    <x:row r="1154" ht="60" customHeight="1">
      <x:c r="A1154" s="70" t="n">
        <x:v>1152</x:v>
      </x:c>
      <x:c r="B1154" s="37" t="str">
        <x:v>Size Recognition</x:v>
      </x:c>
      <x:c r="C1154" s="37" t="str">
        <x:v>Move the crushed Pepsi can into the bowl.</x:v>
      </x:c>
      <x:c r="D1154" s="37" t="str">
        <x:v>Direct-object identity control</x:v>
      </x:c>
      <x:c r="E1154" s="37" t="str">
        <x:v>direct identity=crushed Pepsi can; physical size role=largest</x:v>
      </x:c>
      <x:c r="F1154" s="37" t="str">
        <x:v>size_crushed_pepsi_can_largest_direct_control</x:v>
      </x:c>
      <x:c r="G1154" s="37" t="str">
        <x:v>green-block×largest; juggling-ball×smallest</x:v>
      </x:c>
      <x:c r="H1154" s="37" t="str">
        <x:v>Yes</x:v>
      </x:c>
      <x:c r="I1154" s="37" t="str">
        <x:v>Replace prompt only</x:v>
      </x:c>
      <x:c r="J1154" s="37" t="str">
        <x:v>Prompt-only relabeling; preserve episode 1152 video, scene, trajectory, target, and start position.</x:v>
      </x:c>
      <x:c r="K1154" s="37" t="str">
        <x:v>red pencil sharpener, green block, juggling ball, crushed Pepsi can</x:v>
      </x:c>
      <x:c r="L1154" s="37" t="str">
        <x:v>crushed Pepsi can</x:v>
      </x:c>
      <x:c r="M1154" s="37" t="str">
        <x:v>Home</x:v>
      </x:c>
      <x:c r="N1154" s="37" t="str">
        <x:v>Move the object that is largest into the bowl.</x:v>
      </x:c>
      <x:c r="O1154" s="37" t="str"/>
      <x:c r="P1154" s="37" t="str">
        <x:v>Provides direct-name grounding within the size task. Five direct controls are retained for every object identity.</x:v>
      </x:c>
      <x:c r="Q1154" s="38"/>
    </x:row>
    <x:row r="1155" ht="60" customHeight="1">
      <x:c r="A1155" s="70" t="n">
        <x:v>1153</x:v>
      </x:c>
      <x:c r="B1155" s="37" t="str">
        <x:v>Size Recognition</x:v>
      </x:c>
      <x:c r="C1155" s="37" t="str">
        <x:v>Put the crushed Pepsi can in the bowl.</x:v>
      </x:c>
      <x:c r="D1155" s="37" t="str">
        <x:v>Direct-object identity control</x:v>
      </x:c>
      <x:c r="E1155" s="37" t="str">
        <x:v>direct identity=crushed Pepsi can; physical size role=largest</x:v>
      </x:c>
      <x:c r="F1155" s="37" t="str">
        <x:v>size_crushed_pepsi_can_largest_direct_control</x:v>
      </x:c>
      <x:c r="G1155" s="37" t="str">
        <x:v>green-block×largest; juggling-ball×smallest</x:v>
      </x:c>
      <x:c r="H1155" s="37" t="str">
        <x:v>Yes</x:v>
      </x:c>
      <x:c r="I1155" s="37" t="str">
        <x:v>Replace prompt only</x:v>
      </x:c>
      <x:c r="J1155" s="37" t="str">
        <x:v>Prompt-only relabeling; preserve episode 1153 video, scene, trajectory, target, and start position.</x:v>
      </x:c>
      <x:c r="K1155" s="37" t="str">
        <x:v>red pencil sharpener, green block, juggling ball, crushed Pepsi can</x:v>
      </x:c>
      <x:c r="L1155" s="37" t="str">
        <x:v>crushed Pepsi can</x:v>
      </x:c>
      <x:c r="M1155" s="37" t="str">
        <x:v>Home</x:v>
      </x:c>
      <x:c r="N1155" s="37" t="str">
        <x:v>Move the object that is largest into the bowl.</x:v>
      </x:c>
      <x:c r="O1155" s="37" t="str"/>
      <x:c r="P1155" s="37" t="str">
        <x:v>Provides direct-name grounding within the size task. Five direct controls are retained for every object identity.</x:v>
      </x:c>
      <x:c r="Q1155" s="38"/>
    </x:row>
    <x:row r="1156" ht="60" customHeight="1">
      <x:c r="A1156" s="70" t="n">
        <x:v>1154</x:v>
      </x:c>
      <x:c r="B1156" s="37" t="str">
        <x:v>Size Recognition</x:v>
      </x:c>
      <x:c r="C1156" s="37" t="str">
        <x:v>Pick up the crushed Pepsi can and place it in the bowl.</x:v>
      </x:c>
      <x:c r="D1156" s="37" t="str">
        <x:v>Direct-object identity control</x:v>
      </x:c>
      <x:c r="E1156" s="37" t="str">
        <x:v>direct identity=crushed Pepsi can; physical size role=largest</x:v>
      </x:c>
      <x:c r="F1156" s="37" t="str">
        <x:v>size_crushed_pepsi_can_largest_direct_control</x:v>
      </x:c>
      <x:c r="G1156" s="37" t="str">
        <x:v>green-block×largest; juggling-ball×smallest</x:v>
      </x:c>
      <x:c r="H1156" s="37" t="str">
        <x:v>Yes</x:v>
      </x:c>
      <x:c r="I1156" s="37" t="str">
        <x:v>Replace prompt only</x:v>
      </x:c>
      <x:c r="J1156" s="37" t="str">
        <x:v>Prompt-only relabeling; preserve episode 1154 video, scene, trajectory, target, and start position.</x:v>
      </x:c>
      <x:c r="K1156" s="37" t="str">
        <x:v>red pencil sharpener, green block, juggling ball, crushed Pepsi can</x:v>
      </x:c>
      <x:c r="L1156" s="37" t="str">
        <x:v>crushed Pepsi can</x:v>
      </x:c>
      <x:c r="M1156" s="37" t="str">
        <x:v>Home</x:v>
      </x:c>
      <x:c r="N1156" s="37" t="str">
        <x:v>Move the object that is largest into the bowl.</x:v>
      </x:c>
      <x:c r="O1156" s="37" t="str"/>
      <x:c r="P1156" s="37" t="str">
        <x:v>Provides direct-name grounding within the size task. Five direct controls are retained for every object identity.</x:v>
      </x:c>
      <x:c r="Q1156" s="38"/>
    </x:row>
    <x:row r="1157" ht="60" customHeight="1">
      <x:c r="A1157" s="70" t="n">
        <x:v>1155</x:v>
      </x:c>
      <x:c r="B1157" s="37" t="str">
        <x:v>Size Recognition</x:v>
      </x:c>
      <x:c r="C1157" s="37" t="str">
        <x:v>Pick up the largest item and place it in the bowl.</x:v>
      </x:c>
      <x:c r="D1157" s="37" t="str">
        <x:v>Explicit size grounding</x:v>
      </x:c>
      <x:c r="E1157" s="37" t="str">
        <x:v>largest × crushed Pepsi can</x:v>
      </x:c>
      <x:c r="F1157" s="37" t="str">
        <x:v>size_crushed_pepsi_can_largest_explicit</x:v>
      </x:c>
      <x:c r="G1157" s="37" t="str">
        <x:v>green-block×largest; juggling-ball×smallest</x:v>
      </x:c>
      <x:c r="H1157" s="37" t="str">
        <x:v>No</x:v>
      </x:c>
      <x:c r="I1157" s="37" t="str">
        <x:v>Keep prompt</x:v>
      </x:c>
      <x:c r="J1157" s="37" t="str">
        <x:v>No prompt change required under the missing-cell design.</x:v>
      </x:c>
      <x:c r="K1157" s="37" t="str">
        <x:v>red pencil sharpener, green block, juggling ball, crushed Pepsi can</x:v>
      </x:c>
      <x:c r="L1157" s="37" t="str">
        <x:v>crushed Pepsi can</x:v>
      </x:c>
      <x:c r="M1157" s="37" t="str">
        <x:v>Home</x:v>
      </x:c>
      <x:c r="N1157" s="37" t="str">
        <x:v>Pick up the largest item and place it in the bowl.</x:v>
      </x:c>
      <x:c r="O1157" s="37" t="str"/>
      <x:c r="P1157" s="37" t="str">
        <x:v>Explicitly grounds largest with crushed Pepsi can; only the selected size-role/object cell is withheld.</x:v>
      </x:c>
      <x:c r="Q1157" s="38"/>
    </x:row>
    <x:row r="1158" ht="60" customHeight="1">
      <x:c r="A1158" s="70" t="n">
        <x:v>1156</x:v>
      </x:c>
      <x:c r="B1158" s="37" t="str">
        <x:v>Size Recognition</x:v>
      </x:c>
      <x:c r="C1158" s="37" t="str">
        <x:v>Move the object that is largest into the bowl.</x:v>
      </x:c>
      <x:c r="D1158" s="37" t="str">
        <x:v>Explicit size grounding</x:v>
      </x:c>
      <x:c r="E1158" s="37" t="str">
        <x:v>largest × crushed Pepsi can</x:v>
      </x:c>
      <x:c r="F1158" s="37" t="str">
        <x:v>size_crushed_pepsi_can_largest_explicit</x:v>
      </x:c>
      <x:c r="G1158" s="37" t="str">
        <x:v>green-block×largest; juggling-ball×smallest</x:v>
      </x:c>
      <x:c r="H1158" s="37" t="str">
        <x:v>No</x:v>
      </x:c>
      <x:c r="I1158" s="37" t="str">
        <x:v>Keep prompt</x:v>
      </x:c>
      <x:c r="J1158" s="37" t="str">
        <x:v>No prompt change required under the missing-cell design.</x:v>
      </x:c>
      <x:c r="K1158" s="37" t="str">
        <x:v>red pencil sharpener, green block, juggling ball, crushed Pepsi can</x:v>
      </x:c>
      <x:c r="L1158" s="37" t="str">
        <x:v>crushed Pepsi can</x:v>
      </x:c>
      <x:c r="M1158" s="37" t="str">
        <x:v>Home</x:v>
      </x:c>
      <x:c r="N1158" s="37" t="str">
        <x:v>Move the object that is largest into the bowl.</x:v>
      </x:c>
      <x:c r="O1158" s="37" t="str"/>
      <x:c r="P1158" s="37" t="str">
        <x:v>Explicitly grounds largest with crushed Pepsi can; only the selected size-role/object cell is withheld.</x:v>
      </x:c>
      <x:c r="Q1158" s="38"/>
    </x:row>
    <x:row r="1159" ht="60" customHeight="1">
      <x:c r="A1159" s="70" t="n">
        <x:v>1157</x:v>
      </x:c>
      <x:c r="B1159" s="37" t="str">
        <x:v>Size Recognition</x:v>
      </x:c>
      <x:c r="C1159" s="37" t="str">
        <x:v>Put the largest object in the bowl.</x:v>
      </x:c>
      <x:c r="D1159" s="37" t="str">
        <x:v>Explicit size grounding</x:v>
      </x:c>
      <x:c r="E1159" s="37" t="str">
        <x:v>largest × crushed Pepsi can</x:v>
      </x:c>
      <x:c r="F1159" s="37" t="str">
        <x:v>size_crushed_pepsi_can_largest_explicit</x:v>
      </x:c>
      <x:c r="G1159" s="37" t="str">
        <x:v>green-block×largest; juggling-ball×smallest</x:v>
      </x:c>
      <x:c r="H1159" s="37" t="str">
        <x:v>No</x:v>
      </x:c>
      <x:c r="I1159" s="37" t="str">
        <x:v>Keep prompt</x:v>
      </x:c>
      <x:c r="J1159" s="37" t="str">
        <x:v>No prompt change required under the missing-cell design.</x:v>
      </x:c>
      <x:c r="K1159" s="37" t="str">
        <x:v>red pencil sharpener, green block, juggling ball, crushed Pepsi can</x:v>
      </x:c>
      <x:c r="L1159" s="37" t="str">
        <x:v>crushed Pepsi can</x:v>
      </x:c>
      <x:c r="M1159" s="37" t="str">
        <x:v>Home</x:v>
      </x:c>
      <x:c r="N1159" s="37" t="str">
        <x:v>Put the largest object in the bowl.</x:v>
      </x:c>
      <x:c r="O1159" s="37" t="str"/>
      <x:c r="P1159" s="37" t="str">
        <x:v>Explicitly grounds largest with crushed Pepsi can; only the selected size-role/object cell is withheld.</x:v>
      </x:c>
      <x:c r="Q1159" s="38"/>
    </x:row>
    <x:row r="1160" ht="60" customHeight="1">
      <x:c r="A1160" s="70" t="n">
        <x:v>1158</x:v>
      </x:c>
      <x:c r="B1160" s="37" t="str">
        <x:v>Size Recognition</x:v>
      </x:c>
      <x:c r="C1160" s="37" t="str">
        <x:v>Put the largest object in the bowl.</x:v>
      </x:c>
      <x:c r="D1160" s="37" t="str">
        <x:v>Explicit size grounding</x:v>
      </x:c>
      <x:c r="E1160" s="37" t="str">
        <x:v>largest × crushed Pepsi can</x:v>
      </x:c>
      <x:c r="F1160" s="37" t="str">
        <x:v>size_crushed_pepsi_can_largest_explicit</x:v>
      </x:c>
      <x:c r="G1160" s="37" t="str">
        <x:v>green-block×largest; juggling-ball×smallest</x:v>
      </x:c>
      <x:c r="H1160" s="37" t="str">
        <x:v>No</x:v>
      </x:c>
      <x:c r="I1160" s="37" t="str">
        <x:v>Keep prompt</x:v>
      </x:c>
      <x:c r="J1160" s="37" t="str">
        <x:v>No prompt change required under the missing-cell design.</x:v>
      </x:c>
      <x:c r="K1160" s="37" t="str">
        <x:v>red pencil sharpener, green block, juggling ball, crushed Pepsi can</x:v>
      </x:c>
      <x:c r="L1160" s="37" t="str">
        <x:v>crushed Pepsi can</x:v>
      </x:c>
      <x:c r="M1160" s="37" t="str">
        <x:v>Home</x:v>
      </x:c>
      <x:c r="N1160" s="37" t="str">
        <x:v>Put the largest object in the bowl.</x:v>
      </x:c>
      <x:c r="O1160" s="37" t="str"/>
      <x:c r="P1160" s="37" t="str">
        <x:v>Explicitly grounds largest with crushed Pepsi can; only the selected size-role/object cell is withheld.</x:v>
      </x:c>
      <x:c r="Q1160" s="38"/>
    </x:row>
    <x:row r="1161" ht="60" customHeight="1">
      <x:c r="A1161" s="70" t="n">
        <x:v>1159</x:v>
      </x:c>
      <x:c r="B1161" s="37" t="str">
        <x:v>Size Recognition</x:v>
      </x:c>
      <x:c r="C1161" s="37" t="str">
        <x:v>Move the object that is largest into the bowl.</x:v>
      </x:c>
      <x:c r="D1161" s="37" t="str">
        <x:v>Explicit size grounding</x:v>
      </x:c>
      <x:c r="E1161" s="37" t="str">
        <x:v>largest × crushed Pepsi can</x:v>
      </x:c>
      <x:c r="F1161" s="37" t="str">
        <x:v>size_crushed_pepsi_can_largest_explicit</x:v>
      </x:c>
      <x:c r="G1161" s="37" t="str">
        <x:v>green-block×largest; juggling-ball×smallest</x:v>
      </x:c>
      <x:c r="H1161" s="37" t="str">
        <x:v>No</x:v>
      </x:c>
      <x:c r="I1161" s="37" t="str">
        <x:v>Keep prompt</x:v>
      </x:c>
      <x:c r="J1161" s="37" t="str">
        <x:v>No prompt change required under the missing-cell design.</x:v>
      </x:c>
      <x:c r="K1161" s="37" t="str">
        <x:v>red pencil sharpener, green block, juggling ball, crushed Pepsi can</x:v>
      </x:c>
      <x:c r="L1161" s="37" t="str">
        <x:v>crushed Pepsi can</x:v>
      </x:c>
      <x:c r="M1161" s="37" t="str">
        <x:v>Home</x:v>
      </x:c>
      <x:c r="N1161" s="37" t="str">
        <x:v>Move the object that is largest into the bowl.</x:v>
      </x:c>
      <x:c r="O1161" s="37" t="str"/>
      <x:c r="P1161" s="37" t="str">
        <x:v>Explicitly grounds largest with crushed Pepsi can; only the selected size-role/object cell is withheld.</x:v>
      </x:c>
      <x:c r="Q1161" s="38"/>
    </x:row>
    <x:row r="1162" ht="60" customHeight="1">
      <x:c r="A1162" s="70" t="n">
        <x:v>1160</x:v>
      </x:c>
      <x:c r="B1162" s="37" t="str">
        <x:v>Size Recognition</x:v>
      </x:c>
      <x:c r="C1162" s="37" t="str">
        <x:v>Move the object that is largest into the bowl.</x:v>
      </x:c>
      <x:c r="D1162" s="37" t="str">
        <x:v>Explicit size grounding</x:v>
      </x:c>
      <x:c r="E1162" s="37" t="str">
        <x:v>largest × crushed Pepsi can</x:v>
      </x:c>
      <x:c r="F1162" s="37" t="str">
        <x:v>size_crushed_pepsi_can_largest_explicit</x:v>
      </x:c>
      <x:c r="G1162" s="37" t="str">
        <x:v>green-block×largest; juggling-ball×smallest</x:v>
      </x:c>
      <x:c r="H1162" s="37" t="str">
        <x:v>No</x:v>
      </x:c>
      <x:c r="I1162" s="37" t="str">
        <x:v>Keep prompt</x:v>
      </x:c>
      <x:c r="J1162" s="37" t="str">
        <x:v>No prompt change required under the missing-cell design.</x:v>
      </x:c>
      <x:c r="K1162" s="37" t="str">
        <x:v>red pencil sharpener, green block, juggling ball, crushed Pepsi can</x:v>
      </x:c>
      <x:c r="L1162" s="37" t="str">
        <x:v>crushed Pepsi can</x:v>
      </x:c>
      <x:c r="M1162" s="37" t="str">
        <x:v>Home</x:v>
      </x:c>
      <x:c r="N1162" s="37" t="str">
        <x:v>Move the object that is largest into the bowl.</x:v>
      </x:c>
      <x:c r="O1162" s="37" t="str"/>
      <x:c r="P1162" s="37" t="str">
        <x:v>Explicitly grounds largest with crushed Pepsi can; only the selected size-role/object cell is withheld.</x:v>
      </x:c>
      <x:c r="Q1162" s="38"/>
    </x:row>
    <x:row r="1163" ht="60" customHeight="1">
      <x:c r="A1163" s="70" t="n">
        <x:v>1161</x:v>
      </x:c>
      <x:c r="B1163" s="37" t="str">
        <x:v>Size Recognition</x:v>
      </x:c>
      <x:c r="C1163" s="37" t="str">
        <x:v>Pick up the largest item and place it in the bowl.</x:v>
      </x:c>
      <x:c r="D1163" s="37" t="str">
        <x:v>Explicit size grounding</x:v>
      </x:c>
      <x:c r="E1163" s="37" t="str">
        <x:v>largest × crushed Pepsi can</x:v>
      </x:c>
      <x:c r="F1163" s="37" t="str">
        <x:v>size_crushed_pepsi_can_largest_explicit</x:v>
      </x:c>
      <x:c r="G1163" s="37" t="str">
        <x:v>green-block×largest; juggling-ball×smallest</x:v>
      </x:c>
      <x:c r="H1163" s="37" t="str">
        <x:v>No</x:v>
      </x:c>
      <x:c r="I1163" s="37" t="str">
        <x:v>Keep prompt</x:v>
      </x:c>
      <x:c r="J1163" s="37" t="str">
        <x:v>No prompt change required under the missing-cell design.</x:v>
      </x:c>
      <x:c r="K1163" s="37" t="str">
        <x:v>red pencil sharpener, green block, juggling ball, crushed Pepsi can</x:v>
      </x:c>
      <x:c r="L1163" s="37" t="str">
        <x:v>crushed Pepsi can</x:v>
      </x:c>
      <x:c r="M1163" s="37" t="str">
        <x:v>Home</x:v>
      </x:c>
      <x:c r="N1163" s="37" t="str">
        <x:v>Pick up the largest item and place it in the bowl.</x:v>
      </x:c>
      <x:c r="O1163" s="37" t="str"/>
      <x:c r="P1163" s="37" t="str">
        <x:v>Explicitly grounds largest with crushed Pepsi can; only the selected size-role/object cell is withheld.</x:v>
      </x:c>
      <x:c r="Q1163" s="38"/>
    </x:row>
    <x:row r="1164" ht="60" customHeight="1">
      <x:c r="A1164" s="70" t="n">
        <x:v>1162</x:v>
      </x:c>
      <x:c r="B1164" s="37" t="str">
        <x:v>Size Recognition</x:v>
      </x:c>
      <x:c r="C1164" s="37" t="str">
        <x:v>Pick up the largest item and place it in the bowl.</x:v>
      </x:c>
      <x:c r="D1164" s="37" t="str">
        <x:v>Explicit size grounding</x:v>
      </x:c>
      <x:c r="E1164" s="37" t="str">
        <x:v>largest × crushed Pepsi can</x:v>
      </x:c>
      <x:c r="F1164" s="37" t="str">
        <x:v>size_crushed_pepsi_can_largest_explicit</x:v>
      </x:c>
      <x:c r="G1164" s="37" t="str">
        <x:v>green-block×largest; juggling-ball×smallest</x:v>
      </x:c>
      <x:c r="H1164" s="37" t="str">
        <x:v>No</x:v>
      </x:c>
      <x:c r="I1164" s="37" t="str">
        <x:v>Keep prompt</x:v>
      </x:c>
      <x:c r="J1164" s="37" t="str">
        <x:v>No prompt change required under the missing-cell design.</x:v>
      </x:c>
      <x:c r="K1164" s="37" t="str">
        <x:v>red pencil sharpener, green block, juggling ball, crushed Pepsi can</x:v>
      </x:c>
      <x:c r="L1164" s="37" t="str">
        <x:v>crushed Pepsi can</x:v>
      </x:c>
      <x:c r="M1164" s="37" t="str">
        <x:v>Recovery</x:v>
      </x:c>
      <x:c r="N1164" s="37" t="str">
        <x:v>Pick up the largest item and place it in the bowl.</x:v>
      </x:c>
      <x:c r="O1164" s="37" t="str"/>
      <x:c r="P1164" s="37" t="str">
        <x:v>Explicitly grounds largest with crushed Pepsi can; only the selected size-role/object cell is withheld.</x:v>
      </x:c>
      <x:c r="Q1164" s="38"/>
    </x:row>
    <x:row r="1165" ht="60" customHeight="1">
      <x:c r="A1165" s="70" t="n">
        <x:v>1163</x:v>
      </x:c>
      <x:c r="B1165" s="37" t="str">
        <x:v>Size Recognition</x:v>
      </x:c>
      <x:c r="C1165" s="37" t="str">
        <x:v>Move the object that is largest into the bowl.</x:v>
      </x:c>
      <x:c r="D1165" s="37" t="str">
        <x:v>Explicit size grounding</x:v>
      </x:c>
      <x:c r="E1165" s="37" t="str">
        <x:v>largest × crushed Pepsi can</x:v>
      </x:c>
      <x:c r="F1165" s="37" t="str">
        <x:v>size_crushed_pepsi_can_largest_explicit</x:v>
      </x:c>
      <x:c r="G1165" s="37" t="str">
        <x:v>green-block×largest; juggling-ball×smallest</x:v>
      </x:c>
      <x:c r="H1165" s="37" t="str">
        <x:v>No</x:v>
      </x:c>
      <x:c r="I1165" s="37" t="str">
        <x:v>Keep prompt</x:v>
      </x:c>
      <x:c r="J1165" s="37" t="str">
        <x:v>No prompt change required under the missing-cell design.</x:v>
      </x:c>
      <x:c r="K1165" s="37" t="str">
        <x:v>red pencil sharpener, green block, juggling ball, crushed Pepsi can</x:v>
      </x:c>
      <x:c r="L1165" s="37" t="str">
        <x:v>crushed Pepsi can</x:v>
      </x:c>
      <x:c r="M1165" s="37" t="str">
        <x:v>Recovery</x:v>
      </x:c>
      <x:c r="N1165" s="37" t="str">
        <x:v>Move the object that is largest into the bowl.</x:v>
      </x:c>
      <x:c r="O1165" s="37" t="str"/>
      <x:c r="P1165" s="37" t="str">
        <x:v>Explicitly grounds largest with crushed Pepsi can; only the selected size-role/object cell is withheld.</x:v>
      </x:c>
      <x:c r="Q1165" s="38"/>
    </x:row>
    <x:row r="1166" ht="60" customHeight="1">
      <x:c r="A1166" s="70" t="n">
        <x:v>1164</x:v>
      </x:c>
      <x:c r="B1166" s="37" t="str">
        <x:v>Size Recognition</x:v>
      </x:c>
      <x:c r="C1166" s="37" t="str">
        <x:v>Pick up the largest item and place it in the bowl.</x:v>
      </x:c>
      <x:c r="D1166" s="37" t="str">
        <x:v>Explicit size grounding</x:v>
      </x:c>
      <x:c r="E1166" s="37" t="str">
        <x:v>largest × crushed Pepsi can</x:v>
      </x:c>
      <x:c r="F1166" s="37" t="str">
        <x:v>size_crushed_pepsi_can_largest_explicit</x:v>
      </x:c>
      <x:c r="G1166" s="37" t="str">
        <x:v>green-block×largest; juggling-ball×smallest</x:v>
      </x:c>
      <x:c r="H1166" s="37" t="str">
        <x:v>No</x:v>
      </x:c>
      <x:c r="I1166" s="37" t="str">
        <x:v>Keep prompt</x:v>
      </x:c>
      <x:c r="J1166" s="37" t="str">
        <x:v>No prompt change required under the missing-cell design.</x:v>
      </x:c>
      <x:c r="K1166" s="37" t="str">
        <x:v>red pencil sharpener, green block, juggling ball, crushed Pepsi can</x:v>
      </x:c>
      <x:c r="L1166" s="37" t="str">
        <x:v>crushed Pepsi can</x:v>
      </x:c>
      <x:c r="M1166" s="37" t="str">
        <x:v>Recovery</x:v>
      </x:c>
      <x:c r="N1166" s="37" t="str">
        <x:v>Pick up the largest item and place it in the bowl.</x:v>
      </x:c>
      <x:c r="O1166" s="37" t="str"/>
      <x:c r="P1166" s="37" t="str">
        <x:v>Explicitly grounds largest with crushed Pepsi can; only the selected size-role/object cell is withheld.</x:v>
      </x:c>
      <x:c r="Q1166" s="38"/>
    </x:row>
    <x:row r="1167" ht="60" customHeight="1">
      <x:c r="A1167" s="70" t="n">
        <x:v>1165</x:v>
      </x:c>
      <x:c r="B1167" s="37" t="str">
        <x:v>Size Recognition</x:v>
      </x:c>
      <x:c r="C1167" s="37" t="str">
        <x:v>Pick up the largest item and place it in the bowl.</x:v>
      </x:c>
      <x:c r="D1167" s="37" t="str">
        <x:v>Explicit size grounding</x:v>
      </x:c>
      <x:c r="E1167" s="37" t="str">
        <x:v>largest × crushed Pepsi can</x:v>
      </x:c>
      <x:c r="F1167" s="37" t="str">
        <x:v>size_crushed_pepsi_can_largest_explicit</x:v>
      </x:c>
      <x:c r="G1167" s="37" t="str">
        <x:v>green-block×largest; juggling-ball×smallest</x:v>
      </x:c>
      <x:c r="H1167" s="37" t="str">
        <x:v>No</x:v>
      </x:c>
      <x:c r="I1167" s="37" t="str">
        <x:v>Keep prompt</x:v>
      </x:c>
      <x:c r="J1167" s="37" t="str">
        <x:v>No prompt change required under the missing-cell design.</x:v>
      </x:c>
      <x:c r="K1167" s="37" t="str">
        <x:v>red pencil sharpener, juggling ball, crushed Pepsi can</x:v>
      </x:c>
      <x:c r="L1167" s="37" t="str">
        <x:v>crushed Pepsi can</x:v>
      </x:c>
      <x:c r="M1167" s="37" t="str">
        <x:v>Home</x:v>
      </x:c>
      <x:c r="N1167" s="37" t="str">
        <x:v>Pick up the largest item and place it in the bowl.</x:v>
      </x:c>
      <x:c r="O1167" s="37" t="str"/>
      <x:c r="P1167" s="37" t="str">
        <x:v>Explicitly grounds largest with crushed Pepsi can; only the selected size-role/object cell is withheld.</x:v>
      </x:c>
      <x:c r="Q1167" s="38"/>
    </x:row>
    <x:row r="1168" ht="60" customHeight="1">
      <x:c r="A1168" s="70" t="n">
        <x:v>1166</x:v>
      </x:c>
      <x:c r="B1168" s="37" t="str">
        <x:v>Size Recognition</x:v>
      </x:c>
      <x:c r="C1168" s="37" t="str">
        <x:v>Pick up the largest item and place it in the bowl.</x:v>
      </x:c>
      <x:c r="D1168" s="37" t="str">
        <x:v>Explicit size grounding</x:v>
      </x:c>
      <x:c r="E1168" s="37" t="str">
        <x:v>largest × crushed Pepsi can</x:v>
      </x:c>
      <x:c r="F1168" s="37" t="str">
        <x:v>size_crushed_pepsi_can_largest_explicit</x:v>
      </x:c>
      <x:c r="G1168" s="37" t="str">
        <x:v>green-block×largest; juggling-ball×smallest</x:v>
      </x:c>
      <x:c r="H1168" s="37" t="str">
        <x:v>No</x:v>
      </x:c>
      <x:c r="I1168" s="37" t="str">
        <x:v>Keep prompt</x:v>
      </x:c>
      <x:c r="J1168" s="37" t="str">
        <x:v>No prompt change required under the missing-cell design.</x:v>
      </x:c>
      <x:c r="K1168" s="37" t="str">
        <x:v>red pencil sharpener, juggling ball, crushed Pepsi can</x:v>
      </x:c>
      <x:c r="L1168" s="37" t="str">
        <x:v>crushed Pepsi can</x:v>
      </x:c>
      <x:c r="M1168" s="37" t="str">
        <x:v>Home</x:v>
      </x:c>
      <x:c r="N1168" s="37" t="str">
        <x:v>Pick up the largest item and place it in the bowl.</x:v>
      </x:c>
      <x:c r="O1168" s="37" t="str"/>
      <x:c r="P1168" s="37" t="str">
        <x:v>Explicitly grounds largest with crushed Pepsi can; only the selected size-role/object cell is withheld.</x:v>
      </x:c>
      <x:c r="Q1168" s="38"/>
    </x:row>
    <x:row r="1169" ht="60" customHeight="1">
      <x:c r="A1169" s="70" t="n">
        <x:v>1167</x:v>
      </x:c>
      <x:c r="B1169" s="37" t="str">
        <x:v>Size Recognition</x:v>
      </x:c>
      <x:c r="C1169" s="37" t="str">
        <x:v>Put the largest object in the bowl.</x:v>
      </x:c>
      <x:c r="D1169" s="37" t="str">
        <x:v>Explicit size grounding</x:v>
      </x:c>
      <x:c r="E1169" s="37" t="str">
        <x:v>largest × crushed Pepsi can</x:v>
      </x:c>
      <x:c r="F1169" s="37" t="str">
        <x:v>size_crushed_pepsi_can_largest_explicit</x:v>
      </x:c>
      <x:c r="G1169" s="37" t="str">
        <x:v>green-block×largest; juggling-ball×smallest</x:v>
      </x:c>
      <x:c r="H1169" s="37" t="str">
        <x:v>No</x:v>
      </x:c>
      <x:c r="I1169" s="37" t="str">
        <x:v>Keep prompt</x:v>
      </x:c>
      <x:c r="J1169" s="37" t="str">
        <x:v>No prompt change required under the missing-cell design.</x:v>
      </x:c>
      <x:c r="K1169" s="37" t="str">
        <x:v>red pencil sharpener, juggling ball, crushed Pepsi can</x:v>
      </x:c>
      <x:c r="L1169" s="37" t="str">
        <x:v>crushed Pepsi can</x:v>
      </x:c>
      <x:c r="M1169" s="37" t="str">
        <x:v>Home</x:v>
      </x:c>
      <x:c r="N1169" s="37" t="str">
        <x:v>Put the largest object in the bowl.</x:v>
      </x:c>
      <x:c r="O1169" s="37" t="str"/>
      <x:c r="P1169" s="37" t="str">
        <x:v>Explicitly grounds largest with crushed Pepsi can; only the selected size-role/object cell is withheld.</x:v>
      </x:c>
      <x:c r="Q1169" s="38"/>
    </x:row>
    <x:row r="1170" ht="60" customHeight="1">
      <x:c r="A1170" s="70" t="n">
        <x:v>1168</x:v>
      </x:c>
      <x:c r="B1170" s="37" t="str">
        <x:v>Size Recognition</x:v>
      </x:c>
      <x:c r="C1170" s="37" t="str">
        <x:v>Put the largest object in the bowl.</x:v>
      </x:c>
      <x:c r="D1170" s="37" t="str">
        <x:v>Explicit size grounding</x:v>
      </x:c>
      <x:c r="E1170" s="37" t="str">
        <x:v>largest × crushed Pepsi can</x:v>
      </x:c>
      <x:c r="F1170" s="37" t="str">
        <x:v>size_crushed_pepsi_can_largest_explicit</x:v>
      </x:c>
      <x:c r="G1170" s="37" t="str">
        <x:v>green-block×largest; juggling-ball×smallest</x:v>
      </x:c>
      <x:c r="H1170" s="37" t="str">
        <x:v>No</x:v>
      </x:c>
      <x:c r="I1170" s="37" t="str">
        <x:v>Keep prompt</x:v>
      </x:c>
      <x:c r="J1170" s="37" t="str">
        <x:v>No prompt change required under the missing-cell design.</x:v>
      </x:c>
      <x:c r="K1170" s="37" t="str">
        <x:v>red pencil sharpener, juggling ball, crushed Pepsi can</x:v>
      </x:c>
      <x:c r="L1170" s="37" t="str">
        <x:v>crushed Pepsi can</x:v>
      </x:c>
      <x:c r="M1170" s="37" t="str">
        <x:v>Home</x:v>
      </x:c>
      <x:c r="N1170" s="37" t="str">
        <x:v>Put the largest object in the bowl.</x:v>
      </x:c>
      <x:c r="O1170" s="37" t="str"/>
      <x:c r="P1170" s="37" t="str">
        <x:v>Explicitly grounds largest with crushed Pepsi can; only the selected size-role/object cell is withheld.</x:v>
      </x:c>
      <x:c r="Q1170" s="38"/>
    </x:row>
    <x:row r="1171" ht="60" customHeight="1">
      <x:c r="A1171" s="70" t="n">
        <x:v>1169</x:v>
      </x:c>
      <x:c r="B1171" s="37" t="str">
        <x:v>Size Recognition</x:v>
      </x:c>
      <x:c r="C1171" s="37" t="str">
        <x:v>Pick up the largest item and place it in the bowl.</x:v>
      </x:c>
      <x:c r="D1171" s="37" t="str">
        <x:v>Explicit size grounding</x:v>
      </x:c>
      <x:c r="E1171" s="37" t="str">
        <x:v>largest × crushed Pepsi can</x:v>
      </x:c>
      <x:c r="F1171" s="37" t="str">
        <x:v>size_crushed_pepsi_can_largest_explicit</x:v>
      </x:c>
      <x:c r="G1171" s="37" t="str">
        <x:v>green-block×largest; juggling-ball×smallest</x:v>
      </x:c>
      <x:c r="H1171" s="37" t="str">
        <x:v>No</x:v>
      </x:c>
      <x:c r="I1171" s="37" t="str">
        <x:v>Keep prompt</x:v>
      </x:c>
      <x:c r="J1171" s="37" t="str">
        <x:v>No prompt change required under the missing-cell design.</x:v>
      </x:c>
      <x:c r="K1171" s="37" t="str">
        <x:v>red pencil sharpener, juggling ball, crushed Pepsi can</x:v>
      </x:c>
      <x:c r="L1171" s="37" t="str">
        <x:v>crushed Pepsi can</x:v>
      </x:c>
      <x:c r="M1171" s="37" t="str">
        <x:v>Home</x:v>
      </x:c>
      <x:c r="N1171" s="37" t="str">
        <x:v>Pick up the largest item and place it in the bowl.</x:v>
      </x:c>
      <x:c r="O1171" s="37" t="str"/>
      <x:c r="P1171" s="37" t="str">
        <x:v>Explicitly grounds largest with crushed Pepsi can; only the selected size-role/object cell is withheld.</x:v>
      </x:c>
      <x:c r="Q1171" s="38"/>
    </x:row>
    <x:row r="1172" ht="60" customHeight="1">
      <x:c r="A1172" s="70" t="n">
        <x:v>1170</x:v>
      </x:c>
      <x:c r="B1172" s="37" t="str">
        <x:v>Size Recognition</x:v>
      </x:c>
      <x:c r="C1172" s="37" t="str">
        <x:v>Put the largest object in the bowl.</x:v>
      </x:c>
      <x:c r="D1172" s="37" t="str">
        <x:v>Explicit size grounding</x:v>
      </x:c>
      <x:c r="E1172" s="37" t="str">
        <x:v>largest × crushed Pepsi can</x:v>
      </x:c>
      <x:c r="F1172" s="37" t="str">
        <x:v>size_crushed_pepsi_can_largest_explicit</x:v>
      </x:c>
      <x:c r="G1172" s="37" t="str">
        <x:v>green-block×largest; juggling-ball×smallest</x:v>
      </x:c>
      <x:c r="H1172" s="37" t="str">
        <x:v>No</x:v>
      </x:c>
      <x:c r="I1172" s="37" t="str">
        <x:v>Keep prompt</x:v>
      </x:c>
      <x:c r="J1172" s="37" t="str">
        <x:v>No prompt change required under the missing-cell design.</x:v>
      </x:c>
      <x:c r="K1172" s="37" t="str">
        <x:v>red pencil sharpener, juggling ball, crushed Pepsi can</x:v>
      </x:c>
      <x:c r="L1172" s="37" t="str">
        <x:v>crushed Pepsi can</x:v>
      </x:c>
      <x:c r="M1172" s="37" t="str">
        <x:v>Home</x:v>
      </x:c>
      <x:c r="N1172" s="37" t="str">
        <x:v>Put the largest object in the bowl.</x:v>
      </x:c>
      <x:c r="O1172" s="37" t="str"/>
      <x:c r="P1172" s="37" t="str">
        <x:v>Explicitly grounds largest with crushed Pepsi can; only the selected size-role/object cell is withheld.</x:v>
      </x:c>
      <x:c r="Q1172" s="38"/>
    </x:row>
    <x:row r="1173" ht="60" customHeight="1">
      <x:c r="A1173" s="70" t="n">
        <x:v>1171</x:v>
      </x:c>
      <x:c r="B1173" s="37" t="str">
        <x:v>Size Recognition</x:v>
      </x:c>
      <x:c r="C1173" s="37" t="str">
        <x:v>Put the largest object in the bowl.</x:v>
      </x:c>
      <x:c r="D1173" s="37" t="str">
        <x:v>Explicit size grounding</x:v>
      </x:c>
      <x:c r="E1173" s="37" t="str">
        <x:v>largest × crushed Pepsi can</x:v>
      </x:c>
      <x:c r="F1173" s="37" t="str">
        <x:v>size_crushed_pepsi_can_largest_explicit</x:v>
      </x:c>
      <x:c r="G1173" s="37" t="str">
        <x:v>green-block×largest; juggling-ball×smallest</x:v>
      </x:c>
      <x:c r="H1173" s="37" t="str">
        <x:v>No</x:v>
      </x:c>
      <x:c r="I1173" s="37" t="str">
        <x:v>Keep prompt</x:v>
      </x:c>
      <x:c r="J1173" s="37" t="str">
        <x:v>No prompt change required under the missing-cell design.</x:v>
      </x:c>
      <x:c r="K1173" s="37" t="str">
        <x:v>red pencil sharpener, juggling ball, crushed Pepsi can</x:v>
      </x:c>
      <x:c r="L1173" s="37" t="str">
        <x:v>crushed Pepsi can</x:v>
      </x:c>
      <x:c r="M1173" s="37" t="str">
        <x:v>Home</x:v>
      </x:c>
      <x:c r="N1173" s="37" t="str">
        <x:v>Put the largest object in the bowl.</x:v>
      </x:c>
      <x:c r="O1173" s="37" t="str"/>
      <x:c r="P1173" s="37" t="str">
        <x:v>Explicitly grounds largest with crushed Pepsi can; only the selected size-role/object cell is withheld.</x:v>
      </x:c>
      <x:c r="Q1173" s="38"/>
    </x:row>
    <x:row r="1174" ht="60" customHeight="1">
      <x:c r="A1174" s="70" t="n">
        <x:v>1172</x:v>
      </x:c>
      <x:c r="B1174" s="37" t="str">
        <x:v>Size Recognition</x:v>
      </x:c>
      <x:c r="C1174" s="37" t="str">
        <x:v>Pick up the largest item and place it in the bowl.</x:v>
      </x:c>
      <x:c r="D1174" s="37" t="str">
        <x:v>Explicit size grounding</x:v>
      </x:c>
      <x:c r="E1174" s="37" t="str">
        <x:v>largest × crushed Pepsi can</x:v>
      </x:c>
      <x:c r="F1174" s="37" t="str">
        <x:v>size_crushed_pepsi_can_largest_explicit</x:v>
      </x:c>
      <x:c r="G1174" s="37" t="str">
        <x:v>green-block×largest; juggling-ball×smallest</x:v>
      </x:c>
      <x:c r="H1174" s="37" t="str">
        <x:v>No</x:v>
      </x:c>
      <x:c r="I1174" s="37" t="str">
        <x:v>Keep prompt</x:v>
      </x:c>
      <x:c r="J1174" s="37" t="str">
        <x:v>No prompt change required under the missing-cell design.</x:v>
      </x:c>
      <x:c r="K1174" s="37" t="str">
        <x:v>red pencil sharpener, juggling ball, crushed Pepsi can</x:v>
      </x:c>
      <x:c r="L1174" s="37" t="str">
        <x:v>crushed Pepsi can</x:v>
      </x:c>
      <x:c r="M1174" s="37" t="str">
        <x:v>Home</x:v>
      </x:c>
      <x:c r="N1174" s="37" t="str">
        <x:v>Pick up the largest item and place it in the bowl.</x:v>
      </x:c>
      <x:c r="O1174" s="37" t="str"/>
      <x:c r="P1174" s="37" t="str">
        <x:v>Explicitly grounds largest with crushed Pepsi can; only the selected size-role/object cell is withheld.</x:v>
      </x:c>
      <x:c r="Q1174" s="38"/>
    </x:row>
    <x:row r="1175" ht="60" customHeight="1">
      <x:c r="A1175" s="70" t="n">
        <x:v>1173</x:v>
      </x:c>
      <x:c r="B1175" s="37" t="str">
        <x:v>Size Recognition</x:v>
      </x:c>
      <x:c r="C1175" s="37" t="str">
        <x:v>Move the object that is largest into the bowl.</x:v>
      </x:c>
      <x:c r="D1175" s="37" t="str">
        <x:v>Explicit size grounding</x:v>
      </x:c>
      <x:c r="E1175" s="37" t="str">
        <x:v>largest × crushed Pepsi can</x:v>
      </x:c>
      <x:c r="F1175" s="37" t="str">
        <x:v>size_crushed_pepsi_can_largest_explicit</x:v>
      </x:c>
      <x:c r="G1175" s="37" t="str">
        <x:v>green-block×largest; juggling-ball×smallest</x:v>
      </x:c>
      <x:c r="H1175" s="37" t="str">
        <x:v>No</x:v>
      </x:c>
      <x:c r="I1175" s="37" t="str">
        <x:v>Keep prompt</x:v>
      </x:c>
      <x:c r="J1175" s="37" t="str">
        <x:v>No prompt change required under the missing-cell design.</x:v>
      </x:c>
      <x:c r="K1175" s="37" t="str">
        <x:v>red pencil sharpener, juggling ball, crushed Pepsi can</x:v>
      </x:c>
      <x:c r="L1175" s="37" t="str">
        <x:v>crushed Pepsi can</x:v>
      </x:c>
      <x:c r="M1175" s="37" t="str">
        <x:v>Home</x:v>
      </x:c>
      <x:c r="N1175" s="37" t="str">
        <x:v>Move the object that is largest into the bowl.</x:v>
      </x:c>
      <x:c r="O1175" s="37" t="str"/>
      <x:c r="P1175" s="37" t="str">
        <x:v>Explicitly grounds largest with crushed Pepsi can; only the selected size-role/object cell is withheld.</x:v>
      </x:c>
      <x:c r="Q1175" s="38"/>
    </x:row>
    <x:row r="1176" ht="60" customHeight="1">
      <x:c r="A1176" s="70" t="n">
        <x:v>1174</x:v>
      </x:c>
      <x:c r="B1176" s="37" t="str">
        <x:v>Size Recognition</x:v>
      </x:c>
      <x:c r="C1176" s="37" t="str">
        <x:v>Move the object that is largest into the bowl.</x:v>
      </x:c>
      <x:c r="D1176" s="37" t="str">
        <x:v>Explicit size grounding</x:v>
      </x:c>
      <x:c r="E1176" s="37" t="str">
        <x:v>largest × crushed Pepsi can</x:v>
      </x:c>
      <x:c r="F1176" s="37" t="str">
        <x:v>size_crushed_pepsi_can_largest_explicit</x:v>
      </x:c>
      <x:c r="G1176" s="37" t="str">
        <x:v>green-block×largest; juggling-ball×smallest</x:v>
      </x:c>
      <x:c r="H1176" s="37" t="str">
        <x:v>No</x:v>
      </x:c>
      <x:c r="I1176" s="37" t="str">
        <x:v>Keep prompt</x:v>
      </x:c>
      <x:c r="J1176" s="37" t="str">
        <x:v>No prompt change required under the missing-cell design.</x:v>
      </x:c>
      <x:c r="K1176" s="37" t="str">
        <x:v>red pencil sharpener, juggling ball, crushed Pepsi can</x:v>
      </x:c>
      <x:c r="L1176" s="37" t="str">
        <x:v>crushed Pepsi can</x:v>
      </x:c>
      <x:c r="M1176" s="37" t="str">
        <x:v>Home</x:v>
      </x:c>
      <x:c r="N1176" s="37" t="str">
        <x:v>Move the object that is largest into the bowl.</x:v>
      </x:c>
      <x:c r="O1176" s="37" t="str"/>
      <x:c r="P1176" s="37" t="str">
        <x:v>Explicitly grounds largest with crushed Pepsi can; only the selected size-role/object cell is withheld.</x:v>
      </x:c>
      <x:c r="Q1176" s="38"/>
    </x:row>
    <x:row r="1177" ht="60" customHeight="1">
      <x:c r="A1177" s="70" t="n">
        <x:v>1175</x:v>
      </x:c>
      <x:c r="B1177" s="37" t="str">
        <x:v>Size Recognition</x:v>
      </x:c>
      <x:c r="C1177" s="37" t="str">
        <x:v>Put the largest object in the bowl.</x:v>
      </x:c>
      <x:c r="D1177" s="37" t="str">
        <x:v>Explicit size grounding</x:v>
      </x:c>
      <x:c r="E1177" s="37" t="str">
        <x:v>largest × crushed Pepsi can</x:v>
      </x:c>
      <x:c r="F1177" s="37" t="str">
        <x:v>size_crushed_pepsi_can_largest_explicit</x:v>
      </x:c>
      <x:c r="G1177" s="37" t="str">
        <x:v>green-block×largest; juggling-ball×smallest</x:v>
      </x:c>
      <x:c r="H1177" s="37" t="str">
        <x:v>No</x:v>
      </x:c>
      <x:c r="I1177" s="37" t="str">
        <x:v>Keep prompt</x:v>
      </x:c>
      <x:c r="J1177" s="37" t="str">
        <x:v>No prompt change required under the missing-cell design.</x:v>
      </x:c>
      <x:c r="K1177" s="37" t="str">
        <x:v>red pencil sharpener, juggling ball, crushed Pepsi can</x:v>
      </x:c>
      <x:c r="L1177" s="37" t="str">
        <x:v>crushed Pepsi can</x:v>
      </x:c>
      <x:c r="M1177" s="37" t="str">
        <x:v>Home</x:v>
      </x:c>
      <x:c r="N1177" s="37" t="str">
        <x:v>Put the largest object in the bowl.</x:v>
      </x:c>
      <x:c r="O1177" s="37" t="str"/>
      <x:c r="P1177" s="37" t="str">
        <x:v>Explicitly grounds largest with crushed Pepsi can; only the selected size-role/object cell is withheld.</x:v>
      </x:c>
      <x:c r="Q1177" s="38"/>
    </x:row>
    <x:row r="1178" ht="60" customHeight="1">
      <x:c r="A1178" s="70" t="n">
        <x:v>1176</x:v>
      </x:c>
      <x:c r="B1178" s="37" t="str">
        <x:v>Size Recognition</x:v>
      </x:c>
      <x:c r="C1178" s="37" t="str">
        <x:v>Pick up the largest item and place it in the bowl.</x:v>
      </x:c>
      <x:c r="D1178" s="37" t="str">
        <x:v>Explicit size grounding</x:v>
      </x:c>
      <x:c r="E1178" s="37" t="str">
        <x:v>largest × crushed Pepsi can</x:v>
      </x:c>
      <x:c r="F1178" s="37" t="str">
        <x:v>size_crushed_pepsi_can_largest_explicit</x:v>
      </x:c>
      <x:c r="G1178" s="37" t="str">
        <x:v>green-block×largest; juggling-ball×smallest</x:v>
      </x:c>
      <x:c r="H1178" s="37" t="str">
        <x:v>No</x:v>
      </x:c>
      <x:c r="I1178" s="37" t="str">
        <x:v>Keep prompt</x:v>
      </x:c>
      <x:c r="J1178" s="37" t="str">
        <x:v>No prompt change required under the missing-cell design.</x:v>
      </x:c>
      <x:c r="K1178" s="37" t="str">
        <x:v>red pencil sharpener, juggling ball, crushed Pepsi can</x:v>
      </x:c>
      <x:c r="L1178" s="37" t="str">
        <x:v>crushed Pepsi can</x:v>
      </x:c>
      <x:c r="M1178" s="37" t="str">
        <x:v>Home</x:v>
      </x:c>
      <x:c r="N1178" s="37" t="str">
        <x:v>Pick up the largest item and place it in the bowl.</x:v>
      </x:c>
      <x:c r="O1178" s="37" t="str"/>
      <x:c r="P1178" s="37" t="str">
        <x:v>Explicitly grounds largest with crushed Pepsi can; only the selected size-role/object cell is withheld.</x:v>
      </x:c>
      <x:c r="Q1178" s="38"/>
    </x:row>
    <x:row r="1179" ht="60" customHeight="1">
      <x:c r="A1179" s="70" t="n">
        <x:v>1177</x:v>
      </x:c>
      <x:c r="B1179" s="37" t="str">
        <x:v>Size Recognition</x:v>
      </x:c>
      <x:c r="C1179" s="37" t="str">
        <x:v>Put the largest object in the bowl.</x:v>
      </x:c>
      <x:c r="D1179" s="37" t="str">
        <x:v>Explicit size grounding</x:v>
      </x:c>
      <x:c r="E1179" s="37" t="str">
        <x:v>largest × crushed Pepsi can</x:v>
      </x:c>
      <x:c r="F1179" s="37" t="str">
        <x:v>size_crushed_pepsi_can_largest_explicit</x:v>
      </x:c>
      <x:c r="G1179" s="37" t="str">
        <x:v>green-block×largest; juggling-ball×smallest</x:v>
      </x:c>
      <x:c r="H1179" s="37" t="str">
        <x:v>No</x:v>
      </x:c>
      <x:c r="I1179" s="37" t="str">
        <x:v>Keep prompt</x:v>
      </x:c>
      <x:c r="J1179" s="37" t="str">
        <x:v>No prompt change required under the missing-cell design.</x:v>
      </x:c>
      <x:c r="K1179" s="37" t="str">
        <x:v>red pencil sharpener, juggling ball, crushed Pepsi can</x:v>
      </x:c>
      <x:c r="L1179" s="37" t="str">
        <x:v>crushed Pepsi can</x:v>
      </x:c>
      <x:c r="M1179" s="37" t="str">
        <x:v>Recovery</x:v>
      </x:c>
      <x:c r="N1179" s="37" t="str">
        <x:v>Put the largest object in the bowl.</x:v>
      </x:c>
      <x:c r="O1179" s="37" t="str"/>
      <x:c r="P1179" s="37" t="str">
        <x:v>Explicitly grounds largest with crushed Pepsi can; only the selected size-role/object cell is withheld.</x:v>
      </x:c>
      <x:c r="Q1179" s="38"/>
    </x:row>
    <x:row r="1180" ht="60" customHeight="1">
      <x:c r="A1180" s="70" t="n">
        <x:v>1178</x:v>
      </x:c>
      <x:c r="B1180" s="37" t="str">
        <x:v>Size Recognition</x:v>
      </x:c>
      <x:c r="C1180" s="37" t="str">
        <x:v>Pick up the largest item and place it in the bowl.</x:v>
      </x:c>
      <x:c r="D1180" s="37" t="str">
        <x:v>Explicit size grounding</x:v>
      </x:c>
      <x:c r="E1180" s="37" t="str">
        <x:v>largest × crushed Pepsi can</x:v>
      </x:c>
      <x:c r="F1180" s="37" t="str">
        <x:v>size_crushed_pepsi_can_largest_explicit</x:v>
      </x:c>
      <x:c r="G1180" s="37" t="str">
        <x:v>green-block×largest; juggling-ball×smallest</x:v>
      </x:c>
      <x:c r="H1180" s="37" t="str">
        <x:v>No</x:v>
      </x:c>
      <x:c r="I1180" s="37" t="str">
        <x:v>Keep prompt</x:v>
      </x:c>
      <x:c r="J1180" s="37" t="str">
        <x:v>No prompt change required under the missing-cell design.</x:v>
      </x:c>
      <x:c r="K1180" s="37" t="str">
        <x:v>red pencil sharpener, juggling ball, crushed Pepsi can</x:v>
      </x:c>
      <x:c r="L1180" s="37" t="str">
        <x:v>crushed Pepsi can</x:v>
      </x:c>
      <x:c r="M1180" s="37" t="str">
        <x:v>Recovery</x:v>
      </x:c>
      <x:c r="N1180" s="37" t="str">
        <x:v>Pick up the largest item and place it in the bowl.</x:v>
      </x:c>
      <x:c r="O1180" s="37" t="str"/>
      <x:c r="P1180" s="37" t="str">
        <x:v>Explicitly grounds largest with crushed Pepsi can; only the selected size-role/object cell is withheld.</x:v>
      </x:c>
      <x:c r="Q1180" s="38"/>
    </x:row>
    <x:row r="1181" ht="60" customHeight="1">
      <x:c r="A1181" s="70" t="n">
        <x:v>1179</x:v>
      </x:c>
      <x:c r="B1181" s="37" t="str">
        <x:v>Size Recognition</x:v>
      </x:c>
      <x:c r="C1181" s="37" t="str">
        <x:v>Pick up the largest item and place it in the bowl.</x:v>
      </x:c>
      <x:c r="D1181" s="37" t="str">
        <x:v>Explicit size grounding</x:v>
      </x:c>
      <x:c r="E1181" s="37" t="str">
        <x:v>largest × crushed Pepsi can</x:v>
      </x:c>
      <x:c r="F1181" s="37" t="str">
        <x:v>size_crushed_pepsi_can_largest_explicit</x:v>
      </x:c>
      <x:c r="G1181" s="37" t="str">
        <x:v>green-block×largest; juggling-ball×smallest</x:v>
      </x:c>
      <x:c r="H1181" s="37" t="str">
        <x:v>No</x:v>
      </x:c>
      <x:c r="I1181" s="37" t="str">
        <x:v>Keep prompt</x:v>
      </x:c>
      <x:c r="J1181" s="37" t="str">
        <x:v>No prompt change required under the missing-cell design.</x:v>
      </x:c>
      <x:c r="K1181" s="37" t="str">
        <x:v>red pencil sharpener, juggling ball, crushed Pepsi can</x:v>
      </x:c>
      <x:c r="L1181" s="37" t="str">
        <x:v>crushed Pepsi can</x:v>
      </x:c>
      <x:c r="M1181" s="37" t="str">
        <x:v>Recovery</x:v>
      </x:c>
      <x:c r="N1181" s="37" t="str">
        <x:v>Pick up the largest item and place it in the bowl.</x:v>
      </x:c>
      <x:c r="O1181" s="37" t="str"/>
      <x:c r="P1181" s="37" t="str">
        <x:v>Explicitly grounds largest with crushed Pepsi can; only the selected size-role/object cell is withheld.</x:v>
      </x:c>
      <x:c r="Q1181" s="38"/>
    </x:row>
    <x:row r="1182" ht="60" customHeight="1">
      <x:c r="A1182" s="70" t="n">
        <x:v>1180</x:v>
      </x:c>
      <x:c r="B1182" s="37" t="str">
        <x:v>Size Recognition</x:v>
      </x:c>
      <x:c r="C1182" s="37" t="str">
        <x:v>Move the object that is largest into the bowl.</x:v>
      </x:c>
      <x:c r="D1182" s="37" t="str">
        <x:v>Explicit size grounding</x:v>
      </x:c>
      <x:c r="E1182" s="37" t="str">
        <x:v>largest × crushed Pepsi can</x:v>
      </x:c>
      <x:c r="F1182" s="37" t="str">
        <x:v>size_crushed_pepsi_can_largest_explicit</x:v>
      </x:c>
      <x:c r="G1182" s="37" t="str">
        <x:v>green-block×largest; juggling-ball×smallest</x:v>
      </x:c>
      <x:c r="H1182" s="37" t="str">
        <x:v>No</x:v>
      </x:c>
      <x:c r="I1182" s="37" t="str">
        <x:v>Keep prompt</x:v>
      </x:c>
      <x:c r="J1182" s="37" t="str">
        <x:v>No prompt change required under the missing-cell design.</x:v>
      </x:c>
      <x:c r="K1182" s="37" t="str">
        <x:v>green block, crushed Pepsi can</x:v>
      </x:c>
      <x:c r="L1182" s="37" t="str">
        <x:v>crushed Pepsi can</x:v>
      </x:c>
      <x:c r="M1182" s="37" t="str">
        <x:v>Home</x:v>
      </x:c>
      <x:c r="N1182" s="37" t="str">
        <x:v>Move the object that is largest into the bowl.</x:v>
      </x:c>
      <x:c r="O1182" s="37" t="str"/>
      <x:c r="P1182" s="37" t="str">
        <x:v>Explicitly grounds largest with crushed Pepsi can; only the selected size-role/object cell is withheld.</x:v>
      </x:c>
      <x:c r="Q1182" s="38"/>
    </x:row>
    <x:row r="1183" ht="60" customHeight="1">
      <x:c r="A1183" s="70" t="n">
        <x:v>1181</x:v>
      </x:c>
      <x:c r="B1183" s="37" t="str">
        <x:v>Size Recognition</x:v>
      </x:c>
      <x:c r="C1183" s="37" t="str">
        <x:v>Move the object that is largest into the bowl.</x:v>
      </x:c>
      <x:c r="D1183" s="37" t="str">
        <x:v>Explicit size grounding</x:v>
      </x:c>
      <x:c r="E1183" s="37" t="str">
        <x:v>largest × crushed Pepsi can</x:v>
      </x:c>
      <x:c r="F1183" s="37" t="str">
        <x:v>size_crushed_pepsi_can_largest_explicit</x:v>
      </x:c>
      <x:c r="G1183" s="37" t="str">
        <x:v>green-block×largest; juggling-ball×smallest</x:v>
      </x:c>
      <x:c r="H1183" s="37" t="str">
        <x:v>No</x:v>
      </x:c>
      <x:c r="I1183" s="37" t="str">
        <x:v>Keep prompt</x:v>
      </x:c>
      <x:c r="J1183" s="37" t="str">
        <x:v>No prompt change required under the missing-cell design.</x:v>
      </x:c>
      <x:c r="K1183" s="37" t="str">
        <x:v>green block, crushed Pepsi can</x:v>
      </x:c>
      <x:c r="L1183" s="37" t="str">
        <x:v>crushed Pepsi can</x:v>
      </x:c>
      <x:c r="M1183" s="37" t="str">
        <x:v>Home</x:v>
      </x:c>
      <x:c r="N1183" s="37" t="str">
        <x:v>Move the object that is largest into the bowl.</x:v>
      </x:c>
      <x:c r="O1183" s="37" t="str"/>
      <x:c r="P1183" s="37" t="str">
        <x:v>Explicitly grounds largest with crushed Pepsi can; only the selected size-role/object cell is withheld.</x:v>
      </x:c>
      <x:c r="Q1183" s="38"/>
    </x:row>
    <x:row r="1184" ht="60" customHeight="1">
      <x:c r="A1184" s="70" t="n">
        <x:v>1182</x:v>
      </x:c>
      <x:c r="B1184" s="37" t="str">
        <x:v>Size Recognition</x:v>
      </x:c>
      <x:c r="C1184" s="37" t="str">
        <x:v>Move the object that is largest into the bowl.</x:v>
      </x:c>
      <x:c r="D1184" s="37" t="str">
        <x:v>Explicit size grounding</x:v>
      </x:c>
      <x:c r="E1184" s="37" t="str">
        <x:v>largest × crushed Pepsi can</x:v>
      </x:c>
      <x:c r="F1184" s="37" t="str">
        <x:v>size_crushed_pepsi_can_largest_explicit</x:v>
      </x:c>
      <x:c r="G1184" s="37" t="str">
        <x:v>green-block×largest; juggling-ball×smallest</x:v>
      </x:c>
      <x:c r="H1184" s="37" t="str">
        <x:v>No</x:v>
      </x:c>
      <x:c r="I1184" s="37" t="str">
        <x:v>Keep prompt</x:v>
      </x:c>
      <x:c r="J1184" s="37" t="str">
        <x:v>No prompt change required under the missing-cell design.</x:v>
      </x:c>
      <x:c r="K1184" s="37" t="str">
        <x:v>green block, crushed Pepsi can</x:v>
      </x:c>
      <x:c r="L1184" s="37" t="str">
        <x:v>crushed Pepsi can</x:v>
      </x:c>
      <x:c r="M1184" s="37" t="str">
        <x:v>Home</x:v>
      </x:c>
      <x:c r="N1184" s="37" t="str">
        <x:v>Move the object that is largest into the bowl.</x:v>
      </x:c>
      <x:c r="O1184" s="37" t="str"/>
      <x:c r="P1184" s="37" t="str">
        <x:v>Explicitly grounds largest with crushed Pepsi can; only the selected size-role/object cell is withheld.</x:v>
      </x:c>
      <x:c r="Q1184" s="38"/>
    </x:row>
    <x:row r="1185" ht="60" customHeight="1">
      <x:c r="A1185" s="70" t="n">
        <x:v>1183</x:v>
      </x:c>
      <x:c r="B1185" s="37" t="str">
        <x:v>Size Recognition</x:v>
      </x:c>
      <x:c r="C1185" s="37" t="str">
        <x:v>Put the largest object in the bowl.</x:v>
      </x:c>
      <x:c r="D1185" s="37" t="str">
        <x:v>Explicit size grounding</x:v>
      </x:c>
      <x:c r="E1185" s="37" t="str">
        <x:v>largest × crushed Pepsi can</x:v>
      </x:c>
      <x:c r="F1185" s="37" t="str">
        <x:v>size_crushed_pepsi_can_largest_explicit</x:v>
      </x:c>
      <x:c r="G1185" s="37" t="str">
        <x:v>green-block×largest; juggling-ball×smallest</x:v>
      </x:c>
      <x:c r="H1185" s="37" t="str">
        <x:v>No</x:v>
      </x:c>
      <x:c r="I1185" s="37" t="str">
        <x:v>Keep prompt</x:v>
      </x:c>
      <x:c r="J1185" s="37" t="str">
        <x:v>No prompt change required under the missing-cell design.</x:v>
      </x:c>
      <x:c r="K1185" s="37" t="str">
        <x:v>green block, crushed Pepsi can</x:v>
      </x:c>
      <x:c r="L1185" s="37" t="str">
        <x:v>crushed Pepsi can</x:v>
      </x:c>
      <x:c r="M1185" s="37" t="str">
        <x:v>Home</x:v>
      </x:c>
      <x:c r="N1185" s="37" t="str">
        <x:v>Put the largest object in the bowl.</x:v>
      </x:c>
      <x:c r="O1185" s="37" t="str"/>
      <x:c r="P1185" s="37" t="str">
        <x:v>Explicitly grounds largest with crushed Pepsi can; only the selected size-role/object cell is withheld.</x:v>
      </x:c>
      <x:c r="Q1185" s="38"/>
    </x:row>
    <x:row r="1186" ht="60" customHeight="1">
      <x:c r="A1186" s="70" t="n">
        <x:v>1184</x:v>
      </x:c>
      <x:c r="B1186" s="37" t="str">
        <x:v>Size Recognition</x:v>
      </x:c>
      <x:c r="C1186" s="37" t="str">
        <x:v>Put the largest object in the bowl.</x:v>
      </x:c>
      <x:c r="D1186" s="37" t="str">
        <x:v>Explicit size grounding</x:v>
      </x:c>
      <x:c r="E1186" s="37" t="str">
        <x:v>largest × crushed Pepsi can</x:v>
      </x:c>
      <x:c r="F1186" s="37" t="str">
        <x:v>size_crushed_pepsi_can_largest_explicit</x:v>
      </x:c>
      <x:c r="G1186" s="37" t="str">
        <x:v>green-block×largest; juggling-ball×smallest</x:v>
      </x:c>
      <x:c r="H1186" s="37" t="str">
        <x:v>No</x:v>
      </x:c>
      <x:c r="I1186" s="37" t="str">
        <x:v>Keep prompt</x:v>
      </x:c>
      <x:c r="J1186" s="37" t="str">
        <x:v>No prompt change required under the missing-cell design.</x:v>
      </x:c>
      <x:c r="K1186" s="37" t="str">
        <x:v>green block, crushed Pepsi can</x:v>
      </x:c>
      <x:c r="L1186" s="37" t="str">
        <x:v>crushed Pepsi can</x:v>
      </x:c>
      <x:c r="M1186" s="37" t="str">
        <x:v>Home</x:v>
      </x:c>
      <x:c r="N1186" s="37" t="str">
        <x:v>Put the largest object in the bowl.</x:v>
      </x:c>
      <x:c r="O1186" s="37" t="str"/>
      <x:c r="P1186" s="37" t="str">
        <x:v>Explicitly grounds largest with crushed Pepsi can; only the selected size-role/object cell is withheld.</x:v>
      </x:c>
      <x:c r="Q1186" s="38"/>
    </x:row>
    <x:row r="1187" ht="60" customHeight="1">
      <x:c r="A1187" s="70" t="n">
        <x:v>1185</x:v>
      </x:c>
      <x:c r="B1187" s="37" t="str">
        <x:v>Size Recognition</x:v>
      </x:c>
      <x:c r="C1187" s="37" t="str">
        <x:v>Put the largest object in the bowl.</x:v>
      </x:c>
      <x:c r="D1187" s="37" t="str">
        <x:v>Explicit size grounding</x:v>
      </x:c>
      <x:c r="E1187" s="37" t="str">
        <x:v>largest × crushed Pepsi can</x:v>
      </x:c>
      <x:c r="F1187" s="37" t="str">
        <x:v>size_crushed_pepsi_can_largest_explicit</x:v>
      </x:c>
      <x:c r="G1187" s="37" t="str">
        <x:v>green-block×largest; juggling-ball×smallest</x:v>
      </x:c>
      <x:c r="H1187" s="37" t="str">
        <x:v>No</x:v>
      </x:c>
      <x:c r="I1187" s="37" t="str">
        <x:v>Keep prompt</x:v>
      </x:c>
      <x:c r="J1187" s="37" t="str">
        <x:v>No prompt change required under the missing-cell design.</x:v>
      </x:c>
      <x:c r="K1187" s="37" t="str">
        <x:v>green block, crushed Pepsi can</x:v>
      </x:c>
      <x:c r="L1187" s="37" t="str">
        <x:v>crushed Pepsi can</x:v>
      </x:c>
      <x:c r="M1187" s="37" t="str">
        <x:v>Home</x:v>
      </x:c>
      <x:c r="N1187" s="37" t="str">
        <x:v>Put the largest object in the bowl.</x:v>
      </x:c>
      <x:c r="O1187" s="37" t="str"/>
      <x:c r="P1187" s="37" t="str">
        <x:v>Explicitly grounds largest with crushed Pepsi can; only the selected size-role/object cell is withheld.</x:v>
      </x:c>
      <x:c r="Q1187" s="38"/>
    </x:row>
    <x:row r="1188" ht="60" customHeight="1">
      <x:c r="A1188" s="70" t="n">
        <x:v>1186</x:v>
      </x:c>
      <x:c r="B1188" s="37" t="str">
        <x:v>Size Recognition</x:v>
      </x:c>
      <x:c r="C1188" s="37" t="str">
        <x:v>Pick up the largest item and place it in the bowl.</x:v>
      </x:c>
      <x:c r="D1188" s="37" t="str">
        <x:v>Explicit size grounding</x:v>
      </x:c>
      <x:c r="E1188" s="37" t="str">
        <x:v>largest × crushed Pepsi can</x:v>
      </x:c>
      <x:c r="F1188" s="37" t="str">
        <x:v>size_crushed_pepsi_can_largest_explicit</x:v>
      </x:c>
      <x:c r="G1188" s="37" t="str">
        <x:v>green-block×largest; juggling-ball×smallest</x:v>
      </x:c>
      <x:c r="H1188" s="37" t="str">
        <x:v>No</x:v>
      </x:c>
      <x:c r="I1188" s="37" t="str">
        <x:v>Keep prompt</x:v>
      </x:c>
      <x:c r="J1188" s="37" t="str">
        <x:v>No prompt change required under the missing-cell design.</x:v>
      </x:c>
      <x:c r="K1188" s="37" t="str">
        <x:v>green block, crushed Pepsi can</x:v>
      </x:c>
      <x:c r="L1188" s="37" t="str">
        <x:v>crushed Pepsi can</x:v>
      </x:c>
      <x:c r="M1188" s="37" t="str">
        <x:v>Home</x:v>
      </x:c>
      <x:c r="N1188" s="37" t="str">
        <x:v>Pick up the largest item and place it in the bowl.</x:v>
      </x:c>
      <x:c r="O1188" s="37" t="str"/>
      <x:c r="P1188" s="37" t="str">
        <x:v>Explicitly grounds largest with crushed Pepsi can; only the selected size-role/object cell is withheld.</x:v>
      </x:c>
      <x:c r="Q1188" s="38"/>
    </x:row>
    <x:row r="1189" ht="60" customHeight="1">
      <x:c r="A1189" s="70" t="n">
        <x:v>1187</x:v>
      </x:c>
      <x:c r="B1189" s="37" t="str">
        <x:v>Size Recognition</x:v>
      </x:c>
      <x:c r="C1189" s="37" t="str">
        <x:v>Pick up the largest item and place it in the bowl.</x:v>
      </x:c>
      <x:c r="D1189" s="37" t="str">
        <x:v>Explicit size grounding</x:v>
      </x:c>
      <x:c r="E1189" s="37" t="str">
        <x:v>largest × crushed Pepsi can</x:v>
      </x:c>
      <x:c r="F1189" s="37" t="str">
        <x:v>size_crushed_pepsi_can_largest_explicit</x:v>
      </x:c>
      <x:c r="G1189" s="37" t="str">
        <x:v>green-block×largest; juggling-ball×smallest</x:v>
      </x:c>
      <x:c r="H1189" s="37" t="str">
        <x:v>No</x:v>
      </x:c>
      <x:c r="I1189" s="37" t="str">
        <x:v>Keep prompt</x:v>
      </x:c>
      <x:c r="J1189" s="37" t="str">
        <x:v>No prompt change required under the missing-cell design.</x:v>
      </x:c>
      <x:c r="K1189" s="37" t="str">
        <x:v>green block, crushed Pepsi can</x:v>
      </x:c>
      <x:c r="L1189" s="37" t="str">
        <x:v>crushed Pepsi can</x:v>
      </x:c>
      <x:c r="M1189" s="37" t="str">
        <x:v>Home</x:v>
      </x:c>
      <x:c r="N1189" s="37" t="str">
        <x:v>Pick up the largest item and place it in the bowl.</x:v>
      </x:c>
      <x:c r="O1189" s="37" t="str"/>
      <x:c r="P1189" s="37" t="str">
        <x:v>Explicitly grounds largest with crushed Pepsi can; only the selected size-role/object cell is withheld.</x:v>
      </x:c>
      <x:c r="Q1189" s="38"/>
    </x:row>
    <x:row r="1190" ht="60" customHeight="1">
      <x:c r="A1190" s="70" t="n">
        <x:v>1188</x:v>
      </x:c>
      <x:c r="B1190" s="37" t="str">
        <x:v>Size Recognition</x:v>
      </x:c>
      <x:c r="C1190" s="37" t="str">
        <x:v>Move the object that is largest into the bowl.</x:v>
      </x:c>
      <x:c r="D1190" s="37" t="str">
        <x:v>Explicit size grounding</x:v>
      </x:c>
      <x:c r="E1190" s="37" t="str">
        <x:v>largest × crushed Pepsi can</x:v>
      </x:c>
      <x:c r="F1190" s="37" t="str">
        <x:v>size_crushed_pepsi_can_largest_explicit</x:v>
      </x:c>
      <x:c r="G1190" s="37" t="str">
        <x:v>green-block×largest; juggling-ball×smallest</x:v>
      </x:c>
      <x:c r="H1190" s="37" t="str">
        <x:v>No</x:v>
      </x:c>
      <x:c r="I1190" s="37" t="str">
        <x:v>Keep prompt</x:v>
      </x:c>
      <x:c r="J1190" s="37" t="str">
        <x:v>No prompt change required under the missing-cell design.</x:v>
      </x:c>
      <x:c r="K1190" s="37" t="str">
        <x:v>green block, crushed Pepsi can</x:v>
      </x:c>
      <x:c r="L1190" s="37" t="str">
        <x:v>crushed Pepsi can</x:v>
      </x:c>
      <x:c r="M1190" s="37" t="str">
        <x:v>Home</x:v>
      </x:c>
      <x:c r="N1190" s="37" t="str">
        <x:v>Move the object that is largest into the bowl.</x:v>
      </x:c>
      <x:c r="O1190" s="37" t="str"/>
      <x:c r="P1190" s="37" t="str">
        <x:v>Explicitly grounds largest with crushed Pepsi can; only the selected size-role/object cell is withheld.</x:v>
      </x:c>
      <x:c r="Q1190" s="38"/>
    </x:row>
    <x:row r="1191" ht="60" customHeight="1">
      <x:c r="A1191" s="70" t="n">
        <x:v>1189</x:v>
      </x:c>
      <x:c r="B1191" s="37" t="str">
        <x:v>Size Recognition</x:v>
      </x:c>
      <x:c r="C1191" s="37" t="str">
        <x:v>Put the largest object in the bowl.</x:v>
      </x:c>
      <x:c r="D1191" s="37" t="str">
        <x:v>Explicit size grounding</x:v>
      </x:c>
      <x:c r="E1191" s="37" t="str">
        <x:v>largest × crushed Pepsi can</x:v>
      </x:c>
      <x:c r="F1191" s="37" t="str">
        <x:v>size_crushed_pepsi_can_largest_explicit</x:v>
      </x:c>
      <x:c r="G1191" s="37" t="str">
        <x:v>green-block×largest; juggling-ball×smallest</x:v>
      </x:c>
      <x:c r="H1191" s="37" t="str">
        <x:v>No</x:v>
      </x:c>
      <x:c r="I1191" s="37" t="str">
        <x:v>Keep prompt</x:v>
      </x:c>
      <x:c r="J1191" s="37" t="str">
        <x:v>No prompt change required under the missing-cell design.</x:v>
      </x:c>
      <x:c r="K1191" s="37" t="str">
        <x:v>green block, crushed Pepsi can</x:v>
      </x:c>
      <x:c r="L1191" s="37" t="str">
        <x:v>crushed Pepsi can</x:v>
      </x:c>
      <x:c r="M1191" s="37" t="str">
        <x:v>Home</x:v>
      </x:c>
      <x:c r="N1191" s="37" t="str">
        <x:v>Put the largest object in the bowl.</x:v>
      </x:c>
      <x:c r="O1191" s="37" t="str"/>
      <x:c r="P1191" s="37" t="str">
        <x:v>Explicitly grounds largest with crushed Pepsi can; only the selected size-role/object cell is withheld.</x:v>
      </x:c>
      <x:c r="Q1191" s="38"/>
    </x:row>
    <x:row r="1192" ht="60" customHeight="1">
      <x:c r="A1192" s="70" t="n">
        <x:v>1190</x:v>
      </x:c>
      <x:c r="B1192" s="37" t="str">
        <x:v>Size Recognition</x:v>
      </x:c>
      <x:c r="C1192" s="37" t="str">
        <x:v>Pick up the largest item and place it in the bowl.</x:v>
      </x:c>
      <x:c r="D1192" s="37" t="str">
        <x:v>Explicit size grounding</x:v>
      </x:c>
      <x:c r="E1192" s="37" t="str">
        <x:v>largest × crushed Pepsi can</x:v>
      </x:c>
      <x:c r="F1192" s="37" t="str">
        <x:v>size_crushed_pepsi_can_largest_explicit</x:v>
      </x:c>
      <x:c r="G1192" s="37" t="str">
        <x:v>green-block×largest; juggling-ball×smallest</x:v>
      </x:c>
      <x:c r="H1192" s="37" t="str">
        <x:v>No</x:v>
      </x:c>
      <x:c r="I1192" s="37" t="str">
        <x:v>Keep prompt</x:v>
      </x:c>
      <x:c r="J1192" s="37" t="str">
        <x:v>No prompt change required under the missing-cell design.</x:v>
      </x:c>
      <x:c r="K1192" s="37" t="str">
        <x:v>green block, crushed Pepsi can</x:v>
      </x:c>
      <x:c r="L1192" s="37" t="str">
        <x:v>crushed Pepsi can</x:v>
      </x:c>
      <x:c r="M1192" s="37" t="str">
        <x:v>Home</x:v>
      </x:c>
      <x:c r="N1192" s="37" t="str">
        <x:v>Pick up the largest item and place it in the bowl.</x:v>
      </x:c>
      <x:c r="O1192" s="37" t="str"/>
      <x:c r="P1192" s="37" t="str">
        <x:v>Explicitly grounds largest with crushed Pepsi can; only the selected size-role/object cell is withheld.</x:v>
      </x:c>
      <x:c r="Q1192" s="38"/>
    </x:row>
    <x:row r="1193" ht="60" customHeight="1">
      <x:c r="A1193" s="70" t="n">
        <x:v>1191</x:v>
      </x:c>
      <x:c r="B1193" s="37" t="str">
        <x:v>Size Recognition</x:v>
      </x:c>
      <x:c r="C1193" s="37" t="str">
        <x:v>Pick up the largest item and place it in the bowl.</x:v>
      </x:c>
      <x:c r="D1193" s="37" t="str">
        <x:v>Explicit size grounding</x:v>
      </x:c>
      <x:c r="E1193" s="37" t="str">
        <x:v>largest × crushed Pepsi can</x:v>
      </x:c>
      <x:c r="F1193" s="37" t="str">
        <x:v>size_crushed_pepsi_can_largest_explicit</x:v>
      </x:c>
      <x:c r="G1193" s="37" t="str">
        <x:v>green-block×largest; juggling-ball×smallest</x:v>
      </x:c>
      <x:c r="H1193" s="37" t="str">
        <x:v>No</x:v>
      </x:c>
      <x:c r="I1193" s="37" t="str">
        <x:v>Keep prompt</x:v>
      </x:c>
      <x:c r="J1193" s="37" t="str">
        <x:v>No prompt change required under the missing-cell design.</x:v>
      </x:c>
      <x:c r="K1193" s="37" t="str">
        <x:v>green block, crushed Pepsi can</x:v>
      </x:c>
      <x:c r="L1193" s="37" t="str">
        <x:v>crushed Pepsi can</x:v>
      </x:c>
      <x:c r="M1193" s="37" t="str">
        <x:v>Home</x:v>
      </x:c>
      <x:c r="N1193" s="37" t="str">
        <x:v>Pick up the largest item and place it in the bowl.</x:v>
      </x:c>
      <x:c r="O1193" s="37" t="str"/>
      <x:c r="P1193" s="37" t="str">
        <x:v>Explicitly grounds largest with crushed Pepsi can; only the selected size-role/object cell is withheld.</x:v>
      </x:c>
      <x:c r="Q1193" s="38"/>
    </x:row>
    <x:row r="1194" ht="60" customHeight="1">
      <x:c r="A1194" s="70" t="n">
        <x:v>1192</x:v>
      </x:c>
      <x:c r="B1194" s="37" t="str">
        <x:v>Size Recognition</x:v>
      </x:c>
      <x:c r="C1194" s="37" t="str">
        <x:v>Move the object that is largest into the bowl.</x:v>
      </x:c>
      <x:c r="D1194" s="37" t="str">
        <x:v>Explicit size grounding</x:v>
      </x:c>
      <x:c r="E1194" s="37" t="str">
        <x:v>largest × crushed Pepsi can</x:v>
      </x:c>
      <x:c r="F1194" s="37" t="str">
        <x:v>size_crushed_pepsi_can_largest_explicit</x:v>
      </x:c>
      <x:c r="G1194" s="37" t="str">
        <x:v>green-block×largest; juggling-ball×smallest</x:v>
      </x:c>
      <x:c r="H1194" s="37" t="str">
        <x:v>No</x:v>
      </x:c>
      <x:c r="I1194" s="37" t="str">
        <x:v>Keep prompt</x:v>
      </x:c>
      <x:c r="J1194" s="37" t="str">
        <x:v>No prompt change required under the missing-cell design.</x:v>
      </x:c>
      <x:c r="K1194" s="37" t="str">
        <x:v>green block, crushed Pepsi can</x:v>
      </x:c>
      <x:c r="L1194" s="37" t="str">
        <x:v>crushed Pepsi can</x:v>
      </x:c>
      <x:c r="M1194" s="37" t="str">
        <x:v>Home</x:v>
      </x:c>
      <x:c r="N1194" s="37" t="str">
        <x:v>Move the object that is largest into the bowl.</x:v>
      </x:c>
      <x:c r="O1194" s="37" t="str"/>
      <x:c r="P1194" s="37" t="str">
        <x:v>Explicitly grounds largest with crushed Pepsi can; only the selected size-role/object cell is withheld.</x:v>
      </x:c>
      <x:c r="Q1194" s="38"/>
    </x:row>
    <x:row r="1195" ht="60" customHeight="1">
      <x:c r="A1195" s="70" t="n">
        <x:v>1193</x:v>
      </x:c>
      <x:c r="B1195" s="37" t="str">
        <x:v>Size Recognition</x:v>
      </x:c>
      <x:c r="C1195" s="37" t="str">
        <x:v>Pick up the largest item and place it in the bowl.</x:v>
      </x:c>
      <x:c r="D1195" s="37" t="str">
        <x:v>Explicit size grounding</x:v>
      </x:c>
      <x:c r="E1195" s="37" t="str">
        <x:v>largest × crushed Pepsi can</x:v>
      </x:c>
      <x:c r="F1195" s="37" t="str">
        <x:v>size_crushed_pepsi_can_largest_explicit</x:v>
      </x:c>
      <x:c r="G1195" s="37" t="str">
        <x:v>green-block×largest; juggling-ball×smallest</x:v>
      </x:c>
      <x:c r="H1195" s="37" t="str">
        <x:v>No</x:v>
      </x:c>
      <x:c r="I1195" s="37" t="str">
        <x:v>Keep prompt</x:v>
      </x:c>
      <x:c r="J1195" s="37" t="str">
        <x:v>No prompt change required under the missing-cell design.</x:v>
      </x:c>
      <x:c r="K1195" s="37" t="str">
        <x:v>green block, crushed Pepsi can</x:v>
      </x:c>
      <x:c r="L1195" s="37" t="str">
        <x:v>crushed Pepsi can</x:v>
      </x:c>
      <x:c r="M1195" s="37" t="str">
        <x:v>Home</x:v>
      </x:c>
      <x:c r="N1195" s="37" t="str">
        <x:v>Pick up the largest item and place it in the bowl.</x:v>
      </x:c>
      <x:c r="O1195" s="37" t="str"/>
      <x:c r="P1195" s="37" t="str">
        <x:v>Explicitly grounds largest with crushed Pepsi can; only the selected size-role/object cell is withheld.</x:v>
      </x:c>
      <x:c r="Q1195" s="38"/>
    </x:row>
    <x:row r="1196" ht="60" customHeight="1">
      <x:c r="A1196" s="70" t="n">
        <x:v>1194</x:v>
      </x:c>
      <x:c r="B1196" s="37" t="str">
        <x:v>Size Recognition</x:v>
      </x:c>
      <x:c r="C1196" s="37" t="str">
        <x:v>Move the object that is largest into the bowl.</x:v>
      </x:c>
      <x:c r="D1196" s="37" t="str">
        <x:v>Explicit size grounding</x:v>
      </x:c>
      <x:c r="E1196" s="37" t="str">
        <x:v>largest × crushed Pepsi can</x:v>
      </x:c>
      <x:c r="F1196" s="37" t="str">
        <x:v>size_crushed_pepsi_can_largest_explicit</x:v>
      </x:c>
      <x:c r="G1196" s="37" t="str">
        <x:v>green-block×largest; juggling-ball×smallest</x:v>
      </x:c>
      <x:c r="H1196" s="37" t="str">
        <x:v>No</x:v>
      </x:c>
      <x:c r="I1196" s="37" t="str">
        <x:v>Keep prompt</x:v>
      </x:c>
      <x:c r="J1196" s="37" t="str">
        <x:v>No prompt change required under the missing-cell design.</x:v>
      </x:c>
      <x:c r="K1196" s="37" t="str">
        <x:v>green block, crushed Pepsi can</x:v>
      </x:c>
      <x:c r="L1196" s="37" t="str">
        <x:v>crushed Pepsi can</x:v>
      </x:c>
      <x:c r="M1196" s="37" t="str">
        <x:v>Home</x:v>
      </x:c>
      <x:c r="N1196" s="37" t="str">
        <x:v>Move the object that is largest into the bowl.</x:v>
      </x:c>
      <x:c r="O1196" s="37" t="str"/>
      <x:c r="P1196" s="37" t="str">
        <x:v>Explicitly grounds largest with crushed Pepsi can; only the selected size-role/object cell is withheld.</x:v>
      </x:c>
      <x:c r="Q1196" s="38"/>
    </x:row>
    <x:row r="1197" ht="60" customHeight="1">
      <x:c r="A1197" s="70" t="n">
        <x:v>1195</x:v>
      </x:c>
      <x:c r="B1197" s="37" t="str">
        <x:v>Size Recognition</x:v>
      </x:c>
      <x:c r="C1197" s="37" t="str">
        <x:v>Move the object that is largest into the bowl.</x:v>
      </x:c>
      <x:c r="D1197" s="37" t="str">
        <x:v>Explicit size grounding</x:v>
      </x:c>
      <x:c r="E1197" s="37" t="str">
        <x:v>largest × crushed Pepsi can</x:v>
      </x:c>
      <x:c r="F1197" s="37" t="str">
        <x:v>size_crushed_pepsi_can_largest_explicit</x:v>
      </x:c>
      <x:c r="G1197" s="37" t="str">
        <x:v>green-block×largest; juggling-ball×smallest</x:v>
      </x:c>
      <x:c r="H1197" s="37" t="str">
        <x:v>No</x:v>
      </x:c>
      <x:c r="I1197" s="37" t="str">
        <x:v>Keep prompt</x:v>
      </x:c>
      <x:c r="J1197" s="37" t="str">
        <x:v>No prompt change required under the missing-cell design.</x:v>
      </x:c>
      <x:c r="K1197" s="37" t="str">
        <x:v>green block, crushed Pepsi can</x:v>
      </x:c>
      <x:c r="L1197" s="37" t="str">
        <x:v>crushed Pepsi can</x:v>
      </x:c>
      <x:c r="M1197" s="37" t="str">
        <x:v>Home</x:v>
      </x:c>
      <x:c r="N1197" s="37" t="str">
        <x:v>Move the object that is largest into the bowl.</x:v>
      </x:c>
      <x:c r="O1197" s="37" t="str"/>
      <x:c r="P1197" s="37" t="str">
        <x:v>Explicitly grounds largest with crushed Pepsi can; only the selected size-role/object cell is withheld.</x:v>
      </x:c>
      <x:c r="Q1197" s="38"/>
    </x:row>
    <x:row r="1198" ht="60" customHeight="1">
      <x:c r="A1198" s="70" t="n">
        <x:v>1196</x:v>
      </x:c>
      <x:c r="B1198" s="37" t="str">
        <x:v>Size Recognition</x:v>
      </x:c>
      <x:c r="C1198" s="37" t="str">
        <x:v>Move the object that is largest into the bowl.</x:v>
      </x:c>
      <x:c r="D1198" s="37" t="str">
        <x:v>Explicit size grounding</x:v>
      </x:c>
      <x:c r="E1198" s="37" t="str">
        <x:v>largest × crushed Pepsi can</x:v>
      </x:c>
      <x:c r="F1198" s="37" t="str">
        <x:v>size_crushed_pepsi_can_largest_explicit</x:v>
      </x:c>
      <x:c r="G1198" s="37" t="str">
        <x:v>green-block×largest; juggling-ball×smallest</x:v>
      </x:c>
      <x:c r="H1198" s="37" t="str">
        <x:v>No</x:v>
      </x:c>
      <x:c r="I1198" s="37" t="str">
        <x:v>Keep prompt</x:v>
      </x:c>
      <x:c r="J1198" s="37" t="str">
        <x:v>No prompt change required under the missing-cell design.</x:v>
      </x:c>
      <x:c r="K1198" s="37" t="str">
        <x:v>green block, crushed Pepsi can</x:v>
      </x:c>
      <x:c r="L1198" s="37" t="str">
        <x:v>crushed Pepsi can</x:v>
      </x:c>
      <x:c r="M1198" s="37" t="str">
        <x:v>Recovery</x:v>
      </x:c>
      <x:c r="N1198" s="37" t="str">
        <x:v>Move the object that is largest into the bowl.</x:v>
      </x:c>
      <x:c r="O1198" s="37" t="str"/>
      <x:c r="P1198" s="37" t="str">
        <x:v>Explicitly grounds largest with crushed Pepsi can; only the selected size-role/object cell is withheld.</x:v>
      </x:c>
      <x:c r="Q1198" s="38"/>
    </x:row>
    <x:row r="1199" ht="60" customHeight="1">
      <x:c r="A1199" s="70" t="n">
        <x:v>1197</x:v>
      </x:c>
      <x:c r="B1199" s="37" t="str">
        <x:v>Size Recognition</x:v>
      </x:c>
      <x:c r="C1199" s="37" t="str">
        <x:v>Move the object that is largest into the bowl.</x:v>
      </x:c>
      <x:c r="D1199" s="37" t="str">
        <x:v>Explicit size grounding</x:v>
      </x:c>
      <x:c r="E1199" s="37" t="str">
        <x:v>largest × crushed Pepsi can</x:v>
      </x:c>
      <x:c r="F1199" s="37" t="str">
        <x:v>size_crushed_pepsi_can_largest_explicit</x:v>
      </x:c>
      <x:c r="G1199" s="37" t="str">
        <x:v>green-block×largest; juggling-ball×smallest</x:v>
      </x:c>
      <x:c r="H1199" s="37" t="str">
        <x:v>No</x:v>
      </x:c>
      <x:c r="I1199" s="37" t="str">
        <x:v>Keep prompt</x:v>
      </x:c>
      <x:c r="J1199" s="37" t="str">
        <x:v>No prompt change required under the missing-cell design.</x:v>
      </x:c>
      <x:c r="K1199" s="37" t="str">
        <x:v>green block, crushed Pepsi can</x:v>
      </x:c>
      <x:c r="L1199" s="37" t="str">
        <x:v>crushed Pepsi can</x:v>
      </x:c>
      <x:c r="M1199" s="37" t="str">
        <x:v>Recovery</x:v>
      </x:c>
      <x:c r="N1199" s="37" t="str">
        <x:v>Move the object that is largest into the bowl.</x:v>
      </x:c>
      <x:c r="O1199" s="37" t="str"/>
      <x:c r="P1199" s="37" t="str">
        <x:v>Explicitly grounds largest with crushed Pepsi can; only the selected size-role/object cell is withheld.</x:v>
      </x:c>
      <x:c r="Q1199" s="38"/>
    </x:row>
    <x:row r="1200" ht="60" customHeight="1">
      <x:c r="A1200" s="70" t="n">
        <x:v>1198</x:v>
      </x:c>
      <x:c r="B1200" s="37" t="str">
        <x:v>Size Recognition</x:v>
      </x:c>
      <x:c r="C1200" s="37" t="str">
        <x:v>Move the object that is largest into the bowl.</x:v>
      </x:c>
      <x:c r="D1200" s="37" t="str">
        <x:v>Explicit size grounding</x:v>
      </x:c>
      <x:c r="E1200" s="37" t="str">
        <x:v>largest × crushed Pepsi can</x:v>
      </x:c>
      <x:c r="F1200" s="37" t="str">
        <x:v>size_crushed_pepsi_can_largest_explicit</x:v>
      </x:c>
      <x:c r="G1200" s="37" t="str">
        <x:v>green-block×largest; juggling-ball×smallest</x:v>
      </x:c>
      <x:c r="H1200" s="37" t="str">
        <x:v>No</x:v>
      </x:c>
      <x:c r="I1200" s="37" t="str">
        <x:v>Keep prompt</x:v>
      </x:c>
      <x:c r="J1200" s="37" t="str">
        <x:v>No prompt change required under the missing-cell design.</x:v>
      </x:c>
      <x:c r="K1200" s="37" t="str">
        <x:v>green block, crushed Pepsi can</x:v>
      </x:c>
      <x:c r="L1200" s="37" t="str">
        <x:v>crushed Pepsi can</x:v>
      </x:c>
      <x:c r="M1200" s="37" t="str">
        <x:v>Recovery</x:v>
      </x:c>
      <x:c r="N1200" s="37" t="str">
        <x:v>Move the object that is largest into the bowl.</x:v>
      </x:c>
      <x:c r="O1200" s="37" t="str"/>
      <x:c r="P1200" s="37" t="str">
        <x:v>Explicitly grounds largest with crushed Pepsi can; only the selected size-role/object cell is withheld.</x:v>
      </x:c>
      <x:c r="Q1200" s="38"/>
    </x:row>
    <x:row r="1201" ht="60" customHeight="1">
      <x:c r="A1201" s="71" t="n">
        <x:v>1199</x:v>
      </x:c>
      <x:c r="B1201" s="40" t="str">
        <x:v>Size Recognition</x:v>
      </x:c>
      <x:c r="C1201" s="40" t="str">
        <x:v>Put the largest object in the bowl.</x:v>
      </x:c>
      <x:c r="D1201" s="40" t="str">
        <x:v>Explicit size grounding</x:v>
      </x:c>
      <x:c r="E1201" s="40" t="str">
        <x:v>largest × crushed Pepsi can</x:v>
      </x:c>
      <x:c r="F1201" s="40" t="str">
        <x:v>size_crushed_pepsi_can_largest_explicit</x:v>
      </x:c>
      <x:c r="G1201" s="40" t="str">
        <x:v>green-block×largest; juggling-ball×smallest</x:v>
      </x:c>
      <x:c r="H1201" s="40" t="str">
        <x:v>No</x:v>
      </x:c>
      <x:c r="I1201" s="40" t="str">
        <x:v>Keep prompt</x:v>
      </x:c>
      <x:c r="J1201" s="40" t="str">
        <x:v>No prompt change required under the missing-cell design.</x:v>
      </x:c>
      <x:c r="K1201" s="40" t="str">
        <x:v>green block, crushed Pepsi can</x:v>
      </x:c>
      <x:c r="L1201" s="40" t="str">
        <x:v>crushed Pepsi can</x:v>
      </x:c>
      <x:c r="M1201" s="40" t="str">
        <x:v>Recovery</x:v>
      </x:c>
      <x:c r="N1201" s="40" t="str">
        <x:v>Put the largest object in the bowl.</x:v>
      </x:c>
      <x:c r="O1201" s="40" t="str"/>
      <x:c r="P1201" s="40" t="str">
        <x:v>Explicitly grounds largest with crushed Pepsi can; only the selected size-role/object cell is withheld.</x:v>
      </x:c>
      <x:c r="Q1201" s="41"/>
    </x:row>
  </x:sheetData>
  <x:conditionalFormatting sqref="H2:H1201">
    <x:cfRule type="cellIs" dxfId="0" priority="1" operator="equal">
      <x:formula>"Yes"</x:formula>
    </x:cfRule>
  </x:conditionalFormatting>
  <x:conditionalFormatting sqref="I2:I1201">
    <x:cfRule type="containsText" dxfId="1" priority="2" operator="containsText" text="Deferred"/>
  </x:conditionalFormatting>
  <x:pageMargins left="0.7" right="0.7" top="0.75" bottom="0.75" header="0.3" footer="0.3"/>
  <x:tableParts count="1">
    <x:tablePart xmlns:r="http://schemas.openxmlformats.org/officeDocument/2006/relationships" r:id="Rcf22978b47d14aa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5" hidden="0" customWidth="1"/>
    <x:col min="4" max="4" width="25" hidden="0" customWidth="1"/>
    <x:col min="5" max="5" width="44" hidden="0" customWidth="1"/>
    <x:col min="6" max="6" width="44" hidden="0" customWidth="1"/>
    <x:col min="7" max="7" width="36" hidden="0" customWidth="1"/>
    <x:col min="8" max="8" width="60" hidden="0" customWidth="1"/>
    <x:col min="9" max="9" width="28" hidden="0" customWidth="1"/>
    <x:col min="10" max="10" width="14" hidden="0" customWidth="1"/>
    <x:col min="11" max="11" width="52" hidden="0" customWidth="1"/>
  </x:cols>
  <x:sheetData>
    <x:row r="1">
      <x:c r="A1" s="13" t="str">
        <x:v>Status</x:v>
      </x:c>
      <x:c r="B1" s="13" t="str">
        <x:v>Queue Row</x:v>
      </x:c>
      <x:c r="C1" s="13" t="str">
        <x:v>Dataset Episode</x:v>
      </x:c>
      <x:c r="D1" s="13" t="str">
        <x:v>Task</x:v>
      </x:c>
      <x:c r="E1" s="13" t="str">
        <x:v>Source Prompt</x:v>
      </x:c>
      <x:c r="F1" s="13" t="str">
        <x:v>Replacement Prompt</x:v>
      </x:c>
      <x:c r="G1" s="13" t="str">
        <x:v>Training Role</x:v>
      </x:c>
      <x:c r="H1" s="13" t="str">
        <x:v>Objects in Scene</x:v>
      </x:c>
      <x:c r="I1" s="13" t="str">
        <x:v>Target</x:v>
      </x:c>
      <x:c r="J1" s="13" t="str">
        <x:v>Start</x:v>
      </x:c>
      <x:c r="K1" s="13" t="str">
        <x:v>Reason</x:v>
      </x:c>
    </x:row>
    <x:row r="2" ht="60" customHeight="1">
      <x:c r="A2" s="33" t="str">
        <x:v>Not applied</x:v>
      </x:c>
      <x:c r="B2" s="34" t="n">
        <x:v>0</x:v>
      </x:c>
      <x:c r="C2" s="34" t="n">
        <x:v>400</x:v>
      </x:c>
      <x:c r="D2" s="34" t="str">
        <x:v>Referential Disambiguation</x:v>
      </x:c>
      <x:c r="E2" s="34" t="str">
        <x:v>Pick up the crushed soda can nearest to the green pencil sharpener and place it in the bowl.</x:v>
      </x:c>
      <x:c r="F2" s="34" t="str">
        <x:v>Put the crushed Coke can in the bowl.</x:v>
      </x:c>
      <x:c r="G2" s="34" t="str">
        <x:v>Masked relation × candidate-category composition</x:v>
      </x:c>
      <x:c r="H2" s="34" t="str">
        <x:v>crushed Coke can, crushed Pepsi can, green pencil sharpener</x:v>
      </x:c>
      <x:c r="I2" s="34" t="str">
        <x:v>crushed Coke can</x:v>
      </x:c>
      <x:c r="J2" s="34" t="str">
        <x:v>Home</x:v>
      </x:c>
      <x:c r="K2" s="35" t="str">
        <x:v>Prompt-only relabeling; preserve episode 400 video, scene, trajectory, target, and start position.</x:v>
      </x:c>
    </x:row>
    <x:row r="3" ht="60" customHeight="1">
      <x:c r="A3" s="36" t="str">
        <x:v>Not applied</x:v>
      </x:c>
      <x:c r="B3" s="37" t="n">
        <x:v>1</x:v>
      </x:c>
      <x:c r="C3" s="37" t="n">
        <x:v>401</x:v>
      </x:c>
      <x:c r="D3" s="37" t="str">
        <x:v>Referential Disambiguation</x:v>
      </x:c>
      <x:c r="E3" s="37" t="str">
        <x:v>Pick up the crushed soda can nearest to the red pencil sharpener and place it in the bowl.</x:v>
      </x:c>
      <x:c r="F3" s="37" t="str">
        <x:v>Pick up the crushed Pepsi can and place it in the bowl.</x:v>
      </x:c>
      <x:c r="G3" s="37" t="str">
        <x:v>Masked relation × candidate-category composition</x:v>
      </x:c>
      <x:c r="H3" s="37" t="str">
        <x:v>crushed Coke can, crushed Pepsi can, red pencil sharpener, yellow pen</x:v>
      </x:c>
      <x:c r="I3" s="37" t="str">
        <x:v>crushed Pepsi can</x:v>
      </x:c>
      <x:c r="J3" s="37" t="str">
        <x:v>Home</x:v>
      </x:c>
      <x:c r="K3" s="38" t="str">
        <x:v>Prompt-only relabeling; preserve episode 401 video, scene, trajectory, target, and start position.</x:v>
      </x:c>
    </x:row>
    <x:row r="4" ht="60" customHeight="1">
      <x:c r="A4" s="36" t="str">
        <x:v>Not applied</x:v>
      </x:c>
      <x:c r="B4" s="37" t="n">
        <x:v>2</x:v>
      </x:c>
      <x:c r="C4" s="37" t="n">
        <x:v>402</x:v>
      </x:c>
      <x:c r="D4" s="37" t="str">
        <x:v>Referential Disambiguation</x:v>
      </x:c>
      <x:c r="E4" s="37" t="str">
        <x:v>Put the crushed soda can closest to the green pen in the bowl.</x:v>
      </x:c>
      <x:c r="F4" s="37" t="str">
        <x:v>Move the crushed Coke can into the bowl.</x:v>
      </x:c>
      <x:c r="G4" s="37" t="str">
        <x:v>Masked relation × candidate-category composition</x:v>
      </x:c>
      <x:c r="H4" s="37" t="str">
        <x:v>crushed Coke can, crushed Pepsi can, green pen</x:v>
      </x:c>
      <x:c r="I4" s="37" t="str">
        <x:v>crushed Coke can</x:v>
      </x:c>
      <x:c r="J4" s="37" t="str">
        <x:v>Home</x:v>
      </x:c>
      <x:c r="K4" s="38" t="str">
        <x:v>Prompt-only relabeling; preserve episode 402 video, scene, trajectory, target, and start position.</x:v>
      </x:c>
    </x:row>
    <x:row r="5" ht="60" customHeight="1">
      <x:c r="A5" s="36" t="str">
        <x:v>Not applied</x:v>
      </x:c>
      <x:c r="B5" s="37" t="n">
        <x:v>3</x:v>
      </x:c>
      <x:c r="C5" s="37" t="n">
        <x:v>403</x:v>
      </x:c>
      <x:c r="D5" s="37" t="str">
        <x:v>Referential Disambiguation</x:v>
      </x:c>
      <x:c r="E5" s="37" t="str">
        <x:v>Pick up the crushed soda can nearest to the yellow pen and place it in the bowl.</x:v>
      </x:c>
      <x:c r="F5" s="37" t="str">
        <x:v>Put the crushed Pepsi can in the bowl.</x:v>
      </x:c>
      <x:c r="G5" s="37" t="str">
        <x:v>Masked relation × candidate-category composition</x:v>
      </x:c>
      <x:c r="H5" s="37" t="str">
        <x:v>crushed Coke can, crushed Pepsi can, yellow pen, airplane toy without propellers</x:v>
      </x:c>
      <x:c r="I5" s="37" t="str">
        <x:v>crushed Pepsi can</x:v>
      </x:c>
      <x:c r="J5" s="37" t="str">
        <x:v>Home</x:v>
      </x:c>
      <x:c r="K5" s="38" t="str">
        <x:v>Prompt-only relabeling; preserve episode 403 video, scene, trajectory, target, and start position.</x:v>
      </x:c>
    </x:row>
    <x:row r="6" ht="60" customHeight="1">
      <x:c r="A6" s="36" t="str">
        <x:v>Not applied</x:v>
      </x:c>
      <x:c r="B6" s="37" t="n">
        <x:v>4</x:v>
      </x:c>
      <x:c r="C6" s="37" t="n">
        <x:v>404</x:v>
      </x:c>
      <x:c r="D6" s="37" t="str">
        <x:v>Referential Disambiguation</x:v>
      </x:c>
      <x:c r="E6" s="37" t="str">
        <x:v>Pick up the crushed soda can nearest to the airplane toy with propellers and place it in the bowl.</x:v>
      </x:c>
      <x:c r="F6" s="37" t="str">
        <x:v>Pick up the crushed Coke can and place it in the bowl.</x:v>
      </x:c>
      <x:c r="G6" s="37" t="str">
        <x:v>Masked relation × candidate-category composition</x:v>
      </x:c>
      <x:c r="H6" s="37" t="str">
        <x:v>crushed Coke can, crushed Pepsi can, airplane toy with propellers</x:v>
      </x:c>
      <x:c r="I6" s="37" t="str">
        <x:v>crushed Coke can</x:v>
      </x:c>
      <x:c r="J6" s="37" t="str">
        <x:v>Recovery</x:v>
      </x:c>
      <x:c r="K6" s="38" t="str">
        <x:v>Prompt-only relabeling; preserve episode 404 video, scene, trajectory, target, and start position.</x:v>
      </x:c>
    </x:row>
    <x:row r="7" ht="60" customHeight="1">
      <x:c r="A7" s="36" t="str">
        <x:v>Not applied</x:v>
      </x:c>
      <x:c r="B7" s="37" t="n">
        <x:v>5</x:v>
      </x:c>
      <x:c r="C7" s="37" t="n">
        <x:v>405</x:v>
      </x:c>
      <x:c r="D7" s="37" t="str">
        <x:v>Referential Disambiguation</x:v>
      </x:c>
      <x:c r="E7" s="37" t="str">
        <x:v>Move the crushed soda can that is closest to the airplane toy without propellers into the bowl.</x:v>
      </x:c>
      <x:c r="F7" s="37" t="str">
        <x:v>Move the crushed Pepsi can into the bowl.</x:v>
      </x:c>
      <x:c r="G7" s="37" t="str">
        <x:v>Masked relation × candidate-category composition</x:v>
      </x:c>
      <x:c r="H7" s="37" t="str">
        <x:v>crushed Coke can, crushed Pepsi can, airplane toy without propellers, red pencil sharpener</x:v>
      </x:c>
      <x:c r="I7" s="37" t="str">
        <x:v>crushed Pepsi can</x:v>
      </x:c>
      <x:c r="J7" s="37" t="str">
        <x:v>Home</x:v>
      </x:c>
      <x:c r="K7" s="38" t="str">
        <x:v>Prompt-only relabeling; preserve episode 405 video, scene, trajectory, target, and start position.</x:v>
      </x:c>
    </x:row>
    <x:row r="8" ht="60" customHeight="1">
      <x:c r="A8" s="36" t="str">
        <x:v>Not applied</x:v>
      </x:c>
      <x:c r="B8" s="37" t="n">
        <x:v>6</x:v>
      </x:c>
      <x:c r="C8" s="37" t="n">
        <x:v>406</x:v>
      </x:c>
      <x:c r="D8" s="37" t="str">
        <x:v>Referential Disambiguation</x:v>
      </x:c>
      <x:c r="E8" s="37" t="str">
        <x:v>Put the crushed soda can closest to the green pencil sharpener in the bowl.</x:v>
      </x:c>
      <x:c r="F8" s="37" t="str">
        <x:v>Put the crushed Coke can in the bowl.</x:v>
      </x:c>
      <x:c r="G8" s="37" t="str">
        <x:v>Masked relation × candidate-category composition</x:v>
      </x:c>
      <x:c r="H8" s="37" t="str">
        <x:v>crushed Coke can, crushed Pepsi can, green pencil sharpener</x:v>
      </x:c>
      <x:c r="I8" s="37" t="str">
        <x:v>crushed Coke can</x:v>
      </x:c>
      <x:c r="J8" s="37" t="str">
        <x:v>Home</x:v>
      </x:c>
      <x:c r="K8" s="38" t="str">
        <x:v>Prompt-only relabeling; preserve episode 406 video, scene, trajectory, target, and start position.</x:v>
      </x:c>
    </x:row>
    <x:row r="9" ht="60" customHeight="1">
      <x:c r="A9" s="36" t="str">
        <x:v>Not applied</x:v>
      </x:c>
      <x:c r="B9" s="37" t="n">
        <x:v>7</x:v>
      </x:c>
      <x:c r="C9" s="37" t="n">
        <x:v>407</x:v>
      </x:c>
      <x:c r="D9" s="37" t="str">
        <x:v>Referential Disambiguation</x:v>
      </x:c>
      <x:c r="E9" s="37" t="str">
        <x:v>Put the crushed soda can closest to the red pencil sharpener in the bowl.</x:v>
      </x:c>
      <x:c r="F9" s="37" t="str">
        <x:v>Pick up the crushed Pepsi can and place it in the bowl.</x:v>
      </x:c>
      <x:c r="G9" s="37" t="str">
        <x:v>Masked relation × candidate-category composition</x:v>
      </x:c>
      <x:c r="H9" s="37" t="str">
        <x:v>crushed Coke can, crushed Pepsi can, red pencil sharpener, green pencil sharpener</x:v>
      </x:c>
      <x:c r="I9" s="37" t="str">
        <x:v>crushed Pepsi can</x:v>
      </x:c>
      <x:c r="J9" s="37" t="str">
        <x:v>Home</x:v>
      </x:c>
      <x:c r="K9" s="38" t="str">
        <x:v>Prompt-only relabeling; preserve episode 407 video, scene, trajectory, target, and start position.</x:v>
      </x:c>
    </x:row>
    <x:row r="10" ht="60" customHeight="1">
      <x:c r="A10" s="36" t="str">
        <x:v>Not applied</x:v>
      </x:c>
      <x:c r="B10" s="37" t="n">
        <x:v>8</x:v>
      </x:c>
      <x:c r="C10" s="37" t="n">
        <x:v>408</x:v>
      </x:c>
      <x:c r="D10" s="37" t="str">
        <x:v>Referential Disambiguation</x:v>
      </x:c>
      <x:c r="E10" s="37" t="str">
        <x:v>Pick up the crushed soda can nearest to the green pen and place it in the bowl.</x:v>
      </x:c>
      <x:c r="F10" s="37" t="str">
        <x:v>Move the crushed Coke can into the bowl.</x:v>
      </x:c>
      <x:c r="G10" s="37" t="str">
        <x:v>Masked relation × candidate-category composition</x:v>
      </x:c>
      <x:c r="H10" s="37" t="str">
        <x:v>crushed Coke can, crushed Pepsi can, green pen</x:v>
      </x:c>
      <x:c r="I10" s="37" t="str">
        <x:v>crushed Coke can</x:v>
      </x:c>
      <x:c r="J10" s="37" t="str">
        <x:v>Home</x:v>
      </x:c>
      <x:c r="K10" s="38" t="str">
        <x:v>Prompt-only relabeling; preserve episode 408 video, scene, trajectory, target, and start position.</x:v>
      </x:c>
    </x:row>
    <x:row r="11" ht="60" customHeight="1">
      <x:c r="A11" s="36" t="str">
        <x:v>Not applied</x:v>
      </x:c>
      <x:c r="B11" s="37" t="n">
        <x:v>9</x:v>
      </x:c>
      <x:c r="C11" s="37" t="n">
        <x:v>409</x:v>
      </x:c>
      <x:c r="D11" s="37" t="str">
        <x:v>Referential Disambiguation</x:v>
      </x:c>
      <x:c r="E11" s="37" t="str">
        <x:v>Pick up the crushed soda can nearest to the yellow pen and place it in the bowl.</x:v>
      </x:c>
      <x:c r="F11" s="37" t="str">
        <x:v>Put the crushed Pepsi can in the bowl.</x:v>
      </x:c>
      <x:c r="G11" s="37" t="str">
        <x:v>Masked relation × candidate-category composition</x:v>
      </x:c>
      <x:c r="H11" s="37" t="str">
        <x:v>crushed Coke can, crushed Pepsi can, yellow pen, red pencil sharpener</x:v>
      </x:c>
      <x:c r="I11" s="37" t="str">
        <x:v>crushed Pepsi can</x:v>
      </x:c>
      <x:c r="J11" s="37" t="str">
        <x:v>Recovery</x:v>
      </x:c>
      <x:c r="K11" s="38" t="str">
        <x:v>Prompt-only relabeling; preserve episode 409 video, scene, trajectory, target, and start position.</x:v>
      </x:c>
    </x:row>
    <x:row r="12" ht="60" customHeight="1">
      <x:c r="A12" s="36" t="str">
        <x:v>Not applied</x:v>
      </x:c>
      <x:c r="B12" s="37" t="n">
        <x:v>10</x:v>
      </x:c>
      <x:c r="C12" s="37" t="n">
        <x:v>410</x:v>
      </x:c>
      <x:c r="D12" s="37" t="str">
        <x:v>Referential Disambiguation</x:v>
      </x:c>
      <x:c r="E12" s="37" t="str">
        <x:v>Pick up the crushed soda can nearest to the airplane toy with propellers and place it in the bowl.</x:v>
      </x:c>
      <x:c r="F12" s="37" t="str">
        <x:v>Pick up the crushed Coke can and place it in the bowl.</x:v>
      </x:c>
      <x:c r="G12" s="37" t="str">
        <x:v>Masked relation × candidate-category composition</x:v>
      </x:c>
      <x:c r="H12" s="37" t="str">
        <x:v>crushed Coke can, crushed Pepsi can, airplane toy with propellers</x:v>
      </x:c>
      <x:c r="I12" s="37" t="str">
        <x:v>crushed Coke can</x:v>
      </x:c>
      <x:c r="J12" s="37" t="str">
        <x:v>Home</x:v>
      </x:c>
      <x:c r="K12" s="38" t="str">
        <x:v>Prompt-only relabeling; preserve episode 410 video, scene, trajectory, target, and start position.</x:v>
      </x:c>
    </x:row>
    <x:row r="13" ht="60" customHeight="1">
      <x:c r="A13" s="36" t="str">
        <x:v>Not applied</x:v>
      </x:c>
      <x:c r="B13" s="37" t="n">
        <x:v>11</x:v>
      </x:c>
      <x:c r="C13" s="37" t="n">
        <x:v>411</x:v>
      </x:c>
      <x:c r="D13" s="37" t="str">
        <x:v>Referential Disambiguation</x:v>
      </x:c>
      <x:c r="E13" s="37" t="str">
        <x:v>Move the crushed soda can that is closest to the airplane toy without propellers into the bowl.</x:v>
      </x:c>
      <x:c r="F13" s="37" t="str">
        <x:v>Move the crushed Pepsi can into the bowl.</x:v>
      </x:c>
      <x:c r="G13" s="37" t="str">
        <x:v>Masked relation × candidate-category composition</x:v>
      </x:c>
      <x:c r="H13" s="37" t="str">
        <x:v>crushed Coke can, crushed Pepsi can, airplane toy without propellers, yellow pen</x:v>
      </x:c>
      <x:c r="I13" s="37" t="str">
        <x:v>crushed Pepsi can</x:v>
      </x:c>
      <x:c r="J13" s="37" t="str">
        <x:v>Home</x:v>
      </x:c>
      <x:c r="K13" s="38" t="str">
        <x:v>Prompt-only relabeling; preserve episode 411 video, scene, trajectory, target, and start position.</x:v>
      </x:c>
    </x:row>
    <x:row r="14" ht="60" customHeight="1">
      <x:c r="A14" s="36" t="str">
        <x:v>Not applied</x:v>
      </x:c>
      <x:c r="B14" s="37" t="n">
        <x:v>12</x:v>
      </x:c>
      <x:c r="C14" s="37" t="n">
        <x:v>412</x:v>
      </x:c>
      <x:c r="D14" s="37" t="str">
        <x:v>Referential Disambiguation</x:v>
      </x:c>
      <x:c r="E14" s="37" t="str">
        <x:v>Pick up the crushed soda can nearest to the green pencil sharpener and place it in the bowl.</x:v>
      </x:c>
      <x:c r="F14" s="37" t="str">
        <x:v>Put the crushed Coke can in the bowl.</x:v>
      </x:c>
      <x:c r="G14" s="37" t="str">
        <x:v>Masked relation × candidate-category composition</x:v>
      </x:c>
      <x:c r="H14" s="37" t="str">
        <x:v>crushed Coke can, crushed Pepsi can, green pencil sharpener</x:v>
      </x:c>
      <x:c r="I14" s="37" t="str">
        <x:v>crushed Coke can</x:v>
      </x:c>
      <x:c r="J14" s="37" t="str">
        <x:v>Home</x:v>
      </x:c>
      <x:c r="K14" s="38" t="str">
        <x:v>Prompt-only relabeling; preserve episode 412 video, scene, trajectory, target, and start position.</x:v>
      </x:c>
    </x:row>
    <x:row r="15" ht="60" customHeight="1">
      <x:c r="A15" s="36" t="str">
        <x:v>Not applied</x:v>
      </x:c>
      <x:c r="B15" s="37" t="n">
        <x:v>13</x:v>
      </x:c>
      <x:c r="C15" s="37" t="n">
        <x:v>413</x:v>
      </x:c>
      <x:c r="D15" s="37" t="str">
        <x:v>Referential Disambiguation</x:v>
      </x:c>
      <x:c r="E15" s="37" t="str">
        <x:v>Pick up the crushed soda can nearest to the red pencil sharpener and place it in the bowl.</x:v>
      </x:c>
      <x:c r="F15" s="37" t="str">
        <x:v>Pick up the crushed Pepsi can and place it in the bowl.</x:v>
      </x:c>
      <x:c r="G15" s="37" t="str">
        <x:v>Masked relation × candidate-category composition</x:v>
      </x:c>
      <x:c r="H15" s="37" t="str">
        <x:v>crushed Coke can, crushed Pepsi can, red pencil sharpener, yellow pen</x:v>
      </x:c>
      <x:c r="I15" s="37" t="str">
        <x:v>crushed Pepsi can</x:v>
      </x:c>
      <x:c r="J15" s="37" t="str">
        <x:v>Home</x:v>
      </x:c>
      <x:c r="K15" s="38" t="str">
        <x:v>Prompt-only relabeling; preserve episode 413 video, scene, trajectory, target, and start position.</x:v>
      </x:c>
    </x:row>
    <x:row r="16" ht="60" customHeight="1">
      <x:c r="A16" s="36" t="str">
        <x:v>Not applied</x:v>
      </x:c>
      <x:c r="B16" s="37" t="n">
        <x:v>14</x:v>
      </x:c>
      <x:c r="C16" s="37" t="n">
        <x:v>414</x:v>
      </x:c>
      <x:c r="D16" s="37" t="str">
        <x:v>Referential Disambiguation</x:v>
      </x:c>
      <x:c r="E16" s="37" t="str">
        <x:v>Pick up the crushed soda can nearest to the green pen and place it in the bowl.</x:v>
      </x:c>
      <x:c r="F16" s="37" t="str">
        <x:v>Move the crushed Coke can into the bowl.</x:v>
      </x:c>
      <x:c r="G16" s="37" t="str">
        <x:v>Masked relation × candidate-category composition</x:v>
      </x:c>
      <x:c r="H16" s="37" t="str">
        <x:v>crushed Coke can, crushed Pepsi can, green pen, yellow pen</x:v>
      </x:c>
      <x:c r="I16" s="37" t="str">
        <x:v>crushed Coke can</x:v>
      </x:c>
      <x:c r="J16" s="37" t="str">
        <x:v>Recovery</x:v>
      </x:c>
      <x:c r="K16" s="38" t="str">
        <x:v>Prompt-only relabeling; preserve episode 414 video, scene, trajectory, target, and start position.</x:v>
      </x:c>
    </x:row>
    <x:row r="17" ht="60" customHeight="1">
      <x:c r="A17" s="36" t="str">
        <x:v>Not applied</x:v>
      </x:c>
      <x:c r="B17" s="37" t="n">
        <x:v>15</x:v>
      </x:c>
      <x:c r="C17" s="37" t="n">
        <x:v>415</x:v>
      </x:c>
      <x:c r="D17" s="37" t="str">
        <x:v>Referential Disambiguation</x:v>
      </x:c>
      <x:c r="E17" s="37" t="str">
        <x:v>Move the crushed Pepsi can into the bowl.</x:v>
      </x:c>
      <x:c r="F17" s="37" t="str">
        <x:v>Pick up the crushed soda can furthest from the green pen and place it in the bowl.</x:v>
      </x:c>
      <x:c r="G17" s="37" t="str">
        <x:v>Explicit furthest grounding</x:v>
      </x:c>
      <x:c r="H17" s="37" t="str">
        <x:v>crushed Coke can, crushed Pepsi can, green pen</x:v>
      </x:c>
      <x:c r="I17" s="37" t="str">
        <x:v>crushed Pepsi can</x:v>
      </x:c>
      <x:c r="J17" s="37" t="str">
        <x:v>Home</x:v>
      </x:c>
      <x:c r="K17" s="38" t="str">
        <x:v>Prompt-only relabeling; preserve episode 415 video, scene, trajectory, target, and start position.</x:v>
      </x:c>
    </x:row>
    <x:row r="18" ht="60" customHeight="1">
      <x:c r="A18" s="36" t="str">
        <x:v>Not applied</x:v>
      </x:c>
      <x:c r="B18" s="37" t="n">
        <x:v>16</x:v>
      </x:c>
      <x:c r="C18" s="37" t="n">
        <x:v>416</x:v>
      </x:c>
      <x:c r="D18" s="37" t="str">
        <x:v>Referential Disambiguation</x:v>
      </x:c>
      <x:c r="E18" s="37" t="str">
        <x:v>Put the crushed Coke can in the bowl.</x:v>
      </x:c>
      <x:c r="F18" s="37" t="str">
        <x:v>Pick up the crushed soda can furthest from the yellow pen and place it in the bowl.</x:v>
      </x:c>
      <x:c r="G18" s="37" t="str">
        <x:v>Explicit furthest grounding</x:v>
      </x:c>
      <x:c r="H18" s="37" t="str">
        <x:v>crushed Coke can, crushed Pepsi can, yellow pen, airplane toy with propellers</x:v>
      </x:c>
      <x:c r="I18" s="37" t="str">
        <x:v>crushed Coke can</x:v>
      </x:c>
      <x:c r="J18" s="37" t="str">
        <x:v>Home</x:v>
      </x:c>
      <x:c r="K18" s="38" t="str">
        <x:v>Prompt-only relabeling; preserve episode 416 video, scene, trajectory, target, and start position.</x:v>
      </x:c>
    </x:row>
    <x:row r="19" ht="60" customHeight="1">
      <x:c r="A19" s="36" t="str">
        <x:v>Not applied</x:v>
      </x:c>
      <x:c r="B19" s="37" t="n">
        <x:v>17</x:v>
      </x:c>
      <x:c r="C19" s="37" t="n">
        <x:v>417</x:v>
      </x:c>
      <x:c r="D19" s="37" t="str">
        <x:v>Referential Disambiguation</x:v>
      </x:c>
      <x:c r="E19" s="37" t="str">
        <x:v>Pick up the crushed Pepsi can and place it in the bowl.</x:v>
      </x:c>
      <x:c r="F19" s="37" t="str">
        <x:v>Pick up the crushed soda can furthest from the airplane toy with propellers and place it in the bowl.</x:v>
      </x:c>
      <x:c r="G19" s="37" t="str">
        <x:v>Explicit furthest grounding</x:v>
      </x:c>
      <x:c r="H19" s="37" t="str">
        <x:v>crushed Coke can, crushed Pepsi can, airplane toy with propellers</x:v>
      </x:c>
      <x:c r="I19" s="37" t="str">
        <x:v>crushed Pepsi can</x:v>
      </x:c>
      <x:c r="J19" s="37" t="str">
        <x:v>Home</x:v>
      </x:c>
      <x:c r="K19" s="38" t="str">
        <x:v>Prompt-only relabeling; preserve episode 417 video, scene, trajectory, target, and start position.</x:v>
      </x:c>
    </x:row>
    <x:row r="20" ht="60" customHeight="1">
      <x:c r="A20" s="36" t="str">
        <x:v>Not applied</x:v>
      </x:c>
      <x:c r="B20" s="37" t="n">
        <x:v>18</x:v>
      </x:c>
      <x:c r="C20" s="37" t="n">
        <x:v>418</x:v>
      </x:c>
      <x:c r="D20" s="37" t="str">
        <x:v>Referential Disambiguation</x:v>
      </x:c>
      <x:c r="E20" s="37" t="str">
        <x:v>Put the crushed Coke can in the bowl.</x:v>
      </x:c>
      <x:c r="F20" s="37" t="str">
        <x:v>Pick up the crushed soda can furthest from the airplane toy without propellers and place it in the bowl.</x:v>
      </x:c>
      <x:c r="G20" s="37" t="str">
        <x:v>Explicit furthest grounding</x:v>
      </x:c>
      <x:c r="H20" s="37" t="str">
        <x:v>crushed Coke can, crushed Pepsi can, airplane toy without propellers, green pencil sharpener</x:v>
      </x:c>
      <x:c r="I20" s="37" t="str">
        <x:v>crushed Coke can</x:v>
      </x:c>
      <x:c r="J20" s="37" t="str">
        <x:v>Recovery</x:v>
      </x:c>
      <x:c r="K20" s="38" t="str">
        <x:v>Prompt-only relabeling; preserve episode 418 video, scene, trajectory, target, and start position.</x:v>
      </x:c>
    </x:row>
    <x:row r="21" ht="60" customHeight="1">
      <x:c r="A21" s="36" t="str">
        <x:v>Not applied</x:v>
      </x:c>
      <x:c r="B21" s="37" t="n">
        <x:v>19</x:v>
      </x:c>
      <x:c r="C21" s="37" t="n">
        <x:v>419</x:v>
      </x:c>
      <x:c r="D21" s="37" t="str">
        <x:v>Referential Disambiguation</x:v>
      </x:c>
      <x:c r="E21" s="37" t="str">
        <x:v>Put the crushed Pepsi can in the bowl.</x:v>
      </x:c>
      <x:c r="F21" s="37" t="str">
        <x:v>Pick up the crushed soda can furthest from the green pencil sharpener and place it in the bowl.</x:v>
      </x:c>
      <x:c r="G21" s="37" t="str">
        <x:v>Explicit furthest grounding</x:v>
      </x:c>
      <x:c r="H21" s="37" t="str">
        <x:v>crushed Coke can, crushed Pepsi can, green pencil sharpener</x:v>
      </x:c>
      <x:c r="I21" s="37" t="str">
        <x:v>crushed Pepsi can</x:v>
      </x:c>
      <x:c r="J21" s="37" t="str">
        <x:v>Home</x:v>
      </x:c>
      <x:c r="K21" s="38" t="str">
        <x:v>Prompt-only relabeling; preserve episode 419 video, scene, trajectory, target, and start position.</x:v>
      </x:c>
    </x:row>
    <x:row r="22" ht="60" customHeight="1">
      <x:c r="A22" s="36" t="str">
        <x:v>Not applied</x:v>
      </x:c>
      <x:c r="B22" s="37" t="n">
        <x:v>20</x:v>
      </x:c>
      <x:c r="C22" s="37" t="n">
        <x:v>420</x:v>
      </x:c>
      <x:c r="D22" s="37" t="str">
        <x:v>Referential Disambiguation</x:v>
      </x:c>
      <x:c r="E22" s="37" t="str">
        <x:v>Move the crushed Coke can into the bowl.</x:v>
      </x:c>
      <x:c r="F22" s="37" t="str">
        <x:v>Pick up the crushed soda can furthest from the red pencil sharpener and place it in the bowl.</x:v>
      </x:c>
      <x:c r="G22" s="37" t="str">
        <x:v>Explicit furthest grounding</x:v>
      </x:c>
      <x:c r="H22" s="37" t="str">
        <x:v>crushed Coke can, crushed Pepsi can, red pencil sharpener, green pencil sharpener</x:v>
      </x:c>
      <x:c r="I22" s="37" t="str">
        <x:v>crushed Coke can</x:v>
      </x:c>
      <x:c r="J22" s="37" t="str">
        <x:v>Home</x:v>
      </x:c>
      <x:c r="K22" s="38" t="str">
        <x:v>Prompt-only relabeling; preserve episode 420 video, scene, trajectory, target, and start position.</x:v>
      </x:c>
    </x:row>
    <x:row r="23" ht="60" customHeight="1">
      <x:c r="A23" s="36" t="str">
        <x:v>Not applied</x:v>
      </x:c>
      <x:c r="B23" s="37" t="n">
        <x:v>21</x:v>
      </x:c>
      <x:c r="C23" s="37" t="n">
        <x:v>421</x:v>
      </x:c>
      <x:c r="D23" s="37" t="str">
        <x:v>Referential Disambiguation</x:v>
      </x:c>
      <x:c r="E23" s="37" t="str">
        <x:v>Put the crushed Pepsi can in the bowl.</x:v>
      </x:c>
      <x:c r="F23" s="37" t="str">
        <x:v>Pick up the crushed soda can furthest from the green pen and place it in the bowl.</x:v>
      </x:c>
      <x:c r="G23" s="37" t="str">
        <x:v>Explicit furthest grounding</x:v>
      </x:c>
      <x:c r="H23" s="37" t="str">
        <x:v>crushed Coke can, crushed Pepsi can, green pen</x:v>
      </x:c>
      <x:c r="I23" s="37" t="str">
        <x:v>crushed Pepsi can</x:v>
      </x:c>
      <x:c r="J23" s="37" t="str">
        <x:v>Home</x:v>
      </x:c>
      <x:c r="K23" s="38" t="str">
        <x:v>Prompt-only relabeling; preserve episode 421 video, scene, trajectory, target, and start position.</x:v>
      </x:c>
    </x:row>
    <x:row r="24" ht="60" customHeight="1">
      <x:c r="A24" s="36" t="str">
        <x:v>Not applied</x:v>
      </x:c>
      <x:c r="B24" s="37" t="n">
        <x:v>22</x:v>
      </x:c>
      <x:c r="C24" s="37" t="n">
        <x:v>422</x:v>
      </x:c>
      <x:c r="D24" s="37" t="str">
        <x:v>Referential Disambiguation</x:v>
      </x:c>
      <x:c r="E24" s="37" t="str">
        <x:v>Pick up the crushed Coke can and place it in the bowl.</x:v>
      </x:c>
      <x:c r="F24" s="37" t="str">
        <x:v>Pick up the crushed soda can furthest from the yellow pen and place it in the bowl.</x:v>
      </x:c>
      <x:c r="G24" s="37" t="str">
        <x:v>Explicit furthest grounding</x:v>
      </x:c>
      <x:c r="H24" s="37" t="str">
        <x:v>crushed Coke can, crushed Pepsi can, yellow pen, green pencil sharpener</x:v>
      </x:c>
      <x:c r="I24" s="37" t="str">
        <x:v>crushed Coke can</x:v>
      </x:c>
      <x:c r="J24" s="37" t="str">
        <x:v>Home</x:v>
      </x:c>
      <x:c r="K24" s="38" t="str">
        <x:v>Prompt-only relabeling; preserve episode 422 video, scene, trajectory, target, and start position.</x:v>
      </x:c>
    </x:row>
    <x:row r="25" ht="60" customHeight="1">
      <x:c r="A25" s="36" t="str">
        <x:v>Not applied</x:v>
      </x:c>
      <x:c r="B25" s="37" t="n">
        <x:v>23</x:v>
      </x:c>
      <x:c r="C25" s="37" t="n">
        <x:v>423</x:v>
      </x:c>
      <x:c r="D25" s="37" t="str">
        <x:v>Referential Disambiguation</x:v>
      </x:c>
      <x:c r="E25" s="37" t="str">
        <x:v>Put the crushed Pepsi can in the bowl.</x:v>
      </x:c>
      <x:c r="F25" s="37" t="str">
        <x:v>Pick up the crushed soda can furthest from the airplane toy with propellers and place it in the bowl.</x:v>
      </x:c>
      <x:c r="G25" s="37" t="str">
        <x:v>Explicit furthest grounding</x:v>
      </x:c>
      <x:c r="H25" s="37" t="str">
        <x:v>crushed Coke can, crushed Pepsi can, airplane toy with propellers</x:v>
      </x:c>
      <x:c r="I25" s="37" t="str">
        <x:v>crushed Pepsi can</x:v>
      </x:c>
      <x:c r="J25" s="37" t="str">
        <x:v>Recovery</x:v>
      </x:c>
      <x:c r="K25" s="38" t="str">
        <x:v>Prompt-only relabeling; preserve episode 423 video, scene, trajectory, target, and start position.</x:v>
      </x:c>
    </x:row>
    <x:row r="26" ht="60" customHeight="1">
      <x:c r="A26" s="36" t="str">
        <x:v>Not applied</x:v>
      </x:c>
      <x:c r="B26" s="37" t="n">
        <x:v>24</x:v>
      </x:c>
      <x:c r="C26" s="37" t="n">
        <x:v>424</x:v>
      </x:c>
      <x:c r="D26" s="37" t="str">
        <x:v>Referential Disambiguation</x:v>
      </x:c>
      <x:c r="E26" s="37" t="str">
        <x:v>Pick up the crushed Coke can and place it in the bowl.</x:v>
      </x:c>
      <x:c r="F26" s="37" t="str">
        <x:v>Pick up the crushed soda can furthest from the airplane toy without propellers and place it in the bowl.</x:v>
      </x:c>
      <x:c r="G26" s="37" t="str">
        <x:v>Explicit furthest grounding</x:v>
      </x:c>
      <x:c r="H26" s="37" t="str">
        <x:v>crushed Coke can, crushed Pepsi can, airplane toy without propellers, green pen</x:v>
      </x:c>
      <x:c r="I26" s="37" t="str">
        <x:v>crushed Coke can</x:v>
      </x:c>
      <x:c r="J26" s="37" t="str">
        <x:v>Home</x:v>
      </x:c>
      <x:c r="K26" s="38" t="str">
        <x:v>Prompt-only relabeling; preserve episode 424 video, scene, trajectory, target, and start position.</x:v>
      </x:c>
    </x:row>
    <x:row r="27" ht="60" customHeight="1">
      <x:c r="A27" s="36" t="str">
        <x:v>Not applied</x:v>
      </x:c>
      <x:c r="B27" s="37" t="n">
        <x:v>25</x:v>
      </x:c>
      <x:c r="C27" s="37" t="n">
        <x:v>425</x:v>
      </x:c>
      <x:c r="D27" s="37" t="str">
        <x:v>Referential Disambiguation</x:v>
      </x:c>
      <x:c r="E27" s="37" t="str">
        <x:v>Move the crushed Pepsi can into the bowl.</x:v>
      </x:c>
      <x:c r="F27" s="37" t="str">
        <x:v>Pick up the crushed soda can furthest from the green pencil sharpener and place it in the bowl.</x:v>
      </x:c>
      <x:c r="G27" s="37" t="str">
        <x:v>Explicit furthest grounding</x:v>
      </x:c>
      <x:c r="H27" s="37" t="str">
        <x:v>crushed Coke can, crushed Pepsi can, green pencil sharpener</x:v>
      </x:c>
      <x:c r="I27" s="37" t="str">
        <x:v>crushed Pepsi can</x:v>
      </x:c>
      <x:c r="J27" s="37" t="str">
        <x:v>Home</x:v>
      </x:c>
      <x:c r="K27" s="38" t="str">
        <x:v>Prompt-only relabeling; preserve episode 425 video, scene, trajectory, target, and start position.</x:v>
      </x:c>
    </x:row>
    <x:row r="28" ht="60" customHeight="1">
      <x:c r="A28" s="36" t="str">
        <x:v>Not applied</x:v>
      </x:c>
      <x:c r="B28" s="37" t="n">
        <x:v>26</x:v>
      </x:c>
      <x:c r="C28" s="37" t="n">
        <x:v>426</x:v>
      </x:c>
      <x:c r="D28" s="37" t="str">
        <x:v>Referential Disambiguation</x:v>
      </x:c>
      <x:c r="E28" s="37" t="str">
        <x:v>Move the crushed Coke can into the bowl.</x:v>
      </x:c>
      <x:c r="F28" s="37" t="str">
        <x:v>Pick up the crushed soda can furthest from the red pencil sharpener and place it in the bowl.</x:v>
      </x:c>
      <x:c r="G28" s="37" t="str">
        <x:v>Explicit furthest grounding</x:v>
      </x:c>
      <x:c r="H28" s="37" t="str">
        <x:v>crushed Coke can, crushed Pepsi can, red pencil sharpener, green pen</x:v>
      </x:c>
      <x:c r="I28" s="37" t="str">
        <x:v>crushed Coke can</x:v>
      </x:c>
      <x:c r="J28" s="37" t="str">
        <x:v>Home</x:v>
      </x:c>
      <x:c r="K28" s="38" t="str">
        <x:v>Prompt-only relabeling; preserve episode 426 video, scene, trajectory, target, and start position.</x:v>
      </x:c>
    </x:row>
    <x:row r="29" ht="60" customHeight="1">
      <x:c r="A29" s="36" t="str">
        <x:v>Not applied</x:v>
      </x:c>
      <x:c r="B29" s="37" t="n">
        <x:v>27</x:v>
      </x:c>
      <x:c r="C29" s="37" t="n">
        <x:v>427</x:v>
      </x:c>
      <x:c r="D29" s="37" t="str">
        <x:v>Referential Disambiguation</x:v>
      </x:c>
      <x:c r="E29" s="37" t="str">
        <x:v>Pick up the crushed Pepsi can and place it in the bowl.</x:v>
      </x:c>
      <x:c r="F29" s="37" t="str">
        <x:v>Pick up the crushed soda can furthest from the green pen and place it in the bowl.</x:v>
      </x:c>
      <x:c r="G29" s="37" t="str">
        <x:v>Explicit furthest grounding</x:v>
      </x:c>
      <x:c r="H29" s="37" t="str">
        <x:v>crushed Coke can, crushed Pepsi can, green pen</x:v>
      </x:c>
      <x:c r="I29" s="37" t="str">
        <x:v>crushed Pepsi can</x:v>
      </x:c>
      <x:c r="J29" s="37" t="str">
        <x:v>Home</x:v>
      </x:c>
      <x:c r="K29" s="38" t="str">
        <x:v>Prompt-only relabeling; preserve episode 427 video, scene, trajectory, target, and start position.</x:v>
      </x:c>
    </x:row>
    <x:row r="30" ht="60" customHeight="1">
      <x:c r="A30" s="36" t="str">
        <x:v>Not applied</x:v>
      </x:c>
      <x:c r="B30" s="37" t="n">
        <x:v>28</x:v>
      </x:c>
      <x:c r="C30" s="37" t="n">
        <x:v>428</x:v>
      </x:c>
      <x:c r="D30" s="37" t="str">
        <x:v>Referential Disambiguation</x:v>
      </x:c>
      <x:c r="E30" s="37" t="str">
        <x:v>Put the crushed Coke can in the bowl.</x:v>
      </x:c>
      <x:c r="F30" s="37" t="str">
        <x:v>Pick up the crushed soda can furthest from the yellow pen and place it in the bowl.</x:v>
      </x:c>
      <x:c r="G30" s="37" t="str">
        <x:v>Explicit furthest grounding</x:v>
      </x:c>
      <x:c r="H30" s="37" t="str">
        <x:v>crushed Coke can, crushed Pepsi can, yellow pen, green pen</x:v>
      </x:c>
      <x:c r="I30" s="37" t="str">
        <x:v>crushed Coke can</x:v>
      </x:c>
      <x:c r="J30" s="37" t="str">
        <x:v>Recovery</x:v>
      </x:c>
      <x:c r="K30" s="38" t="str">
        <x:v>Prompt-only relabeling; preserve episode 428 video, scene, trajectory, target, and start position.</x:v>
      </x:c>
    </x:row>
    <x:row r="31" ht="60" customHeight="1">
      <x:c r="A31" s="36" t="str">
        <x:v>Not applied</x:v>
      </x:c>
      <x:c r="B31" s="37" t="n">
        <x:v>29</x:v>
      </x:c>
      <x:c r="C31" s="37" t="n">
        <x:v>429</x:v>
      </x:c>
      <x:c r="D31" s="37" t="str">
        <x:v>Referential Disambiguation</x:v>
      </x:c>
      <x:c r="E31" s="37" t="str">
        <x:v>Pick up the crushed Pepsi can and place it in the bowl.</x:v>
      </x:c>
      <x:c r="F31" s="37" t="str">
        <x:v>Pick up the crushed soda can furthest from the airplane toy with propellers and place it in the bowl.</x:v>
      </x:c>
      <x:c r="G31" s="37" t="str">
        <x:v>Explicit furthest grounding</x:v>
      </x:c>
      <x:c r="H31" s="37" t="str">
        <x:v>crushed Coke can, crushed Pepsi can, airplane toy with propellers</x:v>
      </x:c>
      <x:c r="I31" s="37" t="str">
        <x:v>crushed Pepsi can</x:v>
      </x:c>
      <x:c r="J31" s="37" t="str">
        <x:v>Home</x:v>
      </x:c>
      <x:c r="K31" s="38" t="str">
        <x:v>Prompt-only relabeling; preserve episode 429 video, scene, trajectory, target, and start position.</x:v>
      </x:c>
    </x:row>
    <x:row r="32" ht="60" customHeight="1">
      <x:c r="A32" s="36" t="str">
        <x:v>Not applied</x:v>
      </x:c>
      <x:c r="B32" s="37" t="n">
        <x:v>30</x:v>
      </x:c>
      <x:c r="C32" s="37" t="n">
        <x:v>465</x:v>
      </x:c>
      <x:c r="D32" s="37" t="str">
        <x:v>Referential Disambiguation</x:v>
      </x:c>
      <x:c r="E32" s="37" t="str">
        <x:v>Pick up the red pencil sharpener and place it in the bowl.</x:v>
      </x:c>
      <x:c r="F32" s="37" t="str">
        <x:v>Pick up the pencil sharpener furthest from the green pen and place it in the bowl.</x:v>
      </x:c>
      <x:c r="G32" s="37" t="str">
        <x:v>Explicit furthest grounding</x:v>
      </x:c>
      <x:c r="H32" s="37" t="str">
        <x:v>green pencil sharpener, red pencil sharpener, green pen</x:v>
      </x:c>
      <x:c r="I32" s="37" t="str">
        <x:v>red pencil sharpener</x:v>
      </x:c>
      <x:c r="J32" s="37" t="str">
        <x:v>Home</x:v>
      </x:c>
      <x:c r="K32" s="38" t="str">
        <x:v>Prompt-only relabeling; preserve episode 465 video, scene, trajectory, target, and start position.</x:v>
      </x:c>
    </x:row>
    <x:row r="33" ht="60" customHeight="1">
      <x:c r="A33" s="36" t="str">
        <x:v>Not applied</x:v>
      </x:c>
      <x:c r="B33" s="37" t="n">
        <x:v>31</x:v>
      </x:c>
      <x:c r="C33" s="37" t="n">
        <x:v>466</x:v>
      </x:c>
      <x:c r="D33" s="37" t="str">
        <x:v>Referential Disambiguation</x:v>
      </x:c>
      <x:c r="E33" s="37" t="str">
        <x:v>Move the green pencil sharpener into the bowl.</x:v>
      </x:c>
      <x:c r="F33" s="37" t="str">
        <x:v>Pick up the pencil sharpener furthest from the yellow pen and place it in the bowl.</x:v>
      </x:c>
      <x:c r="G33" s="37" t="str">
        <x:v>Explicit furthest grounding</x:v>
      </x:c>
      <x:c r="H33" s="37" t="str">
        <x:v>green pencil sharpener, red pencil sharpener, yellow pen, airplane toy without propellers</x:v>
      </x:c>
      <x:c r="I33" s="37" t="str">
        <x:v>green pencil sharpener</x:v>
      </x:c>
      <x:c r="J33" s="37" t="str">
        <x:v>Home</x:v>
      </x:c>
      <x:c r="K33" s="38" t="str">
        <x:v>Prompt-only relabeling; preserve episode 466 video, scene, trajectory, target, and start position.</x:v>
      </x:c>
    </x:row>
    <x:row r="34" ht="60" customHeight="1">
      <x:c r="A34" s="36" t="str">
        <x:v>Not applied</x:v>
      </x:c>
      <x:c r="B34" s="37" t="n">
        <x:v>32</x:v>
      </x:c>
      <x:c r="C34" s="37" t="n">
        <x:v>467</x:v>
      </x:c>
      <x:c r="D34" s="37" t="str">
        <x:v>Referential Disambiguation</x:v>
      </x:c>
      <x:c r="E34" s="37" t="str">
        <x:v>Move the red pencil sharpener into the bowl.</x:v>
      </x:c>
      <x:c r="F34" s="37" t="str">
        <x:v>Pick up the pencil sharpener furthest from the airplane toy with propellers and place it in the bowl.</x:v>
      </x:c>
      <x:c r="G34" s="37" t="str">
        <x:v>Explicit furthest grounding</x:v>
      </x:c>
      <x:c r="H34" s="37" t="str">
        <x:v>green pencil sharpener, red pencil sharpener, airplane toy with propellers</x:v>
      </x:c>
      <x:c r="I34" s="37" t="str">
        <x:v>red pencil sharpener</x:v>
      </x:c>
      <x:c r="J34" s="37" t="str">
        <x:v>Home</x:v>
      </x:c>
      <x:c r="K34" s="38" t="str">
        <x:v>Prompt-only relabeling; preserve episode 467 video, scene, trajectory, target, and start position.</x:v>
      </x:c>
    </x:row>
    <x:row r="35" ht="60" customHeight="1">
      <x:c r="A35" s="36" t="str">
        <x:v>Not applied</x:v>
      </x:c>
      <x:c r="B35" s="37" t="n">
        <x:v>33</x:v>
      </x:c>
      <x:c r="C35" s="37" t="n">
        <x:v>468</x:v>
      </x:c>
      <x:c r="D35" s="37" t="str">
        <x:v>Referential Disambiguation</x:v>
      </x:c>
      <x:c r="E35" s="37" t="str">
        <x:v>Move the green pencil sharpener into the bowl.</x:v>
      </x:c>
      <x:c r="F35" s="37" t="str">
        <x:v>Pick up the pencil sharpener furthest from the airplane toy without propellers and place it in the bowl.</x:v>
      </x:c>
      <x:c r="G35" s="37" t="str">
        <x:v>Explicit furthest grounding</x:v>
      </x:c>
      <x:c r="H35" s="37" t="str">
        <x:v>green pencil sharpener, red pencil sharpener, airplane toy without propellers, crushed Pepsi can</x:v>
      </x:c>
      <x:c r="I35" s="37" t="str">
        <x:v>green pencil sharpener</x:v>
      </x:c>
      <x:c r="J35" s="37" t="str">
        <x:v>Recovery</x:v>
      </x:c>
      <x:c r="K35" s="38" t="str">
        <x:v>Prompt-only relabeling; preserve episode 468 video, scene, trajectory, target, and start position.</x:v>
      </x:c>
    </x:row>
    <x:row r="36" ht="60" customHeight="1">
      <x:c r="A36" s="36" t="str">
        <x:v>Not applied</x:v>
      </x:c>
      <x:c r="B36" s="37" t="n">
        <x:v>34</x:v>
      </x:c>
      <x:c r="C36" s="37" t="n">
        <x:v>469</x:v>
      </x:c>
      <x:c r="D36" s="37" t="str">
        <x:v>Referential Disambiguation</x:v>
      </x:c>
      <x:c r="E36" s="37" t="str">
        <x:v>Put the red pencil sharpener in the bowl.</x:v>
      </x:c>
      <x:c r="F36" s="37" t="str">
        <x:v>Pick up the pencil sharpener furthest from the crushed Coke can and place it in the bowl.</x:v>
      </x:c>
      <x:c r="G36" s="37" t="str">
        <x:v>Explicit furthest grounding</x:v>
      </x:c>
      <x:c r="H36" s="37" t="str">
        <x:v>green pencil sharpener, red pencil sharpener, crushed Coke can</x:v>
      </x:c>
      <x:c r="I36" s="37" t="str">
        <x:v>red pencil sharpener</x:v>
      </x:c>
      <x:c r="J36" s="37" t="str">
        <x:v>Home</x:v>
      </x:c>
      <x:c r="K36" s="38" t="str">
        <x:v>Prompt-only relabeling; preserve episode 469 video, scene, trajectory, target, and start position.</x:v>
      </x:c>
    </x:row>
    <x:row r="37" ht="60" customHeight="1">
      <x:c r="A37" s="36" t="str">
        <x:v>Not applied</x:v>
      </x:c>
      <x:c r="B37" s="37" t="n">
        <x:v>35</x:v>
      </x:c>
      <x:c r="C37" s="37" t="n">
        <x:v>470</x:v>
      </x:c>
      <x:c r="D37" s="37" t="str">
        <x:v>Referential Disambiguation</x:v>
      </x:c>
      <x:c r="E37" s="37" t="str">
        <x:v>Pick up the green pencil sharpener and place it in the bowl.</x:v>
      </x:c>
      <x:c r="F37" s="37" t="str">
        <x:v>Pick up the pencil sharpener furthest from the crushed Pepsi can and place it in the bowl.</x:v>
      </x:c>
      <x:c r="G37" s="37" t="str">
        <x:v>Explicit furthest grounding</x:v>
      </x:c>
      <x:c r="H37" s="37" t="str">
        <x:v>green pencil sharpener, red pencil sharpener, crushed Pepsi can, crushed Coke can</x:v>
      </x:c>
      <x:c r="I37" s="37" t="str">
        <x:v>green pencil sharpener</x:v>
      </x:c>
      <x:c r="J37" s="37" t="str">
        <x:v>Home</x:v>
      </x:c>
      <x:c r="K37" s="38" t="str">
        <x:v>Prompt-only relabeling; preserve episode 470 video, scene, trajectory, target, and start position.</x:v>
      </x:c>
    </x:row>
    <x:row r="38" ht="60" customHeight="1">
      <x:c r="A38" s="36" t="str">
        <x:v>Not applied</x:v>
      </x:c>
      <x:c r="B38" s="37" t="n">
        <x:v>36</x:v>
      </x:c>
      <x:c r="C38" s="37" t="n">
        <x:v>471</x:v>
      </x:c>
      <x:c r="D38" s="37" t="str">
        <x:v>Referential Disambiguation</x:v>
      </x:c>
      <x:c r="E38" s="37" t="str">
        <x:v>Put the red pencil sharpener in the bowl.</x:v>
      </x:c>
      <x:c r="F38" s="37" t="str">
        <x:v>Pick up the pencil sharpener furthest from the green pen and place it in the bowl.</x:v>
      </x:c>
      <x:c r="G38" s="37" t="str">
        <x:v>Explicit furthest grounding</x:v>
      </x:c>
      <x:c r="H38" s="37" t="str">
        <x:v>green pencil sharpener, red pencil sharpener, green pen</x:v>
      </x:c>
      <x:c r="I38" s="37" t="str">
        <x:v>red pencil sharpener</x:v>
      </x:c>
      <x:c r="J38" s="37" t="str">
        <x:v>Home</x:v>
      </x:c>
      <x:c r="K38" s="38" t="str">
        <x:v>Prompt-only relabeling; preserve episode 471 video, scene, trajectory, target, and start position.</x:v>
      </x:c>
    </x:row>
    <x:row r="39" ht="60" customHeight="1">
      <x:c r="A39" s="36" t="str">
        <x:v>Not applied</x:v>
      </x:c>
      <x:c r="B39" s="37" t="n">
        <x:v>37</x:v>
      </x:c>
      <x:c r="C39" s="37" t="n">
        <x:v>472</x:v>
      </x:c>
      <x:c r="D39" s="37" t="str">
        <x:v>Referential Disambiguation</x:v>
      </x:c>
      <x:c r="E39" s="37" t="str">
        <x:v>Put the green pencil sharpener in the bowl.</x:v>
      </x:c>
      <x:c r="F39" s="37" t="str">
        <x:v>Pick up the pencil sharpener furthest from the yellow pen and place it in the bowl.</x:v>
      </x:c>
      <x:c r="G39" s="37" t="str">
        <x:v>Explicit furthest grounding</x:v>
      </x:c>
      <x:c r="H39" s="37" t="str">
        <x:v>green pencil sharpener, red pencil sharpener, yellow pen, crushed Pepsi can</x:v>
      </x:c>
      <x:c r="I39" s="37" t="str">
        <x:v>green pencil sharpener</x:v>
      </x:c>
      <x:c r="J39" s="37" t="str">
        <x:v>Home</x:v>
      </x:c>
      <x:c r="K39" s="38" t="str">
        <x:v>Prompt-only relabeling; preserve episode 472 video, scene, trajectory, target, and start position.</x:v>
      </x:c>
    </x:row>
    <x:row r="40" ht="60" customHeight="1">
      <x:c r="A40" s="36" t="str">
        <x:v>Not applied</x:v>
      </x:c>
      <x:c r="B40" s="37" t="n">
        <x:v>38</x:v>
      </x:c>
      <x:c r="C40" s="37" t="n">
        <x:v>473</x:v>
      </x:c>
      <x:c r="D40" s="37" t="str">
        <x:v>Referential Disambiguation</x:v>
      </x:c>
      <x:c r="E40" s="37" t="str">
        <x:v>Pick up the red pencil sharpener and place it in the bowl.</x:v>
      </x:c>
      <x:c r="F40" s="37" t="str">
        <x:v>Pick up the pencil sharpener furthest from the airplane toy with propellers and place it in the bowl.</x:v>
      </x:c>
      <x:c r="G40" s="37" t="str">
        <x:v>Explicit furthest grounding</x:v>
      </x:c>
      <x:c r="H40" s="37" t="str">
        <x:v>green pencil sharpener, red pencil sharpener, airplane toy with propellers</x:v>
      </x:c>
      <x:c r="I40" s="37" t="str">
        <x:v>red pencil sharpener</x:v>
      </x:c>
      <x:c r="J40" s="37" t="str">
        <x:v>Recovery</x:v>
      </x:c>
      <x:c r="K40" s="38" t="str">
        <x:v>Prompt-only relabeling; preserve episode 473 video, scene, trajectory, target, and start position.</x:v>
      </x:c>
    </x:row>
    <x:row r="41" ht="60" customHeight="1">
      <x:c r="A41" s="36" t="str">
        <x:v>Not applied</x:v>
      </x:c>
      <x:c r="B41" s="37" t="n">
        <x:v>39</x:v>
      </x:c>
      <x:c r="C41" s="37" t="n">
        <x:v>474</x:v>
      </x:c>
      <x:c r="D41" s="37" t="str">
        <x:v>Referential Disambiguation</x:v>
      </x:c>
      <x:c r="E41" s="37" t="str">
        <x:v>Pick up the green pencil sharpener and place it in the bowl.</x:v>
      </x:c>
      <x:c r="F41" s="37" t="str">
        <x:v>Pick up the pencil sharpener furthest from the airplane toy without propellers and place it in the bowl.</x:v>
      </x:c>
      <x:c r="G41" s="37" t="str">
        <x:v>Explicit furthest grounding</x:v>
      </x:c>
      <x:c r="H41" s="37" t="str">
        <x:v>green pencil sharpener, red pencil sharpener, airplane toy without propellers, yellow pen</x:v>
      </x:c>
      <x:c r="I41" s="37" t="str">
        <x:v>green pencil sharpener</x:v>
      </x:c>
      <x:c r="J41" s="37" t="str">
        <x:v>Home</x:v>
      </x:c>
      <x:c r="K41" s="38" t="str">
        <x:v>Prompt-only relabeling; preserve episode 474 video, scene, trajectory, target, and start position.</x:v>
      </x:c>
    </x:row>
    <x:row r="42" ht="60" customHeight="1">
      <x:c r="A42" s="36" t="str">
        <x:v>Not applied</x:v>
      </x:c>
      <x:c r="B42" s="37" t="n">
        <x:v>40</x:v>
      </x:c>
      <x:c r="C42" s="37" t="n">
        <x:v>475</x:v>
      </x:c>
      <x:c r="D42" s="37" t="str">
        <x:v>Referential Disambiguation</x:v>
      </x:c>
      <x:c r="E42" s="37" t="str">
        <x:v>Pick up the red pencil sharpener and place it in the bowl.</x:v>
      </x:c>
      <x:c r="F42" s="37" t="str">
        <x:v>Pick up the pencil sharpener furthest from the crushed Coke can and place it in the bowl.</x:v>
      </x:c>
      <x:c r="G42" s="37" t="str">
        <x:v>Explicit furthest grounding</x:v>
      </x:c>
      <x:c r="H42" s="37" t="str">
        <x:v>green pencil sharpener, red pencil sharpener, crushed Coke can</x:v>
      </x:c>
      <x:c r="I42" s="37" t="str">
        <x:v>red pencil sharpener</x:v>
      </x:c>
      <x:c r="J42" s="37" t="str">
        <x:v>Home</x:v>
      </x:c>
      <x:c r="K42" s="38" t="str">
        <x:v>Prompt-only relabeling; preserve episode 475 video, scene, trajectory, target, and start position.</x:v>
      </x:c>
    </x:row>
    <x:row r="43" ht="60" customHeight="1">
      <x:c r="A43" s="36" t="str">
        <x:v>Not applied</x:v>
      </x:c>
      <x:c r="B43" s="37" t="n">
        <x:v>41</x:v>
      </x:c>
      <x:c r="C43" s="37" t="n">
        <x:v>476</x:v>
      </x:c>
      <x:c r="D43" s="37" t="str">
        <x:v>Referential Disambiguation</x:v>
      </x:c>
      <x:c r="E43" s="37" t="str">
        <x:v>Put the green pencil sharpener in the bowl.</x:v>
      </x:c>
      <x:c r="F43" s="37" t="str">
        <x:v>Pick up the pencil sharpener furthest from the crushed Pepsi can and place it in the bowl.</x:v>
      </x:c>
      <x:c r="G43" s="37" t="str">
        <x:v>Explicit furthest grounding</x:v>
      </x:c>
      <x:c r="H43" s="37" t="str">
        <x:v>green pencil sharpener, red pencil sharpener, crushed Pepsi can, yellow pen</x:v>
      </x:c>
      <x:c r="I43" s="37" t="str">
        <x:v>green pencil sharpener</x:v>
      </x:c>
      <x:c r="J43" s="37" t="str">
        <x:v>Home</x:v>
      </x:c>
      <x:c r="K43" s="38" t="str">
        <x:v>Prompt-only relabeling; preserve episode 476 video, scene, trajectory, target, and start position.</x:v>
      </x:c>
    </x:row>
    <x:row r="44" ht="60" customHeight="1">
      <x:c r="A44" s="36" t="str">
        <x:v>Not applied</x:v>
      </x:c>
      <x:c r="B44" s="37" t="n">
        <x:v>42</x:v>
      </x:c>
      <x:c r="C44" s="37" t="n">
        <x:v>477</x:v>
      </x:c>
      <x:c r="D44" s="37" t="str">
        <x:v>Referential Disambiguation</x:v>
      </x:c>
      <x:c r="E44" s="37" t="str">
        <x:v>Move the red pencil sharpener into the bowl.</x:v>
      </x:c>
      <x:c r="F44" s="37" t="str">
        <x:v>Pick up the pencil sharpener furthest from the green pen and place it in the bowl.</x:v>
      </x:c>
      <x:c r="G44" s="37" t="str">
        <x:v>Explicit furthest grounding</x:v>
      </x:c>
      <x:c r="H44" s="37" t="str">
        <x:v>green pencil sharpener, red pencil sharpener, green pen</x:v>
      </x:c>
      <x:c r="I44" s="37" t="str">
        <x:v>red pencil sharpener</x:v>
      </x:c>
      <x:c r="J44" s="37" t="str">
        <x:v>Home</x:v>
      </x:c>
      <x:c r="K44" s="38" t="str">
        <x:v>Prompt-only relabeling; preserve episode 477 video, scene, trajectory, target, and start position.</x:v>
      </x:c>
    </x:row>
    <x:row r="45" ht="60" customHeight="1">
      <x:c r="A45" s="36" t="str">
        <x:v>Not applied</x:v>
      </x:c>
      <x:c r="B45" s="37" t="n">
        <x:v>43</x:v>
      </x:c>
      <x:c r="C45" s="37" t="n">
        <x:v>478</x:v>
      </x:c>
      <x:c r="D45" s="37" t="str">
        <x:v>Referential Disambiguation</x:v>
      </x:c>
      <x:c r="E45" s="37" t="str">
        <x:v>Put the green pencil sharpener in the bowl.</x:v>
      </x:c>
      <x:c r="F45" s="37" t="str">
        <x:v>Pick up the pencil sharpener furthest from the yellow pen and place it in the bowl.</x:v>
      </x:c>
      <x:c r="G45" s="37" t="str">
        <x:v>Explicit furthest grounding</x:v>
      </x:c>
      <x:c r="H45" s="37" t="str">
        <x:v>green pencil sharpener, red pencil sharpener, yellow pen, green pen</x:v>
      </x:c>
      <x:c r="I45" s="37" t="str">
        <x:v>green pencil sharpener</x:v>
      </x:c>
      <x:c r="J45" s="37" t="str">
        <x:v>Recovery</x:v>
      </x:c>
      <x:c r="K45" s="38" t="str">
        <x:v>Prompt-only relabeling; preserve episode 478 video, scene, trajectory, target, and start position.</x:v>
      </x:c>
    </x:row>
    <x:row r="46" ht="60" customHeight="1">
      <x:c r="A46" s="36" t="str">
        <x:v>Not applied</x:v>
      </x:c>
      <x:c r="B46" s="37" t="n">
        <x:v>44</x:v>
      </x:c>
      <x:c r="C46" s="37" t="n">
        <x:v>479</x:v>
      </x:c>
      <x:c r="D46" s="37" t="str">
        <x:v>Referential Disambiguation</x:v>
      </x:c>
      <x:c r="E46" s="37" t="str">
        <x:v>Put the red pencil sharpener in the bowl.</x:v>
      </x:c>
      <x:c r="F46" s="37" t="str">
        <x:v>Pick up the pencil sharpener furthest from the airplane toy with propellers and place it in the bowl.</x:v>
      </x:c>
      <x:c r="G46" s="37" t="str">
        <x:v>Explicit furthest grounding</x:v>
      </x:c>
      <x:c r="H46" s="37" t="str">
        <x:v>green pencil sharpener, red pencil sharpener, airplane toy with propellers</x:v>
      </x:c>
      <x:c r="I46" s="37" t="str">
        <x:v>red pencil sharpener</x:v>
      </x:c>
      <x:c r="J46" s="37" t="str">
        <x:v>Home</x:v>
      </x:c>
      <x:c r="K46" s="38" t="str">
        <x:v>Prompt-only relabeling; preserve episode 479 video, scene, trajectory, target, and start position.</x:v>
      </x:c>
    </x:row>
    <x:row r="47" ht="60" customHeight="1">
      <x:c r="A47" s="36" t="str">
        <x:v>Not applied</x:v>
      </x:c>
      <x:c r="B47" s="37" t="n">
        <x:v>45</x:v>
      </x:c>
      <x:c r="C47" s="37" t="n">
        <x:v>480</x:v>
      </x:c>
      <x:c r="D47" s="37" t="str">
        <x:v>Referential Disambiguation</x:v>
      </x:c>
      <x:c r="E47" s="37" t="str">
        <x:v>Put the pencil sharpener between the airplane toy without propellers and the yellow pen in the bowl.</x:v>
      </x:c>
      <x:c r="F47" s="37" t="str">
        <x:v>Move the red pencil sharpener into the bowl.</x:v>
      </x:c>
      <x:c r="G47" s="37" t="str">
        <x:v>Masked relation × candidate-category composition</x:v>
      </x:c>
      <x:c r="H47" s="37" t="str">
        <x:v>green pencil sharpener, red pencil sharpener, airplane toy without propellers, yellow pen, crushed Pepsi can</x:v>
      </x:c>
      <x:c r="I47" s="37" t="str">
        <x:v>red pencil sharpener</x:v>
      </x:c>
      <x:c r="J47" s="37" t="str">
        <x:v>Home</x:v>
      </x:c>
      <x:c r="K47" s="38" t="str">
        <x:v>Prompt-only relabeling; preserve episode 480 video, scene, trajectory, target, and start position.</x:v>
      </x:c>
    </x:row>
    <x:row r="48" ht="60" customHeight="1">
      <x:c r="A48" s="36" t="str">
        <x:v>Not applied</x:v>
      </x:c>
      <x:c r="B48" s="37" t="n">
        <x:v>46</x:v>
      </x:c>
      <x:c r="C48" s="37" t="n">
        <x:v>481</x:v>
      </x:c>
      <x:c r="D48" s="37" t="str">
        <x:v>Referential Disambiguation</x:v>
      </x:c>
      <x:c r="E48" s="37" t="str">
        <x:v>Move the pencil sharpener lying between the green pen and the crushed Pepsi can into the bowl.</x:v>
      </x:c>
      <x:c r="F48" s="37" t="str">
        <x:v>Put the red pencil sharpener in the bowl.</x:v>
      </x:c>
      <x:c r="G48" s="37" t="str">
        <x:v>Masked relation × candidate-category composition</x:v>
      </x:c>
      <x:c r="H48" s="37" t="str">
        <x:v>green pencil sharpener, red pencil sharpener, green pen, crushed Pepsi can, airplane toy with propellers</x:v>
      </x:c>
      <x:c r="I48" s="37" t="str">
        <x:v>red pencil sharpener</x:v>
      </x:c>
      <x:c r="J48" s="37" t="str">
        <x:v>Home</x:v>
      </x:c>
      <x:c r="K48" s="38" t="str">
        <x:v>Prompt-only relabeling; preserve episode 481 video, scene, trajectory, target, and start position.</x:v>
      </x:c>
    </x:row>
    <x:row r="49" ht="60" customHeight="1">
      <x:c r="A49" s="36" t="str">
        <x:v>Not applied</x:v>
      </x:c>
      <x:c r="B49" s="37" t="n">
        <x:v>47</x:v>
      </x:c>
      <x:c r="C49" s="37" t="n">
        <x:v>482</x:v>
      </x:c>
      <x:c r="D49" s="37" t="str">
        <x:v>Referential Disambiguation</x:v>
      </x:c>
      <x:c r="E49" s="37" t="str">
        <x:v>Put the pencil sharpener between the crushed Pepsi can and the airplane toy without propellers in the bowl.</x:v>
      </x:c>
      <x:c r="F49" s="37" t="str">
        <x:v>Pick up the green pencil sharpener and place it in the bowl.</x:v>
      </x:c>
      <x:c r="G49" s="37" t="str">
        <x:v>Masked relation × candidate-category composition</x:v>
      </x:c>
      <x:c r="H49" s="37" t="str">
        <x:v>green pencil sharpener, red pencil sharpener, crushed Pepsi can, airplane toy without propellers</x:v>
      </x:c>
      <x:c r="I49" s="37" t="str">
        <x:v>green pencil sharpener</x:v>
      </x:c>
      <x:c r="J49" s="37" t="str">
        <x:v>Home</x:v>
      </x:c>
      <x:c r="K49" s="38" t="str">
        <x:v>Prompt-only relabeling; preserve episode 482 video, scene, trajectory, target, and start position.</x:v>
      </x:c>
    </x:row>
    <x:row r="50" ht="60" customHeight="1">
      <x:c r="A50" s="36" t="str">
        <x:v>Not applied</x:v>
      </x:c>
      <x:c r="B50" s="37" t="n">
        <x:v>48</x:v>
      </x:c>
      <x:c r="C50" s="37" t="n">
        <x:v>483</x:v>
      </x:c>
      <x:c r="D50" s="37" t="str">
        <x:v>Referential Disambiguation</x:v>
      </x:c>
      <x:c r="E50" s="37" t="str">
        <x:v>Move the pencil sharpener lying between the green pen and the airplane toy without propellers into the bowl.</x:v>
      </x:c>
      <x:c r="F50" s="37" t="str">
        <x:v>Move the green pencil sharpener into the bowl.</x:v>
      </x:c>
      <x:c r="G50" s="37" t="str">
        <x:v>Masked relation × candidate-category composition</x:v>
      </x:c>
      <x:c r="H50" s="37" t="str">
        <x:v>green pencil sharpener, red pencil sharpener, green pen, airplane toy without propellers</x:v>
      </x:c>
      <x:c r="I50" s="37" t="str">
        <x:v>green pencil sharpener</x:v>
      </x:c>
      <x:c r="J50" s="37" t="str">
        <x:v>Recovery</x:v>
      </x:c>
      <x:c r="K50" s="38" t="str">
        <x:v>Prompt-only relabeling; preserve episode 483 video, scene, trajectory, target, and start position.</x:v>
      </x:c>
    </x:row>
    <x:row r="51" ht="60" customHeight="1">
      <x:c r="A51" s="36" t="str">
        <x:v>Not applied</x:v>
      </x:c>
      <x:c r="B51" s="37" t="n">
        <x:v>49</x:v>
      </x:c>
      <x:c r="C51" s="37" t="n">
        <x:v>484</x:v>
      </x:c>
      <x:c r="D51" s="37" t="str">
        <x:v>Referential Disambiguation</x:v>
      </x:c>
      <x:c r="E51" s="37" t="str">
        <x:v>Put the pencil sharpener between the yellow pen and the crushed Pepsi can in the bowl.</x:v>
      </x:c>
      <x:c r="F51" s="37" t="str">
        <x:v>Put the red pencil sharpener in the bowl.</x:v>
      </x:c>
      <x:c r="G51" s="37" t="str">
        <x:v>Masked relation × candidate-category composition</x:v>
      </x:c>
      <x:c r="H51" s="37" t="str">
        <x:v>green pencil sharpener, red pencil sharpener, yellow pen, crushed Pepsi can, green pen</x:v>
      </x:c>
      <x:c r="I51" s="37" t="str">
        <x:v>red pencil sharpener</x:v>
      </x:c>
      <x:c r="J51" s="37" t="str">
        <x:v>Recovery</x:v>
      </x:c>
      <x:c r="K51" s="38" t="str">
        <x:v>Prompt-only relabeling; preserve episode 484 video, scene, trajectory, target, and start position.</x:v>
      </x:c>
    </x:row>
    <x:row r="52" ht="60" customHeight="1">
      <x:c r="A52" s="36" t="str">
        <x:v>Not applied</x:v>
      </x:c>
      <x:c r="B52" s="37" t="n">
        <x:v>50</x:v>
      </x:c>
      <x:c r="C52" s="37" t="n">
        <x:v>485</x:v>
      </x:c>
      <x:c r="D52" s="37" t="str">
        <x:v>Referential Disambiguation</x:v>
      </x:c>
      <x:c r="E52" s="37" t="str">
        <x:v>Put the pencil sharpener between the airplane toy without propellers and the crushed Coke can in the bowl.</x:v>
      </x:c>
      <x:c r="F52" s="37" t="str">
        <x:v>Pick up the green pencil sharpener and place it in the bowl.</x:v>
      </x:c>
      <x:c r="G52" s="37" t="str">
        <x:v>Masked relation × candidate-category composition</x:v>
      </x:c>
      <x:c r="H52" s="37" t="str">
        <x:v>green pencil sharpener, red pencil sharpener, airplane toy without propellers, crushed Coke can</x:v>
      </x:c>
      <x:c r="I52" s="37" t="str">
        <x:v>green pencil sharpener</x:v>
      </x:c>
      <x:c r="J52" s="37" t="str">
        <x:v>Home</x:v>
      </x:c>
      <x:c r="K52" s="38" t="str">
        <x:v>Prompt-only relabeling; preserve episode 485 video, scene, trajectory, target, and start position.</x:v>
      </x:c>
    </x:row>
    <x:row r="53" ht="60" customHeight="1">
      <x:c r="A53" s="36" t="str">
        <x:v>Not applied</x:v>
      </x:c>
      <x:c r="B53" s="37" t="n">
        <x:v>51</x:v>
      </x:c>
      <x:c r="C53" s="37" t="n">
        <x:v>486</x:v>
      </x:c>
      <x:c r="D53" s="37" t="str">
        <x:v>Referential Disambiguation</x:v>
      </x:c>
      <x:c r="E53" s="37" t="str">
        <x:v>Put the pencil sharpener between the yellow pen and the airplane toy with propellers in the bowl.</x:v>
      </x:c>
      <x:c r="F53" s="37" t="str">
        <x:v>Move the red pencil sharpener into the bowl.</x:v>
      </x:c>
      <x:c r="G53" s="37" t="str">
        <x:v>Masked relation × candidate-category composition</x:v>
      </x:c>
      <x:c r="H53" s="37" t="str">
        <x:v>green pencil sharpener, red pencil sharpener, yellow pen, airplane toy with propellers</x:v>
      </x:c>
      <x:c r="I53" s="37" t="str">
        <x:v>red pencil sharpener</x:v>
      </x:c>
      <x:c r="J53" s="37" t="str">
        <x:v>Home</x:v>
      </x:c>
      <x:c r="K53" s="38" t="str">
        <x:v>Prompt-only relabeling; preserve episode 486 video, scene, trajectory, target, and start position.</x:v>
      </x:c>
    </x:row>
    <x:row r="54" ht="60" customHeight="1">
      <x:c r="A54" s="36" t="str">
        <x:v>Not applied</x:v>
      </x:c>
      <x:c r="B54" s="37" t="n">
        <x:v>52</x:v>
      </x:c>
      <x:c r="C54" s="37" t="n">
        <x:v>487</x:v>
      </x:c>
      <x:c r="D54" s="37" t="str">
        <x:v>Referential Disambiguation</x:v>
      </x:c>
      <x:c r="E54" s="37" t="str">
        <x:v>Put the pencil sharpener between the crushed Coke can and the green pen in the bowl.</x:v>
      </x:c>
      <x:c r="F54" s="37" t="str">
        <x:v>Put the green pencil sharpener in the bowl.</x:v>
      </x:c>
      <x:c r="G54" s="37" t="str">
        <x:v>Masked relation × candidate-category composition</x:v>
      </x:c>
      <x:c r="H54" s="37" t="str">
        <x:v>green pencil sharpener, red pencil sharpener, crushed Coke can, green pen, crushed Pepsi can</x:v>
      </x:c>
      <x:c r="I54" s="37" t="str">
        <x:v>green pencil sharpener</x:v>
      </x:c>
      <x:c r="J54" s="37" t="str">
        <x:v>Home</x:v>
      </x:c>
      <x:c r="K54" s="38" t="str">
        <x:v>Prompt-only relabeling; preserve episode 487 video, scene, trajectory, target, and start position.</x:v>
      </x:c>
    </x:row>
    <x:row r="55" ht="60" customHeight="1">
      <x:c r="A55" s="36" t="str">
        <x:v>Not applied</x:v>
      </x:c>
      <x:c r="B55" s="37" t="n">
        <x:v>53</x:v>
      </x:c>
      <x:c r="C55" s="37" t="n">
        <x:v>488</x:v>
      </x:c>
      <x:c r="D55" s="37" t="str">
        <x:v>Referential Disambiguation</x:v>
      </x:c>
      <x:c r="E55" s="37" t="str">
        <x:v>Pick up the pencil sharpener positioned between the airplane toy with propellers and the crushed Coke can, then place it in the bowl.</x:v>
      </x:c>
      <x:c r="F55" s="37" t="str">
        <x:v>Pick up the red pencil sharpener and place it in the bowl.</x:v>
      </x:c>
      <x:c r="G55" s="37" t="str">
        <x:v>Masked relation × candidate-category composition</x:v>
      </x:c>
      <x:c r="H55" s="37" t="str">
        <x:v>green pencil sharpener, red pencil sharpener, airplane toy with propellers, crushed Coke can</x:v>
      </x:c>
      <x:c r="I55" s="37" t="str">
        <x:v>red pencil sharpener</x:v>
      </x:c>
      <x:c r="J55" s="37" t="str">
        <x:v>Home</x:v>
      </x:c>
      <x:c r="K55" s="38" t="str">
        <x:v>Prompt-only relabeling; preserve episode 488 video, scene, trajectory, target, and start position.</x:v>
      </x:c>
    </x:row>
    <x:row r="56" ht="60" customHeight="1">
      <x:c r="A56" s="36" t="str">
        <x:v>Not applied</x:v>
      </x:c>
      <x:c r="B56" s="37" t="n">
        <x:v>54</x:v>
      </x:c>
      <x:c r="C56" s="37" t="n">
        <x:v>489</x:v>
      </x:c>
      <x:c r="D56" s="37" t="str">
        <x:v>Referential Disambiguation</x:v>
      </x:c>
      <x:c r="E56" s="37" t="str">
        <x:v>Pick up the pencil sharpener positioned between the airplane toy with propellers and the green pen, then place it in the bowl.</x:v>
      </x:c>
      <x:c r="F56" s="37" t="str">
        <x:v>Move the green pencil sharpener into the bowl.</x:v>
      </x:c>
      <x:c r="G56" s="37" t="str">
        <x:v>Masked relation × candidate-category composition</x:v>
      </x:c>
      <x:c r="H56" s="37" t="str">
        <x:v>green pencil sharpener, red pencil sharpener, airplane toy with propellers, green pen, yellow pen</x:v>
      </x:c>
      <x:c r="I56" s="37" t="str">
        <x:v>green pencil sharpener</x:v>
      </x:c>
      <x:c r="J56" s="37" t="str">
        <x:v>Home</x:v>
      </x:c>
      <x:c r="K56" s="38" t="str">
        <x:v>Prompt-only relabeling; preserve episode 489 video, scene, trajectory, target, and start position.</x:v>
      </x:c>
    </x:row>
    <x:row r="57" ht="60" customHeight="1">
      <x:c r="A57" s="36" t="str">
        <x:v>Not applied</x:v>
      </x:c>
      <x:c r="B57" s="37" t="n">
        <x:v>55</x:v>
      </x:c>
      <x:c r="C57" s="37" t="n">
        <x:v>490</x:v>
      </x:c>
      <x:c r="D57" s="37" t="str">
        <x:v>Referential Disambiguation</x:v>
      </x:c>
      <x:c r="E57" s="37" t="str">
        <x:v>Put the pencil sharpener between the crushed Coke can and the yellow pen in the bowl.</x:v>
      </x:c>
      <x:c r="F57" s="37" t="str">
        <x:v>Put the green pencil sharpener in the bowl.</x:v>
      </x:c>
      <x:c r="G57" s="37" t="str">
        <x:v>Masked relation × candidate-category composition</x:v>
      </x:c>
      <x:c r="H57" s="37" t="str">
        <x:v>green pencil sharpener, red pencil sharpener, crushed Coke can, yellow pen, airplane toy with propellers</x:v>
      </x:c>
      <x:c r="I57" s="37" t="str">
        <x:v>green pencil sharpener</x:v>
      </x:c>
      <x:c r="J57" s="37" t="str">
        <x:v>Home</x:v>
      </x:c>
      <x:c r="K57" s="38" t="str">
        <x:v>Prompt-only relabeling; preserve episode 490 video, scene, trajectory, target, and start position.</x:v>
      </x:c>
    </x:row>
    <x:row r="58" ht="60" customHeight="1">
      <x:c r="A58" s="36" t="str">
        <x:v>Not applied</x:v>
      </x:c>
      <x:c r="B58" s="37" t="n">
        <x:v>56</x:v>
      </x:c>
      <x:c r="C58" s="37" t="n">
        <x:v>491</x:v>
      </x:c>
      <x:c r="D58" s="37" t="str">
        <x:v>Referential Disambiguation</x:v>
      </x:c>
      <x:c r="E58" s="37" t="str">
        <x:v>Put the pencil sharpener between the crushed Pepsi can and the airplane toy with propellers in the bowl.</x:v>
      </x:c>
      <x:c r="F58" s="37" t="str">
        <x:v>Pick up the red pencil sharpener and place it in the bowl.</x:v>
      </x:c>
      <x:c r="G58" s="37" t="str">
        <x:v>Masked relation × candidate-category composition</x:v>
      </x:c>
      <x:c r="H58" s="37" t="str">
        <x:v>green pencil sharpener, red pencil sharpener, crushed Pepsi can, airplane toy with propellers</x:v>
      </x:c>
      <x:c r="I58" s="37" t="str">
        <x:v>red pencil sharpener</x:v>
      </x:c>
      <x:c r="J58" s="37" t="str">
        <x:v>Home</x:v>
      </x:c>
      <x:c r="K58" s="38" t="str">
        <x:v>Prompt-only relabeling; preserve episode 491 video, scene, trajectory, target, and start position.</x:v>
      </x:c>
    </x:row>
    <x:row r="59" ht="60" customHeight="1">
      <x:c r="A59" s="36" t="str">
        <x:v>Not applied</x:v>
      </x:c>
      <x:c r="B59" s="37" t="n">
        <x:v>57</x:v>
      </x:c>
      <x:c r="C59" s="37" t="n">
        <x:v>492</x:v>
      </x:c>
      <x:c r="D59" s="37" t="str">
        <x:v>Referential Disambiguation</x:v>
      </x:c>
      <x:c r="E59" s="37" t="str">
        <x:v>Pick up the pencil sharpener positioned between the airplane toy without propellers and the yellow pen, then place it in the bowl.</x:v>
      </x:c>
      <x:c r="F59" s="37" t="str">
        <x:v>Move the green pencil sharpener into the bowl.</x:v>
      </x:c>
      <x:c r="G59" s="37" t="str">
        <x:v>Masked relation × candidate-category composition</x:v>
      </x:c>
      <x:c r="H59" s="37" t="str">
        <x:v>green pencil sharpener, red pencil sharpener, airplane toy without propellers, yellow pen</x:v>
      </x:c>
      <x:c r="I59" s="37" t="str">
        <x:v>green pencil sharpener</x:v>
      </x:c>
      <x:c r="J59" s="37" t="str">
        <x:v>Home</x:v>
      </x:c>
      <x:c r="K59" s="38" t="str">
        <x:v>Prompt-only relabeling; preserve episode 492 video, scene, trajectory, target, and start position.</x:v>
      </x:c>
    </x:row>
    <x:row r="60" ht="60" customHeight="1">
      <x:c r="A60" s="36" t="str">
        <x:v>Not applied</x:v>
      </x:c>
      <x:c r="B60" s="37" t="n">
        <x:v>58</x:v>
      </x:c>
      <x:c r="C60" s="37" t="n">
        <x:v>493</x:v>
      </x:c>
      <x:c r="D60" s="37" t="str">
        <x:v>Referential Disambiguation</x:v>
      </x:c>
      <x:c r="E60" s="37" t="str">
        <x:v>Put the pencil sharpener between the green pen and the crushed Pepsi can in the bowl.</x:v>
      </x:c>
      <x:c r="F60" s="37" t="str">
        <x:v>Put the red pencil sharpener in the bowl.</x:v>
      </x:c>
      <x:c r="G60" s="37" t="str">
        <x:v>Masked relation × candidate-category composition</x:v>
      </x:c>
      <x:c r="H60" s="37" t="str">
        <x:v>green pencil sharpener, red pencil sharpener, green pen, crushed Pepsi can</x:v>
      </x:c>
      <x:c r="I60" s="37" t="str">
        <x:v>red pencil sharpener</x:v>
      </x:c>
      <x:c r="J60" s="37" t="str">
        <x:v>Home</x:v>
      </x:c>
      <x:c r="K60" s="38" t="str">
        <x:v>Prompt-only relabeling; preserve episode 493 video, scene, trajectory, target, and start position.</x:v>
      </x:c>
    </x:row>
    <x:row r="61" ht="60" customHeight="1">
      <x:c r="A61" s="36" t="str">
        <x:v>Not applied</x:v>
      </x:c>
      <x:c r="B61" s="37" t="n">
        <x:v>59</x:v>
      </x:c>
      <x:c r="C61" s="37" t="n">
        <x:v>494</x:v>
      </x:c>
      <x:c r="D61" s="37" t="str">
        <x:v>Referential Disambiguation</x:v>
      </x:c>
      <x:c r="E61" s="37" t="str">
        <x:v>Put the pencil sharpener between the crushed Pepsi can and the airplane toy without propellers in the bowl.</x:v>
      </x:c>
      <x:c r="F61" s="37" t="str">
        <x:v>Pick up the red pencil sharpener and place it in the bowl.</x:v>
      </x:c>
      <x:c r="G61" s="37" t="str">
        <x:v>Masked relation × candidate-category composition</x:v>
      </x:c>
      <x:c r="H61" s="37" t="str">
        <x:v>green pencil sharpener, red pencil sharpener, crushed Pepsi can, airplane toy without propellers, crushed Coke can</x:v>
      </x:c>
      <x:c r="I61" s="37" t="str">
        <x:v>red pencil sharpener</x:v>
      </x:c>
      <x:c r="J61" s="37" t="str">
        <x:v>Recovery</x:v>
      </x:c>
      <x:c r="K61" s="38" t="str">
        <x:v>Prompt-only relabeling; preserve episode 494 video, scene, trajectory, target, and start position.</x:v>
      </x:c>
    </x:row>
    <x:row r="62" ht="60" customHeight="1">
      <x:c r="A62" s="36" t="str">
        <x:v>Not applied</x:v>
      </x:c>
      <x:c r="B62" s="37" t="n">
        <x:v>60</x:v>
      </x:c>
      <x:c r="C62" s="37" t="n">
        <x:v>495</x:v>
      </x:c>
      <x:c r="D62" s="37" t="str">
        <x:v>Referential Disambiguation</x:v>
      </x:c>
      <x:c r="E62" s="37" t="str">
        <x:v>Pick up the pencil sharpener positioned between the crushed Coke can and the green pen, then place it in the bowl.</x:v>
      </x:c>
      <x:c r="F62" s="37" t="str">
        <x:v>Move the green pencil sharpener into the bowl.</x:v>
      </x:c>
      <x:c r="G62" s="37" t="str">
        <x:v>Masked relation × candidate-category composition</x:v>
      </x:c>
      <x:c r="H62" s="37" t="str">
        <x:v>green pencil sharpener, red pencil sharpener, crushed Coke can, green pen, airplane toy without propellers</x:v>
      </x:c>
      <x:c r="I62" s="37" t="str">
        <x:v>green pencil sharpener</x:v>
      </x:c>
      <x:c r="J62" s="37" t="str">
        <x:v>Home</x:v>
      </x:c>
      <x:c r="K62" s="38" t="str">
        <x:v>Prompt-only relabeling; preserve episode 495 video, scene, trajectory, target, and start position.</x:v>
      </x:c>
    </x:row>
    <x:row r="63" ht="60" customHeight="1">
      <x:c r="A63" s="36" t="str">
        <x:v>Not applied</x:v>
      </x:c>
      <x:c r="B63" s="37" t="n">
        <x:v>61</x:v>
      </x:c>
      <x:c r="C63" s="37" t="n">
        <x:v>496</x:v>
      </x:c>
      <x:c r="D63" s="37" t="str">
        <x:v>Referential Disambiguation</x:v>
      </x:c>
      <x:c r="E63" s="37" t="str">
        <x:v>Put the pencil sharpener between the airplane toy with propellers and the crushed Coke can in the bowl.</x:v>
      </x:c>
      <x:c r="F63" s="37" t="str">
        <x:v>Put the green pencil sharpener in the bowl.</x:v>
      </x:c>
      <x:c r="G63" s="37" t="str">
        <x:v>Masked relation × candidate-category composition</x:v>
      </x:c>
      <x:c r="H63" s="37" t="str">
        <x:v>green pencil sharpener, red pencil sharpener, airplane toy with propellers, crushed Coke can, green pen</x:v>
      </x:c>
      <x:c r="I63" s="37" t="str">
        <x:v>green pencil sharpener</x:v>
      </x:c>
      <x:c r="J63" s="37" t="str">
        <x:v>Home</x:v>
      </x:c>
      <x:c r="K63" s="38" t="str">
        <x:v>Prompt-only relabeling; preserve episode 496 video, scene, trajectory, target, and start position.</x:v>
      </x:c>
    </x:row>
    <x:row r="64" ht="60" customHeight="1">
      <x:c r="A64" s="36" t="str">
        <x:v>Not applied</x:v>
      </x:c>
      <x:c r="B64" s="37" t="n">
        <x:v>62</x:v>
      </x:c>
      <x:c r="C64" s="37" t="n">
        <x:v>497</x:v>
      </x:c>
      <x:c r="D64" s="37" t="str">
        <x:v>Referential Disambiguation</x:v>
      </x:c>
      <x:c r="E64" s="37" t="str">
        <x:v>Move the pencil sharpener lying between the airplane toy with propellers and the green pen into the bowl.</x:v>
      </x:c>
      <x:c r="F64" s="37" t="str">
        <x:v>Pick up the green pencil sharpener and place it in the bowl.</x:v>
      </x:c>
      <x:c r="G64" s="37" t="str">
        <x:v>Masked relation × candidate-category composition</x:v>
      </x:c>
      <x:c r="H64" s="37" t="str">
        <x:v>green pencil sharpener, red pencil sharpener, airplane toy with propellers, green pen</x:v>
      </x:c>
      <x:c r="I64" s="37" t="str">
        <x:v>green pencil sharpener</x:v>
      </x:c>
      <x:c r="J64" s="37" t="str">
        <x:v>Recovery</x:v>
      </x:c>
      <x:c r="K64" s="38" t="str">
        <x:v>Prompt-only relabeling; preserve episode 497 video, scene, trajectory, target, and start position.</x:v>
      </x:c>
    </x:row>
    <x:row r="65" ht="60" customHeight="1">
      <x:c r="A65" s="36" t="str">
        <x:v>Not applied</x:v>
      </x:c>
      <x:c r="B65" s="37" t="n">
        <x:v>63</x:v>
      </x:c>
      <x:c r="C65" s="37" t="n">
        <x:v>498</x:v>
      </x:c>
      <x:c r="D65" s="37" t="str">
        <x:v>Referential Disambiguation</x:v>
      </x:c>
      <x:c r="E65" s="37" t="str">
        <x:v>Pick up the pencil sharpener positioned between the crushed Coke can and the yellow pen, then place it in the bowl.</x:v>
      </x:c>
      <x:c r="F65" s="37" t="str">
        <x:v>Move the red pencil sharpener into the bowl.</x:v>
      </x:c>
      <x:c r="G65" s="37" t="str">
        <x:v>Masked relation × candidate-category composition</x:v>
      </x:c>
      <x:c r="H65" s="37" t="str">
        <x:v>green pencil sharpener, red pencil sharpener, crushed Coke can, yellow pen, airplane toy without propellers</x:v>
      </x:c>
      <x:c r="I65" s="37" t="str">
        <x:v>red pencil sharpener</x:v>
      </x:c>
      <x:c r="J65" s="37" t="str">
        <x:v>Home</x:v>
      </x:c>
      <x:c r="K65" s="38" t="str">
        <x:v>Prompt-only relabeling; preserve episode 498 video, scene, trajectory, target, and start position.</x:v>
      </x:c>
    </x:row>
    <x:row r="66" ht="60" customHeight="1">
      <x:c r="A66" s="36" t="str">
        <x:v>Not applied</x:v>
      </x:c>
      <x:c r="B66" s="37" t="n">
        <x:v>64</x:v>
      </x:c>
      <x:c r="C66" s="37" t="n">
        <x:v>499</x:v>
      </x:c>
      <x:c r="D66" s="37" t="str">
        <x:v>Referential Disambiguation</x:v>
      </x:c>
      <x:c r="E66" s="37" t="str">
        <x:v>Put the pencil sharpener between the crushed Pepsi can and the airplane toy with propellers in the bowl.</x:v>
      </x:c>
      <x:c r="F66" s="37" t="str">
        <x:v>Put the red pencil sharpener in the bowl.</x:v>
      </x:c>
      <x:c r="G66" s="37" t="str">
        <x:v>Masked relation × candidate-category composition</x:v>
      </x:c>
      <x:c r="H66" s="37" t="str">
        <x:v>green pencil sharpener, red pencil sharpener, crushed Pepsi can, airplane toy with propellers</x:v>
      </x:c>
      <x:c r="I66" s="37" t="str">
        <x:v>red pencil sharpener</x:v>
      </x:c>
      <x:c r="J66" s="37" t="str">
        <x:v>Home</x:v>
      </x:c>
      <x:c r="K66" s="38" t="str">
        <x:v>Prompt-only relabeling; preserve episode 499 video, scene, trajectory, target, and start position.</x:v>
      </x:c>
    </x:row>
    <x:row r="67" ht="60" customHeight="1">
      <x:c r="A67" s="36" t="str">
        <x:v>Not applied</x:v>
      </x:c>
      <x:c r="B67" s="37" t="n">
        <x:v>65</x:v>
      </x:c>
      <x:c r="C67" s="37" t="n">
        <x:v>515</x:v>
      </x:c>
      <x:c r="D67" s="37" t="str">
        <x:v>Referential Disambiguation</x:v>
      </x:c>
      <x:c r="E67" s="37" t="str">
        <x:v>Move the yellow pen into the bowl.</x:v>
      </x:c>
      <x:c r="F67" s="37" t="str">
        <x:v>Pick up the pen furthest from the crushed Coke can and place it in the bowl.</x:v>
      </x:c>
      <x:c r="G67" s="37" t="str">
        <x:v>Explicit furthest grounding</x:v>
      </x:c>
      <x:c r="H67" s="37" t="str">
        <x:v>green pen, yellow pen, crushed Coke can</x:v>
      </x:c>
      <x:c r="I67" s="37" t="str">
        <x:v>yellow pen</x:v>
      </x:c>
      <x:c r="J67" s="37" t="str">
        <x:v>Home</x:v>
      </x:c>
      <x:c r="K67" s="38" t="str">
        <x:v>Prompt-only relabeling; preserve episode 515 video, scene, trajectory, target, and start position.</x:v>
      </x:c>
    </x:row>
    <x:row r="68" ht="60" customHeight="1">
      <x:c r="A68" s="36" t="str">
        <x:v>Not applied</x:v>
      </x:c>
      <x:c r="B68" s="37" t="n">
        <x:v>66</x:v>
      </x:c>
      <x:c r="C68" s="37" t="n">
        <x:v>516</x:v>
      </x:c>
      <x:c r="D68" s="37" t="str">
        <x:v>Referential Disambiguation</x:v>
      </x:c>
      <x:c r="E68" s="37" t="str">
        <x:v>Put the green pen in the bowl.</x:v>
      </x:c>
      <x:c r="F68" s="37" t="str">
        <x:v>Pick up the pen furthest from the crushed Pepsi can and place it in the bowl.</x:v>
      </x:c>
      <x:c r="G68" s="37" t="str">
        <x:v>Explicit furthest grounding</x:v>
      </x:c>
      <x:c r="H68" s="37" t="str">
        <x:v>green pen, yellow pen, crushed Pepsi can, green pencil sharpener</x:v>
      </x:c>
      <x:c r="I68" s="37" t="str">
        <x:v>green pen</x:v>
      </x:c>
      <x:c r="J68" s="37" t="str">
        <x:v>Home</x:v>
      </x:c>
      <x:c r="K68" s="38" t="str">
        <x:v>Prompt-only relabeling; preserve episode 516 video, scene, trajectory, target, and start position.</x:v>
      </x:c>
    </x:row>
    <x:row r="69" ht="60" customHeight="1">
      <x:c r="A69" s="36" t="str">
        <x:v>Not applied</x:v>
      </x:c>
      <x:c r="B69" s="37" t="n">
        <x:v>67</x:v>
      </x:c>
      <x:c r="C69" s="37" t="n">
        <x:v>517</x:v>
      </x:c>
      <x:c r="D69" s="37" t="str">
        <x:v>Referential Disambiguation</x:v>
      </x:c>
      <x:c r="E69" s="37" t="str">
        <x:v>Put the yellow pen in the bowl.</x:v>
      </x:c>
      <x:c r="F69" s="37" t="str">
        <x:v>Pick up the pen furthest from the airplane toy with propellers and place it in the bowl.</x:v>
      </x:c>
      <x:c r="G69" s="37" t="str">
        <x:v>Explicit furthest grounding</x:v>
      </x:c>
      <x:c r="H69" s="37" t="str">
        <x:v>green pen, yellow pen, airplane toy with propellers</x:v>
      </x:c>
      <x:c r="I69" s="37" t="str">
        <x:v>yellow pen</x:v>
      </x:c>
      <x:c r="J69" s="37" t="str">
        <x:v>Home</x:v>
      </x:c>
      <x:c r="K69" s="38" t="str">
        <x:v>Prompt-only relabeling; preserve episode 517 video, scene, trajectory, target, and start position.</x:v>
      </x:c>
    </x:row>
    <x:row r="70" ht="60" customHeight="1">
      <x:c r="A70" s="36" t="str">
        <x:v>Not applied</x:v>
      </x:c>
      <x:c r="B70" s="37" t="n">
        <x:v>68</x:v>
      </x:c>
      <x:c r="C70" s="37" t="n">
        <x:v>518</x:v>
      </x:c>
      <x:c r="D70" s="37" t="str">
        <x:v>Referential Disambiguation</x:v>
      </x:c>
      <x:c r="E70" s="37" t="str">
        <x:v>Pick up the green pen and place it in the bowl.</x:v>
      </x:c>
      <x:c r="F70" s="37" t="str">
        <x:v>Pick up the pen furthest from the airplane toy without propellers and place it in the bowl.</x:v>
      </x:c>
      <x:c r="G70" s="37" t="str">
        <x:v>Explicit furthest grounding</x:v>
      </x:c>
      <x:c r="H70" s="37" t="str">
        <x:v>green pen, yellow pen, airplane toy without propellers, crushed Coke can</x:v>
      </x:c>
      <x:c r="I70" s="37" t="str">
        <x:v>green pen</x:v>
      </x:c>
      <x:c r="J70" s="37" t="str">
        <x:v>Recovery</x:v>
      </x:c>
      <x:c r="K70" s="38" t="str">
        <x:v>Prompt-only relabeling; preserve episode 518 video, scene, trajectory, target, and start position.</x:v>
      </x:c>
    </x:row>
    <x:row r="71" ht="60" customHeight="1">
      <x:c r="A71" s="36" t="str">
        <x:v>Not applied</x:v>
      </x:c>
      <x:c r="B71" s="37" t="n">
        <x:v>69</x:v>
      </x:c>
      <x:c r="C71" s="37" t="n">
        <x:v>519</x:v>
      </x:c>
      <x:c r="D71" s="37" t="str">
        <x:v>Referential Disambiguation</x:v>
      </x:c>
      <x:c r="E71" s="37" t="str">
        <x:v>Put the yellow pen in the bowl.</x:v>
      </x:c>
      <x:c r="F71" s="37" t="str">
        <x:v>Pick up the pen furthest from the green pencil sharpener and place it in the bowl.</x:v>
      </x:c>
      <x:c r="G71" s="37" t="str">
        <x:v>Explicit furthest grounding</x:v>
      </x:c>
      <x:c r="H71" s="37" t="str">
        <x:v>green pen, yellow pen, green pencil sharpener</x:v>
      </x:c>
      <x:c r="I71" s="37" t="str">
        <x:v>yellow pen</x:v>
      </x:c>
      <x:c r="J71" s="37" t="str">
        <x:v>Home</x:v>
      </x:c>
      <x:c r="K71" s="38" t="str">
        <x:v>Prompt-only relabeling; preserve episode 519 video, scene, trajectory, target, and start position.</x:v>
      </x:c>
    </x:row>
    <x:row r="72" ht="60" customHeight="1">
      <x:c r="A72" s="36" t="str">
        <x:v>Not applied</x:v>
      </x:c>
      <x:c r="B72" s="37" t="n">
        <x:v>70</x:v>
      </x:c>
      <x:c r="C72" s="37" t="n">
        <x:v>520</x:v>
      </x:c>
      <x:c r="D72" s="37" t="str">
        <x:v>Referential Disambiguation</x:v>
      </x:c>
      <x:c r="E72" s="37" t="str">
        <x:v>Put the green pen in the bowl.</x:v>
      </x:c>
      <x:c r="F72" s="37" t="str">
        <x:v>Pick up the pen furthest from the red pencil sharpener and place it in the bowl.</x:v>
      </x:c>
      <x:c r="G72" s="37" t="str">
        <x:v>Explicit furthest grounding</x:v>
      </x:c>
      <x:c r="H72" s="37" t="str">
        <x:v>green pen, yellow pen, red pencil sharpener, green pencil sharpener</x:v>
      </x:c>
      <x:c r="I72" s="37" t="str">
        <x:v>green pen</x:v>
      </x:c>
      <x:c r="J72" s="37" t="str">
        <x:v>Home</x:v>
      </x:c>
      <x:c r="K72" s="38" t="str">
        <x:v>Prompt-only relabeling; preserve episode 520 video, scene, trajectory, target, and start position.</x:v>
      </x:c>
    </x:row>
    <x:row r="73" ht="60" customHeight="1">
      <x:c r="A73" s="36" t="str">
        <x:v>Not applied</x:v>
      </x:c>
      <x:c r="B73" s="37" t="n">
        <x:v>71</x:v>
      </x:c>
      <x:c r="C73" s="37" t="n">
        <x:v>521</x:v>
      </x:c>
      <x:c r="D73" s="37" t="str">
        <x:v>Referential Disambiguation</x:v>
      </x:c>
      <x:c r="E73" s="37" t="str">
        <x:v>Put the yellow pen in the bowl.</x:v>
      </x:c>
      <x:c r="F73" s="37" t="str">
        <x:v>Pick up the pen furthest from the crushed Coke can and place it in the bowl.</x:v>
      </x:c>
      <x:c r="G73" s="37" t="str">
        <x:v>Explicit furthest grounding</x:v>
      </x:c>
      <x:c r="H73" s="37" t="str">
        <x:v>green pen, yellow pen, crushed Coke can</x:v>
      </x:c>
      <x:c r="I73" s="37" t="str">
        <x:v>yellow pen</x:v>
      </x:c>
      <x:c r="J73" s="37" t="str">
        <x:v>Home</x:v>
      </x:c>
      <x:c r="K73" s="38" t="str">
        <x:v>Prompt-only relabeling; preserve episode 521 video, scene, trajectory, target, and start position.</x:v>
      </x:c>
    </x:row>
    <x:row r="74" ht="60" customHeight="1">
      <x:c r="A74" s="36" t="str">
        <x:v>Not applied</x:v>
      </x:c>
      <x:c r="B74" s="37" t="n">
        <x:v>72</x:v>
      </x:c>
      <x:c r="C74" s="37" t="n">
        <x:v>522</x:v>
      </x:c>
      <x:c r="D74" s="37" t="str">
        <x:v>Referential Disambiguation</x:v>
      </x:c>
      <x:c r="E74" s="37" t="str">
        <x:v>Move the green pen into the bowl.</x:v>
      </x:c>
      <x:c r="F74" s="37" t="str">
        <x:v>Pick up the pen furthest from the crushed Pepsi can and place it in the bowl.</x:v>
      </x:c>
      <x:c r="G74" s="37" t="str">
        <x:v>Explicit furthest grounding</x:v>
      </x:c>
      <x:c r="H74" s="37" t="str">
        <x:v>green pen, yellow pen, crushed Pepsi can, airplane toy with propellers</x:v>
      </x:c>
      <x:c r="I74" s="37" t="str">
        <x:v>green pen</x:v>
      </x:c>
      <x:c r="J74" s="37" t="str">
        <x:v>Home</x:v>
      </x:c>
      <x:c r="K74" s="38" t="str">
        <x:v>Prompt-only relabeling; preserve episode 522 video, scene, trajectory, target, and start position.</x:v>
      </x:c>
    </x:row>
    <x:row r="75" ht="60" customHeight="1">
      <x:c r="A75" s="36" t="str">
        <x:v>Not applied</x:v>
      </x:c>
      <x:c r="B75" s="37" t="n">
        <x:v>73</x:v>
      </x:c>
      <x:c r="C75" s="37" t="n">
        <x:v>523</x:v>
      </x:c>
      <x:c r="D75" s="37" t="str">
        <x:v>Referential Disambiguation</x:v>
      </x:c>
      <x:c r="E75" s="37" t="str">
        <x:v>Pick up the yellow pen and place it in the bowl.</x:v>
      </x:c>
      <x:c r="F75" s="37" t="str">
        <x:v>Pick up the pen furthest from the airplane toy with propellers and place it in the bowl.</x:v>
      </x:c>
      <x:c r="G75" s="37" t="str">
        <x:v>Explicit furthest grounding</x:v>
      </x:c>
      <x:c r="H75" s="37" t="str">
        <x:v>green pen, yellow pen, airplane toy with propellers</x:v>
      </x:c>
      <x:c r="I75" s="37" t="str">
        <x:v>yellow pen</x:v>
      </x:c>
      <x:c r="J75" s="37" t="str">
        <x:v>Recovery</x:v>
      </x:c>
      <x:c r="K75" s="38" t="str">
        <x:v>Prompt-only relabeling; preserve episode 523 video, scene, trajectory, target, and start position.</x:v>
      </x:c>
    </x:row>
    <x:row r="76" ht="60" customHeight="1">
      <x:c r="A76" s="36" t="str">
        <x:v>Not applied</x:v>
      </x:c>
      <x:c r="B76" s="37" t="n">
        <x:v>74</x:v>
      </x:c>
      <x:c r="C76" s="37" t="n">
        <x:v>524</x:v>
      </x:c>
      <x:c r="D76" s="37" t="str">
        <x:v>Referential Disambiguation</x:v>
      </x:c>
      <x:c r="E76" s="37" t="str">
        <x:v>Pick up the green pen and place it in the bowl.</x:v>
      </x:c>
      <x:c r="F76" s="37" t="str">
        <x:v>Pick up the pen furthest from the airplane toy without propellers and place it in the bowl.</x:v>
      </x:c>
      <x:c r="G76" s="37" t="str">
        <x:v>Explicit furthest grounding</x:v>
      </x:c>
      <x:c r="H76" s="37" t="str">
        <x:v>green pen, yellow pen, airplane toy without propellers, green pencil sharpener</x:v>
      </x:c>
      <x:c r="I76" s="37" t="str">
        <x:v>green pen</x:v>
      </x:c>
      <x:c r="J76" s="37" t="str">
        <x:v>Home</x:v>
      </x:c>
      <x:c r="K76" s="38" t="str">
        <x:v>Prompt-only relabeling; preserve episode 524 video, scene, trajectory, target, and start position.</x:v>
      </x:c>
    </x:row>
    <x:row r="77" ht="60" customHeight="1">
      <x:c r="A77" s="36" t="str">
        <x:v>Not applied</x:v>
      </x:c>
      <x:c r="B77" s="37" t="n">
        <x:v>75</x:v>
      </x:c>
      <x:c r="C77" s="37" t="n">
        <x:v>525</x:v>
      </x:c>
      <x:c r="D77" s="37" t="str">
        <x:v>Referential Disambiguation</x:v>
      </x:c>
      <x:c r="E77" s="37" t="str">
        <x:v>Pick up the yellow pen and place it in the bowl.</x:v>
      </x:c>
      <x:c r="F77" s="37" t="str">
        <x:v>Pick up the pen furthest from the green pencil sharpener and place it in the bowl.</x:v>
      </x:c>
      <x:c r="G77" s="37" t="str">
        <x:v>Explicit furthest grounding</x:v>
      </x:c>
      <x:c r="H77" s="37" t="str">
        <x:v>green pen, yellow pen, green pencil sharpener</x:v>
      </x:c>
      <x:c r="I77" s="37" t="str">
        <x:v>yellow pen</x:v>
      </x:c>
      <x:c r="J77" s="37" t="str">
        <x:v>Home</x:v>
      </x:c>
      <x:c r="K77" s="38" t="str">
        <x:v>Prompt-only relabeling; preserve episode 525 video, scene, trajectory, target, and start position.</x:v>
      </x:c>
    </x:row>
    <x:row r="78" ht="60" customHeight="1">
      <x:c r="A78" s="36" t="str">
        <x:v>Not applied</x:v>
      </x:c>
      <x:c r="B78" s="37" t="n">
        <x:v>76</x:v>
      </x:c>
      <x:c r="C78" s="37" t="n">
        <x:v>526</x:v>
      </x:c>
      <x:c r="D78" s="37" t="str">
        <x:v>Referential Disambiguation</x:v>
      </x:c>
      <x:c r="E78" s="37" t="str">
        <x:v>Put the green pen in the bowl.</x:v>
      </x:c>
      <x:c r="F78" s="37" t="str">
        <x:v>Pick up the pen furthest from the red pencil sharpener and place it in the bowl.</x:v>
      </x:c>
      <x:c r="G78" s="37" t="str">
        <x:v>Explicit furthest grounding</x:v>
      </x:c>
      <x:c r="H78" s="37" t="str">
        <x:v>green pen, yellow pen, red pencil sharpener, airplane toy with propellers</x:v>
      </x:c>
      <x:c r="I78" s="37" t="str">
        <x:v>green pen</x:v>
      </x:c>
      <x:c r="J78" s="37" t="str">
        <x:v>Home</x:v>
      </x:c>
      <x:c r="K78" s="38" t="str">
        <x:v>Prompt-only relabeling; preserve episode 526 video, scene, trajectory, target, and start position.</x:v>
      </x:c>
    </x:row>
    <x:row r="79" ht="60" customHeight="1">
      <x:c r="A79" s="36" t="str">
        <x:v>Not applied</x:v>
      </x:c>
      <x:c r="B79" s="37" t="n">
        <x:v>77</x:v>
      </x:c>
      <x:c r="C79" s="37" t="n">
        <x:v>527</x:v>
      </x:c>
      <x:c r="D79" s="37" t="str">
        <x:v>Referential Disambiguation</x:v>
      </x:c>
      <x:c r="E79" s="37" t="str">
        <x:v>Move the yellow pen into the bowl.</x:v>
      </x:c>
      <x:c r="F79" s="37" t="str">
        <x:v>Pick up the pen furthest from the crushed Coke can and place it in the bowl.</x:v>
      </x:c>
      <x:c r="G79" s="37" t="str">
        <x:v>Explicit furthest grounding</x:v>
      </x:c>
      <x:c r="H79" s="37" t="str">
        <x:v>green pen, yellow pen, crushed Coke can</x:v>
      </x:c>
      <x:c r="I79" s="37" t="str">
        <x:v>yellow pen</x:v>
      </x:c>
      <x:c r="J79" s="37" t="str">
        <x:v>Home</x:v>
      </x:c>
      <x:c r="K79" s="38" t="str">
        <x:v>Prompt-only relabeling; preserve episode 527 video, scene, trajectory, target, and start position.</x:v>
      </x:c>
    </x:row>
    <x:row r="80" ht="60" customHeight="1">
      <x:c r="A80" s="36" t="str">
        <x:v>Not applied</x:v>
      </x:c>
      <x:c r="B80" s="37" t="n">
        <x:v>78</x:v>
      </x:c>
      <x:c r="C80" s="37" t="n">
        <x:v>528</x:v>
      </x:c>
      <x:c r="D80" s="37" t="str">
        <x:v>Referential Disambiguation</x:v>
      </x:c>
      <x:c r="E80" s="37" t="str">
        <x:v>Move the green pen into the bowl.</x:v>
      </x:c>
      <x:c r="F80" s="37" t="str">
        <x:v>Pick up the pen furthest from the crushed Pepsi can and place it in the bowl.</x:v>
      </x:c>
      <x:c r="G80" s="37" t="str">
        <x:v>Explicit furthest grounding</x:v>
      </x:c>
      <x:c r="H80" s="37" t="str">
        <x:v>green pen, yellow pen, crushed Pepsi can, crushed Coke can</x:v>
      </x:c>
      <x:c r="I80" s="37" t="str">
        <x:v>green pen</x:v>
      </x:c>
      <x:c r="J80" s="37" t="str">
        <x:v>Recovery</x:v>
      </x:c>
      <x:c r="K80" s="38" t="str">
        <x:v>Prompt-only relabeling; preserve episode 528 video, scene, trajectory, target, and start position.</x:v>
      </x:c>
    </x:row>
    <x:row r="81" ht="60" customHeight="1">
      <x:c r="A81" s="36" t="str">
        <x:v>Not applied</x:v>
      </x:c>
      <x:c r="B81" s="37" t="n">
        <x:v>79</x:v>
      </x:c>
      <x:c r="C81" s="37" t="n">
        <x:v>529</x:v>
      </x:c>
      <x:c r="D81" s="37" t="str">
        <x:v>Referential Disambiguation</x:v>
      </x:c>
      <x:c r="E81" s="37" t="str">
        <x:v>Pick up the yellow pen and place it in the bowl.</x:v>
      </x:c>
      <x:c r="F81" s="37" t="str">
        <x:v>Pick up the pen furthest from the airplane toy with propellers and place it in the bowl.</x:v>
      </x:c>
      <x:c r="G81" s="37" t="str">
        <x:v>Explicit furthest grounding</x:v>
      </x:c>
      <x:c r="H81" s="37" t="str">
        <x:v>green pen, yellow pen, airplane toy with propellers</x:v>
      </x:c>
      <x:c r="I81" s="37" t="str">
        <x:v>yellow pen</x:v>
      </x:c>
      <x:c r="J81" s="37" t="str">
        <x:v>Home</x:v>
      </x:c>
      <x:c r="K81" s="38" t="str">
        <x:v>Prompt-only relabeling; preserve episode 529 video, scene, trajectory, target, and start position.</x:v>
      </x:c>
    </x:row>
    <x:row r="82" ht="60" customHeight="1">
      <x:c r="A82" s="36" t="str">
        <x:v>Not applied</x:v>
      </x:c>
      <x:c r="B82" s="37" t="n">
        <x:v>80</x:v>
      </x:c>
      <x:c r="C82" s="37" t="n">
        <x:v>600</x:v>
      </x:c>
      <x:c r="D82" s="37" t="str">
        <x:v>Ordering/Sequencing</x:v>
      </x:c>
      <x:c r="E82" s="37" t="str">
        <x:v>Pick up the object that is fourth from the right and place it in the bowl.</x:v>
      </x:c>
      <x:c r="F82" s="37" t="str">
        <x:v>Move the airplane toy with propellers into the bowl.</x:v>
      </x:c>
      <x:c r="G82" s="37" t="str">
        <x:v>Masked ordinal-role × target-identity composition</x:v>
      </x:c>
      <x:c r="H82" s="37" t="str">
        <x:v>airplane toy with propellers, blue tape ball, green highlighter, yellow pen</x:v>
      </x:c>
      <x:c r="I82" s="37" t="str">
        <x:v>airplane toy with propellers</x:v>
      </x:c>
      <x:c r="J82" s="37" t="str">
        <x:v>Home</x:v>
      </x:c>
      <x:c r="K82" s="38" t="str">
        <x:v>Prompt-only relabeling; preserve episode 600 video, scene, trajectory, target, and start position.</x:v>
      </x:c>
    </x:row>
    <x:row r="83" ht="60" customHeight="1">
      <x:c r="A83" s="36" t="str">
        <x:v>Not applied</x:v>
      </x:c>
      <x:c r="B83" s="37" t="n">
        <x:v>81</x:v>
      </x:c>
      <x:c r="C83" s="37" t="n">
        <x:v>601</x:v>
      </x:c>
      <x:c r="D83" s="37" t="str">
        <x:v>Ordering/Sequencing</x:v>
      </x:c>
      <x:c r="E83" s="37" t="str">
        <x:v>Put the first object from the left in the bowl.</x:v>
      </x:c>
      <x:c r="F83" s="37" t="str">
        <x:v>Put the airplane toy with propellers in the bowl.</x:v>
      </x:c>
      <x:c r="G83" s="37" t="str">
        <x:v>Masked ordinal-role × target-identity composition</x:v>
      </x:c>
      <x:c r="H83" s="37" t="str">
        <x:v>airplane toy with propellers, blue tape ball, yellow pen, green highlighter</x:v>
      </x:c>
      <x:c r="I83" s="37" t="str">
        <x:v>airplane toy with propellers</x:v>
      </x:c>
      <x:c r="J83" s="37" t="str">
        <x:v>Home</x:v>
      </x:c>
      <x:c r="K83" s="38" t="str">
        <x:v>Prompt-only relabeling; preserve episode 601 video, scene, trajectory, target, and start position.</x:v>
      </x:c>
    </x:row>
    <x:row r="84" ht="60" customHeight="1">
      <x:c r="A84" s="36" t="str">
        <x:v>Not applied</x:v>
      </x:c>
      <x:c r="B84" s="37" t="n">
        <x:v>82</x:v>
      </x:c>
      <x:c r="C84" s="37" t="n">
        <x:v>602</x:v>
      </x:c>
      <x:c r="D84" s="37" t="str">
        <x:v>Ordering/Sequencing</x:v>
      </x:c>
      <x:c r="E84" s="37" t="str">
        <x:v>Pick up the object that is fourth from the right and place it in the bowl.</x:v>
      </x:c>
      <x:c r="F84" s="37" t="str">
        <x:v>Pick up the airplane toy with propellers and place it in the bowl.</x:v>
      </x:c>
      <x:c r="G84" s="37" t="str">
        <x:v>Masked ordinal-role × target-identity composition</x:v>
      </x:c>
      <x:c r="H84" s="37" t="str">
        <x:v>airplane toy with propellers, green highlighter, blue tape ball, yellow pen</x:v>
      </x:c>
      <x:c r="I84" s="37" t="str">
        <x:v>airplane toy with propellers</x:v>
      </x:c>
      <x:c r="J84" s="37" t="str">
        <x:v>Home</x:v>
      </x:c>
      <x:c r="K84" s="38" t="str">
        <x:v>Prompt-only relabeling; preserve episode 602 video, scene, trajectory, target, and start position.</x:v>
      </x:c>
    </x:row>
    <x:row r="85" ht="60" customHeight="1">
      <x:c r="A85" s="36" t="str">
        <x:v>Not applied</x:v>
      </x:c>
      <x:c r="B85" s="37" t="n">
        <x:v>83</x:v>
      </x:c>
      <x:c r="C85" s="37" t="n">
        <x:v>603</x:v>
      </x:c>
      <x:c r="D85" s="37" t="str">
        <x:v>Ordering/Sequencing</x:v>
      </x:c>
      <x:c r="E85" s="37" t="str">
        <x:v>Move the first item counted from the left into the bowl.</x:v>
      </x:c>
      <x:c r="F85" s="37" t="str">
        <x:v>Move the airplane toy with propellers into the bowl.</x:v>
      </x:c>
      <x:c r="G85" s="37" t="str">
        <x:v>Masked ordinal-role × target-identity composition</x:v>
      </x:c>
      <x:c r="H85" s="37" t="str">
        <x:v>airplane toy with propellers, green highlighter, yellow pen, blue tape ball</x:v>
      </x:c>
      <x:c r="I85" s="37" t="str">
        <x:v>airplane toy with propellers</x:v>
      </x:c>
      <x:c r="J85" s="37" t="str">
        <x:v>Home</x:v>
      </x:c>
      <x:c r="K85" s="38" t="str">
        <x:v>Prompt-only relabeling; preserve episode 603 video, scene, trajectory, target, and start position.</x:v>
      </x:c>
    </x:row>
    <x:row r="86" ht="60" customHeight="1">
      <x:c r="A86" s="36" t="str">
        <x:v>Not applied</x:v>
      </x:c>
      <x:c r="B86" s="37" t="n">
        <x:v>84</x:v>
      </x:c>
      <x:c r="C86" s="37" t="n">
        <x:v>608</x:v>
      </x:c>
      <x:c r="D86" s="37" t="str">
        <x:v>Ordering/Sequencing</x:v>
      </x:c>
      <x:c r="E86" s="37" t="str">
        <x:v>Move the second item counted from the right into the bowl.</x:v>
      </x:c>
      <x:c r="F86" s="37" t="str">
        <x:v>Pick up the airplane toy with propellers and place it in the bowl.</x:v>
      </x:c>
      <x:c r="G86" s="37" t="str">
        <x:v>Masked ordinal-role × target-identity composition</x:v>
      </x:c>
      <x:c r="H86" s="37" t="str">
        <x:v>airplane toy with propellers, blue tape ball</x:v>
      </x:c>
      <x:c r="I86" s="37" t="str">
        <x:v>airplane toy with propellers</x:v>
      </x:c>
      <x:c r="J86" s="37" t="str">
        <x:v>Home</x:v>
      </x:c>
      <x:c r="K86" s="38" t="str">
        <x:v>Prompt-only relabeling; preserve episode 608 video, scene, trajectory, target, and start position.</x:v>
      </x:c>
    </x:row>
    <x:row r="87" ht="60" customHeight="1">
      <x:c r="A87" s="36" t="str">
        <x:v>Not applied</x:v>
      </x:c>
      <x:c r="B87" s="37" t="n">
        <x:v>85</x:v>
      </x:c>
      <x:c r="C87" s="37" t="n">
        <x:v>609</x:v>
      </x:c>
      <x:c r="D87" s="37" t="str">
        <x:v>Ordering/Sequencing</x:v>
      </x:c>
      <x:c r="E87" s="37" t="str">
        <x:v>Pick up the object that is second from the right and place it in the bowl.</x:v>
      </x:c>
      <x:c r="F87" s="37" t="str">
        <x:v>Move the airplane toy with propellers into the bowl.</x:v>
      </x:c>
      <x:c r="G87" s="37" t="str">
        <x:v>Masked ordinal-role × target-identity composition</x:v>
      </x:c>
      <x:c r="H87" s="37" t="str">
        <x:v>airplane toy with propellers, green highlighter</x:v>
      </x:c>
      <x:c r="I87" s="37" t="str">
        <x:v>airplane toy with propellers</x:v>
      </x:c>
      <x:c r="J87" s="37" t="str">
        <x:v>Home</x:v>
      </x:c>
      <x:c r="K87" s="38" t="str">
        <x:v>Prompt-only relabeling; preserve episode 609 video, scene, trajectory, target, and start position.</x:v>
      </x:c>
    </x:row>
    <x:row r="88" ht="60" customHeight="1">
      <x:c r="A88" s="36" t="str">
        <x:v>Not applied</x:v>
      </x:c>
      <x:c r="B88" s="37" t="n">
        <x:v>86</x:v>
      </x:c>
      <x:c r="C88" s="37" t="n">
        <x:v>610</x:v>
      </x:c>
      <x:c r="D88" s="37" t="str">
        <x:v>Ordering/Sequencing</x:v>
      </x:c>
      <x:c r="E88" s="37" t="str">
        <x:v>Pick up the object that is second from the right and place it in the bowl.</x:v>
      </x:c>
      <x:c r="F88" s="37" t="str">
        <x:v>Put the airplane toy with propellers in the bowl.</x:v>
      </x:c>
      <x:c r="G88" s="37" t="str">
        <x:v>Masked ordinal-role × target-identity composition</x:v>
      </x:c>
      <x:c r="H88" s="37" t="str">
        <x:v>airplane toy with propellers, yellow pen</x:v>
      </x:c>
      <x:c r="I88" s="37" t="str">
        <x:v>airplane toy with propellers</x:v>
      </x:c>
      <x:c r="J88" s="37" t="str">
        <x:v>Recovery</x:v>
      </x:c>
      <x:c r="K88" s="38" t="str">
        <x:v>Prompt-only relabeling; preserve episode 610 video, scene, trajectory, target, and start position.</x:v>
      </x:c>
    </x:row>
    <x:row r="89" ht="60" customHeight="1">
      <x:c r="A89" s="36" t="str">
        <x:v>Not applied</x:v>
      </x:c>
      <x:c r="B89" s="37" t="n">
        <x:v>87</x:v>
      </x:c>
      <x:c r="C89" s="37" t="n">
        <x:v>611</x:v>
      </x:c>
      <x:c r="D89" s="37" t="str">
        <x:v>Ordering/Sequencing</x:v>
      </x:c>
      <x:c r="E89" s="37" t="str">
        <x:v>Pick up the object that is first from the left and place it in the bowl.</x:v>
      </x:c>
      <x:c r="F89" s="37" t="str">
        <x:v>Pick up the airplane toy with propellers and place it in the bowl.</x:v>
      </x:c>
      <x:c r="G89" s="37" t="str">
        <x:v>Masked ordinal-role × target-identity composition</x:v>
      </x:c>
      <x:c r="H89" s="37" t="str">
        <x:v>airplane toy with propellers, blue tape ball</x:v>
      </x:c>
      <x:c r="I89" s="37" t="str">
        <x:v>airplane toy with propellers</x:v>
      </x:c>
      <x:c r="J89" s="37" t="str">
        <x:v>Recovery</x:v>
      </x:c>
      <x:c r="K89" s="38" t="str">
        <x:v>Prompt-only relabeling; preserve episode 611 video, scene, trajectory, target, and start position.</x:v>
      </x:c>
    </x:row>
    <x:row r="90" ht="60" customHeight="1">
      <x:c r="A90" s="36" t="str">
        <x:v>Not applied</x:v>
      </x:c>
      <x:c r="B90" s="37" t="n">
        <x:v>88</x:v>
      </x:c>
      <x:c r="C90" s="37" t="n">
        <x:v>612</x:v>
      </x:c>
      <x:c r="D90" s="37" t="str">
        <x:v>Ordering/Sequencing</x:v>
      </x:c>
      <x:c r="E90" s="37" t="str">
        <x:v>Pick up the object that is second from the right and place it in the bowl.</x:v>
      </x:c>
      <x:c r="F90" s="37" t="str">
        <x:v>Move the airplane toy with propellers into the bowl.</x:v>
      </x:c>
      <x:c r="G90" s="37" t="str">
        <x:v>Masked ordinal-role × target-identity composition</x:v>
      </x:c>
      <x:c r="H90" s="37" t="str">
        <x:v>airplane toy with propellers, green highlighter</x:v>
      </x:c>
      <x:c r="I90" s="37" t="str">
        <x:v>airplane toy with propellers</x:v>
      </x:c>
      <x:c r="J90" s="37" t="str">
        <x:v>Recovery</x:v>
      </x:c>
      <x:c r="K90" s="38" t="str">
        <x:v>Prompt-only relabeling; preserve episode 612 video, scene, trajectory, target, and start position.</x:v>
      </x:c>
    </x:row>
    <x:row r="91" ht="60" customHeight="1">
      <x:c r="A91" s="36" t="str">
        <x:v>Not applied</x:v>
      </x:c>
      <x:c r="B91" s="37" t="n">
        <x:v>89</x:v>
      </x:c>
      <x:c r="C91" s="37" t="n">
        <x:v>625</x:v>
      </x:c>
      <x:c r="D91" s="37" t="str">
        <x:v>Ordering/Sequencing</x:v>
      </x:c>
      <x:c r="E91" s="37" t="str">
        <x:v>Move the airplane toy with propellers into the bowl.</x:v>
      </x:c>
      <x:c r="F91" s="37" t="str">
        <x:v>Put the object that is second from the right in the bowl.</x:v>
      </x:c>
      <x:c r="G91" s="37" t="str">
        <x:v>Explicit ordinal grounding</x:v>
      </x:c>
      <x:c r="H91" s="37" t="str">
        <x:v>blue tape ball, green highlighter, airplane toy with propellers, yellow pen</x:v>
      </x:c>
      <x:c r="I91" s="37" t="str">
        <x:v>airplane toy with propellers</x:v>
      </x:c>
      <x:c r="J91" s="37" t="str">
        <x:v>Home</x:v>
      </x:c>
      <x:c r="K91" s="38" t="str">
        <x:v>Prompt-only relabeling; preserve episode 625 video, scene, trajectory, target, and start position.</x:v>
      </x:c>
    </x:row>
    <x:row r="92" ht="60" customHeight="1">
      <x:c r="A92" s="36" t="str">
        <x:v>Not applied</x:v>
      </x:c>
      <x:c r="B92" s="37" t="n">
        <x:v>90</x:v>
      </x:c>
      <x:c r="C92" s="37" t="n">
        <x:v>626</x:v>
      </x:c>
      <x:c r="D92" s="37" t="str">
        <x:v>Ordering/Sequencing</x:v>
      </x:c>
      <x:c r="E92" s="37" t="str">
        <x:v>Put the airplane toy with propellers in the bowl.</x:v>
      </x:c>
      <x:c r="F92" s="37" t="str">
        <x:v>Pick up the object that is third from the left and place it in the bowl.</x:v>
      </x:c>
      <x:c r="G92" s="37" t="str">
        <x:v>Explicit ordinal grounding</x:v>
      </x:c>
      <x:c r="H92" s="37" t="str">
        <x:v>blue tape ball, yellow pen, airplane toy with propellers, green highlighter</x:v>
      </x:c>
      <x:c r="I92" s="37" t="str">
        <x:v>airplane toy with propellers</x:v>
      </x:c>
      <x:c r="J92" s="37" t="str">
        <x:v>Home</x:v>
      </x:c>
      <x:c r="K92" s="38" t="str">
        <x:v>Prompt-only relabeling; preserve episode 626 video, scene, trajectory, target, and start position.</x:v>
      </x:c>
    </x:row>
    <x:row r="93" ht="60" customHeight="1">
      <x:c r="A93" s="36" t="str">
        <x:v>Not applied</x:v>
      </x:c>
      <x:c r="B93" s="37" t="n">
        <x:v>91</x:v>
      </x:c>
      <x:c r="C93" s="37" t="n">
        <x:v>627</x:v>
      </x:c>
      <x:c r="D93" s="37" t="str">
        <x:v>Ordering/Sequencing</x:v>
      </x:c>
      <x:c r="E93" s="37" t="str">
        <x:v>Pick up the airplane toy with propellers and place it in the bowl.</x:v>
      </x:c>
      <x:c r="F93" s="37" t="str">
        <x:v>Move the second from the right object into the bowl.</x:v>
      </x:c>
      <x:c r="G93" s="37" t="str">
        <x:v>Explicit ordinal grounding</x:v>
      </x:c>
      <x:c r="H93" s="37" t="str">
        <x:v>green highlighter, blue tape ball, airplane toy with propellers, yellow pen</x:v>
      </x:c>
      <x:c r="I93" s="37" t="str">
        <x:v>airplane toy with propellers</x:v>
      </x:c>
      <x:c r="J93" s="37" t="str">
        <x:v>Home</x:v>
      </x:c>
      <x:c r="K93" s="38" t="str">
        <x:v>Prompt-only relabeling; preserve episode 627 video, scene, trajectory, target, and start position.</x:v>
      </x:c>
    </x:row>
    <x:row r="94" ht="60" customHeight="1">
      <x:c r="A94" s="36" t="str">
        <x:v>Not applied</x:v>
      </x:c>
      <x:c r="B94" s="37" t="n">
        <x:v>92</x:v>
      </x:c>
      <x:c r="C94" s="37" t="n">
        <x:v>628</x:v>
      </x:c>
      <x:c r="D94" s="37" t="str">
        <x:v>Ordering/Sequencing</x:v>
      </x:c>
      <x:c r="E94" s="37" t="str">
        <x:v>Move the airplane toy with propellers into the bowl.</x:v>
      </x:c>
      <x:c r="F94" s="37" t="str">
        <x:v>Put the object that is third from the left in the bowl.</x:v>
      </x:c>
      <x:c r="G94" s="37" t="str">
        <x:v>Explicit ordinal grounding</x:v>
      </x:c>
      <x:c r="H94" s="37" t="str">
        <x:v>green highlighter, yellow pen, airplane toy with propellers, blue tape ball</x:v>
      </x:c>
      <x:c r="I94" s="37" t="str">
        <x:v>airplane toy with propellers</x:v>
      </x:c>
      <x:c r="J94" s="37" t="str">
        <x:v>Home</x:v>
      </x:c>
      <x:c r="K94" s="38" t="str">
        <x:v>Prompt-only relabeling; preserve episode 628 video, scene, trajectory, target, and start position.</x:v>
      </x:c>
    </x:row>
    <x:row r="95" ht="60" customHeight="1">
      <x:c r="A95" s="36" t="str">
        <x:v>Not applied</x:v>
      </x:c>
      <x:c r="B95" s="37" t="n">
        <x:v>93</x:v>
      </x:c>
      <x:c r="C95" s="37" t="n">
        <x:v>635</x:v>
      </x:c>
      <x:c r="D95" s="37" t="str">
        <x:v>Ordering/Sequencing</x:v>
      </x:c>
      <x:c r="E95" s="37" t="str">
        <x:v>Put the airplane toy with propellers in the bowl.</x:v>
      </x:c>
      <x:c r="F95" s="37" t="str">
        <x:v>Pick up the object that is second from the right and place it in the bowl.</x:v>
      </x:c>
      <x:c r="G95" s="37" t="str">
        <x:v>Explicit ordinal grounding</x:v>
      </x:c>
      <x:c r="H95" s="37" t="str">
        <x:v>yellow pen, blue tape ball, airplane toy with propellers, green highlighter</x:v>
      </x:c>
      <x:c r="I95" s="37" t="str">
        <x:v>airplane toy with propellers</x:v>
      </x:c>
      <x:c r="J95" s="37" t="str">
        <x:v>Recovery</x:v>
      </x:c>
      <x:c r="K95" s="38" t="str">
        <x:v>Prompt-only relabeling; preserve episode 635 video, scene, trajectory, target, and start position.</x:v>
      </x:c>
    </x:row>
    <x:row r="96" ht="60" customHeight="1">
      <x:c r="A96" s="36" t="str">
        <x:v>Not applied</x:v>
      </x:c>
      <x:c r="B96" s="37" t="n">
        <x:v>94</x:v>
      </x:c>
      <x:c r="C96" s="37" t="n">
        <x:v>636</x:v>
      </x:c>
      <x:c r="D96" s="37" t="str">
        <x:v>Ordering/Sequencing</x:v>
      </x:c>
      <x:c r="E96" s="37" t="str">
        <x:v>Pick up the airplane toy with propellers and place it in the bowl.</x:v>
      </x:c>
      <x:c r="F96" s="37" t="str">
        <x:v>Move the third from the left object into the bowl.</x:v>
      </x:c>
      <x:c r="G96" s="37" t="str">
        <x:v>Explicit ordinal grounding</x:v>
      </x:c>
      <x:c r="H96" s="37" t="str">
        <x:v>yellow pen, green highlighter, airplane toy with propellers, blue tape ball</x:v>
      </x:c>
      <x:c r="I96" s="37" t="str">
        <x:v>airplane toy with propellers</x:v>
      </x:c>
      <x:c r="J96" s="37" t="str">
        <x:v>Recovery</x:v>
      </x:c>
      <x:c r="K96" s="38" t="str">
        <x:v>Prompt-only relabeling; preserve episode 636 video, scene, trajectory, target, and start position.</x:v>
      </x:c>
    </x:row>
    <x:row r="97" ht="60" customHeight="1">
      <x:c r="A97" s="36" t="str">
        <x:v>Not applied</x:v>
      </x:c>
      <x:c r="B97" s="37" t="n">
        <x:v>95</x:v>
      </x:c>
      <x:c r="C97" s="37" t="n">
        <x:v>637</x:v>
      </x:c>
      <x:c r="D97" s="37" t="str">
        <x:v>Ordering/Sequencing</x:v>
      </x:c>
      <x:c r="E97" s="37" t="str">
        <x:v>Move the airplane toy with propellers into the bowl.</x:v>
      </x:c>
      <x:c r="F97" s="37" t="str">
        <x:v>Put the object that is second from the right in the bowl.</x:v>
      </x:c>
      <x:c r="G97" s="37" t="str">
        <x:v>Explicit ordinal grounding</x:v>
      </x:c>
      <x:c r="H97" s="37" t="str">
        <x:v>blue tape ball, green highlighter, airplane toy with propellers, yellow pen</x:v>
      </x:c>
      <x:c r="I97" s="37" t="str">
        <x:v>airplane toy with propellers</x:v>
      </x:c>
      <x:c r="J97" s="37" t="str">
        <x:v>Recovery</x:v>
      </x:c>
      <x:c r="K97" s="38" t="str">
        <x:v>Prompt-only relabeling; preserve episode 637 video, scene, trajectory, target, and start position.</x:v>
      </x:c>
    </x:row>
    <x:row r="98" ht="60" customHeight="1">
      <x:c r="A98" s="36" t="str">
        <x:v>Not applied</x:v>
      </x:c>
      <x:c r="B98" s="37" t="n">
        <x:v>96</x:v>
      </x:c>
      <x:c r="C98" s="37" t="n">
        <x:v>638</x:v>
      </x:c>
      <x:c r="D98" s="37" t="str">
        <x:v>Ordering/Sequencing</x:v>
      </x:c>
      <x:c r="E98" s="37" t="str">
        <x:v>Put the airplane toy with propellers in the bowl.</x:v>
      </x:c>
      <x:c r="F98" s="37" t="str">
        <x:v>Pick up the object that is fourth from the left and place it in the bowl.</x:v>
      </x:c>
      <x:c r="G98" s="37" t="str">
        <x:v>Explicit ordinal grounding</x:v>
      </x:c>
      <x:c r="H98" s="37" t="str">
        <x:v>blue tape ball, green highlighter, yellow pen, airplane toy with propellers</x:v>
      </x:c>
      <x:c r="I98" s="37" t="str">
        <x:v>airplane toy with propellers</x:v>
      </x:c>
      <x:c r="J98" s="37" t="str">
        <x:v>Home</x:v>
      </x:c>
      <x:c r="K98" s="38" t="str">
        <x:v>Prompt-only relabeling; preserve episode 638 video, scene, trajectory, target, and start position.</x:v>
      </x:c>
    </x:row>
    <x:row r="99" ht="60" customHeight="1">
      <x:c r="A99" s="36" t="str">
        <x:v>Not applied</x:v>
      </x:c>
      <x:c r="B99" s="37" t="n">
        <x:v>97</x:v>
      </x:c>
      <x:c r="C99" s="37" t="n">
        <x:v>639</x:v>
      </x:c>
      <x:c r="D99" s="37" t="str">
        <x:v>Ordering/Sequencing</x:v>
      </x:c>
      <x:c r="E99" s="37" t="str">
        <x:v>Pick up the airplane toy with propellers and place it in the bowl.</x:v>
      </x:c>
      <x:c r="F99" s="37" t="str">
        <x:v>Move the first from the right object into the bowl.</x:v>
      </x:c>
      <x:c r="G99" s="37" t="str">
        <x:v>Explicit ordinal grounding</x:v>
      </x:c>
      <x:c r="H99" s="37" t="str">
        <x:v>blue tape ball, yellow pen, green highlighter, airplane toy with propellers</x:v>
      </x:c>
      <x:c r="I99" s="37" t="str">
        <x:v>airplane toy with propellers</x:v>
      </x:c>
      <x:c r="J99" s="37" t="str">
        <x:v>Home</x:v>
      </x:c>
      <x:c r="K99" s="38" t="str">
        <x:v>Prompt-only relabeling; preserve episode 639 video, scene, trajectory, target, and start position.</x:v>
      </x:c>
    </x:row>
    <x:row r="100" ht="60" customHeight="1">
      <x:c r="A100" s="36" t="str">
        <x:v>Not applied</x:v>
      </x:c>
      <x:c r="B100" s="37" t="n">
        <x:v>98</x:v>
      </x:c>
      <x:c r="C100" s="37" t="n">
        <x:v>640</x:v>
      </x:c>
      <x:c r="D100" s="37" t="str">
        <x:v>Ordering/Sequencing</x:v>
      </x:c>
      <x:c r="E100" s="37" t="str">
        <x:v>Move the airplane toy with propellers into the bowl.</x:v>
      </x:c>
      <x:c r="F100" s="37" t="str">
        <x:v>Put the object that is fourth from the left in the bowl.</x:v>
      </x:c>
      <x:c r="G100" s="37" t="str">
        <x:v>Explicit ordinal grounding</x:v>
      </x:c>
      <x:c r="H100" s="37" t="str">
        <x:v>green highlighter, blue tape ball, yellow pen, airplane toy with propellers</x:v>
      </x:c>
      <x:c r="I100" s="37" t="str">
        <x:v>airplane toy with propellers</x:v>
      </x:c>
      <x:c r="J100" s="37" t="str">
        <x:v>Home</x:v>
      </x:c>
      <x:c r="K100" s="38" t="str">
        <x:v>Prompt-only relabeling; preserve episode 640 video, scene, trajectory, target, and start position.</x:v>
      </x:c>
    </x:row>
    <x:row r="101" ht="60" customHeight="1">
      <x:c r="A101" s="36" t="str">
        <x:v>Not applied</x:v>
      </x:c>
      <x:c r="B101" s="37" t="n">
        <x:v>99</x:v>
      </x:c>
      <x:c r="C101" s="37" t="n">
        <x:v>641</x:v>
      </x:c>
      <x:c r="D101" s="37" t="str">
        <x:v>Ordering/Sequencing</x:v>
      </x:c>
      <x:c r="E101" s="37" t="str">
        <x:v>Put the airplane toy with propellers in the bowl.</x:v>
      </x:c>
      <x:c r="F101" s="37" t="str">
        <x:v>Pick up the object that is first from the right and place it in the bowl.</x:v>
      </x:c>
      <x:c r="G101" s="37" t="str">
        <x:v>Explicit ordinal grounding</x:v>
      </x:c>
      <x:c r="H101" s="37" t="str">
        <x:v>green highlighter, yellow pen, blue tape ball, airplane toy with propellers</x:v>
      </x:c>
      <x:c r="I101" s="37" t="str">
        <x:v>airplane toy with propellers</x:v>
      </x:c>
      <x:c r="J101" s="37" t="str">
        <x:v>Home</x:v>
      </x:c>
      <x:c r="K101" s="38" t="str">
        <x:v>Prompt-only relabeling; preserve episode 641 video, scene, trajectory, target, and start position.</x:v>
      </x:c>
    </x:row>
    <x:row r="102" ht="60" customHeight="1">
      <x:c r="A102" s="36" t="str">
        <x:v>Not applied</x:v>
      </x:c>
      <x:c r="B102" s="37" t="n">
        <x:v>100</x:v>
      </x:c>
      <x:c r="C102" s="37" t="n">
        <x:v>642</x:v>
      </x:c>
      <x:c r="D102" s="37" t="str">
        <x:v>Ordering/Sequencing</x:v>
      </x:c>
      <x:c r="E102" s="37" t="str">
        <x:v>Pick up the airplane toy with propellers and place it in the bowl.</x:v>
      </x:c>
      <x:c r="F102" s="37" t="str">
        <x:v>Move the fourth from the left object into the bowl.</x:v>
      </x:c>
      <x:c r="G102" s="37" t="str">
        <x:v>Explicit ordinal grounding</x:v>
      </x:c>
      <x:c r="H102" s="37" t="str">
        <x:v>yellow pen, blue tape ball, green highlighter, airplane toy with propellers</x:v>
      </x:c>
      <x:c r="I102" s="37" t="str">
        <x:v>airplane toy with propellers</x:v>
      </x:c>
      <x:c r="J102" s="37" t="str">
        <x:v>Home</x:v>
      </x:c>
      <x:c r="K102" s="38" t="str">
        <x:v>Prompt-only relabeling; preserve episode 642 video, scene, trajectory, target, and start position.</x:v>
      </x:c>
    </x:row>
    <x:row r="103" ht="60" customHeight="1">
      <x:c r="A103" s="36" t="str">
        <x:v>Not applied</x:v>
      </x:c>
      <x:c r="B103" s="37" t="n">
        <x:v>101</x:v>
      </x:c>
      <x:c r="C103" s="37" t="n">
        <x:v>643</x:v>
      </x:c>
      <x:c r="D103" s="37" t="str">
        <x:v>Ordering/Sequencing</x:v>
      </x:c>
      <x:c r="E103" s="37" t="str">
        <x:v>Move the airplane toy with propellers into the bowl.</x:v>
      </x:c>
      <x:c r="F103" s="37" t="str">
        <x:v>Put the object that is first from the right in the bowl.</x:v>
      </x:c>
      <x:c r="G103" s="37" t="str">
        <x:v>Explicit ordinal grounding</x:v>
      </x:c>
      <x:c r="H103" s="37" t="str">
        <x:v>yellow pen, green highlighter, blue tape ball, airplane toy with propellers</x:v>
      </x:c>
      <x:c r="I103" s="37" t="str">
        <x:v>airplane toy with propellers</x:v>
      </x:c>
      <x:c r="J103" s="37" t="str">
        <x:v>Home</x:v>
      </x:c>
      <x:c r="K103" s="38" t="str">
        <x:v>Prompt-only relabeling; preserve episode 643 video, scene, trajectory, target, and start position.</x:v>
      </x:c>
    </x:row>
    <x:row r="104" ht="60" customHeight="1">
      <x:c r="A104" s="36" t="str">
        <x:v>Not applied</x:v>
      </x:c>
      <x:c r="B104" s="37" t="n">
        <x:v>102</x:v>
      </x:c>
      <x:c r="C104" s="37" t="n">
        <x:v>644</x:v>
      </x:c>
      <x:c r="D104" s="37" t="str">
        <x:v>Ordering/Sequencing</x:v>
      </x:c>
      <x:c r="E104" s="37" t="str">
        <x:v>Put the airplane toy with propellers in the bowl.</x:v>
      </x:c>
      <x:c r="F104" s="37" t="str">
        <x:v>Pick up the object that is fourth from the left and place it in the bowl.</x:v>
      </x:c>
      <x:c r="G104" s="37" t="str">
        <x:v>Explicit ordinal grounding</x:v>
      </x:c>
      <x:c r="H104" s="37" t="str">
        <x:v>blue tape ball, green highlighter, yellow pen, airplane toy with propellers</x:v>
      </x:c>
      <x:c r="I104" s="37" t="str">
        <x:v>airplane toy with propellers</x:v>
      </x:c>
      <x:c r="J104" s="37" t="str">
        <x:v>Home</x:v>
      </x:c>
      <x:c r="K104" s="38" t="str">
        <x:v>Prompt-only relabeling; preserve episode 644 video, scene, trajectory, target, and start position.</x:v>
      </x:c>
    </x:row>
    <x:row r="105" ht="60" customHeight="1">
      <x:c r="A105" s="36" t="str">
        <x:v>Not applied</x:v>
      </x:c>
      <x:c r="B105" s="37" t="n">
        <x:v>103</x:v>
      </x:c>
      <x:c r="C105" s="37" t="n">
        <x:v>645</x:v>
      </x:c>
      <x:c r="D105" s="37" t="str">
        <x:v>Ordering/Sequencing</x:v>
      </x:c>
      <x:c r="E105" s="37" t="str">
        <x:v>Pick up the airplane toy with propellers and place it in the bowl.</x:v>
      </x:c>
      <x:c r="F105" s="37" t="str">
        <x:v>Move the first from the right object into the bowl.</x:v>
      </x:c>
      <x:c r="G105" s="37" t="str">
        <x:v>Explicit ordinal grounding</x:v>
      </x:c>
      <x:c r="H105" s="37" t="str">
        <x:v>blue tape ball, yellow pen, green highlighter, airplane toy with propellers</x:v>
      </x:c>
      <x:c r="I105" s="37" t="str">
        <x:v>airplane toy with propellers</x:v>
      </x:c>
      <x:c r="J105" s="37" t="str">
        <x:v>Home</x:v>
      </x:c>
      <x:c r="K105" s="38" t="str">
        <x:v>Prompt-only relabeling; preserve episode 645 video, scene, trajectory, target, and start position.</x:v>
      </x:c>
    </x:row>
    <x:row r="106" ht="60" customHeight="1">
      <x:c r="A106" s="36" t="str">
        <x:v>Not applied</x:v>
      </x:c>
      <x:c r="B106" s="37" t="n">
        <x:v>104</x:v>
      </x:c>
      <x:c r="C106" s="37" t="n">
        <x:v>646</x:v>
      </x:c>
      <x:c r="D106" s="37" t="str">
        <x:v>Ordering/Sequencing</x:v>
      </x:c>
      <x:c r="E106" s="37" t="str">
        <x:v>Move the airplane toy with propellers into the bowl.</x:v>
      </x:c>
      <x:c r="F106" s="37" t="str">
        <x:v>Put the object that is fourth from the left in the bowl.</x:v>
      </x:c>
      <x:c r="G106" s="37" t="str">
        <x:v>Explicit ordinal grounding</x:v>
      </x:c>
      <x:c r="H106" s="37" t="str">
        <x:v>green highlighter, blue tape ball, yellow pen, airplane toy with propellers</x:v>
      </x:c>
      <x:c r="I106" s="37" t="str">
        <x:v>airplane toy with propellers</x:v>
      </x:c>
      <x:c r="J106" s="37" t="str">
        <x:v>Home</x:v>
      </x:c>
      <x:c r="K106" s="38" t="str">
        <x:v>Prompt-only relabeling; preserve episode 646 video, scene, trajectory, target, and start position.</x:v>
      </x:c>
    </x:row>
    <x:row r="107" ht="60" customHeight="1">
      <x:c r="A107" s="36" t="str">
        <x:v>Not applied</x:v>
      </x:c>
      <x:c r="B107" s="37" t="n">
        <x:v>105</x:v>
      </x:c>
      <x:c r="C107" s="37" t="n">
        <x:v>647</x:v>
      </x:c>
      <x:c r="D107" s="37" t="str">
        <x:v>Ordering/Sequencing</x:v>
      </x:c>
      <x:c r="E107" s="37" t="str">
        <x:v>Put the airplane toy with propellers in the bowl.</x:v>
      </x:c>
      <x:c r="F107" s="37" t="str">
        <x:v>Pick up the object that is first from the right and place it in the bowl.</x:v>
      </x:c>
      <x:c r="G107" s="37" t="str">
        <x:v>Explicit ordinal grounding</x:v>
      </x:c>
      <x:c r="H107" s="37" t="str">
        <x:v>green highlighter, yellow pen, blue tape ball, airplane toy with propellers</x:v>
      </x:c>
      <x:c r="I107" s="37" t="str">
        <x:v>airplane toy with propellers</x:v>
      </x:c>
      <x:c r="J107" s="37" t="str">
        <x:v>Home</x:v>
      </x:c>
      <x:c r="K107" s="38" t="str">
        <x:v>Prompt-only relabeling; preserve episode 647 video, scene, trajectory, target, and start position.</x:v>
      </x:c>
    </x:row>
    <x:row r="108" ht="60" customHeight="1">
      <x:c r="A108" s="36" t="str">
        <x:v>Not applied</x:v>
      </x:c>
      <x:c r="B108" s="37" t="n">
        <x:v>106</x:v>
      </x:c>
      <x:c r="C108" s="37" t="n">
        <x:v>648</x:v>
      </x:c>
      <x:c r="D108" s="37" t="str">
        <x:v>Ordering/Sequencing</x:v>
      </x:c>
      <x:c r="E108" s="37" t="str">
        <x:v>Pick up the airplane toy with propellers and place it in the bowl.</x:v>
      </x:c>
      <x:c r="F108" s="37" t="str">
        <x:v>Move the fourth from the left object into the bowl.</x:v>
      </x:c>
      <x:c r="G108" s="37" t="str">
        <x:v>Explicit ordinal grounding</x:v>
      </x:c>
      <x:c r="H108" s="37" t="str">
        <x:v>yellow pen, blue tape ball, green highlighter, airplane toy with propellers</x:v>
      </x:c>
      <x:c r="I108" s="37" t="str">
        <x:v>airplane toy with propellers</x:v>
      </x:c>
      <x:c r="J108" s="37" t="str">
        <x:v>Recovery</x:v>
      </x:c>
      <x:c r="K108" s="38" t="str">
        <x:v>Prompt-only relabeling; preserve episode 648 video, scene, trajectory, target, and start position.</x:v>
      </x:c>
    </x:row>
    <x:row r="109" ht="60" customHeight="1">
      <x:c r="A109" s="36" t="str">
        <x:v>Not applied</x:v>
      </x:c>
      <x:c r="B109" s="37" t="n">
        <x:v>107</x:v>
      </x:c>
      <x:c r="C109" s="37" t="n">
        <x:v>649</x:v>
      </x:c>
      <x:c r="D109" s="37" t="str">
        <x:v>Ordering/Sequencing</x:v>
      </x:c>
      <x:c r="E109" s="37" t="str">
        <x:v>Move the airplane toy with propellers into the bowl.</x:v>
      </x:c>
      <x:c r="F109" s="37" t="str">
        <x:v>Put the object that is first from the right in the bowl.</x:v>
      </x:c>
      <x:c r="G109" s="37" t="str">
        <x:v>Explicit ordinal grounding</x:v>
      </x:c>
      <x:c r="H109" s="37" t="str">
        <x:v>yellow pen, green highlighter, blue tape ball, airplane toy with propellers</x:v>
      </x:c>
      <x:c r="I109" s="37" t="str">
        <x:v>airplane toy with propellers</x:v>
      </x:c>
      <x:c r="J109" s="37" t="str">
        <x:v>Recovery</x:v>
      </x:c>
      <x:c r="K109" s="38" t="str">
        <x:v>Prompt-only relabeling; preserve episode 649 video, scene, trajectory, target, and start position.</x:v>
      </x:c>
    </x:row>
    <x:row r="110" ht="60" customHeight="1">
      <x:c r="A110" s="36" t="str">
        <x:v>Not applied</x:v>
      </x:c>
      <x:c r="B110" s="37" t="n">
        <x:v>108</x:v>
      </x:c>
      <x:c r="C110" s="37" t="n">
        <x:v>654</x:v>
      </x:c>
      <x:c r="D110" s="37" t="str">
        <x:v>Ordering/Sequencing</x:v>
      </x:c>
      <x:c r="E110" s="37" t="str">
        <x:v>Put the third object from the right in the bowl.</x:v>
      </x:c>
      <x:c r="F110" s="37" t="str">
        <x:v>Move the blue tape ball into the bowl.</x:v>
      </x:c>
      <x:c r="G110" s="37" t="str">
        <x:v>Masked ordinal-role × target-identity composition</x:v>
      </x:c>
      <x:c r="H110" s="37" t="str">
        <x:v>blue tape ball, yellow pen, airplane toy with propellers</x:v>
      </x:c>
      <x:c r="I110" s="37" t="str">
        <x:v>blue tape ball</x:v>
      </x:c>
      <x:c r="J110" s="37" t="str">
        <x:v>Home</x:v>
      </x:c>
      <x:c r="K110" s="38" t="str">
        <x:v>Prompt-only relabeling; preserve episode 654 video, scene, trajectory, target, and start position.</x:v>
      </x:c>
    </x:row>
    <x:row r="111" ht="60" customHeight="1">
      <x:c r="A111" s="36" t="str">
        <x:v>Not applied</x:v>
      </x:c>
      <x:c r="B111" s="37" t="n">
        <x:v>109</x:v>
      </x:c>
      <x:c r="C111" s="37" t="n">
        <x:v>655</x:v>
      </x:c>
      <x:c r="D111" s="37" t="str">
        <x:v>Ordering/Sequencing</x:v>
      </x:c>
      <x:c r="E111" s="37" t="str">
        <x:v>Pick up the object that is third from the right and place it in the bowl.</x:v>
      </x:c>
      <x:c r="F111" s="37" t="str">
        <x:v>Put the blue tape ball in the bowl.</x:v>
      </x:c>
      <x:c r="G111" s="37" t="str">
        <x:v>Masked ordinal-role × target-identity composition</x:v>
      </x:c>
      <x:c r="H111" s="37" t="str">
        <x:v>blue tape ball, yellow pen, green highlighter</x:v>
      </x:c>
      <x:c r="I111" s="37" t="str">
        <x:v>blue tape ball</x:v>
      </x:c>
      <x:c r="J111" s="37" t="str">
        <x:v>Home</x:v>
      </x:c>
      <x:c r="K111" s="38" t="str">
        <x:v>Prompt-only relabeling; preserve episode 655 video, scene, trajectory, target, and start position.</x:v>
      </x:c>
    </x:row>
    <x:row r="112" ht="60" customHeight="1">
      <x:c r="A112" s="36" t="str">
        <x:v>Not applied</x:v>
      </x:c>
      <x:c r="B112" s="37" t="n">
        <x:v>110</x:v>
      </x:c>
      <x:c r="C112" s="37" t="n">
        <x:v>656</x:v>
      </x:c>
      <x:c r="D112" s="37" t="str">
        <x:v>Ordering/Sequencing</x:v>
      </x:c>
      <x:c r="E112" s="37" t="str">
        <x:v>Pick up the object that is first from the left and place it in the bowl.</x:v>
      </x:c>
      <x:c r="F112" s="37" t="str">
        <x:v>Pick up the blue tape ball and place it in the bowl.</x:v>
      </x:c>
      <x:c r="G112" s="37" t="str">
        <x:v>Masked ordinal-role × target-identity composition</x:v>
      </x:c>
      <x:c r="H112" s="37" t="str">
        <x:v>blue tape ball, airplane toy with propellers, green highlighter</x:v>
      </x:c>
      <x:c r="I112" s="37" t="str">
        <x:v>blue tape ball</x:v>
      </x:c>
      <x:c r="J112" s="37" t="str">
        <x:v>Home</x:v>
      </x:c>
      <x:c r="K112" s="38" t="str">
        <x:v>Prompt-only relabeling; preserve episode 656 video, scene, trajectory, target, and start position.</x:v>
      </x:c>
    </x:row>
    <x:row r="113" ht="60" customHeight="1">
      <x:c r="A113" s="36" t="str">
        <x:v>Not applied</x:v>
      </x:c>
      <x:c r="B113" s="37" t="n">
        <x:v>111</x:v>
      </x:c>
      <x:c r="C113" s="37" t="n">
        <x:v>657</x:v>
      </x:c>
      <x:c r="D113" s="37" t="str">
        <x:v>Ordering/Sequencing</x:v>
      </x:c>
      <x:c r="E113" s="37" t="str">
        <x:v>Put the third object from the right in the bowl.</x:v>
      </x:c>
      <x:c r="F113" s="37" t="str">
        <x:v>Move the blue tape ball into the bowl.</x:v>
      </x:c>
      <x:c r="G113" s="37" t="str">
        <x:v>Masked ordinal-role × target-identity composition</x:v>
      </x:c>
      <x:c r="H113" s="37" t="str">
        <x:v>blue tape ball, green highlighter, airplane toy with propellers</x:v>
      </x:c>
      <x:c r="I113" s="37" t="str">
        <x:v>blue tape ball</x:v>
      </x:c>
      <x:c r="J113" s="37" t="str">
        <x:v>Home</x:v>
      </x:c>
      <x:c r="K113" s="38" t="str">
        <x:v>Prompt-only relabeling; preserve episode 657 video, scene, trajectory, target, and start position.</x:v>
      </x:c>
    </x:row>
    <x:row r="114" ht="60" customHeight="1">
      <x:c r="A114" s="36" t="str">
        <x:v>Not applied</x:v>
      </x:c>
      <x:c r="B114" s="37" t="n">
        <x:v>112</x:v>
      </x:c>
      <x:c r="C114" s="37" t="n">
        <x:v>662</x:v>
      </x:c>
      <x:c r="D114" s="37" t="str">
        <x:v>Ordering/Sequencing</x:v>
      </x:c>
      <x:c r="E114" s="37" t="str">
        <x:v>Pick up the object that is second from the left and place it in the bowl.</x:v>
      </x:c>
      <x:c r="F114" s="37" t="str">
        <x:v>Pick up the blue tape ball and place it in the bowl.</x:v>
      </x:c>
      <x:c r="G114" s="37" t="str">
        <x:v>Masked ordinal-role × target-identity composition</x:v>
      </x:c>
      <x:c r="H114" s="37" t="str">
        <x:v>airplane toy with propellers, blue tape ball, green highlighter, yellow pen</x:v>
      </x:c>
      <x:c r="I114" s="37" t="str">
        <x:v>blue tape ball</x:v>
      </x:c>
      <x:c r="J114" s="37" t="str">
        <x:v>Home</x:v>
      </x:c>
      <x:c r="K114" s="38" t="str">
        <x:v>Prompt-only relabeling; preserve episode 662 video, scene, trajectory, target, and start position.</x:v>
      </x:c>
    </x:row>
    <x:row r="115" ht="60" customHeight="1">
      <x:c r="A115" s="36" t="str">
        <x:v>Not applied</x:v>
      </x:c>
      <x:c r="B115" s="37" t="n">
        <x:v>113</x:v>
      </x:c>
      <x:c r="C115" s="37" t="n">
        <x:v>663</x:v>
      </x:c>
      <x:c r="D115" s="37" t="str">
        <x:v>Ordering/Sequencing</x:v>
      </x:c>
      <x:c r="E115" s="37" t="str">
        <x:v>Move the second item counted from the left into the bowl.</x:v>
      </x:c>
      <x:c r="F115" s="37" t="str">
        <x:v>Move the blue tape ball into the bowl.</x:v>
      </x:c>
      <x:c r="G115" s="37" t="str">
        <x:v>Masked ordinal-role × target-identity composition</x:v>
      </x:c>
      <x:c r="H115" s="37" t="str">
        <x:v>airplane toy with propellers, blue tape ball, yellow pen, green highlighter</x:v>
      </x:c>
      <x:c r="I115" s="37" t="str">
        <x:v>blue tape ball</x:v>
      </x:c>
      <x:c r="J115" s="37" t="str">
        <x:v>Home</x:v>
      </x:c>
      <x:c r="K115" s="38" t="str">
        <x:v>Prompt-only relabeling; preserve episode 663 video, scene, trajectory, target, and start position.</x:v>
      </x:c>
    </x:row>
    <x:row r="116" ht="60" customHeight="1">
      <x:c r="A116" s="36" t="str">
        <x:v>Not applied</x:v>
      </x:c>
      <x:c r="B116" s="37" t="n">
        <x:v>114</x:v>
      </x:c>
      <x:c r="C116" s="37" t="n">
        <x:v>664</x:v>
      </x:c>
      <x:c r="D116" s="37" t="str">
        <x:v>Ordering/Sequencing</x:v>
      </x:c>
      <x:c r="E116" s="37" t="str">
        <x:v>Move the second item counted from the left into the bowl.</x:v>
      </x:c>
      <x:c r="F116" s="37" t="str">
        <x:v>Put the blue tape ball in the bowl.</x:v>
      </x:c>
      <x:c r="G116" s="37" t="str">
        <x:v>Masked ordinal-role × target-identity composition</x:v>
      </x:c>
      <x:c r="H116" s="37" t="str">
        <x:v>green highlighter, blue tape ball, airplane toy with propellers, yellow pen</x:v>
      </x:c>
      <x:c r="I116" s="37" t="str">
        <x:v>blue tape ball</x:v>
      </x:c>
      <x:c r="J116" s="37" t="str">
        <x:v>Home</x:v>
      </x:c>
      <x:c r="K116" s="38" t="str">
        <x:v>Prompt-only relabeling; preserve episode 664 video, scene, trajectory, target, and start position.</x:v>
      </x:c>
    </x:row>
    <x:row r="117" ht="60" customHeight="1">
      <x:c r="A117" s="36" t="str">
        <x:v>Not applied</x:v>
      </x:c>
      <x:c r="B117" s="37" t="n">
        <x:v>115</x:v>
      </x:c>
      <x:c r="C117" s="37" t="n">
        <x:v>665</x:v>
      </x:c>
      <x:c r="D117" s="37" t="str">
        <x:v>Ordering/Sequencing</x:v>
      </x:c>
      <x:c r="E117" s="37" t="str">
        <x:v>Pick up the object that is second from the left and place it in the bowl.</x:v>
      </x:c>
      <x:c r="F117" s="37" t="str">
        <x:v>Pick up the blue tape ball and place it in the bowl.</x:v>
      </x:c>
      <x:c r="G117" s="37" t="str">
        <x:v>Masked ordinal-role × target-identity composition</x:v>
      </x:c>
      <x:c r="H117" s="37" t="str">
        <x:v>green highlighter, blue tape ball, yellow pen, airplane toy with propellers</x:v>
      </x:c>
      <x:c r="I117" s="37" t="str">
        <x:v>blue tape ball</x:v>
      </x:c>
      <x:c r="J117" s="37" t="str">
        <x:v>Home</x:v>
      </x:c>
      <x:c r="K117" s="38" t="str">
        <x:v>Prompt-only relabeling; preserve episode 665 video, scene, trajectory, target, and start position.</x:v>
      </x:c>
    </x:row>
    <x:row r="118" ht="60" customHeight="1">
      <x:c r="A118" s="36" t="str">
        <x:v>Not applied</x:v>
      </x:c>
      <x:c r="B118" s="37" t="n">
        <x:v>116</x:v>
      </x:c>
      <x:c r="C118" s="37" t="n">
        <x:v>666</x:v>
      </x:c>
      <x:c r="D118" s="37" t="str">
        <x:v>Ordering/Sequencing</x:v>
      </x:c>
      <x:c r="E118" s="37" t="str">
        <x:v>Pick up the object that is third from the right and place it in the bowl.</x:v>
      </x:c>
      <x:c r="F118" s="37" t="str">
        <x:v>Move the blue tape ball into the bowl.</x:v>
      </x:c>
      <x:c r="G118" s="37" t="str">
        <x:v>Masked ordinal-role × target-identity composition</x:v>
      </x:c>
      <x:c r="H118" s="37" t="str">
        <x:v>yellow pen, blue tape ball, airplane toy with propellers, green highlighter</x:v>
      </x:c>
      <x:c r="I118" s="37" t="str">
        <x:v>blue tape ball</x:v>
      </x:c>
      <x:c r="J118" s="37" t="str">
        <x:v>Home</x:v>
      </x:c>
      <x:c r="K118" s="38" t="str">
        <x:v>Prompt-only relabeling; preserve episode 666 video, scene, trajectory, target, and start position.</x:v>
      </x:c>
    </x:row>
    <x:row r="119" ht="60" customHeight="1">
      <x:c r="A119" s="36" t="str">
        <x:v>Not applied</x:v>
      </x:c>
      <x:c r="B119" s="37" t="n">
        <x:v>117</x:v>
      </x:c>
      <x:c r="C119" s="37" t="n">
        <x:v>667</x:v>
      </x:c>
      <x:c r="D119" s="37" t="str">
        <x:v>Ordering/Sequencing</x:v>
      </x:c>
      <x:c r="E119" s="37" t="str">
        <x:v>Move the second item counted from the left into the bowl.</x:v>
      </x:c>
      <x:c r="F119" s="37" t="str">
        <x:v>Put the blue tape ball in the bowl.</x:v>
      </x:c>
      <x:c r="G119" s="37" t="str">
        <x:v>Masked ordinal-role × target-identity composition</x:v>
      </x:c>
      <x:c r="H119" s="37" t="str">
        <x:v>yellow pen, blue tape ball, green highlighter, airplane toy with propellers</x:v>
      </x:c>
      <x:c r="I119" s="37" t="str">
        <x:v>blue tape ball</x:v>
      </x:c>
      <x:c r="J119" s="37" t="str">
        <x:v>Home</x:v>
      </x:c>
      <x:c r="K119" s="38" t="str">
        <x:v>Prompt-only relabeling; preserve episode 667 video, scene, trajectory, target, and start position.</x:v>
      </x:c>
    </x:row>
    <x:row r="120" ht="60" customHeight="1">
      <x:c r="A120" s="36" t="str">
        <x:v>Not applied</x:v>
      </x:c>
      <x:c r="B120" s="37" t="n">
        <x:v>118</x:v>
      </x:c>
      <x:c r="C120" s="37" t="n">
        <x:v>668</x:v>
      </x:c>
      <x:c r="D120" s="37" t="str">
        <x:v>Ordering/Sequencing</x:v>
      </x:c>
      <x:c r="E120" s="37" t="str">
        <x:v>Put the second object from the left in the bowl.</x:v>
      </x:c>
      <x:c r="F120" s="37" t="str">
        <x:v>Pick up the blue tape ball and place it in the bowl.</x:v>
      </x:c>
      <x:c r="G120" s="37" t="str">
        <x:v>Masked ordinal-role × target-identity composition</x:v>
      </x:c>
      <x:c r="H120" s="37" t="str">
        <x:v>airplane toy with propellers, blue tape ball</x:v>
      </x:c>
      <x:c r="I120" s="37" t="str">
        <x:v>blue tape ball</x:v>
      </x:c>
      <x:c r="J120" s="37" t="str">
        <x:v>Home</x:v>
      </x:c>
      <x:c r="K120" s="38" t="str">
        <x:v>Prompt-only relabeling; preserve episode 668 video, scene, trajectory, target, and start position.</x:v>
      </x:c>
    </x:row>
    <x:row r="121" ht="60" customHeight="1">
      <x:c r="A121" s="36" t="str">
        <x:v>Not applied</x:v>
      </x:c>
      <x:c r="B121" s="37" t="n">
        <x:v>119</x:v>
      </x:c>
      <x:c r="C121" s="37" t="n">
        <x:v>669</x:v>
      </x:c>
      <x:c r="D121" s="37" t="str">
        <x:v>Ordering/Sequencing</x:v>
      </x:c>
      <x:c r="E121" s="37" t="str">
        <x:v>Pick up the object that is second from the left and place it in the bowl.</x:v>
      </x:c>
      <x:c r="F121" s="37" t="str">
        <x:v>Move the blue tape ball into the bowl.</x:v>
      </x:c>
      <x:c r="G121" s="37" t="str">
        <x:v>Masked ordinal-role × target-identity composition</x:v>
      </x:c>
      <x:c r="H121" s="37" t="str">
        <x:v>green highlighter, blue tape ball</x:v>
      </x:c>
      <x:c r="I121" s="37" t="str">
        <x:v>blue tape ball</x:v>
      </x:c>
      <x:c r="J121" s="37" t="str">
        <x:v>Home</x:v>
      </x:c>
      <x:c r="K121" s="38" t="str">
        <x:v>Prompt-only relabeling; preserve episode 669 video, scene, trajectory, target, and start position.</x:v>
      </x:c>
    </x:row>
    <x:row r="122" ht="60" customHeight="1">
      <x:c r="A122" s="36" t="str">
        <x:v>Not applied</x:v>
      </x:c>
      <x:c r="B122" s="37" t="n">
        <x:v>120</x:v>
      </x:c>
      <x:c r="C122" s="37" t="n">
        <x:v>670</x:v>
      </x:c>
      <x:c r="D122" s="37" t="str">
        <x:v>Ordering/Sequencing</x:v>
      </x:c>
      <x:c r="E122" s="37" t="str">
        <x:v>Move the second item counted from the left into the bowl.</x:v>
      </x:c>
      <x:c r="F122" s="37" t="str">
        <x:v>Put the blue tape ball in the bowl.</x:v>
      </x:c>
      <x:c r="G122" s="37" t="str">
        <x:v>Masked ordinal-role × target-identity composition</x:v>
      </x:c>
      <x:c r="H122" s="37" t="str">
        <x:v>yellow pen, blue tape ball</x:v>
      </x:c>
      <x:c r="I122" s="37" t="str">
        <x:v>blue tape ball</x:v>
      </x:c>
      <x:c r="J122" s="37" t="str">
        <x:v>Home</x:v>
      </x:c>
      <x:c r="K122" s="38" t="str">
        <x:v>Prompt-only relabeling; preserve episode 670 video, scene, trajectory, target, and start position.</x:v>
      </x:c>
    </x:row>
    <x:row r="123" ht="60" customHeight="1">
      <x:c r="A123" s="36" t="str">
        <x:v>Not applied</x:v>
      </x:c>
      <x:c r="B123" s="37" t="n">
        <x:v>121</x:v>
      </x:c>
      <x:c r="C123" s="37" t="n">
        <x:v>671</x:v>
      </x:c>
      <x:c r="D123" s="37" t="str">
        <x:v>Ordering/Sequencing</x:v>
      </x:c>
      <x:c r="E123" s="37" t="str">
        <x:v>Put the second object from the left in the bowl.</x:v>
      </x:c>
      <x:c r="F123" s="37" t="str">
        <x:v>Pick up the blue tape ball and place it in the bowl.</x:v>
      </x:c>
      <x:c r="G123" s="37" t="str">
        <x:v>Masked ordinal-role × target-identity composition</x:v>
      </x:c>
      <x:c r="H123" s="37" t="str">
        <x:v>airplane toy with propellers, blue tape ball</x:v>
      </x:c>
      <x:c r="I123" s="37" t="str">
        <x:v>blue tape ball</x:v>
      </x:c>
      <x:c r="J123" s="37" t="str">
        <x:v>Home</x:v>
      </x:c>
      <x:c r="K123" s="38" t="str">
        <x:v>Prompt-only relabeling; preserve episode 671 video, scene, trajectory, target, and start position.</x:v>
      </x:c>
    </x:row>
    <x:row r="124" ht="60" customHeight="1">
      <x:c r="A124" s="36" t="str">
        <x:v>Not applied</x:v>
      </x:c>
      <x:c r="B124" s="37" t="n">
        <x:v>122</x:v>
      </x:c>
      <x:c r="C124" s="37" t="n">
        <x:v>672</x:v>
      </x:c>
      <x:c r="D124" s="37" t="str">
        <x:v>Ordering/Sequencing</x:v>
      </x:c>
      <x:c r="E124" s="37" t="str">
        <x:v>Put the second object from the left in the bowl.</x:v>
      </x:c>
      <x:c r="F124" s="37" t="str">
        <x:v>Move the blue tape ball into the bowl.</x:v>
      </x:c>
      <x:c r="G124" s="37" t="str">
        <x:v>Masked ordinal-role × target-identity composition</x:v>
      </x:c>
      <x:c r="H124" s="37" t="str">
        <x:v>green highlighter, blue tape ball</x:v>
      </x:c>
      <x:c r="I124" s="37" t="str">
        <x:v>blue tape ball</x:v>
      </x:c>
      <x:c r="J124" s="37" t="str">
        <x:v>Recovery</x:v>
      </x:c>
      <x:c r="K124" s="38" t="str">
        <x:v>Prompt-only relabeling; preserve episode 672 video, scene, trajectory, target, and start position.</x:v>
      </x:c>
    </x:row>
    <x:row r="125" ht="60" customHeight="1">
      <x:c r="A125" s="36" t="str">
        <x:v>Not applied</x:v>
      </x:c>
      <x:c r="B125" s="37" t="n">
        <x:v>123</x:v>
      </x:c>
      <x:c r="C125" s="37" t="n">
        <x:v>673</x:v>
      </x:c>
      <x:c r="D125" s="37" t="str">
        <x:v>Ordering/Sequencing</x:v>
      </x:c>
      <x:c r="E125" s="37" t="str">
        <x:v>Pick up the object that is second from the left and place it in the bowl.</x:v>
      </x:c>
      <x:c r="F125" s="37" t="str">
        <x:v>Put the blue tape ball in the bowl.</x:v>
      </x:c>
      <x:c r="G125" s="37" t="str">
        <x:v>Masked ordinal-role × target-identity composition</x:v>
      </x:c>
      <x:c r="H125" s="37" t="str">
        <x:v>yellow pen, blue tape ball</x:v>
      </x:c>
      <x:c r="I125" s="37" t="str">
        <x:v>blue tape ball</x:v>
      </x:c>
      <x:c r="J125" s="37" t="str">
        <x:v>Recovery</x:v>
      </x:c>
      <x:c r="K125" s="38" t="str">
        <x:v>Prompt-only relabeling; preserve episode 673 video, scene, trajectory, target, and start position.</x:v>
      </x:c>
    </x:row>
    <x:row r="126" ht="60" customHeight="1">
      <x:c r="A126" s="36" t="str">
        <x:v>Not applied</x:v>
      </x:c>
      <x:c r="B126" s="37" t="n">
        <x:v>124</x:v>
      </x:c>
      <x:c r="C126" s="37" t="n">
        <x:v>674</x:v>
      </x:c>
      <x:c r="D126" s="37" t="str">
        <x:v>Ordering/Sequencing</x:v>
      </x:c>
      <x:c r="E126" s="37" t="str">
        <x:v>Move the third item counted from the right into the bowl.</x:v>
      </x:c>
      <x:c r="F126" s="37" t="str">
        <x:v>Pick up the blue tape ball and place it in the bowl.</x:v>
      </x:c>
      <x:c r="G126" s="37" t="str">
        <x:v>Masked ordinal-role × target-identity composition</x:v>
      </x:c>
      <x:c r="H126" s="37" t="str">
        <x:v>airplane toy with propellers, blue tape ball, green highlighter, yellow pen</x:v>
      </x:c>
      <x:c r="I126" s="37" t="str">
        <x:v>blue tape ball</x:v>
      </x:c>
      <x:c r="J126" s="37" t="str">
        <x:v>Recovery</x:v>
      </x:c>
      <x:c r="K126" s="38" t="str">
        <x:v>Prompt-only relabeling; preserve episode 674 video, scene, trajectory, target, and start position.</x:v>
      </x:c>
    </x:row>
    <x:row r="127" ht="60" customHeight="1">
      <x:c r="A127" s="36" t="str">
        <x:v>Not applied</x:v>
      </x:c>
      <x:c r="B127" s="37" t="n">
        <x:v>125</x:v>
      </x:c>
      <x:c r="C127" s="37" t="n">
        <x:v>675</x:v>
      </x:c>
      <x:c r="D127" s="37" t="str">
        <x:v>Ordering/Sequencing</x:v>
      </x:c>
      <x:c r="E127" s="37" t="str">
        <x:v>Pick up the blue tape ball and place it in the bowl.</x:v>
      </x:c>
      <x:c r="F127" s="37" t="str">
        <x:v>Move the second from the right object into the bowl.</x:v>
      </x:c>
      <x:c r="G127" s="37" t="str">
        <x:v>Explicit ordinal grounding</x:v>
      </x:c>
      <x:c r="H127" s="37" t="str">
        <x:v>airplane toy with propellers, green highlighter, blue tape ball, yellow pen</x:v>
      </x:c>
      <x:c r="I127" s="37" t="str">
        <x:v>blue tape ball</x:v>
      </x:c>
      <x:c r="J127" s="37" t="str">
        <x:v>Home</x:v>
      </x:c>
      <x:c r="K127" s="38" t="str">
        <x:v>Prompt-only relabeling; preserve episode 675 video, scene, trajectory, target, and start position.</x:v>
      </x:c>
    </x:row>
    <x:row r="128" ht="60" customHeight="1">
      <x:c r="A128" s="36" t="str">
        <x:v>Not applied</x:v>
      </x:c>
      <x:c r="B128" s="37" t="n">
        <x:v>126</x:v>
      </x:c>
      <x:c r="C128" s="37" t="n">
        <x:v>676</x:v>
      </x:c>
      <x:c r="D128" s="37" t="str">
        <x:v>Ordering/Sequencing</x:v>
      </x:c>
      <x:c r="E128" s="37" t="str">
        <x:v>Move the blue tape ball into the bowl.</x:v>
      </x:c>
      <x:c r="F128" s="37" t="str">
        <x:v>Put the object that is third from the left in the bowl.</x:v>
      </x:c>
      <x:c r="G128" s="37" t="str">
        <x:v>Explicit ordinal grounding</x:v>
      </x:c>
      <x:c r="H128" s="37" t="str">
        <x:v>airplane toy with propellers, yellow pen, blue tape ball, green highlighter</x:v>
      </x:c>
      <x:c r="I128" s="37" t="str">
        <x:v>blue tape ball</x:v>
      </x:c>
      <x:c r="J128" s="37" t="str">
        <x:v>Home</x:v>
      </x:c>
      <x:c r="K128" s="38" t="str">
        <x:v>Prompt-only relabeling; preserve episode 676 video, scene, trajectory, target, and start position.</x:v>
      </x:c>
    </x:row>
    <x:row r="129" ht="60" customHeight="1">
      <x:c r="A129" s="36" t="str">
        <x:v>Not applied</x:v>
      </x:c>
      <x:c r="B129" s="37" t="n">
        <x:v>127</x:v>
      </x:c>
      <x:c r="C129" s="37" t="n">
        <x:v>677</x:v>
      </x:c>
      <x:c r="D129" s="37" t="str">
        <x:v>Ordering/Sequencing</x:v>
      </x:c>
      <x:c r="E129" s="37" t="str">
        <x:v>Put the blue tape ball in the bowl.</x:v>
      </x:c>
      <x:c r="F129" s="37" t="str">
        <x:v>Pick up the object that is second from the right and place it in the bowl.</x:v>
      </x:c>
      <x:c r="G129" s="37" t="str">
        <x:v>Explicit ordinal grounding</x:v>
      </x:c>
      <x:c r="H129" s="37" t="str">
        <x:v>green highlighter, airplane toy with propellers, blue tape ball, yellow pen</x:v>
      </x:c>
      <x:c r="I129" s="37" t="str">
        <x:v>blue tape ball</x:v>
      </x:c>
      <x:c r="J129" s="37" t="str">
        <x:v>Home</x:v>
      </x:c>
      <x:c r="K129" s="38" t="str">
        <x:v>Prompt-only relabeling; preserve episode 677 video, scene, trajectory, target, and start position.</x:v>
      </x:c>
    </x:row>
    <x:row r="130" ht="60" customHeight="1">
      <x:c r="A130" s="36" t="str">
        <x:v>Not applied</x:v>
      </x:c>
      <x:c r="B130" s="37" t="n">
        <x:v>128</x:v>
      </x:c>
      <x:c r="C130" s="37" t="n">
        <x:v>678</x:v>
      </x:c>
      <x:c r="D130" s="37" t="str">
        <x:v>Ordering/Sequencing</x:v>
      </x:c>
      <x:c r="E130" s="37" t="str">
        <x:v>Pick up the blue tape ball and place it in the bowl.</x:v>
      </x:c>
      <x:c r="F130" s="37" t="str">
        <x:v>Move the third from the left object into the bowl.</x:v>
      </x:c>
      <x:c r="G130" s="37" t="str">
        <x:v>Explicit ordinal grounding</x:v>
      </x:c>
      <x:c r="H130" s="37" t="str">
        <x:v>green highlighter, yellow pen, blue tape ball, airplane toy with propellers</x:v>
      </x:c>
      <x:c r="I130" s="37" t="str">
        <x:v>blue tape ball</x:v>
      </x:c>
      <x:c r="J130" s="37" t="str">
        <x:v>Home</x:v>
      </x:c>
      <x:c r="K130" s="38" t="str">
        <x:v>Prompt-only relabeling; preserve episode 678 video, scene, trajectory, target, and start position.</x:v>
      </x:c>
    </x:row>
    <x:row r="131" ht="60" customHeight="1">
      <x:c r="A131" s="36" t="str">
        <x:v>Not applied</x:v>
      </x:c>
      <x:c r="B131" s="37" t="n">
        <x:v>129</x:v>
      </x:c>
      <x:c r="C131" s="37" t="n">
        <x:v>679</x:v>
      </x:c>
      <x:c r="D131" s="37" t="str">
        <x:v>Ordering/Sequencing</x:v>
      </x:c>
      <x:c r="E131" s="37" t="str">
        <x:v>Pick up the blue tape ball and place it in the bowl.</x:v>
      </x:c>
      <x:c r="F131" s="37" t="str">
        <x:v>Put the object that is first from the right in the bowl.</x:v>
      </x:c>
      <x:c r="G131" s="37" t="str">
        <x:v>Explicit ordinal grounding</x:v>
      </x:c>
      <x:c r="H131" s="37" t="str">
        <x:v>airplane toy with propellers, green highlighter, blue tape ball</x:v>
      </x:c>
      <x:c r="I131" s="37" t="str">
        <x:v>blue tape ball</x:v>
      </x:c>
      <x:c r="J131" s="37" t="str">
        <x:v>Home</x:v>
      </x:c>
      <x:c r="K131" s="38" t="str">
        <x:v>Prompt-only relabeling; preserve episode 679 video, scene, trajectory, target, and start position.</x:v>
      </x:c>
    </x:row>
    <x:row r="132" ht="60" customHeight="1">
      <x:c r="A132" s="36" t="str">
        <x:v>Not applied</x:v>
      </x:c>
      <x:c r="B132" s="37" t="n">
        <x:v>130</x:v>
      </x:c>
      <x:c r="C132" s="37" t="n">
        <x:v>680</x:v>
      </x:c>
      <x:c r="D132" s="37" t="str">
        <x:v>Ordering/Sequencing</x:v>
      </x:c>
      <x:c r="E132" s="37" t="str">
        <x:v>Move the blue tape ball into the bowl.</x:v>
      </x:c>
      <x:c r="F132" s="37" t="str">
        <x:v>Pick up the object that is third from the left and place it in the bowl.</x:v>
      </x:c>
      <x:c r="G132" s="37" t="str">
        <x:v>Explicit ordinal grounding</x:v>
      </x:c>
      <x:c r="H132" s="37" t="str">
        <x:v>airplane toy with propellers, yellow pen, blue tape ball</x:v>
      </x:c>
      <x:c r="I132" s="37" t="str">
        <x:v>blue tape ball</x:v>
      </x:c>
      <x:c r="J132" s="37" t="str">
        <x:v>Home</x:v>
      </x:c>
      <x:c r="K132" s="38" t="str">
        <x:v>Prompt-only relabeling; preserve episode 680 video, scene, trajectory, target, and start position.</x:v>
      </x:c>
    </x:row>
    <x:row r="133" ht="60" customHeight="1">
      <x:c r="A133" s="36" t="str">
        <x:v>Not applied</x:v>
      </x:c>
      <x:c r="B133" s="37" t="n">
        <x:v>131</x:v>
      </x:c>
      <x:c r="C133" s="37" t="n">
        <x:v>681</x:v>
      </x:c>
      <x:c r="D133" s="37" t="str">
        <x:v>Ordering/Sequencing</x:v>
      </x:c>
      <x:c r="E133" s="37" t="str">
        <x:v>Move the blue tape ball into the bowl.</x:v>
      </x:c>
      <x:c r="F133" s="37" t="str">
        <x:v>Move the first from the right object into the bowl.</x:v>
      </x:c>
      <x:c r="G133" s="37" t="str">
        <x:v>Explicit ordinal grounding</x:v>
      </x:c>
      <x:c r="H133" s="37" t="str">
        <x:v>green highlighter, airplane toy with propellers, blue tape ball</x:v>
      </x:c>
      <x:c r="I133" s="37" t="str">
        <x:v>blue tape ball</x:v>
      </x:c>
      <x:c r="J133" s="37" t="str">
        <x:v>Home</x:v>
      </x:c>
      <x:c r="K133" s="38" t="str">
        <x:v>Prompt-only relabeling; preserve episode 681 video, scene, trajectory, target, and start position.</x:v>
      </x:c>
    </x:row>
    <x:row r="134" ht="60" customHeight="1">
      <x:c r="A134" s="36" t="str">
        <x:v>Not applied</x:v>
      </x:c>
      <x:c r="B134" s="37" t="n">
        <x:v>132</x:v>
      </x:c>
      <x:c r="C134" s="37" t="n">
        <x:v>682</x:v>
      </x:c>
      <x:c r="D134" s="37" t="str">
        <x:v>Ordering/Sequencing</x:v>
      </x:c>
      <x:c r="E134" s="37" t="str">
        <x:v>Pick up the blue tape ball and place it in the bowl.</x:v>
      </x:c>
      <x:c r="F134" s="37" t="str">
        <x:v>Put the object that is third from the left in the bowl.</x:v>
      </x:c>
      <x:c r="G134" s="37" t="str">
        <x:v>Explicit ordinal grounding</x:v>
      </x:c>
      <x:c r="H134" s="37" t="str">
        <x:v>green highlighter, yellow pen, blue tape ball</x:v>
      </x:c>
      <x:c r="I134" s="37" t="str">
        <x:v>blue tape ball</x:v>
      </x:c>
      <x:c r="J134" s="37" t="str">
        <x:v>Home</x:v>
      </x:c>
      <x:c r="K134" s="38" t="str">
        <x:v>Prompt-only relabeling; preserve episode 682 video, scene, trajectory, target, and start position.</x:v>
      </x:c>
    </x:row>
    <x:row r="135" ht="60" customHeight="1">
      <x:c r="A135" s="36" t="str">
        <x:v>Not applied</x:v>
      </x:c>
      <x:c r="B135" s="37" t="n">
        <x:v>133</x:v>
      </x:c>
      <x:c r="C135" s="37" t="n">
        <x:v>683</x:v>
      </x:c>
      <x:c r="D135" s="37" t="str">
        <x:v>Ordering/Sequencing</x:v>
      </x:c>
      <x:c r="E135" s="37" t="str">
        <x:v>Put the blue tape ball in the bowl.</x:v>
      </x:c>
      <x:c r="F135" s="37" t="str">
        <x:v>Pick up the object that is first from the right and place it in the bowl.</x:v>
      </x:c>
      <x:c r="G135" s="37" t="str">
        <x:v>Explicit ordinal grounding</x:v>
      </x:c>
      <x:c r="H135" s="37" t="str">
        <x:v>yellow pen, airplane toy with propellers, blue tape ball</x:v>
      </x:c>
      <x:c r="I135" s="37" t="str">
        <x:v>blue tape ball</x:v>
      </x:c>
      <x:c r="J135" s="37" t="str">
        <x:v>Home</x:v>
      </x:c>
      <x:c r="K135" s="38" t="str">
        <x:v>Prompt-only relabeling; preserve episode 683 video, scene, trajectory, target, and start position.</x:v>
      </x:c>
    </x:row>
    <x:row r="136" ht="60" customHeight="1">
      <x:c r="A136" s="36" t="str">
        <x:v>Not applied</x:v>
      </x:c>
      <x:c r="B136" s="37" t="n">
        <x:v>134</x:v>
      </x:c>
      <x:c r="C136" s="37" t="n">
        <x:v>684</x:v>
      </x:c>
      <x:c r="D136" s="37" t="str">
        <x:v>Ordering/Sequencing</x:v>
      </x:c>
      <x:c r="E136" s="37" t="str">
        <x:v>Put the blue tape ball in the bowl.</x:v>
      </x:c>
      <x:c r="F136" s="37" t="str">
        <x:v>Move the third from the left object into the bowl.</x:v>
      </x:c>
      <x:c r="G136" s="37" t="str">
        <x:v>Explicit ordinal grounding</x:v>
      </x:c>
      <x:c r="H136" s="37" t="str">
        <x:v>yellow pen, green highlighter, blue tape ball</x:v>
      </x:c>
      <x:c r="I136" s="37" t="str">
        <x:v>blue tape ball</x:v>
      </x:c>
      <x:c r="J136" s="37" t="str">
        <x:v>Home</x:v>
      </x:c>
      <x:c r="K136" s="38" t="str">
        <x:v>Prompt-only relabeling; preserve episode 684 video, scene, trajectory, target, and start position.</x:v>
      </x:c>
    </x:row>
    <x:row r="137" ht="60" customHeight="1">
      <x:c r="A137" s="36" t="str">
        <x:v>Not applied</x:v>
      </x:c>
      <x:c r="B137" s="37" t="n">
        <x:v>135</x:v>
      </x:c>
      <x:c r="C137" s="37" t="n">
        <x:v>685</x:v>
      </x:c>
      <x:c r="D137" s="37" t="str">
        <x:v>Ordering/Sequencing</x:v>
      </x:c>
      <x:c r="E137" s="37" t="str">
        <x:v>Move the blue tape ball into the bowl.</x:v>
      </x:c>
      <x:c r="F137" s="37" t="str">
        <x:v>Put the object that is second from the right in the bowl.</x:v>
      </x:c>
      <x:c r="G137" s="37" t="str">
        <x:v>Explicit ordinal grounding</x:v>
      </x:c>
      <x:c r="H137" s="37" t="str">
        <x:v>yellow pen, airplane toy with propellers, blue tape ball, green highlighter</x:v>
      </x:c>
      <x:c r="I137" s="37" t="str">
        <x:v>blue tape ball</x:v>
      </x:c>
      <x:c r="J137" s="37" t="str">
        <x:v>Recovery</x:v>
      </x:c>
      <x:c r="K137" s="38" t="str">
        <x:v>Prompt-only relabeling; preserve episode 685 video, scene, trajectory, target, and start position.</x:v>
      </x:c>
    </x:row>
    <x:row r="138" ht="60" customHeight="1">
      <x:c r="A138" s="36" t="str">
        <x:v>Not applied</x:v>
      </x:c>
      <x:c r="B138" s="37" t="n">
        <x:v>136</x:v>
      </x:c>
      <x:c r="C138" s="37" t="n">
        <x:v>686</x:v>
      </x:c>
      <x:c r="D138" s="37" t="str">
        <x:v>Ordering/Sequencing</x:v>
      </x:c>
      <x:c r="E138" s="37" t="str">
        <x:v>Put the blue tape ball in the bowl.</x:v>
      </x:c>
      <x:c r="F138" s="37" t="str">
        <x:v>Pick up the object that is third from the left and place it in the bowl.</x:v>
      </x:c>
      <x:c r="G138" s="37" t="str">
        <x:v>Explicit ordinal grounding</x:v>
      </x:c>
      <x:c r="H138" s="37" t="str">
        <x:v>yellow pen, green highlighter, blue tape ball, airplane toy with propellers</x:v>
      </x:c>
      <x:c r="I138" s="37" t="str">
        <x:v>blue tape ball</x:v>
      </x:c>
      <x:c r="J138" s="37" t="str">
        <x:v>Recovery</x:v>
      </x:c>
      <x:c r="K138" s="38" t="str">
        <x:v>Prompt-only relabeling; preserve episode 686 video, scene, trajectory, target, and start position.</x:v>
      </x:c>
    </x:row>
    <x:row r="139" ht="60" customHeight="1">
      <x:c r="A139" s="36" t="str">
        <x:v>Not applied</x:v>
      </x:c>
      <x:c r="B139" s="37" t="n">
        <x:v>137</x:v>
      </x:c>
      <x:c r="C139" s="37" t="n">
        <x:v>687</x:v>
      </x:c>
      <x:c r="D139" s="37" t="str">
        <x:v>Ordering/Sequencing</x:v>
      </x:c>
      <x:c r="E139" s="37" t="str">
        <x:v>Pick up the blue tape ball and place it in the bowl.</x:v>
      </x:c>
      <x:c r="F139" s="37" t="str">
        <x:v>Move the first from the right object into the bowl.</x:v>
      </x:c>
      <x:c r="G139" s="37" t="str">
        <x:v>Explicit ordinal grounding</x:v>
      </x:c>
      <x:c r="H139" s="37" t="str">
        <x:v>airplane toy with propellers, green highlighter, yellow pen, blue tape ball</x:v>
      </x:c>
      <x:c r="I139" s="37" t="str">
        <x:v>blue tape ball</x:v>
      </x:c>
      <x:c r="J139" s="37" t="str">
        <x:v>Home</x:v>
      </x:c>
      <x:c r="K139" s="38" t="str">
        <x:v>Prompt-only relabeling; preserve episode 687 video, scene, trajectory, target, and start position.</x:v>
      </x:c>
    </x:row>
    <x:row r="140" ht="60" customHeight="1">
      <x:c r="A140" s="36" t="str">
        <x:v>Not applied</x:v>
      </x:c>
      <x:c r="B140" s="37" t="n">
        <x:v>138</x:v>
      </x:c>
      <x:c r="C140" s="37" t="n">
        <x:v>688</x:v>
      </x:c>
      <x:c r="D140" s="37" t="str">
        <x:v>Ordering/Sequencing</x:v>
      </x:c>
      <x:c r="E140" s="37" t="str">
        <x:v>Move the blue tape ball into the bowl.</x:v>
      </x:c>
      <x:c r="F140" s="37" t="str">
        <x:v>Put the object that is fourth from the left in the bowl.</x:v>
      </x:c>
      <x:c r="G140" s="37" t="str">
        <x:v>Explicit ordinal grounding</x:v>
      </x:c>
      <x:c r="H140" s="37" t="str">
        <x:v>airplane toy with propellers, yellow pen, green highlighter, blue tape ball</x:v>
      </x:c>
      <x:c r="I140" s="37" t="str">
        <x:v>blue tape ball</x:v>
      </x:c>
      <x:c r="J140" s="37" t="str">
        <x:v>Home</x:v>
      </x:c>
      <x:c r="K140" s="38" t="str">
        <x:v>Prompt-only relabeling; preserve episode 688 video, scene, trajectory, target, and start position.</x:v>
      </x:c>
    </x:row>
    <x:row r="141" ht="60" customHeight="1">
      <x:c r="A141" s="36" t="str">
        <x:v>Not applied</x:v>
      </x:c>
      <x:c r="B141" s="37" t="n">
        <x:v>139</x:v>
      </x:c>
      <x:c r="C141" s="37" t="n">
        <x:v>689</x:v>
      </x:c>
      <x:c r="D141" s="37" t="str">
        <x:v>Ordering/Sequencing</x:v>
      </x:c>
      <x:c r="E141" s="37" t="str">
        <x:v>Put the blue tape ball in the bowl.</x:v>
      </x:c>
      <x:c r="F141" s="37" t="str">
        <x:v>Pick up the object that is first from the right and place it in the bowl.</x:v>
      </x:c>
      <x:c r="G141" s="37" t="str">
        <x:v>Explicit ordinal grounding</x:v>
      </x:c>
      <x:c r="H141" s="37" t="str">
        <x:v>green highlighter, airplane toy with propellers, yellow pen, blue tape ball</x:v>
      </x:c>
      <x:c r="I141" s="37" t="str">
        <x:v>blue tape ball</x:v>
      </x:c>
      <x:c r="J141" s="37" t="str">
        <x:v>Home</x:v>
      </x:c>
      <x:c r="K141" s="38" t="str">
        <x:v>Prompt-only relabeling; preserve episode 689 video, scene, trajectory, target, and start position.</x:v>
      </x:c>
    </x:row>
    <x:row r="142" ht="60" customHeight="1">
      <x:c r="A142" s="36" t="str">
        <x:v>Not applied</x:v>
      </x:c>
      <x:c r="B142" s="37" t="n">
        <x:v>140</x:v>
      </x:c>
      <x:c r="C142" s="37" t="n">
        <x:v>690</x:v>
      </x:c>
      <x:c r="D142" s="37" t="str">
        <x:v>Ordering/Sequencing</x:v>
      </x:c>
      <x:c r="E142" s="37" t="str">
        <x:v>Pick up the blue tape ball and place it in the bowl.</x:v>
      </x:c>
      <x:c r="F142" s="37" t="str">
        <x:v>Move the fourth from the left object into the bowl.</x:v>
      </x:c>
      <x:c r="G142" s="37" t="str">
        <x:v>Explicit ordinal grounding</x:v>
      </x:c>
      <x:c r="H142" s="37" t="str">
        <x:v>green highlighter, yellow pen, airplane toy with propellers, blue tape ball</x:v>
      </x:c>
      <x:c r="I142" s="37" t="str">
        <x:v>blue tape ball</x:v>
      </x:c>
      <x:c r="J142" s="37" t="str">
        <x:v>Home</x:v>
      </x:c>
      <x:c r="K142" s="38" t="str">
        <x:v>Prompt-only relabeling; preserve episode 690 video, scene, trajectory, target, and start position.</x:v>
      </x:c>
    </x:row>
    <x:row r="143" ht="60" customHeight="1">
      <x:c r="A143" s="36" t="str">
        <x:v>Not applied</x:v>
      </x:c>
      <x:c r="B143" s="37" t="n">
        <x:v>141</x:v>
      </x:c>
      <x:c r="C143" s="37" t="n">
        <x:v>691</x:v>
      </x:c>
      <x:c r="D143" s="37" t="str">
        <x:v>Ordering/Sequencing</x:v>
      </x:c>
      <x:c r="E143" s="37" t="str">
        <x:v>Move the blue tape ball into the bowl.</x:v>
      </x:c>
      <x:c r="F143" s="37" t="str">
        <x:v>Put the object that is first from the right in the bowl.</x:v>
      </x:c>
      <x:c r="G143" s="37" t="str">
        <x:v>Explicit ordinal grounding</x:v>
      </x:c>
      <x:c r="H143" s="37" t="str">
        <x:v>yellow pen, airplane toy with propellers, green highlighter, blue tape ball</x:v>
      </x:c>
      <x:c r="I143" s="37" t="str">
        <x:v>blue tape ball</x:v>
      </x:c>
      <x:c r="J143" s="37" t="str">
        <x:v>Home</x:v>
      </x:c>
      <x:c r="K143" s="38" t="str">
        <x:v>Prompt-only relabeling; preserve episode 691 video, scene, trajectory, target, and start position.</x:v>
      </x:c>
    </x:row>
    <x:row r="144" ht="60" customHeight="1">
      <x:c r="A144" s="36" t="str">
        <x:v>Not applied</x:v>
      </x:c>
      <x:c r="B144" s="37" t="n">
        <x:v>142</x:v>
      </x:c>
      <x:c r="C144" s="37" t="n">
        <x:v>692</x:v>
      </x:c>
      <x:c r="D144" s="37" t="str">
        <x:v>Ordering/Sequencing</x:v>
      </x:c>
      <x:c r="E144" s="37" t="str">
        <x:v>Put the blue tape ball in the bowl.</x:v>
      </x:c>
      <x:c r="F144" s="37" t="str">
        <x:v>Pick up the object that is fourth from the left and place it in the bowl.</x:v>
      </x:c>
      <x:c r="G144" s="37" t="str">
        <x:v>Explicit ordinal grounding</x:v>
      </x:c>
      <x:c r="H144" s="37" t="str">
        <x:v>yellow pen, green highlighter, airplane toy with propellers, blue tape ball</x:v>
      </x:c>
      <x:c r="I144" s="37" t="str">
        <x:v>blue tape ball</x:v>
      </x:c>
      <x:c r="J144" s="37" t="str">
        <x:v>Home</x:v>
      </x:c>
      <x:c r="K144" s="38" t="str">
        <x:v>Prompt-only relabeling; preserve episode 692 video, scene, trajectory, target, and start position.</x:v>
      </x:c>
    </x:row>
    <x:row r="145" ht="60" customHeight="1">
      <x:c r="A145" s="36" t="str">
        <x:v>Not applied</x:v>
      </x:c>
      <x:c r="B145" s="37" t="n">
        <x:v>143</x:v>
      </x:c>
      <x:c r="C145" s="37" t="n">
        <x:v>693</x:v>
      </x:c>
      <x:c r="D145" s="37" t="str">
        <x:v>Ordering/Sequencing</x:v>
      </x:c>
      <x:c r="E145" s="37" t="str">
        <x:v>Pick up the blue tape ball and place it in the bowl.</x:v>
      </x:c>
      <x:c r="F145" s="37" t="str">
        <x:v>Move the first from the right object into the bowl.</x:v>
      </x:c>
      <x:c r="G145" s="37" t="str">
        <x:v>Explicit ordinal grounding</x:v>
      </x:c>
      <x:c r="H145" s="37" t="str">
        <x:v>airplane toy with propellers, green highlighter, yellow pen, blue tape ball</x:v>
      </x:c>
      <x:c r="I145" s="37" t="str">
        <x:v>blue tape ball</x:v>
      </x:c>
      <x:c r="J145" s="37" t="str">
        <x:v>Home</x:v>
      </x:c>
      <x:c r="K145" s="38" t="str">
        <x:v>Prompt-only relabeling; preserve episode 693 video, scene, trajectory, target, and start position.</x:v>
      </x:c>
    </x:row>
    <x:row r="146" ht="60" customHeight="1">
      <x:c r="A146" s="36" t="str">
        <x:v>Not applied</x:v>
      </x:c>
      <x:c r="B146" s="37" t="n">
        <x:v>144</x:v>
      </x:c>
      <x:c r="C146" s="37" t="n">
        <x:v>694</x:v>
      </x:c>
      <x:c r="D146" s="37" t="str">
        <x:v>Ordering/Sequencing</x:v>
      </x:c>
      <x:c r="E146" s="37" t="str">
        <x:v>Move the blue tape ball into the bowl.</x:v>
      </x:c>
      <x:c r="F146" s="37" t="str">
        <x:v>Put the object that is fourth from the left in the bowl.</x:v>
      </x:c>
      <x:c r="G146" s="37" t="str">
        <x:v>Explicit ordinal grounding</x:v>
      </x:c>
      <x:c r="H146" s="37" t="str">
        <x:v>airplane toy with propellers, yellow pen, green highlighter, blue tape ball</x:v>
      </x:c>
      <x:c r="I146" s="37" t="str">
        <x:v>blue tape ball</x:v>
      </x:c>
      <x:c r="J146" s="37" t="str">
        <x:v>Home</x:v>
      </x:c>
      <x:c r="K146" s="38" t="str">
        <x:v>Prompt-only relabeling; preserve episode 694 video, scene, trajectory, target, and start position.</x:v>
      </x:c>
    </x:row>
    <x:row r="147" ht="60" customHeight="1">
      <x:c r="A147" s="36" t="str">
        <x:v>Not applied</x:v>
      </x:c>
      <x:c r="B147" s="37" t="n">
        <x:v>145</x:v>
      </x:c>
      <x:c r="C147" s="37" t="n">
        <x:v>695</x:v>
      </x:c>
      <x:c r="D147" s="37" t="str">
        <x:v>Ordering/Sequencing</x:v>
      </x:c>
      <x:c r="E147" s="37" t="str">
        <x:v>Put the blue tape ball in the bowl.</x:v>
      </x:c>
      <x:c r="F147" s="37" t="str">
        <x:v>Pick up the object that is first from the right and place it in the bowl.</x:v>
      </x:c>
      <x:c r="G147" s="37" t="str">
        <x:v>Explicit ordinal grounding</x:v>
      </x:c>
      <x:c r="H147" s="37" t="str">
        <x:v>green highlighter, airplane toy with propellers, yellow pen, blue tape ball</x:v>
      </x:c>
      <x:c r="I147" s="37" t="str">
        <x:v>blue tape ball</x:v>
      </x:c>
      <x:c r="J147" s="37" t="str">
        <x:v>Home</x:v>
      </x:c>
      <x:c r="K147" s="38" t="str">
        <x:v>Prompt-only relabeling; preserve episode 695 video, scene, trajectory, target, and start position.</x:v>
      </x:c>
    </x:row>
    <x:row r="148" ht="60" customHeight="1">
      <x:c r="A148" s="36" t="str">
        <x:v>Not applied</x:v>
      </x:c>
      <x:c r="B148" s="37" t="n">
        <x:v>146</x:v>
      </x:c>
      <x:c r="C148" s="37" t="n">
        <x:v>696</x:v>
      </x:c>
      <x:c r="D148" s="37" t="str">
        <x:v>Ordering/Sequencing</x:v>
      </x:c>
      <x:c r="E148" s="37" t="str">
        <x:v>Pick up the blue tape ball and place it in the bowl.</x:v>
      </x:c>
      <x:c r="F148" s="37" t="str">
        <x:v>Move the fourth from the left object into the bowl.</x:v>
      </x:c>
      <x:c r="G148" s="37" t="str">
        <x:v>Explicit ordinal grounding</x:v>
      </x:c>
      <x:c r="H148" s="37" t="str">
        <x:v>green highlighter, yellow pen, airplane toy with propellers, blue tape ball</x:v>
      </x:c>
      <x:c r="I148" s="37" t="str">
        <x:v>blue tape ball</x:v>
      </x:c>
      <x:c r="J148" s="37" t="str">
        <x:v>Home</x:v>
      </x:c>
      <x:c r="K148" s="38" t="str">
        <x:v>Prompt-only relabeling; preserve episode 696 video, scene, trajectory, target, and start position.</x:v>
      </x:c>
    </x:row>
    <x:row r="149" ht="60" customHeight="1">
      <x:c r="A149" s="36" t="str">
        <x:v>Not applied</x:v>
      </x:c>
      <x:c r="B149" s="37" t="n">
        <x:v>147</x:v>
      </x:c>
      <x:c r="C149" s="37" t="n">
        <x:v>697</x:v>
      </x:c>
      <x:c r="D149" s="37" t="str">
        <x:v>Ordering/Sequencing</x:v>
      </x:c>
      <x:c r="E149" s="37" t="str">
        <x:v>Move the blue tape ball into the bowl.</x:v>
      </x:c>
      <x:c r="F149" s="37" t="str">
        <x:v>Put the object that is first from the right in the bowl.</x:v>
      </x:c>
      <x:c r="G149" s="37" t="str">
        <x:v>Explicit ordinal grounding</x:v>
      </x:c>
      <x:c r="H149" s="37" t="str">
        <x:v>yellow pen, airplane toy with propellers, green highlighter, blue tape ball</x:v>
      </x:c>
      <x:c r="I149" s="37" t="str">
        <x:v>blue tape ball</x:v>
      </x:c>
      <x:c r="J149" s="37" t="str">
        <x:v>Recovery</x:v>
      </x:c>
      <x:c r="K149" s="38" t="str">
        <x:v>Prompt-only relabeling; preserve episode 697 video, scene, trajectory, target, and start position.</x:v>
      </x:c>
    </x:row>
    <x:row r="150" ht="60" customHeight="1">
      <x:c r="A150" s="36" t="str">
        <x:v>Not applied</x:v>
      </x:c>
      <x:c r="B150" s="37" t="n">
        <x:v>148</x:v>
      </x:c>
      <x:c r="C150" s="37" t="n">
        <x:v>698</x:v>
      </x:c>
      <x:c r="D150" s="37" t="str">
        <x:v>Ordering/Sequencing</x:v>
      </x:c>
      <x:c r="E150" s="37" t="str">
        <x:v>Put the blue tape ball in the bowl.</x:v>
      </x:c>
      <x:c r="F150" s="37" t="str">
        <x:v>Pick up the object that is fourth from the left and place it in the bowl.</x:v>
      </x:c>
      <x:c r="G150" s="37" t="str">
        <x:v>Explicit ordinal grounding</x:v>
      </x:c>
      <x:c r="H150" s="37" t="str">
        <x:v>yellow pen, green highlighter, airplane toy with propellers, blue tape ball</x:v>
      </x:c>
      <x:c r="I150" s="37" t="str">
        <x:v>blue tape ball</x:v>
      </x:c>
      <x:c r="J150" s="37" t="str">
        <x:v>Recovery</x:v>
      </x:c>
      <x:c r="K150" s="38" t="str">
        <x:v>Prompt-only relabeling; preserve episode 698 video, scene, trajectory, target, and start position.</x:v>
      </x:c>
    </x:row>
    <x:row r="151" ht="60" customHeight="1">
      <x:c r="A151" s="36" t="str">
        <x:v>Not applied</x:v>
      </x:c>
      <x:c r="B151" s="37" t="n">
        <x:v>149</x:v>
      </x:c>
      <x:c r="C151" s="37" t="n">
        <x:v>699</x:v>
      </x:c>
      <x:c r="D151" s="37" t="str">
        <x:v>Ordering/Sequencing</x:v>
      </x:c>
      <x:c r="E151" s="37" t="str">
        <x:v>Pick up the blue tape ball and place it in the bowl.</x:v>
      </x:c>
      <x:c r="F151" s="37" t="str">
        <x:v>Move the first from the right object into the bowl.</x:v>
      </x:c>
      <x:c r="G151" s="37" t="str">
        <x:v>Explicit ordinal grounding</x:v>
      </x:c>
      <x:c r="H151" s="37" t="str">
        <x:v>airplane toy with propellers, green highlighter, yellow pen, blue tape ball</x:v>
      </x:c>
      <x:c r="I151" s="37" t="str">
        <x:v>blue tape ball</x:v>
      </x:c>
      <x:c r="J151" s="37" t="str">
        <x:v>Recovery</x:v>
      </x:c>
      <x:c r="K151" s="38" t="str">
        <x:v>Prompt-only relabeling; preserve episode 699 video, scene, trajectory, target, and start position.</x:v>
      </x:c>
    </x:row>
    <x:row r="152" ht="60" customHeight="1">
      <x:c r="A152" s="36" t="str">
        <x:v>Not applied</x:v>
      </x:c>
      <x:c r="B152" s="37" t="n">
        <x:v>150</x:v>
      </x:c>
      <x:c r="C152" s="37" t="n">
        <x:v>708</x:v>
      </x:c>
      <x:c r="D152" s="37" t="str">
        <x:v>Ordering/Sequencing</x:v>
      </x:c>
      <x:c r="E152" s="37" t="str">
        <x:v>Move the second item counted from the right into the bowl.</x:v>
      </x:c>
      <x:c r="F152" s="37" t="str">
        <x:v>Move the green highlighter into the bowl.</x:v>
      </x:c>
      <x:c r="G152" s="37" t="str">
        <x:v>Masked ordinal-role × target-identity composition</x:v>
      </x:c>
      <x:c r="H152" s="37" t="str">
        <x:v>green highlighter, airplane toy with propellers</x:v>
      </x:c>
      <x:c r="I152" s="37" t="str">
        <x:v>green highlighter</x:v>
      </x:c>
      <x:c r="J152" s="37" t="str">
        <x:v>Home</x:v>
      </x:c>
      <x:c r="K152" s="38" t="str">
        <x:v>Prompt-only relabeling; preserve episode 708 video, scene, trajectory, target, and start position.</x:v>
      </x:c>
    </x:row>
    <x:row r="153" ht="60" customHeight="1">
      <x:c r="A153" s="36" t="str">
        <x:v>Not applied</x:v>
      </x:c>
      <x:c r="B153" s="37" t="n">
        <x:v>151</x:v>
      </x:c>
      <x:c r="C153" s="37" t="n">
        <x:v>709</x:v>
      </x:c>
      <x:c r="D153" s="37" t="str">
        <x:v>Ordering/Sequencing</x:v>
      </x:c>
      <x:c r="E153" s="37" t="str">
        <x:v>Put the second object from the right in the bowl.</x:v>
      </x:c>
      <x:c r="F153" s="37" t="str">
        <x:v>Put the green highlighter in the bowl.</x:v>
      </x:c>
      <x:c r="G153" s="37" t="str">
        <x:v>Masked ordinal-role × target-identity composition</x:v>
      </x:c>
      <x:c r="H153" s="37" t="str">
        <x:v>green highlighter, blue tape ball</x:v>
      </x:c>
      <x:c r="I153" s="37" t="str">
        <x:v>green highlighter</x:v>
      </x:c>
      <x:c r="J153" s="37" t="str">
        <x:v>Home</x:v>
      </x:c>
      <x:c r="K153" s="38" t="str">
        <x:v>Prompt-only relabeling; preserve episode 709 video, scene, trajectory, target, and start position.</x:v>
      </x:c>
    </x:row>
    <x:row r="154" ht="60" customHeight="1">
      <x:c r="A154" s="36" t="str">
        <x:v>Not applied</x:v>
      </x:c>
      <x:c r="B154" s="37" t="n">
        <x:v>152</x:v>
      </x:c>
      <x:c r="C154" s="37" t="n">
        <x:v>710</x:v>
      </x:c>
      <x:c r="D154" s="37" t="str">
        <x:v>Ordering/Sequencing</x:v>
      </x:c>
      <x:c r="E154" s="37" t="str">
        <x:v>Put the second object from the right in the bowl.</x:v>
      </x:c>
      <x:c r="F154" s="37" t="str">
        <x:v>Pick up the green highlighter and place it in the bowl.</x:v>
      </x:c>
      <x:c r="G154" s="37" t="str">
        <x:v>Masked ordinal-role × target-identity composition</x:v>
      </x:c>
      <x:c r="H154" s="37" t="str">
        <x:v>green highlighter, yellow pen</x:v>
      </x:c>
      <x:c r="I154" s="37" t="str">
        <x:v>green highlighter</x:v>
      </x:c>
      <x:c r="J154" s="37" t="str">
        <x:v>Recovery</x:v>
      </x:c>
      <x:c r="K154" s="38" t="str">
        <x:v>Prompt-only relabeling; preserve episode 710 video, scene, trajectory, target, and start position.</x:v>
      </x:c>
    </x:row>
    <x:row r="155" ht="60" customHeight="1">
      <x:c r="A155" s="36" t="str">
        <x:v>Not applied</x:v>
      </x:c>
      <x:c r="B155" s="37" t="n">
        <x:v>153</x:v>
      </x:c>
      <x:c r="C155" s="37" t="n">
        <x:v>711</x:v>
      </x:c>
      <x:c r="D155" s="37" t="str">
        <x:v>Ordering/Sequencing</x:v>
      </x:c>
      <x:c r="E155" s="37" t="str">
        <x:v>Put the second object from the right in the bowl.</x:v>
      </x:c>
      <x:c r="F155" s="37" t="str">
        <x:v>Move the green highlighter into the bowl.</x:v>
      </x:c>
      <x:c r="G155" s="37" t="str">
        <x:v>Masked ordinal-role × target-identity composition</x:v>
      </x:c>
      <x:c r="H155" s="37" t="str">
        <x:v>green highlighter, airplane toy with propellers</x:v>
      </x:c>
      <x:c r="I155" s="37" t="str">
        <x:v>green highlighter</x:v>
      </x:c>
      <x:c r="J155" s="37" t="str">
        <x:v>Home</x:v>
      </x:c>
      <x:c r="K155" s="38" t="str">
        <x:v>Prompt-only relabeling; preserve episode 711 video, scene, trajectory, target, and start position.</x:v>
      </x:c>
    </x:row>
    <x:row r="156" ht="60" customHeight="1">
      <x:c r="A156" s="36" t="str">
        <x:v>Not applied</x:v>
      </x:c>
      <x:c r="B156" s="37" t="n">
        <x:v>154</x:v>
      </x:c>
      <x:c r="C156" s="37" t="n">
        <x:v>712</x:v>
      </x:c>
      <x:c r="D156" s="37" t="str">
        <x:v>Ordering/Sequencing</x:v>
      </x:c>
      <x:c r="E156" s="37" t="str">
        <x:v>Move the first item counted from the left into the bowl.</x:v>
      </x:c>
      <x:c r="F156" s="37" t="str">
        <x:v>Put the green highlighter in the bowl.</x:v>
      </x:c>
      <x:c r="G156" s="37" t="str">
        <x:v>Masked ordinal-role × target-identity composition</x:v>
      </x:c>
      <x:c r="H156" s="37" t="str">
        <x:v>green highlighter, blue tape ball</x:v>
      </x:c>
      <x:c r="I156" s="37" t="str">
        <x:v>green highlighter</x:v>
      </x:c>
      <x:c r="J156" s="37" t="str">
        <x:v>Recovery</x:v>
      </x:c>
      <x:c r="K156" s="38" t="str">
        <x:v>Prompt-only relabeling; preserve episode 712 video, scene, trajectory, target, and start position.</x:v>
      </x:c>
    </x:row>
    <x:row r="157" ht="60" customHeight="1">
      <x:c r="A157" s="36" t="str">
        <x:v>Not applied</x:v>
      </x:c>
      <x:c r="B157" s="37" t="n">
        <x:v>155</x:v>
      </x:c>
      <x:c r="C157" s="37" t="n">
        <x:v>738</x:v>
      </x:c>
      <x:c r="D157" s="37" t="str">
        <x:v>Ordering/Sequencing</x:v>
      </x:c>
      <x:c r="E157" s="37" t="str">
        <x:v>Pick up the green highlighter and place it in the bowl.</x:v>
      </x:c>
      <x:c r="F157" s="37" t="str">
        <x:v>Move the fourth from the left object into the bowl.</x:v>
      </x:c>
      <x:c r="G157" s="37" t="str">
        <x:v>Explicit ordinal grounding</x:v>
      </x:c>
      <x:c r="H157" s="37" t="str">
        <x:v>airplane toy with propellers, blue tape ball, yellow pen, green highlighter</x:v>
      </x:c>
      <x:c r="I157" s="37" t="str">
        <x:v>green highlighter</x:v>
      </x:c>
      <x:c r="J157" s="37" t="str">
        <x:v>Home</x:v>
      </x:c>
      <x:c r="K157" s="38" t="str">
        <x:v>Prompt-only relabeling; preserve episode 738 video, scene, trajectory, target, and start position.</x:v>
      </x:c>
    </x:row>
    <x:row r="158" ht="60" customHeight="1">
      <x:c r="A158" s="36" t="str">
        <x:v>Not applied</x:v>
      </x:c>
      <x:c r="B158" s="37" t="n">
        <x:v>156</x:v>
      </x:c>
      <x:c r="C158" s="37" t="n">
        <x:v>739</x:v>
      </x:c>
      <x:c r="D158" s="37" t="str">
        <x:v>Ordering/Sequencing</x:v>
      </x:c>
      <x:c r="E158" s="37" t="str">
        <x:v>Move the green highlighter into the bowl.</x:v>
      </x:c>
      <x:c r="F158" s="37" t="str">
        <x:v>Put the object that is first from the right in the bowl.</x:v>
      </x:c>
      <x:c r="G158" s="37" t="str">
        <x:v>Explicit ordinal grounding</x:v>
      </x:c>
      <x:c r="H158" s="37" t="str">
        <x:v>airplane toy with propellers, yellow pen, blue tape ball, green highlighter</x:v>
      </x:c>
      <x:c r="I158" s="37" t="str">
        <x:v>green highlighter</x:v>
      </x:c>
      <x:c r="J158" s="37" t="str">
        <x:v>Home</x:v>
      </x:c>
      <x:c r="K158" s="38" t="str">
        <x:v>Prompt-only relabeling; preserve episode 739 video, scene, trajectory, target, and start position.</x:v>
      </x:c>
    </x:row>
    <x:row r="159" ht="60" customHeight="1">
      <x:c r="A159" s="36" t="str">
        <x:v>Not applied</x:v>
      </x:c>
      <x:c r="B159" s="37" t="n">
        <x:v>157</x:v>
      </x:c>
      <x:c r="C159" s="37" t="n">
        <x:v>740</x:v>
      </x:c>
      <x:c r="D159" s="37" t="str">
        <x:v>Ordering/Sequencing</x:v>
      </x:c>
      <x:c r="E159" s="37" t="str">
        <x:v>Put the green highlighter in the bowl.</x:v>
      </x:c>
      <x:c r="F159" s="37" t="str">
        <x:v>Pick up the object that is fourth from the left and place it in the bowl.</x:v>
      </x:c>
      <x:c r="G159" s="37" t="str">
        <x:v>Explicit ordinal grounding</x:v>
      </x:c>
      <x:c r="H159" s="37" t="str">
        <x:v>blue tape ball, airplane toy with propellers, yellow pen, green highlighter</x:v>
      </x:c>
      <x:c r="I159" s="37" t="str">
        <x:v>green highlighter</x:v>
      </x:c>
      <x:c r="J159" s="37" t="str">
        <x:v>Home</x:v>
      </x:c>
      <x:c r="K159" s="38" t="str">
        <x:v>Prompt-only relabeling; preserve episode 740 video, scene, trajectory, target, and start position.</x:v>
      </x:c>
    </x:row>
    <x:row r="160" ht="60" customHeight="1">
      <x:c r="A160" s="36" t="str">
        <x:v>Not applied</x:v>
      </x:c>
      <x:c r="B160" s="37" t="n">
        <x:v>158</x:v>
      </x:c>
      <x:c r="C160" s="37" t="n">
        <x:v>741</x:v>
      </x:c>
      <x:c r="D160" s="37" t="str">
        <x:v>Ordering/Sequencing</x:v>
      </x:c>
      <x:c r="E160" s="37" t="str">
        <x:v>Pick up the green highlighter and place it in the bowl.</x:v>
      </x:c>
      <x:c r="F160" s="37" t="str">
        <x:v>Move the first from the right object into the bowl.</x:v>
      </x:c>
      <x:c r="G160" s="37" t="str">
        <x:v>Explicit ordinal grounding</x:v>
      </x:c>
      <x:c r="H160" s="37" t="str">
        <x:v>blue tape ball, yellow pen, airplane toy with propellers, green highlighter</x:v>
      </x:c>
      <x:c r="I160" s="37" t="str">
        <x:v>green highlighter</x:v>
      </x:c>
      <x:c r="J160" s="37" t="str">
        <x:v>Home</x:v>
      </x:c>
      <x:c r="K160" s="38" t="str">
        <x:v>Prompt-only relabeling; preserve episode 741 video, scene, trajectory, target, and start position.</x:v>
      </x:c>
    </x:row>
    <x:row r="161" ht="60" customHeight="1">
      <x:c r="A161" s="36" t="str">
        <x:v>Not applied</x:v>
      </x:c>
      <x:c r="B161" s="37" t="n">
        <x:v>159</x:v>
      </x:c>
      <x:c r="C161" s="37" t="n">
        <x:v>742</x:v>
      </x:c>
      <x:c r="D161" s="37" t="str">
        <x:v>Ordering/Sequencing</x:v>
      </x:c>
      <x:c r="E161" s="37" t="str">
        <x:v>Move the green highlighter into the bowl.</x:v>
      </x:c>
      <x:c r="F161" s="37" t="str">
        <x:v>Put the object that is fourth from the left in the bowl.</x:v>
      </x:c>
      <x:c r="G161" s="37" t="str">
        <x:v>Explicit ordinal grounding</x:v>
      </x:c>
      <x:c r="H161" s="37" t="str">
        <x:v>yellow pen, airplane toy with propellers, blue tape ball, green highlighter</x:v>
      </x:c>
      <x:c r="I161" s="37" t="str">
        <x:v>green highlighter</x:v>
      </x:c>
      <x:c r="J161" s="37" t="str">
        <x:v>Home</x:v>
      </x:c>
      <x:c r="K161" s="38" t="str">
        <x:v>Prompt-only relabeling; preserve episode 742 video, scene, trajectory, target, and start position.</x:v>
      </x:c>
    </x:row>
    <x:row r="162" ht="60" customHeight="1">
      <x:c r="A162" s="36" t="str">
        <x:v>Not applied</x:v>
      </x:c>
      <x:c r="B162" s="37" t="n">
        <x:v>160</x:v>
      </x:c>
      <x:c r="C162" s="37" t="n">
        <x:v>743</x:v>
      </x:c>
      <x:c r="D162" s="37" t="str">
        <x:v>Ordering/Sequencing</x:v>
      </x:c>
      <x:c r="E162" s="37" t="str">
        <x:v>Put the green highlighter in the bowl.</x:v>
      </x:c>
      <x:c r="F162" s="37" t="str">
        <x:v>Pick up the object that is first from the right and place it in the bowl.</x:v>
      </x:c>
      <x:c r="G162" s="37" t="str">
        <x:v>Explicit ordinal grounding</x:v>
      </x:c>
      <x:c r="H162" s="37" t="str">
        <x:v>yellow pen, blue tape ball, airplane toy with propellers, green highlighter</x:v>
      </x:c>
      <x:c r="I162" s="37" t="str">
        <x:v>green highlighter</x:v>
      </x:c>
      <x:c r="J162" s="37" t="str">
        <x:v>Home</x:v>
      </x:c>
      <x:c r="K162" s="38" t="str">
        <x:v>Prompt-only relabeling; preserve episode 743 video, scene, trajectory, target, and start position.</x:v>
      </x:c>
    </x:row>
    <x:row r="163" ht="60" customHeight="1">
      <x:c r="A163" s="36" t="str">
        <x:v>Not applied</x:v>
      </x:c>
      <x:c r="B163" s="37" t="n">
        <x:v>161</x:v>
      </x:c>
      <x:c r="C163" s="37" t="n">
        <x:v>744</x:v>
      </x:c>
      <x:c r="D163" s="37" t="str">
        <x:v>Ordering/Sequencing</x:v>
      </x:c>
      <x:c r="E163" s="37" t="str">
        <x:v>Pick up the green highlighter and place it in the bowl.</x:v>
      </x:c>
      <x:c r="F163" s="37" t="str">
        <x:v>Move the fourth from the left object into the bowl.</x:v>
      </x:c>
      <x:c r="G163" s="37" t="str">
        <x:v>Explicit ordinal grounding</x:v>
      </x:c>
      <x:c r="H163" s="37" t="str">
        <x:v>airplane toy with propellers, blue tape ball, yellow pen, green highlighter</x:v>
      </x:c>
      <x:c r="I163" s="37" t="str">
        <x:v>green highlighter</x:v>
      </x:c>
      <x:c r="J163" s="37" t="str">
        <x:v>Home</x:v>
      </x:c>
      <x:c r="K163" s="38" t="str">
        <x:v>Prompt-only relabeling; preserve episode 744 video, scene, trajectory, target, and start position.</x:v>
      </x:c>
    </x:row>
    <x:row r="164" ht="60" customHeight="1">
      <x:c r="A164" s="36" t="str">
        <x:v>Not applied</x:v>
      </x:c>
      <x:c r="B164" s="37" t="n">
        <x:v>162</x:v>
      </x:c>
      <x:c r="C164" s="37" t="n">
        <x:v>745</x:v>
      </x:c>
      <x:c r="D164" s="37" t="str">
        <x:v>Ordering/Sequencing</x:v>
      </x:c>
      <x:c r="E164" s="37" t="str">
        <x:v>Move the green highlighter into the bowl.</x:v>
      </x:c>
      <x:c r="F164" s="37" t="str">
        <x:v>Put the object that is first from the right in the bowl.</x:v>
      </x:c>
      <x:c r="G164" s="37" t="str">
        <x:v>Explicit ordinal grounding</x:v>
      </x:c>
      <x:c r="H164" s="37" t="str">
        <x:v>airplane toy with propellers, yellow pen, blue tape ball, green highlighter</x:v>
      </x:c>
      <x:c r="I164" s="37" t="str">
        <x:v>green highlighter</x:v>
      </x:c>
      <x:c r="J164" s="37" t="str">
        <x:v>Home</x:v>
      </x:c>
      <x:c r="K164" s="38" t="str">
        <x:v>Prompt-only relabeling; preserve episode 745 video, scene, trajectory, target, and start position.</x:v>
      </x:c>
    </x:row>
    <x:row r="165" ht="60" customHeight="1">
      <x:c r="A165" s="36" t="str">
        <x:v>Not applied</x:v>
      </x:c>
      <x:c r="B165" s="37" t="n">
        <x:v>163</x:v>
      </x:c>
      <x:c r="C165" s="37" t="n">
        <x:v>746</x:v>
      </x:c>
      <x:c r="D165" s="37" t="str">
        <x:v>Ordering/Sequencing</x:v>
      </x:c>
      <x:c r="E165" s="37" t="str">
        <x:v>Put the green highlighter in the bowl.</x:v>
      </x:c>
      <x:c r="F165" s="37" t="str">
        <x:v>Pick up the object that is fourth from the left and place it in the bowl.</x:v>
      </x:c>
      <x:c r="G165" s="37" t="str">
        <x:v>Explicit ordinal grounding</x:v>
      </x:c>
      <x:c r="H165" s="37" t="str">
        <x:v>blue tape ball, airplane toy with propellers, yellow pen, green highlighter</x:v>
      </x:c>
      <x:c r="I165" s="37" t="str">
        <x:v>green highlighter</x:v>
      </x:c>
      <x:c r="J165" s="37" t="str">
        <x:v>Home</x:v>
      </x:c>
      <x:c r="K165" s="38" t="str">
        <x:v>Prompt-only relabeling; preserve episode 746 video, scene, trajectory, target, and start position.</x:v>
      </x:c>
    </x:row>
    <x:row r="166" ht="60" customHeight="1">
      <x:c r="A166" s="36" t="str">
        <x:v>Not applied</x:v>
      </x:c>
      <x:c r="B166" s="37" t="n">
        <x:v>164</x:v>
      </x:c>
      <x:c r="C166" s="37" t="n">
        <x:v>747</x:v>
      </x:c>
      <x:c r="D166" s="37" t="str">
        <x:v>Ordering/Sequencing</x:v>
      </x:c>
      <x:c r="E166" s="37" t="str">
        <x:v>Pick up the green highlighter and place it in the bowl.</x:v>
      </x:c>
      <x:c r="F166" s="37" t="str">
        <x:v>Move the first from the right object into the bowl.</x:v>
      </x:c>
      <x:c r="G166" s="37" t="str">
        <x:v>Explicit ordinal grounding</x:v>
      </x:c>
      <x:c r="H166" s="37" t="str">
        <x:v>blue tape ball, yellow pen, airplane toy with propellers, green highlighter</x:v>
      </x:c>
      <x:c r="I166" s="37" t="str">
        <x:v>green highlighter</x:v>
      </x:c>
      <x:c r="J166" s="37" t="str">
        <x:v>Home</x:v>
      </x:c>
      <x:c r="K166" s="38" t="str">
        <x:v>Prompt-only relabeling; preserve episode 747 video, scene, trajectory, target, and start position.</x:v>
      </x:c>
    </x:row>
    <x:row r="167" ht="60" customHeight="1">
      <x:c r="A167" s="36" t="str">
        <x:v>Not applied</x:v>
      </x:c>
      <x:c r="B167" s="37" t="n">
        <x:v>165</x:v>
      </x:c>
      <x:c r="C167" s="37" t="n">
        <x:v>748</x:v>
      </x:c>
      <x:c r="D167" s="37" t="str">
        <x:v>Ordering/Sequencing</x:v>
      </x:c>
      <x:c r="E167" s="37" t="str">
        <x:v>Move the green highlighter into the bowl.</x:v>
      </x:c>
      <x:c r="F167" s="37" t="str">
        <x:v>Put the object that is fourth from the left in the bowl.</x:v>
      </x:c>
      <x:c r="G167" s="37" t="str">
        <x:v>Explicit ordinal grounding</x:v>
      </x:c>
      <x:c r="H167" s="37" t="str">
        <x:v>yellow pen, airplane toy with propellers, blue tape ball, green highlighter</x:v>
      </x:c>
      <x:c r="I167" s="37" t="str">
        <x:v>green highlighter</x:v>
      </x:c>
      <x:c r="J167" s="37" t="str">
        <x:v>Recovery</x:v>
      </x:c>
      <x:c r="K167" s="38" t="str">
        <x:v>Prompt-only relabeling; preserve episode 748 video, scene, trajectory, target, and start position.</x:v>
      </x:c>
    </x:row>
    <x:row r="168" ht="60" customHeight="1">
      <x:c r="A168" s="36" t="str">
        <x:v>Not applied</x:v>
      </x:c>
      <x:c r="B168" s="37" t="n">
        <x:v>166</x:v>
      </x:c>
      <x:c r="C168" s="37" t="n">
        <x:v>749</x:v>
      </x:c>
      <x:c r="D168" s="37" t="str">
        <x:v>Ordering/Sequencing</x:v>
      </x:c>
      <x:c r="E168" s="37" t="str">
        <x:v>Put the green highlighter in the bowl.</x:v>
      </x:c>
      <x:c r="F168" s="37" t="str">
        <x:v>Pick up the object that is first from the right and place it in the bowl.</x:v>
      </x:c>
      <x:c r="G168" s="37" t="str">
        <x:v>Explicit ordinal grounding</x:v>
      </x:c>
      <x:c r="H168" s="37" t="str">
        <x:v>yellow pen, blue tape ball, airplane toy with propellers, green highlighter</x:v>
      </x:c>
      <x:c r="I168" s="37" t="str">
        <x:v>green highlighter</x:v>
      </x:c>
      <x:c r="J168" s="37" t="str">
        <x:v>Recovery</x:v>
      </x:c>
      <x:c r="K168" s="38" t="str">
        <x:v>Prompt-only relabeling; preserve episode 749 video, scene, trajectory, target, and start position.</x:v>
      </x:c>
    </x:row>
    <x:row r="169" ht="60" customHeight="1">
      <x:c r="A169" s="36" t="str">
        <x:v>Not applied</x:v>
      </x:c>
      <x:c r="B169" s="37" t="n">
        <x:v>167</x:v>
      </x:c>
      <x:c r="C169" s="37" t="n">
        <x:v>754</x:v>
      </x:c>
      <x:c r="D169" s="37" t="str">
        <x:v>Ordering/Sequencing</x:v>
      </x:c>
      <x:c r="E169" s="37" t="str">
        <x:v>Move the third item counted from the right into the bowl.</x:v>
      </x:c>
      <x:c r="F169" s="37" t="str">
        <x:v>Put the yellow pen in the bowl.</x:v>
      </x:c>
      <x:c r="G169" s="37" t="str">
        <x:v>Masked ordinal-role × target-identity composition</x:v>
      </x:c>
      <x:c r="H169" s="37" t="str">
        <x:v>yellow pen, green highlighter, airplane toy with propellers</x:v>
      </x:c>
      <x:c r="I169" s="37" t="str">
        <x:v>yellow pen</x:v>
      </x:c>
      <x:c r="J169" s="37" t="str">
        <x:v>Home</x:v>
      </x:c>
      <x:c r="K169" s="38" t="str">
        <x:v>Prompt-only relabeling; preserve episode 754 video, scene, trajectory, target, and start position.</x:v>
      </x:c>
    </x:row>
    <x:row r="170" ht="60" customHeight="1">
      <x:c r="A170" s="36" t="str">
        <x:v>Not applied</x:v>
      </x:c>
      <x:c r="B170" s="37" t="n">
        <x:v>168</x:v>
      </x:c>
      <x:c r="C170" s="37" t="n">
        <x:v>755</x:v>
      </x:c>
      <x:c r="D170" s="37" t="str">
        <x:v>Ordering/Sequencing</x:v>
      </x:c>
      <x:c r="E170" s="37" t="str">
        <x:v>Move the third item counted from the right into the bowl.</x:v>
      </x:c>
      <x:c r="F170" s="37" t="str">
        <x:v>Pick up the yellow pen and place it in the bowl.</x:v>
      </x:c>
      <x:c r="G170" s="37" t="str">
        <x:v>Masked ordinal-role × target-identity composition</x:v>
      </x:c>
      <x:c r="H170" s="37" t="str">
        <x:v>yellow pen, green highlighter, blue tape ball</x:v>
      </x:c>
      <x:c r="I170" s="37" t="str">
        <x:v>yellow pen</x:v>
      </x:c>
      <x:c r="J170" s="37" t="str">
        <x:v>Home</x:v>
      </x:c>
      <x:c r="K170" s="38" t="str">
        <x:v>Prompt-only relabeling; preserve episode 755 video, scene, trajectory, target, and start position.</x:v>
      </x:c>
    </x:row>
    <x:row r="171" ht="60" customHeight="1">
      <x:c r="A171" s="36" t="str">
        <x:v>Not applied</x:v>
      </x:c>
      <x:c r="B171" s="37" t="n">
        <x:v>169</x:v>
      </x:c>
      <x:c r="C171" s="37" t="n">
        <x:v>756</x:v>
      </x:c>
      <x:c r="D171" s="37" t="str">
        <x:v>Ordering/Sequencing</x:v>
      </x:c>
      <x:c r="E171" s="37" t="str">
        <x:v>Move the third item counted from the right into the bowl.</x:v>
      </x:c>
      <x:c r="F171" s="37" t="str">
        <x:v>Move the yellow pen into the bowl.</x:v>
      </x:c>
      <x:c r="G171" s="37" t="str">
        <x:v>Masked ordinal-role × target-identity composition</x:v>
      </x:c>
      <x:c r="H171" s="37" t="str">
        <x:v>yellow pen, airplane toy with propellers, blue tape ball</x:v>
      </x:c>
      <x:c r="I171" s="37" t="str">
        <x:v>yellow pen</x:v>
      </x:c>
      <x:c r="J171" s="37" t="str">
        <x:v>Home</x:v>
      </x:c>
      <x:c r="K171" s="38" t="str">
        <x:v>Prompt-only relabeling; preserve episode 756 video, scene, trajectory, target, and start position.</x:v>
      </x:c>
    </x:row>
    <x:row r="172" ht="60" customHeight="1">
      <x:c r="A172" s="36" t="str">
        <x:v>Not applied</x:v>
      </x:c>
      <x:c r="B172" s="37" t="n">
        <x:v>170</x:v>
      </x:c>
      <x:c r="C172" s="37" t="n">
        <x:v>757</x:v>
      </x:c>
      <x:c r="D172" s="37" t="str">
        <x:v>Ordering/Sequencing</x:v>
      </x:c>
      <x:c r="E172" s="37" t="str">
        <x:v>Put the first object from the left in the bowl.</x:v>
      </x:c>
      <x:c r="F172" s="37" t="str">
        <x:v>Put the yellow pen in the bowl.</x:v>
      </x:c>
      <x:c r="G172" s="37" t="str">
        <x:v>Masked ordinal-role × target-identity composition</x:v>
      </x:c>
      <x:c r="H172" s="37" t="str">
        <x:v>yellow pen, blue tape ball, airplane toy with propellers</x:v>
      </x:c>
      <x:c r="I172" s="37" t="str">
        <x:v>yellow pen</x:v>
      </x:c>
      <x:c r="J172" s="37" t="str">
        <x:v>Home</x:v>
      </x:c>
      <x:c r="K172" s="38" t="str">
        <x:v>Prompt-only relabeling; preserve episode 757 video, scene, trajectory, target, and start position.</x:v>
      </x:c>
    </x:row>
    <x:row r="173" ht="60" customHeight="1">
      <x:c r="A173" s="36" t="str">
        <x:v>Not applied</x:v>
      </x:c>
      <x:c r="B173" s="37" t="n">
        <x:v>171</x:v>
      </x:c>
      <x:c r="C173" s="37" t="n">
        <x:v>768</x:v>
      </x:c>
      <x:c r="D173" s="37" t="str">
        <x:v>Ordering/Sequencing</x:v>
      </x:c>
      <x:c r="E173" s="37" t="str">
        <x:v>Pick up the object that is second from the left and place it in the bowl.</x:v>
      </x:c>
      <x:c r="F173" s="37" t="str">
        <x:v>Move the yellow pen into the bowl.</x:v>
      </x:c>
      <x:c r="G173" s="37" t="str">
        <x:v>Masked ordinal-role × target-identity composition</x:v>
      </x:c>
      <x:c r="H173" s="37" t="str">
        <x:v>airplane toy with propellers, yellow pen</x:v>
      </x:c>
      <x:c r="I173" s="37" t="str">
        <x:v>yellow pen</x:v>
      </x:c>
      <x:c r="J173" s="37" t="str">
        <x:v>Home</x:v>
      </x:c>
      <x:c r="K173" s="38" t="str">
        <x:v>Prompt-only relabeling; preserve episode 768 video, scene, trajectory, target, and start position.</x:v>
      </x:c>
    </x:row>
    <x:row r="174" ht="60" customHeight="1">
      <x:c r="A174" s="36" t="str">
        <x:v>Not applied</x:v>
      </x:c>
      <x:c r="B174" s="37" t="n">
        <x:v>172</x:v>
      </x:c>
      <x:c r="C174" s="37" t="n">
        <x:v>769</x:v>
      </x:c>
      <x:c r="D174" s="37" t="str">
        <x:v>Ordering/Sequencing</x:v>
      </x:c>
      <x:c r="E174" s="37" t="str">
        <x:v>Pick up the object that is second from the left and place it in the bowl.</x:v>
      </x:c>
      <x:c r="F174" s="37" t="str">
        <x:v>Put the yellow pen in the bowl.</x:v>
      </x:c>
      <x:c r="G174" s="37" t="str">
        <x:v>Masked ordinal-role × target-identity composition</x:v>
      </x:c>
      <x:c r="H174" s="37" t="str">
        <x:v>blue tape ball, yellow pen</x:v>
      </x:c>
      <x:c r="I174" s="37" t="str">
        <x:v>yellow pen</x:v>
      </x:c>
      <x:c r="J174" s="37" t="str">
        <x:v>Home</x:v>
      </x:c>
      <x:c r="K174" s="38" t="str">
        <x:v>Prompt-only relabeling; preserve episode 769 video, scene, trajectory, target, and start position.</x:v>
      </x:c>
    </x:row>
    <x:row r="175" ht="60" customHeight="1">
      <x:c r="A175" s="36" t="str">
        <x:v>Not applied</x:v>
      </x:c>
      <x:c r="B175" s="37" t="n">
        <x:v>173</x:v>
      </x:c>
      <x:c r="C175" s="37" t="n">
        <x:v>770</x:v>
      </x:c>
      <x:c r="D175" s="37" t="str">
        <x:v>Ordering/Sequencing</x:v>
      </x:c>
      <x:c r="E175" s="37" t="str">
        <x:v>Pick up the object that is second from the left and place it in the bowl.</x:v>
      </x:c>
      <x:c r="F175" s="37" t="str">
        <x:v>Pick up the yellow pen and place it in the bowl.</x:v>
      </x:c>
      <x:c r="G175" s="37" t="str">
        <x:v>Masked ordinal-role × target-identity composition</x:v>
      </x:c>
      <x:c r="H175" s="37" t="str">
        <x:v>green highlighter, yellow pen</x:v>
      </x:c>
      <x:c r="I175" s="37" t="str">
        <x:v>yellow pen</x:v>
      </x:c>
      <x:c r="J175" s="37" t="str">
        <x:v>Home</x:v>
      </x:c>
      <x:c r="K175" s="38" t="str">
        <x:v>Prompt-only relabeling; preserve episode 770 video, scene, trajectory, target, and start position.</x:v>
      </x:c>
    </x:row>
    <x:row r="176" ht="60" customHeight="1">
      <x:c r="A176" s="36" t="str">
        <x:v>Not applied</x:v>
      </x:c>
      <x:c r="B176" s="37" t="n">
        <x:v>174</x:v>
      </x:c>
      <x:c r="C176" s="37" t="n">
        <x:v>771</x:v>
      </x:c>
      <x:c r="D176" s="37" t="str">
        <x:v>Ordering/Sequencing</x:v>
      </x:c>
      <x:c r="E176" s="37" t="str">
        <x:v>Put the second object from the left in the bowl.</x:v>
      </x:c>
      <x:c r="F176" s="37" t="str">
        <x:v>Move the yellow pen into the bowl.</x:v>
      </x:c>
      <x:c r="G176" s="37" t="str">
        <x:v>Masked ordinal-role × target-identity composition</x:v>
      </x:c>
      <x:c r="H176" s="37" t="str">
        <x:v>airplane toy with propellers, yellow pen</x:v>
      </x:c>
      <x:c r="I176" s="37" t="str">
        <x:v>yellow pen</x:v>
      </x:c>
      <x:c r="J176" s="37" t="str">
        <x:v>Home</x:v>
      </x:c>
      <x:c r="K176" s="38" t="str">
        <x:v>Prompt-only relabeling; preserve episode 771 video, scene, trajectory, target, and start position.</x:v>
      </x:c>
    </x:row>
    <x:row r="177" ht="60" customHeight="1">
      <x:c r="A177" s="36" t="str">
        <x:v>Not applied</x:v>
      </x:c>
      <x:c r="B177" s="37" t="n">
        <x:v>175</x:v>
      </x:c>
      <x:c r="C177" s="37" t="n">
        <x:v>772</x:v>
      </x:c>
      <x:c r="D177" s="37" t="str">
        <x:v>Ordering/Sequencing</x:v>
      </x:c>
      <x:c r="E177" s="37" t="str">
        <x:v>Pick up the object that is second from the left and place it in the bowl.</x:v>
      </x:c>
      <x:c r="F177" s="37" t="str">
        <x:v>Put the yellow pen in the bowl.</x:v>
      </x:c>
      <x:c r="G177" s="37" t="str">
        <x:v>Masked ordinal-role × target-identity composition</x:v>
      </x:c>
      <x:c r="H177" s="37" t="str">
        <x:v>blue tape ball, yellow pen</x:v>
      </x:c>
      <x:c r="I177" s="37" t="str">
        <x:v>yellow pen</x:v>
      </x:c>
      <x:c r="J177" s="37" t="str">
        <x:v>Recovery</x:v>
      </x:c>
      <x:c r="K177" s="38" t="str">
        <x:v>Prompt-only relabeling; preserve episode 772 video, scene, trajectory, target, and start position.</x:v>
      </x:c>
    </x:row>
    <x:row r="178" ht="60" customHeight="1">
      <x:c r="A178" s="36" t="str">
        <x:v>Not applied</x:v>
      </x:c>
      <x:c r="B178" s="37" t="n">
        <x:v>176</x:v>
      </x:c>
      <x:c r="C178" s="37" t="n">
        <x:v>773</x:v>
      </x:c>
      <x:c r="D178" s="37" t="str">
        <x:v>Ordering/Sequencing</x:v>
      </x:c>
      <x:c r="E178" s="37" t="str">
        <x:v>Move the second item counted from the left into the bowl.</x:v>
      </x:c>
      <x:c r="F178" s="37" t="str">
        <x:v>Pick up the yellow pen and place it in the bowl.</x:v>
      </x:c>
      <x:c r="G178" s="37" t="str">
        <x:v>Masked ordinal-role × target-identity composition</x:v>
      </x:c>
      <x:c r="H178" s="37" t="str">
        <x:v>green highlighter, yellow pen</x:v>
      </x:c>
      <x:c r="I178" s="37" t="str">
        <x:v>yellow pen</x:v>
      </x:c>
      <x:c r="J178" s="37" t="str">
        <x:v>Recovery</x:v>
      </x:c>
      <x:c r="K178" s="38" t="str">
        <x:v>Prompt-only relabeling; preserve episode 773 video, scene, trajectory, target, and start position.</x:v>
      </x:c>
    </x:row>
    <x:row r="179" ht="60" customHeight="1">
      <x:c r="A179" s="36" t="str">
        <x:v>Not applied</x:v>
      </x:c>
      <x:c r="B179" s="37" t="n">
        <x:v>177</x:v>
      </x:c>
      <x:c r="C179" s="37" t="n">
        <x:v>775</x:v>
      </x:c>
      <x:c r="D179" s="37" t="str">
        <x:v>Ordering/Sequencing</x:v>
      </x:c>
      <x:c r="E179" s="37" t="str">
        <x:v>Move the yellow pen into the bowl.</x:v>
      </x:c>
      <x:c r="F179" s="37" t="str">
        <x:v>Put the object that is second from the right in the bowl.</x:v>
      </x:c>
      <x:c r="G179" s="37" t="str">
        <x:v>Explicit ordinal grounding</x:v>
      </x:c>
      <x:c r="H179" s="37" t="str">
        <x:v>airplane toy with propellers, blue tape ball, yellow pen, green highlighter</x:v>
      </x:c>
      <x:c r="I179" s="37" t="str">
        <x:v>yellow pen</x:v>
      </x:c>
      <x:c r="J179" s="37" t="str">
        <x:v>Home</x:v>
      </x:c>
      <x:c r="K179" s="38" t="str">
        <x:v>Prompt-only relabeling; preserve episode 775 video, scene, trajectory, target, and start position.</x:v>
      </x:c>
    </x:row>
    <x:row r="180" ht="60" customHeight="1">
      <x:c r="A180" s="36" t="str">
        <x:v>Not applied</x:v>
      </x:c>
      <x:c r="B180" s="37" t="n">
        <x:v>178</x:v>
      </x:c>
      <x:c r="C180" s="37" t="n">
        <x:v>776</x:v>
      </x:c>
      <x:c r="D180" s="37" t="str">
        <x:v>Ordering/Sequencing</x:v>
      </x:c>
      <x:c r="E180" s="37" t="str">
        <x:v>Put the yellow pen in the bowl.</x:v>
      </x:c>
      <x:c r="F180" s="37" t="str">
        <x:v>Pick up the object that is third from the left and place it in the bowl.</x:v>
      </x:c>
      <x:c r="G180" s="37" t="str">
        <x:v>Explicit ordinal grounding</x:v>
      </x:c>
      <x:c r="H180" s="37" t="str">
        <x:v>airplane toy with propellers, green highlighter, yellow pen, blue tape ball</x:v>
      </x:c>
      <x:c r="I180" s="37" t="str">
        <x:v>yellow pen</x:v>
      </x:c>
      <x:c r="J180" s="37" t="str">
        <x:v>Home</x:v>
      </x:c>
      <x:c r="K180" s="38" t="str">
        <x:v>Prompt-only relabeling; preserve episode 776 video, scene, trajectory, target, and start position.</x:v>
      </x:c>
    </x:row>
    <x:row r="181" ht="60" customHeight="1">
      <x:c r="A181" s="36" t="str">
        <x:v>Not applied</x:v>
      </x:c>
      <x:c r="B181" s="37" t="n">
        <x:v>179</x:v>
      </x:c>
      <x:c r="C181" s="37" t="n">
        <x:v>777</x:v>
      </x:c>
      <x:c r="D181" s="37" t="str">
        <x:v>Ordering/Sequencing</x:v>
      </x:c>
      <x:c r="E181" s="37" t="str">
        <x:v>Pick up the yellow pen and place it in the bowl.</x:v>
      </x:c>
      <x:c r="F181" s="37" t="str">
        <x:v>Move the second from the right object into the bowl.</x:v>
      </x:c>
      <x:c r="G181" s="37" t="str">
        <x:v>Explicit ordinal grounding</x:v>
      </x:c>
      <x:c r="H181" s="37" t="str">
        <x:v>blue tape ball, airplane toy with propellers, yellow pen, green highlighter</x:v>
      </x:c>
      <x:c r="I181" s="37" t="str">
        <x:v>yellow pen</x:v>
      </x:c>
      <x:c r="J181" s="37" t="str">
        <x:v>Home</x:v>
      </x:c>
      <x:c r="K181" s="38" t="str">
        <x:v>Prompt-only relabeling; preserve episode 777 video, scene, trajectory, target, and start position.</x:v>
      </x:c>
    </x:row>
    <x:row r="182" ht="60" customHeight="1">
      <x:c r="A182" s="36" t="str">
        <x:v>Not applied</x:v>
      </x:c>
      <x:c r="B182" s="37" t="n">
        <x:v>180</x:v>
      </x:c>
      <x:c r="C182" s="37" t="n">
        <x:v>778</x:v>
      </x:c>
      <x:c r="D182" s="37" t="str">
        <x:v>Ordering/Sequencing</x:v>
      </x:c>
      <x:c r="E182" s="37" t="str">
        <x:v>Move the yellow pen into the bowl.</x:v>
      </x:c>
      <x:c r="F182" s="37" t="str">
        <x:v>Put the object that is third from the left in the bowl.</x:v>
      </x:c>
      <x:c r="G182" s="37" t="str">
        <x:v>Explicit ordinal grounding</x:v>
      </x:c>
      <x:c r="H182" s="37" t="str">
        <x:v>blue tape ball, green highlighter, yellow pen, airplane toy with propellers</x:v>
      </x:c>
      <x:c r="I182" s="37" t="str">
        <x:v>yellow pen</x:v>
      </x:c>
      <x:c r="J182" s="37" t="str">
        <x:v>Home</x:v>
      </x:c>
      <x:c r="K182" s="38" t="str">
        <x:v>Prompt-only relabeling; preserve episode 778 video, scene, trajectory, target, and start position.</x:v>
      </x:c>
    </x:row>
    <x:row r="183" ht="60" customHeight="1">
      <x:c r="A183" s="36" t="str">
        <x:v>Not applied</x:v>
      </x:c>
      <x:c r="B183" s="37" t="n">
        <x:v>181</x:v>
      </x:c>
      <x:c r="C183" s="37" t="n">
        <x:v>779</x:v>
      </x:c>
      <x:c r="D183" s="37" t="str">
        <x:v>Ordering/Sequencing</x:v>
      </x:c>
      <x:c r="E183" s="37" t="str">
        <x:v>Move the yellow pen into the bowl.</x:v>
      </x:c>
      <x:c r="F183" s="37" t="str">
        <x:v>Pick up the object that is first from the right and place it in the bowl.</x:v>
      </x:c>
      <x:c r="G183" s="37" t="str">
        <x:v>Explicit ordinal grounding</x:v>
      </x:c>
      <x:c r="H183" s="37" t="str">
        <x:v>airplane toy with propellers, blue tape ball, yellow pen</x:v>
      </x:c>
      <x:c r="I183" s="37" t="str">
        <x:v>yellow pen</x:v>
      </x:c>
      <x:c r="J183" s="37" t="str">
        <x:v>Home</x:v>
      </x:c>
      <x:c r="K183" s="38" t="str">
        <x:v>Prompt-only relabeling; preserve episode 779 video, scene, trajectory, target, and start position.</x:v>
      </x:c>
    </x:row>
    <x:row r="184" ht="60" customHeight="1">
      <x:c r="A184" s="36" t="str">
        <x:v>Not applied</x:v>
      </x:c>
      <x:c r="B184" s="37" t="n">
        <x:v>182</x:v>
      </x:c>
      <x:c r="C184" s="37" t="n">
        <x:v>780</x:v>
      </x:c>
      <x:c r="D184" s="37" t="str">
        <x:v>Ordering/Sequencing</x:v>
      </x:c>
      <x:c r="E184" s="37" t="str">
        <x:v>Move the yellow pen into the bowl.</x:v>
      </x:c>
      <x:c r="F184" s="37" t="str">
        <x:v>Move the third from the left object into the bowl.</x:v>
      </x:c>
      <x:c r="G184" s="37" t="str">
        <x:v>Explicit ordinal grounding</x:v>
      </x:c>
      <x:c r="H184" s="37" t="str">
        <x:v>airplane toy with propellers, green highlighter, yellow pen</x:v>
      </x:c>
      <x:c r="I184" s="37" t="str">
        <x:v>yellow pen</x:v>
      </x:c>
      <x:c r="J184" s="37" t="str">
        <x:v>Home</x:v>
      </x:c>
      <x:c r="K184" s="38" t="str">
        <x:v>Prompt-only relabeling; preserve episode 780 video, scene, trajectory, target, and start position.</x:v>
      </x:c>
    </x:row>
    <x:row r="185" ht="60" customHeight="1">
      <x:c r="A185" s="36" t="str">
        <x:v>Not applied</x:v>
      </x:c>
      <x:c r="B185" s="37" t="n">
        <x:v>183</x:v>
      </x:c>
      <x:c r="C185" s="37" t="n">
        <x:v>781</x:v>
      </x:c>
      <x:c r="D185" s="37" t="str">
        <x:v>Ordering/Sequencing</x:v>
      </x:c>
      <x:c r="E185" s="37" t="str">
        <x:v>Put the yellow pen in the bowl.</x:v>
      </x:c>
      <x:c r="F185" s="37" t="str">
        <x:v>Put the object that is first from the right in the bowl.</x:v>
      </x:c>
      <x:c r="G185" s="37" t="str">
        <x:v>Explicit ordinal grounding</x:v>
      </x:c>
      <x:c r="H185" s="37" t="str">
        <x:v>blue tape ball, airplane toy with propellers, yellow pen</x:v>
      </x:c>
      <x:c r="I185" s="37" t="str">
        <x:v>yellow pen</x:v>
      </x:c>
      <x:c r="J185" s="37" t="str">
        <x:v>Home</x:v>
      </x:c>
      <x:c r="K185" s="38" t="str">
        <x:v>Prompt-only relabeling; preserve episode 781 video, scene, trajectory, target, and start position.</x:v>
      </x:c>
    </x:row>
    <x:row r="186" ht="60" customHeight="1">
      <x:c r="A186" s="36" t="str">
        <x:v>Not applied</x:v>
      </x:c>
      <x:c r="B186" s="37" t="n">
        <x:v>184</x:v>
      </x:c>
      <x:c r="C186" s="37" t="n">
        <x:v>782</x:v>
      </x:c>
      <x:c r="D186" s="37" t="str">
        <x:v>Ordering/Sequencing</x:v>
      </x:c>
      <x:c r="E186" s="37" t="str">
        <x:v>Put the yellow pen in the bowl.</x:v>
      </x:c>
      <x:c r="F186" s="37" t="str">
        <x:v>Pick up the object that is third from the left and place it in the bowl.</x:v>
      </x:c>
      <x:c r="G186" s="37" t="str">
        <x:v>Explicit ordinal grounding</x:v>
      </x:c>
      <x:c r="H186" s="37" t="str">
        <x:v>blue tape ball, green highlighter, yellow pen</x:v>
      </x:c>
      <x:c r="I186" s="37" t="str">
        <x:v>yellow pen</x:v>
      </x:c>
      <x:c r="J186" s="37" t="str">
        <x:v>Home</x:v>
      </x:c>
      <x:c r="K186" s="38" t="str">
        <x:v>Prompt-only relabeling; preserve episode 782 video, scene, trajectory, target, and start position.</x:v>
      </x:c>
    </x:row>
    <x:row r="187" ht="60" customHeight="1">
      <x:c r="A187" s="36" t="str">
        <x:v>Not applied</x:v>
      </x:c>
      <x:c r="B187" s="37" t="n">
        <x:v>185</x:v>
      </x:c>
      <x:c r="C187" s="37" t="n">
        <x:v>783</x:v>
      </x:c>
      <x:c r="D187" s="37" t="str">
        <x:v>Ordering/Sequencing</x:v>
      </x:c>
      <x:c r="E187" s="37" t="str">
        <x:v>Pick up the yellow pen and place it in the bowl.</x:v>
      </x:c>
      <x:c r="F187" s="37" t="str">
        <x:v>Move the first from the right object into the bowl.</x:v>
      </x:c>
      <x:c r="G187" s="37" t="str">
        <x:v>Explicit ordinal grounding</x:v>
      </x:c>
      <x:c r="H187" s="37" t="str">
        <x:v>green highlighter, airplane toy with propellers, yellow pen</x:v>
      </x:c>
      <x:c r="I187" s="37" t="str">
        <x:v>yellow pen</x:v>
      </x:c>
      <x:c r="J187" s="37" t="str">
        <x:v>Home</x:v>
      </x:c>
      <x:c r="K187" s="38" t="str">
        <x:v>Prompt-only relabeling; preserve episode 783 video, scene, trajectory, target, and start position.</x:v>
      </x:c>
    </x:row>
    <x:row r="188" ht="60" customHeight="1">
      <x:c r="A188" s="36" t="str">
        <x:v>Not applied</x:v>
      </x:c>
      <x:c r="B188" s="37" t="n">
        <x:v>186</x:v>
      </x:c>
      <x:c r="C188" s="37" t="n">
        <x:v>784</x:v>
      </x:c>
      <x:c r="D188" s="37" t="str">
        <x:v>Ordering/Sequencing</x:v>
      </x:c>
      <x:c r="E188" s="37" t="str">
        <x:v>Pick up the yellow pen and place it in the bowl.</x:v>
      </x:c>
      <x:c r="F188" s="37" t="str">
        <x:v>Put the object that is third from the left in the bowl.</x:v>
      </x:c>
      <x:c r="G188" s="37" t="str">
        <x:v>Explicit ordinal grounding</x:v>
      </x:c>
      <x:c r="H188" s="37" t="str">
        <x:v>green highlighter, blue tape ball, yellow pen</x:v>
      </x:c>
      <x:c r="I188" s="37" t="str">
        <x:v>yellow pen</x:v>
      </x:c>
      <x:c r="J188" s="37" t="str">
        <x:v>Home</x:v>
      </x:c>
      <x:c r="K188" s="38" t="str">
        <x:v>Prompt-only relabeling; preserve episode 784 video, scene, trajectory, target, and start position.</x:v>
      </x:c>
    </x:row>
    <x:row r="189" ht="60" customHeight="1">
      <x:c r="A189" s="36" t="str">
        <x:v>Not applied</x:v>
      </x:c>
      <x:c r="B189" s="37" t="n">
        <x:v>187</x:v>
      </x:c>
      <x:c r="C189" s="37" t="n">
        <x:v>785</x:v>
      </x:c>
      <x:c r="D189" s="37" t="str">
        <x:v>Ordering/Sequencing</x:v>
      </x:c>
      <x:c r="E189" s="37" t="str">
        <x:v>Put the yellow pen in the bowl.</x:v>
      </x:c>
      <x:c r="F189" s="37" t="str">
        <x:v>Pick up the object that is second from the right and place it in the bowl.</x:v>
      </x:c>
      <x:c r="G189" s="37" t="str">
        <x:v>Explicit ordinal grounding</x:v>
      </x:c>
      <x:c r="H189" s="37" t="str">
        <x:v>green highlighter, airplane toy with propellers, yellow pen, blue tape ball</x:v>
      </x:c>
      <x:c r="I189" s="37" t="str">
        <x:v>yellow pen</x:v>
      </x:c>
      <x:c r="J189" s="37" t="str">
        <x:v>Recovery</x:v>
      </x:c>
      <x:c r="K189" s="38" t="str">
        <x:v>Prompt-only relabeling; preserve episode 785 video, scene, trajectory, target, and start position.</x:v>
      </x:c>
    </x:row>
    <x:row r="190" ht="60" customHeight="1">
      <x:c r="A190" s="36" t="str">
        <x:v>Not applied</x:v>
      </x:c>
      <x:c r="B190" s="37" t="n">
        <x:v>188</x:v>
      </x:c>
      <x:c r="C190" s="37" t="n">
        <x:v>786</x:v>
      </x:c>
      <x:c r="D190" s="37" t="str">
        <x:v>Ordering/Sequencing</x:v>
      </x:c>
      <x:c r="E190" s="37" t="str">
        <x:v>Pick up the yellow pen and place it in the bowl.</x:v>
      </x:c>
      <x:c r="F190" s="37" t="str">
        <x:v>Move the third from the left object into the bowl.</x:v>
      </x:c>
      <x:c r="G190" s="37" t="str">
        <x:v>Explicit ordinal grounding</x:v>
      </x:c>
      <x:c r="H190" s="37" t="str">
        <x:v>green highlighter, blue tape ball, yellow pen, airplane toy with propellers</x:v>
      </x:c>
      <x:c r="I190" s="37" t="str">
        <x:v>yellow pen</x:v>
      </x:c>
      <x:c r="J190" s="37" t="str">
        <x:v>Recovery</x:v>
      </x:c>
      <x:c r="K190" s="38" t="str">
        <x:v>Prompt-only relabeling; preserve episode 786 video, scene, trajectory, target, and start position.</x:v>
      </x:c>
    </x:row>
    <x:row r="191" ht="60" customHeight="1">
      <x:c r="A191" s="36" t="str">
        <x:v>Not applied</x:v>
      </x:c>
      <x:c r="B191" s="37" t="n">
        <x:v>189</x:v>
      </x:c>
      <x:c r="C191" s="37" t="n">
        <x:v>800</x:v>
      </x:c>
      <x:c r="D191" s="37" t="str">
        <x:v>Counting</x:v>
      </x:c>
      <x:c r="E191" s="37" t="str">
        <x:v>Move the blue pen into the bowl.</x:v>
      </x:c>
      <x:c r="F191" s="37" t="str">
        <x:v>Leave exactly one object in the bowl.</x:v>
      </x:c>
      <x:c r="G191" s="37" t="str">
        <x:v>Explicit goal-count grounding</x:v>
      </x:c>
      <x:c r="H191" s="37" t="str">
        <x:v>blue pen, yellow block, green pencil sharpener, airplane toy without propellers</x:v>
      </x:c>
      <x:c r="I191" s="37" t="str">
        <x:v>blue pen</x:v>
      </x:c>
      <x:c r="J191" s="37" t="str">
        <x:v>Home</x:v>
      </x:c>
      <x:c r="K191" s="38" t="str">
        <x:v>Prompt-only relabeling; preserve episode 800 video, scene, trajectory, target, and start position.</x:v>
      </x:c>
    </x:row>
    <x:row r="192" ht="60" customHeight="1">
      <x:c r="A192" s="36" t="str">
        <x:v>Not applied</x:v>
      </x:c>
      <x:c r="B192" s="37" t="n">
        <x:v>190</x:v>
      </x:c>
      <x:c r="C192" s="37" t="n">
        <x:v>801</x:v>
      </x:c>
      <x:c r="D192" s="37" t="str">
        <x:v>Counting</x:v>
      </x:c>
      <x:c r="E192" s="37" t="str">
        <x:v>Pick up the blue pen and place it in the bowl.</x:v>
      </x:c>
      <x:c r="F192" s="37" t="str">
        <x:v>Leave exactly one object in the bowl.</x:v>
      </x:c>
      <x:c r="G192" s="37" t="str">
        <x:v>Explicit goal-count grounding</x:v>
      </x:c>
      <x:c r="H192" s="37" t="str">
        <x:v>blue pen, yellow block, green pencil sharpener</x:v>
      </x:c>
      <x:c r="I192" s="37" t="str">
        <x:v>blue pen</x:v>
      </x:c>
      <x:c r="J192" s="37" t="str">
        <x:v>Home</x:v>
      </x:c>
      <x:c r="K192" s="38" t="str">
        <x:v>Prompt-only relabeling; preserve episode 801 video, scene, trajectory, target, and start position.</x:v>
      </x:c>
    </x:row>
    <x:row r="193" ht="60" customHeight="1">
      <x:c r="A193" s="36" t="str">
        <x:v>Not applied</x:v>
      </x:c>
      <x:c r="B193" s="37" t="n">
        <x:v>191</x:v>
      </x:c>
      <x:c r="C193" s="37" t="n">
        <x:v>802</x:v>
      </x:c>
      <x:c r="D193" s="37" t="str">
        <x:v>Counting</x:v>
      </x:c>
      <x:c r="E193" s="37" t="str">
        <x:v>Put the blue pen in the bowl.</x:v>
      </x:c>
      <x:c r="F193" s="37" t="str">
        <x:v>Leave exactly one object in the bowl.</x:v>
      </x:c>
      <x:c r="G193" s="37" t="str">
        <x:v>Explicit goal-count grounding</x:v>
      </x:c>
      <x:c r="H193" s="37" t="str">
        <x:v>blue pen, airplane toy without propellers</x:v>
      </x:c>
      <x:c r="I193" s="37" t="str">
        <x:v>blue pen</x:v>
      </x:c>
      <x:c r="J193" s="37" t="str">
        <x:v>Home</x:v>
      </x:c>
      <x:c r="K193" s="38" t="str">
        <x:v>Prompt-only relabeling; preserve episode 802 video, scene, trajectory, target, and start position.</x:v>
      </x:c>
    </x:row>
    <x:row r="194" ht="60" customHeight="1">
      <x:c r="A194" s="36" t="str">
        <x:v>Not applied</x:v>
      </x:c>
      <x:c r="B194" s="37" t="n">
        <x:v>192</x:v>
      </x:c>
      <x:c r="C194" s="37" t="n">
        <x:v>803</x:v>
      </x:c>
      <x:c r="D194" s="37" t="str">
        <x:v>Counting</x:v>
      </x:c>
      <x:c r="E194" s="37" t="str">
        <x:v>Move the blue pen into the bowl.</x:v>
      </x:c>
      <x:c r="F194" s="37" t="str">
        <x:v>Leave exactly one object in the bowl.</x:v>
      </x:c>
      <x:c r="G194" s="37" t="str">
        <x:v>Explicit goal-count grounding</x:v>
      </x:c>
      <x:c r="H194" s="37" t="str">
        <x:v>blue pen, yellow block, airplane toy without propellers</x:v>
      </x:c>
      <x:c r="I194" s="37" t="str">
        <x:v>blue pen</x:v>
      </x:c>
      <x:c r="J194" s="37" t="str">
        <x:v>Post-Drop</x:v>
      </x:c>
      <x:c r="K194" s="38" t="str">
        <x:v>Prompt-only relabeling; preserve episode 803 video, scene, trajectory, target, and start position.</x:v>
      </x:c>
    </x:row>
    <x:row r="195" ht="60" customHeight="1">
      <x:c r="A195" s="36" t="str">
        <x:v>Not applied</x:v>
      </x:c>
      <x:c r="B195" s="37" t="n">
        <x:v>193</x:v>
      </x:c>
      <x:c r="C195" s="37" t="n">
        <x:v>804</x:v>
      </x:c>
      <x:c r="D195" s="37" t="str">
        <x:v>Counting</x:v>
      </x:c>
      <x:c r="E195" s="37" t="str">
        <x:v>Pick up the blue pen and place it in the bowl.</x:v>
      </x:c>
      <x:c r="F195" s="37" t="str">
        <x:v>Leave exactly one object in the bowl.</x:v>
      </x:c>
      <x:c r="G195" s="37" t="str">
        <x:v>Explicit goal-count grounding</x:v>
      </x:c>
      <x:c r="H195" s="37" t="str">
        <x:v>blue pen, green pencil sharpener</x:v>
      </x:c>
      <x:c r="I195" s="37" t="str">
        <x:v>blue pen</x:v>
      </x:c>
      <x:c r="J195" s="37" t="str">
        <x:v>Post-Drop</x:v>
      </x:c>
      <x:c r="K195" s="38" t="str">
        <x:v>Prompt-only relabeling; preserve episode 804 video, scene, trajectory, target, and start position.</x:v>
      </x:c>
    </x:row>
    <x:row r="196" ht="60" customHeight="1">
      <x:c r="A196" s="36" t="str">
        <x:v>Not applied</x:v>
      </x:c>
      <x:c r="B196" s="37" t="n">
        <x:v>194</x:v>
      </x:c>
      <x:c r="C196" s="37" t="n">
        <x:v>805</x:v>
      </x:c>
      <x:c r="D196" s="37" t="str">
        <x:v>Counting</x:v>
      </x:c>
      <x:c r="E196" s="37" t="str">
        <x:v>Pick up the blue pen and place it in the bowl.</x:v>
      </x:c>
      <x:c r="F196" s="37" t="str">
        <x:v>Leave exactly one object in the bowl.</x:v>
      </x:c>
      <x:c r="G196" s="37" t="str">
        <x:v>Explicit goal-count grounding</x:v>
      </x:c>
      <x:c r="H196" s="37" t="str">
        <x:v>blue pen, yellow block</x:v>
      </x:c>
      <x:c r="I196" s="37" t="str">
        <x:v>blue pen</x:v>
      </x:c>
      <x:c r="J196" s="37" t="str">
        <x:v>Post-Drop</x:v>
      </x:c>
      <x:c r="K196" s="38" t="str">
        <x:v>Prompt-only relabeling; preserve episode 805 video, scene, trajectory, target, and start position.</x:v>
      </x:c>
    </x:row>
    <x:row r="197" ht="60" customHeight="1">
      <x:c r="A197" s="36" t="str">
        <x:v>Not applied</x:v>
      </x:c>
      <x:c r="B197" s="37" t="n">
        <x:v>195</x:v>
      </x:c>
      <x:c r="C197" s="37" t="n">
        <x:v>806</x:v>
      </x:c>
      <x:c r="D197" s="37" t="str">
        <x:v>Counting</x:v>
      </x:c>
      <x:c r="E197" s="37" t="str">
        <x:v>Move the blue pen into the bowl.</x:v>
      </x:c>
      <x:c r="F197" s="37" t="str">
        <x:v>Leave exactly one object in the bowl.</x:v>
      </x:c>
      <x:c r="G197" s="37" t="str">
        <x:v>Explicit goal-count grounding</x:v>
      </x:c>
      <x:c r="H197" s="37" t="str">
        <x:v>blue pen, green pencil sharpener, airplane toy without propellers</x:v>
      </x:c>
      <x:c r="I197" s="37" t="str">
        <x:v>blue pen</x:v>
      </x:c>
      <x:c r="J197" s="37" t="str">
        <x:v>Recovery</x:v>
      </x:c>
      <x:c r="K197" s="38" t="str">
        <x:v>Prompt-only relabeling; preserve episode 806 video, scene, trajectory, target, and start position.</x:v>
      </x:c>
    </x:row>
    <x:row r="198" ht="60" customHeight="1">
      <x:c r="A198" s="36" t="str">
        <x:v>Not applied</x:v>
      </x:c>
      <x:c r="B198" s="37" t="n">
        <x:v>196</x:v>
      </x:c>
      <x:c r="C198" s="37" t="n">
        <x:v>807</x:v>
      </x:c>
      <x:c r="D198" s="37" t="str">
        <x:v>Counting</x:v>
      </x:c>
      <x:c r="E198" s="37" t="str">
        <x:v>Pick up the blue pen and place it in the bowl.</x:v>
      </x:c>
      <x:c r="F198" s="37" t="str">
        <x:v>Leave exactly one object in the bowl.</x:v>
      </x:c>
      <x:c r="G198" s="37" t="str">
        <x:v>Explicit goal-count grounding</x:v>
      </x:c>
      <x:c r="H198" s="37" t="str">
        <x:v>blue pen</x:v>
      </x:c>
      <x:c r="I198" s="37" t="str">
        <x:v>blue pen</x:v>
      </x:c>
      <x:c r="J198" s="37" t="str">
        <x:v>Recovery</x:v>
      </x:c>
      <x:c r="K198" s="38" t="str">
        <x:v>Prompt-only relabeling; preserve episode 807 video, scene, trajectory, target, and start position.</x:v>
      </x:c>
    </x:row>
    <x:row r="199" ht="60" customHeight="1">
      <x:c r="A199" s="36" t="str">
        <x:v>Not applied</x:v>
      </x:c>
      <x:c r="B199" s="37" t="n">
        <x:v>197</x:v>
      </x:c>
      <x:c r="C199" s="37" t="n">
        <x:v>843</x:v>
      </x:c>
      <x:c r="D199" s="37" t="str">
        <x:v>Counting</x:v>
      </x:c>
      <x:c r="E199" s="37" t="str">
        <x:v>Take the blue pen out of the bowl.</x:v>
      </x:c>
      <x:c r="F199" s="37" t="str">
        <x:v>Leave exactly three objects in the bowl.</x:v>
      </x:c>
      <x:c r="G199" s="37" t="str">
        <x:v>Explicit goal-count grounding</x:v>
      </x:c>
      <x:c r="H199" s="37" t="str">
        <x:v>blue pen, yellow block, green pencil sharpener, airplane toy without propellers</x:v>
      </x:c>
      <x:c r="I199" s="37" t="str">
        <x:v>blue pen</x:v>
      </x:c>
      <x:c r="J199" s="37" t="str">
        <x:v>Home</x:v>
      </x:c>
      <x:c r="K199" s="38" t="str">
        <x:v>Prompt-only relabeling; preserve episode 843 video, scene, trajectory, target, and start position.</x:v>
      </x:c>
    </x:row>
    <x:row r="200" ht="60" customHeight="1">
      <x:c r="A200" s="36" t="str">
        <x:v>Not applied</x:v>
      </x:c>
      <x:c r="B200" s="37" t="n">
        <x:v>198</x:v>
      </x:c>
      <x:c r="C200" s="37" t="n">
        <x:v>844</x:v>
      </x:c>
      <x:c r="D200" s="37" t="str">
        <x:v>Counting</x:v>
      </x:c>
      <x:c r="E200" s="37" t="str">
        <x:v>Move the blue pen from the bowl to the table.</x:v>
      </x:c>
      <x:c r="F200" s="37" t="str">
        <x:v>Leave exactly three objects in the bowl.</x:v>
      </x:c>
      <x:c r="G200" s="37" t="str">
        <x:v>Explicit goal-count grounding</x:v>
      </x:c>
      <x:c r="H200" s="37" t="str">
        <x:v>blue pen, yellow block, green pencil sharpener, airplane toy without propellers</x:v>
      </x:c>
      <x:c r="I200" s="37" t="str">
        <x:v>blue pen</x:v>
      </x:c>
      <x:c r="J200" s="37" t="str">
        <x:v>Home</x:v>
      </x:c>
      <x:c r="K200" s="38" t="str">
        <x:v>Prompt-only relabeling; preserve episode 844 video, scene, trajectory, target, and start position.</x:v>
      </x:c>
    </x:row>
    <x:row r="201" ht="60" customHeight="1">
      <x:c r="A201" s="36" t="str">
        <x:v>Not applied</x:v>
      </x:c>
      <x:c r="B201" s="37" t="n">
        <x:v>199</x:v>
      </x:c>
      <x:c r="C201" s="37" t="n">
        <x:v>845</x:v>
      </x:c>
      <x:c r="D201" s="37" t="str">
        <x:v>Counting</x:v>
      </x:c>
      <x:c r="E201" s="37" t="str">
        <x:v>Take the blue pen out of the bowl.</x:v>
      </x:c>
      <x:c r="F201" s="37" t="str">
        <x:v>Leave exactly three objects in the bowl.</x:v>
      </x:c>
      <x:c r="G201" s="37" t="str">
        <x:v>Explicit goal-count grounding</x:v>
      </x:c>
      <x:c r="H201" s="37" t="str">
        <x:v>blue pen, yellow block, green pencil sharpener, airplane toy without propellers</x:v>
      </x:c>
      <x:c r="I201" s="37" t="str">
        <x:v>blue pen</x:v>
      </x:c>
      <x:c r="J201" s="37" t="str">
        <x:v>Home</x:v>
      </x:c>
      <x:c r="K201" s="38" t="str">
        <x:v>Prompt-only relabeling; preserve episode 845 video, scene, trajectory, target, and start position.</x:v>
      </x:c>
    </x:row>
    <x:row r="202" ht="60" customHeight="1">
      <x:c r="A202" s="36" t="str">
        <x:v>Not applied</x:v>
      </x:c>
      <x:c r="B202" s="37" t="n">
        <x:v>200</x:v>
      </x:c>
      <x:c r="C202" s="37" t="n">
        <x:v>846</x:v>
      </x:c>
      <x:c r="D202" s="37" t="str">
        <x:v>Counting</x:v>
      </x:c>
      <x:c r="E202" s="37" t="str">
        <x:v>Take the blue pen out of the bowl.</x:v>
      </x:c>
      <x:c r="F202" s="37" t="str">
        <x:v>Leave exactly three objects in the bowl.</x:v>
      </x:c>
      <x:c r="G202" s="37" t="str">
        <x:v>Explicit goal-count grounding</x:v>
      </x:c>
      <x:c r="H202" s="37" t="str">
        <x:v>blue pen, yellow block, green pencil sharpener, airplane toy without propellers</x:v>
      </x:c>
      <x:c r="I202" s="37" t="str">
        <x:v>blue pen</x:v>
      </x:c>
      <x:c r="J202" s="37" t="str">
        <x:v>Post-Drop</x:v>
      </x:c>
      <x:c r="K202" s="38" t="str">
        <x:v>Prompt-only relabeling; preserve episode 846 video, scene, trajectory, target, and start position.</x:v>
      </x:c>
    </x:row>
    <x:row r="203" ht="60" customHeight="1">
      <x:c r="A203" s="36" t="str">
        <x:v>Not applied</x:v>
      </x:c>
      <x:c r="B203" s="37" t="n">
        <x:v>201</x:v>
      </x:c>
      <x:c r="C203" s="37" t="n">
        <x:v>847</x:v>
      </x:c>
      <x:c r="D203" s="37" t="str">
        <x:v>Counting</x:v>
      </x:c>
      <x:c r="E203" s="37" t="str">
        <x:v>Remove the blue pen from the bowl.</x:v>
      </x:c>
      <x:c r="F203" s="37" t="str">
        <x:v>Leave exactly three objects in the bowl.</x:v>
      </x:c>
      <x:c r="G203" s="37" t="str">
        <x:v>Explicit goal-count grounding</x:v>
      </x:c>
      <x:c r="H203" s="37" t="str">
        <x:v>blue pen, yellow block, green pencil sharpener, airplane toy without propellers</x:v>
      </x:c>
      <x:c r="I203" s="37" t="str">
        <x:v>blue pen</x:v>
      </x:c>
      <x:c r="J203" s="37" t="str">
        <x:v>Post-Drop</x:v>
      </x:c>
      <x:c r="K203" s="38" t="str">
        <x:v>Prompt-only relabeling; preserve episode 847 video, scene, trajectory, target, and start position.</x:v>
      </x:c>
    </x:row>
    <x:row r="204" ht="60" customHeight="1">
      <x:c r="A204" s="36" t="str">
        <x:v>Not applied</x:v>
      </x:c>
      <x:c r="B204" s="37" t="n">
        <x:v>202</x:v>
      </x:c>
      <x:c r="C204" s="37" t="n">
        <x:v>848</x:v>
      </x:c>
      <x:c r="D204" s="37" t="str">
        <x:v>Counting</x:v>
      </x:c>
      <x:c r="E204" s="37" t="str">
        <x:v>Move the blue pen from the bowl to the table.</x:v>
      </x:c>
      <x:c r="F204" s="37" t="str">
        <x:v>Leave exactly three objects in the bowl.</x:v>
      </x:c>
      <x:c r="G204" s="37" t="str">
        <x:v>Explicit goal-count grounding</x:v>
      </x:c>
      <x:c r="H204" s="37" t="str">
        <x:v>blue pen, yellow block, green pencil sharpener, airplane toy without propellers</x:v>
      </x:c>
      <x:c r="I204" s="37" t="str">
        <x:v>blue pen</x:v>
      </x:c>
      <x:c r="J204" s="37" t="str">
        <x:v>Post-Drop</x:v>
      </x:c>
      <x:c r="K204" s="38" t="str">
        <x:v>Prompt-only relabeling; preserve episode 848 video, scene, trajectory, target, and start position.</x:v>
      </x:c>
    </x:row>
    <x:row r="205" ht="60" customHeight="1">
      <x:c r="A205" s="36" t="str">
        <x:v>Not applied</x:v>
      </x:c>
      <x:c r="B205" s="37" t="n">
        <x:v>203</x:v>
      </x:c>
      <x:c r="C205" s="37" t="n">
        <x:v>849</x:v>
      </x:c>
      <x:c r="D205" s="37" t="str">
        <x:v>Counting</x:v>
      </x:c>
      <x:c r="E205" s="37" t="str">
        <x:v>Move the blue pen from the bowl to the table.</x:v>
      </x:c>
      <x:c r="F205" s="37" t="str">
        <x:v>Leave exactly three objects in the bowl.</x:v>
      </x:c>
      <x:c r="G205" s="37" t="str">
        <x:v>Explicit goal-count grounding</x:v>
      </x:c>
      <x:c r="H205" s="37" t="str">
        <x:v>blue pen, yellow block, green pencil sharpener, airplane toy without propellers</x:v>
      </x:c>
      <x:c r="I205" s="37" t="str">
        <x:v>blue pen</x:v>
      </x:c>
      <x:c r="J205" s="37" t="str">
        <x:v>Recovery</x:v>
      </x:c>
      <x:c r="K205" s="38" t="str">
        <x:v>Prompt-only relabeling; preserve episode 849 video, scene, trajectory, target, and start position.</x:v>
      </x:c>
    </x:row>
    <x:row r="206" ht="60" customHeight="1">
      <x:c r="A206" s="36" t="str">
        <x:v>Not applied</x:v>
      </x:c>
      <x:c r="B206" s="37" t="n">
        <x:v>204</x:v>
      </x:c>
      <x:c r="C206" s="37" t="n">
        <x:v>850</x:v>
      </x:c>
      <x:c r="D206" s="37" t="str">
        <x:v>Counting</x:v>
      </x:c>
      <x:c r="E206" s="37" t="str">
        <x:v>Move the yellow block into the bowl.</x:v>
      </x:c>
      <x:c r="F206" s="37" t="str">
        <x:v>Leave exactly one object in the bowl.</x:v>
      </x:c>
      <x:c r="G206" s="37" t="str">
        <x:v>Explicit goal-count grounding</x:v>
      </x:c>
      <x:c r="H206" s="37" t="str">
        <x:v>yellow block, green pencil sharpener, airplane toy without propellers, blue pen</x:v>
      </x:c>
      <x:c r="I206" s="37" t="str">
        <x:v>yellow block</x:v>
      </x:c>
      <x:c r="J206" s="37" t="str">
        <x:v>Home</x:v>
      </x:c>
      <x:c r="K206" s="38" t="str">
        <x:v>Prompt-only relabeling; preserve episode 850 video, scene, trajectory, target, and start position.</x:v>
      </x:c>
    </x:row>
    <x:row r="207" ht="60" customHeight="1">
      <x:c r="A207" s="36" t="str">
        <x:v>Not applied</x:v>
      </x:c>
      <x:c r="B207" s="37" t="n">
        <x:v>205</x:v>
      </x:c>
      <x:c r="C207" s="37" t="n">
        <x:v>851</x:v>
      </x:c>
      <x:c r="D207" s="37" t="str">
        <x:v>Counting</x:v>
      </x:c>
      <x:c r="E207" s="37" t="str">
        <x:v>Put the yellow block in the bowl.</x:v>
      </x:c>
      <x:c r="F207" s="37" t="str">
        <x:v>Leave exactly one object in the bowl.</x:v>
      </x:c>
      <x:c r="G207" s="37" t="str">
        <x:v>Explicit goal-count grounding</x:v>
      </x:c>
      <x:c r="H207" s="37" t="str">
        <x:v>yellow block, green pencil sharpener, airplane toy without propellers</x:v>
      </x:c>
      <x:c r="I207" s="37" t="str">
        <x:v>yellow block</x:v>
      </x:c>
      <x:c r="J207" s="37" t="str">
        <x:v>Home</x:v>
      </x:c>
      <x:c r="K207" s="38" t="str">
        <x:v>Prompt-only relabeling; preserve episode 851 video, scene, trajectory, target, and start position.</x:v>
      </x:c>
    </x:row>
    <x:row r="208" ht="60" customHeight="1">
      <x:c r="A208" s="36" t="str">
        <x:v>Not applied</x:v>
      </x:c>
      <x:c r="B208" s="37" t="n">
        <x:v>206</x:v>
      </x:c>
      <x:c r="C208" s="37" t="n">
        <x:v>852</x:v>
      </x:c>
      <x:c r="D208" s="37" t="str">
        <x:v>Counting</x:v>
      </x:c>
      <x:c r="E208" s="37" t="str">
        <x:v>Put the yellow block in the bowl.</x:v>
      </x:c>
      <x:c r="F208" s="37" t="str">
        <x:v>Leave exactly one object in the bowl.</x:v>
      </x:c>
      <x:c r="G208" s="37" t="str">
        <x:v>Explicit goal-count grounding</x:v>
      </x:c>
      <x:c r="H208" s="37" t="str">
        <x:v>yellow block, blue pen</x:v>
      </x:c>
      <x:c r="I208" s="37" t="str">
        <x:v>yellow block</x:v>
      </x:c>
      <x:c r="J208" s="37" t="str">
        <x:v>Home</x:v>
      </x:c>
      <x:c r="K208" s="38" t="str">
        <x:v>Prompt-only relabeling; preserve episode 852 video, scene, trajectory, target, and start position.</x:v>
      </x:c>
    </x:row>
    <x:row r="209" ht="60" customHeight="1">
      <x:c r="A209" s="36" t="str">
        <x:v>Not applied</x:v>
      </x:c>
      <x:c r="B209" s="37" t="n">
        <x:v>207</x:v>
      </x:c>
      <x:c r="C209" s="37" t="n">
        <x:v>853</x:v>
      </x:c>
      <x:c r="D209" s="37" t="str">
        <x:v>Counting</x:v>
      </x:c>
      <x:c r="E209" s="37" t="str">
        <x:v>Put the yellow block in the bowl.</x:v>
      </x:c>
      <x:c r="F209" s="37" t="str">
        <x:v>Leave exactly one object in the bowl.</x:v>
      </x:c>
      <x:c r="G209" s="37" t="str">
        <x:v>Explicit goal-count grounding</x:v>
      </x:c>
      <x:c r="H209" s="37" t="str">
        <x:v>yellow block, green pencil sharpener, blue pen</x:v>
      </x:c>
      <x:c r="I209" s="37" t="str">
        <x:v>yellow block</x:v>
      </x:c>
      <x:c r="J209" s="37" t="str">
        <x:v>Post-Drop</x:v>
      </x:c>
      <x:c r="K209" s="38" t="str">
        <x:v>Prompt-only relabeling; preserve episode 853 video, scene, trajectory, target, and start position.</x:v>
      </x:c>
    </x:row>
    <x:row r="210" ht="60" customHeight="1">
      <x:c r="A210" s="36" t="str">
        <x:v>Not applied</x:v>
      </x:c>
      <x:c r="B210" s="37" t="n">
        <x:v>208</x:v>
      </x:c>
      <x:c r="C210" s="37" t="n">
        <x:v>854</x:v>
      </x:c>
      <x:c r="D210" s="37" t="str">
        <x:v>Counting</x:v>
      </x:c>
      <x:c r="E210" s="37" t="str">
        <x:v>Move the yellow block into the bowl.</x:v>
      </x:c>
      <x:c r="F210" s="37" t="str">
        <x:v>Leave exactly one object in the bowl.</x:v>
      </x:c>
      <x:c r="G210" s="37" t="str">
        <x:v>Explicit goal-count grounding</x:v>
      </x:c>
      <x:c r="H210" s="37" t="str">
        <x:v>yellow block, airplane toy without propellers</x:v>
      </x:c>
      <x:c r="I210" s="37" t="str">
        <x:v>yellow block</x:v>
      </x:c>
      <x:c r="J210" s="37" t="str">
        <x:v>Post-Drop</x:v>
      </x:c>
      <x:c r="K210" s="38" t="str">
        <x:v>Prompt-only relabeling; preserve episode 854 video, scene, trajectory, target, and start position.</x:v>
      </x:c>
    </x:row>
    <x:row r="211" ht="60" customHeight="1">
      <x:c r="A211" s="36" t="str">
        <x:v>Not applied</x:v>
      </x:c>
      <x:c r="B211" s="37" t="n">
        <x:v>209</x:v>
      </x:c>
      <x:c r="C211" s="37" t="n">
        <x:v>855</x:v>
      </x:c>
      <x:c r="D211" s="37" t="str">
        <x:v>Counting</x:v>
      </x:c>
      <x:c r="E211" s="37" t="str">
        <x:v>Pick up the yellow block and place it in the bowl.</x:v>
      </x:c>
      <x:c r="F211" s="37" t="str">
        <x:v>Leave exactly one object in the bowl.</x:v>
      </x:c>
      <x:c r="G211" s="37" t="str">
        <x:v>Explicit goal-count grounding</x:v>
      </x:c>
      <x:c r="H211" s="37" t="str">
        <x:v>yellow block, green pencil sharpener</x:v>
      </x:c>
      <x:c r="I211" s="37" t="str">
        <x:v>yellow block</x:v>
      </x:c>
      <x:c r="J211" s="37" t="str">
        <x:v>Post-Drop</x:v>
      </x:c>
      <x:c r="K211" s="38" t="str">
        <x:v>Prompt-only relabeling; preserve episode 855 video, scene, trajectory, target, and start position.</x:v>
      </x:c>
    </x:row>
    <x:row r="212" ht="60" customHeight="1">
      <x:c r="A212" s="36" t="str">
        <x:v>Not applied</x:v>
      </x:c>
      <x:c r="B212" s="37" t="n">
        <x:v>210</x:v>
      </x:c>
      <x:c r="C212" s="37" t="n">
        <x:v>856</x:v>
      </x:c>
      <x:c r="D212" s="37" t="str">
        <x:v>Counting</x:v>
      </x:c>
      <x:c r="E212" s="37" t="str">
        <x:v>Pick up the yellow block and place it in the bowl.</x:v>
      </x:c>
      <x:c r="F212" s="37" t="str">
        <x:v>Leave exactly one object in the bowl.</x:v>
      </x:c>
      <x:c r="G212" s="37" t="str">
        <x:v>Explicit goal-count grounding</x:v>
      </x:c>
      <x:c r="H212" s="37" t="str">
        <x:v>yellow block, airplane toy without propellers, blue pen</x:v>
      </x:c>
      <x:c r="I212" s="37" t="str">
        <x:v>yellow block</x:v>
      </x:c>
      <x:c r="J212" s="37" t="str">
        <x:v>Recovery</x:v>
      </x:c>
      <x:c r="K212" s="38" t="str">
        <x:v>Prompt-only relabeling; preserve episode 856 video, scene, trajectory, target, and start position.</x:v>
      </x:c>
    </x:row>
    <x:row r="213" ht="60" customHeight="1">
      <x:c r="A213" s="36" t="str">
        <x:v>Not applied</x:v>
      </x:c>
      <x:c r="B213" s="37" t="n">
        <x:v>211</x:v>
      </x:c>
      <x:c r="C213" s="37" t="n">
        <x:v>857</x:v>
      </x:c>
      <x:c r="D213" s="37" t="str">
        <x:v>Counting</x:v>
      </x:c>
      <x:c r="E213" s="37" t="str">
        <x:v>Pick up the yellow block and place it in the bowl.</x:v>
      </x:c>
      <x:c r="F213" s="37" t="str">
        <x:v>Leave exactly one object in the bowl.</x:v>
      </x:c>
      <x:c r="G213" s="37" t="str">
        <x:v>Explicit goal-count grounding</x:v>
      </x:c>
      <x:c r="H213" s="37" t="str">
        <x:v>yellow block</x:v>
      </x:c>
      <x:c r="I213" s="37" t="str">
        <x:v>yellow block</x:v>
      </x:c>
      <x:c r="J213" s="37" t="str">
        <x:v>Recovery</x:v>
      </x:c>
      <x:c r="K213" s="38" t="str">
        <x:v>Prompt-only relabeling; preserve episode 857 video, scene, trajectory, target, and start position.</x:v>
      </x:c>
    </x:row>
    <x:row r="214" ht="60" customHeight="1">
      <x:c r="A214" s="36" t="str">
        <x:v>Not applied</x:v>
      </x:c>
      <x:c r="B214" s="37" t="n">
        <x:v>212</x:v>
      </x:c>
      <x:c r="C214" s="37" t="n">
        <x:v>893</x:v>
      </x:c>
      <x:c r="D214" s="37" t="str">
        <x:v>Counting</x:v>
      </x:c>
      <x:c r="E214" s="37" t="str">
        <x:v>Take the yellow block out of the bowl.</x:v>
      </x:c>
      <x:c r="F214" s="37" t="str">
        <x:v>Leave exactly three objects in the bowl.</x:v>
      </x:c>
      <x:c r="G214" s="37" t="str">
        <x:v>Explicit goal-count grounding</x:v>
      </x:c>
      <x:c r="H214" s="37" t="str">
        <x:v>yellow block, green pencil sharpener, airplane toy without propellers, blue pen</x:v>
      </x:c>
      <x:c r="I214" s="37" t="str">
        <x:v>yellow block</x:v>
      </x:c>
      <x:c r="J214" s="37" t="str">
        <x:v>Home</x:v>
      </x:c>
      <x:c r="K214" s="38" t="str">
        <x:v>Prompt-only relabeling; preserve episode 893 video, scene, trajectory, target, and start position.</x:v>
      </x:c>
    </x:row>
    <x:row r="215" ht="60" customHeight="1">
      <x:c r="A215" s="36" t="str">
        <x:v>Not applied</x:v>
      </x:c>
      <x:c r="B215" s="37" t="n">
        <x:v>213</x:v>
      </x:c>
      <x:c r="C215" s="37" t="n">
        <x:v>894</x:v>
      </x:c>
      <x:c r="D215" s="37" t="str">
        <x:v>Counting</x:v>
      </x:c>
      <x:c r="E215" s="37" t="str">
        <x:v>Take the yellow block out of the bowl.</x:v>
      </x:c>
      <x:c r="F215" s="37" t="str">
        <x:v>Leave exactly three objects in the bowl.</x:v>
      </x:c>
      <x:c r="G215" s="37" t="str">
        <x:v>Explicit goal-count grounding</x:v>
      </x:c>
      <x:c r="H215" s="37" t="str">
        <x:v>yellow block, green pencil sharpener, airplane toy without propellers, blue pen</x:v>
      </x:c>
      <x:c r="I215" s="37" t="str">
        <x:v>yellow block</x:v>
      </x:c>
      <x:c r="J215" s="37" t="str">
        <x:v>Home</x:v>
      </x:c>
      <x:c r="K215" s="38" t="str">
        <x:v>Prompt-only relabeling; preserve episode 894 video, scene, trajectory, target, and start position.</x:v>
      </x:c>
    </x:row>
    <x:row r="216" ht="60" customHeight="1">
      <x:c r="A216" s="36" t="str">
        <x:v>Not applied</x:v>
      </x:c>
      <x:c r="B216" s="37" t="n">
        <x:v>214</x:v>
      </x:c>
      <x:c r="C216" s="37" t="n">
        <x:v>895</x:v>
      </x:c>
      <x:c r="D216" s="37" t="str">
        <x:v>Counting</x:v>
      </x:c>
      <x:c r="E216" s="37" t="str">
        <x:v>Move the yellow block from the bowl to the table.</x:v>
      </x:c>
      <x:c r="F216" s="37" t="str">
        <x:v>Leave exactly three objects in the bowl.</x:v>
      </x:c>
      <x:c r="G216" s="37" t="str">
        <x:v>Explicit goal-count grounding</x:v>
      </x:c>
      <x:c r="H216" s="37" t="str">
        <x:v>yellow block, green pencil sharpener, airplane toy without propellers, blue pen</x:v>
      </x:c>
      <x:c r="I216" s="37" t="str">
        <x:v>yellow block</x:v>
      </x:c>
      <x:c r="J216" s="37" t="str">
        <x:v>Home</x:v>
      </x:c>
      <x:c r="K216" s="38" t="str">
        <x:v>Prompt-only relabeling; preserve episode 895 video, scene, trajectory, target, and start position.</x:v>
      </x:c>
    </x:row>
    <x:row r="217" ht="60" customHeight="1">
      <x:c r="A217" s="36" t="str">
        <x:v>Not applied</x:v>
      </x:c>
      <x:c r="B217" s="37" t="n">
        <x:v>215</x:v>
      </x:c>
      <x:c r="C217" s="37" t="n">
        <x:v>896</x:v>
      </x:c>
      <x:c r="D217" s="37" t="str">
        <x:v>Counting</x:v>
      </x:c>
      <x:c r="E217" s="37" t="str">
        <x:v>Remove the yellow block from the bowl.</x:v>
      </x:c>
      <x:c r="F217" s="37" t="str">
        <x:v>Leave exactly three objects in the bowl.</x:v>
      </x:c>
      <x:c r="G217" s="37" t="str">
        <x:v>Explicit goal-count grounding</x:v>
      </x:c>
      <x:c r="H217" s="37" t="str">
        <x:v>yellow block, green pencil sharpener, airplane toy without propellers, blue pen</x:v>
      </x:c>
      <x:c r="I217" s="37" t="str">
        <x:v>yellow block</x:v>
      </x:c>
      <x:c r="J217" s="37" t="str">
        <x:v>Post-Drop</x:v>
      </x:c>
      <x:c r="K217" s="38" t="str">
        <x:v>Prompt-only relabeling; preserve episode 896 video, scene, trajectory, target, and start position.</x:v>
      </x:c>
    </x:row>
    <x:row r="218" ht="60" customHeight="1">
      <x:c r="A218" s="36" t="str">
        <x:v>Not applied</x:v>
      </x:c>
      <x:c r="B218" s="37" t="n">
        <x:v>216</x:v>
      </x:c>
      <x:c r="C218" s="37" t="n">
        <x:v>897</x:v>
      </x:c>
      <x:c r="D218" s="37" t="str">
        <x:v>Counting</x:v>
      </x:c>
      <x:c r="E218" s="37" t="str">
        <x:v>Remove the yellow block from the bowl.</x:v>
      </x:c>
      <x:c r="F218" s="37" t="str">
        <x:v>Leave exactly three objects in the bowl.</x:v>
      </x:c>
      <x:c r="G218" s="37" t="str">
        <x:v>Explicit goal-count grounding</x:v>
      </x:c>
      <x:c r="H218" s="37" t="str">
        <x:v>yellow block, green pencil sharpener, airplane toy without propellers, blue pen</x:v>
      </x:c>
      <x:c r="I218" s="37" t="str">
        <x:v>yellow block</x:v>
      </x:c>
      <x:c r="J218" s="37" t="str">
        <x:v>Post-Drop</x:v>
      </x:c>
      <x:c r="K218" s="38" t="str">
        <x:v>Prompt-only relabeling; preserve episode 897 video, scene, trajectory, target, and start position.</x:v>
      </x:c>
    </x:row>
    <x:row r="219" ht="60" customHeight="1">
      <x:c r="A219" s="36" t="str">
        <x:v>Not applied</x:v>
      </x:c>
      <x:c r="B219" s="37" t="n">
        <x:v>217</x:v>
      </x:c>
      <x:c r="C219" s="37" t="n">
        <x:v>898</x:v>
      </x:c>
      <x:c r="D219" s="37" t="str">
        <x:v>Counting</x:v>
      </x:c>
      <x:c r="E219" s="37" t="str">
        <x:v>Take the yellow block out of the bowl.</x:v>
      </x:c>
      <x:c r="F219" s="37" t="str">
        <x:v>Leave exactly three objects in the bowl.</x:v>
      </x:c>
      <x:c r="G219" s="37" t="str">
        <x:v>Explicit goal-count grounding</x:v>
      </x:c>
      <x:c r="H219" s="37" t="str">
        <x:v>yellow block, green pencil sharpener, airplane toy without propellers, blue pen</x:v>
      </x:c>
      <x:c r="I219" s="37" t="str">
        <x:v>yellow block</x:v>
      </x:c>
      <x:c r="J219" s="37" t="str">
        <x:v>Post-Drop</x:v>
      </x:c>
      <x:c r="K219" s="38" t="str">
        <x:v>Prompt-only relabeling; preserve episode 898 video, scene, trajectory, target, and start position.</x:v>
      </x:c>
    </x:row>
    <x:row r="220" ht="60" customHeight="1">
      <x:c r="A220" s="36" t="str">
        <x:v>Not applied</x:v>
      </x:c>
      <x:c r="B220" s="37" t="n">
        <x:v>218</x:v>
      </x:c>
      <x:c r="C220" s="37" t="n">
        <x:v>899</x:v>
      </x:c>
      <x:c r="D220" s="37" t="str">
        <x:v>Counting</x:v>
      </x:c>
      <x:c r="E220" s="37" t="str">
        <x:v>Remove the yellow block from the bowl.</x:v>
      </x:c>
      <x:c r="F220" s="37" t="str">
        <x:v>Leave exactly three objects in the bowl.</x:v>
      </x:c>
      <x:c r="G220" s="37" t="str">
        <x:v>Explicit goal-count grounding</x:v>
      </x:c>
      <x:c r="H220" s="37" t="str">
        <x:v>yellow block, green pencil sharpener, airplane toy without propellers, blue pen</x:v>
      </x:c>
      <x:c r="I220" s="37" t="str">
        <x:v>yellow block</x:v>
      </x:c>
      <x:c r="J220" s="37" t="str">
        <x:v>Recovery</x:v>
      </x:c>
      <x:c r="K220" s="38" t="str">
        <x:v>Prompt-only relabeling; preserve episode 899 video, scene, trajectory, target, and start position.</x:v>
      </x:c>
    </x:row>
    <x:row r="221" ht="60" customHeight="1">
      <x:c r="A221" s="36" t="str">
        <x:v>Not applied</x:v>
      </x:c>
      <x:c r="B221" s="37" t="n">
        <x:v>219</x:v>
      </x:c>
      <x:c r="C221" s="37" t="n">
        <x:v>900</x:v>
      </x:c>
      <x:c r="D221" s="37" t="str">
        <x:v>Counting</x:v>
      </x:c>
      <x:c r="E221" s="37" t="str">
        <x:v>Pick up the green pencil sharpener and place it in the bowl.</x:v>
      </x:c>
      <x:c r="F221" s="37" t="str">
        <x:v>Leave exactly one object in the bowl.</x:v>
      </x:c>
      <x:c r="G221" s="37" t="str">
        <x:v>Explicit goal-count grounding</x:v>
      </x:c>
      <x:c r="H221" s="37" t="str">
        <x:v>green pencil sharpener, airplane toy without propellers, blue pen, yellow block</x:v>
      </x:c>
      <x:c r="I221" s="37" t="str">
        <x:v>green pencil sharpener</x:v>
      </x:c>
      <x:c r="J221" s="37" t="str">
        <x:v>Home</x:v>
      </x:c>
      <x:c r="K221" s="38" t="str">
        <x:v>Prompt-only relabeling; preserve episode 900 video, scene, trajectory, target, and start position.</x:v>
      </x:c>
    </x:row>
    <x:row r="222" ht="60" customHeight="1">
      <x:c r="A222" s="36" t="str">
        <x:v>Not applied</x:v>
      </x:c>
      <x:c r="B222" s="37" t="n">
        <x:v>220</x:v>
      </x:c>
      <x:c r="C222" s="37" t="n">
        <x:v>901</x:v>
      </x:c>
      <x:c r="D222" s="37" t="str">
        <x:v>Counting</x:v>
      </x:c>
      <x:c r="E222" s="37" t="str">
        <x:v>Put the green pencil sharpener in the bowl.</x:v>
      </x:c>
      <x:c r="F222" s="37" t="str">
        <x:v>Leave exactly one object in the bowl.</x:v>
      </x:c>
      <x:c r="G222" s="37" t="str">
        <x:v>Explicit goal-count grounding</x:v>
      </x:c>
      <x:c r="H222" s="37" t="str">
        <x:v>green pencil sharpener, airplane toy without propellers, blue pen</x:v>
      </x:c>
      <x:c r="I222" s="37" t="str">
        <x:v>green pencil sharpener</x:v>
      </x:c>
      <x:c r="J222" s="37" t="str">
        <x:v>Home</x:v>
      </x:c>
      <x:c r="K222" s="38" t="str">
        <x:v>Prompt-only relabeling; preserve episode 901 video, scene, trajectory, target, and start position.</x:v>
      </x:c>
    </x:row>
    <x:row r="223" ht="60" customHeight="1">
      <x:c r="A223" s="36" t="str">
        <x:v>Not applied</x:v>
      </x:c>
      <x:c r="B223" s="37" t="n">
        <x:v>221</x:v>
      </x:c>
      <x:c r="C223" s="37" t="n">
        <x:v>902</x:v>
      </x:c>
      <x:c r="D223" s="37" t="str">
        <x:v>Counting</x:v>
      </x:c>
      <x:c r="E223" s="37" t="str">
        <x:v>Pick up the green pencil sharpener and place it in the bowl.</x:v>
      </x:c>
      <x:c r="F223" s="37" t="str">
        <x:v>Leave exactly one object in the bowl.</x:v>
      </x:c>
      <x:c r="G223" s="37" t="str">
        <x:v>Explicit goal-count grounding</x:v>
      </x:c>
      <x:c r="H223" s="37" t="str">
        <x:v>green pencil sharpener, yellow block</x:v>
      </x:c>
      <x:c r="I223" s="37" t="str">
        <x:v>green pencil sharpener</x:v>
      </x:c>
      <x:c r="J223" s="37" t="str">
        <x:v>Home</x:v>
      </x:c>
      <x:c r="K223" s="38" t="str">
        <x:v>Prompt-only relabeling; preserve episode 902 video, scene, trajectory, target, and start position.</x:v>
      </x:c>
    </x:row>
    <x:row r="224" ht="60" customHeight="1">
      <x:c r="A224" s="36" t="str">
        <x:v>Not applied</x:v>
      </x:c>
      <x:c r="B224" s="37" t="n">
        <x:v>222</x:v>
      </x:c>
      <x:c r="C224" s="37" t="n">
        <x:v>903</x:v>
      </x:c>
      <x:c r="D224" s="37" t="str">
        <x:v>Counting</x:v>
      </x:c>
      <x:c r="E224" s="37" t="str">
        <x:v>Put the green pencil sharpener in the bowl.</x:v>
      </x:c>
      <x:c r="F224" s="37" t="str">
        <x:v>Leave exactly one object in the bowl.</x:v>
      </x:c>
      <x:c r="G224" s="37" t="str">
        <x:v>Explicit goal-count grounding</x:v>
      </x:c>
      <x:c r="H224" s="37" t="str">
        <x:v>green pencil sharpener, airplane toy without propellers, yellow block</x:v>
      </x:c>
      <x:c r="I224" s="37" t="str">
        <x:v>green pencil sharpener</x:v>
      </x:c>
      <x:c r="J224" s="37" t="str">
        <x:v>Post-Drop</x:v>
      </x:c>
      <x:c r="K224" s="38" t="str">
        <x:v>Prompt-only relabeling; preserve episode 903 video, scene, trajectory, target, and start position.</x:v>
      </x:c>
    </x:row>
    <x:row r="225" ht="60" customHeight="1">
      <x:c r="A225" s="36" t="str">
        <x:v>Not applied</x:v>
      </x:c>
      <x:c r="B225" s="37" t="n">
        <x:v>223</x:v>
      </x:c>
      <x:c r="C225" s="37" t="n">
        <x:v>904</x:v>
      </x:c>
      <x:c r="D225" s="37" t="str">
        <x:v>Counting</x:v>
      </x:c>
      <x:c r="E225" s="37" t="str">
        <x:v>Put the green pencil sharpener in the bowl.</x:v>
      </x:c>
      <x:c r="F225" s="37" t="str">
        <x:v>Leave exactly one object in the bowl.</x:v>
      </x:c>
      <x:c r="G225" s="37" t="str">
        <x:v>Explicit goal-count grounding</x:v>
      </x:c>
      <x:c r="H225" s="37" t="str">
        <x:v>green pencil sharpener, blue pen</x:v>
      </x:c>
      <x:c r="I225" s="37" t="str">
        <x:v>green pencil sharpener</x:v>
      </x:c>
      <x:c r="J225" s="37" t="str">
        <x:v>Post-Drop</x:v>
      </x:c>
      <x:c r="K225" s="38" t="str">
        <x:v>Prompt-only relabeling; preserve episode 904 video, scene, trajectory, target, and start position.</x:v>
      </x:c>
    </x:row>
    <x:row r="226" ht="60" customHeight="1">
      <x:c r="A226" s="36" t="str">
        <x:v>Not applied</x:v>
      </x:c>
      <x:c r="B226" s="37" t="n">
        <x:v>224</x:v>
      </x:c>
      <x:c r="C226" s="37" t="n">
        <x:v>905</x:v>
      </x:c>
      <x:c r="D226" s="37" t="str">
        <x:v>Counting</x:v>
      </x:c>
      <x:c r="E226" s="37" t="str">
        <x:v>Put the green pencil sharpener in the bowl.</x:v>
      </x:c>
      <x:c r="F226" s="37" t="str">
        <x:v>Leave exactly one object in the bowl.</x:v>
      </x:c>
      <x:c r="G226" s="37" t="str">
        <x:v>Explicit goal-count grounding</x:v>
      </x:c>
      <x:c r="H226" s="37" t="str">
        <x:v>green pencil sharpener, airplane toy without propellers</x:v>
      </x:c>
      <x:c r="I226" s="37" t="str">
        <x:v>green pencil sharpener</x:v>
      </x:c>
      <x:c r="J226" s="37" t="str">
        <x:v>Post-Drop</x:v>
      </x:c>
      <x:c r="K226" s="38" t="str">
        <x:v>Prompt-only relabeling; preserve episode 905 video, scene, trajectory, target, and start position.</x:v>
      </x:c>
    </x:row>
    <x:row r="227" ht="60" customHeight="1">
      <x:c r="A227" s="36" t="str">
        <x:v>Not applied</x:v>
      </x:c>
      <x:c r="B227" s="37" t="n">
        <x:v>225</x:v>
      </x:c>
      <x:c r="C227" s="37" t="n">
        <x:v>906</x:v>
      </x:c>
      <x:c r="D227" s="37" t="str">
        <x:v>Counting</x:v>
      </x:c>
      <x:c r="E227" s="37" t="str">
        <x:v>Move the green pencil sharpener into the bowl.</x:v>
      </x:c>
      <x:c r="F227" s="37" t="str">
        <x:v>Leave exactly one object in the bowl.</x:v>
      </x:c>
      <x:c r="G227" s="37" t="str">
        <x:v>Explicit goal-count grounding</x:v>
      </x:c>
      <x:c r="H227" s="37" t="str">
        <x:v>green pencil sharpener, blue pen, yellow block</x:v>
      </x:c>
      <x:c r="I227" s="37" t="str">
        <x:v>green pencil sharpener</x:v>
      </x:c>
      <x:c r="J227" s="37" t="str">
        <x:v>Recovery</x:v>
      </x:c>
      <x:c r="K227" s="38" t="str">
        <x:v>Prompt-only relabeling; preserve episode 906 video, scene, trajectory, target, and start position.</x:v>
      </x:c>
    </x:row>
    <x:row r="228" ht="60" customHeight="1">
      <x:c r="A228" s="36" t="str">
        <x:v>Not applied</x:v>
      </x:c>
      <x:c r="B228" s="37" t="n">
        <x:v>226</x:v>
      </x:c>
      <x:c r="C228" s="37" t="n">
        <x:v>907</x:v>
      </x:c>
      <x:c r="D228" s="37" t="str">
        <x:v>Counting</x:v>
      </x:c>
      <x:c r="E228" s="37" t="str">
        <x:v>Pick up the green pencil sharpener and place it in the bowl.</x:v>
      </x:c>
      <x:c r="F228" s="37" t="str">
        <x:v>Leave exactly one object in the bowl.</x:v>
      </x:c>
      <x:c r="G228" s="37" t="str">
        <x:v>Explicit goal-count grounding</x:v>
      </x:c>
      <x:c r="H228" s="37" t="str">
        <x:v>green pencil sharpener</x:v>
      </x:c>
      <x:c r="I228" s="37" t="str">
        <x:v>green pencil sharpener</x:v>
      </x:c>
      <x:c r="J228" s="37" t="str">
        <x:v>Recovery</x:v>
      </x:c>
      <x:c r="K228" s="38" t="str">
        <x:v>Prompt-only relabeling; preserve episode 907 video, scene, trajectory, target, and start position.</x:v>
      </x:c>
    </x:row>
    <x:row r="229" ht="60" customHeight="1">
      <x:c r="A229" s="36" t="str">
        <x:v>Not applied</x:v>
      </x:c>
      <x:c r="B229" s="37" t="n">
        <x:v>227</x:v>
      </x:c>
      <x:c r="C229" s="37" t="n">
        <x:v>943</x:v>
      </x:c>
      <x:c r="D229" s="37" t="str">
        <x:v>Counting</x:v>
      </x:c>
      <x:c r="E229" s="37" t="str">
        <x:v>Take the green pencil sharpener out of the bowl.</x:v>
      </x:c>
      <x:c r="F229" s="37" t="str">
        <x:v>Leave exactly three objects in the bowl.</x:v>
      </x:c>
      <x:c r="G229" s="37" t="str">
        <x:v>Explicit goal-count grounding</x:v>
      </x:c>
      <x:c r="H229" s="37" t="str">
        <x:v>green pencil sharpener, airplane toy without propellers, blue pen, yellow block</x:v>
      </x:c>
      <x:c r="I229" s="37" t="str">
        <x:v>green pencil sharpener</x:v>
      </x:c>
      <x:c r="J229" s="37" t="str">
        <x:v>Home</x:v>
      </x:c>
      <x:c r="K229" s="38" t="str">
        <x:v>Prompt-only relabeling; preserve episode 943 video, scene, trajectory, target, and start position.</x:v>
      </x:c>
    </x:row>
    <x:row r="230" ht="60" customHeight="1">
      <x:c r="A230" s="36" t="str">
        <x:v>Not applied</x:v>
      </x:c>
      <x:c r="B230" s="37" t="n">
        <x:v>228</x:v>
      </x:c>
      <x:c r="C230" s="37" t="n">
        <x:v>944</x:v>
      </x:c>
      <x:c r="D230" s="37" t="str">
        <x:v>Counting</x:v>
      </x:c>
      <x:c r="E230" s="37" t="str">
        <x:v>Take the green pencil sharpener out of the bowl.</x:v>
      </x:c>
      <x:c r="F230" s="37" t="str">
        <x:v>Leave exactly three objects in the bowl.</x:v>
      </x:c>
      <x:c r="G230" s="37" t="str">
        <x:v>Explicit goal-count grounding</x:v>
      </x:c>
      <x:c r="H230" s="37" t="str">
        <x:v>green pencil sharpener, airplane toy without propellers, blue pen, yellow block</x:v>
      </x:c>
      <x:c r="I230" s="37" t="str">
        <x:v>green pencil sharpener</x:v>
      </x:c>
      <x:c r="J230" s="37" t="str">
        <x:v>Home</x:v>
      </x:c>
      <x:c r="K230" s="38" t="str">
        <x:v>Prompt-only relabeling; preserve episode 944 video, scene, trajectory, target, and start position.</x:v>
      </x:c>
    </x:row>
    <x:row r="231" ht="60" customHeight="1">
      <x:c r="A231" s="36" t="str">
        <x:v>Not applied</x:v>
      </x:c>
      <x:c r="B231" s="37" t="n">
        <x:v>229</x:v>
      </x:c>
      <x:c r="C231" s="37" t="n">
        <x:v>945</x:v>
      </x:c>
      <x:c r="D231" s="37" t="str">
        <x:v>Counting</x:v>
      </x:c>
      <x:c r="E231" s="37" t="str">
        <x:v>Move the green pencil sharpener from the bowl to the table.</x:v>
      </x:c>
      <x:c r="F231" s="37" t="str">
        <x:v>Leave exactly three objects in the bowl.</x:v>
      </x:c>
      <x:c r="G231" s="37" t="str">
        <x:v>Explicit goal-count grounding</x:v>
      </x:c>
      <x:c r="H231" s="37" t="str">
        <x:v>green pencil sharpener, airplane toy without propellers, blue pen, yellow block</x:v>
      </x:c>
      <x:c r="I231" s="37" t="str">
        <x:v>green pencil sharpener</x:v>
      </x:c>
      <x:c r="J231" s="37" t="str">
        <x:v>Home</x:v>
      </x:c>
      <x:c r="K231" s="38" t="str">
        <x:v>Prompt-only relabeling; preserve episode 945 video, scene, trajectory, target, and start position.</x:v>
      </x:c>
    </x:row>
    <x:row r="232" ht="60" customHeight="1">
      <x:c r="A232" s="36" t="str">
        <x:v>Not applied</x:v>
      </x:c>
      <x:c r="B232" s="37" t="n">
        <x:v>230</x:v>
      </x:c>
      <x:c r="C232" s="37" t="n">
        <x:v>946</x:v>
      </x:c>
      <x:c r="D232" s="37" t="str">
        <x:v>Counting</x:v>
      </x:c>
      <x:c r="E232" s="37" t="str">
        <x:v>Take the green pencil sharpener out of the bowl.</x:v>
      </x:c>
      <x:c r="F232" s="37" t="str">
        <x:v>Leave exactly three objects in the bowl.</x:v>
      </x:c>
      <x:c r="G232" s="37" t="str">
        <x:v>Explicit goal-count grounding</x:v>
      </x:c>
      <x:c r="H232" s="37" t="str">
        <x:v>green pencil sharpener, airplane toy without propellers, blue pen, yellow block</x:v>
      </x:c>
      <x:c r="I232" s="37" t="str">
        <x:v>green pencil sharpener</x:v>
      </x:c>
      <x:c r="J232" s="37" t="str">
        <x:v>Post-Drop</x:v>
      </x:c>
      <x:c r="K232" s="38" t="str">
        <x:v>Prompt-only relabeling; preserve episode 946 video, scene, trajectory, target, and start position.</x:v>
      </x:c>
    </x:row>
    <x:row r="233" ht="60" customHeight="1">
      <x:c r="A233" s="36" t="str">
        <x:v>Not applied</x:v>
      </x:c>
      <x:c r="B233" s="37" t="n">
        <x:v>231</x:v>
      </x:c>
      <x:c r="C233" s="37" t="n">
        <x:v>947</x:v>
      </x:c>
      <x:c r="D233" s="37" t="str">
        <x:v>Counting</x:v>
      </x:c>
      <x:c r="E233" s="37" t="str">
        <x:v>Remove the green pencil sharpener from the bowl.</x:v>
      </x:c>
      <x:c r="F233" s="37" t="str">
        <x:v>Leave exactly three objects in the bowl.</x:v>
      </x:c>
      <x:c r="G233" s="37" t="str">
        <x:v>Explicit goal-count grounding</x:v>
      </x:c>
      <x:c r="H233" s="37" t="str">
        <x:v>green pencil sharpener, airplane toy without propellers, blue pen, yellow block</x:v>
      </x:c>
      <x:c r="I233" s="37" t="str">
        <x:v>green pencil sharpener</x:v>
      </x:c>
      <x:c r="J233" s="37" t="str">
        <x:v>Post-Drop</x:v>
      </x:c>
      <x:c r="K233" s="38" t="str">
        <x:v>Prompt-only relabeling; preserve episode 947 video, scene, trajectory, target, and start position.</x:v>
      </x:c>
    </x:row>
    <x:row r="234" ht="60" customHeight="1">
      <x:c r="A234" s="36" t="str">
        <x:v>Not applied</x:v>
      </x:c>
      <x:c r="B234" s="37" t="n">
        <x:v>232</x:v>
      </x:c>
      <x:c r="C234" s="37" t="n">
        <x:v>948</x:v>
      </x:c>
      <x:c r="D234" s="37" t="str">
        <x:v>Counting</x:v>
      </x:c>
      <x:c r="E234" s="37" t="str">
        <x:v>Remove the green pencil sharpener from the bowl.</x:v>
      </x:c>
      <x:c r="F234" s="37" t="str">
        <x:v>Leave exactly three objects in the bowl.</x:v>
      </x:c>
      <x:c r="G234" s="37" t="str">
        <x:v>Explicit goal-count grounding</x:v>
      </x:c>
      <x:c r="H234" s="37" t="str">
        <x:v>green pencil sharpener, airplane toy without propellers, blue pen, yellow block</x:v>
      </x:c>
      <x:c r="I234" s="37" t="str">
        <x:v>green pencil sharpener</x:v>
      </x:c>
      <x:c r="J234" s="37" t="str">
        <x:v>Post-Drop</x:v>
      </x:c>
      <x:c r="K234" s="38" t="str">
        <x:v>Prompt-only relabeling; preserve episode 948 video, scene, trajectory, target, and start position.</x:v>
      </x:c>
    </x:row>
    <x:row r="235" ht="60" customHeight="1">
      <x:c r="A235" s="36" t="str">
        <x:v>Not applied</x:v>
      </x:c>
      <x:c r="B235" s="37" t="n">
        <x:v>233</x:v>
      </x:c>
      <x:c r="C235" s="37" t="n">
        <x:v>949</x:v>
      </x:c>
      <x:c r="D235" s="37" t="str">
        <x:v>Counting</x:v>
      </x:c>
      <x:c r="E235" s="37" t="str">
        <x:v>Take the green pencil sharpener out of the bowl.</x:v>
      </x:c>
      <x:c r="F235" s="37" t="str">
        <x:v>Leave exactly three objects in the bowl.</x:v>
      </x:c>
      <x:c r="G235" s="37" t="str">
        <x:v>Explicit goal-count grounding</x:v>
      </x:c>
      <x:c r="H235" s="37" t="str">
        <x:v>green pencil sharpener, airplane toy without propellers, blue pen, yellow block</x:v>
      </x:c>
      <x:c r="I235" s="37" t="str">
        <x:v>green pencil sharpener</x:v>
      </x:c>
      <x:c r="J235" s="37" t="str">
        <x:v>Recovery</x:v>
      </x:c>
      <x:c r="K235" s="38" t="str">
        <x:v>Prompt-only relabeling; preserve episode 949 video, scene, trajectory, target, and start position.</x:v>
      </x:c>
    </x:row>
    <x:row r="236" ht="60" customHeight="1">
      <x:c r="A236" s="36" t="str">
        <x:v>Not applied</x:v>
      </x:c>
      <x:c r="B236" s="37" t="n">
        <x:v>234</x:v>
      </x:c>
      <x:c r="C236" s="37" t="n">
        <x:v>950</x:v>
      </x:c>
      <x:c r="D236" s="37" t="str">
        <x:v>Counting</x:v>
      </x:c>
      <x:c r="E236" s="37" t="str">
        <x:v>Move the airplane toy without propellers into the bowl.</x:v>
      </x:c>
      <x:c r="F236" s="37" t="str">
        <x:v>Leave exactly one object in the bowl.</x:v>
      </x:c>
      <x:c r="G236" s="37" t="str">
        <x:v>Explicit goal-count grounding</x:v>
      </x:c>
      <x:c r="H236" s="37" t="str">
        <x:v>airplane toy without propellers, blue pen, yellow block, green pencil sharpener</x:v>
      </x:c>
      <x:c r="I236" s="37" t="str">
        <x:v>airplane toy without propellers</x:v>
      </x:c>
      <x:c r="J236" s="37" t="str">
        <x:v>Home</x:v>
      </x:c>
      <x:c r="K236" s="38" t="str">
        <x:v>Prompt-only relabeling; preserve episode 950 video, scene, trajectory, target, and start position.</x:v>
      </x:c>
    </x:row>
    <x:row r="237" ht="60" customHeight="1">
      <x:c r="A237" s="36" t="str">
        <x:v>Not applied</x:v>
      </x:c>
      <x:c r="B237" s="37" t="n">
        <x:v>235</x:v>
      </x:c>
      <x:c r="C237" s="37" t="n">
        <x:v>951</x:v>
      </x:c>
      <x:c r="D237" s="37" t="str">
        <x:v>Counting</x:v>
      </x:c>
      <x:c r="E237" s="37" t="str">
        <x:v>Put the airplane toy without propellers in the bowl.</x:v>
      </x:c>
      <x:c r="F237" s="37" t="str">
        <x:v>Leave exactly one object in the bowl.</x:v>
      </x:c>
      <x:c r="G237" s="37" t="str">
        <x:v>Explicit goal-count grounding</x:v>
      </x:c>
      <x:c r="H237" s="37" t="str">
        <x:v>airplane toy without propellers, blue pen, yellow block</x:v>
      </x:c>
      <x:c r="I237" s="37" t="str">
        <x:v>airplane toy without propellers</x:v>
      </x:c>
      <x:c r="J237" s="37" t="str">
        <x:v>Home</x:v>
      </x:c>
      <x:c r="K237" s="38" t="str">
        <x:v>Prompt-only relabeling; preserve episode 951 video, scene, trajectory, target, and start position.</x:v>
      </x:c>
    </x:row>
    <x:row r="238" ht="60" customHeight="1">
      <x:c r="A238" s="36" t="str">
        <x:v>Not applied</x:v>
      </x:c>
      <x:c r="B238" s="37" t="n">
        <x:v>236</x:v>
      </x:c>
      <x:c r="C238" s="37" t="n">
        <x:v>952</x:v>
      </x:c>
      <x:c r="D238" s="37" t="str">
        <x:v>Counting</x:v>
      </x:c>
      <x:c r="E238" s="37" t="str">
        <x:v>Move the airplane toy without propellers into the bowl.</x:v>
      </x:c>
      <x:c r="F238" s="37" t="str">
        <x:v>Leave exactly one object in the bowl.</x:v>
      </x:c>
      <x:c r="G238" s="37" t="str">
        <x:v>Explicit goal-count grounding</x:v>
      </x:c>
      <x:c r="H238" s="37" t="str">
        <x:v>airplane toy without propellers, green pencil sharpener</x:v>
      </x:c>
      <x:c r="I238" s="37" t="str">
        <x:v>airplane toy without propellers</x:v>
      </x:c>
      <x:c r="J238" s="37" t="str">
        <x:v>Home</x:v>
      </x:c>
      <x:c r="K238" s="38" t="str">
        <x:v>Prompt-only relabeling; preserve episode 952 video, scene, trajectory, target, and start position.</x:v>
      </x:c>
    </x:row>
    <x:row r="239" ht="60" customHeight="1">
      <x:c r="A239" s="36" t="str">
        <x:v>Not applied</x:v>
      </x:c>
      <x:c r="B239" s="37" t="n">
        <x:v>237</x:v>
      </x:c>
      <x:c r="C239" s="37" t="n">
        <x:v>953</x:v>
      </x:c>
      <x:c r="D239" s="37" t="str">
        <x:v>Counting</x:v>
      </x:c>
      <x:c r="E239" s="37" t="str">
        <x:v>Put the airplane toy without propellers in the bowl.</x:v>
      </x:c>
      <x:c r="F239" s="37" t="str">
        <x:v>Leave exactly one object in the bowl.</x:v>
      </x:c>
      <x:c r="G239" s="37" t="str">
        <x:v>Explicit goal-count grounding</x:v>
      </x:c>
      <x:c r="H239" s="37" t="str">
        <x:v>airplane toy without propellers, blue pen, green pencil sharpener</x:v>
      </x:c>
      <x:c r="I239" s="37" t="str">
        <x:v>airplane toy without propellers</x:v>
      </x:c>
      <x:c r="J239" s="37" t="str">
        <x:v>Post-Drop</x:v>
      </x:c>
      <x:c r="K239" s="38" t="str">
        <x:v>Prompt-only relabeling; preserve episode 953 video, scene, trajectory, target, and start position.</x:v>
      </x:c>
    </x:row>
    <x:row r="240" ht="60" customHeight="1">
      <x:c r="A240" s="36" t="str">
        <x:v>Not applied</x:v>
      </x:c>
      <x:c r="B240" s="37" t="n">
        <x:v>238</x:v>
      </x:c>
      <x:c r="C240" s="37" t="n">
        <x:v>954</x:v>
      </x:c>
      <x:c r="D240" s="37" t="str">
        <x:v>Counting</x:v>
      </x:c>
      <x:c r="E240" s="37" t="str">
        <x:v>Pick up the airplane toy without propellers and place it in the bowl.</x:v>
      </x:c>
      <x:c r="F240" s="37" t="str">
        <x:v>Leave exactly one object in the bowl.</x:v>
      </x:c>
      <x:c r="G240" s="37" t="str">
        <x:v>Explicit goal-count grounding</x:v>
      </x:c>
      <x:c r="H240" s="37" t="str">
        <x:v>airplane toy without propellers, yellow block</x:v>
      </x:c>
      <x:c r="I240" s="37" t="str">
        <x:v>airplane toy without propellers</x:v>
      </x:c>
      <x:c r="J240" s="37" t="str">
        <x:v>Post-Drop</x:v>
      </x:c>
      <x:c r="K240" s="38" t="str">
        <x:v>Prompt-only relabeling; preserve episode 954 video, scene, trajectory, target, and start position.</x:v>
      </x:c>
    </x:row>
    <x:row r="241" ht="60" customHeight="1">
      <x:c r="A241" s="36" t="str">
        <x:v>Not applied</x:v>
      </x:c>
      <x:c r="B241" s="37" t="n">
        <x:v>239</x:v>
      </x:c>
      <x:c r="C241" s="37" t="n">
        <x:v>955</x:v>
      </x:c>
      <x:c r="D241" s="37" t="str">
        <x:v>Counting</x:v>
      </x:c>
      <x:c r="E241" s="37" t="str">
        <x:v>Put the airplane toy without propellers in the bowl.</x:v>
      </x:c>
      <x:c r="F241" s="37" t="str">
        <x:v>Leave exactly one object in the bowl.</x:v>
      </x:c>
      <x:c r="G241" s="37" t="str">
        <x:v>Explicit goal-count grounding</x:v>
      </x:c>
      <x:c r="H241" s="37" t="str">
        <x:v>airplane toy without propellers, blue pen</x:v>
      </x:c>
      <x:c r="I241" s="37" t="str">
        <x:v>airplane toy without propellers</x:v>
      </x:c>
      <x:c r="J241" s="37" t="str">
        <x:v>Post-Drop</x:v>
      </x:c>
      <x:c r="K241" s="38" t="str">
        <x:v>Prompt-only relabeling; preserve episode 955 video, scene, trajectory, target, and start position.</x:v>
      </x:c>
    </x:row>
    <x:row r="242" ht="60" customHeight="1">
      <x:c r="A242" s="36" t="str">
        <x:v>Not applied</x:v>
      </x:c>
      <x:c r="B242" s="37" t="n">
        <x:v>240</x:v>
      </x:c>
      <x:c r="C242" s="37" t="n">
        <x:v>956</x:v>
      </x:c>
      <x:c r="D242" s="37" t="str">
        <x:v>Counting</x:v>
      </x:c>
      <x:c r="E242" s="37" t="str">
        <x:v>Pick up the airplane toy without propellers and place it in the bowl.</x:v>
      </x:c>
      <x:c r="F242" s="37" t="str">
        <x:v>Leave exactly one object in the bowl.</x:v>
      </x:c>
      <x:c r="G242" s="37" t="str">
        <x:v>Explicit goal-count grounding</x:v>
      </x:c>
      <x:c r="H242" s="37" t="str">
        <x:v>airplane toy without propellers, yellow block, green pencil sharpener</x:v>
      </x:c>
      <x:c r="I242" s="37" t="str">
        <x:v>airplane toy without propellers</x:v>
      </x:c>
      <x:c r="J242" s="37" t="str">
        <x:v>Recovery</x:v>
      </x:c>
      <x:c r="K242" s="38" t="str">
        <x:v>Prompt-only relabeling; preserve episode 956 video, scene, trajectory, target, and start position.</x:v>
      </x:c>
    </x:row>
    <x:row r="243" ht="60" customHeight="1">
      <x:c r="A243" s="36" t="str">
        <x:v>Not applied</x:v>
      </x:c>
      <x:c r="B243" s="37" t="n">
        <x:v>241</x:v>
      </x:c>
      <x:c r="C243" s="37" t="n">
        <x:v>957</x:v>
      </x:c>
      <x:c r="D243" s="37" t="str">
        <x:v>Counting</x:v>
      </x:c>
      <x:c r="E243" s="37" t="str">
        <x:v>Put the airplane toy without propellers in the bowl.</x:v>
      </x:c>
      <x:c r="F243" s="37" t="str">
        <x:v>Leave exactly one object in the bowl.</x:v>
      </x:c>
      <x:c r="G243" s="37" t="str">
        <x:v>Explicit goal-count grounding</x:v>
      </x:c>
      <x:c r="H243" s="37" t="str">
        <x:v>airplane toy without propellers</x:v>
      </x:c>
      <x:c r="I243" s="37" t="str">
        <x:v>airplane toy without propellers</x:v>
      </x:c>
      <x:c r="J243" s="37" t="str">
        <x:v>Recovery</x:v>
      </x:c>
      <x:c r="K243" s="38" t="str">
        <x:v>Prompt-only relabeling; preserve episode 957 video, scene, trajectory, target, and start position.</x:v>
      </x:c>
    </x:row>
    <x:row r="244" ht="60" customHeight="1">
      <x:c r="A244" s="36" t="str">
        <x:v>Not applied</x:v>
      </x:c>
      <x:c r="B244" s="37" t="n">
        <x:v>242</x:v>
      </x:c>
      <x:c r="C244" s="37" t="n">
        <x:v>993</x:v>
      </x:c>
      <x:c r="D244" s="37" t="str">
        <x:v>Counting</x:v>
      </x:c>
      <x:c r="E244" s="37" t="str">
        <x:v>Remove the airplane toy without propellers from the bowl.</x:v>
      </x:c>
      <x:c r="F244" s="37" t="str">
        <x:v>Leave exactly three objects in the bowl.</x:v>
      </x:c>
      <x:c r="G244" s="37" t="str">
        <x:v>Explicit goal-count grounding</x:v>
      </x:c>
      <x:c r="H244" s="37" t="str">
        <x:v>airplane toy without propellers, blue pen, yellow block, green pencil sharpener</x:v>
      </x:c>
      <x:c r="I244" s="37" t="str">
        <x:v>airplane toy without propellers</x:v>
      </x:c>
      <x:c r="J244" s="37" t="str">
        <x:v>Home</x:v>
      </x:c>
      <x:c r="K244" s="38" t="str">
        <x:v>Prompt-only relabeling; preserve episode 993 video, scene, trajectory, target, and start position.</x:v>
      </x:c>
    </x:row>
    <x:row r="245" ht="60" customHeight="1">
      <x:c r="A245" s="36" t="str">
        <x:v>Not applied</x:v>
      </x:c>
      <x:c r="B245" s="37" t="n">
        <x:v>243</x:v>
      </x:c>
      <x:c r="C245" s="37" t="n">
        <x:v>994</x:v>
      </x:c>
      <x:c r="D245" s="37" t="str">
        <x:v>Counting</x:v>
      </x:c>
      <x:c r="E245" s="37" t="str">
        <x:v>Take the airplane toy without propellers out of the bowl.</x:v>
      </x:c>
      <x:c r="F245" s="37" t="str">
        <x:v>Leave exactly three objects in the bowl.</x:v>
      </x:c>
      <x:c r="G245" s="37" t="str">
        <x:v>Explicit goal-count grounding</x:v>
      </x:c>
      <x:c r="H245" s="37" t="str">
        <x:v>airplane toy without propellers, blue pen, yellow block, green pencil sharpener</x:v>
      </x:c>
      <x:c r="I245" s="37" t="str">
        <x:v>airplane toy without propellers</x:v>
      </x:c>
      <x:c r="J245" s="37" t="str">
        <x:v>Home</x:v>
      </x:c>
      <x:c r="K245" s="38" t="str">
        <x:v>Prompt-only relabeling; preserve episode 994 video, scene, trajectory, target, and start position.</x:v>
      </x:c>
    </x:row>
    <x:row r="246" ht="60" customHeight="1">
      <x:c r="A246" s="36" t="str">
        <x:v>Not applied</x:v>
      </x:c>
      <x:c r="B246" s="37" t="n">
        <x:v>244</x:v>
      </x:c>
      <x:c r="C246" s="37" t="n">
        <x:v>995</x:v>
      </x:c>
      <x:c r="D246" s="37" t="str">
        <x:v>Counting</x:v>
      </x:c>
      <x:c r="E246" s="37" t="str">
        <x:v>Move the airplane toy without propellers from the bowl to the table.</x:v>
      </x:c>
      <x:c r="F246" s="37" t="str">
        <x:v>Leave exactly three objects in the bowl.</x:v>
      </x:c>
      <x:c r="G246" s="37" t="str">
        <x:v>Explicit goal-count grounding</x:v>
      </x:c>
      <x:c r="H246" s="37" t="str">
        <x:v>airplane toy without propellers, blue pen, yellow block, green pencil sharpener</x:v>
      </x:c>
      <x:c r="I246" s="37" t="str">
        <x:v>airplane toy without propellers</x:v>
      </x:c>
      <x:c r="J246" s="37" t="str">
        <x:v>Home</x:v>
      </x:c>
      <x:c r="K246" s="38" t="str">
        <x:v>Prompt-only relabeling; preserve episode 995 video, scene, trajectory, target, and start position.</x:v>
      </x:c>
    </x:row>
    <x:row r="247" ht="60" customHeight="1">
      <x:c r="A247" s="36" t="str">
        <x:v>Not applied</x:v>
      </x:c>
      <x:c r="B247" s="37" t="n">
        <x:v>245</x:v>
      </x:c>
      <x:c r="C247" s="37" t="n">
        <x:v>996</x:v>
      </x:c>
      <x:c r="D247" s="37" t="str">
        <x:v>Counting</x:v>
      </x:c>
      <x:c r="E247" s="37" t="str">
        <x:v>Take the airplane toy without propellers out of the bowl.</x:v>
      </x:c>
      <x:c r="F247" s="37" t="str">
        <x:v>Leave exactly three objects in the bowl.</x:v>
      </x:c>
      <x:c r="G247" s="37" t="str">
        <x:v>Explicit goal-count grounding</x:v>
      </x:c>
      <x:c r="H247" s="37" t="str">
        <x:v>airplane toy without propellers, blue pen, yellow block, green pencil sharpener</x:v>
      </x:c>
      <x:c r="I247" s="37" t="str">
        <x:v>airplane toy without propellers</x:v>
      </x:c>
      <x:c r="J247" s="37" t="str">
        <x:v>Post-Drop</x:v>
      </x:c>
      <x:c r="K247" s="38" t="str">
        <x:v>Prompt-only relabeling; preserve episode 996 video, scene, trajectory, target, and start position.</x:v>
      </x:c>
    </x:row>
    <x:row r="248" ht="60" customHeight="1">
      <x:c r="A248" s="36" t="str">
        <x:v>Not applied</x:v>
      </x:c>
      <x:c r="B248" s="37" t="n">
        <x:v>246</x:v>
      </x:c>
      <x:c r="C248" s="37" t="n">
        <x:v>997</x:v>
      </x:c>
      <x:c r="D248" s="37" t="str">
        <x:v>Counting</x:v>
      </x:c>
      <x:c r="E248" s="37" t="str">
        <x:v>Move the airplane toy without propellers from the bowl to the table.</x:v>
      </x:c>
      <x:c r="F248" s="37" t="str">
        <x:v>Leave exactly three objects in the bowl.</x:v>
      </x:c>
      <x:c r="G248" s="37" t="str">
        <x:v>Explicit goal-count grounding</x:v>
      </x:c>
      <x:c r="H248" s="37" t="str">
        <x:v>airplane toy without propellers, blue pen, yellow block, green pencil sharpener</x:v>
      </x:c>
      <x:c r="I248" s="37" t="str">
        <x:v>airplane toy without propellers</x:v>
      </x:c>
      <x:c r="J248" s="37" t="str">
        <x:v>Post-Drop</x:v>
      </x:c>
      <x:c r="K248" s="38" t="str">
        <x:v>Prompt-only relabeling; preserve episode 997 video, scene, trajectory, target, and start position.</x:v>
      </x:c>
    </x:row>
    <x:row r="249" ht="60" customHeight="1">
      <x:c r="A249" s="36" t="str">
        <x:v>Not applied</x:v>
      </x:c>
      <x:c r="B249" s="37" t="n">
        <x:v>247</x:v>
      </x:c>
      <x:c r="C249" s="37" t="n">
        <x:v>998</x:v>
      </x:c>
      <x:c r="D249" s="37" t="str">
        <x:v>Counting</x:v>
      </x:c>
      <x:c r="E249" s="37" t="str">
        <x:v>Remove the airplane toy without propellers from the bowl.</x:v>
      </x:c>
      <x:c r="F249" s="37" t="str">
        <x:v>Leave exactly three objects in the bowl.</x:v>
      </x:c>
      <x:c r="G249" s="37" t="str">
        <x:v>Explicit goal-count grounding</x:v>
      </x:c>
      <x:c r="H249" s="37" t="str">
        <x:v>airplane toy without propellers, blue pen, yellow block, green pencil sharpener</x:v>
      </x:c>
      <x:c r="I249" s="37" t="str">
        <x:v>airplane toy without propellers</x:v>
      </x:c>
      <x:c r="J249" s="37" t="str">
        <x:v>Post-Drop</x:v>
      </x:c>
      <x:c r="K249" s="38" t="str">
        <x:v>Prompt-only relabeling; preserve episode 998 video, scene, trajectory, target, and start position.</x:v>
      </x:c>
    </x:row>
    <x:row r="250" ht="60" customHeight="1">
      <x:c r="A250" s="36" t="str">
        <x:v>Not applied</x:v>
      </x:c>
      <x:c r="B250" s="37" t="n">
        <x:v>248</x:v>
      </x:c>
      <x:c r="C250" s="37" t="n">
        <x:v>999</x:v>
      </x:c>
      <x:c r="D250" s="37" t="str">
        <x:v>Counting</x:v>
      </x:c>
      <x:c r="E250" s="37" t="str">
        <x:v>Move the airplane toy without propellers from the bowl to the table.</x:v>
      </x:c>
      <x:c r="F250" s="37" t="str">
        <x:v>Leave exactly three objects in the bowl.</x:v>
      </x:c>
      <x:c r="G250" s="37" t="str">
        <x:v>Explicit goal-count grounding</x:v>
      </x:c>
      <x:c r="H250" s="37" t="str">
        <x:v>airplane toy without propellers, blue pen, yellow block, green pencil sharpener</x:v>
      </x:c>
      <x:c r="I250" s="37" t="str">
        <x:v>airplane toy without propellers</x:v>
      </x:c>
      <x:c r="J250" s="37" t="str">
        <x:v>Recovery</x:v>
      </x:c>
      <x:c r="K250" s="38" t="str">
        <x:v>Prompt-only relabeling; preserve episode 999 video, scene, trajectory, target, and start position.</x:v>
      </x:c>
    </x:row>
    <x:row r="251" ht="60" customHeight="1">
      <x:c r="A251" s="36" t="str">
        <x:v>Not applied</x:v>
      </x:c>
      <x:c r="B251" s="37" t="n">
        <x:v>249</x:v>
      </x:c>
      <x:c r="C251" s="37" t="n">
        <x:v>1000</x:v>
      </x:c>
      <x:c r="D251" s="37" t="str">
        <x:v>Size Recognition</x:v>
      </x:c>
      <x:c r="E251" s="37" t="str">
        <x:v>Move the object that is smallest into the bowl.</x:v>
      </x:c>
      <x:c r="F251" s="37" t="str">
        <x:v>Put the red pencil sharpener in the bowl.</x:v>
      </x:c>
      <x:c r="G251" s="37" t="str">
        <x:v>Direct-object identity control</x:v>
      </x:c>
      <x:c r="H251" s="37" t="str">
        <x:v>red pencil sharpener, green block, juggling ball, crushed Pepsi can</x:v>
      </x:c>
      <x:c r="I251" s="37" t="str">
        <x:v>red pencil sharpener</x:v>
      </x:c>
      <x:c r="J251" s="37" t="str">
        <x:v>Home</x:v>
      </x:c>
      <x:c r="K251" s="38" t="str">
        <x:v>Prompt-only relabeling; preserve episode 1000 video, scene, trajectory, target, and start position.</x:v>
      </x:c>
    </x:row>
    <x:row r="252" ht="60" customHeight="1">
      <x:c r="A252" s="36" t="str">
        <x:v>Not applied</x:v>
      </x:c>
      <x:c r="B252" s="37" t="n">
        <x:v>250</x:v>
      </x:c>
      <x:c r="C252" s="37" t="n">
        <x:v>1001</x:v>
      </x:c>
      <x:c r="D252" s="37" t="str">
        <x:v>Size Recognition</x:v>
      </x:c>
      <x:c r="E252" s="37" t="str">
        <x:v>Move the object that is smallest into the bowl.</x:v>
      </x:c>
      <x:c r="F252" s="37" t="str">
        <x:v>Pick up the red pencil sharpener and place it in the bowl.</x:v>
      </x:c>
      <x:c r="G252" s="37" t="str">
        <x:v>Direct-object identity control</x:v>
      </x:c>
      <x:c r="H252" s="37" t="str">
        <x:v>red pencil sharpener, green block, juggling ball, crushed Pepsi can</x:v>
      </x:c>
      <x:c r="I252" s="37" t="str">
        <x:v>red pencil sharpener</x:v>
      </x:c>
      <x:c r="J252" s="37" t="str">
        <x:v>Home</x:v>
      </x:c>
      <x:c r="K252" s="38" t="str">
        <x:v>Prompt-only relabeling; preserve episode 1001 video, scene, trajectory, target, and start position.</x:v>
      </x:c>
    </x:row>
    <x:row r="253" ht="60" customHeight="1">
      <x:c r="A253" s="36" t="str">
        <x:v>Not applied</x:v>
      </x:c>
      <x:c r="B253" s="37" t="n">
        <x:v>251</x:v>
      </x:c>
      <x:c r="C253" s="37" t="n">
        <x:v>1002</x:v>
      </x:c>
      <x:c r="D253" s="37" t="str">
        <x:v>Size Recognition</x:v>
      </x:c>
      <x:c r="E253" s="37" t="str">
        <x:v>Move the object that is smallest into the bowl.</x:v>
      </x:c>
      <x:c r="F253" s="37" t="str">
        <x:v>Move the red pencil sharpener into the bowl.</x:v>
      </x:c>
      <x:c r="G253" s="37" t="str">
        <x:v>Direct-object identity control</x:v>
      </x:c>
      <x:c r="H253" s="37" t="str">
        <x:v>red pencil sharpener, green block, juggling ball, crushed Pepsi can</x:v>
      </x:c>
      <x:c r="I253" s="37" t="str">
        <x:v>red pencil sharpener</x:v>
      </x:c>
      <x:c r="J253" s="37" t="str">
        <x:v>Home</x:v>
      </x:c>
      <x:c r="K253" s="38" t="str">
        <x:v>Prompt-only relabeling; preserve episode 1002 video, scene, trajectory, target, and start position.</x:v>
      </x:c>
    </x:row>
    <x:row r="254" ht="60" customHeight="1">
      <x:c r="A254" s="36" t="str">
        <x:v>Not applied</x:v>
      </x:c>
      <x:c r="B254" s="37" t="n">
        <x:v>252</x:v>
      </x:c>
      <x:c r="C254" s="37" t="n">
        <x:v>1003</x:v>
      </x:c>
      <x:c r="D254" s="37" t="str">
        <x:v>Size Recognition</x:v>
      </x:c>
      <x:c r="E254" s="37" t="str">
        <x:v>Pick up the smallest item and place it in the bowl.</x:v>
      </x:c>
      <x:c r="F254" s="37" t="str">
        <x:v>Put the red pencil sharpener in the bowl.</x:v>
      </x:c>
      <x:c r="G254" s="37" t="str">
        <x:v>Direct-object identity control</x:v>
      </x:c>
      <x:c r="H254" s="37" t="str">
        <x:v>red pencil sharpener, green block, juggling ball, crushed Pepsi can</x:v>
      </x:c>
      <x:c r="I254" s="37" t="str">
        <x:v>red pencil sharpener</x:v>
      </x:c>
      <x:c r="J254" s="37" t="str">
        <x:v>Home</x:v>
      </x:c>
      <x:c r="K254" s="38" t="str">
        <x:v>Prompt-only relabeling; preserve episode 1003 video, scene, trajectory, target, and start position.</x:v>
      </x:c>
    </x:row>
    <x:row r="255" ht="60" customHeight="1">
      <x:c r="A255" s="36" t="str">
        <x:v>Not applied</x:v>
      </x:c>
      <x:c r="B255" s="37" t="n">
        <x:v>253</x:v>
      </x:c>
      <x:c r="C255" s="37" t="n">
        <x:v>1004</x:v>
      </x:c>
      <x:c r="D255" s="37" t="str">
        <x:v>Size Recognition</x:v>
      </x:c>
      <x:c r="E255" s="37" t="str">
        <x:v>Put the smallest object in the bowl.</x:v>
      </x:c>
      <x:c r="F255" s="37" t="str">
        <x:v>Pick up the red pencil sharpener and place it in the bowl.</x:v>
      </x:c>
      <x:c r="G255" s="37" t="str">
        <x:v>Direct-object identity control</x:v>
      </x:c>
      <x:c r="H255" s="37" t="str">
        <x:v>red pencil sharpener, green block, juggling ball, crushed Pepsi can</x:v>
      </x:c>
      <x:c r="I255" s="37" t="str">
        <x:v>red pencil sharpener</x:v>
      </x:c>
      <x:c r="J255" s="37" t="str">
        <x:v>Home</x:v>
      </x:c>
      <x:c r="K255" s="38" t="str">
        <x:v>Prompt-only relabeling; preserve episode 1004 video, scene, trajectory, target, and start position.</x:v>
      </x:c>
    </x:row>
    <x:row r="256" ht="60" customHeight="1">
      <x:c r="A256" s="36" t="str">
        <x:v>Not applied</x:v>
      </x:c>
      <x:c r="B256" s="37" t="n">
        <x:v>254</x:v>
      </x:c>
      <x:c r="C256" s="37" t="n">
        <x:v>1150</x:v>
      </x:c>
      <x:c r="D256" s="37" t="str">
        <x:v>Size Recognition</x:v>
      </x:c>
      <x:c r="E256" s="37" t="str">
        <x:v>Pick up the largest item and place it in the bowl.</x:v>
      </x:c>
      <x:c r="F256" s="37" t="str">
        <x:v>Put the crushed Pepsi can in the bowl.</x:v>
      </x:c>
      <x:c r="G256" s="37" t="str">
        <x:v>Direct-object identity control</x:v>
      </x:c>
      <x:c r="H256" s="37" t="str">
        <x:v>red pencil sharpener, green block, juggling ball, crushed Pepsi can</x:v>
      </x:c>
      <x:c r="I256" s="37" t="str">
        <x:v>crushed Pepsi can</x:v>
      </x:c>
      <x:c r="J256" s="37" t="str">
        <x:v>Home</x:v>
      </x:c>
      <x:c r="K256" s="38" t="str">
        <x:v>Prompt-only relabeling; preserve episode 1150 video, scene, trajectory, target, and start position.</x:v>
      </x:c>
    </x:row>
    <x:row r="257" ht="60" customHeight="1">
      <x:c r="A257" s="36" t="str">
        <x:v>Not applied</x:v>
      </x:c>
      <x:c r="B257" s="37" t="n">
        <x:v>255</x:v>
      </x:c>
      <x:c r="C257" s="37" t="n">
        <x:v>1151</x:v>
      </x:c>
      <x:c r="D257" s="37" t="str">
        <x:v>Size Recognition</x:v>
      </x:c>
      <x:c r="E257" s="37" t="str">
        <x:v>Pick up the largest item and place it in the bowl.</x:v>
      </x:c>
      <x:c r="F257" s="37" t="str">
        <x:v>Pick up the crushed Pepsi can and place it in the bowl.</x:v>
      </x:c>
      <x:c r="G257" s="37" t="str">
        <x:v>Direct-object identity control</x:v>
      </x:c>
      <x:c r="H257" s="37" t="str">
        <x:v>red pencil sharpener, green block, juggling ball, crushed Pepsi can</x:v>
      </x:c>
      <x:c r="I257" s="37" t="str">
        <x:v>crushed Pepsi can</x:v>
      </x:c>
      <x:c r="J257" s="37" t="str">
        <x:v>Home</x:v>
      </x:c>
      <x:c r="K257" s="38" t="str">
        <x:v>Prompt-only relabeling; preserve episode 1151 video, scene, trajectory, target, and start position.</x:v>
      </x:c>
    </x:row>
    <x:row r="258" ht="60" customHeight="1">
      <x:c r="A258" s="36" t="str">
        <x:v>Not applied</x:v>
      </x:c>
      <x:c r="B258" s="37" t="n">
        <x:v>256</x:v>
      </x:c>
      <x:c r="C258" s="37" t="n">
        <x:v>1152</x:v>
      </x:c>
      <x:c r="D258" s="37" t="str">
        <x:v>Size Recognition</x:v>
      </x:c>
      <x:c r="E258" s="37" t="str">
        <x:v>Move the object that is largest into the bowl.</x:v>
      </x:c>
      <x:c r="F258" s="37" t="str">
        <x:v>Move the crushed Pepsi can into the bowl.</x:v>
      </x:c>
      <x:c r="G258" s="37" t="str">
        <x:v>Direct-object identity control</x:v>
      </x:c>
      <x:c r="H258" s="37" t="str">
        <x:v>red pencil sharpener, green block, juggling ball, crushed Pepsi can</x:v>
      </x:c>
      <x:c r="I258" s="37" t="str">
        <x:v>crushed Pepsi can</x:v>
      </x:c>
      <x:c r="J258" s="37" t="str">
        <x:v>Home</x:v>
      </x:c>
      <x:c r="K258" s="38" t="str">
        <x:v>Prompt-only relabeling; preserve episode 1152 video, scene, trajectory, target, and start position.</x:v>
      </x:c>
    </x:row>
    <x:row r="259" ht="60" customHeight="1">
      <x:c r="A259" s="36" t="str">
        <x:v>Not applied</x:v>
      </x:c>
      <x:c r="B259" s="37" t="n">
        <x:v>257</x:v>
      </x:c>
      <x:c r="C259" s="37" t="n">
        <x:v>1153</x:v>
      </x:c>
      <x:c r="D259" s="37" t="str">
        <x:v>Size Recognition</x:v>
      </x:c>
      <x:c r="E259" s="37" t="str">
        <x:v>Move the object that is largest into the bowl.</x:v>
      </x:c>
      <x:c r="F259" s="37" t="str">
        <x:v>Put the crushed Pepsi can in the bowl.</x:v>
      </x:c>
      <x:c r="G259" s="37" t="str">
        <x:v>Direct-object identity control</x:v>
      </x:c>
      <x:c r="H259" s="37" t="str">
        <x:v>red pencil sharpener, green block, juggling ball, crushed Pepsi can</x:v>
      </x:c>
      <x:c r="I259" s="37" t="str">
        <x:v>crushed Pepsi can</x:v>
      </x:c>
      <x:c r="J259" s="37" t="str">
        <x:v>Home</x:v>
      </x:c>
      <x:c r="K259" s="38" t="str">
        <x:v>Prompt-only relabeling; preserve episode 1153 video, scene, trajectory, target, and start position.</x:v>
      </x:c>
    </x:row>
    <x:row r="260" ht="60" customHeight="1">
      <x:c r="A260" s="39" t="str">
        <x:v>Not applied</x:v>
      </x:c>
      <x:c r="B260" s="40" t="n">
        <x:v>258</x:v>
      </x:c>
      <x:c r="C260" s="40" t="n">
        <x:v>1154</x:v>
      </x:c>
      <x:c r="D260" s="40" t="str">
        <x:v>Size Recognition</x:v>
      </x:c>
      <x:c r="E260" s="40" t="str">
        <x:v>Move the object that is largest into the bowl.</x:v>
      </x:c>
      <x:c r="F260" s="40" t="str">
        <x:v>Pick up the crushed Pepsi can and place it in the bowl.</x:v>
      </x:c>
      <x:c r="G260" s="40" t="str">
        <x:v>Direct-object identity control</x:v>
      </x:c>
      <x:c r="H260" s="40" t="str">
        <x:v>red pencil sharpener, green block, juggling ball, crushed Pepsi can</x:v>
      </x:c>
      <x:c r="I260" s="40" t="str">
        <x:v>crushed Pepsi can</x:v>
      </x:c>
      <x:c r="J260" s="40" t="str">
        <x:v>Home</x:v>
      </x:c>
      <x:c r="K260" s="41" t="str">
        <x:v>Prompt-only relabeling; preserve episode 1154 video, scene, trajectory, target, and start position.</x:v>
      </x:c>
    </x:row>
  </x:sheetData>
  <x:conditionalFormatting sqref="A2:K260">
    <x:cfRule type="expression" dxfId="2" priority="1">
      <x:formula>$A2="Applied"</x:formula>
    </x:cfRule>
    <x:cfRule type="expression" dxfId="3" priority="2">
      <x:formula>$A2="Verify"</x:formula>
    </x:cfRule>
  </x:conditionalFormatting>
  <x:dataValidations count="1">
    <x:dataValidation type="list" sqref="A2:A260">
      <x:formula1>"Not applied,Applied,Verify"</x:formula1>
    </x:dataValidation>
  </x:dataValidations>
  <x:pageMargins left="0.7" right="0.7" top="0.75" bottom="0.75" header="0.3" footer="0.3"/>
  <x:tableParts count="1">
    <x:tablePart xmlns:r="http://schemas.openxmlformats.org/officeDocument/2006/relationships" r:id="Ra4e570f9dde0443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6" hidden="0" customWidth="1"/>
    <x:col min="3" max="3" width="16" hidden="0" customWidth="1"/>
    <x:col min="4" max="4" width="14" hidden="0" customWidth="1"/>
    <x:col min="5" max="5" width="58" hidden="0" customWidth="1"/>
  </x:cols>
  <x:sheetData>
    <x:row r="1" ht="32" customHeight="1">
      <x:c r="A1" s="4" t="str">
        <x:v>Manifest Quality-Control Checks</x:v>
      </x:c>
      <x:c r="B1" s="4" t="str">
        <x:v>Manifest Quality-Control Checks</x:v>
      </x:c>
      <x:c r="C1" s="4" t="str">
        <x:v>Manifest Quality-Control Checks</x:v>
      </x:c>
      <x:c r="D1" s="4" t="str">
        <x:v>Manifest Quality-Control Checks</x:v>
      </x:c>
      <x:c r="E1" s="4" t="str">
        <x:v>Manifest Quality-Control Checks</x:v>
      </x:c>
    </x:row>
    <x:row r="3">
      <x:c r="A3" s="13" t="str">
        <x:v>Check</x:v>
      </x:c>
      <x:c r="B3" s="13" t="str">
        <x:v>Observed</x:v>
      </x:c>
      <x:c r="C3" s="13" t="str">
        <x:v>Expected</x:v>
      </x:c>
      <x:c r="D3" s="13" t="str">
        <x:v>Status</x:v>
      </x:c>
      <x:c r="E3" s="13" t="str">
        <x:v>Notes</x:v>
      </x:c>
    </x:row>
    <x:row r="4">
      <x:c r="A4" s="33" t="str">
        <x:v>Total episodes</x:v>
      </x:c>
      <x:c r="B4" s="34" t="n">
        <x:f>COUNTA('Updated Prompt Manifest'!$A$2:$A$1201)</x:f>
        <x:v>1200</x:v>
      </x:c>
      <x:c r="C4" s="34" t="n">
        <x:v>1200</x:v>
      </x:c>
      <x:c r="D4" s="34" t="str">
        <x:f>IF(B4=C4,"PASS","CHECK")</x:f>
        <x:v>PASS</x:v>
      </x:c>
      <x:c r="E4" s="34" t="str">
        <x:v>One row per dataset episode</x:v>
      </x:c>
    </x:row>
    <x:row r="5">
      <x:c r="A5" s="36" t="str">
        <x:v>Blank final prompts</x:v>
      </x:c>
      <x:c r="B5" s="37" t="n">
        <x:f>COUNTIF('Updated Prompt Manifest'!$C$2:$C$1201,"")</x:f>
        <x:v>0</x:v>
      </x:c>
      <x:c r="C5" s="37" t="n">
        <x:v>0</x:v>
      </x:c>
      <x:c r="D5" s="37" t="str">
        <x:f>IF(B5=C5,"PASS","CHECK")</x:f>
        <x:v>PASS</x:v>
      </x:c>
      <x:c r="E5" s="37" t="str">
        <x:v>No missing training instructions</x:v>
      </x:c>
    </x:row>
    <x:row r="6">
      <x:c r="A6" s="36" t="str">
        <x:v>State episode replacements</x:v>
      </x:c>
      <x:c r="B6" s="37" t="n">
        <x:f>COUNTIFS('Updated Prompt Manifest'!$B$2:$B$1201,"State Recognition",'Updated Prompt Manifest'!$I$2:$I$1201,"Replace episode + assign prompt")</x:f>
        <x:v>200</x:v>
      </x:c>
      <x:c r="C6" s="37" t="n">
        <x:v>200</x:v>
      </x:c>
      <x:c r="D6" s="37" t="str">
        <x:f>IF(B6=C6,"PASS","CHECK")</x:f>
        <x:v>PASS</x:v>
      </x:c>
      <x:c r="E6" s="37" t="str">
        <x:v>Episodes 0–199 come from MT_State_Recognition_New</x:v>
      </x:c>
    </x:row>
    <x:row r="7">
      <x:c r="A7" s="36" t="str">
        <x:v>State explicit seen cells</x:v>
      </x:c>
      <x:c r="B7" s="37" t="n">
        <x:f>COUNTIF('Updated Prompt Manifest'!$D$2:$D$1201,"Explicit seen-cell grounding")</x:f>
        <x:v>105</x:v>
      </x:c>
      <x:c r="C7" s="37" t="n">
        <x:v>105</x:v>
      </x:c>
      <x:c r="D7" s="37" t="str">
        <x:f>IF(B7=C7,"PASS","CHECK")</x:f>
        <x:v>PASS</x:v>
      </x:c>
      <x:c r="E7" s="37" t="str">
        <x:v>Two same-category candidates with the non-queried axis controlled</x:v>
      </x:c>
    </x:row>
    <x:row r="8">
      <x:c r="A8" s="36" t="str">
        <x:v>State masked physical exposures</x:v>
      </x:c>
      <x:c r="B8" s="37" t="n">
        <x:f>COUNTIF('Updated Prompt Manifest'!$D$2:$D$1201,"State-masked physical exposure")</x:f>
        <x:v>95</x:v>
      </x:c>
      <x:c r="C8" s="37" t="n">
        <x:v>95</x:v>
      </x:c>
      <x:c r="D8" s="37" t="str">
        <x:f>IF(B8=C8,"PASS","CHECK")</x:f>
        <x:v>PASS</x:v>
      </x:c>
      <x:c r="E8" s="37" t="str">
        <x:v>Generic category prompt and one target-category object</x:v>
      </x:c>
    </x:row>
    <x:row r="9">
      <x:c r="A9" s="36" t="str">
        <x:v>State held-out prompt leakage</x:v>
      </x:c>
      <x:c r="B9" s="37" t="n">
        <x:f>COUNTIFS('Updated Prompt Manifest'!$B$2:$B$1201,"State Recognition",'Updated Prompt Manifest'!$C$2:$C$1201,"*upside-down white cup*")+COUNTIFS('Updated Prompt Manifest'!$B$2:$B$1201,"State Recognition",'Updated Prompt Manifest'!$C$2:$C$1201,"*open yellow-white striped cup*")+COUNTIFS('Updated Prompt Manifest'!$B$2:$B$1201,"State Recognition",'Updated Prompt Manifest'!$C$2:$C$1201,"*closed brown cup*")+COUNTIFS('Updated Prompt Manifest'!$B$2:$B$1201,"State Recognition",'Updated Prompt Manifest'!$C$2:$C$1201,"*upright glass spice container*")</x:f>
        <x:v>0</x:v>
      </x:c>
      <x:c r="C9" s="37" t="n">
        <x:v>0</x:v>
      </x:c>
      <x:c r="D9" s="37" t="str">
        <x:f>IF(B9=C9,"PASS","CHECK")</x:f>
        <x:v>PASS</x:v>
      </x:c>
      <x:c r="E9" s="37" t="str">
        <x:v>No positive training prompt contains a held-out object–state composition</x:v>
      </x:c>
    </x:row>
    <x:row r="10">
      <x:c r="A10" s="36" t="str">
        <x:v>Relational prompt changes</x:v>
      </x:c>
      <x:c r="B10" s="37" t="n">
        <x:f>COUNTIFS('Updated Prompt Manifest'!$B$2:$B$1201,"Relational Placement",'Updated Prompt Manifest'!$H$2:$H$1201,"Yes")</x:f>
        <x:v>0</x:v>
      </x:c>
      <x:c r="C10" s="37" t="n">
        <x:v>0</x:v>
      </x:c>
      <x:c r="D10" s="37" t="str">
        <x:f>IF(B10=C10,"PASS","CHECK")</x:f>
        <x:v>PASS</x:v>
      </x:c>
      <x:c r="E10" s="37" t="str">
        <x:v>Successful relational mask preserved</x:v>
      </x:c>
    </x:row>
    <x:row r="11">
      <x:c r="A11" s="36" t="str">
        <x:v>Referential explicit cells</x:v>
      </x:c>
      <x:c r="B11" s="37" t="n">
        <x:f>COUNTIF('Updated Prompt Manifest'!$D$2:$D$1201,"Explicit closest grounding")+COUNTIF('Updated Prompt Manifest'!$D$2:$D$1201,"Explicit furthest grounding")+COUNTIF('Updated Prompt Manifest'!$D$2:$D$1201,"Explicit between grounding")</x:f>
        <x:v>150</x:v>
      </x:c>
      <x:c r="C11" s="37" t="n">
        <x:v>150</x:v>
      </x:c>
      <x:c r="D11" s="37" t="str">
        <x:f>IF(B11=C11,"PASS","CHECK")</x:f>
        <x:v>PASS</x:v>
      </x:c>
      <x:c r="E11" s="37" t="str">
        <x:v>All three relation words are explicit</x:v>
      </x:c>
    </x:row>
    <x:row r="12">
      <x:c r="A12" s="36" t="str">
        <x:v>Referential masked cells</x:v>
      </x:c>
      <x:c r="B12" s="37" t="n">
        <x:f>COUNTIF('Updated Prompt Manifest'!$D$2:$D$1201,"Masked relation × candidate-category composition")</x:f>
        <x:v>50</x:v>
      </x:c>
      <x:c r="C12" s="37" t="n">
        <x:v>50</x:v>
      </x:c>
      <x:c r="D12" s="37" t="str">
        <x:f>IF(B12=C12,"PASS","CHECK")</x:f>
        <x:v>PASS</x:v>
      </x:c>
      <x:c r="E12" s="37" t="str">
        <x:v>One missing relation per selected candidate category</x:v>
      </x:c>
    </x:row>
    <x:row r="13">
      <x:c r="A13" s="36" t="str">
        <x:v>Ordering explicit cells</x:v>
      </x:c>
      <x:c r="B13" s="37" t="n">
        <x:f>COUNTIF('Updated Prompt Manifest'!$D$2:$D$1201,"Explicit ordinal grounding")</x:f>
        <x:v>127</x:v>
      </x:c>
      <x:c r="C13" s="37" t="n">
        <x:v>127</x:v>
      </x:c>
      <x:c r="D13" s="37" t="str">
        <x:f>IF(B13=C13,"PASS","CHECK")</x:f>
        <x:v>PASS</x:v>
      </x:c>
      <x:c r="E13" s="37" t="str">
        <x:v>All existing non-held-out physical roles become explicit</x:v>
      </x:c>
    </x:row>
    <x:row r="14">
      <x:c r="A14" s="36" t="str">
        <x:v>Ordering masked cells</x:v>
      </x:c>
      <x:c r="B14" s="37" t="n">
        <x:f>COUNTIF('Updated Prompt Manifest'!$D$2:$D$1201,"Masked ordinal-role × target-identity composition")</x:f>
        <x:v>73</x:v>
      </x:c>
      <x:c r="C14" s="37" t="n">
        <x:v>73</x:v>
      </x:c>
      <x:c r="D14" s="37" t="str">
        <x:f>IF(B14=C14,"PASS","CHECK")</x:f>
        <x:v>PASS</x:v>
      </x:c>
      <x:c r="E14" s="37" t="str">
        <x:v>Selected target-role cells remain direct-name demonstrations</x:v>
      </x:c>
    </x:row>
    <x:row r="15">
      <x:c r="A15" s="36" t="str">
        <x:v>Ordering n=2 rows</x:v>
      </x:c>
      <x:c r="B15" s="37" t="n">
        <x:f>COUNTIF('Updated Prompt Manifest'!$Q$602:$Q$801,2)</x:f>
        <x:v>42</x:v>
      </x:c>
      <x:c r="C15" s="37" t="n">
        <x:v>42</x:v>
      </x:c>
      <x:c r="D15" s="37" t="str">
        <x:f>IF(B15=C15,"PASS","CHECK")</x:f>
        <x:v>PASS</x:v>
      </x:c>
      <x:c r="E15" s="37" t="str">
        <x:v>Original two-object scenes preserved</x:v>
      </x:c>
    </x:row>
    <x:row r="16">
      <x:c r="A16" s="36" t="str">
        <x:v>Ordering n=3 rows</x:v>
      </x:c>
      <x:c r="B16" s="37" t="n">
        <x:f>COUNTIF('Updated Prompt Manifest'!$Q$602:$Q$801,3)</x:f>
        <x:v>40</x:v>
      </x:c>
      <x:c r="C16" s="37" t="n">
        <x:v>40</x:v>
      </x:c>
      <x:c r="D16" s="37" t="str">
        <x:f>IF(B16=C16,"PASS","CHECK")</x:f>
        <x:v>PASS</x:v>
      </x:c>
      <x:c r="E16" s="37" t="str">
        <x:v>Original three-object scenes preserved</x:v>
      </x:c>
    </x:row>
    <x:row r="17">
      <x:c r="A17" s="36" t="str">
        <x:v>Ordering n=4 rows</x:v>
      </x:c>
      <x:c r="B17" s="37" t="n">
        <x:f>COUNTIF('Updated Prompt Manifest'!$Q$602:$Q$801,4)</x:f>
        <x:v>118</x:v>
      </x:c>
      <x:c r="C17" s="37" t="n">
        <x:v>118</x:v>
      </x:c>
      <x:c r="D17" s="37" t="str">
        <x:f>IF(B17=C17,"PASS","CHECK")</x:f>
        <x:v>PASS</x:v>
      </x:c>
      <x:c r="E17" s="37" t="str">
        <x:v>Original four-object scenes preserved</x:v>
      </x:c>
    </x:row>
    <x:row r="18">
      <x:c r="A18" s="36" t="str">
        <x:v>Counting explicit goal cells</x:v>
      </x:c>
      <x:c r="B18" s="37" t="n">
        <x:f>COUNTIF('Updated Prompt Manifest'!$D$2:$D$1201,"Explicit goal-count grounding")</x:f>
        <x:v>140</x:v>
      </x:c>
      <x:c r="C18" s="37" t="n">
        <x:v>140</x:v>
      </x:c>
      <x:c r="D18" s="37" t="str">
        <x:f>IF(B18=C18,"PASS","CHECK")</x:f>
        <x:v>PASS</x:v>
      </x:c>
      <x:c r="E18" s="37" t="str">
        <x:v>Counts zero through three are explicit</x:v>
      </x:c>
    </x:row>
    <x:row r="19">
      <x:c r="A19" s="36" t="str">
        <x:v>Counting masked transitions</x:v>
      </x:c>
      <x:c r="B19" s="37" t="n">
        <x:f>COUNTIF('Updated Prompt Manifest'!$D$2:$D$1201,"Masked goal-count × transition composition")</x:f>
        <x:v>60</x:v>
      </x:c>
      <x:c r="C19" s="37" t="n">
        <x:v>60</x:v>
      </x:c>
      <x:c r="D19" s="37" t="str">
        <x:f>IF(B19=C19,"PASS","CHECK")</x:f>
        <x:v>PASS</x:v>
      </x:c>
      <x:c r="E19" s="37" t="str">
        <x:v>Only 2→1 and 2→3 goal-transition cells are masked</x:v>
      </x:c>
    </x:row>
    <x:row r="20">
      <x:c r="A20" s="36" t="str">
        <x:v>Explicit count one</x:v>
      </x:c>
      <x:c r="B20" s="37" t="n">
        <x:f>COUNTIF('Updated Prompt Manifest'!$F$802:$F$1001,"count_goal_1_seen_add")</x:f>
        <x:v>32</x:v>
      </x:c>
      <x:c r="C20" s="37" t="n">
        <x:v>32</x:v>
      </x:c>
      <x:c r="D20" s="37" t="str">
        <x:f>IF(B20=C20,"PASS","CHECK")</x:f>
        <x:v>PASS</x:v>
      </x:c>
      <x:c r="E20" s="37" t="str">
        <x:v>One is trained through 0→1 addition</x:v>
      </x:c>
    </x:row>
    <x:row r="21">
      <x:c r="A21" s="36" t="str">
        <x:v>Masked count one removal</x:v>
      </x:c>
      <x:c r="B21" s="37" t="n">
        <x:f>COUNTIF('Updated Prompt Manifest'!$F$802:$F$1001,"count_goal_1_remove_masked")</x:f>
        <x:v>24</x:v>
      </x:c>
      <x:c r="C21" s="37" t="n">
        <x:v>24</x:v>
      </x:c>
      <x:c r="D21" s="37" t="str">
        <x:f>IF(B21=C21,"PASS","CHECK")</x:f>
        <x:v>PASS</x:v>
      </x:c>
      <x:c r="E21" s="37" t="str">
        <x:v>One-through-removal is withheld</x:v>
      </x:c>
    </x:row>
    <x:row r="22">
      <x:c r="A22" s="36" t="str">
        <x:v>Explicit count three</x:v>
      </x:c>
      <x:c r="B22" s="37" t="n">
        <x:f>COUNTIF('Updated Prompt Manifest'!$F$802:$F$1001,"count_goal_3_seen_remove")</x:f>
        <x:v>28</x:v>
      </x:c>
      <x:c r="C22" s="37" t="n">
        <x:v>28</x:v>
      </x:c>
      <x:c r="D22" s="37" t="str">
        <x:f>IF(B22=C22,"PASS","CHECK")</x:f>
        <x:v>PASS</x:v>
      </x:c>
      <x:c r="E22" s="37" t="str">
        <x:v>Three is trained through 4→3 removal</x:v>
      </x:c>
    </x:row>
    <x:row r="23">
      <x:c r="A23" s="36" t="str">
        <x:v>Masked count three addition</x:v>
      </x:c>
      <x:c r="B23" s="37" t="n">
        <x:f>COUNTIF('Updated Prompt Manifest'!$F$802:$F$1001,"count_goal_3_add_masked")</x:f>
        <x:v>36</x:v>
      </x:c>
      <x:c r="C23" s="37" t="n">
        <x:v>36</x:v>
      </x:c>
      <x:c r="D23" s="37" t="str">
        <x:f>IF(B23=C23,"PASS","CHECK")</x:f>
        <x:v>PASS</x:v>
      </x:c>
      <x:c r="E23" s="37" t="str">
        <x:v>Three-through-addition is withheld</x:v>
      </x:c>
    </x:row>
    <x:row r="24">
      <x:c r="A24" s="36" t="str">
        <x:v>Size explicit cells</x:v>
      </x:c>
      <x:c r="B24" s="37" t="n">
        <x:f>COUNTIF('Updated Prompt Manifest'!$D$2:$D$1201,"Explicit size grounding")</x:f>
        <x:v>140</x:v>
      </x:c>
      <x:c r="C24" s="37" t="n">
        <x:v>140</x:v>
      </x:c>
      <x:c r="D24" s="37" t="str">
        <x:f>IF(B24=C24,"PASS","CHECK")</x:f>
        <x:v>PASS</x:v>
      </x:c>
      <x:c r="E24" s="37" t="str">
        <x:v>Familiar size-role/object cells</x:v>
      </x:c>
    </x:row>
    <x:row r="25">
      <x:c r="A25" s="36" t="str">
        <x:v>Size masked cells</x:v>
      </x:c>
      <x:c r="B25" s="37" t="n">
        <x:f>COUNTIF('Updated Prompt Manifest'!$D$2:$D$1201,"Masked size-role × object-identity composition")</x:f>
        <x:v>40</x:v>
      </x:c>
      <x:c r="C25" s="37" t="n">
        <x:v>40</x:v>
      </x:c>
      <x:c r="D25" s="37" t="str">
        <x:f>IF(B25=C25,"PASS","CHECK")</x:f>
        <x:v>PASS</x:v>
      </x:c>
      <x:c r="E25" s="37" t="str">
        <x:v>Held-out size-role/object cells</x:v>
      </x:c>
    </x:row>
    <x:row r="26">
      <x:c r="A26" s="36" t="str">
        <x:v>Size direct controls</x:v>
      </x:c>
      <x:c r="B26" s="37" t="n">
        <x:f>COUNTIF('Updated Prompt Manifest'!$D$2:$D$1201,"Direct-object identity control")</x:f>
        <x:v>20</x:v>
      </x:c>
      <x:c r="C26" s="37" t="n">
        <x:v>20</x:v>
      </x:c>
      <x:c r="D26" s="37" t="str">
        <x:f>IF(B26=C26,"PASS","CHECK")</x:f>
        <x:v>PASS</x:v>
      </x:c>
      <x:c r="E26" s="37" t="str">
        <x:v>Five direct-name controls per identity</x:v>
      </x:c>
    </x:row>
    <x:row r="27">
      <x:c r="A27" s="36" t="str">
        <x:v>Prompt-only replacements</x:v>
      </x:c>
      <x:c r="B27" s="37" t="n">
        <x:f>COUNTIF('Updated Prompt Manifest'!$H$2:$H$1201,"Yes")</x:f>
        <x:v>259</x:v>
      </x:c>
      <x:c r="C27" s="37" t="n">
        <x:v>259</x:v>
      </x:c>
      <x:c r="D27" s="37" t="str">
        <x:f>IF(B27=C27,"PASS","CHECK")</x:f>
        <x:v>PASS</x:v>
      </x:c>
      <x:c r="E27" s="37" t="str">
        <x:v>Applies only to the five non-state tasks</x:v>
      </x:c>
    </x:row>
  </x:sheetData>
  <x:mergeCells>
    <x:mergeCell ref="A1:E1"/>
  </x:mergeCells>
  <x:conditionalFormatting sqref="D4:D24">
    <x:cfRule type="cellIs" dxfId="4" priority="1" operator="equal">
      <x:formula>"PASS"</x:formula>
    </x:cfRule>
    <x:cfRule type="cellIs" dxfId="5" priority="2" operator="equal">
      <x:formula>"CHECK"</x:formula>
    </x:cfRule>
  </x:conditionalFormatting>
  <x:conditionalFormatting sqref="D4:D27">
    <x:cfRule type="cellIs" dxfId="6" priority="3" operator="equal">
      <x:formula>"PASS"</x:formula>
    </x:cfRule>
    <x:cfRule type="cellIs" dxfId="7" priority="4" operator="equal">
      <x:formula>"CHECK"</x:formula>
    </x:cfRule>
  </x:conditionalFormatting>
  <x:pageMargins left="0.7" right="0.7" top="0.75" bottom="0.75" header="0.3" footer="0.3"/>
  <x:tableParts count="1">
    <x:tablePart xmlns:r="http://schemas.openxmlformats.org/officeDocument/2006/relationships" r:id="R9d0bfbf836ae43ad"/>
  </x:tableParts>
</x:worksheet>
</file>