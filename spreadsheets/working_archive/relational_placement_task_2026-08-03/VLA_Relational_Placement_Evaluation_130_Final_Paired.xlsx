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454e36df8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05c9e7e656c74e1a"/>
    <x:sheet xmlns:r="http://schemas.openxmlformats.org/officeDocument/2006/relationships" name="Object Inventory" sheetId="2" r:id="R5a46107d468c4ecf"/>
    <x:sheet xmlns:r="http://schemas.openxmlformats.org/officeDocument/2006/relationships" name="Training Alignment" sheetId="3" r:id="R672b475a9915499a"/>
    <x:sheet xmlns:r="http://schemas.openxmlformats.org/officeDocument/2006/relationships" name="Protocol" sheetId="4" r:id="R7850a7236f0c429c"/>
    <x:sheet xmlns:r="http://schemas.openxmlformats.org/officeDocument/2006/relationships" name="Design QA" sheetId="5" r:id="R3a4feca7c63a4652"/>
    <x:sheet xmlns:r="http://schemas.openxmlformats.org/officeDocument/2006/relationships" name="pi0.5 Results" sheetId="6" r:id="R2368e312d9904670"/>
    <x:sheet xmlns:r="http://schemas.openxmlformats.org/officeDocument/2006/relationships" name="VLA0 Results" sheetId="7" r:id="R19fde0d98f084bb1"/>
    <x:sheet xmlns:r="http://schemas.openxmlformats.org/officeDocument/2006/relationships" name="MolmoAct2 Results" sheetId="8" r:id="R250305c80cac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0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5915afa634767" /><Relationship Type="http://schemas.openxmlformats.org/officeDocument/2006/relationships/theme" Target="/xl/theme/theme1.xml" Id="Rc7dcad6dd8ea4f55" /><Relationship Type="http://schemas.openxmlformats.org/officeDocument/2006/relationships/sharedStrings" Target="/xl/sharedStrings.xml" Id="Rbb04e870cbfa4a95" /><Relationship Type="http://schemas.openxmlformats.org/officeDocument/2006/relationships/worksheet" Target="/xl/worksheets/sheet1.xml" Id="R05c9e7e656c74e1a" /><Relationship Type="http://schemas.openxmlformats.org/officeDocument/2006/relationships/worksheet" Target="/xl/worksheets/sheet2.xml" Id="R5a46107d468c4ecf" /><Relationship Type="http://schemas.openxmlformats.org/officeDocument/2006/relationships/worksheet" Target="/xl/worksheets/sheet3.xml" Id="R672b475a9915499a" /><Relationship Type="http://schemas.openxmlformats.org/officeDocument/2006/relationships/worksheet" Target="/xl/worksheets/sheet4.xml" Id="R7850a7236f0c429c" /><Relationship Type="http://schemas.openxmlformats.org/officeDocument/2006/relationships/worksheet" Target="/xl/worksheets/sheet5.xml" Id="R3a4feca7c63a4652" /><Relationship Type="http://schemas.openxmlformats.org/officeDocument/2006/relationships/worksheet" Target="/xl/worksheets/sheet6.xml" Id="R2368e312d9904670" /><Relationship Type="http://schemas.openxmlformats.org/officeDocument/2006/relationships/worksheet" Target="/xl/worksheets/sheet7.xml" Id="R19fde0d98f084bb1" /><Relationship Type="http://schemas.openxmlformats.org/officeDocument/2006/relationships/worksheet" Target="/xl/worksheets/sheet8.xml" Id="R250305c80cac446b" /></Relationships>
</file>

<file path=xl/tables/table1.xml><?xml version="1.0" encoding="utf-8"?>
<x:table xmlns:x="http://schemas.openxmlformats.org/spreadsheetml/2006/main" id="1" name="RelationalEvaluationPlan" displayName="RelationalEvaluationPlan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lationalObjectInventory" displayName="RelationalObjectInventory" ref="A1:G7" headerRowCount="1" totalsRowCount="0" totalsRowShown="0">
  <x:tableColumns count="7">
    <x:tableColumn id="1" name="Object"/>
    <x:tableColumn id="2" name="Evaluation Role"/>
    <x:tableColumn id="3" name="Relational Training Exposure"/>
    <x:tableColumn id="4" name="Other-Task Exposure"/>
    <x:tableColumn id="5" name="Visual Tier"/>
    <x:tableColumn id="6" name="Evaluation Use"/>
    <x:tableColumn id="7" name="Ru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tionalTrainingAlignment" displayName="RelationalTrainingAlignment" ref="A1:C11" headerRowCount="1" totalsRowCount="0" totalsRowShown="0">
  <x:tableColumns count="3">
    <x:tableColumn id="1" name="Training / Evaluation Feature"/>
    <x:tableColumn id="2" name="Observed in planned Relational Placement training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lationalDesignQA" displayName="RelationalDesignQA" ref="A1:E38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RelationalResults" displayName="Pi05RelationalResults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RelationalResults" displayName="VLA0RelationalResults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RelationalResults" displayName="MolmoAct2RelationalResults" ref="A1:P131" headerRowCount="1" totalsRowCount="0" totalsRowShown="0">
  <x:autoFilter ref="A1:P131"/>
  <x:tableColumns count="16">
    <x:tableColumn id="1" name="Status"/>
    <x:tableColumn id="2" name="Episode"/>
    <x:tableColumn id="3" name="Prompt"/>
    <x:tableColumn id="4" name="Scene Setup (P1-P4)"/>
    <x:tableColumn id="5" name="Reference Episode"/>
    <x:tableColumn id="6" name="Expected Target / Placement"/>
    <x:tableColumn id="7" name="Observations"/>
    <x:tableColumn id="8" name="Condition"/>
    <x:tableColumn id="9" name="Scene Family"/>
    <x:tableColumn id="10" name="Relation"/>
    <x:tableColumn id="11" name="Object Count"/>
    <x:tableColumn id="12" name="Comparison / Subtype"/>
    <x:tableColumn id="13" name="Collection Block"/>
    <x:tableColumn id="14" name="Setup Change from Previous"/>
    <x:tableColumn id="15" name="Design Note"/>
    <x:tableColumn id="16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6ab37188cf41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99f64f67f449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37ad1de1ddc4a6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108622ef554e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da804b921948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0c999cfaf14f4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3d5ee5b71c44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v>0</x:v>
      </x:c>
      <x:c r="C2" s="10" t="str">
        <x:v>Place the green pen in front of the red block.</x:v>
      </x:c>
      <x:c r="D2" s="10" t="str">
        <x:v>P1 red block at R1 (table center) [REFERENCE]; P2 green pen 18 cm behind P1 [TARGET START]; P3 pink marker 15 cm to the left of P1 [DISTRACTOR]</x:v>
      </x:c>
      <x:c r="E2" s="9"/>
      <x:c r="F2" s="9" t="str">
        <x:v>green pen → 2–8 cm edge gap in front of red block; centroid direction within ±45°</x:v>
      </x:c>
      <x:c r="G2" s="10"/>
      <x:c r="H2" s="9" t="str">
        <x:v>Concept/compositional transfer</x:v>
      </x:c>
      <x:c r="I2" s="9" t="str">
        <x:v>RP-F01</x:v>
      </x:c>
      <x:c r="J2" s="9" t="str">
        <x:v>front</x:v>
      </x:c>
      <x:c r="K2" s="9" t="n">
        <x:v>3</x:v>
      </x:c>
      <x:c r="L2" s="9" t="str">
        <x:v>1 — Canonical transfer — Held-out direction × green-pen/red-block pair (front)</x:v>
      </x:c>
      <x:c r="M2" s="9" t="n">
        <x:v>1</x:v>
      </x:c>
      <x:c r="N2" s="10" t="str">
        <x:v>Build the marked scene. Target starts in the opposite sector and outside the success gap; save a first-frame filename.</x:v>
      </x:c>
      <x:c r="O2" s="10" t="str">
        <x:v>Directional language is trained on other object pairs, but all directional green-pen/red-block demonstrations are withheld in both target/reference directions.</x:v>
      </x:c>
      <x:c r="P2" s="10"/>
    </x:row>
    <x:row r="3" ht="64" customHeight="1">
      <x:c r="A3" s="8" t="str">
        <x:v>Not collected</x:v>
      </x:c>
      <x:c r="B3" s="8" t="n">
        <x:v>1</x:v>
      </x:c>
      <x:c r="C3" s="7" t="str">
        <x:v>Move the green pen to the back of the red block.</x:v>
      </x:c>
      <x:c r="D3" s="7" t="str">
        <x:v>P1 red block at R1 (table center) [REFERENCE]; P2 green pen 18 cm behind P1 [TARGET START]; P3 pink marker 15 cm to the left of P1 [DISTRACTOR]</x:v>
      </x:c>
      <x:c r="E3" s="8" t="n">
        <x:v>0</x:v>
      </x:c>
      <x:c r="F3" s="8" t="str">
        <x:v>green pen → 2–8 cm edge gap behind red block; centroid direction within ±45°</x:v>
      </x:c>
      <x:c r="G3" s="7"/>
      <x:c r="H3" s="8" t="str">
        <x:v>Exact-scene opposite-direction contrast</x:v>
      </x:c>
      <x:c r="I3" s="8" t="str">
        <x:v>RP-F01</x:v>
      </x:c>
      <x:c r="J3" s="8" t="str">
        <x:v>behind</x:v>
      </x:c>
      <x:c r="K3" s="8" t="n">
        <x:v>3</x:v>
      </x:c>
      <x:c r="L3" s="8" t="str">
        <x:v>2 — Exact-scene opposite-direction contrast — Direction-word counterfactual (front→behind)</x:v>
      </x:c>
      <x:c r="M3" s="8" t="n">
        <x:v>1</x:v>
      </x:c>
      <x:c r="N3" s="7" t="str">
        <x:v>Reset only P2 to its marked start. Preserve the exact scene; change only the directional word and expected goal sector.</x:v>
      </x:c>
      <x:c r="O3" s="7" t="str">
        <x:v>Exact-scene semantic counterfactual. Target and reference identities stay fixed while the requested endpoint reverses front↔behind or left↔right.</x:v>
      </x:c>
      <x:c r="P3" s="7"/>
    </x:row>
    <x:row r="4" ht="64" customHeight="1">
      <x:c r="A4" s="8" t="str">
        <x:v>Not collected</x:v>
      </x:c>
      <x:c r="B4" s="8" t="n">
        <x:v>2</x:v>
      </x:c>
      <x:c r="C4" s="7" t="str">
        <x:v>Move the green pen to the robot-facing side of the red block.</x:v>
      </x:c>
      <x:c r="D4" s="7" t="str">
        <x:v>P1 red block at R1 (table center) [REFERENCE]; P2 green pen 18 cm behind P1 [TARGET START]; P3 pink marker 15 cm to the left of P1 [DISTRACTOR]</x:v>
      </x:c>
      <x:c r="E4" s="8" t="n">
        <x:v>0</x:v>
      </x:c>
      <x:c r="F4" s="8" t="str">
        <x:v>green pen → 2–8 cm edge gap in front of red block; centroid direction within ±45°</x:v>
      </x:c>
      <x:c r="G4" s="7"/>
      <x:c r="H4" s="8" t="str">
        <x:v>Language robustness</x:v>
      </x:c>
      <x:c r="I4" s="8" t="str">
        <x:v>RP-F01</x:v>
      </x:c>
      <x:c r="J4" s="8" t="str">
        <x:v>front</x:v>
      </x:c>
      <x:c r="K4" s="8" t="n">
        <x:v>3</x:v>
      </x:c>
      <x:c r="L4" s="8" t="str">
        <x:v>3 — Exact-scene transfer paraphrase — Paraphrase of concept/compositional-transfer prompt</x:v>
      </x:c>
      <x:c r="M4" s="8" t="n">
        <x:v>1</x:v>
      </x:c>
      <x:c r="N4" s="7" t="str">
        <x:v>Reset only P2 to its marked start; change only the prompt wording.</x:v>
      </x:c>
      <x:c r="O4" s="7" t="str">
        <x:v>Exact-scene language comparison for the held-out pair composition.</x:v>
      </x:c>
      <x:c r="P4" s="7"/>
    </x:row>
    <x:row r="5" ht="64" customHeight="1">
      <x:c r="A5" s="8" t="str">
        <x:v>Not collected</x:v>
      </x:c>
      <x:c r="B5" s="8" t="n">
        <x:v>3</x:v>
      </x:c>
      <x:c r="C5" s="7" t="str">
        <x:v>Move the green pen near the red block.</x:v>
      </x:c>
      <x:c r="D5" s="7" t="str">
        <x:v>P1 red block at R1 (table center) [REFERENCE]; P2 green pen 18 cm behind P1 [TARGET START]; P3 pink marker 15 cm to the left of P1 [DISTRACTOR]</x:v>
      </x:c>
      <x:c r="E5" s="8" t="n">
        <x:v>0</x:v>
      </x:c>
      <x:c r="F5" s="8" t="str">
        <x:v>green pen → 2–8 cm edge gap from red block (any direction)</x:v>
      </x:c>
      <x:c r="G5" s="7"/>
      <x:c r="H5" s="8" t="str">
        <x:v>Matched manipulation control</x:v>
      </x:c>
      <x:c r="I5" s="8" t="str">
        <x:v>RP-F01</x:v>
      </x:c>
      <x:c r="J5" s="8" t="str">
        <x:v>near</x:v>
      </x:c>
      <x:c r="K5" s="8" t="n">
        <x:v>3</x:v>
      </x:c>
      <x:c r="L5" s="8" t="str">
        <x:v>4 — Matched control — Seen near/next-to/beside relation on the same ordered pair (3 objects)</x:v>
      </x:c>
      <x:c r="M5" s="8" t="n">
        <x:v>1</x:v>
      </x:c>
      <x:c r="N5" s="7" t="str">
        <x:v>Reset only P2 to its marked start. Keep every object, camera setting, and pose fixed; change only the prompt.</x:v>
      </x:c>
      <x:c r="O5" s="7" t="str">
        <x:v>Controls target/reference recognition and basic pick-place on the exact pair. It is skill-matched but not direction-endpoint-matched, so analyze the paired success delta separately.</x:v>
      </x:c>
      <x:c r="P5" s="7"/>
    </x:row>
    <x:row r="6" ht="64" customHeight="1">
      <x:c r="A6" s="9" t="str">
        <x:v>Not collected</x:v>
      </x:c>
      <x:c r="B6" s="9" t="n">
        <x:v>4</x:v>
      </x:c>
      <x:c r="C6" s="10" t="str">
        <x:v>Move the red block to the back of the green pen.</x:v>
      </x:c>
      <x:c r="D6" s="10" t="str">
        <x:v>P1 green pen at R2 (5 cm left of center) [REFERENCE]; P2 red block 21 cm in front of P1 [TARGET START]; P3 pink marker 15 cm to the left of P1 [DISTRACTOR]</x:v>
      </x:c>
      <x:c r="E6" s="9"/>
      <x:c r="F6" s="9" t="str">
        <x:v>red block → 2–8 cm edge gap behind green pen; centroid direction within ±45°</x:v>
      </x:c>
      <x:c r="G6" s="10"/>
      <x:c r="H6" s="9" t="str">
        <x:v>Concept/compositional transfer</x:v>
      </x:c>
      <x:c r="I6" s="9" t="str">
        <x:v>RP-F02</x:v>
      </x:c>
      <x:c r="J6" s="9" t="str">
        <x:v>behind</x:v>
      </x:c>
      <x:c r="K6" s="9" t="n">
        <x:v>3</x:v>
      </x:c>
      <x:c r="L6" s="9" t="str">
        <x:v>1 — Canonical transfer — Held-out direction × green-pen/red-block pair (behind)</x:v>
      </x:c>
      <x:c r="M6" s="9" t="n">
        <x:v>2</x:v>
      </x:c>
      <x:c r="N6" s="10" t="str">
        <x:v>Build the marked scene. Target starts in the opposite sector and outside the success gap; save a first-frame filename.</x:v>
      </x:c>
      <x:c r="O6" s="10" t="str">
        <x:v>Directional language is trained on other object pairs, but all directional green-pen/red-block demonstrations are withheld in both target/reference directions.</x:v>
      </x:c>
      <x:c r="P6" s="10"/>
    </x:row>
    <x:row r="7" ht="64" customHeight="1">
      <x:c r="A7" s="8" t="str">
        <x:v>Not collected</x:v>
      </x:c>
      <x:c r="B7" s="8" t="n">
        <x:v>5</x:v>
      </x:c>
      <x:c r="C7" s="7" t="str">
        <x:v>Put the red block on the table in front of the green pen.</x:v>
      </x:c>
      <x:c r="D7" s="7" t="str">
        <x:v>P1 green pen at R2 (5 cm left of center) [REFERENCE]; P2 red block 21 cm in front of P1 [TARGET START]; P3 pink marker 15 cm to the left of P1 [DISTRACTOR]</x:v>
      </x:c>
      <x:c r="E7" s="8" t="n">
        <x:v>4</x:v>
      </x:c>
      <x:c r="F7" s="8" t="str">
        <x:v>red block → 2–8 cm edge gap in front of green pen; centroid direction within ±45°</x:v>
      </x:c>
      <x:c r="G7" s="7"/>
      <x:c r="H7" s="8" t="str">
        <x:v>Exact-scene opposite-direction contrast</x:v>
      </x:c>
      <x:c r="I7" s="8" t="str">
        <x:v>RP-F02</x:v>
      </x:c>
      <x:c r="J7" s="8" t="str">
        <x:v>front</x:v>
      </x:c>
      <x:c r="K7" s="8" t="n">
        <x:v>3</x:v>
      </x:c>
      <x:c r="L7" s="8" t="str">
        <x:v>2 — Exact-scene opposite-direction contrast — Direction-word counterfactual (behind→front)</x:v>
      </x:c>
      <x:c r="M7" s="8" t="n">
        <x:v>2</x:v>
      </x:c>
      <x:c r="N7" s="7" t="str">
        <x:v>Reset only P2 to its marked start. Preserve the exact scene; change only the directional word and expected goal sector.</x:v>
      </x:c>
      <x:c r="O7" s="7" t="str">
        <x:v>Exact-scene semantic counterfactual. Target and reference identities stay fixed while the requested endpoint reverses front↔behind or left↔right.</x:v>
      </x:c>
      <x:c r="P7" s="7"/>
    </x:row>
    <x:row r="8" ht="64" customHeight="1">
      <x:c r="A8" s="8" t="str">
        <x:v>Not collected</x:v>
      </x:c>
      <x:c r="B8" s="8" t="n">
        <x:v>6</x:v>
      </x:c>
      <x:c r="C8" s="7" t="str">
        <x:v>Move the red block to the rear side of the green pen.</x:v>
      </x:c>
      <x:c r="D8" s="7" t="str">
        <x:v>P1 green pen at R2 (5 cm left of center) [REFERENCE]; P2 red block 21 cm in front of P1 [TARGET START]; P3 pink marker 15 cm to the left of P1 [DISTRACTOR]</x:v>
      </x:c>
      <x:c r="E8" s="8" t="n">
        <x:v>4</x:v>
      </x:c>
      <x:c r="F8" s="8" t="str">
        <x:v>red block → 2–8 cm edge gap behind green pen; centroid direction within ±45°</x:v>
      </x:c>
      <x:c r="G8" s="7"/>
      <x:c r="H8" s="8" t="str">
        <x:v>Language robustness</x:v>
      </x:c>
      <x:c r="I8" s="8" t="str">
        <x:v>RP-F02</x:v>
      </x:c>
      <x:c r="J8" s="8" t="str">
        <x:v>behind</x:v>
      </x:c>
      <x:c r="K8" s="8" t="n">
        <x:v>3</x:v>
      </x:c>
      <x:c r="L8" s="8" t="str">
        <x:v>3 — Exact-scene transfer paraphrase — Paraphrase of concept/compositional-transfer prompt</x:v>
      </x:c>
      <x:c r="M8" s="8" t="n">
        <x:v>2</x:v>
      </x:c>
      <x:c r="N8" s="7" t="str">
        <x:v>Reset only P2 to its marked start; change only the prompt wording.</x:v>
      </x:c>
      <x:c r="O8" s="7" t="str">
        <x:v>Exact-scene language comparison for the held-out pair composition.</x:v>
      </x:c>
      <x:c r="P8" s="7"/>
    </x:row>
    <x:row r="9" ht="64" customHeight="1">
      <x:c r="A9" s="8" t="str">
        <x:v>Not collected</x:v>
      </x:c>
      <x:c r="B9" s="8" t="n">
        <x:v>7</x:v>
      </x:c>
      <x:c r="C9" s="7" t="str">
        <x:v>Place the red block next to the green pen.</x:v>
      </x:c>
      <x:c r="D9" s="7" t="str">
        <x:v>P1 green pen at R2 (5 cm left of center) [REFERENCE]; P2 red block 21 cm in front of P1 [TARGET START]; P3 pink marker 15 cm to the left of P1 [DISTRACTOR]</x:v>
      </x:c>
      <x:c r="E9" s="8" t="n">
        <x:v>4</x:v>
      </x:c>
      <x:c r="F9" s="8" t="str">
        <x:v>red block → 2–8 cm edge gap from green pen (any direction)</x:v>
      </x:c>
      <x:c r="G9" s="7"/>
      <x:c r="H9" s="8" t="str">
        <x:v>Matched manipulation control</x:v>
      </x:c>
      <x:c r="I9" s="8" t="str">
        <x:v>RP-F02</x:v>
      </x:c>
      <x:c r="J9" s="8" t="str">
        <x:v>near</x:v>
      </x:c>
      <x:c r="K9" s="8" t="n">
        <x:v>3</x:v>
      </x:c>
      <x:c r="L9" s="8" t="str">
        <x:v>4 — Matched control — Seen near/next-to/beside relation on the same ordered pair (3 objects)</x:v>
      </x:c>
      <x:c r="M9" s="8" t="n">
        <x:v>2</x:v>
      </x:c>
      <x:c r="N9" s="7" t="str">
        <x:v>Reset only P2 to its marked start. Keep every object, camera setting, and pose fixed; change only the prompt.</x:v>
      </x:c>
      <x:c r="O9" s="7" t="str">
        <x:v>Controls target/reference recognition and basic pick-place on the exact pair. It is skill-matched but not direction-endpoint-matched, so analyze the paired success delta separately.</x:v>
      </x:c>
      <x:c r="P9" s="7"/>
    </x:row>
    <x:row r="10" ht="64" customHeight="1">
      <x:c r="A10" s="9" t="str">
        <x:v>Not collected</x:v>
      </x:c>
      <x:c r="B10" s="9" t="n">
        <x:v>8</x:v>
      </x:c>
      <x:c r="C10" s="10" t="str">
        <x:v>Place the green pen to the left of the red block.</x:v>
      </x:c>
      <x:c r="D10" s="10" t="str">
        <x:v>P1 red block at R3 (5 cm right of center) [REFERENCE]; P2 green pen 24 cm to the right of P1 [TARGET START]; P3 pink marker 15 cm in front of P1 [DISTRACTOR]</x:v>
      </x:c>
      <x:c r="E10" s="9"/>
      <x:c r="F10" s="9" t="str">
        <x:v>green pen → 2–8 cm edge gap to the left of red block; centroid direction within ±45°</x:v>
      </x:c>
      <x:c r="G10" s="10"/>
      <x:c r="H10" s="9" t="str">
        <x:v>Concept/compositional transfer</x:v>
      </x:c>
      <x:c r="I10" s="9" t="str">
        <x:v>RP-F03</x:v>
      </x:c>
      <x:c r="J10" s="9" t="str">
        <x:v>left</x:v>
      </x:c>
      <x:c r="K10" s="9" t="n">
        <x:v>3</x:v>
      </x:c>
      <x:c r="L10" s="9" t="str">
        <x:v>1 — Canonical transfer — Held-out direction × green-pen/red-block pair (left)</x:v>
      </x:c>
      <x:c r="M10" s="9" t="n">
        <x:v>3</x:v>
      </x:c>
      <x:c r="N10" s="10" t="str">
        <x:v>Build the marked scene. Target starts in the opposite sector and outside the success gap; save a first-frame filename.</x:v>
      </x:c>
      <x:c r="O10" s="10" t="str">
        <x:v>Directional language is trained on other object pairs, but all directional green-pen/red-block demonstrations are withheld in both target/reference directions.</x:v>
      </x:c>
      <x:c r="P10" s="10"/>
    </x:row>
    <x:row r="11" ht="64" customHeight="1">
      <x:c r="A11" s="8" t="str">
        <x:v>Not collected</x:v>
      </x:c>
      <x:c r="B11" s="8" t="n">
        <x:v>9</x:v>
      </x:c>
      <x:c r="C11" s="7" t="str">
        <x:v>Place the green pen to the right of the red block.</x:v>
      </x:c>
      <x:c r="D11" s="7" t="str">
        <x:v>P1 red block at R3 (5 cm right of center) [REFERENCE]; P2 green pen 24 cm to the right of P1 [TARGET START]; P3 pink marker 15 cm in front of P1 [DISTRACTOR]</x:v>
      </x:c>
      <x:c r="E11" s="8" t="n">
        <x:v>8</x:v>
      </x:c>
      <x:c r="F11" s="8" t="str">
        <x:v>green pen → 2–8 cm edge gap to the right of red block; centroid direction within ±45°</x:v>
      </x:c>
      <x:c r="G11" s="7"/>
      <x:c r="H11" s="8" t="str">
        <x:v>Exact-scene opposite-direction contrast</x:v>
      </x:c>
      <x:c r="I11" s="8" t="str">
        <x:v>RP-F03</x:v>
      </x:c>
      <x:c r="J11" s="8" t="str">
        <x:v>right</x:v>
      </x:c>
      <x:c r="K11" s="8" t="n">
        <x:v>3</x:v>
      </x:c>
      <x:c r="L11" s="8" t="str">
        <x:v>2 — Exact-scene opposite-direction contrast — Direction-word counterfactual (left→right)</x:v>
      </x:c>
      <x:c r="M11" s="8" t="n">
        <x:v>3</x:v>
      </x:c>
      <x:c r="N11" s="7" t="str">
        <x:v>Reset only P2 to its marked start. Preserve the exact scene; change only the directional word and expected goal sector.</x:v>
      </x:c>
      <x:c r="O11" s="7" t="str">
        <x:v>Exact-scene semantic counterfactual. Target and reference identities stay fixed while the requested endpoint reverses front↔behind or left↔right.</x:v>
      </x:c>
      <x:c r="P11" s="7"/>
    </x:row>
    <x:row r="12" ht="64" customHeight="1">
      <x:c r="A12" s="8" t="str">
        <x:v>Not collected</x:v>
      </x:c>
      <x:c r="B12" s="8" t="n">
        <x:v>10</x:v>
      </x:c>
      <x:c r="C12" s="7" t="str">
        <x:v>Set the green pen on the left-hand side of the red block.</x:v>
      </x:c>
      <x:c r="D12" s="7" t="str">
        <x:v>P1 red block at R3 (5 cm right of center) [REFERENCE]; P2 green pen 24 cm to the right of P1 [TARGET START]; P3 pink marker 15 cm in front of P1 [DISTRACTOR]</x:v>
      </x:c>
      <x:c r="E12" s="8" t="n">
        <x:v>8</x:v>
      </x:c>
      <x:c r="F12" s="8" t="str">
        <x:v>green pen → 2–8 cm edge gap to the left of red block; centroid direction within ±45°</x:v>
      </x:c>
      <x:c r="G12" s="7"/>
      <x:c r="H12" s="8" t="str">
        <x:v>Language robustness</x:v>
      </x:c>
      <x:c r="I12" s="8" t="str">
        <x:v>RP-F03</x:v>
      </x:c>
      <x:c r="J12" s="8" t="str">
        <x:v>left</x:v>
      </x:c>
      <x:c r="K12" s="8" t="n">
        <x:v>3</x:v>
      </x:c>
      <x:c r="L12" s="8" t="str">
        <x:v>3 — Exact-scene transfer paraphrase — Paraphrase of concept/compositional-transfer prompt</x:v>
      </x:c>
      <x:c r="M12" s="8" t="n">
        <x:v>3</x:v>
      </x:c>
      <x:c r="N12" s="7" t="str">
        <x:v>Reset only P2 to its marked start; change only the prompt wording.</x:v>
      </x:c>
      <x:c r="O12" s="7" t="str">
        <x:v>Exact-scene language comparison for the held-out pair composition.</x:v>
      </x:c>
      <x:c r="P12" s="7"/>
    </x:row>
    <x:row r="13" ht="64" customHeight="1">
      <x:c r="A13" s="8" t="str">
        <x:v>Not collected</x:v>
      </x:c>
      <x:c r="B13" s="8" t="n">
        <x:v>11</x:v>
      </x:c>
      <x:c r="C13" s="7" t="str">
        <x:v>Put the green pen beside the red block.</x:v>
      </x:c>
      <x:c r="D13" s="7" t="str">
        <x:v>P1 red block at R3 (5 cm right of center) [REFERENCE]; P2 green pen 24 cm to the right of P1 [TARGET START]; P3 pink marker 15 cm in front of P1 [DISTRACTOR]</x:v>
      </x:c>
      <x:c r="E13" s="8" t="n">
        <x:v>8</x:v>
      </x:c>
      <x:c r="F13" s="8" t="str">
        <x:v>green pen → 2–8 cm edge gap from red block (any direction)</x:v>
      </x:c>
      <x:c r="G13" s="7"/>
      <x:c r="H13" s="8" t="str">
        <x:v>Matched manipulation control</x:v>
      </x:c>
      <x:c r="I13" s="8" t="str">
        <x:v>RP-F03</x:v>
      </x:c>
      <x:c r="J13" s="8" t="str">
        <x:v>near</x:v>
      </x:c>
      <x:c r="K13" s="8" t="n">
        <x:v>3</x:v>
      </x:c>
      <x:c r="L13" s="8" t="str">
        <x:v>4 — Matched control — Seen near/next-to/beside relation on the same ordered pair (3 objects)</x:v>
      </x:c>
      <x:c r="M13" s="8" t="n">
        <x:v>3</x:v>
      </x:c>
      <x:c r="N13" s="7" t="str">
        <x:v>Reset only P2 to its marked start. Keep every object, camera setting, and pose fixed; change only the prompt.</x:v>
      </x:c>
      <x:c r="O13" s="7" t="str">
        <x:v>Controls target/reference recognition and basic pick-place on the exact pair. It is skill-matched but not direction-endpoint-matched, so analyze the paired success delta separately.</x:v>
      </x:c>
      <x:c r="P13" s="7"/>
    </x:row>
    <x:row r="14" ht="64" customHeight="1">
      <x:c r="A14" s="9" t="str">
        <x:v>Not collected</x:v>
      </x:c>
      <x:c r="B14" s="9" t="n">
        <x:v>12</x:v>
      </x:c>
      <x:c r="C14" s="10" t="str">
        <x:v>Place the red block to the right of the green pen.</x:v>
      </x:c>
      <x:c r="D14" s="10" t="str">
        <x:v>P1 green pen at R4 (5 cm toward the robot from center) [REFERENCE]; P2 red block 18 cm to the left of P1 [TARGET START]; P3 pink marker 15 cm in front of P1 [DISTRACTOR]</x:v>
      </x:c>
      <x:c r="E14" s="9"/>
      <x:c r="F14" s="9" t="str">
        <x:v>red block → 2–8 cm edge gap to the right of green pen; centroid direction within ±45°</x:v>
      </x:c>
      <x:c r="G14" s="10"/>
      <x:c r="H14" s="9" t="str">
        <x:v>Concept/compositional transfer</x:v>
      </x:c>
      <x:c r="I14" s="9" t="str">
        <x:v>RP-F04</x:v>
      </x:c>
      <x:c r="J14" s="9" t="str">
        <x:v>right</x:v>
      </x:c>
      <x:c r="K14" s="9" t="n">
        <x:v>3</x:v>
      </x:c>
      <x:c r="L14" s="9" t="str">
        <x:v>1 — Canonical transfer — Held-out direction × green-pen/red-block pair (right)</x:v>
      </x:c>
      <x:c r="M14" s="9" t="n">
        <x:v>4</x:v>
      </x:c>
      <x:c r="N14" s="10" t="str">
        <x:v>Build the marked scene. Target starts in the opposite sector and outside the success gap; save a first-frame filename.</x:v>
      </x:c>
      <x:c r="O14" s="10" t="str">
        <x:v>Directional language is trained on other object pairs, but all directional green-pen/red-block demonstrations are withheld in both target/reference directions.</x:v>
      </x:c>
      <x:c r="P14" s="10"/>
    </x:row>
    <x:row r="15" ht="64" customHeight="1">
      <x:c r="A15" s="8" t="str">
        <x:v>Not collected</x:v>
      </x:c>
      <x:c r="B15" s="8" t="n">
        <x:v>13</x:v>
      </x:c>
      <x:c r="C15" s="7" t="str">
        <x:v>Place the red block to the left of the green pen.</x:v>
      </x:c>
      <x:c r="D15" s="7" t="str">
        <x:v>P1 green pen at R4 (5 cm toward the robot from center) [REFERENCE]; P2 red block 18 cm to the left of P1 [TARGET START]; P3 pink marker 15 cm in front of P1 [DISTRACTOR]</x:v>
      </x:c>
      <x:c r="E15" s="8" t="n">
        <x:v>12</x:v>
      </x:c>
      <x:c r="F15" s="8" t="str">
        <x:v>red block → 2–8 cm edge gap to the left of green pen; centroid direction within ±45°</x:v>
      </x:c>
      <x:c r="G15" s="7"/>
      <x:c r="H15" s="8" t="str">
        <x:v>Exact-scene opposite-direction contrast</x:v>
      </x:c>
      <x:c r="I15" s="8" t="str">
        <x:v>RP-F04</x:v>
      </x:c>
      <x:c r="J15" s="8" t="str">
        <x:v>left</x:v>
      </x:c>
      <x:c r="K15" s="8" t="n">
        <x:v>3</x:v>
      </x:c>
      <x:c r="L15" s="8" t="str">
        <x:v>2 — Exact-scene opposite-direction contrast — Direction-word counterfactual (right→left)</x:v>
      </x:c>
      <x:c r="M15" s="8" t="n">
        <x:v>4</x:v>
      </x:c>
      <x:c r="N15" s="7" t="str">
        <x:v>Reset only P2 to its marked start. Preserve the exact scene; change only the directional word and expected goal sector.</x:v>
      </x:c>
      <x:c r="O15" s="7" t="str">
        <x:v>Exact-scene semantic counterfactual. Target and reference identities stay fixed while the requested endpoint reverses front↔behind or left↔right.</x:v>
      </x:c>
      <x:c r="P15" s="7"/>
    </x:row>
    <x:row r="16" ht="64" customHeight="1">
      <x:c r="A16" s="8" t="str">
        <x:v>Not collected</x:v>
      </x:c>
      <x:c r="B16" s="8" t="n">
        <x:v>14</x:v>
      </x:c>
      <x:c r="C16" s="7" t="str">
        <x:v>Move the red block to the side immediately right of the green pen.</x:v>
      </x:c>
      <x:c r="D16" s="7" t="str">
        <x:v>P1 green pen at R4 (5 cm toward the robot from center) [REFERENCE]; P2 red block 18 cm to the left of P1 [TARGET START]; P3 pink marker 15 cm in front of P1 [DISTRACTOR]</x:v>
      </x:c>
      <x:c r="E16" s="8" t="n">
        <x:v>12</x:v>
      </x:c>
      <x:c r="F16" s="8" t="str">
        <x:v>red block → 2–8 cm edge gap to the right of green pen; centroid direction within ±45°</x:v>
      </x:c>
      <x:c r="G16" s="7"/>
      <x:c r="H16" s="8" t="str">
        <x:v>Language robustness</x:v>
      </x:c>
      <x:c r="I16" s="8" t="str">
        <x:v>RP-F04</x:v>
      </x:c>
      <x:c r="J16" s="8" t="str">
        <x:v>right</x:v>
      </x:c>
      <x:c r="K16" s="8" t="n">
        <x:v>3</x:v>
      </x:c>
      <x:c r="L16" s="8" t="str">
        <x:v>3 — Exact-scene transfer paraphrase — Paraphrase of concept/compositional-transfer prompt</x:v>
      </x:c>
      <x:c r="M16" s="8" t="n">
        <x:v>4</x:v>
      </x:c>
      <x:c r="N16" s="7" t="str">
        <x:v>Reset only P2 to its marked start; change only the prompt wording.</x:v>
      </x:c>
      <x:c r="O16" s="7" t="str">
        <x:v>Exact-scene language comparison for the held-out pair composition.</x:v>
      </x:c>
      <x:c r="P16" s="7"/>
    </x:row>
    <x:row r="17" ht="64" customHeight="1">
      <x:c r="A17" s="8" t="str">
        <x:v>Not collected</x:v>
      </x:c>
      <x:c r="B17" s="8" t="n">
        <x:v>15</x:v>
      </x:c>
      <x:c r="C17" s="7" t="str">
        <x:v>Move the red block near the green pen.</x:v>
      </x:c>
      <x:c r="D17" s="7" t="str">
        <x:v>P1 green pen at R4 (5 cm toward the robot from center) [REFERENCE]; P2 red block 18 cm to the left of P1 [TARGET START]; P3 pink marker 15 cm in front of P1 [DISTRACTOR]</x:v>
      </x:c>
      <x:c r="E17" s="8" t="n">
        <x:v>12</x:v>
      </x:c>
      <x:c r="F17" s="8" t="str">
        <x:v>red block → 2–8 cm edge gap from green pen (any direction)</x:v>
      </x:c>
      <x:c r="G17" s="7"/>
      <x:c r="H17" s="8" t="str">
        <x:v>Matched manipulation control</x:v>
      </x:c>
      <x:c r="I17" s="8" t="str">
        <x:v>RP-F04</x:v>
      </x:c>
      <x:c r="J17" s="8" t="str">
        <x:v>near</x:v>
      </x:c>
      <x:c r="K17" s="8" t="n">
        <x:v>3</x:v>
      </x:c>
      <x:c r="L17" s="8" t="str">
        <x:v>4 — Matched control — Seen near/next-to/beside relation on the same ordered pair (3 objects)</x:v>
      </x:c>
      <x:c r="M17" s="8" t="n">
        <x:v>4</x:v>
      </x:c>
      <x:c r="N17" s="7" t="str">
        <x:v>Reset only P2 to its marked start. Keep every object, camera setting, and pose fixed; change only the prompt.</x:v>
      </x:c>
      <x:c r="O17" s="7" t="str">
        <x:v>Controls target/reference recognition and basic pick-place on the exact pair. It is skill-matched but not direction-endpoint-matched, so analyze the paired success delta separately.</x:v>
      </x:c>
      <x:c r="P17" s="7"/>
    </x:row>
    <x:row r="18" ht="64" customHeight="1">
      <x:c r="A18" s="9" t="str">
        <x:v>Not collected</x:v>
      </x:c>
      <x:c r="B18" s="9" t="n">
        <x:v>16</x:v>
      </x:c>
      <x:c r="C18" s="10" t="str">
        <x:v>Move the red block to the front of the green pen.</x:v>
      </x:c>
      <x:c r="D18" s="10" t="str">
        <x:v>P1 green pen at R5 (5 cm away from the robot from center) [REFERENCE]; P2 red block 21 cm behind P1 [TARGET START]; P3 pink marker 15 cm to the left of P1 [DISTRACTOR]</x:v>
      </x:c>
      <x:c r="E18" s="9"/>
      <x:c r="F18" s="9" t="str">
        <x:v>red block → 2–8 cm edge gap in front of green pen; centroid direction within ±45°</x:v>
      </x:c>
      <x:c r="G18" s="10"/>
      <x:c r="H18" s="9" t="str">
        <x:v>Concept/compositional transfer</x:v>
      </x:c>
      <x:c r="I18" s="9" t="str">
        <x:v>RP-F05</x:v>
      </x:c>
      <x:c r="J18" s="9" t="str">
        <x:v>front</x:v>
      </x:c>
      <x:c r="K18" s="9" t="n">
        <x:v>3</x:v>
      </x:c>
      <x:c r="L18" s="9" t="str">
        <x:v>1 — Canonical transfer — Held-out direction × green-pen/red-block pair (front)</x:v>
      </x:c>
      <x:c r="M18" s="9" t="n">
        <x:v>5</x:v>
      </x:c>
      <x:c r="N18" s="10" t="str">
        <x:v>Build the marked scene. Target starts in the opposite sector and outside the success gap; save a first-frame filename.</x:v>
      </x:c>
      <x:c r="O18" s="10" t="str">
        <x:v>Directional language is trained on other object pairs, but all directional green-pen/red-block demonstrations are withheld in both target/reference directions.</x:v>
      </x:c>
      <x:c r="P18" s="10"/>
    </x:row>
    <x:row r="19" ht="64" customHeight="1">
      <x:c r="A19" s="8" t="str">
        <x:v>Not collected</x:v>
      </x:c>
      <x:c r="B19" s="8" t="n">
        <x:v>17</x:v>
      </x:c>
      <x:c r="C19" s="7" t="str">
        <x:v>Put the red block on the table behind the green pen.</x:v>
      </x:c>
      <x:c r="D19" s="7" t="str">
        <x:v>P1 green pen at R5 (5 cm away from the robot from center) [REFERENCE]; P2 red block 21 cm behind P1 [TARGET START]; P3 pink marker 15 cm to the left of P1 [DISTRACTOR]</x:v>
      </x:c>
      <x:c r="E19" s="8" t="n">
        <x:v>16</x:v>
      </x:c>
      <x:c r="F19" s="8" t="str">
        <x:v>red block → 2–8 cm edge gap behind green pen; centroid direction within ±45°</x:v>
      </x:c>
      <x:c r="G19" s="7"/>
      <x:c r="H19" s="8" t="str">
        <x:v>Exact-scene opposite-direction contrast</x:v>
      </x:c>
      <x:c r="I19" s="8" t="str">
        <x:v>RP-F05</x:v>
      </x:c>
      <x:c r="J19" s="8" t="str">
        <x:v>behind</x:v>
      </x:c>
      <x:c r="K19" s="8" t="n">
        <x:v>3</x:v>
      </x:c>
      <x:c r="L19" s="8" t="str">
        <x:v>2 — Exact-scene opposite-direction contrast — Direction-word counterfactual (front→behind)</x:v>
      </x:c>
      <x:c r="M19" s="8" t="n">
        <x:v>5</x:v>
      </x:c>
      <x:c r="N19" s="7" t="str">
        <x:v>Reset only P2 to its marked start. Preserve the exact scene; change only the directional word and expected goal sector.</x:v>
      </x:c>
      <x:c r="O19" s="7" t="str">
        <x:v>Exact-scene semantic counterfactual. Target and reference identities stay fixed while the requested endpoint reverses front↔behind or left↔right.</x:v>
      </x:c>
      <x:c r="P19" s="7"/>
    </x:row>
    <x:row r="20" ht="64" customHeight="1">
      <x:c r="A20" s="8" t="str">
        <x:v>Not collected</x:v>
      </x:c>
      <x:c r="B20" s="8" t="n">
        <x:v>18</x:v>
      </x:c>
      <x:c r="C20" s="7" t="str">
        <x:v>Move the red block to the robot-facing side of the green pen.</x:v>
      </x:c>
      <x:c r="D20" s="7" t="str">
        <x:v>P1 green pen at R5 (5 cm away from the robot from center) [REFERENCE]; P2 red block 21 cm behind P1 [TARGET START]; P3 pink marker 15 cm to the left of P1 [DISTRACTOR]</x:v>
      </x:c>
      <x:c r="E20" s="8" t="n">
        <x:v>16</x:v>
      </x:c>
      <x:c r="F20" s="8" t="str">
        <x:v>red block → 2–8 cm edge gap in front of green pen; centroid direction within ±45°</x:v>
      </x:c>
      <x:c r="G20" s="7"/>
      <x:c r="H20" s="8" t="str">
        <x:v>Language robustness</x:v>
      </x:c>
      <x:c r="I20" s="8" t="str">
        <x:v>RP-F05</x:v>
      </x:c>
      <x:c r="J20" s="8" t="str">
        <x:v>front</x:v>
      </x:c>
      <x:c r="K20" s="8" t="n">
        <x:v>3</x:v>
      </x:c>
      <x:c r="L20" s="8" t="str">
        <x:v>3 — Exact-scene transfer paraphrase — Paraphrase of concept/compositional-transfer prompt</x:v>
      </x:c>
      <x:c r="M20" s="8" t="n">
        <x:v>5</x:v>
      </x:c>
      <x:c r="N20" s="7" t="str">
        <x:v>Reset only P2 to its marked start; change only the prompt wording.</x:v>
      </x:c>
      <x:c r="O20" s="7" t="str">
        <x:v>Exact-scene language comparison for the held-out pair composition.</x:v>
      </x:c>
      <x:c r="P20" s="7"/>
    </x:row>
    <x:row r="21" ht="64" customHeight="1">
      <x:c r="A21" s="8" t="str">
        <x:v>Not collected</x:v>
      </x:c>
      <x:c r="B21" s="8" t="n">
        <x:v>19</x:v>
      </x:c>
      <x:c r="C21" s="7" t="str">
        <x:v>Place the red block next to the green pen.</x:v>
      </x:c>
      <x:c r="D21" s="7" t="str">
        <x:v>P1 green pen at R5 (5 cm away from the robot from center) [REFERENCE]; P2 red block 21 cm behind P1 [TARGET START]; P3 pink marker 15 cm to the left of P1 [DISTRACTOR]</x:v>
      </x:c>
      <x:c r="E21" s="8" t="n">
        <x:v>16</x:v>
      </x:c>
      <x:c r="F21" s="8" t="str">
        <x:v>red block → 2–8 cm edge gap from green pen (any direction)</x:v>
      </x:c>
      <x:c r="G21" s="7"/>
      <x:c r="H21" s="8" t="str">
        <x:v>Matched manipulation control</x:v>
      </x:c>
      <x:c r="I21" s="8" t="str">
        <x:v>RP-F05</x:v>
      </x:c>
      <x:c r="J21" s="8" t="str">
        <x:v>near</x:v>
      </x:c>
      <x:c r="K21" s="8" t="n">
        <x:v>3</x:v>
      </x:c>
      <x:c r="L21" s="8" t="str">
        <x:v>4 — Matched control — Seen near/next-to/beside relation on the same ordered pair (3 objects)</x:v>
      </x:c>
      <x:c r="M21" s="8" t="n">
        <x:v>5</x:v>
      </x:c>
      <x:c r="N21" s="7" t="str">
        <x:v>Reset only P2 to its marked start. Keep every object, camera setting, and pose fixed; change only the prompt.</x:v>
      </x:c>
      <x:c r="O21" s="7" t="str">
        <x:v>Controls target/reference recognition and basic pick-place on the exact pair. It is skill-matched but not direction-endpoint-matched, so analyze the paired success delta separately.</x:v>
      </x:c>
      <x:c r="P21" s="7"/>
    </x:row>
    <x:row r="22" ht="64" customHeight="1">
      <x:c r="A22" s="9" t="str">
        <x:v>Not collected</x:v>
      </x:c>
      <x:c r="B22" s="9" t="n">
        <x:v>20</x:v>
      </x:c>
      <x:c r="C22" s="10" t="str">
        <x:v>Put the green pen on the table behind the red block.</x:v>
      </x:c>
      <x:c r="D22" s="10" t="str">
        <x:v>P1 red block at R1 (table center) [REFERENCE]; P2 green pen 24 cm in front of P1 [TARGET START]; P3 pink marker 15 cm to the left of P1 [DISTRACTOR]</x:v>
      </x:c>
      <x:c r="E22" s="9"/>
      <x:c r="F22" s="9" t="str">
        <x:v>green pen → 2–8 cm edge gap behind red block; centroid direction within ±45°</x:v>
      </x:c>
      <x:c r="G22" s="10"/>
      <x:c r="H22" s="9" t="str">
        <x:v>Concept/compositional transfer</x:v>
      </x:c>
      <x:c r="I22" s="9" t="str">
        <x:v>RP-F06</x:v>
      </x:c>
      <x:c r="J22" s="9" t="str">
        <x:v>behind</x:v>
      </x:c>
      <x:c r="K22" s="9" t="n">
        <x:v>3</x:v>
      </x:c>
      <x:c r="L22" s="9" t="str">
        <x:v>1 — Canonical transfer — Held-out direction × green-pen/red-block pair (behind)</x:v>
      </x:c>
      <x:c r="M22" s="9" t="n">
        <x:v>6</x:v>
      </x:c>
      <x:c r="N22" s="10" t="str">
        <x:v>Build the marked scene. Target starts in the opposite sector and outside the success gap; save a first-frame filename.</x:v>
      </x:c>
      <x:c r="O22" s="10" t="str">
        <x:v>Directional language is trained on other object pairs, but all directional green-pen/red-block demonstrations are withheld in both target/reference directions.</x:v>
      </x:c>
      <x:c r="P22" s="10"/>
    </x:row>
    <x:row r="23" ht="64" customHeight="1">
      <x:c r="A23" s="8" t="str">
        <x:v>Not collected</x:v>
      </x:c>
      <x:c r="B23" s="8" t="n">
        <x:v>21</x:v>
      </x:c>
      <x:c r="C23" s="7" t="str">
        <x:v>Place the green pen in front of the red block.</x:v>
      </x:c>
      <x:c r="D23" s="7" t="str">
        <x:v>P1 red block at R1 (table center) [REFERENCE]; P2 green pen 24 cm in front of P1 [TARGET START]; P3 pink marker 15 cm to the left of P1 [DISTRACTOR]</x:v>
      </x:c>
      <x:c r="E23" s="8" t="n">
        <x:v>20</x:v>
      </x:c>
      <x:c r="F23" s="8" t="str">
        <x:v>green pen → 2–8 cm edge gap in front of red block; centroid direction within ±45°</x:v>
      </x:c>
      <x:c r="G23" s="7"/>
      <x:c r="H23" s="8" t="str">
        <x:v>Exact-scene opposite-direction contrast</x:v>
      </x:c>
      <x:c r="I23" s="8" t="str">
        <x:v>RP-F06</x:v>
      </x:c>
      <x:c r="J23" s="8" t="str">
        <x:v>front</x:v>
      </x:c>
      <x:c r="K23" s="8" t="n">
        <x:v>3</x:v>
      </x:c>
      <x:c r="L23" s="8" t="str">
        <x:v>2 — Exact-scene opposite-direction contrast — Direction-word counterfactual (behind→front)</x:v>
      </x:c>
      <x:c r="M23" s="8" t="n">
        <x:v>6</x:v>
      </x:c>
      <x:c r="N23" s="7" t="str">
        <x:v>Reset only P2 to its marked start. Preserve the exact scene; change only the directional word and expected goal sector.</x:v>
      </x:c>
      <x:c r="O23" s="7" t="str">
        <x:v>Exact-scene semantic counterfactual. Target and reference identities stay fixed while the requested endpoint reverses front↔behind or left↔right.</x:v>
      </x:c>
      <x:c r="P23" s="7"/>
    </x:row>
    <x:row r="24" ht="64" customHeight="1">
      <x:c r="A24" s="8" t="str">
        <x:v>Not collected</x:v>
      </x:c>
      <x:c r="B24" s="8" t="n">
        <x:v>22</x:v>
      </x:c>
      <x:c r="C24" s="7" t="str">
        <x:v>Move the green pen to the rear side of the red block.</x:v>
      </x:c>
      <x:c r="D24" s="7" t="str">
        <x:v>P1 red block at R1 (table center) [REFERENCE]; P2 green pen 24 cm in front of P1 [TARGET START]; P3 pink marker 15 cm to the left of P1 [DISTRACTOR]</x:v>
      </x:c>
      <x:c r="E24" s="8" t="n">
        <x:v>20</x:v>
      </x:c>
      <x:c r="F24" s="8" t="str">
        <x:v>green pen → 2–8 cm edge gap behind red block; centroid direction within ±45°</x:v>
      </x:c>
      <x:c r="G24" s="7"/>
      <x:c r="H24" s="8" t="str">
        <x:v>Language robustness</x:v>
      </x:c>
      <x:c r="I24" s="8" t="str">
        <x:v>RP-F06</x:v>
      </x:c>
      <x:c r="J24" s="8" t="str">
        <x:v>behind</x:v>
      </x:c>
      <x:c r="K24" s="8" t="n">
        <x:v>3</x:v>
      </x:c>
      <x:c r="L24" s="8" t="str">
        <x:v>3 — Exact-scene transfer paraphrase — Paraphrase of concept/compositional-transfer prompt</x:v>
      </x:c>
      <x:c r="M24" s="8" t="n">
        <x:v>6</x:v>
      </x:c>
      <x:c r="N24" s="7" t="str">
        <x:v>Reset only P2 to its marked start; change only the prompt wording.</x:v>
      </x:c>
      <x:c r="O24" s="7" t="str">
        <x:v>Exact-scene language comparison for the held-out pair composition.</x:v>
      </x:c>
      <x:c r="P24" s="7"/>
    </x:row>
    <x:row r="25" ht="64" customHeight="1">
      <x:c r="A25" s="8" t="str">
        <x:v>Not collected</x:v>
      </x:c>
      <x:c r="B25" s="8" t="n">
        <x:v>23</x:v>
      </x:c>
      <x:c r="C25" s="7" t="str">
        <x:v>Put the green pen beside the red block.</x:v>
      </x:c>
      <x:c r="D25" s="7" t="str">
        <x:v>P1 red block at R1 (table center) [REFERENCE]; P2 green pen 24 cm in front of P1 [TARGET START]; P3 pink marker 15 cm to the left of P1 [DISTRACTOR]</x:v>
      </x:c>
      <x:c r="E25" s="8" t="n">
        <x:v>20</x:v>
      </x:c>
      <x:c r="F25" s="8" t="str">
        <x:v>green pen → 2–8 cm edge gap from red block (any direction)</x:v>
      </x:c>
      <x:c r="G25" s="7"/>
      <x:c r="H25" s="8" t="str">
        <x:v>Matched manipulation control</x:v>
      </x:c>
      <x:c r="I25" s="8" t="str">
        <x:v>RP-F06</x:v>
      </x:c>
      <x:c r="J25" s="8" t="str">
        <x:v>near</x:v>
      </x:c>
      <x:c r="K25" s="8" t="n">
        <x:v>3</x:v>
      </x:c>
      <x:c r="L25" s="8" t="str">
        <x:v>4 — Matched control — Seen near/next-to/beside relation on the same ordered pair (3 objects)</x:v>
      </x:c>
      <x:c r="M25" s="8" t="n">
        <x:v>6</x:v>
      </x:c>
      <x:c r="N25" s="7" t="str">
        <x:v>Reset only P2 to its marked start. Keep every object, camera setting, and pose fixed; change only the prompt.</x:v>
      </x:c>
      <x:c r="O25" s="7" t="str">
        <x:v>Controls target/reference recognition and basic pick-place on the exact pair. It is skill-matched but not direction-endpoint-matched, so analyze the paired success delta separately.</x:v>
      </x:c>
      <x:c r="P25" s="7"/>
    </x:row>
    <x:row r="26" ht="64" customHeight="1">
      <x:c r="A26" s="9" t="str">
        <x:v>Not collected</x:v>
      </x:c>
      <x:c r="B26" s="9" t="n">
        <x:v>24</x:v>
      </x:c>
      <x:c r="C26" s="10" t="str">
        <x:v>Place the red block to the left of the green pen.</x:v>
      </x:c>
      <x:c r="D26" s="10" t="str">
        <x:v>P1 green pen at R2 (5 cm left of center) [REFERENCE]; P2 red block 18 cm to the right of P1 [TARGET START]; P3 pink marker 15 cm in front of P1 [DISTRACTOR]</x:v>
      </x:c>
      <x:c r="E26" s="9"/>
      <x:c r="F26" s="9" t="str">
        <x:v>red block → 2–8 cm edge gap to the left of green pen; centroid direction within ±45°</x:v>
      </x:c>
      <x:c r="G26" s="10"/>
      <x:c r="H26" s="9" t="str">
        <x:v>Concept/compositional transfer</x:v>
      </x:c>
      <x:c r="I26" s="9" t="str">
        <x:v>RP-F07</x:v>
      </x:c>
      <x:c r="J26" s="9" t="str">
        <x:v>left</x:v>
      </x:c>
      <x:c r="K26" s="9" t="n">
        <x:v>3</x:v>
      </x:c>
      <x:c r="L26" s="9" t="str">
        <x:v>1 — Canonical transfer — Held-out direction × green-pen/red-block pair (left)</x:v>
      </x:c>
      <x:c r="M26" s="9" t="n">
        <x:v>7</x:v>
      </x:c>
      <x:c r="N26" s="10" t="str">
        <x:v>Build the marked scene. Target starts in the opposite sector and outside the success gap; save a first-frame filename.</x:v>
      </x:c>
      <x:c r="O26" s="10" t="str">
        <x:v>Directional language is trained on other object pairs, but all directional green-pen/red-block demonstrations are withheld in both target/reference directions.</x:v>
      </x:c>
      <x:c r="P26" s="10"/>
    </x:row>
    <x:row r="27" ht="64" customHeight="1">
      <x:c r="A27" s="8" t="str">
        <x:v>Not collected</x:v>
      </x:c>
      <x:c r="B27" s="8" t="n">
        <x:v>25</x:v>
      </x:c>
      <x:c r="C27" s="7" t="str">
        <x:v>Place the red block to the right of the green pen.</x:v>
      </x:c>
      <x:c r="D27" s="7" t="str">
        <x:v>P1 green pen at R2 (5 cm left of center) [REFERENCE]; P2 red block 18 cm to the right of P1 [TARGET START]; P3 pink marker 15 cm in front of P1 [DISTRACTOR]</x:v>
      </x:c>
      <x:c r="E27" s="8" t="n">
        <x:v>24</x:v>
      </x:c>
      <x:c r="F27" s="8" t="str">
        <x:v>red block → 2–8 cm edge gap to the right of green pen; centroid direction within ±45°</x:v>
      </x:c>
      <x:c r="G27" s="7"/>
      <x:c r="H27" s="8" t="str">
        <x:v>Exact-scene opposite-direction contrast</x:v>
      </x:c>
      <x:c r="I27" s="8" t="str">
        <x:v>RP-F07</x:v>
      </x:c>
      <x:c r="J27" s="8" t="str">
        <x:v>right</x:v>
      </x:c>
      <x:c r="K27" s="8" t="n">
        <x:v>3</x:v>
      </x:c>
      <x:c r="L27" s="8" t="str">
        <x:v>2 — Exact-scene opposite-direction contrast — Direction-word counterfactual (left→right)</x:v>
      </x:c>
      <x:c r="M27" s="8" t="n">
        <x:v>7</x:v>
      </x:c>
      <x:c r="N27" s="7" t="str">
        <x:v>Reset only P2 to its marked start. Preserve the exact scene; change only the directional word and expected goal sector.</x:v>
      </x:c>
      <x:c r="O27" s="7" t="str">
        <x:v>Exact-scene semantic counterfactual. Target and reference identities stay fixed while the requested endpoint reverses front↔behind or left↔right.</x:v>
      </x:c>
      <x:c r="P27" s="7"/>
    </x:row>
    <x:row r="28" ht="64" customHeight="1">
      <x:c r="A28" s="8" t="str">
        <x:v>Not collected</x:v>
      </x:c>
      <x:c r="B28" s="8" t="n">
        <x:v>26</x:v>
      </x:c>
      <x:c r="C28" s="7" t="str">
        <x:v>Set the red block on the left-hand side of the green pen.</x:v>
      </x:c>
      <x:c r="D28" s="7" t="str">
        <x:v>P1 green pen at R2 (5 cm left of center) [REFERENCE]; P2 red block 18 cm to the right of P1 [TARGET START]; P3 pink marker 15 cm in front of P1 [DISTRACTOR]</x:v>
      </x:c>
      <x:c r="E28" s="8" t="n">
        <x:v>24</x:v>
      </x:c>
      <x:c r="F28" s="8" t="str">
        <x:v>red block → 2–8 cm edge gap to the left of green pen; centroid direction within ±45°</x:v>
      </x:c>
      <x:c r="G28" s="7"/>
      <x:c r="H28" s="8" t="str">
        <x:v>Language robustness</x:v>
      </x:c>
      <x:c r="I28" s="8" t="str">
        <x:v>RP-F07</x:v>
      </x:c>
      <x:c r="J28" s="8" t="str">
        <x:v>left</x:v>
      </x:c>
      <x:c r="K28" s="8" t="n">
        <x:v>3</x:v>
      </x:c>
      <x:c r="L28" s="8" t="str">
        <x:v>3 — Exact-scene transfer paraphrase — Paraphrase of concept/compositional-transfer prompt</x:v>
      </x:c>
      <x:c r="M28" s="8" t="n">
        <x:v>7</x:v>
      </x:c>
      <x:c r="N28" s="7" t="str">
        <x:v>Reset only P2 to its marked start; change only the prompt wording.</x:v>
      </x:c>
      <x:c r="O28" s="7" t="str">
        <x:v>Exact-scene language comparison for the held-out pair composition.</x:v>
      </x:c>
      <x:c r="P28" s="7"/>
    </x:row>
    <x:row r="29" ht="64" customHeight="1">
      <x:c r="A29" s="8" t="str">
        <x:v>Not collected</x:v>
      </x:c>
      <x:c r="B29" s="8" t="n">
        <x:v>27</x:v>
      </x:c>
      <x:c r="C29" s="7" t="str">
        <x:v>Move the red block near the green pen.</x:v>
      </x:c>
      <x:c r="D29" s="7" t="str">
        <x:v>P1 green pen at R2 (5 cm left of center) [REFERENCE]; P2 red block 18 cm to the right of P1 [TARGET START]; P3 pink marker 15 cm in front of P1 [DISTRACTOR]</x:v>
      </x:c>
      <x:c r="E29" s="8" t="n">
        <x:v>24</x:v>
      </x:c>
      <x:c r="F29" s="8" t="str">
        <x:v>red block → 2–8 cm edge gap from green pen (any direction)</x:v>
      </x:c>
      <x:c r="G29" s="7"/>
      <x:c r="H29" s="8" t="str">
        <x:v>Matched manipulation control</x:v>
      </x:c>
      <x:c r="I29" s="8" t="str">
        <x:v>RP-F07</x:v>
      </x:c>
      <x:c r="J29" s="8" t="str">
        <x:v>near</x:v>
      </x:c>
      <x:c r="K29" s="8" t="n">
        <x:v>3</x:v>
      </x:c>
      <x:c r="L29" s="8" t="str">
        <x:v>4 — Matched control — Seen near/next-to/beside relation on the same ordered pair (3 objects)</x:v>
      </x:c>
      <x:c r="M29" s="8" t="n">
        <x:v>7</x:v>
      </x:c>
      <x:c r="N29" s="7" t="str">
        <x:v>Reset only P2 to its marked start. Keep every object, camera setting, and pose fixed; change only the prompt.</x:v>
      </x:c>
      <x:c r="O29" s="7" t="str">
        <x:v>Controls target/reference recognition and basic pick-place on the exact pair. It is skill-matched but not direction-endpoint-matched, so analyze the paired success delta separately.</x:v>
      </x:c>
      <x:c r="P29" s="7"/>
    </x:row>
    <x:row r="30" ht="64" customHeight="1">
      <x:c r="A30" s="9" t="str">
        <x:v>Not collected</x:v>
      </x:c>
      <x:c r="B30" s="9" t="n">
        <x:v>28</x:v>
      </x:c>
      <x:c r="C30" s="10" t="str">
        <x:v>Place the green pen to the right of the red block.</x:v>
      </x:c>
      <x:c r="D30" s="10" t="str">
        <x:v>P1 red block at R3 (5 cm right of center) [REFERENCE]; P2 green pen 21 cm to the left of P1 [TARGET START]; P3 pink marker 15 cm in front of P1 [DISTRACTOR]</x:v>
      </x:c>
      <x:c r="E30" s="9"/>
      <x:c r="F30" s="9" t="str">
        <x:v>green pen → 2–8 cm edge gap to the right of red block; centroid direction within ±45°</x:v>
      </x:c>
      <x:c r="G30" s="10"/>
      <x:c r="H30" s="9" t="str">
        <x:v>Concept/compositional transfer</x:v>
      </x:c>
      <x:c r="I30" s="9" t="str">
        <x:v>RP-F08</x:v>
      </x:c>
      <x:c r="J30" s="9" t="str">
        <x:v>right</x:v>
      </x:c>
      <x:c r="K30" s="9" t="n">
        <x:v>3</x:v>
      </x:c>
      <x:c r="L30" s="9" t="str">
        <x:v>1 — Canonical transfer — Held-out direction × green-pen/red-block pair (right)</x:v>
      </x:c>
      <x:c r="M30" s="9" t="n">
        <x:v>8</x:v>
      </x:c>
      <x:c r="N30" s="10" t="str">
        <x:v>Build the marked scene. Target starts in the opposite sector and outside the success gap; save a first-frame filename.</x:v>
      </x:c>
      <x:c r="O30" s="10" t="str">
        <x:v>Directional language is trained on other object pairs, but all directional green-pen/red-block demonstrations are withheld in both target/reference directions.</x:v>
      </x:c>
      <x:c r="P30" s="10"/>
    </x:row>
    <x:row r="31" ht="64" customHeight="1">
      <x:c r="A31" s="8" t="str">
        <x:v>Not collected</x:v>
      </x:c>
      <x:c r="B31" s="8" t="n">
        <x:v>29</x:v>
      </x:c>
      <x:c r="C31" s="7" t="str">
        <x:v>Place the green pen to the left of the red block.</x:v>
      </x:c>
      <x:c r="D31" s="7" t="str">
        <x:v>P1 red block at R3 (5 cm right of center) [REFERENCE]; P2 green pen 21 cm to the left of P1 [TARGET START]; P3 pink marker 15 cm in front of P1 [DISTRACTOR]</x:v>
      </x:c>
      <x:c r="E31" s="8" t="n">
        <x:v>28</x:v>
      </x:c>
      <x:c r="F31" s="8" t="str">
        <x:v>green pen → 2–8 cm edge gap to the left of red block; centroid direction within ±45°</x:v>
      </x:c>
      <x:c r="G31" s="7"/>
      <x:c r="H31" s="8" t="str">
        <x:v>Exact-scene opposite-direction contrast</x:v>
      </x:c>
      <x:c r="I31" s="8" t="str">
        <x:v>RP-F08</x:v>
      </x:c>
      <x:c r="J31" s="8" t="str">
        <x:v>left</x:v>
      </x:c>
      <x:c r="K31" s="8" t="n">
        <x:v>3</x:v>
      </x:c>
      <x:c r="L31" s="8" t="str">
        <x:v>2 — Exact-scene opposite-direction contrast — Direction-word counterfactual (right→left)</x:v>
      </x:c>
      <x:c r="M31" s="8" t="n">
        <x:v>8</x:v>
      </x:c>
      <x:c r="N31" s="7" t="str">
        <x:v>Reset only P2 to its marked start. Preserve the exact scene; change only the directional word and expected goal sector.</x:v>
      </x:c>
      <x:c r="O31" s="7" t="str">
        <x:v>Exact-scene semantic counterfactual. Target and reference identities stay fixed while the requested endpoint reverses front↔behind or left↔right.</x:v>
      </x:c>
      <x:c r="P31" s="7"/>
    </x:row>
    <x:row r="32" ht="64" customHeight="1">
      <x:c r="A32" s="8" t="str">
        <x:v>Not collected</x:v>
      </x:c>
      <x:c r="B32" s="8" t="n">
        <x:v>30</x:v>
      </x:c>
      <x:c r="C32" s="7" t="str">
        <x:v>Move the green pen to the side immediately right of the red block.</x:v>
      </x:c>
      <x:c r="D32" s="7" t="str">
        <x:v>P1 red block at R3 (5 cm right of center) [REFERENCE]; P2 green pen 21 cm to the left of P1 [TARGET START]; P3 pink marker 15 cm in front of P1 [DISTRACTOR]</x:v>
      </x:c>
      <x:c r="E32" s="8" t="n">
        <x:v>28</x:v>
      </x:c>
      <x:c r="F32" s="8" t="str">
        <x:v>green pen → 2–8 cm edge gap to the right of red block; centroid direction within ±45°</x:v>
      </x:c>
      <x:c r="G32" s="7"/>
      <x:c r="H32" s="8" t="str">
        <x:v>Language robustness</x:v>
      </x:c>
      <x:c r="I32" s="8" t="str">
        <x:v>RP-F08</x:v>
      </x:c>
      <x:c r="J32" s="8" t="str">
        <x:v>right</x:v>
      </x:c>
      <x:c r="K32" s="8" t="n">
        <x:v>3</x:v>
      </x:c>
      <x:c r="L32" s="8" t="str">
        <x:v>3 — Exact-scene transfer paraphrase — Paraphrase of concept/compositional-transfer prompt</x:v>
      </x:c>
      <x:c r="M32" s="8" t="n">
        <x:v>8</x:v>
      </x:c>
      <x:c r="N32" s="7" t="str">
        <x:v>Reset only P2 to its marked start; change only the prompt wording.</x:v>
      </x:c>
      <x:c r="O32" s="7" t="str">
        <x:v>Exact-scene language comparison for the held-out pair composition.</x:v>
      </x:c>
      <x:c r="P32" s="7"/>
    </x:row>
    <x:row r="33" ht="64" customHeight="1">
      <x:c r="A33" s="8" t="str">
        <x:v>Not collected</x:v>
      </x:c>
      <x:c r="B33" s="8" t="n">
        <x:v>31</x:v>
      </x:c>
      <x:c r="C33" s="7" t="str">
        <x:v>Place the green pen next to the red block.</x:v>
      </x:c>
      <x:c r="D33" s="7" t="str">
        <x:v>P1 red block at R3 (5 cm right of center) [REFERENCE]; P2 green pen 21 cm to the left of P1 [TARGET START]; P3 pink marker 15 cm in front of P1 [DISTRACTOR]</x:v>
      </x:c>
      <x:c r="E33" s="8" t="n">
        <x:v>28</x:v>
      </x:c>
      <x:c r="F33" s="8" t="str">
        <x:v>green pen → 2–8 cm edge gap from red block (any direction)</x:v>
      </x:c>
      <x:c r="G33" s="7"/>
      <x:c r="H33" s="8" t="str">
        <x:v>Matched manipulation control</x:v>
      </x:c>
      <x:c r="I33" s="8" t="str">
        <x:v>RP-F08</x:v>
      </x:c>
      <x:c r="J33" s="8" t="str">
        <x:v>near</x:v>
      </x:c>
      <x:c r="K33" s="8" t="n">
        <x:v>3</x:v>
      </x:c>
      <x:c r="L33" s="8" t="str">
        <x:v>4 — Matched control — Seen near/next-to/beside relation on the same ordered pair (3 objects)</x:v>
      </x:c>
      <x:c r="M33" s="8" t="n">
        <x:v>8</x:v>
      </x:c>
      <x:c r="N33" s="7" t="str">
        <x:v>Reset only P2 to its marked start. Keep every object, camera setting, and pose fixed; change only the prompt.</x:v>
      </x:c>
      <x:c r="O33" s="7" t="str">
        <x:v>Controls target/reference recognition and basic pick-place on the exact pair. It is skill-matched but not direction-endpoint-matched, so analyze the paired success delta separately.</x:v>
      </x:c>
      <x:c r="P33" s="7"/>
    </x:row>
    <x:row r="34" ht="64" customHeight="1">
      <x:c r="A34" s="9" t="str">
        <x:v>Not collected</x:v>
      </x:c>
      <x:c r="B34" s="9" t="n">
        <x:v>32</x:v>
      </x:c>
      <x:c r="C34" s="10" t="str">
        <x:v>Put the green pen on the table in front of the red block.</x:v>
      </x:c>
      <x:c r="D34" s="10" t="str">
        <x:v>P1 red block at R4 (5 cm toward the robot from center) [REFERENCE]; P2 green pen 24 cm behind P1 [TARGET START]; P3 pink marker 15 cm to the left of P1 [DISTRACTOR]</x:v>
      </x:c>
      <x:c r="E34" s="9"/>
      <x:c r="F34" s="9" t="str">
        <x:v>green pen → 2–8 cm edge gap in front of red block; centroid direction within ±45°</x:v>
      </x:c>
      <x:c r="G34" s="10"/>
      <x:c r="H34" s="9" t="str">
        <x:v>Concept/compositional transfer</x:v>
      </x:c>
      <x:c r="I34" s="9" t="str">
        <x:v>RP-F09</x:v>
      </x:c>
      <x:c r="J34" s="9" t="str">
        <x:v>front</x:v>
      </x:c>
      <x:c r="K34" s="9" t="n">
        <x:v>3</x:v>
      </x:c>
      <x:c r="L34" s="9" t="str">
        <x:v>1 — Canonical transfer — Held-out direction × green-pen/red-block pair (front)</x:v>
      </x:c>
      <x:c r="M34" s="9" t="n">
        <x:v>9</x:v>
      </x:c>
      <x:c r="N34" s="10" t="str">
        <x:v>Build the marked scene. Target starts in the opposite sector and outside the success gap; save a first-frame filename.</x:v>
      </x:c>
      <x:c r="O34" s="10" t="str">
        <x:v>Directional language is trained on other object pairs, but all directional green-pen/red-block demonstrations are withheld in both target/reference directions.</x:v>
      </x:c>
      <x:c r="P34" s="10"/>
    </x:row>
    <x:row r="35" ht="64" customHeight="1">
      <x:c r="A35" s="8" t="str">
        <x:v>Not collected</x:v>
      </x:c>
      <x:c r="B35" s="8" t="n">
        <x:v>33</x:v>
      </x:c>
      <x:c r="C35" s="7" t="str">
        <x:v>Place the green pen behind the red block.</x:v>
      </x:c>
      <x:c r="D35" s="7" t="str">
        <x:v>P1 red block at R4 (5 cm toward the robot from center) [REFERENCE]; P2 green pen 24 cm behind P1 [TARGET START]; P3 pink marker 15 cm to the left of P1 [DISTRACTOR]</x:v>
      </x:c>
      <x:c r="E35" s="8" t="n">
        <x:v>32</x:v>
      </x:c>
      <x:c r="F35" s="8" t="str">
        <x:v>green pen → 2–8 cm edge gap behind red block; centroid direction within ±45°</x:v>
      </x:c>
      <x:c r="G35" s="7"/>
      <x:c r="H35" s="8" t="str">
        <x:v>Exact-scene opposite-direction contrast</x:v>
      </x:c>
      <x:c r="I35" s="8" t="str">
        <x:v>RP-F09</x:v>
      </x:c>
      <x:c r="J35" s="8" t="str">
        <x:v>behind</x:v>
      </x:c>
      <x:c r="K35" s="8" t="n">
        <x:v>3</x:v>
      </x:c>
      <x:c r="L35" s="8" t="str">
        <x:v>2 — Exact-scene opposite-direction contrast — Direction-word counterfactual (front→behind)</x:v>
      </x:c>
      <x:c r="M35" s="8" t="n">
        <x:v>9</x:v>
      </x:c>
      <x:c r="N35" s="7" t="str">
        <x:v>Reset only P2 to its marked start. Preserve the exact scene; change only the directional word and expected goal sector.</x:v>
      </x:c>
      <x:c r="O35" s="7" t="str">
        <x:v>Exact-scene semantic counterfactual. Target and reference identities stay fixed while the requested endpoint reverses front↔behind or left↔right.</x:v>
      </x:c>
      <x:c r="P35" s="7"/>
    </x:row>
    <x:row r="36" ht="64" customHeight="1">
      <x:c r="A36" s="8" t="str">
        <x:v>Not collected</x:v>
      </x:c>
      <x:c r="B36" s="8" t="n">
        <x:v>34</x:v>
      </x:c>
      <x:c r="C36" s="7" t="str">
        <x:v>Move the green pen to the robot-facing side of the red block.</x:v>
      </x:c>
      <x:c r="D36" s="7" t="str">
        <x:v>P1 red block at R4 (5 cm toward the robot from center) [REFERENCE]; P2 green pen 24 cm behind P1 [TARGET START]; P3 pink marker 15 cm to the left of P1 [DISTRACTOR]</x:v>
      </x:c>
      <x:c r="E36" s="8" t="n">
        <x:v>32</x:v>
      </x:c>
      <x:c r="F36" s="8" t="str">
        <x:v>green pen → 2–8 cm edge gap in front of red block; centroid direction within ±45°</x:v>
      </x:c>
      <x:c r="G36" s="7"/>
      <x:c r="H36" s="8" t="str">
        <x:v>Language robustness</x:v>
      </x:c>
      <x:c r="I36" s="8" t="str">
        <x:v>RP-F09</x:v>
      </x:c>
      <x:c r="J36" s="8" t="str">
        <x:v>front</x:v>
      </x:c>
      <x:c r="K36" s="8" t="n">
        <x:v>3</x:v>
      </x:c>
      <x:c r="L36" s="8" t="str">
        <x:v>3 — Exact-scene transfer paraphrase — Paraphrase of concept/compositional-transfer prompt</x:v>
      </x:c>
      <x:c r="M36" s="8" t="n">
        <x:v>9</x:v>
      </x:c>
      <x:c r="N36" s="7" t="str">
        <x:v>Reset only P2 to its marked start; change only the prompt wording.</x:v>
      </x:c>
      <x:c r="O36" s="7" t="str">
        <x:v>Exact-scene language comparison for the held-out pair composition.</x:v>
      </x:c>
      <x:c r="P36" s="7"/>
    </x:row>
    <x:row r="37" ht="64" customHeight="1">
      <x:c r="A37" s="8" t="str">
        <x:v>Not collected</x:v>
      </x:c>
      <x:c r="B37" s="8" t="n">
        <x:v>35</x:v>
      </x:c>
      <x:c r="C37" s="7" t="str">
        <x:v>Put the green pen beside the red block.</x:v>
      </x:c>
      <x:c r="D37" s="7" t="str">
        <x:v>P1 red block at R4 (5 cm toward the robot from center) [REFERENCE]; P2 green pen 24 cm behind P1 [TARGET START]; P3 pink marker 15 cm to the left of P1 [DISTRACTOR]</x:v>
      </x:c>
      <x:c r="E37" s="8" t="n">
        <x:v>32</x:v>
      </x:c>
      <x:c r="F37" s="8" t="str">
        <x:v>green pen → 2–8 cm edge gap from red block (any direction)</x:v>
      </x:c>
      <x:c r="G37" s="7"/>
      <x:c r="H37" s="8" t="str">
        <x:v>Matched manipulation control</x:v>
      </x:c>
      <x:c r="I37" s="8" t="str">
        <x:v>RP-F09</x:v>
      </x:c>
      <x:c r="J37" s="8" t="str">
        <x:v>near</x:v>
      </x:c>
      <x:c r="K37" s="8" t="n">
        <x:v>3</x:v>
      </x:c>
      <x:c r="L37" s="8" t="str">
        <x:v>4 — Matched control — Seen near/next-to/beside relation on the same ordered pair (3 objects)</x:v>
      </x:c>
      <x:c r="M37" s="8" t="n">
        <x:v>9</x:v>
      </x:c>
      <x:c r="N37" s="7" t="str">
        <x:v>Reset only P2 to its marked start. Keep every object, camera setting, and pose fixed; change only the prompt.</x:v>
      </x:c>
      <x:c r="O37" s="7" t="str">
        <x:v>Controls target/reference recognition and basic pick-place on the exact pair. It is skill-matched but not direction-endpoint-matched, so analyze the paired success delta separately.</x:v>
      </x:c>
      <x:c r="P37" s="7"/>
    </x:row>
    <x:row r="38" ht="64" customHeight="1">
      <x:c r="A38" s="9" t="str">
        <x:v>Not collected</x:v>
      </x:c>
      <x:c r="B38" s="9" t="n">
        <x:v>36</x:v>
      </x:c>
      <x:c r="C38" s="10" t="str">
        <x:v>Place the red block behind the green pen.</x:v>
      </x:c>
      <x:c r="D38" s="10" t="str">
        <x:v>P1 green pen at R5 (5 cm away from the robot from center) [REFERENCE]; P2 red block 18 cm in front of P1 [TARGET START]; P3 pink marker 15 cm to the left of P1 [DISTRACTOR]</x:v>
      </x:c>
      <x:c r="E38" s="9"/>
      <x:c r="F38" s="9" t="str">
        <x:v>red block → 2–8 cm edge gap behind green pen; centroid direction within ±45°</x:v>
      </x:c>
      <x:c r="G38" s="10"/>
      <x:c r="H38" s="9" t="str">
        <x:v>Concept/compositional transfer</x:v>
      </x:c>
      <x:c r="I38" s="9" t="str">
        <x:v>RP-F10</x:v>
      </x:c>
      <x:c r="J38" s="9" t="str">
        <x:v>behind</x:v>
      </x:c>
      <x:c r="K38" s="9" t="n">
        <x:v>3</x:v>
      </x:c>
      <x:c r="L38" s="9" t="str">
        <x:v>1 — Canonical transfer — Held-out direction × green-pen/red-block pair (behind)</x:v>
      </x:c>
      <x:c r="M38" s="9" t="n">
        <x:v>10</x:v>
      </x:c>
      <x:c r="N38" s="10" t="str">
        <x:v>Build the marked scene. Target starts in the opposite sector and outside the success gap; save a first-frame filename.</x:v>
      </x:c>
      <x:c r="O38" s="10" t="str">
        <x:v>Directional language is trained on other object pairs, but all directional green-pen/red-block demonstrations are withheld in both target/reference directions.</x:v>
      </x:c>
      <x:c r="P38" s="10"/>
    </x:row>
    <x:row r="39" ht="64" customHeight="1">
      <x:c r="A39" s="8" t="str">
        <x:v>Not collected</x:v>
      </x:c>
      <x:c r="B39" s="8" t="n">
        <x:v>37</x:v>
      </x:c>
      <x:c r="C39" s="7" t="str">
        <x:v>Move the red block to the front of the green pen.</x:v>
      </x:c>
      <x:c r="D39" s="7" t="str">
        <x:v>P1 green pen at R5 (5 cm away from the robot from center) [REFERENCE]; P2 red block 18 cm in front of P1 [TARGET START]; P3 pink marker 15 cm to the left of P1 [DISTRACTOR]</x:v>
      </x:c>
      <x:c r="E39" s="8" t="n">
        <x:v>36</x:v>
      </x:c>
      <x:c r="F39" s="8" t="str">
        <x:v>red block → 2–8 cm edge gap in front of green pen; centroid direction within ±45°</x:v>
      </x:c>
      <x:c r="G39" s="7"/>
      <x:c r="H39" s="8" t="str">
        <x:v>Exact-scene opposite-direction contrast</x:v>
      </x:c>
      <x:c r="I39" s="8" t="str">
        <x:v>RP-F10</x:v>
      </x:c>
      <x:c r="J39" s="8" t="str">
        <x:v>front</x:v>
      </x:c>
      <x:c r="K39" s="8" t="n">
        <x:v>3</x:v>
      </x:c>
      <x:c r="L39" s="8" t="str">
        <x:v>2 — Exact-scene opposite-direction contrast — Direction-word counterfactual (behind→front)</x:v>
      </x:c>
      <x:c r="M39" s="8" t="n">
        <x:v>10</x:v>
      </x:c>
      <x:c r="N39" s="7" t="str">
        <x:v>Reset only P2 to its marked start. Preserve the exact scene; change only the directional word and expected goal sector.</x:v>
      </x:c>
      <x:c r="O39" s="7" t="str">
        <x:v>Exact-scene semantic counterfactual. Target and reference identities stay fixed while the requested endpoint reverses front↔behind or left↔right.</x:v>
      </x:c>
      <x:c r="P39" s="7"/>
    </x:row>
    <x:row r="40" ht="64" customHeight="1">
      <x:c r="A40" s="8" t="str">
        <x:v>Not collected</x:v>
      </x:c>
      <x:c r="B40" s="8" t="n">
        <x:v>38</x:v>
      </x:c>
      <x:c r="C40" s="7" t="str">
        <x:v>Move the red block to the rear side of the green pen.</x:v>
      </x:c>
      <x:c r="D40" s="7" t="str">
        <x:v>P1 green pen at R5 (5 cm away from the robot from center) [REFERENCE]; P2 red block 18 cm in front of P1 [TARGET START]; P3 pink marker 15 cm to the left of P1 [DISTRACTOR]</x:v>
      </x:c>
      <x:c r="E40" s="8" t="n">
        <x:v>36</x:v>
      </x:c>
      <x:c r="F40" s="8" t="str">
        <x:v>red block → 2–8 cm edge gap behind green pen; centroid direction within ±45°</x:v>
      </x:c>
      <x:c r="G40" s="7"/>
      <x:c r="H40" s="8" t="str">
        <x:v>Language robustness</x:v>
      </x:c>
      <x:c r="I40" s="8" t="str">
        <x:v>RP-F10</x:v>
      </x:c>
      <x:c r="J40" s="8" t="str">
        <x:v>behind</x:v>
      </x:c>
      <x:c r="K40" s="8" t="n">
        <x:v>3</x:v>
      </x:c>
      <x:c r="L40" s="8" t="str">
        <x:v>3 — Exact-scene transfer paraphrase — Paraphrase of concept/compositional-transfer prompt</x:v>
      </x:c>
      <x:c r="M40" s="8" t="n">
        <x:v>10</x:v>
      </x:c>
      <x:c r="N40" s="7" t="str">
        <x:v>Reset only P2 to its marked start; change only the prompt wording.</x:v>
      </x:c>
      <x:c r="O40" s="7" t="str">
        <x:v>Exact-scene language comparison for the held-out pair composition.</x:v>
      </x:c>
      <x:c r="P40" s="7"/>
    </x:row>
    <x:row r="41" ht="64" customHeight="1">
      <x:c r="A41" s="8" t="str">
        <x:v>Not collected</x:v>
      </x:c>
      <x:c r="B41" s="8" t="n">
        <x:v>39</x:v>
      </x:c>
      <x:c r="C41" s="7" t="str">
        <x:v>Move the red block near the green pen.</x:v>
      </x:c>
      <x:c r="D41" s="7" t="str">
        <x:v>P1 green pen at R5 (5 cm away from the robot from center) [REFERENCE]; P2 red block 18 cm in front of P1 [TARGET START]; P3 pink marker 15 cm to the left of P1 [DISTRACTOR]</x:v>
      </x:c>
      <x:c r="E41" s="8" t="n">
        <x:v>36</x:v>
      </x:c>
      <x:c r="F41" s="8" t="str">
        <x:v>red block → 2–8 cm edge gap from green pen (any direction)</x:v>
      </x:c>
      <x:c r="G41" s="7"/>
      <x:c r="H41" s="8" t="str">
        <x:v>Matched manipulation control</x:v>
      </x:c>
      <x:c r="I41" s="8" t="str">
        <x:v>RP-F10</x:v>
      </x:c>
      <x:c r="J41" s="8" t="str">
        <x:v>near</x:v>
      </x:c>
      <x:c r="K41" s="8" t="n">
        <x:v>3</x:v>
      </x:c>
      <x:c r="L41" s="8" t="str">
        <x:v>4 — Matched control — Seen near/next-to/beside relation on the same ordered pair (3 objects)</x:v>
      </x:c>
      <x:c r="M41" s="8" t="n">
        <x:v>10</x:v>
      </x:c>
      <x:c r="N41" s="7" t="str">
        <x:v>Reset only P2 to its marked start. Keep every object, camera setting, and pose fixed; change only the prompt.</x:v>
      </x:c>
      <x:c r="O41" s="7" t="str">
        <x:v>Controls target/reference recognition and basic pick-place on the exact pair. It is skill-matched but not direction-endpoint-matched, so analyze the paired success delta separately.</x:v>
      </x:c>
      <x:c r="P41" s="7"/>
    </x:row>
    <x:row r="42" ht="64" customHeight="1">
      <x:c r="A42" s="9" t="str">
        <x:v>Not collected</x:v>
      </x:c>
      <x:c r="B42" s="9" t="n">
        <x:v>40</x:v>
      </x:c>
      <x:c r="C42" s="10" t="str">
        <x:v>Place the green pen to the left of the red block.</x:v>
      </x:c>
      <x:c r="D42" s="10" t="str">
        <x:v>P1 red block at R1 (table center) [REFERENCE]; P2 green pen 21 cm to the right of P1 [TARGET START]; P3 pink marker 15 cm in front of P1 [DISTRACTOR]; P4 blue block 15 cm behind P1 [DISTRACTOR]</x:v>
      </x:c>
      <x:c r="E42" s="9"/>
      <x:c r="F42" s="9" t="str">
        <x:v>green pen → 2–8 cm edge gap to the left of red block; centroid direction within ±45°</x:v>
      </x:c>
      <x:c r="G42" s="10"/>
      <x:c r="H42" s="9" t="str">
        <x:v>Concept/compositional transfer</x:v>
      </x:c>
      <x:c r="I42" s="9" t="str">
        <x:v>RP-F11</x:v>
      </x:c>
      <x:c r="J42" s="9" t="str">
        <x:v>left</x:v>
      </x:c>
      <x:c r="K42" s="9" t="n">
        <x:v>4</x:v>
      </x:c>
      <x:c r="L42" s="9" t="str">
        <x:v>1 — Canonical transfer — Held-out direction × green-pen/red-block pair (left)</x:v>
      </x:c>
      <x:c r="M42" s="9" t="n">
        <x:v>11</x:v>
      </x:c>
      <x:c r="N42" s="10" t="str">
        <x:v>Build the marked scene. Target starts in the opposite sector and outside the success gap; save a first-frame filename.</x:v>
      </x:c>
      <x:c r="O42" s="10" t="str">
        <x:v>Directional language is trained on other object pairs, but all directional green-pen/red-block demonstrations are withheld in both target/reference directions.</x:v>
      </x:c>
      <x:c r="P42" s="10"/>
    </x:row>
    <x:row r="43" ht="64" customHeight="1">
      <x:c r="A43" s="8" t="str">
        <x:v>Not collected</x:v>
      </x:c>
      <x:c r="B43" s="8" t="n">
        <x:v>41</x:v>
      </x:c>
      <x:c r="C43" s="7" t="str">
        <x:v>Place the green pen to the right of the red block.</x:v>
      </x:c>
      <x:c r="D43" s="7" t="str">
        <x:v>P1 red block at R1 (table center) [REFERENCE]; P2 green pen 21 cm to the right of P1 [TARGET START]; P3 pink marker 15 cm in front of P1 [DISTRACTOR]; P4 blue block 15 cm behind P1 [DISTRACTOR]</x:v>
      </x:c>
      <x:c r="E43" s="8" t="n">
        <x:v>40</x:v>
      </x:c>
      <x:c r="F43" s="8" t="str">
        <x:v>green pen → 2–8 cm edge gap to the right of red block; centroid direction within ±45°</x:v>
      </x:c>
      <x:c r="G43" s="7"/>
      <x:c r="H43" s="8" t="str">
        <x:v>Exact-scene opposite-direction contrast</x:v>
      </x:c>
      <x:c r="I43" s="8" t="str">
        <x:v>RP-F11</x:v>
      </x:c>
      <x:c r="J43" s="8" t="str">
        <x:v>right</x:v>
      </x:c>
      <x:c r="K43" s="8" t="n">
        <x:v>4</x:v>
      </x:c>
      <x:c r="L43" s="8" t="str">
        <x:v>2 — Exact-scene opposite-direction contrast — Direction-word counterfactual (left→right)</x:v>
      </x:c>
      <x:c r="M43" s="8" t="n">
        <x:v>11</x:v>
      </x:c>
      <x:c r="N43" s="7" t="str">
        <x:v>Reset only P2 to its marked start. Preserve the exact scene; change only the directional word and expected goal sector.</x:v>
      </x:c>
      <x:c r="O43" s="7" t="str">
        <x:v>Exact-scene semantic counterfactual. Target and reference identities stay fixed while the requested endpoint reverses front↔behind or left↔right.</x:v>
      </x:c>
      <x:c r="P43" s="7"/>
    </x:row>
    <x:row r="44" ht="64" customHeight="1">
      <x:c r="A44" s="8" t="str">
        <x:v>Not collected</x:v>
      </x:c>
      <x:c r="B44" s="8" t="n">
        <x:v>42</x:v>
      </x:c>
      <x:c r="C44" s="7" t="str">
        <x:v>Place the green pen next to the red block.</x:v>
      </x:c>
      <x:c r="D44" s="7" t="str">
        <x:v>P1 red block at R1 (table center) [REFERENCE]; P2 green pen 21 cm to the right of P1 [TARGET START]; P3 pink marker 15 cm in front of P1 [DISTRACTOR]; P4 blue block 15 cm behind P1 [DISTRACTOR]</x:v>
      </x:c>
      <x:c r="E44" s="8" t="n">
        <x:v>40</x:v>
      </x:c>
      <x:c r="F44" s="8" t="str">
        <x:v>green pen → 2–8 cm edge gap from red block (any direction)</x:v>
      </x:c>
      <x:c r="G44" s="7"/>
      <x:c r="H44" s="8" t="str">
        <x:v>Matched manipulation control</x:v>
      </x:c>
      <x:c r="I44" s="8" t="str">
        <x:v>RP-F11</x:v>
      </x:c>
      <x:c r="J44" s="8" t="str">
        <x:v>near</x:v>
      </x:c>
      <x:c r="K44" s="8" t="n">
        <x:v>4</x:v>
      </x:c>
      <x:c r="L44" s="8" t="str">
        <x:v>3 — Matched control — Seen near/next-to/beside relation on the same ordered pair (4 objects)</x:v>
      </x:c>
      <x:c r="M44" s="8" t="n">
        <x:v>11</x:v>
      </x:c>
      <x:c r="N44" s="7" t="str">
        <x:v>Reset only P2 to its marked start. Keep every object, camera setting, and pose fixed; change only the prompt.</x:v>
      </x:c>
      <x:c r="O44" s="7" t="str">
        <x:v>Controls target/reference recognition and basic pick-place on the exact pair. It is skill-matched but not direction-endpoint-matched, so analyze the paired success delta separately.</x:v>
      </x:c>
      <x:c r="P44" s="7"/>
    </x:row>
    <x:row r="45" ht="64" customHeight="1">
      <x:c r="A45" s="8" t="str">
        <x:v>Not collected</x:v>
      </x:c>
      <x:c r="B45" s="8" t="n">
        <x:v>43</x:v>
      </x:c>
      <x:c r="C45" s="7" t="str">
        <x:v>Position the green pen adjacent to the red block.</x:v>
      </x:c>
      <x:c r="D45" s="7" t="str">
        <x:v>P1 red block at R1 (table center) [REFERENCE]; P2 green pen 21 cm to the right of P1 [TARGET START]; P3 pink marker 15 cm in front of P1 [DISTRACTOR]; P4 blue block 15 cm behind P1 [DISTRACTOR]</x:v>
      </x:c>
      <x:c r="E45" s="8" t="n">
        <x:v>42</x:v>
      </x:c>
      <x:c r="F45" s="8" t="str">
        <x:v>green pen → 2–8 cm edge gap from red block (any direction)</x:v>
      </x:c>
      <x:c r="G45" s="7"/>
      <x:c r="H45" s="8" t="str">
        <x:v>Language robustness</x:v>
      </x:c>
      <x:c r="I45" s="8" t="str">
        <x:v>RP-F11</x:v>
      </x:c>
      <x:c r="J45" s="8" t="str">
        <x:v>near</x:v>
      </x:c>
      <x:c r="K45" s="8" t="n">
        <x:v>4</x:v>
      </x:c>
      <x:c r="L45" s="8" t="str">
        <x:v>4 — Exact-scene control paraphrase — Paraphrase of matched-control prompt</x:v>
      </x:c>
      <x:c r="M45" s="8" t="n">
        <x:v>11</x:v>
      </x:c>
      <x:c r="N45" s="7" t="str">
        <x:v>Reset only P2 to its marked start; change only the prompt wording.</x:v>
      </x:c>
      <x:c r="O45" s="7" t="str">
        <x:v>Exact-scene language comparison for the seen near relation.</x:v>
      </x:c>
      <x:c r="P45" s="7"/>
    </x:row>
    <x:row r="46" ht="64" customHeight="1">
      <x:c r="A46" s="9" t="str">
        <x:v>Not collected</x:v>
      </x:c>
      <x:c r="B46" s="9" t="n">
        <x:v>44</x:v>
      </x:c>
      <x:c r="C46" s="10" t="str">
        <x:v>Place the red block to the right of the green pen.</x:v>
      </x:c>
      <x:c r="D46" s="10" t="str">
        <x:v>P1 green pen at R2 (5 cm left of center) [REFERENCE]; P2 red block 24 cm to the left of P1 [TARGET START]; P3 pink marker 15 cm in front of P1 [DISTRACTOR]; P4 blue block 15 cm behind P1 [DISTRACTOR]</x:v>
      </x:c>
      <x:c r="E46" s="9"/>
      <x:c r="F46" s="9" t="str">
        <x:v>red block → 2–8 cm edge gap to the right of green pen; centroid direction within ±45°</x:v>
      </x:c>
      <x:c r="G46" s="10"/>
      <x:c r="H46" s="9" t="str">
        <x:v>Concept/compositional transfer</x:v>
      </x:c>
      <x:c r="I46" s="9" t="str">
        <x:v>RP-F12</x:v>
      </x:c>
      <x:c r="J46" s="9" t="str">
        <x:v>right</x:v>
      </x:c>
      <x:c r="K46" s="9" t="n">
        <x:v>4</x:v>
      </x:c>
      <x:c r="L46" s="9" t="str">
        <x:v>1 — Canonical transfer — Held-out direction × green-pen/red-block pair (right)</x:v>
      </x:c>
      <x:c r="M46" s="9" t="n">
        <x:v>12</x:v>
      </x:c>
      <x:c r="N46" s="10" t="str">
        <x:v>Build the marked scene. Target starts in the opposite sector and outside the success gap; save a first-frame filename.</x:v>
      </x:c>
      <x:c r="O46" s="10" t="str">
        <x:v>Directional language is trained on other object pairs, but all directional green-pen/red-block demonstrations are withheld in both target/reference directions.</x:v>
      </x:c>
      <x:c r="P46" s="10"/>
    </x:row>
    <x:row r="47" ht="64" customHeight="1">
      <x:c r="A47" s="8" t="str">
        <x:v>Not collected</x:v>
      </x:c>
      <x:c r="B47" s="8" t="n">
        <x:v>45</x:v>
      </x:c>
      <x:c r="C47" s="7" t="str">
        <x:v>Place the red block to the left of the green pen.</x:v>
      </x:c>
      <x:c r="D47" s="7" t="str">
        <x:v>P1 green pen at R2 (5 cm left of center) [REFERENCE]; P2 red block 24 cm to the left of P1 [TARGET START]; P3 pink marker 15 cm in front of P1 [DISTRACTOR]; P4 blue block 15 cm behind P1 [DISTRACTOR]</x:v>
      </x:c>
      <x:c r="E47" s="8" t="n">
        <x:v>44</x:v>
      </x:c>
      <x:c r="F47" s="8" t="str">
        <x:v>red block → 2–8 cm edge gap to the left of green pen; centroid direction within ±45°</x:v>
      </x:c>
      <x:c r="G47" s="7"/>
      <x:c r="H47" s="8" t="str">
        <x:v>Exact-scene opposite-direction contrast</x:v>
      </x:c>
      <x:c r="I47" s="8" t="str">
        <x:v>RP-F12</x:v>
      </x:c>
      <x:c r="J47" s="8" t="str">
        <x:v>left</x:v>
      </x:c>
      <x:c r="K47" s="8" t="n">
        <x:v>4</x:v>
      </x:c>
      <x:c r="L47" s="8" t="str">
        <x:v>2 — Exact-scene opposite-direction contrast — Direction-word counterfactual (right→left)</x:v>
      </x:c>
      <x:c r="M47" s="8" t="n">
        <x:v>12</x:v>
      </x:c>
      <x:c r="N47" s="7" t="str">
        <x:v>Reset only P2 to its marked start. Preserve the exact scene; change only the directional word and expected goal sector.</x:v>
      </x:c>
      <x:c r="O47" s="7" t="str">
        <x:v>Exact-scene semantic counterfactual. Target and reference identities stay fixed while the requested endpoint reverses front↔behind or left↔right.</x:v>
      </x:c>
      <x:c r="P47" s="7"/>
    </x:row>
    <x:row r="48" ht="64" customHeight="1">
      <x:c r="A48" s="8" t="str">
        <x:v>Not collected</x:v>
      </x:c>
      <x:c r="B48" s="8" t="n">
        <x:v>46</x:v>
      </x:c>
      <x:c r="C48" s="7" t="str">
        <x:v>Put the red block beside the green pen.</x:v>
      </x:c>
      <x:c r="D48" s="7" t="str">
        <x:v>P1 green pen at R2 (5 cm left of center) [REFERENCE]; P2 red block 24 cm to the left of P1 [TARGET START]; P3 pink marker 15 cm in front of P1 [DISTRACTOR]; P4 blue block 15 cm behind P1 [DISTRACTOR]</x:v>
      </x:c>
      <x:c r="E48" s="8" t="n">
        <x:v>44</x:v>
      </x:c>
      <x:c r="F48" s="8" t="str">
        <x:v>red block → 2–8 cm edge gap from green pen (any direction)</x:v>
      </x:c>
      <x:c r="G48" s="7"/>
      <x:c r="H48" s="8" t="str">
        <x:v>Matched manipulation control</x:v>
      </x:c>
      <x:c r="I48" s="8" t="str">
        <x:v>RP-F12</x:v>
      </x:c>
      <x:c r="J48" s="8" t="str">
        <x:v>near</x:v>
      </x:c>
      <x:c r="K48" s="8" t="n">
        <x:v>4</x:v>
      </x:c>
      <x:c r="L48" s="8" t="str">
        <x:v>3 — Matched control — Seen near/next-to/beside relation on the same ordered pair (4 objects)</x:v>
      </x:c>
      <x:c r="M48" s="8" t="n">
        <x:v>12</x:v>
      </x:c>
      <x:c r="N48" s="7" t="str">
        <x:v>Reset only P2 to its marked start. Keep every object, camera setting, and pose fixed; change only the prompt.</x:v>
      </x:c>
      <x:c r="O48" s="7" t="str">
        <x:v>Controls target/reference recognition and basic pick-place on the exact pair. It is skill-matched but not direction-endpoint-matched, so analyze the paired success delta separately.</x:v>
      </x:c>
      <x:c r="P48" s="7"/>
    </x:row>
    <x:row r="49" ht="64" customHeight="1">
      <x:c r="A49" s="8" t="str">
        <x:v>Not collected</x:v>
      </x:c>
      <x:c r="B49" s="8" t="n">
        <x:v>47</x:v>
      </x:c>
      <x:c r="C49" s="7" t="str">
        <x:v>Put the red block close to the green pen.</x:v>
      </x:c>
      <x:c r="D49" s="7" t="str">
        <x:v>P1 green pen at R2 (5 cm left of center) [REFERENCE]; P2 red block 24 cm to the left of P1 [TARGET START]; P3 pink marker 15 cm in front of P1 [DISTRACTOR]; P4 blue block 15 cm behind P1 [DISTRACTOR]</x:v>
      </x:c>
      <x:c r="E49" s="8" t="n">
        <x:v>46</x:v>
      </x:c>
      <x:c r="F49" s="8" t="str">
        <x:v>red block → 2–8 cm edge gap from green pen (any direction)</x:v>
      </x:c>
      <x:c r="G49" s="7"/>
      <x:c r="H49" s="8" t="str">
        <x:v>Language robustness</x:v>
      </x:c>
      <x:c r="I49" s="8" t="str">
        <x:v>RP-F12</x:v>
      </x:c>
      <x:c r="J49" s="8" t="str">
        <x:v>near</x:v>
      </x:c>
      <x:c r="K49" s="8" t="n">
        <x:v>4</x:v>
      </x:c>
      <x:c r="L49" s="8" t="str">
        <x:v>4 — Exact-scene control paraphrase — Paraphrase of matched-control prompt</x:v>
      </x:c>
      <x:c r="M49" s="8" t="n">
        <x:v>12</x:v>
      </x:c>
      <x:c r="N49" s="7" t="str">
        <x:v>Reset only P2 to its marked start; change only the prompt wording.</x:v>
      </x:c>
      <x:c r="O49" s="7" t="str">
        <x:v>Exact-scene language comparison for the seen near relation.</x:v>
      </x:c>
      <x:c r="P49" s="7"/>
    </x:row>
    <x:row r="50" ht="64" customHeight="1">
      <x:c r="A50" s="9" t="str">
        <x:v>Not collected</x:v>
      </x:c>
      <x:c r="B50" s="9" t="n">
        <x:v>48</x:v>
      </x:c>
      <x:c r="C50" s="10" t="str">
        <x:v>Place the red block in front of the green pen.</x:v>
      </x:c>
      <x:c r="D50" s="10" t="str">
        <x:v>P1 green pen at R3 (5 cm right of center) [REFERENCE]; P2 red block 18 cm behind P1 [TARGET START]; P3 pink marker 15 cm to the left of P1 [DISTRACTOR]; P4 blue block 15 cm to the right of P1 [DISTRACTOR]</x:v>
      </x:c>
      <x:c r="E50" s="9"/>
      <x:c r="F50" s="9" t="str">
        <x:v>red block → 2–8 cm edge gap in front of green pen; centroid direction within ±45°</x:v>
      </x:c>
      <x:c r="G50" s="10"/>
      <x:c r="H50" s="9" t="str">
        <x:v>Concept/compositional transfer</x:v>
      </x:c>
      <x:c r="I50" s="9" t="str">
        <x:v>RP-F13</x:v>
      </x:c>
      <x:c r="J50" s="9" t="str">
        <x:v>front</x:v>
      </x:c>
      <x:c r="K50" s="9" t="n">
        <x:v>4</x:v>
      </x:c>
      <x:c r="L50" s="9" t="str">
        <x:v>1 — Canonical transfer — Held-out direction × green-pen/red-block pair (front)</x:v>
      </x:c>
      <x:c r="M50" s="9" t="n">
        <x:v>13</x:v>
      </x:c>
      <x:c r="N50" s="10" t="str">
        <x:v>Build the marked scene. Target starts in the opposite sector and outside the success gap; save a first-frame filename.</x:v>
      </x:c>
      <x:c r="O50" s="10" t="str">
        <x:v>Directional language is trained on other object pairs, but all directional green-pen/red-block demonstrations are withheld in both target/reference directions.</x:v>
      </x:c>
      <x:c r="P50" s="10"/>
    </x:row>
    <x:row r="51" ht="64" customHeight="1">
      <x:c r="A51" s="8" t="str">
        <x:v>Not collected</x:v>
      </x:c>
      <x:c r="B51" s="8" t="n">
        <x:v>49</x:v>
      </x:c>
      <x:c r="C51" s="7" t="str">
        <x:v>Move the red block to the back of the green pen.</x:v>
      </x:c>
      <x:c r="D51" s="7" t="str">
        <x:v>P1 green pen at R3 (5 cm right of center) [REFERENCE]; P2 red block 18 cm behind P1 [TARGET START]; P3 pink marker 15 cm to the left of P1 [DISTRACTOR]; P4 blue block 15 cm to the right of P1 [DISTRACTOR]</x:v>
      </x:c>
      <x:c r="E51" s="8" t="n">
        <x:v>48</x:v>
      </x:c>
      <x:c r="F51" s="8" t="str">
        <x:v>red block → 2–8 cm edge gap behind green pen; centroid direction within ±45°</x:v>
      </x:c>
      <x:c r="G51" s="7"/>
      <x:c r="H51" s="8" t="str">
        <x:v>Exact-scene opposite-direction contrast</x:v>
      </x:c>
      <x:c r="I51" s="8" t="str">
        <x:v>RP-F13</x:v>
      </x:c>
      <x:c r="J51" s="8" t="str">
        <x:v>behind</x:v>
      </x:c>
      <x:c r="K51" s="8" t="n">
        <x:v>4</x:v>
      </x:c>
      <x:c r="L51" s="8" t="str">
        <x:v>2 — Exact-scene opposite-direction contrast — Direction-word counterfactual (front→behind)</x:v>
      </x:c>
      <x:c r="M51" s="8" t="n">
        <x:v>13</x:v>
      </x:c>
      <x:c r="N51" s="7" t="str">
        <x:v>Reset only P2 to its marked start. Preserve the exact scene; change only the directional word and expected goal sector.</x:v>
      </x:c>
      <x:c r="O51" s="7" t="str">
        <x:v>Exact-scene semantic counterfactual. Target and reference identities stay fixed while the requested endpoint reverses front↔behind or left↔right.</x:v>
      </x:c>
      <x:c r="P51" s="7"/>
    </x:row>
    <x:row r="52" ht="64" customHeight="1">
      <x:c r="A52" s="8" t="str">
        <x:v>Not collected</x:v>
      </x:c>
      <x:c r="B52" s="8" t="n">
        <x:v>50</x:v>
      </x:c>
      <x:c r="C52" s="7" t="str">
        <x:v>Move the red block near the green pen.</x:v>
      </x:c>
      <x:c r="D52" s="7" t="str">
        <x:v>P1 green pen at R3 (5 cm right of center) [REFERENCE]; P2 red block 18 cm behind P1 [TARGET START]; P3 pink marker 15 cm to the left of P1 [DISTRACTOR]; P4 blue block 15 cm to the right of P1 [DISTRACTOR]</x:v>
      </x:c>
      <x:c r="E52" s="8" t="n">
        <x:v>48</x:v>
      </x:c>
      <x:c r="F52" s="8" t="str">
        <x:v>red block → 2–8 cm edge gap from green pen (any direction)</x:v>
      </x:c>
      <x:c r="G52" s="7"/>
      <x:c r="H52" s="8" t="str">
        <x:v>Matched manipulation control</x:v>
      </x:c>
      <x:c r="I52" s="8" t="str">
        <x:v>RP-F13</x:v>
      </x:c>
      <x:c r="J52" s="8" t="str">
        <x:v>near</x:v>
      </x:c>
      <x:c r="K52" s="8" t="n">
        <x:v>4</x:v>
      </x:c>
      <x:c r="L52" s="8" t="str">
        <x:v>3 — Matched control — Seen near/next-to/beside relation on the same ordered pair (4 objects)</x:v>
      </x:c>
      <x:c r="M52" s="8" t="n">
        <x:v>13</x:v>
      </x:c>
      <x:c r="N52" s="7" t="str">
        <x:v>Reset only P2 to its marked start. Keep every object, camera setting, and pose fixed; change only the prompt.</x:v>
      </x:c>
      <x:c r="O52" s="7" t="str">
        <x:v>Controls target/reference recognition and basic pick-place on the exact pair. It is skill-matched but not direction-endpoint-matched, so analyze the paired success delta separately.</x:v>
      </x:c>
      <x:c r="P52" s="7"/>
    </x:row>
    <x:row r="53" ht="64" customHeight="1">
      <x:c r="A53" s="8" t="str">
        <x:v>Not collected</x:v>
      </x:c>
      <x:c r="B53" s="8" t="n">
        <x:v>51</x:v>
      </x:c>
      <x:c r="C53" s="7" t="str">
        <x:v>Set the red block alongside the green pen.</x:v>
      </x:c>
      <x:c r="D53" s="7" t="str">
        <x:v>P1 green pen at R3 (5 cm right of center) [REFERENCE]; P2 red block 18 cm behind P1 [TARGET START]; P3 pink marker 15 cm to the left of P1 [DISTRACTOR]; P4 blue block 15 cm to the right of P1 [DISTRACTOR]</x:v>
      </x:c>
      <x:c r="E53" s="8" t="n">
        <x:v>50</x:v>
      </x:c>
      <x:c r="F53" s="8" t="str">
        <x:v>red block → 2–8 cm edge gap from green pen (any direction)</x:v>
      </x:c>
      <x:c r="G53" s="7"/>
      <x:c r="H53" s="8" t="str">
        <x:v>Language robustness</x:v>
      </x:c>
      <x:c r="I53" s="8" t="str">
        <x:v>RP-F13</x:v>
      </x:c>
      <x:c r="J53" s="8" t="str">
        <x:v>near</x:v>
      </x:c>
      <x:c r="K53" s="8" t="n">
        <x:v>4</x:v>
      </x:c>
      <x:c r="L53" s="8" t="str">
        <x:v>4 — Exact-scene control paraphrase — Paraphrase of matched-control prompt</x:v>
      </x:c>
      <x:c r="M53" s="8" t="n">
        <x:v>13</x:v>
      </x:c>
      <x:c r="N53" s="7" t="str">
        <x:v>Reset only P2 to its marked start; change only the prompt wording.</x:v>
      </x:c>
      <x:c r="O53" s="7" t="str">
        <x:v>Exact-scene language comparison for the seen near relation.</x:v>
      </x:c>
      <x:c r="P53" s="7"/>
    </x:row>
    <x:row r="54" ht="64" customHeight="1">
      <x:c r="A54" s="9" t="str">
        <x:v>Not collected</x:v>
      </x:c>
      <x:c r="B54" s="9" t="n">
        <x:v>52</x:v>
      </x:c>
      <x:c r="C54" s="10" t="str">
        <x:v>Move the green pen to the back of the red block.</x:v>
      </x:c>
      <x:c r="D54" s="10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54" s="9"/>
      <x:c r="F54" s="9" t="str">
        <x:v>green pen → 2–8 cm edge gap behind red block; centroid direction within ±45°</x:v>
      </x:c>
      <x:c r="G54" s="10"/>
      <x:c r="H54" s="9" t="str">
        <x:v>Concept/compositional transfer</x:v>
      </x:c>
      <x:c r="I54" s="9" t="str">
        <x:v>RP-F14</x:v>
      </x:c>
      <x:c r="J54" s="9" t="str">
        <x:v>behind</x:v>
      </x:c>
      <x:c r="K54" s="9" t="n">
        <x:v>4</x:v>
      </x:c>
      <x:c r="L54" s="9" t="str">
        <x:v>1 — Canonical transfer — Held-out direction × green-pen/red-block pair (behind)</x:v>
      </x:c>
      <x:c r="M54" s="9" t="n">
        <x:v>14</x:v>
      </x:c>
      <x:c r="N54" s="10" t="str">
        <x:v>Build the marked scene. Target starts in the opposite sector and outside the success gap; save a first-frame filename.</x:v>
      </x:c>
      <x:c r="O54" s="10" t="str">
        <x:v>Directional language is trained on other object pairs, but all directional green-pen/red-block demonstrations are withheld in both target/reference directions.</x:v>
      </x:c>
      <x:c r="P54" s="10"/>
    </x:row>
    <x:row r="55" ht="64" customHeight="1">
      <x:c r="A55" s="8" t="str">
        <x:v>Not collected</x:v>
      </x:c>
      <x:c r="B55" s="8" t="n">
        <x:v>53</x:v>
      </x:c>
      <x:c r="C55" s="7" t="str">
        <x:v>Put the green pen on the table in front of the red block.</x:v>
      </x:c>
      <x:c r="D55" s="7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55" s="8" t="n">
        <x:v>52</x:v>
      </x:c>
      <x:c r="F55" s="8" t="str">
        <x:v>green pen → 2–8 cm edge gap in front of red block; centroid direction within ±45°</x:v>
      </x:c>
      <x:c r="G55" s="7"/>
      <x:c r="H55" s="8" t="str">
        <x:v>Exact-scene opposite-direction contrast</x:v>
      </x:c>
      <x:c r="I55" s="8" t="str">
        <x:v>RP-F14</x:v>
      </x:c>
      <x:c r="J55" s="8" t="str">
        <x:v>front</x:v>
      </x:c>
      <x:c r="K55" s="8" t="n">
        <x:v>4</x:v>
      </x:c>
      <x:c r="L55" s="8" t="str">
        <x:v>2 — Exact-scene opposite-direction contrast — Direction-word counterfactual (behind→front)</x:v>
      </x:c>
      <x:c r="M55" s="8" t="n">
        <x:v>14</x:v>
      </x:c>
      <x:c r="N55" s="7" t="str">
        <x:v>Reset only P2 to its marked start. Preserve the exact scene; change only the directional word and expected goal sector.</x:v>
      </x:c>
      <x:c r="O55" s="7" t="str">
        <x:v>Exact-scene semantic counterfactual. Target and reference identities stay fixed while the requested endpoint reverses front↔behind or left↔right.</x:v>
      </x:c>
      <x:c r="P55" s="7"/>
    </x:row>
    <x:row r="56" ht="64" customHeight="1">
      <x:c r="A56" s="8" t="str">
        <x:v>Not collected</x:v>
      </x:c>
      <x:c r="B56" s="8" t="n">
        <x:v>54</x:v>
      </x:c>
      <x:c r="C56" s="7" t="str">
        <x:v>Place the green pen next to the red block.</x:v>
      </x:c>
      <x:c r="D56" s="7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56" s="8" t="n">
        <x:v>52</x:v>
      </x:c>
      <x:c r="F56" s="8" t="str">
        <x:v>green pen → 2–8 cm edge gap from red block (any direction)</x:v>
      </x:c>
      <x:c r="G56" s="7"/>
      <x:c r="H56" s="8" t="str">
        <x:v>Matched manipulation control</x:v>
      </x:c>
      <x:c r="I56" s="8" t="str">
        <x:v>RP-F14</x:v>
      </x:c>
      <x:c r="J56" s="8" t="str">
        <x:v>near</x:v>
      </x:c>
      <x:c r="K56" s="8" t="n">
        <x:v>4</x:v>
      </x:c>
      <x:c r="L56" s="8" t="str">
        <x:v>3 — Matched control — Seen near/next-to/beside relation on the same ordered pair (4 objects)</x:v>
      </x:c>
      <x:c r="M56" s="8" t="n">
        <x:v>14</x:v>
      </x:c>
      <x:c r="N56" s="7" t="str">
        <x:v>Reset only P2 to its marked start. Keep every object, camera setting, and pose fixed; change only the prompt.</x:v>
      </x:c>
      <x:c r="O56" s="7" t="str">
        <x:v>Controls target/reference recognition and basic pick-place on the exact pair. It is skill-matched but not direction-endpoint-matched, so analyze the paired success delta separately.</x:v>
      </x:c>
      <x:c r="P56" s="7"/>
    </x:row>
    <x:row r="57" ht="64" customHeight="1">
      <x:c r="A57" s="8" t="str">
        <x:v>Not collected</x:v>
      </x:c>
      <x:c r="B57" s="8" t="n">
        <x:v>55</x:v>
      </x:c>
      <x:c r="C57" s="7" t="str">
        <x:v>Move the green pen within a short distance of the red block.</x:v>
      </x:c>
      <x:c r="D57" s="7" t="str">
        <x:v>P1 red block at R4 (5 cm toward the robot from center) [REFERENCE]; P2 green pen 21 cm in front of P1 [TARGET START]; P3 pink marker 15 cm to the left of P1 [DISTRACTOR]; P4 blue block 15 cm to the right of P1 [DISTRACTOR]</x:v>
      </x:c>
      <x:c r="E57" s="8" t="n">
        <x:v>54</x:v>
      </x:c>
      <x:c r="F57" s="8" t="str">
        <x:v>green pen → 2–8 cm edge gap from red block (any direction)</x:v>
      </x:c>
      <x:c r="G57" s="7"/>
      <x:c r="H57" s="8" t="str">
        <x:v>Language robustness</x:v>
      </x:c>
      <x:c r="I57" s="8" t="str">
        <x:v>RP-F14</x:v>
      </x:c>
      <x:c r="J57" s="8" t="str">
        <x:v>near</x:v>
      </x:c>
      <x:c r="K57" s="8" t="n">
        <x:v>4</x:v>
      </x:c>
      <x:c r="L57" s="8" t="str">
        <x:v>4 — Exact-scene control paraphrase — Paraphrase of matched-control prompt</x:v>
      </x:c>
      <x:c r="M57" s="8" t="n">
        <x:v>14</x:v>
      </x:c>
      <x:c r="N57" s="7" t="str">
        <x:v>Reset only P2 to its marked start; change only the prompt wording.</x:v>
      </x:c>
      <x:c r="O57" s="7" t="str">
        <x:v>Exact-scene language comparison for the seen near relation.</x:v>
      </x:c>
      <x:c r="P57" s="7"/>
    </x:row>
    <x:row r="58" ht="64" customHeight="1">
      <x:c r="A58" s="9" t="str">
        <x:v>Not collected</x:v>
      </x:c>
      <x:c r="B58" s="9" t="n">
        <x:v>56</x:v>
      </x:c>
      <x:c r="C58" s="10" t="str">
        <x:v>Place the red block to the left of the green pen.</x:v>
      </x:c>
      <x:c r="D58" s="10" t="str">
        <x:v>P1 green pen at R5 (5 cm away from the robot from center) [REFERENCE]; P2 red block 24 cm to the right of P1 [TARGET START]; P3 pink marker 15 cm in front of P1 [DISTRACTOR]; P4 blue block 15 cm behind P1 [DISTRACTOR]</x:v>
      </x:c>
      <x:c r="E58" s="9"/>
      <x:c r="F58" s="9" t="str">
        <x:v>red block → 2–8 cm edge gap to the left of green pen; centroid direction within ±45°</x:v>
      </x:c>
      <x:c r="G58" s="10"/>
      <x:c r="H58" s="9" t="str">
        <x:v>Concept/compositional transfer</x:v>
      </x:c>
      <x:c r="I58" s="9" t="str">
        <x:v>RP-F15</x:v>
      </x:c>
      <x:c r="J58" s="9" t="str">
        <x:v>left</x:v>
      </x:c>
      <x:c r="K58" s="9" t="n">
        <x:v>4</x:v>
      </x:c>
      <x:c r="L58" s="9" t="str">
        <x:v>1 — Canonical transfer — Held-out direction × green-pen/red-block pair (left)</x:v>
      </x:c>
      <x:c r="M58" s="9" t="n">
        <x:v>15</x:v>
      </x:c>
      <x:c r="N58" s="10" t="str">
        <x:v>Build the marked scene. Target starts in the opposite sector and outside the success gap; save a first-frame filename.</x:v>
      </x:c>
      <x:c r="O58" s="10" t="str">
        <x:v>Directional language is trained on other object pairs, but all directional green-pen/red-block demonstrations are withheld in both target/reference directions.</x:v>
      </x:c>
      <x:c r="P58" s="10"/>
    </x:row>
    <x:row r="59" ht="64" customHeight="1">
      <x:c r="A59" s="8" t="str">
        <x:v>Not collected</x:v>
      </x:c>
      <x:c r="B59" s="8" t="n">
        <x:v>57</x:v>
      </x:c>
      <x:c r="C59" s="7" t="str">
        <x:v>Place the red block to the right of the green pen.</x:v>
      </x:c>
      <x:c r="D59" s="7" t="str">
        <x:v>P1 green pen at R5 (5 cm away from the robot from center) [REFERENCE]; P2 red block 24 cm to the right of P1 [TARGET START]; P3 pink marker 15 cm in front of P1 [DISTRACTOR]; P4 blue block 15 cm behind P1 [DISTRACTOR]</x:v>
      </x:c>
      <x:c r="E59" s="8" t="n">
        <x:v>56</x:v>
      </x:c>
      <x:c r="F59" s="8" t="str">
        <x:v>red block → 2–8 cm edge gap to the right of green pen; centroid direction within ±45°</x:v>
      </x:c>
      <x:c r="G59" s="7"/>
      <x:c r="H59" s="8" t="str">
        <x:v>Exact-scene opposite-direction contrast</x:v>
      </x:c>
      <x:c r="I59" s="8" t="str">
        <x:v>RP-F15</x:v>
      </x:c>
      <x:c r="J59" s="8" t="str">
        <x:v>right</x:v>
      </x:c>
      <x:c r="K59" s="8" t="n">
        <x:v>4</x:v>
      </x:c>
      <x:c r="L59" s="8" t="str">
        <x:v>2 — Exact-scene opposite-direction contrast — Direction-word counterfactual (left→right)</x:v>
      </x:c>
      <x:c r="M59" s="8" t="n">
        <x:v>15</x:v>
      </x:c>
      <x:c r="N59" s="7" t="str">
        <x:v>Reset only P2 to its marked start. Preserve the exact scene; change only the directional word and expected goal sector.</x:v>
      </x:c>
      <x:c r="O59" s="7" t="str">
        <x:v>Exact-scene semantic counterfactual. Target and reference identities stay fixed while the requested endpoint reverses front↔behind or left↔right.</x:v>
      </x:c>
      <x:c r="P59" s="7"/>
    </x:row>
    <x:row r="60" ht="64" customHeight="1">
      <x:c r="A60" s="8" t="str">
        <x:v>Not collected</x:v>
      </x:c>
      <x:c r="B60" s="8" t="n">
        <x:v>58</x:v>
      </x:c>
      <x:c r="C60" s="7" t="str">
        <x:v>Put the red block beside the green pen.</x:v>
      </x:c>
      <x:c r="D60" s="7" t="str">
        <x:v>P1 green pen at R5 (5 cm away from the robot from center) [REFERENCE]; P2 red block 24 cm to the right of P1 [TARGET START]; P3 pink marker 15 cm in front of P1 [DISTRACTOR]; P4 blue block 15 cm behind P1 [DISTRACTOR]</x:v>
      </x:c>
      <x:c r="E60" s="8" t="n">
        <x:v>56</x:v>
      </x:c>
      <x:c r="F60" s="8" t="str">
        <x:v>red block → 2–8 cm edge gap from green pen (any direction)</x:v>
      </x:c>
      <x:c r="G60" s="7"/>
      <x:c r="H60" s="8" t="str">
        <x:v>Matched manipulation control</x:v>
      </x:c>
      <x:c r="I60" s="8" t="str">
        <x:v>RP-F15</x:v>
      </x:c>
      <x:c r="J60" s="8" t="str">
        <x:v>near</x:v>
      </x:c>
      <x:c r="K60" s="8" t="n">
        <x:v>4</x:v>
      </x:c>
      <x:c r="L60" s="8" t="str">
        <x:v>3 — Matched control — Seen near/next-to/beside relation on the same ordered pair (4 objects)</x:v>
      </x:c>
      <x:c r="M60" s="8" t="n">
        <x:v>15</x:v>
      </x:c>
      <x:c r="N60" s="7" t="str">
        <x:v>Reset only P2 to its marked start. Keep every object, camera setting, and pose fixed; change only the prompt.</x:v>
      </x:c>
      <x:c r="O60" s="7" t="str">
        <x:v>Controls target/reference recognition and basic pick-place on the exact pair. It is skill-matched but not direction-endpoint-matched, so analyze the paired success delta separately.</x:v>
      </x:c>
      <x:c r="P60" s="7"/>
    </x:row>
    <x:row r="61" ht="64" customHeight="1">
      <x:c r="A61" s="8" t="str">
        <x:v>Not collected</x:v>
      </x:c>
      <x:c r="B61" s="8" t="n">
        <x:v>59</x:v>
      </x:c>
      <x:c r="C61" s="7" t="str">
        <x:v>Place the red block near enough to sit beside the green pen.</x:v>
      </x:c>
      <x:c r="D61" s="7" t="str">
        <x:v>P1 green pen at R5 (5 cm away from the robot from center) [REFERENCE]; P2 red block 24 cm to the right of P1 [TARGET START]; P3 pink marker 15 cm in front of P1 [DISTRACTOR]; P4 blue block 15 cm behind P1 [DISTRACTOR]</x:v>
      </x:c>
      <x:c r="E61" s="8" t="n">
        <x:v>58</x:v>
      </x:c>
      <x:c r="F61" s="8" t="str">
        <x:v>red block → 2–8 cm edge gap from green pen (any direction)</x:v>
      </x:c>
      <x:c r="G61" s="7"/>
      <x:c r="H61" s="8" t="str">
        <x:v>Language robustness</x:v>
      </x:c>
      <x:c r="I61" s="8" t="str">
        <x:v>RP-F15</x:v>
      </x:c>
      <x:c r="J61" s="8" t="str">
        <x:v>near</x:v>
      </x:c>
      <x:c r="K61" s="8" t="n">
        <x:v>4</x:v>
      </x:c>
      <x:c r="L61" s="8" t="str">
        <x:v>4 — Exact-scene control paraphrase — Paraphrase of matched-control prompt</x:v>
      </x:c>
      <x:c r="M61" s="8" t="n">
        <x:v>15</x:v>
      </x:c>
      <x:c r="N61" s="7" t="str">
        <x:v>Reset only P2 to its marked start; change only the prompt wording.</x:v>
      </x:c>
      <x:c r="O61" s="7" t="str">
        <x:v>Exact-scene language comparison for the seen near relation.</x:v>
      </x:c>
      <x:c r="P61" s="7"/>
    </x:row>
    <x:row r="62" ht="64" customHeight="1">
      <x:c r="A62" s="9" t="str">
        <x:v>Not collected</x:v>
      </x:c>
      <x:c r="B62" s="9" t="n">
        <x:v>60</x:v>
      </x:c>
      <x:c r="C62" s="10" t="str">
        <x:v>Place the green pen to the right of the red block.</x:v>
      </x:c>
      <x:c r="D62" s="10" t="str">
        <x:v>P1 red block at R1 (table center) [REFERENCE]; P2 green pen 18 cm to the left of P1 [TARGET START]; P3 pink marker 15 cm in front of P1 [DISTRACTOR]; P4 blue block 15 cm behind P1 [DISTRACTOR]</x:v>
      </x:c>
      <x:c r="E62" s="9"/>
      <x:c r="F62" s="9" t="str">
        <x:v>green pen → 2–8 cm edge gap to the right of red block; centroid direction within ±45°</x:v>
      </x:c>
      <x:c r="G62" s="10"/>
      <x:c r="H62" s="9" t="str">
        <x:v>Concept/compositional transfer</x:v>
      </x:c>
      <x:c r="I62" s="9" t="str">
        <x:v>RP-F16</x:v>
      </x:c>
      <x:c r="J62" s="9" t="str">
        <x:v>right</x:v>
      </x:c>
      <x:c r="K62" s="9" t="n">
        <x:v>4</x:v>
      </x:c>
      <x:c r="L62" s="9" t="str">
        <x:v>1 — Canonical transfer — Held-out direction × green-pen/red-block pair (right)</x:v>
      </x:c>
      <x:c r="M62" s="9" t="n">
        <x:v>16</x:v>
      </x:c>
      <x:c r="N62" s="10" t="str">
        <x:v>Build the marked scene. Target starts in the opposite sector and outside the success gap; save a first-frame filename.</x:v>
      </x:c>
      <x:c r="O62" s="10" t="str">
        <x:v>Directional language is trained on other object pairs, but all directional green-pen/red-block demonstrations are withheld in both target/reference directions.</x:v>
      </x:c>
      <x:c r="P62" s="10"/>
    </x:row>
    <x:row r="63" ht="64" customHeight="1">
      <x:c r="A63" s="8" t="str">
        <x:v>Not collected</x:v>
      </x:c>
      <x:c r="B63" s="8" t="n">
        <x:v>61</x:v>
      </x:c>
      <x:c r="C63" s="7" t="str">
        <x:v>Place the green pen to the left of the red block.</x:v>
      </x:c>
      <x:c r="D63" s="7" t="str">
        <x:v>P1 red block at R1 (table center) [REFERENCE]; P2 green pen 18 cm to the left of P1 [TARGET START]; P3 pink marker 15 cm in front of P1 [DISTRACTOR]; P4 blue block 15 cm behind P1 [DISTRACTOR]</x:v>
      </x:c>
      <x:c r="E63" s="8" t="n">
        <x:v>60</x:v>
      </x:c>
      <x:c r="F63" s="8" t="str">
        <x:v>green pen → 2–8 cm edge gap to the left of red block; centroid direction within ±45°</x:v>
      </x:c>
      <x:c r="G63" s="7"/>
      <x:c r="H63" s="8" t="str">
        <x:v>Exact-scene opposite-direction contrast</x:v>
      </x:c>
      <x:c r="I63" s="8" t="str">
        <x:v>RP-F16</x:v>
      </x:c>
      <x:c r="J63" s="8" t="str">
        <x:v>left</x:v>
      </x:c>
      <x:c r="K63" s="8" t="n">
        <x:v>4</x:v>
      </x:c>
      <x:c r="L63" s="8" t="str">
        <x:v>2 — Exact-scene opposite-direction contrast — Direction-word counterfactual (right→left)</x:v>
      </x:c>
      <x:c r="M63" s="8" t="n">
        <x:v>16</x:v>
      </x:c>
      <x:c r="N63" s="7" t="str">
        <x:v>Reset only P2 to its marked start. Preserve the exact scene; change only the directional word and expected goal sector.</x:v>
      </x:c>
      <x:c r="O63" s="7" t="str">
        <x:v>Exact-scene semantic counterfactual. Target and reference identities stay fixed while the requested endpoint reverses front↔behind or left↔right.</x:v>
      </x:c>
      <x:c r="P63" s="7"/>
    </x:row>
    <x:row r="64" ht="64" customHeight="1">
      <x:c r="A64" s="8" t="str">
        <x:v>Not collected</x:v>
      </x:c>
      <x:c r="B64" s="8" t="n">
        <x:v>62</x:v>
      </x:c>
      <x:c r="C64" s="7" t="str">
        <x:v>Move the green pen near the red block.</x:v>
      </x:c>
      <x:c r="D64" s="7" t="str">
        <x:v>P1 red block at R1 (table center) [REFERENCE]; P2 green pen 18 cm to the left of P1 [TARGET START]; P3 pink marker 15 cm in front of P1 [DISTRACTOR]; P4 blue block 15 cm behind P1 [DISTRACTOR]</x:v>
      </x:c>
      <x:c r="E64" s="8" t="n">
        <x:v>60</x:v>
      </x:c>
      <x:c r="F64" s="8" t="str">
        <x:v>green pen → 2–8 cm edge gap from red block (any direction)</x:v>
      </x:c>
      <x:c r="G64" s="7"/>
      <x:c r="H64" s="8" t="str">
        <x:v>Matched manipulation control</x:v>
      </x:c>
      <x:c r="I64" s="8" t="str">
        <x:v>RP-F16</x:v>
      </x:c>
      <x:c r="J64" s="8" t="str">
        <x:v>near</x:v>
      </x:c>
      <x:c r="K64" s="8" t="n">
        <x:v>4</x:v>
      </x:c>
      <x:c r="L64" s="8" t="str">
        <x:v>3 — Matched control — Seen near/next-to/beside relation on the same ordered pair (4 objects)</x:v>
      </x:c>
      <x:c r="M64" s="8" t="n">
        <x:v>16</x:v>
      </x:c>
      <x:c r="N64" s="7" t="str">
        <x:v>Reset only P2 to its marked start. Keep every object, camera setting, and pose fixed; change only the prompt.</x:v>
      </x:c>
      <x:c r="O64" s="7" t="str">
        <x:v>Controls target/reference recognition and basic pick-place on the exact pair. It is skill-matched but not direction-endpoint-matched, so analyze the paired success delta separately.</x:v>
      </x:c>
      <x:c r="P64" s="7"/>
    </x:row>
    <x:row r="65" ht="64" customHeight="1">
      <x:c r="A65" s="8" t="str">
        <x:v>Not collected</x:v>
      </x:c>
      <x:c r="B65" s="8" t="n">
        <x:v>63</x:v>
      </x:c>
      <x:c r="C65" s="7" t="str">
        <x:v>Position the green pen adjacent to the red block.</x:v>
      </x:c>
      <x:c r="D65" s="7" t="str">
        <x:v>P1 red block at R1 (table center) [REFERENCE]; P2 green pen 18 cm to the left of P1 [TARGET START]; P3 pink marker 15 cm in front of P1 [DISTRACTOR]; P4 blue block 15 cm behind P1 [DISTRACTOR]</x:v>
      </x:c>
      <x:c r="E65" s="8" t="n">
        <x:v>62</x:v>
      </x:c>
      <x:c r="F65" s="8" t="str">
        <x:v>green pen → 2–8 cm edge gap from red block (any direction)</x:v>
      </x:c>
      <x:c r="G65" s="7"/>
      <x:c r="H65" s="8" t="str">
        <x:v>Language robustness</x:v>
      </x:c>
      <x:c r="I65" s="8" t="str">
        <x:v>RP-F16</x:v>
      </x:c>
      <x:c r="J65" s="8" t="str">
        <x:v>near</x:v>
      </x:c>
      <x:c r="K65" s="8" t="n">
        <x:v>4</x:v>
      </x:c>
      <x:c r="L65" s="8" t="str">
        <x:v>4 — Exact-scene control paraphrase — Paraphrase of matched-control prompt</x:v>
      </x:c>
      <x:c r="M65" s="8" t="n">
        <x:v>16</x:v>
      </x:c>
      <x:c r="N65" s="7" t="str">
        <x:v>Reset only P2 to its marked start; change only the prompt wording.</x:v>
      </x:c>
      <x:c r="O65" s="7" t="str">
        <x:v>Exact-scene language comparison for the seen near relation.</x:v>
      </x:c>
      <x:c r="P65" s="7"/>
    </x:row>
    <x:row r="66" ht="64" customHeight="1">
      <x:c r="A66" s="9" t="str">
        <x:v>Not collected</x:v>
      </x:c>
      <x:c r="B66" s="9" t="n">
        <x:v>64</x:v>
      </x:c>
      <x:c r="C66" s="10" t="str">
        <x:v>Move the green pen to the front of the red block.</x:v>
      </x:c>
      <x:c r="D66" s="10" t="str">
        <x:v>P1 red block at R2 (5 cm left of center) [REFERENCE]; P2 green pen 21 cm behind P1 [TARGET START]; P3 pink marker 15 cm to the left of P1 [DISTRACTOR]; P4 blue block 15 cm to the right of P1 [DISTRACTOR]</x:v>
      </x:c>
      <x:c r="E66" s="9"/>
      <x:c r="F66" s="9" t="str">
        <x:v>green pen → 2–8 cm edge gap in front of red block; centroid direction within ±45°</x:v>
      </x:c>
      <x:c r="G66" s="10"/>
      <x:c r="H66" s="9" t="str">
        <x:v>Concept/compositional transfer</x:v>
      </x:c>
      <x:c r="I66" s="9" t="str">
        <x:v>RP-F17</x:v>
      </x:c>
      <x:c r="J66" s="9" t="str">
        <x:v>front</x:v>
      </x:c>
      <x:c r="K66" s="9" t="n">
        <x:v>4</x:v>
      </x:c>
      <x:c r="L66" s="9" t="str">
        <x:v>1 — Canonical transfer — Held-out direction × green-pen/red-block pair (front)</x:v>
      </x:c>
      <x:c r="M66" s="9" t="n">
        <x:v>17</x:v>
      </x:c>
      <x:c r="N66" s="10" t="str">
        <x:v>Build the marked scene. Target starts in the opposite sector and outside the success gap; save a first-frame filename.</x:v>
      </x:c>
      <x:c r="O66" s="10" t="str">
        <x:v>Directional language is trained on other object pairs, but all directional green-pen/red-block demonstrations are withheld in both target/reference directions.</x:v>
      </x:c>
      <x:c r="P66" s="10"/>
    </x:row>
    <x:row r="67" ht="64" customHeight="1">
      <x:c r="A67" s="8" t="str">
        <x:v>Not collected</x:v>
      </x:c>
      <x:c r="B67" s="8" t="n">
        <x:v>65</x:v>
      </x:c>
      <x:c r="C67" s="7" t="str">
        <x:v>Put the green pen on the table behind the red block.</x:v>
      </x:c>
      <x:c r="D67" s="7" t="str">
        <x:v>P1 red block at R2 (5 cm left of center) [REFERENCE]; P2 green pen 21 cm behind P1 [TARGET START]; P3 pink marker 15 cm to the left of P1 [DISTRACTOR]; P4 blue block 15 cm to the right of P1 [DISTRACTOR]</x:v>
      </x:c>
      <x:c r="E67" s="8" t="n">
        <x:v>64</x:v>
      </x:c>
      <x:c r="F67" s="8" t="str">
        <x:v>green pen → 2–8 cm edge gap behind red block; centroid direction within ±45°</x:v>
      </x:c>
      <x:c r="G67" s="7"/>
      <x:c r="H67" s="8" t="str">
        <x:v>Exact-scene opposite-direction contrast</x:v>
      </x:c>
      <x:c r="I67" s="8" t="str">
        <x:v>RP-F17</x:v>
      </x:c>
      <x:c r="J67" s="8" t="str">
        <x:v>behind</x:v>
      </x:c>
      <x:c r="K67" s="8" t="n">
        <x:v>4</x:v>
      </x:c>
      <x:c r="L67" s="8" t="str">
        <x:v>2 — Exact-scene opposite-direction contrast — Direction-word counterfactual (front→behind)</x:v>
      </x:c>
      <x:c r="M67" s="8" t="n">
        <x:v>17</x:v>
      </x:c>
      <x:c r="N67" s="7" t="str">
        <x:v>Reset only P2 to its marked start. Preserve the exact scene; change only the directional word and expected goal sector.</x:v>
      </x:c>
      <x:c r="O67" s="7" t="str">
        <x:v>Exact-scene semantic counterfactual. Target and reference identities stay fixed while the requested endpoint reverses front↔behind or left↔right.</x:v>
      </x:c>
      <x:c r="P67" s="7"/>
    </x:row>
    <x:row r="68" ht="64" customHeight="1">
      <x:c r="A68" s="8" t="str">
        <x:v>Not collected</x:v>
      </x:c>
      <x:c r="B68" s="8" t="n">
        <x:v>66</x:v>
      </x:c>
      <x:c r="C68" s="7" t="str">
        <x:v>Place the green pen next to the red block.</x:v>
      </x:c>
      <x:c r="D68" s="7" t="str">
        <x:v>P1 red block at R2 (5 cm left of center) [REFERENCE]; P2 green pen 21 cm behind P1 [TARGET START]; P3 pink marker 15 cm to the left of P1 [DISTRACTOR]; P4 blue block 15 cm to the right of P1 [DISTRACTOR]</x:v>
      </x:c>
      <x:c r="E68" s="8" t="n">
        <x:v>64</x:v>
      </x:c>
      <x:c r="F68" s="8" t="str">
        <x:v>green pen → 2–8 cm edge gap from red block (any direction)</x:v>
      </x:c>
      <x:c r="G68" s="7"/>
      <x:c r="H68" s="8" t="str">
        <x:v>Matched manipulation control</x:v>
      </x:c>
      <x:c r="I68" s="8" t="str">
        <x:v>RP-F17</x:v>
      </x:c>
      <x:c r="J68" s="8" t="str">
        <x:v>near</x:v>
      </x:c>
      <x:c r="K68" s="8" t="n">
        <x:v>4</x:v>
      </x:c>
      <x:c r="L68" s="8" t="str">
        <x:v>3 — Matched control — Seen near/next-to/beside relation on the same ordered pair (4 objects)</x:v>
      </x:c>
      <x:c r="M68" s="8" t="n">
        <x:v>17</x:v>
      </x:c>
      <x:c r="N68" s="7" t="str">
        <x:v>Reset only P2 to its marked start. Keep every object, camera setting, and pose fixed; change only the prompt.</x:v>
      </x:c>
      <x:c r="O68" s="7" t="str">
        <x:v>Controls target/reference recognition and basic pick-place on the exact pair. It is skill-matched but not direction-endpoint-matched, so analyze the paired success delta separately.</x:v>
      </x:c>
      <x:c r="P68" s="7"/>
    </x:row>
    <x:row r="69" ht="64" customHeight="1">
      <x:c r="A69" s="8" t="str">
        <x:v>Not collected</x:v>
      </x:c>
      <x:c r="B69" s="8" t="n">
        <x:v>67</x:v>
      </x:c>
      <x:c r="C69" s="7" t="str">
        <x:v>Put the green pen close to the red block.</x:v>
      </x:c>
      <x:c r="D69" s="7" t="str">
        <x:v>P1 red block at R2 (5 cm left of center) [REFERENCE]; P2 green pen 21 cm behind P1 [TARGET START]; P3 pink marker 15 cm to the left of P1 [DISTRACTOR]; P4 blue block 15 cm to the right of P1 [DISTRACTOR]</x:v>
      </x:c>
      <x:c r="E69" s="8" t="n">
        <x:v>66</x:v>
      </x:c>
      <x:c r="F69" s="8" t="str">
        <x:v>green pen → 2–8 cm edge gap from red block (any direction)</x:v>
      </x:c>
      <x:c r="G69" s="7"/>
      <x:c r="H69" s="8" t="str">
        <x:v>Language robustness</x:v>
      </x:c>
      <x:c r="I69" s="8" t="str">
        <x:v>RP-F17</x:v>
      </x:c>
      <x:c r="J69" s="8" t="str">
        <x:v>near</x:v>
      </x:c>
      <x:c r="K69" s="8" t="n">
        <x:v>4</x:v>
      </x:c>
      <x:c r="L69" s="8" t="str">
        <x:v>4 — Exact-scene control paraphrase — Paraphrase of matched-control prompt</x:v>
      </x:c>
      <x:c r="M69" s="8" t="n">
        <x:v>17</x:v>
      </x:c>
      <x:c r="N69" s="7" t="str">
        <x:v>Reset only P2 to its marked start; change only the prompt wording.</x:v>
      </x:c>
      <x:c r="O69" s="7" t="str">
        <x:v>Exact-scene language comparison for the seen near relation.</x:v>
      </x:c>
      <x:c r="P69" s="7"/>
    </x:row>
    <x:row r="70" ht="64" customHeight="1">
      <x:c r="A70" s="9" t="str">
        <x:v>Not collected</x:v>
      </x:c>
      <x:c r="B70" s="9" t="n">
        <x:v>68</x:v>
      </x:c>
      <x:c r="C70" s="10" t="str">
        <x:v>Put the red block on the table behind the green pen.</x:v>
      </x:c>
      <x:c r="D70" s="10" t="str">
        <x:v>P1 green pen at R3 (5 cm right of center) [REFERENCE]; P2 red block 24 cm in front of P1 [TARGET START]; P3 pink marker 15 cm to the left of P1 [DISTRACTOR]; P4 blue block 15 cm to the right of P1 [DISTRACTOR]</x:v>
      </x:c>
      <x:c r="E70" s="9"/>
      <x:c r="F70" s="9" t="str">
        <x:v>red block → 2–8 cm edge gap behind green pen; centroid direction within ±45°</x:v>
      </x:c>
      <x:c r="G70" s="10"/>
      <x:c r="H70" s="9" t="str">
        <x:v>Concept/compositional transfer</x:v>
      </x:c>
      <x:c r="I70" s="9" t="str">
        <x:v>RP-F18</x:v>
      </x:c>
      <x:c r="J70" s="9" t="str">
        <x:v>behind</x:v>
      </x:c>
      <x:c r="K70" s="9" t="n">
        <x:v>4</x:v>
      </x:c>
      <x:c r="L70" s="9" t="str">
        <x:v>1 — Canonical transfer — Held-out direction × green-pen/red-block pair (behind)</x:v>
      </x:c>
      <x:c r="M70" s="9" t="n">
        <x:v>18</x:v>
      </x:c>
      <x:c r="N70" s="10" t="str">
        <x:v>Build the marked scene. Target starts in the opposite sector and outside the success gap; save a first-frame filename.</x:v>
      </x:c>
      <x:c r="O70" s="10" t="str">
        <x:v>Directional language is trained on other object pairs, but all directional green-pen/red-block demonstrations are withheld in both target/reference directions.</x:v>
      </x:c>
      <x:c r="P70" s="10"/>
    </x:row>
    <x:row r="71" ht="64" customHeight="1">
      <x:c r="A71" s="8" t="str">
        <x:v>Not collected</x:v>
      </x:c>
      <x:c r="B71" s="8" t="n">
        <x:v>69</x:v>
      </x:c>
      <x:c r="C71" s="7" t="str">
        <x:v>Place the red block in front of the green pen.</x:v>
      </x:c>
      <x:c r="D71" s="7" t="str">
        <x:v>P1 green pen at R3 (5 cm right of center) [REFERENCE]; P2 red block 24 cm in front of P1 [TARGET START]; P3 pink marker 15 cm to the left of P1 [DISTRACTOR]; P4 blue block 15 cm to the right of P1 [DISTRACTOR]</x:v>
      </x:c>
      <x:c r="E71" s="8" t="n">
        <x:v>68</x:v>
      </x:c>
      <x:c r="F71" s="8" t="str">
        <x:v>red block → 2–8 cm edge gap in front of green pen; centroid direction within ±45°</x:v>
      </x:c>
      <x:c r="G71" s="7"/>
      <x:c r="H71" s="8" t="str">
        <x:v>Exact-scene opposite-direction contrast</x:v>
      </x:c>
      <x:c r="I71" s="8" t="str">
        <x:v>RP-F18</x:v>
      </x:c>
      <x:c r="J71" s="8" t="str">
        <x:v>front</x:v>
      </x:c>
      <x:c r="K71" s="8" t="n">
        <x:v>4</x:v>
      </x:c>
      <x:c r="L71" s="8" t="str">
        <x:v>2 — Exact-scene opposite-direction contrast — Direction-word counterfactual (behind→front)</x:v>
      </x:c>
      <x:c r="M71" s="8" t="n">
        <x:v>18</x:v>
      </x:c>
      <x:c r="N71" s="7" t="str">
        <x:v>Reset only P2 to its marked start. Preserve the exact scene; change only the directional word and expected goal sector.</x:v>
      </x:c>
      <x:c r="O71" s="7" t="str">
        <x:v>Exact-scene semantic counterfactual. Target and reference identities stay fixed while the requested endpoint reverses front↔behind or left↔right.</x:v>
      </x:c>
      <x:c r="P71" s="7"/>
    </x:row>
    <x:row r="72" ht="64" customHeight="1">
      <x:c r="A72" s="8" t="str">
        <x:v>Not collected</x:v>
      </x:c>
      <x:c r="B72" s="8" t="n">
        <x:v>70</x:v>
      </x:c>
      <x:c r="C72" s="7" t="str">
        <x:v>Put the red block beside the green pen.</x:v>
      </x:c>
      <x:c r="D72" s="7" t="str">
        <x:v>P1 green pen at R3 (5 cm right of center) [REFERENCE]; P2 red block 24 cm in front of P1 [TARGET START]; P3 pink marker 15 cm to the left of P1 [DISTRACTOR]; P4 blue block 15 cm to the right of P1 [DISTRACTOR]</x:v>
      </x:c>
      <x:c r="E72" s="8" t="n">
        <x:v>68</x:v>
      </x:c>
      <x:c r="F72" s="8" t="str">
        <x:v>red block → 2–8 cm edge gap from green pen (any direction)</x:v>
      </x:c>
      <x:c r="G72" s="7"/>
      <x:c r="H72" s="8" t="str">
        <x:v>Matched manipulation control</x:v>
      </x:c>
      <x:c r="I72" s="8" t="str">
        <x:v>RP-F18</x:v>
      </x:c>
      <x:c r="J72" s="8" t="str">
        <x:v>near</x:v>
      </x:c>
      <x:c r="K72" s="8" t="n">
        <x:v>4</x:v>
      </x:c>
      <x:c r="L72" s="8" t="str">
        <x:v>3 — Matched control — Seen near/next-to/beside relation on the same ordered pair (4 objects)</x:v>
      </x:c>
      <x:c r="M72" s="8" t="n">
        <x:v>18</x:v>
      </x:c>
      <x:c r="N72" s="7" t="str">
        <x:v>Reset only P2 to its marked start. Keep every object, camera setting, and pose fixed; change only the prompt.</x:v>
      </x:c>
      <x:c r="O72" s="7" t="str">
        <x:v>Controls target/reference recognition and basic pick-place on the exact pair. It is skill-matched but not direction-endpoint-matched, so analyze the paired success delta separately.</x:v>
      </x:c>
      <x:c r="P72" s="7"/>
    </x:row>
    <x:row r="73" ht="64" customHeight="1">
      <x:c r="A73" s="8" t="str">
        <x:v>Not collected</x:v>
      </x:c>
      <x:c r="B73" s="8" t="n">
        <x:v>71</x:v>
      </x:c>
      <x:c r="C73" s="7" t="str">
        <x:v>Set the red block alongside the green pen.</x:v>
      </x:c>
      <x:c r="D73" s="7" t="str">
        <x:v>P1 green pen at R3 (5 cm right of center) [REFERENCE]; P2 red block 24 cm in front of P1 [TARGET START]; P3 pink marker 15 cm to the left of P1 [DISTRACTOR]; P4 blue block 15 cm to the right of P1 [DISTRACTOR]</x:v>
      </x:c>
      <x:c r="E73" s="8" t="n">
        <x:v>70</x:v>
      </x:c>
      <x:c r="F73" s="8" t="str">
        <x:v>red block → 2–8 cm edge gap from green pen (any direction)</x:v>
      </x:c>
      <x:c r="G73" s="7"/>
      <x:c r="H73" s="8" t="str">
        <x:v>Language robustness</x:v>
      </x:c>
      <x:c r="I73" s="8" t="str">
        <x:v>RP-F18</x:v>
      </x:c>
      <x:c r="J73" s="8" t="str">
        <x:v>near</x:v>
      </x:c>
      <x:c r="K73" s="8" t="n">
        <x:v>4</x:v>
      </x:c>
      <x:c r="L73" s="8" t="str">
        <x:v>4 — Exact-scene control paraphrase — Paraphrase of matched-control prompt</x:v>
      </x:c>
      <x:c r="M73" s="8" t="n">
        <x:v>18</x:v>
      </x:c>
      <x:c r="N73" s="7" t="str">
        <x:v>Reset only P2 to its marked start; change only the prompt wording.</x:v>
      </x:c>
      <x:c r="O73" s="7" t="str">
        <x:v>Exact-scene language comparison for the seen near relation.</x:v>
      </x:c>
      <x:c r="P73" s="7"/>
    </x:row>
    <x:row r="74" ht="64" customHeight="1">
      <x:c r="A74" s="9" t="str">
        <x:v>Not collected</x:v>
      </x:c>
      <x:c r="B74" s="9" t="n">
        <x:v>72</x:v>
      </x:c>
      <x:c r="C74" s="10" t="str">
        <x:v>Place the green pen to the left of the red block.</x:v>
      </x:c>
      <x:c r="D74" s="10" t="str">
        <x:v>P1 red block at R4 (5 cm toward the robot from center) [REFERENCE]; P2 green pen 18 cm to the right of P1 [TARGET START]; P3 pink marker 15 cm in front of P1 [DISTRACTOR]; P4 blue block 15 cm behind P1 [DISTRACTOR]</x:v>
      </x:c>
      <x:c r="E74" s="9"/>
      <x:c r="F74" s="9" t="str">
        <x:v>green pen → 2–8 cm edge gap to the left of red block; centroid direction within ±45°</x:v>
      </x:c>
      <x:c r="G74" s="10"/>
      <x:c r="H74" s="9" t="str">
        <x:v>Concept/compositional transfer</x:v>
      </x:c>
      <x:c r="I74" s="9" t="str">
        <x:v>RP-F19</x:v>
      </x:c>
      <x:c r="J74" s="9" t="str">
        <x:v>left</x:v>
      </x:c>
      <x:c r="K74" s="9" t="n">
        <x:v>4</x:v>
      </x:c>
      <x:c r="L74" s="9" t="str">
        <x:v>1 — Canonical transfer — Held-out direction × green-pen/red-block pair (left)</x:v>
      </x:c>
      <x:c r="M74" s="9" t="n">
        <x:v>19</x:v>
      </x:c>
      <x:c r="N74" s="10" t="str">
        <x:v>Build the marked scene. Target starts in the opposite sector and outside the success gap; save a first-frame filename.</x:v>
      </x:c>
      <x:c r="O74" s="10" t="str">
        <x:v>Directional language is trained on other object pairs, but all directional green-pen/red-block demonstrations are withheld in both target/reference directions.</x:v>
      </x:c>
      <x:c r="P74" s="10"/>
    </x:row>
    <x:row r="75" ht="64" customHeight="1">
      <x:c r="A75" s="8" t="str">
        <x:v>Not collected</x:v>
      </x:c>
      <x:c r="B75" s="8" t="n">
        <x:v>73</x:v>
      </x:c>
      <x:c r="C75" s="7" t="str">
        <x:v>Place the green pen to the right of the red block.</x:v>
      </x:c>
      <x:c r="D75" s="7" t="str">
        <x:v>P1 red block at R4 (5 cm toward the robot from center) [REFERENCE]; P2 green pen 18 cm to the right of P1 [TARGET START]; P3 pink marker 15 cm in front of P1 [DISTRACTOR]; P4 blue block 15 cm behind P1 [DISTRACTOR]</x:v>
      </x:c>
      <x:c r="E75" s="8" t="n">
        <x:v>72</x:v>
      </x:c>
      <x:c r="F75" s="8" t="str">
        <x:v>green pen → 2–8 cm edge gap to the right of red block; centroid direction within ±45°</x:v>
      </x:c>
      <x:c r="G75" s="7"/>
      <x:c r="H75" s="8" t="str">
        <x:v>Exact-scene opposite-direction contrast</x:v>
      </x:c>
      <x:c r="I75" s="8" t="str">
        <x:v>RP-F19</x:v>
      </x:c>
      <x:c r="J75" s="8" t="str">
        <x:v>right</x:v>
      </x:c>
      <x:c r="K75" s="8" t="n">
        <x:v>4</x:v>
      </x:c>
      <x:c r="L75" s="8" t="str">
        <x:v>2 — Exact-scene opposite-direction contrast — Direction-word counterfactual (left→right)</x:v>
      </x:c>
      <x:c r="M75" s="8" t="n">
        <x:v>19</x:v>
      </x:c>
      <x:c r="N75" s="7" t="str">
        <x:v>Reset only P2 to its marked start. Preserve the exact scene; change only the directional word and expected goal sector.</x:v>
      </x:c>
      <x:c r="O75" s="7" t="str">
        <x:v>Exact-scene semantic counterfactual. Target and reference identities stay fixed while the requested endpoint reverses front↔behind or left↔right.</x:v>
      </x:c>
      <x:c r="P75" s="7"/>
    </x:row>
    <x:row r="76" ht="64" customHeight="1">
      <x:c r="A76" s="8" t="str">
        <x:v>Not collected</x:v>
      </x:c>
      <x:c r="B76" s="8" t="n">
        <x:v>74</x:v>
      </x:c>
      <x:c r="C76" s="7" t="str">
        <x:v>Move the green pen near the red block.</x:v>
      </x:c>
      <x:c r="D76" s="7" t="str">
        <x:v>P1 red block at R4 (5 cm toward the robot from center) [REFERENCE]; P2 green pen 18 cm to the right of P1 [TARGET START]; P3 pink marker 15 cm in front of P1 [DISTRACTOR]; P4 blue block 15 cm behind P1 [DISTRACTOR]</x:v>
      </x:c>
      <x:c r="E76" s="8" t="n">
        <x:v>72</x:v>
      </x:c>
      <x:c r="F76" s="8" t="str">
        <x:v>green pen → 2–8 cm edge gap from red block (any direction)</x:v>
      </x:c>
      <x:c r="G76" s="7"/>
      <x:c r="H76" s="8" t="str">
        <x:v>Matched manipulation control</x:v>
      </x:c>
      <x:c r="I76" s="8" t="str">
        <x:v>RP-F19</x:v>
      </x:c>
      <x:c r="J76" s="8" t="str">
        <x:v>near</x:v>
      </x:c>
      <x:c r="K76" s="8" t="n">
        <x:v>4</x:v>
      </x:c>
      <x:c r="L76" s="8" t="str">
        <x:v>3 — Matched control — Seen near/next-to/beside relation on the same ordered pair (4 objects)</x:v>
      </x:c>
      <x:c r="M76" s="8" t="n">
        <x:v>19</x:v>
      </x:c>
      <x:c r="N76" s="7" t="str">
        <x:v>Reset only P2 to its marked start. Keep every object, camera setting, and pose fixed; change only the prompt.</x:v>
      </x:c>
      <x:c r="O76" s="7" t="str">
        <x:v>Controls target/reference recognition and basic pick-place on the exact pair. It is skill-matched but not direction-endpoint-matched, so analyze the paired success delta separately.</x:v>
      </x:c>
      <x:c r="P76" s="7"/>
    </x:row>
    <x:row r="77" ht="64" customHeight="1">
      <x:c r="A77" s="8" t="str">
        <x:v>Not collected</x:v>
      </x:c>
      <x:c r="B77" s="8" t="n">
        <x:v>75</x:v>
      </x:c>
      <x:c r="C77" s="7" t="str">
        <x:v>Move the green pen within a short distance of the red block.</x:v>
      </x:c>
      <x:c r="D77" s="7" t="str">
        <x:v>P1 red block at R4 (5 cm toward the robot from center) [REFERENCE]; P2 green pen 18 cm to the right of P1 [TARGET START]; P3 pink marker 15 cm in front of P1 [DISTRACTOR]; P4 blue block 15 cm behind P1 [DISTRACTOR]</x:v>
      </x:c>
      <x:c r="E77" s="8" t="n">
        <x:v>74</x:v>
      </x:c>
      <x:c r="F77" s="8" t="str">
        <x:v>green pen → 2–8 cm edge gap from red block (any direction)</x:v>
      </x:c>
      <x:c r="G77" s="7"/>
      <x:c r="H77" s="8" t="str">
        <x:v>Language robustness</x:v>
      </x:c>
      <x:c r="I77" s="8" t="str">
        <x:v>RP-F19</x:v>
      </x:c>
      <x:c r="J77" s="8" t="str">
        <x:v>near</x:v>
      </x:c>
      <x:c r="K77" s="8" t="n">
        <x:v>4</x:v>
      </x:c>
      <x:c r="L77" s="8" t="str">
        <x:v>4 — Exact-scene control paraphrase — Paraphrase of matched-control prompt</x:v>
      </x:c>
      <x:c r="M77" s="8" t="n">
        <x:v>19</x:v>
      </x:c>
      <x:c r="N77" s="7" t="str">
        <x:v>Reset only P2 to its marked start; change only the prompt wording.</x:v>
      </x:c>
      <x:c r="O77" s="7" t="str">
        <x:v>Exact-scene language comparison for the seen near relation.</x:v>
      </x:c>
      <x:c r="P77" s="7"/>
    </x:row>
    <x:row r="78" ht="64" customHeight="1">
      <x:c r="A78" s="9" t="str">
        <x:v>Not collected</x:v>
      </x:c>
      <x:c r="B78" s="9" t="n">
        <x:v>76</x:v>
      </x:c>
      <x:c r="C78" s="10" t="str">
        <x:v>Place the red block to the right of the green pen.</x:v>
      </x:c>
      <x:c r="D78" s="10" t="str">
        <x:v>P1 green pen at R5 (5 cm away from the robot from center) [REFERENCE]; P2 red block 21 cm to the left of P1 [TARGET START]; P3 pink marker 15 cm in front of P1 [DISTRACTOR]; P4 blue block 15 cm behind P1 [DISTRACTOR]</x:v>
      </x:c>
      <x:c r="E78" s="9"/>
      <x:c r="F78" s="9" t="str">
        <x:v>red block → 2–8 cm edge gap to the right of green pen; centroid direction within ±45°</x:v>
      </x:c>
      <x:c r="G78" s="10"/>
      <x:c r="H78" s="9" t="str">
        <x:v>Concept/compositional transfer</x:v>
      </x:c>
      <x:c r="I78" s="9" t="str">
        <x:v>RP-F20</x:v>
      </x:c>
      <x:c r="J78" s="9" t="str">
        <x:v>right</x:v>
      </x:c>
      <x:c r="K78" s="9" t="n">
        <x:v>4</x:v>
      </x:c>
      <x:c r="L78" s="9" t="str">
        <x:v>1 — Canonical transfer — Held-out direction × green-pen/red-block pair (right)</x:v>
      </x:c>
      <x:c r="M78" s="9" t="n">
        <x:v>20</x:v>
      </x:c>
      <x:c r="N78" s="10" t="str">
        <x:v>Build the marked scene. Target starts in the opposite sector and outside the success gap; save a first-frame filename.</x:v>
      </x:c>
      <x:c r="O78" s="10" t="str">
        <x:v>Directional language is trained on other object pairs, but all directional green-pen/red-block demonstrations are withheld in both target/reference directions.</x:v>
      </x:c>
      <x:c r="P78" s="10"/>
    </x:row>
    <x:row r="79" ht="64" customHeight="1">
      <x:c r="A79" s="8" t="str">
        <x:v>Not collected</x:v>
      </x:c>
      <x:c r="B79" s="8" t="n">
        <x:v>77</x:v>
      </x:c>
      <x:c r="C79" s="7" t="str">
        <x:v>Place the red block to the left of the green pen.</x:v>
      </x:c>
      <x:c r="D79" s="7" t="str">
        <x:v>P1 green pen at R5 (5 cm away from the robot from center) [REFERENCE]; P2 red block 21 cm to the left of P1 [TARGET START]; P3 pink marker 15 cm in front of P1 [DISTRACTOR]; P4 blue block 15 cm behind P1 [DISTRACTOR]</x:v>
      </x:c>
      <x:c r="E79" s="8" t="n">
        <x:v>76</x:v>
      </x:c>
      <x:c r="F79" s="8" t="str">
        <x:v>red block → 2–8 cm edge gap to the left of green pen; centroid direction within ±45°</x:v>
      </x:c>
      <x:c r="G79" s="7"/>
      <x:c r="H79" s="8" t="str">
        <x:v>Exact-scene opposite-direction contrast</x:v>
      </x:c>
      <x:c r="I79" s="8" t="str">
        <x:v>RP-F20</x:v>
      </x:c>
      <x:c r="J79" s="8" t="str">
        <x:v>left</x:v>
      </x:c>
      <x:c r="K79" s="8" t="n">
        <x:v>4</x:v>
      </x:c>
      <x:c r="L79" s="8" t="str">
        <x:v>2 — Exact-scene opposite-direction contrast — Direction-word counterfactual (right→left)</x:v>
      </x:c>
      <x:c r="M79" s="8" t="n">
        <x:v>20</x:v>
      </x:c>
      <x:c r="N79" s="7" t="str">
        <x:v>Reset only P2 to its marked start. Preserve the exact scene; change only the directional word and expected goal sector.</x:v>
      </x:c>
      <x:c r="O79" s="7" t="str">
        <x:v>Exact-scene semantic counterfactual. Target and reference identities stay fixed while the requested endpoint reverses front↔behind or left↔right.</x:v>
      </x:c>
      <x:c r="P79" s="7"/>
    </x:row>
    <x:row r="80" ht="64" customHeight="1">
      <x:c r="A80" s="8" t="str">
        <x:v>Not collected</x:v>
      </x:c>
      <x:c r="B80" s="8" t="n">
        <x:v>78</x:v>
      </x:c>
      <x:c r="C80" s="7" t="str">
        <x:v>Place the red block next to the green pen.</x:v>
      </x:c>
      <x:c r="D80" s="7" t="str">
        <x:v>P1 green pen at R5 (5 cm away from the robot from center) [REFERENCE]; P2 red block 21 cm to the left of P1 [TARGET START]; P3 pink marker 15 cm in front of P1 [DISTRACTOR]; P4 blue block 15 cm behind P1 [DISTRACTOR]</x:v>
      </x:c>
      <x:c r="E80" s="8" t="n">
        <x:v>76</x:v>
      </x:c>
      <x:c r="F80" s="8" t="str">
        <x:v>red block → 2–8 cm edge gap from green pen (any direction)</x:v>
      </x:c>
      <x:c r="G80" s="7"/>
      <x:c r="H80" s="8" t="str">
        <x:v>Matched manipulation control</x:v>
      </x:c>
      <x:c r="I80" s="8" t="str">
        <x:v>RP-F20</x:v>
      </x:c>
      <x:c r="J80" s="8" t="str">
        <x:v>near</x:v>
      </x:c>
      <x:c r="K80" s="8" t="n">
        <x:v>4</x:v>
      </x:c>
      <x:c r="L80" s="8" t="str">
        <x:v>3 — Matched control — Seen near/next-to/beside relation on the same ordered pair (4 objects)</x:v>
      </x:c>
      <x:c r="M80" s="8" t="n">
        <x:v>20</x:v>
      </x:c>
      <x:c r="N80" s="7" t="str">
        <x:v>Reset only P2 to its marked start. Keep every object, camera setting, and pose fixed; change only the prompt.</x:v>
      </x:c>
      <x:c r="O80" s="7" t="str">
        <x:v>Controls target/reference recognition and basic pick-place on the exact pair. It is skill-matched but not direction-endpoint-matched, so analyze the paired success delta separately.</x:v>
      </x:c>
      <x:c r="P80" s="7"/>
    </x:row>
    <x:row r="81" ht="64" customHeight="1">
      <x:c r="A81" s="8" t="str">
        <x:v>Not collected</x:v>
      </x:c>
      <x:c r="B81" s="8" t="n">
        <x:v>79</x:v>
      </x:c>
      <x:c r="C81" s="7" t="str">
        <x:v>Place the red block near enough to sit beside the green pen.</x:v>
      </x:c>
      <x:c r="D81" s="7" t="str">
        <x:v>P1 green pen at R5 (5 cm away from the robot from center) [REFERENCE]; P2 red block 21 cm to the left of P1 [TARGET START]; P3 pink marker 15 cm in front of P1 [DISTRACTOR]; P4 blue block 15 cm behind P1 [DISTRACTOR]</x:v>
      </x:c>
      <x:c r="E81" s="8" t="n">
        <x:v>78</x:v>
      </x:c>
      <x:c r="F81" s="8" t="str">
        <x:v>red block → 2–8 cm edge gap from green pen (any direction)</x:v>
      </x:c>
      <x:c r="G81" s="7"/>
      <x:c r="H81" s="8" t="str">
        <x:v>Language robustness</x:v>
      </x:c>
      <x:c r="I81" s="8" t="str">
        <x:v>RP-F20</x:v>
      </x:c>
      <x:c r="J81" s="8" t="str">
        <x:v>near</x:v>
      </x:c>
      <x:c r="K81" s="8" t="n">
        <x:v>4</x:v>
      </x:c>
      <x:c r="L81" s="8" t="str">
        <x:v>4 — Exact-scene control paraphrase — Paraphrase of matched-control prompt</x:v>
      </x:c>
      <x:c r="M81" s="8" t="n">
        <x:v>20</x:v>
      </x:c>
      <x:c r="N81" s="7" t="str">
        <x:v>Reset only P2 to its marked start; change only the prompt wording.</x:v>
      </x:c>
      <x:c r="O81" s="7" t="str">
        <x:v>Exact-scene language comparison for the seen near relation.</x:v>
      </x:c>
      <x:c r="P81" s="7"/>
    </x:row>
    <x:row r="82" ht="64" customHeight="1">
      <x:c r="A82" s="8" t="str">
        <x:v>Not collected</x:v>
      </x:c>
      <x:c r="B82" s="8" t="n">
        <x:v>80</x:v>
      </x:c>
      <x:c r="C82" s="7" t="str">
        <x:v>Put the green pen on the table in front of the red block.</x:v>
      </x:c>
      <x:c r="D82" s="7" t="str">
        <x:v>P1 red block at R1 (table center) [REFERENCE]; P2 green pen 24 cm behind P1 [TARGET START]; P3 pink marker 15 cm to the left of P1 [DISTRACTOR]</x:v>
      </x:c>
      <x:c r="E82" s="8"/>
      <x:c r="F82" s="8" t="str">
        <x:v>green pen → 2–8 cm edge gap in front of red block; centroid direction within ±45°</x:v>
      </x:c>
      <x:c r="G82" s="7"/>
      <x:c r="H82" s="8" t="str">
        <x:v>Concept/compositional transfer</x:v>
      </x:c>
      <x:c r="I82" s="8" t="str">
        <x:v>RP-X01</x:v>
      </x:c>
      <x:c r="J82" s="8" t="str">
        <x:v>front</x:v>
      </x:c>
      <x:c r="K82" s="8" t="n">
        <x:v>3</x:v>
      </x:c>
      <x:c r="L82" s="8" t="str">
        <x:v>Additional transfer — Additional held-out direction × green-pen/red-block pair (front)</x:v>
      </x:c>
      <x:c r="M82" s="8" t="n">
        <x:v>21</x:v>
      </x:c>
      <x:c r="N82" s="7" t="str">
        <x:v>Build the listed scene; target starts in the opposite sector. Save a first-frame filename.</x:v>
      </x:c>
      <x:c r="O82" s="7" t="str">
        <x:v>Unpaired primary-transfer coverage. Canonical wording is seen with other pairs; only the object-pair composition is held out.</x:v>
      </x:c>
      <x:c r="P82" s="7"/>
    </x:row>
    <x:row r="83" ht="64" customHeight="1">
      <x:c r="A83" s="8" t="str">
        <x:v>Not collected</x:v>
      </x:c>
      <x:c r="B83" s="8" t="n">
        <x:v>81</x:v>
      </x:c>
      <x:c r="C83" s="7" t="str">
        <x:v>Place the red block behind the green pen.</x:v>
      </x:c>
      <x:c r="D83" s="7" t="str">
        <x:v>P1 green pen at R2 (5 cm left of center) [REFERENCE]; P2 red block 18 cm in front of P1 [TARGET START]; P3 pink marker 15 cm to the left of P1 [DISTRACTOR]</x:v>
      </x:c>
      <x:c r="E83" s="8"/>
      <x:c r="F83" s="8" t="str">
        <x:v>red block → 2–8 cm edge gap behind green pen; centroid direction within ±45°</x:v>
      </x:c>
      <x:c r="G83" s="7"/>
      <x:c r="H83" s="8" t="str">
        <x:v>Concept/compositional transfer</x:v>
      </x:c>
      <x:c r="I83" s="8" t="str">
        <x:v>RP-X02</x:v>
      </x:c>
      <x:c r="J83" s="8" t="str">
        <x:v>behind</x:v>
      </x:c>
      <x:c r="K83" s="8" t="n">
        <x:v>3</x:v>
      </x:c>
      <x:c r="L83" s="8" t="str">
        <x:v>Additional transfer — Additional held-out direction × green-pen/red-block pair (behind)</x:v>
      </x:c>
      <x:c r="M83" s="8" t="n">
        <x:v>22</x:v>
      </x:c>
      <x:c r="N83" s="7" t="str">
        <x:v>Build the listed scene; target starts in the opposite sector. Save a first-frame filename.</x:v>
      </x:c>
      <x:c r="O83" s="7" t="str">
        <x:v>Unpaired primary-transfer coverage. Canonical wording is seen with other pairs; only the object-pair composition is held out.</x:v>
      </x:c>
      <x:c r="P83" s="7"/>
    </x:row>
    <x:row r="84" ht="64" customHeight="1">
      <x:c r="A84" s="8" t="str">
        <x:v>Not collected</x:v>
      </x:c>
      <x:c r="B84" s="8" t="n">
        <x:v>82</x:v>
      </x:c>
      <x:c r="C84" s="7" t="str">
        <x:v>Place the green pen to the left of the red block.</x:v>
      </x:c>
      <x:c r="D84" s="7" t="str">
        <x:v>P1 red block at R3 (5 cm right of center) [REFERENCE]; P2 green pen 21 cm to the right of P1 [TARGET START]; P3 pink marker 15 cm in front of P1 [DISTRACTOR]</x:v>
      </x:c>
      <x:c r="E84" s="8"/>
      <x:c r="F84" s="8" t="str">
        <x:v>green pen → 2–8 cm edge gap to the left of red block; centroid direction within ±45°</x:v>
      </x:c>
      <x:c r="G84" s="7"/>
      <x:c r="H84" s="8" t="str">
        <x:v>Concept/compositional transfer</x:v>
      </x:c>
      <x:c r="I84" s="8" t="str">
        <x:v>RP-X03</x:v>
      </x:c>
      <x:c r="J84" s="8" t="str">
        <x:v>left</x:v>
      </x:c>
      <x:c r="K84" s="8" t="n">
        <x:v>3</x:v>
      </x:c>
      <x:c r="L84" s="8" t="str">
        <x:v>Additional transfer — Additional held-out direction × green-pen/red-block pair (left)</x:v>
      </x:c>
      <x:c r="M84" s="8" t="n">
        <x:v>23</x:v>
      </x:c>
      <x:c r="N84" s="7" t="str">
        <x:v>Build the listed scene; target starts in the opposite sector. Save a first-frame filename.</x:v>
      </x:c>
      <x:c r="O84" s="7" t="str">
        <x:v>Unpaired primary-transfer coverage. Canonical wording is seen with other pairs; only the object-pair composition is held out.</x:v>
      </x:c>
      <x:c r="P84" s="7"/>
    </x:row>
    <x:row r="85" ht="64" customHeight="1">
      <x:c r="A85" s="8" t="str">
        <x:v>Not collected</x:v>
      </x:c>
      <x:c r="B85" s="8" t="n">
        <x:v>83</x:v>
      </x:c>
      <x:c r="C85" s="7" t="str">
        <x:v>Place the red block to the right of the green pen.</x:v>
      </x:c>
      <x:c r="D85" s="7" t="str">
        <x:v>P1 green pen at R4 (5 cm toward the robot from center) [REFERENCE]; P2 red block 24 cm to the left of P1 [TARGET START]; P3 pink marker 15 cm in front of P1 [DISTRACTOR]</x:v>
      </x:c>
      <x:c r="E85" s="8"/>
      <x:c r="F85" s="8" t="str">
        <x:v>red block → 2–8 cm edge gap to the right of green pen; centroid direction within ±45°</x:v>
      </x:c>
      <x:c r="G85" s="7"/>
      <x:c r="H85" s="8" t="str">
        <x:v>Concept/compositional transfer</x:v>
      </x:c>
      <x:c r="I85" s="8" t="str">
        <x:v>RP-X04</x:v>
      </x:c>
      <x:c r="J85" s="8" t="str">
        <x:v>right</x:v>
      </x:c>
      <x:c r="K85" s="8" t="n">
        <x:v>3</x:v>
      </x:c>
      <x:c r="L85" s="8" t="str">
        <x:v>Additional transfer — Additional held-out direction × green-pen/red-block pair (right)</x:v>
      </x:c>
      <x:c r="M85" s="8" t="n">
        <x:v>24</x:v>
      </x:c>
      <x:c r="N85" s="7" t="str">
        <x:v>Build the listed scene; target starts in the opposite sector. Save a first-frame filename.</x:v>
      </x:c>
      <x:c r="O85" s="7" t="str">
        <x:v>Unpaired primary-transfer coverage. Canonical wording is seen with other pairs; only the object-pair composition is held out.</x:v>
      </x:c>
      <x:c r="P85" s="7"/>
    </x:row>
    <x:row r="86" ht="64" customHeight="1">
      <x:c r="A86" s="8" t="str">
        <x:v>Not collected</x:v>
      </x:c>
      <x:c r="B86" s="8" t="n">
        <x:v>84</x:v>
      </x:c>
      <x:c r="C86" s="7" t="str">
        <x:v>Place the red block in front of the green pen.</x:v>
      </x:c>
      <x:c r="D86" s="7" t="str">
        <x:v>P1 green pen at R5 (5 cm away from the robot from center) [REFERENCE]; P2 red block 18 cm behind P1 [TARGET START]; P3 pink marker 15 cm to the left of P1 [DISTRACTOR]</x:v>
      </x:c>
      <x:c r="E86" s="8"/>
      <x:c r="F86" s="8" t="str">
        <x:v>red block → 2–8 cm edge gap in front of green pen; centroid direction within ±45°</x:v>
      </x:c>
      <x:c r="G86" s="7"/>
      <x:c r="H86" s="8" t="str">
        <x:v>Concept/compositional transfer</x:v>
      </x:c>
      <x:c r="I86" s="8" t="str">
        <x:v>RP-X05</x:v>
      </x:c>
      <x:c r="J86" s="8" t="str">
        <x:v>front</x:v>
      </x:c>
      <x:c r="K86" s="8" t="n">
        <x:v>3</x:v>
      </x:c>
      <x:c r="L86" s="8" t="str">
        <x:v>Additional transfer — Additional held-out direction × green-pen/red-block pair (front)</x:v>
      </x:c>
      <x:c r="M86" s="8" t="n">
        <x:v>25</x:v>
      </x:c>
      <x:c r="N86" s="7" t="str">
        <x:v>Build the listed scene; target starts in the opposite sector. Save a first-frame filename.</x:v>
      </x:c>
      <x:c r="O86" s="7" t="str">
        <x:v>Unpaired primary-transfer coverage. Canonical wording is seen with other pairs; only the object-pair composition is held out.</x:v>
      </x:c>
      <x:c r="P86" s="7"/>
    </x:row>
    <x:row r="87" ht="64" customHeight="1">
      <x:c r="A87" s="8" t="str">
        <x:v>Not collected</x:v>
      </x:c>
      <x:c r="B87" s="8" t="n">
        <x:v>85</x:v>
      </x:c>
      <x:c r="C87" s="7" t="str">
        <x:v>Move the green pen to the back of the red block.</x:v>
      </x:c>
      <x:c r="D87" s="7" t="str">
        <x:v>P1 red block at R1 (table center) [REFERENCE]; P2 green pen 21 cm in front of P1 [TARGET START]; P3 pink marker 15 cm to the left of P1 [DISTRACTOR]</x:v>
      </x:c>
      <x:c r="E87" s="8"/>
      <x:c r="F87" s="8" t="str">
        <x:v>green pen → 2–8 cm edge gap behind red block; centroid direction within ±45°</x:v>
      </x:c>
      <x:c r="G87" s="7"/>
      <x:c r="H87" s="8" t="str">
        <x:v>Concept/compositional transfer</x:v>
      </x:c>
      <x:c r="I87" s="8" t="str">
        <x:v>RP-X06</x:v>
      </x:c>
      <x:c r="J87" s="8" t="str">
        <x:v>behind</x:v>
      </x:c>
      <x:c r="K87" s="8" t="n">
        <x:v>3</x:v>
      </x:c>
      <x:c r="L87" s="8" t="str">
        <x:v>Additional transfer — Additional held-out direction × green-pen/red-block pair (behind)</x:v>
      </x:c>
      <x:c r="M87" s="8" t="n">
        <x:v>26</x:v>
      </x:c>
      <x:c r="N87" s="7" t="str">
        <x:v>Build the listed scene; target starts in the opposite sector. Save a first-frame filename.</x:v>
      </x:c>
      <x:c r="O87" s="7" t="str">
        <x:v>Unpaired primary-transfer coverage. Canonical wording is seen with other pairs; only the object-pair composition is held out.</x:v>
      </x:c>
      <x:c r="P87" s="7"/>
    </x:row>
    <x:row r="88" ht="64" customHeight="1">
      <x:c r="A88" s="8" t="str">
        <x:v>Not collected</x:v>
      </x:c>
      <x:c r="B88" s="8" t="n">
        <x:v>86</x:v>
      </x:c>
      <x:c r="C88" s="7" t="str">
        <x:v>Place the red block to the left of the green pen.</x:v>
      </x:c>
      <x:c r="D88" s="7" t="str">
        <x:v>P1 green pen at R2 (5 cm left of center) [REFERENCE]; P2 red block 24 cm to the right of P1 [TARGET START]; P3 pink marker 15 cm in front of P1 [DISTRACTOR]</x:v>
      </x:c>
      <x:c r="E88" s="8"/>
      <x:c r="F88" s="8" t="str">
        <x:v>red block → 2–8 cm edge gap to the left of green pen; centroid direction within ±45°</x:v>
      </x:c>
      <x:c r="G88" s="7"/>
      <x:c r="H88" s="8" t="str">
        <x:v>Concept/compositional transfer</x:v>
      </x:c>
      <x:c r="I88" s="8" t="str">
        <x:v>RP-X07</x:v>
      </x:c>
      <x:c r="J88" s="8" t="str">
        <x:v>left</x:v>
      </x:c>
      <x:c r="K88" s="8" t="n">
        <x:v>3</x:v>
      </x:c>
      <x:c r="L88" s="8" t="str">
        <x:v>Additional transfer — Additional held-out direction × green-pen/red-block pair (left)</x:v>
      </x:c>
      <x:c r="M88" s="8" t="n">
        <x:v>27</x:v>
      </x:c>
      <x:c r="N88" s="7" t="str">
        <x:v>Build the listed scene; target starts in the opposite sector. Save a first-frame filename.</x:v>
      </x:c>
      <x:c r="O88" s="7" t="str">
        <x:v>Unpaired primary-transfer coverage. Canonical wording is seen with other pairs; only the object-pair composition is held out.</x:v>
      </x:c>
      <x:c r="P88" s="7"/>
    </x:row>
    <x:row r="89" ht="64" customHeight="1">
      <x:c r="A89" s="8" t="str">
        <x:v>Not collected</x:v>
      </x:c>
      <x:c r="B89" s="8" t="n">
        <x:v>87</x:v>
      </x:c>
      <x:c r="C89" s="7" t="str">
        <x:v>Place the green pen to the right of the red block.</x:v>
      </x:c>
      <x:c r="D89" s="7" t="str">
        <x:v>P1 red block at R3 (5 cm right of center) [REFERENCE]; P2 green pen 18 cm to the left of P1 [TARGET START]; P3 pink marker 15 cm in front of P1 [DISTRACTOR]</x:v>
      </x:c>
      <x:c r="E89" s="8"/>
      <x:c r="F89" s="8" t="str">
        <x:v>green pen → 2–8 cm edge gap to the right of red block; centroid direction within ±45°</x:v>
      </x:c>
      <x:c r="G89" s="7"/>
      <x:c r="H89" s="8" t="str">
        <x:v>Concept/compositional transfer</x:v>
      </x:c>
      <x:c r="I89" s="8" t="str">
        <x:v>RP-X08</x:v>
      </x:c>
      <x:c r="J89" s="8" t="str">
        <x:v>right</x:v>
      </x:c>
      <x:c r="K89" s="8" t="n">
        <x:v>3</x:v>
      </x:c>
      <x:c r="L89" s="8" t="str">
        <x:v>Additional transfer — Additional held-out direction × green-pen/red-block pair (right)</x:v>
      </x:c>
      <x:c r="M89" s="8" t="n">
        <x:v>28</x:v>
      </x:c>
      <x:c r="N89" s="7" t="str">
        <x:v>Build the listed scene; target starts in the opposite sector. Save a first-frame filename.</x:v>
      </x:c>
      <x:c r="O89" s="7" t="str">
        <x:v>Unpaired primary-transfer coverage. Canonical wording is seen with other pairs; only the object-pair composition is held out.</x:v>
      </x:c>
      <x:c r="P89" s="7"/>
    </x:row>
    <x:row r="90" ht="64" customHeight="1">
      <x:c r="A90" s="8" t="str">
        <x:v>Not collected</x:v>
      </x:c>
      <x:c r="B90" s="8" t="n">
        <x:v>88</x:v>
      </x:c>
      <x:c r="C90" s="7" t="str">
        <x:v>Move the green pen to the front of the red block.</x:v>
      </x:c>
      <x:c r="D90" s="7" t="str">
        <x:v>P1 red block at R4 (5 cm toward the robot from center) [REFERENCE]; P2 green pen 21 cm behind P1 [TARGET START]; P3 pink marker 15 cm to the left of P1 [DISTRACTOR]</x:v>
      </x:c>
      <x:c r="E90" s="8"/>
      <x:c r="F90" s="8" t="str">
        <x:v>green pen → 2–8 cm edge gap in front of red block; centroid direction within ±45°</x:v>
      </x:c>
      <x:c r="G90" s="7"/>
      <x:c r="H90" s="8" t="str">
        <x:v>Concept/compositional transfer</x:v>
      </x:c>
      <x:c r="I90" s="8" t="str">
        <x:v>RP-X09</x:v>
      </x:c>
      <x:c r="J90" s="8" t="str">
        <x:v>front</x:v>
      </x:c>
      <x:c r="K90" s="8" t="n">
        <x:v>3</x:v>
      </x:c>
      <x:c r="L90" s="8" t="str">
        <x:v>Additional transfer — Additional held-out direction × green-pen/red-block pair (front)</x:v>
      </x:c>
      <x:c r="M90" s="8" t="n">
        <x:v>29</x:v>
      </x:c>
      <x:c r="N90" s="7" t="str">
        <x:v>Build the listed scene; target starts in the opposite sector. Save a first-frame filename.</x:v>
      </x:c>
      <x:c r="O90" s="7" t="str">
        <x:v>Unpaired primary-transfer coverage. Canonical wording is seen with other pairs; only the object-pair composition is held out.</x:v>
      </x:c>
      <x:c r="P90" s="7"/>
    </x:row>
    <x:row r="91" ht="64" customHeight="1">
      <x:c r="A91" s="8" t="str">
        <x:v>Not collected</x:v>
      </x:c>
      <x:c r="B91" s="8" t="n">
        <x:v>89</x:v>
      </x:c>
      <x:c r="C91" s="7" t="str">
        <x:v>Put the red block on the table behind the green pen.</x:v>
      </x:c>
      <x:c r="D91" s="7" t="str">
        <x:v>P1 green pen at R5 (5 cm away from the robot from center) [REFERENCE]; P2 red block 24 cm in front of P1 [TARGET START]; P3 pink marker 15 cm to the left of P1 [DISTRACTOR]</x:v>
      </x:c>
      <x:c r="E91" s="8"/>
      <x:c r="F91" s="8" t="str">
        <x:v>red block → 2–8 cm edge gap behind green pen; centroid direction within ±45°</x:v>
      </x:c>
      <x:c r="G91" s="7"/>
      <x:c r="H91" s="8" t="str">
        <x:v>Concept/compositional transfer</x:v>
      </x:c>
      <x:c r="I91" s="8" t="str">
        <x:v>RP-X10</x:v>
      </x:c>
      <x:c r="J91" s="8" t="str">
        <x:v>behind</x:v>
      </x:c>
      <x:c r="K91" s="8" t="n">
        <x:v>3</x:v>
      </x:c>
      <x:c r="L91" s="8" t="str">
        <x:v>Additional transfer — Additional held-out direction × green-pen/red-block pair (behind)</x:v>
      </x:c>
      <x:c r="M91" s="8" t="n">
        <x:v>30</x:v>
      </x:c>
      <x:c r="N91" s="7" t="str">
        <x:v>Build the listed scene; target starts in the opposite sector. Save a first-frame filename.</x:v>
      </x:c>
      <x:c r="O91" s="7" t="str">
        <x:v>Unpaired primary-transfer coverage. Canonical wording is seen with other pairs; only the object-pair composition is held out.</x:v>
      </x:c>
      <x:c r="P91" s="7"/>
    </x:row>
    <x:row r="92" ht="64" customHeight="1">
      <x:c r="A92" s="8" t="str">
        <x:v>Not collected</x:v>
      </x:c>
      <x:c r="B92" s="8" t="n">
        <x:v>90</x:v>
      </x:c>
      <x:c r="C92" s="7" t="str">
        <x:v>Place the green pen to the left of the red block.</x:v>
      </x:c>
      <x:c r="D92" s="7" t="str">
        <x:v>P1 red block at R1 (table center) [REFERENCE]; P2 green pen 18 cm to the right of P1 [TARGET START]; P3 pink marker 15 cm in front of P1 [DISTRACTOR]</x:v>
      </x:c>
      <x:c r="E92" s="8"/>
      <x:c r="F92" s="8" t="str">
        <x:v>green pen → 2–8 cm edge gap to the left of red block; centroid direction within ±45°</x:v>
      </x:c>
      <x:c r="G92" s="7"/>
      <x:c r="H92" s="8" t="str">
        <x:v>Concept/compositional transfer</x:v>
      </x:c>
      <x:c r="I92" s="8" t="str">
        <x:v>RP-X11</x:v>
      </x:c>
      <x:c r="J92" s="8" t="str">
        <x:v>left</x:v>
      </x:c>
      <x:c r="K92" s="8" t="n">
        <x:v>3</x:v>
      </x:c>
      <x:c r="L92" s="8" t="str">
        <x:v>Additional transfer — Additional held-out direction × green-pen/red-block pair (left)</x:v>
      </x:c>
      <x:c r="M92" s="8" t="n">
        <x:v>31</x:v>
      </x:c>
      <x:c r="N92" s="7" t="str">
        <x:v>Build the listed scene; target starts in the opposite sector. Save a first-frame filename.</x:v>
      </x:c>
      <x:c r="O92" s="7" t="str">
        <x:v>Unpaired primary-transfer coverage. Canonical wording is seen with other pairs; only the object-pair composition is held out.</x:v>
      </x:c>
      <x:c r="P92" s="7"/>
    </x:row>
    <x:row r="93" ht="64" customHeight="1">
      <x:c r="A93" s="8" t="str">
        <x:v>Not collected</x:v>
      </x:c>
      <x:c r="B93" s="8" t="n">
        <x:v>91</x:v>
      </x:c>
      <x:c r="C93" s="7" t="str">
        <x:v>Place the red block to the right of the green pen.</x:v>
      </x:c>
      <x:c r="D93" s="7" t="str">
        <x:v>P1 green pen at R2 (5 cm left of center) [REFERENCE]; P2 red block 21 cm to the left of P1 [TARGET START]; P3 pink marker 15 cm in front of P1 [DISTRACTOR]</x:v>
      </x:c>
      <x:c r="E93" s="8"/>
      <x:c r="F93" s="8" t="str">
        <x:v>red block → 2–8 cm edge gap to the right of green pen; centroid direction within ±45°</x:v>
      </x:c>
      <x:c r="G93" s="7"/>
      <x:c r="H93" s="8" t="str">
        <x:v>Concept/compositional transfer</x:v>
      </x:c>
      <x:c r="I93" s="8" t="str">
        <x:v>RP-X12</x:v>
      </x:c>
      <x:c r="J93" s="8" t="str">
        <x:v>right</x:v>
      </x:c>
      <x:c r="K93" s="8" t="n">
        <x:v>3</x:v>
      </x:c>
      <x:c r="L93" s="8" t="str">
        <x:v>Additional transfer — Additional held-out direction × green-pen/red-block pair (right)</x:v>
      </x:c>
      <x:c r="M93" s="8" t="n">
        <x:v>32</x:v>
      </x:c>
      <x:c r="N93" s="7" t="str">
        <x:v>Build the listed scene; target starts in the opposite sector. Save a first-frame filename.</x:v>
      </x:c>
      <x:c r="O93" s="7" t="str">
        <x:v>Unpaired primary-transfer coverage. Canonical wording is seen with other pairs; only the object-pair composition is held out.</x:v>
      </x:c>
      <x:c r="P93" s="7"/>
    </x:row>
    <x:row r="94" ht="64" customHeight="1">
      <x:c r="A94" s="8" t="str">
        <x:v>Not collected</x:v>
      </x:c>
      <x:c r="B94" s="8" t="n">
        <x:v>92</x:v>
      </x:c>
      <x:c r="C94" s="7" t="str">
        <x:v>Put the red block on the table in front of the green pen.</x:v>
      </x:c>
      <x:c r="D94" s="7" t="str">
        <x:v>P1 green pen at R3 (5 cm right of center) [REFERENCE]; P2 red block 24 cm behind P1 [TARGET START]; P3 pink marker 15 cm to the left of P1 [DISTRACTOR]</x:v>
      </x:c>
      <x:c r="E94" s="8"/>
      <x:c r="F94" s="8" t="str">
        <x:v>red block → 2–8 cm edge gap in front of green pen; centroid direction within ±45°</x:v>
      </x:c>
      <x:c r="G94" s="7"/>
      <x:c r="H94" s="8" t="str">
        <x:v>Concept/compositional transfer</x:v>
      </x:c>
      <x:c r="I94" s="8" t="str">
        <x:v>RP-X13</x:v>
      </x:c>
      <x:c r="J94" s="8" t="str">
        <x:v>front</x:v>
      </x:c>
      <x:c r="K94" s="8" t="n">
        <x:v>3</x:v>
      </x:c>
      <x:c r="L94" s="8" t="str">
        <x:v>Additional transfer — Additional held-out direction × green-pen/red-block pair (front)</x:v>
      </x:c>
      <x:c r="M94" s="8" t="n">
        <x:v>33</x:v>
      </x:c>
      <x:c r="N94" s="7" t="str">
        <x:v>Build the listed scene; target starts in the opposite sector. Save a first-frame filename.</x:v>
      </x:c>
      <x:c r="O94" s="7" t="str">
        <x:v>Unpaired primary-transfer coverage. Canonical wording is seen with other pairs; only the object-pair composition is held out.</x:v>
      </x:c>
      <x:c r="P94" s="7"/>
    </x:row>
    <x:row r="95" ht="64" customHeight="1">
      <x:c r="A95" s="8" t="str">
        <x:v>Not collected</x:v>
      </x:c>
      <x:c r="B95" s="8" t="n">
        <x:v>93</x:v>
      </x:c>
      <x:c r="C95" s="7" t="str">
        <x:v>Place the green pen behind the red block.</x:v>
      </x:c>
      <x:c r="D95" s="7" t="str">
        <x:v>P1 red block at R4 (5 cm toward the robot from center) [REFERENCE]; P2 green pen 18 cm in front of P1 [TARGET START]; P3 pink marker 15 cm to the left of P1 [DISTRACTOR]</x:v>
      </x:c>
      <x:c r="E95" s="8"/>
      <x:c r="F95" s="8" t="str">
        <x:v>green pen → 2–8 cm edge gap behind red block; centroid direction within ±45°</x:v>
      </x:c>
      <x:c r="G95" s="7"/>
      <x:c r="H95" s="8" t="str">
        <x:v>Concept/compositional transfer</x:v>
      </x:c>
      <x:c r="I95" s="8" t="str">
        <x:v>RP-X14</x:v>
      </x:c>
      <x:c r="J95" s="8" t="str">
        <x:v>behind</x:v>
      </x:c>
      <x:c r="K95" s="8" t="n">
        <x:v>3</x:v>
      </x:c>
      <x:c r="L95" s="8" t="str">
        <x:v>Additional transfer — Additional held-out direction × green-pen/red-block pair (behind)</x:v>
      </x:c>
      <x:c r="M95" s="8" t="n">
        <x:v>34</x:v>
      </x:c>
      <x:c r="N95" s="7" t="str">
        <x:v>Build the listed scene; target starts in the opposite sector. Save a first-frame filename.</x:v>
      </x:c>
      <x:c r="O95" s="7" t="str">
        <x:v>Unpaired primary-transfer coverage. Canonical wording is seen with other pairs; only the object-pair composition is held out.</x:v>
      </x:c>
      <x:c r="P95" s="7"/>
    </x:row>
    <x:row r="96" ht="64" customHeight="1">
      <x:c r="A96" s="8" t="str">
        <x:v>Not collected</x:v>
      </x:c>
      <x:c r="B96" s="8" t="n">
        <x:v>94</x:v>
      </x:c>
      <x:c r="C96" s="7" t="str">
        <x:v>Place the red block to the left of the green pen.</x:v>
      </x:c>
      <x:c r="D96" s="7" t="str">
        <x:v>P1 green pen at R5 (5 cm away from the robot from center) [REFERENCE]; P2 red block 21 cm to the right of P1 [TARGET START]; P3 pink marker 15 cm in front of P1 [DISTRACTOR]</x:v>
      </x:c>
      <x:c r="E96" s="8"/>
      <x:c r="F96" s="8" t="str">
        <x:v>red block → 2–8 cm edge gap to the left of green pen; centroid direction within ±45°</x:v>
      </x:c>
      <x:c r="G96" s="7"/>
      <x:c r="H96" s="8" t="str">
        <x:v>Concept/compositional transfer</x:v>
      </x:c>
      <x:c r="I96" s="8" t="str">
        <x:v>RP-X15</x:v>
      </x:c>
      <x:c r="J96" s="8" t="str">
        <x:v>left</x:v>
      </x:c>
      <x:c r="K96" s="8" t="n">
        <x:v>3</x:v>
      </x:c>
      <x:c r="L96" s="8" t="str">
        <x:v>Additional transfer — Additional held-out direction × green-pen/red-block pair (left)</x:v>
      </x:c>
      <x:c r="M96" s="8" t="n">
        <x:v>35</x:v>
      </x:c>
      <x:c r="N96" s="7" t="str">
        <x:v>Build the listed scene; target starts in the opposite sector. Save a first-frame filename.</x:v>
      </x:c>
      <x:c r="O96" s="7" t="str">
        <x:v>Unpaired primary-transfer coverage. Canonical wording is seen with other pairs; only the object-pair composition is held out.</x:v>
      </x:c>
      <x:c r="P96" s="7"/>
    </x:row>
    <x:row r="97" ht="64" customHeight="1">
      <x:c r="A97" s="8" t="str">
        <x:v>Not collected</x:v>
      </x:c>
      <x:c r="B97" s="8" t="n">
        <x:v>95</x:v>
      </x:c>
      <x:c r="C97" s="7" t="str">
        <x:v>Place the green pen to the right of the red block.</x:v>
      </x:c>
      <x:c r="D97" s="7" t="str">
        <x:v>P1 red block at R1 (table center) [REFERENCE]; P2 green pen 24 cm to the left of P1 [TARGET START]; P3 pink marker 15 cm in front of P1 [DISTRACTOR]; P4 blue block 15 cm behind P1 [DISTRACTOR]</x:v>
      </x:c>
      <x:c r="E97" s="8"/>
      <x:c r="F97" s="8" t="str">
        <x:v>green pen → 2–8 cm edge gap to the right of red block; centroid direction within ±45°</x:v>
      </x:c>
      <x:c r="G97" s="7"/>
      <x:c r="H97" s="8" t="str">
        <x:v>Concept/compositional transfer</x:v>
      </x:c>
      <x:c r="I97" s="8" t="str">
        <x:v>RP-X16</x:v>
      </x:c>
      <x:c r="J97" s="8" t="str">
        <x:v>right</x:v>
      </x:c>
      <x:c r="K97" s="8" t="n">
        <x:v>4</x:v>
      </x:c>
      <x:c r="L97" s="8" t="str">
        <x:v>Additional transfer — Additional held-out direction × green-pen/red-block pair (right)</x:v>
      </x:c>
      <x:c r="M97" s="8" t="n">
        <x:v>36</x:v>
      </x:c>
      <x:c r="N97" s="7" t="str">
        <x:v>Build the listed scene; target starts in the opposite sector. Save a first-frame filename.</x:v>
      </x:c>
      <x:c r="O97" s="7" t="str">
        <x:v>Unpaired primary-transfer coverage. Canonical wording is seen with other pairs; only the object-pair composition is held out.</x:v>
      </x:c>
      <x:c r="P97" s="7"/>
    </x:row>
    <x:row r="98" ht="64" customHeight="1">
      <x:c r="A98" s="8" t="str">
        <x:v>Not collected</x:v>
      </x:c>
      <x:c r="B98" s="8" t="n">
        <x:v>96</x:v>
      </x:c>
      <x:c r="C98" s="7" t="str">
        <x:v>Place the green pen in front of the red block.</x:v>
      </x:c>
      <x:c r="D98" s="7" t="str">
        <x:v>P1 red block at R2 (5 cm left of center) [REFERENCE]; P2 green pen 18 cm behind P1 [TARGET START]; P3 pink marker 15 cm to the left of P1 [DISTRACTOR]; P4 blue block 15 cm to the right of P1 [DISTRACTOR]</x:v>
      </x:c>
      <x:c r="E98" s="8"/>
      <x:c r="F98" s="8" t="str">
        <x:v>green pen → 2–8 cm edge gap in front of red block; centroid direction within ±45°</x:v>
      </x:c>
      <x:c r="G98" s="7"/>
      <x:c r="H98" s="8" t="str">
        <x:v>Concept/compositional transfer</x:v>
      </x:c>
      <x:c r="I98" s="8" t="str">
        <x:v>RP-X17</x:v>
      </x:c>
      <x:c r="J98" s="8" t="str">
        <x:v>front</x:v>
      </x:c>
      <x:c r="K98" s="8" t="n">
        <x:v>4</x:v>
      </x:c>
      <x:c r="L98" s="8" t="str">
        <x:v>Additional transfer — Additional held-out direction × green-pen/red-block pair (front)</x:v>
      </x:c>
      <x:c r="M98" s="8" t="n">
        <x:v>37</x:v>
      </x:c>
      <x:c r="N98" s="7" t="str">
        <x:v>Build the listed scene; target starts in the opposite sector. Save a first-frame filename.</x:v>
      </x:c>
      <x:c r="O98" s="7" t="str">
        <x:v>Unpaired primary-transfer coverage. Canonical wording is seen with other pairs; only the object-pair composition is held out.</x:v>
      </x:c>
      <x:c r="P98" s="7"/>
    </x:row>
    <x:row r="99" ht="64" customHeight="1">
      <x:c r="A99" s="8" t="str">
        <x:v>Not collected</x:v>
      </x:c>
      <x:c r="B99" s="8" t="n">
        <x:v>97</x:v>
      </x:c>
      <x:c r="C99" s="7" t="str">
        <x:v>Move the red block to the back of the green pen.</x:v>
      </x:c>
      <x:c r="D99" s="7" t="str">
        <x:v>P1 green pen at R3 (5 cm right of center) [REFERENCE]; P2 red block 21 cm in front of P1 [TARGET START]; P3 pink marker 15 cm to the left of P1 [DISTRACTOR]; P4 blue block 15 cm to the right of P1 [DISTRACTOR]</x:v>
      </x:c>
      <x:c r="E99" s="8"/>
      <x:c r="F99" s="8" t="str">
        <x:v>red block → 2–8 cm edge gap behind green pen; centroid direction within ±45°</x:v>
      </x:c>
      <x:c r="G99" s="7"/>
      <x:c r="H99" s="8" t="str">
        <x:v>Concept/compositional transfer</x:v>
      </x:c>
      <x:c r="I99" s="8" t="str">
        <x:v>RP-X18</x:v>
      </x:c>
      <x:c r="J99" s="8" t="str">
        <x:v>behind</x:v>
      </x:c>
      <x:c r="K99" s="8" t="n">
        <x:v>4</x:v>
      </x:c>
      <x:c r="L99" s="8" t="str">
        <x:v>Additional transfer — Additional held-out direction × green-pen/red-block pair (behind)</x:v>
      </x:c>
      <x:c r="M99" s="8" t="n">
        <x:v>38</x:v>
      </x:c>
      <x:c r="N99" s="7" t="str">
        <x:v>Build the listed scene; target starts in the opposite sector. Save a first-frame filename.</x:v>
      </x:c>
      <x:c r="O99" s="7" t="str">
        <x:v>Unpaired primary-transfer coverage. Canonical wording is seen with other pairs; only the object-pair composition is held out.</x:v>
      </x:c>
      <x:c r="P99" s="7"/>
    </x:row>
    <x:row r="100" ht="64" customHeight="1">
      <x:c r="A100" s="8" t="str">
        <x:v>Not collected</x:v>
      </x:c>
      <x:c r="B100" s="8" t="n">
        <x:v>98</x:v>
      </x:c>
      <x:c r="C100" s="7" t="str">
        <x:v>Place the green pen to the left of the red block.</x:v>
      </x:c>
      <x:c r="D100" s="7" t="str">
        <x:v>P1 red block at R4 (5 cm toward the robot from center) [REFERENCE]; P2 green pen 24 cm to the right of P1 [TARGET START]; P3 pink marker 15 cm in front of P1 [DISTRACTOR]; P4 blue block 15 cm behind P1 [DISTRACTOR]</x:v>
      </x:c>
      <x:c r="E100" s="8"/>
      <x:c r="F100" s="8" t="str">
        <x:v>green pen → 2–8 cm edge gap to the left of red block; centroid direction within ±45°</x:v>
      </x:c>
      <x:c r="G100" s="7"/>
      <x:c r="H100" s="8" t="str">
        <x:v>Concept/compositional transfer</x:v>
      </x:c>
      <x:c r="I100" s="8" t="str">
        <x:v>RP-X19</x:v>
      </x:c>
      <x:c r="J100" s="8" t="str">
        <x:v>left</x:v>
      </x:c>
      <x:c r="K100" s="8" t="n">
        <x:v>4</x:v>
      </x:c>
      <x:c r="L100" s="8" t="str">
        <x:v>Additional transfer — Additional held-out direction × green-pen/red-block pair (left)</x:v>
      </x:c>
      <x:c r="M100" s="8" t="n">
        <x:v>39</x:v>
      </x:c>
      <x:c r="N100" s="7" t="str">
        <x:v>Build the listed scene; target starts in the opposite sector. Save a first-frame filename.</x:v>
      </x:c>
      <x:c r="O100" s="7" t="str">
        <x:v>Unpaired primary-transfer coverage. Canonical wording is seen with other pairs; only the object-pair composition is held out.</x:v>
      </x:c>
      <x:c r="P100" s="7"/>
    </x:row>
    <x:row r="101" ht="64" customHeight="1">
      <x:c r="A101" s="8" t="str">
        <x:v>Not collected</x:v>
      </x:c>
      <x:c r="B101" s="8" t="n">
        <x:v>99</x:v>
      </x:c>
      <x:c r="C101" s="7" t="str">
        <x:v>Place the red block to the right of the green pen.</x:v>
      </x:c>
      <x:c r="D101" s="7" t="str">
        <x:v>P1 green pen at R5 (5 cm away from the robot from center) [REFERENCE]; P2 red block 18 cm to the left of P1 [TARGET START]; P3 pink marker 15 cm in front of P1 [DISTRACTOR]; P4 blue block 15 cm behind P1 [DISTRACTOR]</x:v>
      </x:c>
      <x:c r="E101" s="8"/>
      <x:c r="F101" s="8" t="str">
        <x:v>red block → 2–8 cm edge gap to the right of green pen; centroid direction within ±45°</x:v>
      </x:c>
      <x:c r="G101" s="7"/>
      <x:c r="H101" s="8" t="str">
        <x:v>Concept/compositional transfer</x:v>
      </x:c>
      <x:c r="I101" s="8" t="str">
        <x:v>RP-X20</x:v>
      </x:c>
      <x:c r="J101" s="8" t="str">
        <x:v>right</x:v>
      </x:c>
      <x:c r="K101" s="8" t="n">
        <x:v>4</x:v>
      </x:c>
      <x:c r="L101" s="8" t="str">
        <x:v>Additional transfer — Additional held-out direction × green-pen/red-block pair (right)</x:v>
      </x:c>
      <x:c r="M101" s="8" t="n">
        <x:v>40</x:v>
      </x:c>
      <x:c r="N101" s="7" t="str">
        <x:v>Build the listed scene; target starts in the opposite sector. Save a first-frame filename.</x:v>
      </x:c>
      <x:c r="O101" s="7" t="str">
        <x:v>Unpaired primary-transfer coverage. Canonical wording is seen with other pairs; only the object-pair composition is held out.</x:v>
      </x:c>
      <x:c r="P101" s="7"/>
    </x:row>
    <x:row r="102" ht="64" customHeight="1">
      <x:c r="A102" s="8" t="str">
        <x:v>Not collected</x:v>
      </x:c>
      <x:c r="B102" s="8" t="n">
        <x:v>100</x:v>
      </x:c>
      <x:c r="C102" s="7" t="str">
        <x:v>Move the red block to the front of the green pen.</x:v>
      </x:c>
      <x:c r="D102" s="7" t="str">
        <x:v>P1 green pen at R1 (table center) [REFERENCE]; P2 red block 21 cm behind P1 [TARGET START]; P3 pink marker 15 cm to the left of P1 [DISTRACTOR]; P4 blue block 15 cm to the right of P1 [DISTRACTOR]</x:v>
      </x:c>
      <x:c r="E102" s="8"/>
      <x:c r="F102" s="8" t="str">
        <x:v>red block → 2–8 cm edge gap in front of green pen; centroid direction within ±45°</x:v>
      </x:c>
      <x:c r="G102" s="7"/>
      <x:c r="H102" s="8" t="str">
        <x:v>Concept/compositional transfer</x:v>
      </x:c>
      <x:c r="I102" s="8" t="str">
        <x:v>RP-X21</x:v>
      </x:c>
      <x:c r="J102" s="8" t="str">
        <x:v>front</x:v>
      </x:c>
      <x:c r="K102" s="8" t="n">
        <x:v>4</x:v>
      </x:c>
      <x:c r="L102" s="8" t="str">
        <x:v>Additional transfer — Additional held-out direction × green-pen/red-block pair (front)</x:v>
      </x:c>
      <x:c r="M102" s="8" t="n">
        <x:v>41</x:v>
      </x:c>
      <x:c r="N102" s="7" t="str">
        <x:v>Build the listed scene; target starts in the opposite sector. Save a first-frame filename.</x:v>
      </x:c>
      <x:c r="O102" s="7" t="str">
        <x:v>Unpaired primary-transfer coverage. Canonical wording is seen with other pairs; only the object-pair composition is held out.</x:v>
      </x:c>
      <x:c r="P102" s="7"/>
    </x:row>
    <x:row r="103" ht="64" customHeight="1">
      <x:c r="A103" s="8" t="str">
        <x:v>Not collected</x:v>
      </x:c>
      <x:c r="B103" s="8" t="n">
        <x:v>101</x:v>
      </x:c>
      <x:c r="C103" s="7" t="str">
        <x:v>Put the green pen on the table behind the red block.</x:v>
      </x:c>
      <x:c r="D103" s="7" t="str">
        <x:v>P1 red block at R2 (5 cm left of center) [REFERENCE]; P2 green pen 24 cm in front of P1 [TARGET START]; P3 pink marker 15 cm to the left of P1 [DISTRACTOR]; P4 blue block 15 cm to the right of P1 [DISTRACTOR]</x:v>
      </x:c>
      <x:c r="E103" s="8"/>
      <x:c r="F103" s="8" t="str">
        <x:v>green pen → 2–8 cm edge gap behind red block; centroid direction within ±45°</x:v>
      </x:c>
      <x:c r="G103" s="7"/>
      <x:c r="H103" s="8" t="str">
        <x:v>Concept/compositional transfer</x:v>
      </x:c>
      <x:c r="I103" s="8" t="str">
        <x:v>RP-X22</x:v>
      </x:c>
      <x:c r="J103" s="8" t="str">
        <x:v>behind</x:v>
      </x:c>
      <x:c r="K103" s="8" t="n">
        <x:v>4</x:v>
      </x:c>
      <x:c r="L103" s="8" t="str">
        <x:v>Additional transfer — Additional held-out direction × green-pen/red-block pair (behind)</x:v>
      </x:c>
      <x:c r="M103" s="8" t="n">
        <x:v>42</x:v>
      </x:c>
      <x:c r="N103" s="7" t="str">
        <x:v>Build the listed scene; target starts in the opposite sector. Save a first-frame filename.</x:v>
      </x:c>
      <x:c r="O103" s="7" t="str">
        <x:v>Unpaired primary-transfer coverage. Canonical wording is seen with other pairs; only the object-pair composition is held out.</x:v>
      </x:c>
      <x:c r="P103" s="7"/>
    </x:row>
    <x:row r="104" ht="64" customHeight="1">
      <x:c r="A104" s="8" t="str">
        <x:v>Not collected</x:v>
      </x:c>
      <x:c r="B104" s="8" t="n">
        <x:v>102</x:v>
      </x:c>
      <x:c r="C104" s="7" t="str">
        <x:v>Place the red block to the left of the green pen.</x:v>
      </x:c>
      <x:c r="D104" s="7" t="str">
        <x:v>P1 green pen at R3 (5 cm right of center) [REFERENCE]; P2 red block 18 cm to the right of P1 [TARGET START]; P3 pink marker 15 cm in front of P1 [DISTRACTOR]; P4 blue block 15 cm behind P1 [DISTRACTOR]</x:v>
      </x:c>
      <x:c r="E104" s="8"/>
      <x:c r="F104" s="8" t="str">
        <x:v>red block → 2–8 cm edge gap to the left of green pen; centroid direction within ±45°</x:v>
      </x:c>
      <x:c r="G104" s="7"/>
      <x:c r="H104" s="8" t="str">
        <x:v>Concept/compositional transfer</x:v>
      </x:c>
      <x:c r="I104" s="8" t="str">
        <x:v>RP-X23</x:v>
      </x:c>
      <x:c r="J104" s="8" t="str">
        <x:v>left</x:v>
      </x:c>
      <x:c r="K104" s="8" t="n">
        <x:v>4</x:v>
      </x:c>
      <x:c r="L104" s="8" t="str">
        <x:v>Additional transfer — Additional held-out direction × green-pen/red-block pair (left)</x:v>
      </x:c>
      <x:c r="M104" s="8" t="n">
        <x:v>43</x:v>
      </x:c>
      <x:c r="N104" s="7" t="str">
        <x:v>Build the listed scene; target starts in the opposite sector. Save a first-frame filename.</x:v>
      </x:c>
      <x:c r="O104" s="7" t="str">
        <x:v>Unpaired primary-transfer coverage. Canonical wording is seen with other pairs; only the object-pair composition is held out.</x:v>
      </x:c>
      <x:c r="P104" s="7"/>
    </x:row>
    <x:row r="105" ht="64" customHeight="1">
      <x:c r="A105" s="8" t="str">
        <x:v>Not collected</x:v>
      </x:c>
      <x:c r="B105" s="8" t="n">
        <x:v>103</x:v>
      </x:c>
      <x:c r="C105" s="7" t="str">
        <x:v>Place the green pen to the right of the red block.</x:v>
      </x:c>
      <x:c r="D105" s="7" t="str">
        <x:v>P1 red block at R4 (5 cm toward the robot from center) [REFERENCE]; P2 green pen 21 cm to the left of P1 [TARGET START]; P3 pink marker 15 cm in front of P1 [DISTRACTOR]; P4 blue block 15 cm behind P1 [DISTRACTOR]</x:v>
      </x:c>
      <x:c r="E105" s="8"/>
      <x:c r="F105" s="8" t="str">
        <x:v>green pen → 2–8 cm edge gap to the right of red block; centroid direction within ±45°</x:v>
      </x:c>
      <x:c r="G105" s="7"/>
      <x:c r="H105" s="8" t="str">
        <x:v>Concept/compositional transfer</x:v>
      </x:c>
      <x:c r="I105" s="8" t="str">
        <x:v>RP-X24</x:v>
      </x:c>
      <x:c r="J105" s="8" t="str">
        <x:v>right</x:v>
      </x:c>
      <x:c r="K105" s="8" t="n">
        <x:v>4</x:v>
      </x:c>
      <x:c r="L105" s="8" t="str">
        <x:v>Additional transfer — Additional held-out direction × green-pen/red-block pair (right)</x:v>
      </x:c>
      <x:c r="M105" s="8" t="n">
        <x:v>44</x:v>
      </x:c>
      <x:c r="N105" s="7" t="str">
        <x:v>Build the listed scene; target starts in the opposite sector. Save a first-frame filename.</x:v>
      </x:c>
      <x:c r="O105" s="7" t="str">
        <x:v>Unpaired primary-transfer coverage. Canonical wording is seen with other pairs; only the object-pair composition is held out.</x:v>
      </x:c>
      <x:c r="P105" s="7"/>
    </x:row>
    <x:row r="106" ht="64" customHeight="1">
      <x:c r="A106" s="8" t="str">
        <x:v>Not collected</x:v>
      </x:c>
      <x:c r="B106" s="8" t="n">
        <x:v>104</x:v>
      </x:c>
      <x:c r="C106" s="7" t="str">
        <x:v>Put the green pen on the table in front of the red block.</x:v>
      </x:c>
      <x:c r="D106" s="7" t="str">
        <x:v>P1 red block at R5 (5 cm away from the robot from center) [REFERENCE]; P2 green pen 24 cm behind P1 [TARGET START]; P3 pink marker 15 cm to the left of P1 [DISTRACTOR]; P4 blue block 15 cm to the right of P1 [DISTRACTOR]</x:v>
      </x:c>
      <x:c r="E106" s="8"/>
      <x:c r="F106" s="8" t="str">
        <x:v>green pen → 2–8 cm edge gap in front of red block; centroid direction within ±45°</x:v>
      </x:c>
      <x:c r="G106" s="7"/>
      <x:c r="H106" s="8" t="str">
        <x:v>Concept/compositional transfer</x:v>
      </x:c>
      <x:c r="I106" s="8" t="str">
        <x:v>RP-X25</x:v>
      </x:c>
      <x:c r="J106" s="8" t="str">
        <x:v>front</x:v>
      </x:c>
      <x:c r="K106" s="8" t="n">
        <x:v>4</x:v>
      </x:c>
      <x:c r="L106" s="8" t="str">
        <x:v>Additional transfer — Additional held-out direction × green-pen/red-block pair (front)</x:v>
      </x:c>
      <x:c r="M106" s="8" t="n">
        <x:v>45</x:v>
      </x:c>
      <x:c r="N106" s="7" t="str">
        <x:v>Build the listed scene; target starts in the opposite sector. Save a first-frame filename.</x:v>
      </x:c>
      <x:c r="O106" s="7" t="str">
        <x:v>Unpaired primary-transfer coverage. Canonical wording is seen with other pairs; only the object-pair composition is held out.</x:v>
      </x:c>
      <x:c r="P106" s="7"/>
    </x:row>
    <x:row r="107" ht="64" customHeight="1">
      <x:c r="A107" s="8" t="str">
        <x:v>Not collected</x:v>
      </x:c>
      <x:c r="B107" s="8" t="n">
        <x:v>105</x:v>
      </x:c>
      <x:c r="C107" s="7" t="str">
        <x:v>Place the red block behind the green pen.</x:v>
      </x:c>
      <x:c r="D107" s="7" t="str">
        <x:v>P1 green pen at R1 (table center) [REFERENCE]; P2 red block 18 cm in front of P1 [TARGET START]; P3 pink marker 15 cm to the left of P1 [DISTRACTOR]; P4 blue block 15 cm to the right of P1 [DISTRACTOR]</x:v>
      </x:c>
      <x:c r="E107" s="8"/>
      <x:c r="F107" s="8" t="str">
        <x:v>red block → 2–8 cm edge gap behind green pen; centroid direction within ±45°</x:v>
      </x:c>
      <x:c r="G107" s="7"/>
      <x:c r="H107" s="8" t="str">
        <x:v>Concept/compositional transfer</x:v>
      </x:c>
      <x:c r="I107" s="8" t="str">
        <x:v>RP-X26</x:v>
      </x:c>
      <x:c r="J107" s="8" t="str">
        <x:v>behind</x:v>
      </x:c>
      <x:c r="K107" s="8" t="n">
        <x:v>4</x:v>
      </x:c>
      <x:c r="L107" s="8" t="str">
        <x:v>Additional transfer — Additional held-out direction × green-pen/red-block pair (behind)</x:v>
      </x:c>
      <x:c r="M107" s="8" t="n">
        <x:v>46</x:v>
      </x:c>
      <x:c r="N107" s="7" t="str">
        <x:v>Build the listed scene; target starts in the opposite sector. Save a first-frame filename.</x:v>
      </x:c>
      <x:c r="O107" s="7" t="str">
        <x:v>Unpaired primary-transfer coverage. Canonical wording is seen with other pairs; only the object-pair composition is held out.</x:v>
      </x:c>
      <x:c r="P107" s="7"/>
    </x:row>
    <x:row r="108" ht="64" customHeight="1">
      <x:c r="A108" s="8" t="str">
        <x:v>Not collected</x:v>
      </x:c>
      <x:c r="B108" s="8" t="n">
        <x:v>106</x:v>
      </x:c>
      <x:c r="C108" s="7" t="str">
        <x:v>Place the green pen to the left of the red block.</x:v>
      </x:c>
      <x:c r="D108" s="7" t="str">
        <x:v>P1 red block at R2 (5 cm left of center) [REFERENCE]; P2 green pen 21 cm to the right of P1 [TARGET START]; P3 pink marker 15 cm in front of P1 [DISTRACTOR]; P4 blue block 15 cm behind P1 [DISTRACTOR]</x:v>
      </x:c>
      <x:c r="E108" s="8"/>
      <x:c r="F108" s="8" t="str">
        <x:v>green pen → 2–8 cm edge gap to the left of red block; centroid direction within ±45°</x:v>
      </x:c>
      <x:c r="G108" s="7"/>
      <x:c r="H108" s="8" t="str">
        <x:v>Concept/compositional transfer</x:v>
      </x:c>
      <x:c r="I108" s="8" t="str">
        <x:v>RP-X27</x:v>
      </x:c>
      <x:c r="J108" s="8" t="str">
        <x:v>left</x:v>
      </x:c>
      <x:c r="K108" s="8" t="n">
        <x:v>4</x:v>
      </x:c>
      <x:c r="L108" s="8" t="str">
        <x:v>Additional transfer — Additional held-out direction × green-pen/red-block pair (left)</x:v>
      </x:c>
      <x:c r="M108" s="8" t="n">
        <x:v>47</x:v>
      </x:c>
      <x:c r="N108" s="7" t="str">
        <x:v>Build the listed scene; target starts in the opposite sector. Save a first-frame filename.</x:v>
      </x:c>
      <x:c r="O108" s="7" t="str">
        <x:v>Unpaired primary-transfer coverage. Canonical wording is seen with other pairs; only the object-pair composition is held out.</x:v>
      </x:c>
      <x:c r="P108" s="7"/>
    </x:row>
    <x:row r="109" ht="64" customHeight="1">
      <x:c r="A109" s="8" t="str">
        <x:v>Not collected</x:v>
      </x:c>
      <x:c r="B109" s="8" t="n">
        <x:v>107</x:v>
      </x:c>
      <x:c r="C109" s="7" t="str">
        <x:v>Place the red block to the right of the green pen.</x:v>
      </x:c>
      <x:c r="D109" s="7" t="str">
        <x:v>P1 green pen at R3 (5 cm right of center) [REFERENCE]; P2 red block 24 cm to the left of P1 [TARGET START]; P3 pink marker 15 cm in front of P1 [DISTRACTOR]; P4 blue block 15 cm behind P1 [DISTRACTOR]</x:v>
      </x:c>
      <x:c r="E109" s="8"/>
      <x:c r="F109" s="8" t="str">
        <x:v>red block → 2–8 cm edge gap to the right of green pen; centroid direction within ±45°</x:v>
      </x:c>
      <x:c r="G109" s="7"/>
      <x:c r="H109" s="8" t="str">
        <x:v>Concept/compositional transfer</x:v>
      </x:c>
      <x:c r="I109" s="8" t="str">
        <x:v>RP-X28</x:v>
      </x:c>
      <x:c r="J109" s="8" t="str">
        <x:v>right</x:v>
      </x:c>
      <x:c r="K109" s="8" t="n">
        <x:v>4</x:v>
      </x:c>
      <x:c r="L109" s="8" t="str">
        <x:v>Additional transfer — Additional held-out direction × green-pen/red-block pair (right)</x:v>
      </x:c>
      <x:c r="M109" s="8" t="n">
        <x:v>48</x:v>
      </x:c>
      <x:c r="N109" s="7" t="str">
        <x:v>Build the listed scene; target starts in the opposite sector. Save a first-frame filename.</x:v>
      </x:c>
      <x:c r="O109" s="7" t="str">
        <x:v>Unpaired primary-transfer coverage. Canonical wording is seen with other pairs; only the object-pair composition is held out.</x:v>
      </x:c>
      <x:c r="P109" s="7"/>
    </x:row>
    <x:row r="110" ht="64" customHeight="1">
      <x:c r="A110" s="8" t="str">
        <x:v>Not collected</x:v>
      </x:c>
      <x:c r="B110" s="8" t="n">
        <x:v>108</x:v>
      </x:c>
      <x:c r="C110" s="7" t="str">
        <x:v>Place the red block in front of the green pen.</x:v>
      </x:c>
      <x:c r="D110" s="7" t="str">
        <x:v>P1 green pen at R4 (5 cm toward the robot from center) [REFERENCE]; P2 red block 18 cm behind P1 [TARGET START]; P3 pink marker 15 cm to the left of P1 [DISTRACTOR]; P4 blue block 15 cm to the right of P1 [DISTRACTOR]</x:v>
      </x:c>
      <x:c r="E110" s="8"/>
      <x:c r="F110" s="8" t="str">
        <x:v>red block → 2–8 cm edge gap in front of green pen; centroid direction within ±45°</x:v>
      </x:c>
      <x:c r="G110" s="7"/>
      <x:c r="H110" s="8" t="str">
        <x:v>Concept/compositional transfer</x:v>
      </x:c>
      <x:c r="I110" s="8" t="str">
        <x:v>RP-X29</x:v>
      </x:c>
      <x:c r="J110" s="8" t="str">
        <x:v>front</x:v>
      </x:c>
      <x:c r="K110" s="8" t="n">
        <x:v>4</x:v>
      </x:c>
      <x:c r="L110" s="8" t="str">
        <x:v>Additional transfer — Additional held-out direction × green-pen/red-block pair (front)</x:v>
      </x:c>
      <x:c r="M110" s="8" t="n">
        <x:v>49</x:v>
      </x:c>
      <x:c r="N110" s="7" t="str">
        <x:v>Build the listed scene; target starts in the opposite sector. Save a first-frame filename.</x:v>
      </x:c>
      <x:c r="O110" s="7" t="str">
        <x:v>Unpaired primary-transfer coverage. Canonical wording is seen with other pairs; only the object-pair composition is held out.</x:v>
      </x:c>
      <x:c r="P110" s="7"/>
    </x:row>
    <x:row r="111" ht="64" customHeight="1">
      <x:c r="A111" s="8" t="str">
        <x:v>Not collected</x:v>
      </x:c>
      <x:c r="B111" s="8" t="n">
        <x:v>109</x:v>
      </x:c>
      <x:c r="C111" s="7" t="str">
        <x:v>Move the green pen to the back of the red block.</x:v>
      </x:c>
      <x:c r="D111" s="7" t="str">
        <x:v>P1 red block at R5 (5 cm away from the robot from center) [REFERENCE]; P2 green pen 21 cm in front of P1 [TARGET START]; P3 pink marker 15 cm to the left of P1 [DISTRACTOR]; P4 blue block 15 cm to the right of P1 [DISTRACTOR]</x:v>
      </x:c>
      <x:c r="E111" s="8"/>
      <x:c r="F111" s="8" t="str">
        <x:v>green pen → 2–8 cm edge gap behind red block; centroid direction within ±45°</x:v>
      </x:c>
      <x:c r="G111" s="7"/>
      <x:c r="H111" s="8" t="str">
        <x:v>Concept/compositional transfer</x:v>
      </x:c>
      <x:c r="I111" s="8" t="str">
        <x:v>RP-X30</x:v>
      </x:c>
      <x:c r="J111" s="8" t="str">
        <x:v>behind</x:v>
      </x:c>
      <x:c r="K111" s="8" t="n">
        <x:v>4</x:v>
      </x:c>
      <x:c r="L111" s="8" t="str">
        <x:v>Additional transfer — Additional held-out direction × green-pen/red-block pair (behind)</x:v>
      </x:c>
      <x:c r="M111" s="8" t="n">
        <x:v>50</x:v>
      </x:c>
      <x:c r="N111" s="7" t="str">
        <x:v>Build the listed scene; target starts in the opposite sector. Save a first-frame filename.</x:v>
      </x:c>
      <x:c r="O111" s="7" t="str">
        <x:v>Unpaired primary-transfer coverage. Canonical wording is seen with other pairs; only the object-pair composition is held out.</x:v>
      </x:c>
      <x:c r="P111" s="7"/>
    </x:row>
    <x:row r="112" ht="64" customHeight="1">
      <x:c r="A112" s="9" t="str">
        <x:v>Not collected</x:v>
      </x:c>
      <x:c r="B112" s="9" t="n">
        <x:v>110</x:v>
      </x:c>
      <x:c r="C112" s="10" t="str">
        <x:v>Put the airplane toy with propellers beside the pink marker.</x:v>
      </x:c>
      <x:c r="D112" s="10" t="str">
        <x:v>P1 pink marker at R1 (table center) [REFERENCE]; P2 airplane toy with propellers 21 cm behind P1 [TARGET START]; P3 airplane toy without propellers 15 cm to the left of P1 [VISUAL COMPETITOR]</x:v>
      </x:c>
      <x:c r="E112" s="9"/>
      <x:c r="F112" s="9" t="str">
        <x:v>airplane toy with propellers → 2–8 cm edge gap from pink marker (any direction)</x:v>
      </x:c>
      <x:c r="G112" s="10"/>
      <x:c r="H112" s="9" t="str">
        <x:v>Airplane seen-relation baseline</x:v>
      </x:c>
      <x:c r="I112" s="9" t="str">
        <x:v>RP-AIR01</x:v>
      </x:c>
      <x:c r="J112" s="9" t="str">
        <x:v>near</x:v>
      </x:c>
      <x:c r="K112" s="9" t="n">
        <x:v>3</x:v>
      </x:c>
      <x:c r="L112" s="9" t="str">
        <x:v>1 — Airplane seen-relation baseline — Cross-task airplane as target; seen near relation</x:v>
      </x:c>
      <x:c r="M112" s="9" t="n">
        <x:v>51</x:v>
      </x:c>
      <x:c r="N112" s="10" t="str">
        <x:v>Build the listed scene with both airplane variants present. Save a first-frame filename before running the baseline.</x:v>
      </x:c>
      <x:c r="O112" s="10" t="str">
        <x:v>The airplanes are seen elsewhere in fine-tuning but absent from Relational Placement. The near baseline checks role-specific visual grounding and basic manipulation before directional composition.</x:v>
      </x:c>
      <x:c r="P112" s="10"/>
    </x:row>
    <x:row r="113" ht="64" customHeight="1">
      <x:c r="A113" s="8" t="str">
        <x:v>Not collected</x:v>
      </x:c>
      <x:c r="B113" s="8" t="n">
        <x:v>111</x:v>
      </x:c>
      <x:c r="C113" s="7" t="str">
        <x:v>Move the airplane toy with propellers to the front of the pink marker.</x:v>
      </x:c>
      <x:c r="D113" s="7" t="str">
        <x:v>P1 pink marker at R1 (table center) [REFERENCE]; P2 airplane toy with propellers 21 cm behind P1 [TARGET START]; P3 airplane toy without propellers 15 cm to the left of P1 [VISUAL COMPETITOR]</x:v>
      </x:c>
      <x:c r="E113" s="8" t="n">
        <x:v>110</x:v>
      </x:c>
      <x:c r="F113" s="8" t="str">
        <x:v>airplane toy with propellers → 2–8 cm edge gap in front of pink marker; centroid direction within ±45°</x:v>
      </x:c>
      <x:c r="G113" s="7"/>
      <x:c r="H113" s="8" t="str">
        <x:v>Airplane directional transfer</x:v>
      </x:c>
      <x:c r="I113" s="8" t="str">
        <x:v>RP-AIR01</x:v>
      </x:c>
      <x:c r="J113" s="8" t="str">
        <x:v>front</x:v>
      </x:c>
      <x:c r="K113" s="8" t="n">
        <x:v>3</x:v>
      </x:c>
      <x:c r="L113" s="8" t="str">
        <x:v>2 — Airplane directional transfer — Cross-task airplane as target; directional relation (front)</x:v>
      </x:c>
      <x:c r="M113" s="8" t="n">
        <x:v>51</x:v>
      </x:c>
      <x:c r="N113" s="7" t="str">
        <x:v>Reset only P2 to its marked start. Keep the scene exact; change only the prompt and expected placement.</x:v>
      </x:c>
      <x:c r="O113" s="7" t="str">
        <x:v>Cross-task visual-role composition. Analyze airplane-as-target and airplane-as-reference families separately; do not call this globally unseen-object generalization.</x:v>
      </x:c>
      <x:c r="P113" s="7"/>
    </x:row>
    <x:row r="114" ht="64" customHeight="1">
      <x:c r="A114" s="9" t="str">
        <x:v>Not collected</x:v>
      </x:c>
      <x:c r="B114" s="9" t="n">
        <x:v>112</x:v>
      </x:c>
      <x:c r="C114" s="10" t="str">
        <x:v>Move the airplane toy without propellers near the blue block.</x:v>
      </x:c>
      <x:c r="D114" s="10" t="str"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4" s="9"/>
      <x:c r="F114" s="9" t="str">
        <x:v>airplane toy without propellers → 2–8 cm edge gap from blue block (any direction)</x:v>
      </x:c>
      <x:c r="G114" s="10"/>
      <x:c r="H114" s="9" t="str">
        <x:v>Airplane seen-relation baseline</x:v>
      </x:c>
      <x:c r="I114" s="9" t="str">
        <x:v>RP-AIR02</x:v>
      </x:c>
      <x:c r="J114" s="9" t="str">
        <x:v>near</x:v>
      </x:c>
      <x:c r="K114" s="9" t="n">
        <x:v>4</x:v>
      </x:c>
      <x:c r="L114" s="9" t="str">
        <x:v>1 — Airplane seen-relation baseline — Cross-task airplane as target; seen near relation</x:v>
      </x:c>
      <x:c r="M114" s="9" t="n">
        <x:v>52</x:v>
      </x:c>
      <x:c r="N114" s="10" t="str">
        <x:v>Build the listed scene with both airplane variants present. Save a first-frame filename before running the baseline.</x:v>
      </x:c>
      <x:c r="O114" s="10" t="str">
        <x:v>The airplanes are seen elsewhere in fine-tuning but absent from Relational Placement. The near baseline checks role-specific visual grounding and basic manipulation before directional composition.</x:v>
      </x:c>
      <x:c r="P114" s="10"/>
    </x:row>
    <x:row r="115" ht="64" customHeight="1">
      <x:c r="A115" s="8" t="str">
        <x:v>Not collected</x:v>
      </x:c>
      <x:c r="B115" s="8" t="n">
        <x:v>113</x:v>
      </x:c>
      <x:c r="C115" s="7" t="str">
        <x:v>Put the airplane toy without propellers on the table behind the blue block.</x:v>
      </x:c>
      <x:c r="D115" s="7" t="str"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5" s="8" t="n">
        <x:v>112</x:v>
      </x:c>
      <x:c r="F115" s="8" t="str">
        <x:v>airplane toy without propellers → 2–8 cm edge gap behind blue block; centroid direction within ±45°</x:v>
      </x:c>
      <x:c r="G115" s="7"/>
      <x:c r="H115" s="8" t="str">
        <x:v>Airplane directional transfer</x:v>
      </x:c>
      <x:c r="I115" s="8" t="str">
        <x:v>RP-AIR02</x:v>
      </x:c>
      <x:c r="J115" s="8" t="str">
        <x:v>behind</x:v>
      </x:c>
      <x:c r="K115" s="8" t="n">
        <x:v>4</x:v>
      </x:c>
      <x:c r="L115" s="8" t="str">
        <x:v>2 — Airplane directional transfer — Cross-task airplane as target; directional relation (behind)</x:v>
      </x:c>
      <x:c r="M115" s="8" t="n">
        <x:v>52</x:v>
      </x:c>
      <x:c r="N115" s="7" t="str">
        <x:v>Reset only P2 to its marked start. Keep the scene exact; change only the prompt and expected placement.</x:v>
      </x:c>
      <x:c r="O115" s="7" t="str">
        <x:v>Cross-task visual-role composition. Analyze airplane-as-target and airplane-as-reference families separately; do not call this globally unseen-object generalization.</x:v>
      </x:c>
      <x:c r="P115" s="7"/>
    </x:row>
    <x:row r="116" ht="64" customHeight="1">
      <x:c r="A116" s="9" t="str">
        <x:v>Not collected</x:v>
      </x:c>
      <x:c r="B116" s="9" t="n">
        <x:v>114</x:v>
      </x:c>
      <x:c r="C116" s="10" t="str">
        <x:v>Place the airplane toy with propellers next to the green pen.</x:v>
      </x:c>
      <x:c r="D116" s="10" t="str">
        <x:v>P1 green pen at R3 (5 cm right of center) [REFERENCE]; P2 airplane toy with propellers 18 cm to the right of P1 [TARGET START]; P3 airplane toy without propellers 15 cm in front of P1 [VISUAL COMPETITOR]</x:v>
      </x:c>
      <x:c r="E116" s="9"/>
      <x:c r="F116" s="9" t="str">
        <x:v>airplane toy with propellers → 2–8 cm edge gap from green pen (any direction)</x:v>
      </x:c>
      <x:c r="G116" s="10"/>
      <x:c r="H116" s="9" t="str">
        <x:v>Airplane seen-relation baseline</x:v>
      </x:c>
      <x:c r="I116" s="9" t="str">
        <x:v>RP-AIR03</x:v>
      </x:c>
      <x:c r="J116" s="9" t="str">
        <x:v>near</x:v>
      </x:c>
      <x:c r="K116" s="9" t="n">
        <x:v>3</x:v>
      </x:c>
      <x:c r="L116" s="9" t="str">
        <x:v>1 — Airplane seen-relation baseline — Cross-task airplane as target; seen near relation</x:v>
      </x:c>
      <x:c r="M116" s="9" t="n">
        <x:v>53</x:v>
      </x:c>
      <x:c r="N116" s="10" t="str">
        <x:v>Build the listed scene with both airplane variants present. Save a first-frame filename before running the baseline.</x:v>
      </x:c>
      <x:c r="O116" s="10" t="str">
        <x:v>The airplanes are seen elsewhere in fine-tuning but absent from Relational Placement. The near baseline checks role-specific visual grounding and basic manipulation before directional composition.</x:v>
      </x:c>
      <x:c r="P116" s="10"/>
    </x:row>
    <x:row r="117" ht="64" customHeight="1">
      <x:c r="A117" s="8" t="str">
        <x:v>Not collected</x:v>
      </x:c>
      <x:c r="B117" s="8" t="n">
        <x:v>115</x:v>
      </x:c>
      <x:c r="C117" s="7" t="str">
        <x:v>Place the airplane toy with propellers to the left of the green pen.</x:v>
      </x:c>
      <x:c r="D117" s="7" t="str">
        <x:v>P1 green pen at R3 (5 cm right of center) [REFERENCE]; P2 airplane toy with propellers 18 cm to the right of P1 [TARGET START]; P3 airplane toy without propellers 15 cm in front of P1 [VISUAL COMPETITOR]</x:v>
      </x:c>
      <x:c r="E117" s="8" t="n">
        <x:v>114</x:v>
      </x:c>
      <x:c r="F117" s="8" t="str">
        <x:v>airplane toy with propellers → 2–8 cm edge gap to the left of green pen; centroid direction within ±45°</x:v>
      </x:c>
      <x:c r="G117" s="7"/>
      <x:c r="H117" s="8" t="str">
        <x:v>Airplane directional transfer</x:v>
      </x:c>
      <x:c r="I117" s="8" t="str">
        <x:v>RP-AIR03</x:v>
      </x:c>
      <x:c r="J117" s="8" t="str">
        <x:v>left</x:v>
      </x:c>
      <x:c r="K117" s="8" t="n">
        <x:v>3</x:v>
      </x:c>
      <x:c r="L117" s="8" t="str">
        <x:v>2 — Airplane directional transfer — Cross-task airplane as target; directional relation (left)</x:v>
      </x:c>
      <x:c r="M117" s="8" t="n">
        <x:v>53</x:v>
      </x:c>
      <x:c r="N117" s="7" t="str">
        <x:v>Reset only P2 to its marked start. Keep the scene exact; change only the prompt and expected placement.</x:v>
      </x:c>
      <x:c r="O117" s="7" t="str">
        <x:v>Cross-task visual-role composition. Analyze airplane-as-target and airplane-as-reference families separately; do not call this globally unseen-object generalization.</x:v>
      </x:c>
      <x:c r="P117" s="7"/>
    </x:row>
    <x:row r="118" ht="64" customHeight="1">
      <x:c r="A118" s="9" t="str">
        <x:v>Not collected</x:v>
      </x:c>
      <x:c r="B118" s="9" t="n">
        <x:v>116</x:v>
      </x:c>
      <x:c r="C118" s="10" t="str">
        <x:v>Put the airplane toy without propellers beside the pink marker.</x:v>
      </x:c>
      <x:c r="D118" s="10" t="str"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8" s="9"/>
      <x:c r="F118" s="9" t="str">
        <x:v>airplane toy without propellers → 2–8 cm edge gap from pink marker (any direction)</x:v>
      </x:c>
      <x:c r="G118" s="10"/>
      <x:c r="H118" s="9" t="str">
        <x:v>Airplane seen-relation baseline</x:v>
      </x:c>
      <x:c r="I118" s="9" t="str">
        <x:v>RP-AIR04</x:v>
      </x:c>
      <x:c r="J118" s="9" t="str">
        <x:v>near</x:v>
      </x:c>
      <x:c r="K118" s="9" t="n">
        <x:v>4</x:v>
      </x:c>
      <x:c r="L118" s="9" t="str">
        <x:v>1 — Airplane seen-relation baseline — Cross-task airplane as target; seen near relation</x:v>
      </x:c>
      <x:c r="M118" s="9" t="n">
        <x:v>54</x:v>
      </x:c>
      <x:c r="N118" s="10" t="str">
        <x:v>Build the listed scene with both airplane variants present. Save a first-frame filename before running the baseline.</x:v>
      </x:c>
      <x:c r="O118" s="10" t="str">
        <x:v>The airplanes are seen elsewhere in fine-tuning but absent from Relational Placement. The near baseline checks role-specific visual grounding and basic manipulation before directional composition.</x:v>
      </x:c>
      <x:c r="P118" s="10"/>
    </x:row>
    <x:row r="119" ht="64" customHeight="1">
      <x:c r="A119" s="8" t="str">
        <x:v>Not collected</x:v>
      </x:c>
      <x:c r="B119" s="8" t="n">
        <x:v>117</x:v>
      </x:c>
      <x:c r="C119" s="7" t="str">
        <x:v>Place the airplane toy without propellers to the right of the pink marker.</x:v>
      </x:c>
      <x:c r="D119" s="7" t="str"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9" s="8" t="n">
        <x:v>116</x:v>
      </x:c>
      <x:c r="F119" s="8" t="str">
        <x:v>airplane toy without propellers → 2–8 cm edge gap to the right of pink marker; centroid direction within ±45°</x:v>
      </x:c>
      <x:c r="G119" s="7"/>
      <x:c r="H119" s="8" t="str">
        <x:v>Airplane directional transfer</x:v>
      </x:c>
      <x:c r="I119" s="8" t="str">
        <x:v>RP-AIR04</x:v>
      </x:c>
      <x:c r="J119" s="8" t="str">
        <x:v>right</x:v>
      </x:c>
      <x:c r="K119" s="8" t="n">
        <x:v>4</x:v>
      </x:c>
      <x:c r="L119" s="8" t="str">
        <x:v>2 — Airplane directional transfer — Cross-task airplane as target; directional relation (right)</x:v>
      </x:c>
      <x:c r="M119" s="8" t="n">
        <x:v>54</x:v>
      </x:c>
      <x:c r="N119" s="7" t="str">
        <x:v>Reset only P2 to its marked start. Keep the scene exact; change only the prompt and expected placement.</x:v>
      </x:c>
      <x:c r="O119" s="7" t="str">
        <x:v>Cross-task visual-role composition. Analyze airplane-as-target and airplane-as-reference families separately; do not call this globally unseen-object generalization.</x:v>
      </x:c>
      <x:c r="P119" s="7"/>
    </x:row>
    <x:row r="120" ht="64" customHeight="1">
      <x:c r="A120" s="9" t="str">
        <x:v>Not collected</x:v>
      </x:c>
      <x:c r="B120" s="9" t="n">
        <x:v>118</x:v>
      </x:c>
      <x:c r="C120" s="10" t="str">
        <x:v>Move the airplane toy with propellers near the blue block.</x:v>
      </x:c>
      <x:c r="D120" s="10" t="str">
        <x:v>P1 blue block at R5 (5 cm away from the robot from center) [REFERENCE]; P2 airplane toy with propellers 24 cm behind P1 [TARGET START]; P3 airplane toy without propellers 15 cm to the left of P1 [VISUAL COMPETITOR]</x:v>
      </x:c>
      <x:c r="E120" s="9"/>
      <x:c r="F120" s="9" t="str">
        <x:v>airplane toy with propellers → 2–8 cm edge gap from blue block (any direction)</x:v>
      </x:c>
      <x:c r="G120" s="10"/>
      <x:c r="H120" s="9" t="str">
        <x:v>Airplane seen-relation baseline</x:v>
      </x:c>
      <x:c r="I120" s="9" t="str">
        <x:v>RP-AIR05</x:v>
      </x:c>
      <x:c r="J120" s="9" t="str">
        <x:v>near</x:v>
      </x:c>
      <x:c r="K120" s="9" t="n">
        <x:v>3</x:v>
      </x:c>
      <x:c r="L120" s="9" t="str">
        <x:v>1 — Airplane seen-relation baseline — Cross-task airplane as target; seen near relation</x:v>
      </x:c>
      <x:c r="M120" s="9" t="n">
        <x:v>55</x:v>
      </x:c>
      <x:c r="N120" s="10" t="str">
        <x:v>Build the listed scene with both airplane variants present. Save a first-frame filename before running the baseline.</x:v>
      </x:c>
      <x:c r="O120" s="10" t="str">
        <x:v>The airplanes are seen elsewhere in fine-tuning but absent from Relational Placement. The near baseline checks role-specific visual grounding and basic manipulation before directional composition.</x:v>
      </x:c>
      <x:c r="P120" s="10"/>
    </x:row>
    <x:row r="121" ht="64" customHeight="1">
      <x:c r="A121" s="8" t="str">
        <x:v>Not collected</x:v>
      </x:c>
      <x:c r="B121" s="8" t="n">
        <x:v>119</x:v>
      </x:c>
      <x:c r="C121" s="7" t="str">
        <x:v>Put the airplane toy with propellers on the table in front of the blue block.</x:v>
      </x:c>
      <x:c r="D121" s="7" t="str">
        <x:v>P1 blue block at R5 (5 cm away from the robot from center) [REFERENCE]; P2 airplane toy with propellers 24 cm behind P1 [TARGET START]; P3 airplane toy without propellers 15 cm to the left of P1 [VISUAL COMPETITOR]</x:v>
      </x:c>
      <x:c r="E121" s="8" t="n">
        <x:v>118</x:v>
      </x:c>
      <x:c r="F121" s="8" t="str">
        <x:v>airplane toy with propellers → 2–8 cm edge gap in front of blue block; centroid direction within ±45°</x:v>
      </x:c>
      <x:c r="G121" s="7"/>
      <x:c r="H121" s="8" t="str">
        <x:v>Airplane directional transfer</x:v>
      </x:c>
      <x:c r="I121" s="8" t="str">
        <x:v>RP-AIR05</x:v>
      </x:c>
      <x:c r="J121" s="8" t="str">
        <x:v>front</x:v>
      </x:c>
      <x:c r="K121" s="8" t="n">
        <x:v>3</x:v>
      </x:c>
      <x:c r="L121" s="8" t="str">
        <x:v>2 — Airplane directional transfer — Cross-task airplane as target; directional relation (front)</x:v>
      </x:c>
      <x:c r="M121" s="8" t="n">
        <x:v>55</x:v>
      </x:c>
      <x:c r="N121" s="7" t="str">
        <x:v>Reset only P2 to its marked start. Keep the scene exact; change only the prompt and expected placement.</x:v>
      </x:c>
      <x:c r="O121" s="7" t="str">
        <x:v>Cross-task visual-role composition. Analyze airplane-as-target and airplane-as-reference families separately; do not call this globally unseen-object generalization.</x:v>
      </x:c>
      <x:c r="P121" s="7"/>
    </x:row>
    <x:row r="122" ht="64" customHeight="1">
      <x:c r="A122" s="9" t="str">
        <x:v>Not collected</x:v>
      </x:c>
      <x:c r="B122" s="9" t="n">
        <x:v>120</x:v>
      </x:c>
      <x:c r="C122" s="10" t="str">
        <x:v>Place the pink marker next to the airplane toy without propellers.</x:v>
      </x:c>
      <x:c r="D122" s="10" t="str"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2" s="9"/>
      <x:c r="F122" s="9" t="str">
        <x:v>pink marker → 2–8 cm edge gap from airplane toy without propellers (any direction)</x:v>
      </x:c>
      <x:c r="G122" s="10"/>
      <x:c r="H122" s="9" t="str">
        <x:v>Airplane seen-relation baseline</x:v>
      </x:c>
      <x:c r="I122" s="9" t="str">
        <x:v>RP-AIR06</x:v>
      </x:c>
      <x:c r="J122" s="9" t="str">
        <x:v>near</x:v>
      </x:c>
      <x:c r="K122" s="9" t="n">
        <x:v>4</x:v>
      </x:c>
      <x:c r="L122" s="9" t="str">
        <x:v>1 — Airplane seen-relation baseline — Cross-task airplane as reference; seen near relation</x:v>
      </x:c>
      <x:c r="M122" s="9" t="n">
        <x:v>56</x:v>
      </x:c>
      <x:c r="N122" s="10" t="str">
        <x:v>Build the listed scene with both airplane variants present. Save a first-frame filename before running the baseline.</x:v>
      </x:c>
      <x:c r="O122" s="10" t="str">
        <x:v>The airplanes are seen elsewhere in fine-tuning but absent from Relational Placement. The near baseline checks role-specific visual grounding and basic manipulation before directional composition.</x:v>
      </x:c>
      <x:c r="P122" s="10"/>
    </x:row>
    <x:row r="123" ht="64" customHeight="1">
      <x:c r="A123" s="8" t="str">
        <x:v>Not collected</x:v>
      </x:c>
      <x:c r="B123" s="8" t="n">
        <x:v>121</x:v>
      </x:c>
      <x:c r="C123" s="7" t="str">
        <x:v>Place the pink marker behind the airplane toy without propellers.</x:v>
      </x:c>
      <x:c r="D123" s="7" t="str"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3" s="8" t="n">
        <x:v>120</x:v>
      </x:c>
      <x:c r="F123" s="8" t="str">
        <x:v>pink marker → 2–8 cm edge gap behind airplane toy without propellers; centroid direction within ±45°</x:v>
      </x:c>
      <x:c r="G123" s="7"/>
      <x:c r="H123" s="8" t="str">
        <x:v>Airplane directional transfer</x:v>
      </x:c>
      <x:c r="I123" s="8" t="str">
        <x:v>RP-AIR06</x:v>
      </x:c>
      <x:c r="J123" s="8" t="str">
        <x:v>behind</x:v>
      </x:c>
      <x:c r="K123" s="8" t="n">
        <x:v>4</x:v>
      </x:c>
      <x:c r="L123" s="8" t="str">
        <x:v>2 — Airplane directional transfer — Cross-task airplane as reference; directional relation (behind)</x:v>
      </x:c>
      <x:c r="M123" s="8" t="n">
        <x:v>56</x:v>
      </x:c>
      <x:c r="N123" s="7" t="str">
        <x:v>Reset only P2 to its marked start. Keep the scene exact; change only the prompt and expected placement.</x:v>
      </x:c>
      <x:c r="O123" s="7" t="str">
        <x:v>Cross-task visual-role composition. Analyze airplane-as-target and airplane-as-reference families separately; do not call this globally unseen-object generalization.</x:v>
      </x:c>
      <x:c r="P123" s="7"/>
    </x:row>
    <x:row r="124" ht="64" customHeight="1">
      <x:c r="A124" s="9" t="str">
        <x:v>Not collected</x:v>
      </x:c>
      <x:c r="B124" s="9" t="n">
        <x:v>122</x:v>
      </x:c>
      <x:c r="C124" s="10" t="str">
        <x:v>Put the blue block beside the airplane toy with propellers.</x:v>
      </x:c>
      <x:c r="D124" s="10" t="str">
        <x:v>P1 airplane toy with propellers at R2 (5 cm left of center) [REFERENCE]; P2 blue block 21 cm to the right of P1 [TARGET START]; P3 airplane toy without propellers 15 cm in front of P1 [VISUAL COMPETITOR]</x:v>
      </x:c>
      <x:c r="E124" s="9"/>
      <x:c r="F124" s="9" t="str">
        <x:v>blue block → 2–8 cm edge gap from airplane toy with propellers (any direction)</x:v>
      </x:c>
      <x:c r="G124" s="10"/>
      <x:c r="H124" s="9" t="str">
        <x:v>Airplane seen-relation baseline</x:v>
      </x:c>
      <x:c r="I124" s="9" t="str">
        <x:v>RP-AIR07</x:v>
      </x:c>
      <x:c r="J124" s="9" t="str">
        <x:v>near</x:v>
      </x:c>
      <x:c r="K124" s="9" t="n">
        <x:v>3</x:v>
      </x:c>
      <x:c r="L124" s="9" t="str">
        <x:v>1 — Airplane seen-relation baseline — Cross-task airplane as reference; seen near relation</x:v>
      </x:c>
      <x:c r="M124" s="9" t="n">
        <x:v>57</x:v>
      </x:c>
      <x:c r="N124" s="10" t="str">
        <x:v>Build the listed scene with both airplane variants present. Save a first-frame filename before running the baseline.</x:v>
      </x:c>
      <x:c r="O124" s="10" t="str">
        <x:v>The airplanes are seen elsewhere in fine-tuning but absent from Relational Placement. The near baseline checks role-specific visual grounding and basic manipulation before directional composition.</x:v>
      </x:c>
      <x:c r="P124" s="10"/>
    </x:row>
    <x:row r="125" ht="64" customHeight="1">
      <x:c r="A125" s="8" t="str">
        <x:v>Not collected</x:v>
      </x:c>
      <x:c r="B125" s="8" t="n">
        <x:v>123</x:v>
      </x:c>
      <x:c r="C125" s="7" t="str">
        <x:v>Place the blue block to the left of the airplane toy with propellers.</x:v>
      </x:c>
      <x:c r="D125" s="7" t="str">
        <x:v>P1 airplane toy with propellers at R2 (5 cm left of center) [REFERENCE]; P2 blue block 21 cm to the right of P1 [TARGET START]; P3 airplane toy without propellers 15 cm in front of P1 [VISUAL COMPETITOR]</x:v>
      </x:c>
      <x:c r="E125" s="8" t="n">
        <x:v>122</x:v>
      </x:c>
      <x:c r="F125" s="8" t="str">
        <x:v>blue block → 2–8 cm edge gap to the left of airplane toy with propellers; centroid direction within ±45°</x:v>
      </x:c>
      <x:c r="G125" s="7"/>
      <x:c r="H125" s="8" t="str">
        <x:v>Airplane directional transfer</x:v>
      </x:c>
      <x:c r="I125" s="8" t="str">
        <x:v>RP-AIR07</x:v>
      </x:c>
      <x:c r="J125" s="8" t="str">
        <x:v>left</x:v>
      </x:c>
      <x:c r="K125" s="8" t="n">
        <x:v>3</x:v>
      </x:c>
      <x:c r="L125" s="8" t="str">
        <x:v>2 — Airplane directional transfer — Cross-task airplane as reference; directional relation (left)</x:v>
      </x:c>
      <x:c r="M125" s="8" t="n">
        <x:v>57</x:v>
      </x:c>
      <x:c r="N125" s="7" t="str">
        <x:v>Reset only P2 to its marked start. Keep the scene exact; change only the prompt and expected placement.</x:v>
      </x:c>
      <x:c r="O125" s="7" t="str">
        <x:v>Cross-task visual-role composition. Analyze airplane-as-target and airplane-as-reference families separately; do not call this globally unseen-object generalization.</x:v>
      </x:c>
      <x:c r="P125" s="7"/>
    </x:row>
    <x:row r="126" ht="64" customHeight="1">
      <x:c r="A126" s="9" t="str">
        <x:v>Not collected</x:v>
      </x:c>
      <x:c r="B126" s="9" t="n">
        <x:v>124</x:v>
      </x:c>
      <x:c r="C126" s="10" t="str">
        <x:v>Move the green pen near the airplane toy without propellers.</x:v>
      </x:c>
      <x:c r="D126" s="10" t="str"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6" s="9"/>
      <x:c r="F126" s="9" t="str">
        <x:v>green pen → 2–8 cm edge gap from airplane toy without propellers (any direction)</x:v>
      </x:c>
      <x:c r="G126" s="10"/>
      <x:c r="H126" s="9" t="str">
        <x:v>Airplane seen-relation baseline</x:v>
      </x:c>
      <x:c r="I126" s="9" t="str">
        <x:v>RP-AIR08</x:v>
      </x:c>
      <x:c r="J126" s="9" t="str">
        <x:v>near</x:v>
      </x:c>
      <x:c r="K126" s="9" t="n">
        <x:v>4</x:v>
      </x:c>
      <x:c r="L126" s="9" t="str">
        <x:v>1 — Airplane seen-relation baseline — Cross-task airplane as reference; seen near relation</x:v>
      </x:c>
      <x:c r="M126" s="9" t="n">
        <x:v>58</x:v>
      </x:c>
      <x:c r="N126" s="10" t="str">
        <x:v>Build the listed scene with both airplane variants present. Save a first-frame filename before running the baseline.</x:v>
      </x:c>
      <x:c r="O126" s="10" t="str">
        <x:v>The airplanes are seen elsewhere in fine-tuning but absent from Relational Placement. The near baseline checks role-specific visual grounding and basic manipulation before directional composition.</x:v>
      </x:c>
      <x:c r="P126" s="10"/>
    </x:row>
    <x:row r="127" ht="64" customHeight="1">
      <x:c r="A127" s="8" t="str">
        <x:v>Not collected</x:v>
      </x:c>
      <x:c r="B127" s="8" t="n">
        <x:v>125</x:v>
      </x:c>
      <x:c r="C127" s="7" t="str">
        <x:v>Place the green pen to the right of the airplane toy without propellers.</x:v>
      </x:c>
      <x:c r="D127" s="7" t="str"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7" s="8" t="n">
        <x:v>124</x:v>
      </x:c>
      <x:c r="F127" s="8" t="str">
        <x:v>green pen → 2–8 cm edge gap to the right of airplane toy without propellers; centroid direction within ±45°</x:v>
      </x:c>
      <x:c r="G127" s="7"/>
      <x:c r="H127" s="8" t="str">
        <x:v>Airplane directional transfer</x:v>
      </x:c>
      <x:c r="I127" s="8" t="str">
        <x:v>RP-AIR08</x:v>
      </x:c>
      <x:c r="J127" s="8" t="str">
        <x:v>right</x:v>
      </x:c>
      <x:c r="K127" s="8" t="n">
        <x:v>4</x:v>
      </x:c>
      <x:c r="L127" s="8" t="str">
        <x:v>2 — Airplane directional transfer — Cross-task airplane as reference; directional relation (right)</x:v>
      </x:c>
      <x:c r="M127" s="8" t="n">
        <x:v>58</x:v>
      </x:c>
      <x:c r="N127" s="7" t="str">
        <x:v>Reset only P2 to its marked start. Keep the scene exact; change only the prompt and expected placement.</x:v>
      </x:c>
      <x:c r="O127" s="7" t="str">
        <x:v>Cross-task visual-role composition. Analyze airplane-as-target and airplane-as-reference families separately; do not call this globally unseen-object generalization.</x:v>
      </x:c>
      <x:c r="P127" s="7"/>
    </x:row>
    <x:row r="128" ht="64" customHeight="1">
      <x:c r="A128" s="9" t="str">
        <x:v>Not collected</x:v>
      </x:c>
      <x:c r="B128" s="9" t="n">
        <x:v>126</x:v>
      </x:c>
      <x:c r="C128" s="10" t="str">
        <x:v>Place the pink marker next to the airplane toy with propellers.</x:v>
      </x:c>
      <x:c r="D128" s="10" t="str">
        <x:v>P1 airplane toy with propellers at R4 (5 cm toward the robot from center) [REFERENCE]; P2 pink marker 18 cm behind P1 [TARGET START]; P3 airplane toy without propellers 15 cm to the left of P1 [VISUAL COMPETITOR]</x:v>
      </x:c>
      <x:c r="E128" s="9"/>
      <x:c r="F128" s="9" t="str">
        <x:v>pink marker → 2–8 cm edge gap from airplane toy with propellers (any direction)</x:v>
      </x:c>
      <x:c r="G128" s="10"/>
      <x:c r="H128" s="9" t="str">
        <x:v>Airplane seen-relation baseline</x:v>
      </x:c>
      <x:c r="I128" s="9" t="str">
        <x:v>RP-AIR09</x:v>
      </x:c>
      <x:c r="J128" s="9" t="str">
        <x:v>near</x:v>
      </x:c>
      <x:c r="K128" s="9" t="n">
        <x:v>3</x:v>
      </x:c>
      <x:c r="L128" s="9" t="str">
        <x:v>1 — Airplane seen-relation baseline — Cross-task airplane as reference; seen near relation</x:v>
      </x:c>
      <x:c r="M128" s="9" t="n">
        <x:v>59</x:v>
      </x:c>
      <x:c r="N128" s="10" t="str">
        <x:v>Build the listed scene with both airplane variants present. Save a first-frame filename before running the baseline.</x:v>
      </x:c>
      <x:c r="O128" s="10" t="str">
        <x:v>The airplanes are seen elsewhere in fine-tuning but absent from Relational Placement. The near baseline checks role-specific visual grounding and basic manipulation before directional composition.</x:v>
      </x:c>
      <x:c r="P128" s="10"/>
    </x:row>
    <x:row r="129" ht="64" customHeight="1">
      <x:c r="A129" s="8" t="str">
        <x:v>Not collected</x:v>
      </x:c>
      <x:c r="B129" s="8" t="n">
        <x:v>127</x:v>
      </x:c>
      <x:c r="C129" s="7" t="str">
        <x:v>Place the pink marker in front of the airplane toy with propellers.</x:v>
      </x:c>
      <x:c r="D129" s="7" t="str">
        <x:v>P1 airplane toy with propellers at R4 (5 cm toward the robot from center) [REFERENCE]; P2 pink marker 18 cm behind P1 [TARGET START]; P3 airplane toy without propellers 15 cm to the left of P1 [VISUAL COMPETITOR]</x:v>
      </x:c>
      <x:c r="E129" s="8" t="n">
        <x:v>126</x:v>
      </x:c>
      <x:c r="F129" s="8" t="str">
        <x:v>pink marker → 2–8 cm edge gap in front of airplane toy with propellers; centroid direction within ±45°</x:v>
      </x:c>
      <x:c r="G129" s="7"/>
      <x:c r="H129" s="8" t="str">
        <x:v>Airplane directional transfer</x:v>
      </x:c>
      <x:c r="I129" s="8" t="str">
        <x:v>RP-AIR09</x:v>
      </x:c>
      <x:c r="J129" s="8" t="str">
        <x:v>front</x:v>
      </x:c>
      <x:c r="K129" s="8" t="n">
        <x:v>3</x:v>
      </x:c>
      <x:c r="L129" s="8" t="str">
        <x:v>2 — Airplane directional transfer — Cross-task airplane as reference; directional relation (front)</x:v>
      </x:c>
      <x:c r="M129" s="8" t="n">
        <x:v>59</x:v>
      </x:c>
      <x:c r="N129" s="7" t="str">
        <x:v>Reset only P2 to its marked start. Keep the scene exact; change only the prompt and expected placement.</x:v>
      </x:c>
      <x:c r="O129" s="7" t="str">
        <x:v>Cross-task visual-role composition. Analyze airplane-as-target and airplane-as-reference families separately; do not call this globally unseen-object generalization.</x:v>
      </x:c>
      <x:c r="P129" s="7"/>
    </x:row>
    <x:row r="130" ht="64" customHeight="1">
      <x:c r="A130" s="9" t="str">
        <x:v>Not collected</x:v>
      </x:c>
      <x:c r="B130" s="9" t="n">
        <x:v>128</x:v>
      </x:c>
      <x:c r="C130" s="10" t="str">
        <x:v>Put the blue block beside the airplane toy without propellers.</x:v>
      </x:c>
      <x:c r="D130" s="10" t="str"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0" s="9"/>
      <x:c r="F130" s="9" t="str">
        <x:v>blue block → 2–8 cm edge gap from airplane toy without propellers (any direction)</x:v>
      </x:c>
      <x:c r="G130" s="10"/>
      <x:c r="H130" s="9" t="str">
        <x:v>Airplane seen-relation baseline</x:v>
      </x:c>
      <x:c r="I130" s="9" t="str">
        <x:v>RP-AIR10</x:v>
      </x:c>
      <x:c r="J130" s="9" t="str">
        <x:v>near</x:v>
      </x:c>
      <x:c r="K130" s="9" t="n">
        <x:v>4</x:v>
      </x:c>
      <x:c r="L130" s="9" t="str">
        <x:v>1 — Airplane seen-relation baseline — Cross-task airplane as reference; seen near relation</x:v>
      </x:c>
      <x:c r="M130" s="9" t="n">
        <x:v>60</x:v>
      </x:c>
      <x:c r="N130" s="10" t="str">
        <x:v>Build the listed scene with both airplane variants present. Save a first-frame filename before running the baseline.</x:v>
      </x:c>
      <x:c r="O130" s="10" t="str">
        <x:v>The airplanes are seen elsewhere in fine-tuning but absent from Relational Placement. The near baseline checks role-specific visual grounding and basic manipulation before directional composition.</x:v>
      </x:c>
      <x:c r="P130" s="10"/>
    </x:row>
    <x:row r="131" ht="64" customHeight="1">
      <x:c r="A131" s="8" t="str">
        <x:v>Not collected</x:v>
      </x:c>
      <x:c r="B131" s="8" t="n">
        <x:v>129</x:v>
      </x:c>
      <x:c r="C131" s="7" t="str">
        <x:v>Move the blue block to the back of the airplane toy without propellers.</x:v>
      </x:c>
      <x:c r="D131" s="7" t="str"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1" s="8" t="n">
        <x:v>128</x:v>
      </x:c>
      <x:c r="F131" s="8" t="str">
        <x:v>blue block → 2–8 cm edge gap behind airplane toy without propellers; centroid direction within ±45°</x:v>
      </x:c>
      <x:c r="G131" s="7"/>
      <x:c r="H131" s="8" t="str">
        <x:v>Airplane directional transfer</x:v>
      </x:c>
      <x:c r="I131" s="8" t="str">
        <x:v>RP-AIR10</x:v>
      </x:c>
      <x:c r="J131" s="8" t="str">
        <x:v>behind</x:v>
      </x:c>
      <x:c r="K131" s="8" t="n">
        <x:v>4</x:v>
      </x:c>
      <x:c r="L131" s="8" t="str">
        <x:v>2 — Airplane directional transfer — Cross-task airplane as reference; directional relation (behind)</x:v>
      </x:c>
      <x:c r="M131" s="8" t="n">
        <x:v>60</x:v>
      </x:c>
      <x:c r="N131" s="7" t="str">
        <x:v>Reset only P2 to its marked start. Keep the scene exact; change only the prompt and expected placement.</x:v>
      </x:c>
      <x:c r="O131" s="7" t="str">
        <x:v>Cross-task visual-role composition. Analyze airplane-as-target and airplane-as-reference families separately; do not call this globally unseen-object generalization.</x:v>
      </x:c>
      <x:c r="P131" s="7"/>
    </x:row>
  </x:sheetData>
  <x:conditionalFormatting sqref="A2:P13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31">
    <x:cfRule type="containsText" dxfId="2" priority="3" operator="containsText" text="Concept/compositional transfer"/>
    <x:cfRule type="containsText" dxfId="3" priority="4" operator="containsText" text="Exact-scene opposite-direction contrast"/>
    <x:cfRule type="containsText" dxfId="4" priority="5" operator="containsText" text="Matched manipulation control"/>
    <x:cfRule type="containsText" dxfId="5" priority="6" operator="containsText" text="Airplane"/>
    <x:cfRule type="containsText" dxfId="6" priority="7" operator="containsText" text="Language robustness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6ab37188cf413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2" hidden="0" customWidth="1"/>
    <x:col min="3" max="3" width="54" hidden="0" customWidth="1"/>
    <x:col min="4" max="4" width="58" hidden="0" customWidth="1"/>
    <x:col min="5" max="5" width="24" hidden="0" customWidth="1"/>
    <x:col min="6" max="6" width="46" hidden="0" customWidth="1"/>
    <x:col min="7" max="7" width="58" hidden="0" customWidth="1"/>
  </x:cols>
  <x:sheetData>
    <x:row r="1" ht="36" customHeight="1">
      <x:c r="A1" s="4" t="str">
        <x:v>Object</x:v>
      </x:c>
      <x:c r="B1" s="4" t="str">
        <x:v>Evaluation Role</x:v>
      </x:c>
      <x:c r="C1" s="4" t="str">
        <x:v>Relational Training Exposure</x:v>
      </x:c>
      <x:c r="D1" s="4" t="str">
        <x:v>Other-Task Exposure</x:v>
      </x:c>
      <x:c r="E1" s="4" t="str">
        <x:v>Visual Tier</x:v>
      </x:c>
      <x:c r="F1" s="4" t="str">
        <x:v>Evaluation Use</x:v>
      </x:c>
      <x:c r="G1" s="4" t="str">
        <x:v>Rule</x:v>
      </x:c>
    </x:row>
    <x:row r="2" ht="66" customHeight="1">
      <x:c r="A2" s="7" t="str">
        <x:v>green pen</x:v>
      </x:c>
      <x:c r="B2" s="7" t="str">
        <x:v>target and reference</x:v>
      </x:c>
      <x:c r="C2" s="7" t="str">
        <x:v>Seen in Relational Placement; one member of fully masked unordered pair</x:v>
      </x:c>
      <x:c r="D2" s="7" t="str">
        <x:v>Also appears in referential scenes</x:v>
      </x:c>
      <x:c r="E2" s="7" t="str">
        <x:v>Same-task known</x:v>
      </x:c>
      <x:c r="F2" s="7" t="str">
        <x:v>Primary held-out-pair endpoint</x:v>
      </x:c>
      <x:c r="G2" s="7" t="str">
        <x:v>Use exact physical instance from training</x:v>
      </x:c>
    </x:row>
    <x:row r="3" ht="66" customHeight="1">
      <x:c r="A3" s="7" t="str">
        <x:v>red block</x:v>
      </x:c>
      <x:c r="B3" s="7" t="str">
        <x:v>target and reference</x:v>
      </x:c>
      <x:c r="C3" s="7" t="str">
        <x:v>Seen in Relational Placement; one member of fully masked unordered pair</x:v>
      </x:c>
      <x:c r="D3" s="7" t="str">
        <x:v>Appears in other task scenes</x:v>
      </x:c>
      <x:c r="E3" s="7" t="str">
        <x:v>Same-task known</x:v>
      </x:c>
      <x:c r="F3" s="7" t="str">
        <x:v>Primary held-out-pair endpoint</x:v>
      </x:c>
      <x:c r="G3" s="7" t="str">
        <x:v>Use exact physical instance from training</x:v>
      </x:c>
    </x:row>
    <x:row r="4" ht="66" customHeight="1">
      <x:c r="A4" s="7" t="str">
        <x:v>pink marker</x:v>
      </x:c>
      <x:c r="B4" s="7" t="str">
        <x:v>directional target/reference and distractor</x:v>
      </x:c>
      <x:c r="C4" s="7" t="str">
        <x:v>Directional relations explicitly trained</x:v>
      </x:c>
      <x:c r="D4" s="7" t="str">
        <x:v>Seen in Relational Placement</x:v>
      </x:c>
      <x:c r="E4" s="7" t="str">
        <x:v>Same-task known</x:v>
      </x:c>
      <x:c r="F4" s="7" t="str">
        <x:v>Primary distractor; familiar visual anchor</x:v>
      </x:c>
      <x:c r="G4" s="7" t="str">
        <x:v>Keep outside target path and success zone</x:v>
      </x:c>
    </x:row>
    <x:row r="5" ht="66" customHeight="1">
      <x:c r="A5" s="7" t="str">
        <x:v>blue block</x:v>
      </x:c>
      <x:c r="B5" s="7" t="str">
        <x:v>directional target/reference and distractor</x:v>
      </x:c>
      <x:c r="C5" s="7" t="str">
        <x:v>Directional relations explicitly trained</x:v>
      </x:c>
      <x:c r="D5" s="7" t="str">
        <x:v>Seen in Relational Placement</x:v>
      </x:c>
      <x:c r="E5" s="7" t="str">
        <x:v>Same-task known</x:v>
      </x:c>
      <x:c r="F5" s="7" t="str">
        <x:v>Primary distractor; familiar visual anchor</x:v>
      </x:c>
      <x:c r="G5" s="7" t="str">
        <x:v>Keep outside target path and success zone</x:v>
      </x:c>
    </x:row>
    <x:row r="6" ht="66" customHeight="1">
      <x:c r="A6" s="11" t="str">
        <x:v>airplane toy with propellers</x:v>
      </x:c>
      <x:c r="B6" s="11" t="str">
        <x:v>visual-pilot target or reference</x:v>
      </x:c>
      <x:c r="C6" s="11" t="str">
        <x:v>Absent from all 200 Relational Placement episodes</x:v>
      </x:c>
      <x:c r="D6" s="11" t="str">
        <x:v>269 training scenes across Referential Disambiguation and Ordering; target in 75</x:v>
      </x:c>
      <x:c r="E6" s="11" t="str">
        <x:v>Cross-task seen</x:v>
      </x:c>
      <x:c r="F6" s="11" t="str">
        <x:v>Five prompted role families across target/reference split</x:v>
      </x:c>
      <x:c r="G6" s="11" t="str">
        <x:v>Always include the other airplane variant as a visual competitor</x:v>
      </x:c>
    </x:row>
    <x:row r="7" ht="66" customHeight="1">
      <x:c r="A7" s="11" t="str">
        <x:v>airplane toy without propellers</x:v>
      </x:c>
      <x:c r="B7" s="11" t="str">
        <x:v>visual-pilot target or reference</x:v>
      </x:c>
      <x:c r="C7" s="11" t="str">
        <x:v>Absent from all 200 Relational Placement episodes</x:v>
      </x:c>
      <x:c r="D7" s="11" t="str">
        <x:v>252 training scenes across Referential Disambiguation and Counting; target in 75</x:v>
      </x:c>
      <x:c r="E7" s="11" t="str">
        <x:v>Cross-task seen</x:v>
      </x:c>
      <x:c r="F7" s="11" t="str">
        <x:v>Five prompted role families across target/reference split</x:v>
      </x:c>
      <x:c r="G7" s="11" t="str">
        <x:v>Always include the other airplane variant as a visual competitor</x:v>
      </x:c>
    </x:row>
  </x:sheetData>
  <x:pageMargins left="0.7" right="0.7" top="0.75" bottom="0.75" header="0.3" footer="0.3"/>
  <x:tableParts count="1">
    <x:tablePart xmlns:r="http://schemas.openxmlformats.org/officeDocument/2006/relationships" r:id="R2a99f64f67f449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66" hidden="0" customWidth="1"/>
    <x:col min="3" max="3" width="80" hidden="0" customWidth="1"/>
  </x:cols>
  <x:sheetData>
    <x:row r="1" ht="36" customHeight="1">
      <x:c r="A1" s="4" t="str">
        <x:v>Training / Evaluation Feature</x:v>
      </x:c>
      <x:c r="B1" s="4" t="str">
        <x:v>Observed in planned Relational Placement training</x:v>
      </x:c>
      <x:c r="C1" s="4" t="str">
        <x:v>Evaluation consequence</x:v>
      </x:c>
    </x:row>
    <x:row r="2" ht="56" customHeight="1">
      <x:c r="A2" s="7" t="str">
        <x:v>Relational Placement episodes</x:v>
      </x:c>
      <x:c r="B2" s="7" t="n">
        <x:v>200</x:v>
      </x:c>
      <x:c r="C2" s="7" t="str">
        <x:v>Focused evaluation uses 130 trials per model.</x:v>
      </x:c>
    </x:row>
    <x:row r="3" ht="56" customHeight="1">
      <x:c r="A3" s="7" t="str">
        <x:v>Explicit directional demonstrations</x:v>
      </x:c>
      <x:c r="B3" s="7" t="n">
        <x:v>166</x:v>
      </x:c>
      <x:c r="C3" s="7" t="str">
        <x:v>Front, behind, left and right are grounded on non-held-out object pairs.</x:v>
      </x:c>
    </x:row>
    <x:row r="4" ht="56" customHeight="1">
      <x:c r="A4" s="7" t="str">
        <x:v>Masked unordered-pair demonstrations</x:v>
      </x:c>
      <x:c r="B4" s="7" t="n">
        <x:v>34</x:v>
      </x:c>
      <x:c r="C4" s="7" t="str">
        <x:v>All green-pen/red-block trajectories use near/next-to/beside language.</x:v>
      </x:c>
    </x:row>
    <x:row r="5" ht="56" customHeight="1">
      <x:c r="A5" s="7" t="str">
        <x:v>Held-out unit</x:v>
      </x:c>
      <x:c r="B5" s="7" t="str">
        <x:v>direction × unordered {green pen, red block} pair</x:v>
      </x:c>
      <x:c r="C5" s="7" t="str">
        <x:v>Evaluate both target/reference directions; never describe this as a new spatial word.</x:v>
      </x:c>
    </x:row>
    <x:row r="6" ht="56" customHeight="1">
      <x:c r="A6" s="7" t="str">
        <x:v>Directional prompt counts</x:v>
      </x:c>
      <x:c r="B6" s="7" t="str">
        <x:v>front 40; behind 43; left 40; right 43</x:v>
      </x:c>
      <x:c r="C6" s="7" t="str">
        <x:v>Canonical transfer prompts reuse trained relation wording.</x:v>
      </x:c>
    </x:row>
    <x:row r="7" ht="56" customHeight="1">
      <x:c r="A7" s="7" t="str">
        <x:v>Near/next-to/beside count</x:v>
      </x:c>
      <x:c r="B7" s="7" t="n">
        <x:v>34</x:v>
      </x:c>
      <x:c r="C7" s="7" t="str">
        <x:v>Matched control uses the exact object pair and a relation explicitly trained on that pair.</x:v>
      </x:c>
    </x:row>
    <x:row r="8" ht="56" customHeight="1">
      <x:c r="A8" s="7" t="str">
        <x:v>Airplane toy with propellers</x:v>
      </x:c>
      <x:c r="B8" s="7" t="str">
        <x:v>269 other-task scenes; target in 75; 0 Relational Placement scenes</x:v>
      </x:c>
      <x:c r="C8" s="7" t="str">
        <x:v>Cross-task visual transfer, not global visual novelty.</x:v>
      </x:c>
    </x:row>
    <x:row r="9" ht="56" customHeight="1">
      <x:c r="A9" s="7" t="str">
        <x:v>Airplane toy without propellers</x:v>
      </x:c>
      <x:c r="B9" s="7" t="str">
        <x:v>252 other-task scenes; target in 75; 0 Relational Placement scenes</x:v>
      </x:c>
      <x:c r="C9" s="7" t="str">
        <x:v>Cross-task visual transfer, not global visual novelty.</x:v>
      </x:c>
    </x:row>
    <x:row r="10" ht="56" customHeight="1">
      <x:c r="A10" s="7" t="str">
        <x:v>Airplane prompt descriptors</x:v>
      </x:c>
      <x:c r="B10" s="7" t="str">
        <x:v>with propellers / without propellers already used in fine-tuning</x:v>
      </x:c>
      <x:c r="C10" s="7" t="str">
        <x:v>Both variants stay in every visual scene so the descriptor matters.</x:v>
      </x:c>
    </x:row>
    <x:row r="11" ht="56" customHeight="1">
      <x:c r="A11" s="7" t="str">
        <x:v>Source workbook</x:v>
      </x:c>
      <x:c r="B11" s="7" t="str">
        <x:v>/Users/justintiensmith/Downloads/VLA_Reasoning_Dataset_Info_Planned_After_61_Recollections.xlsx</x:v>
      </x:c>
      <x:c r="C11" s="7" t="str">
        <x:v>Counts and prompt structure audited before generating this plan.</x:v>
      </x:c>
    </x:row>
  </x:sheetData>
  <x:pageMargins left="0.7" right="0.7" top="0.75" bottom="0.75" header="0.3" footer="0.3"/>
  <x:tableParts count="1">
    <x:tablePart xmlns:r="http://schemas.openxmlformats.org/officeDocument/2006/relationships" r:id="Rd37ad1de1ddc4a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38" customHeight="1">
      <x:c r="A1" s="19" t="str">
        <x:v>RELATIONAL PLACEMENT EVALUATION — FINAL PAIRED DESIGN (130 TRIALS)</x:v>
      </x:c>
      <x:c r="B1" s="19"/>
    </x:row>
    <x:row r="2" ht="62" customHeight="1">
      <x:c r="A2" s="20" t="str">
        <x:v>Rows 0-39</x:v>
      </x:c>
      <x:c r="B2" s="21" t="str">
        <x:v>Ten three-object families: canonical transfer → exact-scene opposite-direction contrast → transfer paraphrase → matched near control.</x:v>
      </x:c>
    </x:row>
    <x:row r="3" ht="62" customHeight="1">
      <x:c r="A3" s="20" t="str">
        <x:v>Rows 40-79</x:v>
      </x:c>
      <x:c r="B3" s="21" t="str">
        <x:v>Ten four-object families: canonical transfer → exact-scene opposite-direction contrast → matched near control → control paraphrase.</x:v>
      </x:c>
    </x:row>
    <x:row r="4" ht="62" customHeight="1">
      <x:c r="A4" s="20" t="str">
        <x:v>Rows 80-109</x:v>
      </x:c>
      <x:c r="B4" s="21" t="str">
        <x:v>Thirty additional canonical direction × green-pen/red-block transfer scenes.</x:v>
      </x:c>
    </x:row>
    <x:row r="5" ht="62" customHeight="1">
      <x:c r="A5" s="20" t="str">
        <x:v>Rows 110-129</x:v>
      </x:c>
      <x:c r="B5" s="21" t="str">
        <x:v>Ten exact-scene airplane pairs: near baseline → directional transfer. Five families use an airplane as target; five use an airplane as reference.</x:v>
      </x:c>
    </x:row>
    <x:row r="6" ht="62" customHeight="1">
      <x:c r="A6" s="20" t="str">
        <x:v>Opposite-direction contrast</x:v>
      </x:c>
      <x:c r="B6" s="21" t="str">
        <x:v>Twenty exact-scene trials reverse only front↔behind or left↔right while keeping target, reference, distractors and initial poses fixed. The required endpoint changes to the opposite sector.</x:v>
      </x:c>
    </x:row>
    <x:row r="7" ht="62" customHeight="1">
      <x:c r="A7" s="20" t="str">
        <x:v>Primary endpoint</x:v>
      </x:c>
      <x:c r="B7" s="21" t="str">
        <x:v>The 50 concept/compositional-transfer trials remain the primary endpoint. Episodes 0-109 also contain 20 opposite-direction contrasts, 20 matched controls, and 20 exact-scene language trials.</x:v>
      </x:c>
    </x:row>
    <x:row r="8" ht="62" customHeight="1">
      <x:c r="A8" s="20" t="str">
        <x:v>What is held out</x:v>
      </x:c>
      <x:c r="B8" s="21" t="str">
        <x:v>The spatial words are seen during training. The held-out unit is a directional relation composed with the unordered green-pen/red-block pair, in either target/reference direction.</x:v>
      </x:c>
    </x:row>
    <x:row r="9" ht="62" customHeight="1">
      <x:c r="A9" s="20" t="str">
        <x:v>Matched-control interpretation</x:v>
      </x:c>
      <x:c r="B9" s="21" t="str">
        <x:v>The exact same objects and start scene use near/next-to/beside, which was trained on this pair. This controls target/reference recognition and basic pick-place, but the allowed endpoint differs; call it a matched skill control, not an identical-trajectory control.</x:v>
      </x:c>
    </x:row>
    <x:row r="10" ht="62" customHeight="1">
      <x:c r="A10" s="20" t="str">
        <x:v>Language split</x:v>
      </x:c>
      <x:c r="B10" s="21" t="str">
        <x:v>Ten paraphrases reference exact transfer scenes and ten reference exact control scenes. Reset only the target and change only wording.</x:v>
      </x:c>
    </x:row>
    <x:row r="11" ht="62" customHeight="1">
      <x:c r="A11" s="20" t="str">
        <x:v>Coordinate frame</x:v>
      </x:c>
      <x:c r="B11" s="21" t="str">
        <x:v>Front = toward the robot; behind = away from the robot; left/right follow the fixed middle-camera/world view. Pre-register one axis convention and never mirror it between models.</x:v>
      </x:c>
    </x:row>
    <x:row r="12" ht="62" customHeight="1">
      <x:c r="A12" s="20" t="str">
        <x:v>Geometry</x:v>
      </x:c>
      <x:c r="B12" s="21" t="str">
        <x:v>P2 starts 18, 21 or 24 cm edge-to-edge in the opposite sector. P3/P4 sit 15 cm in orthogonal sectors and outside the target path. Use R1-R5 reference anchors; setup guides must not be visible at inference if absent from training.</x:v>
      </x:c>
    </x:row>
    <x:row r="13" ht="62" customHeight="1">
      <x:c r="A13" s="20" t="str">
        <x:v>Success region</x:v>
      </x:c>
      <x:c r="B13" s="21" t="str">
        <x:v>After release, target/reference edge gap is 2–8 cm. Directional trials also require the centroid vector within ±45° of the commanded axis. Near controls ignore angle. Reference displacement &gt;2 cm is failure.</x:v>
      </x:c>
    </x:row>
    <x:row r="14" ht="62" customHeight="1">
      <x:c r="A14" s="20" t="str">
        <x:v>Airplane interpretation</x:v>
      </x:c>
      <x:c r="B14" s="21" t="str">
        <x:v>Both airplanes are heavily seen in other tasks and manipulable as targets, but absent from Relational Placement. This is a cross-task visual-role pilot, not globally unseen-object generalization. Report airplane-as-target and airplane-as-reference separately.</x:v>
      </x:c>
    </x:row>
    <x:row r="15" ht="62" customHeight="1">
      <x:c r="A15" s="20" t="str">
        <x:v>Airplane feasibility</x:v>
      </x:c>
      <x:c r="B15" s="21" t="str">
        <x:v>Run uncounted setup dry-runs to confirm the 2–8 cm gap is collision-free for the airplanes. If the metric must change, pre-register one fixed airplane gap before evaluating any model and apply it to all models.</x:v>
      </x:c>
    </x:row>
    <x:row r="16" ht="62" customHeight="1">
      <x:c r="A16" s="20" t="str">
        <x:v>Cross-model reconstruction</x:v>
      </x:c>
      <x:c r="B16" s="21" t="str">
        <x:v>Use the same episode order, R/P marks, camera, lighting and horizon for every model. Save the first frame or filename for every scene; reference rows are adjacent for quick resets.</x:v>
      </x:c>
    </x:row>
    <x:row r="17" ht="62" customHeight="1">
      <x:c r="A17" s="20" t="str">
        <x:v>Failure rule</x:v>
      </x:c>
      <x:c r="B17" s="21" t="str">
        <x:v>Wrong target, wrong sector, gap outside tolerance, no release, timeout, or reference displacement &gt;2 cm = Failure. For setup/hardware faults, leave Not collected, note the fault, and repeat the same episode number.</x:v>
      </x:c>
    </x:row>
    <x:row r="18" ht="62" customHeight="1">
      <x:c r="A18" s="20" t="str">
        <x:v>Analysis</x:v>
      </x:c>
      <x:c r="B18" s="21" t="str">
        <x:v>Report exact Clopper–Pearson intervals for each condition and primary/opposite-direction pair consistency. For model comparisons use identical episode specifications and paired binary comparisons; cluster paired deltas by Scene Family. Treat the 10 airplane families as repetitions over one object class, not 10 independent novel categories.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14" hidden="0" customWidth="1"/>
    <x:col min="3" max="3" width="14" hidden="0" customWidth="1"/>
    <x:col min="4" max="4" width="14" hidden="0" customWidth="1"/>
    <x:col min="5" max="5" width="68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Plan'!$B$2:$B$131)</x:f>
        <x:v>130</x:v>
      </x:c>
      <x:c r="C2" s="7" t="n">
        <x:v>130</x:v>
      </x:c>
      <x:c r="D2" s="7" t="str">
        <x:f>IF(B2=C2,"PASS","CHECK")</x:f>
        <x:v>PASS</x:v>
      </x:c>
      <x:c r="E2" s="7"/>
    </x:row>
    <x:row r="3" ht="40" customHeight="1">
      <x:c r="A3" s="7" t="str">
        <x:v>Concept/compositional transfer</x:v>
      </x:c>
      <x:c r="B3" s="7" t="n">
        <x:f>COUNTIF('Evaluation Plan'!$H$2:$H$131,"Concept/compositional transfer")</x:f>
        <x:v>50</x:v>
      </x:c>
      <x:c r="C3" s="7" t="n">
        <x:v>50</x:v>
      </x:c>
      <x:c r="D3" s="7" t="str">
        <x:f>IF(B3=C3,"PASS","CHECK")</x:f>
        <x:v>PASS</x:v>
      </x:c>
      <x:c r="E3" s="7" t="str">
        <x:v>Primary endpoint</x:v>
      </x:c>
    </x:row>
    <x:row r="4" ht="40" customHeight="1">
      <x:c r="A4" s="7" t="str">
        <x:v>Exact-scene opposite-direction contrast</x:v>
      </x:c>
      <x:c r="B4" s="7" t="n">
        <x:f>COUNTIF('Evaluation Plan'!$H$2:$H$131,"Exact-scene opposite-direction contrast")</x:f>
        <x:v>20</x:v>
      </x:c>
      <x:c r="C4" s="7" t="n">
        <x:v>20</x:v>
      </x:c>
      <x:c r="D4" s="7" t="str">
        <x:f>IF(B4=C4,"PASS","CHECK")</x:f>
        <x:v>PASS</x:v>
      </x:c>
      <x:c r="E4" s="7" t="str">
        <x:v>Direction flips; endpoint reverses</x:v>
      </x:c>
    </x:row>
    <x:row r="5" ht="40" customHeight="1">
      <x:c r="A5" s="7" t="str">
        <x:v>Matched manipulation control</x:v>
      </x:c>
      <x:c r="B5" s="7" t="n">
        <x:f>COUNTIF('Evaluation Plan'!$H$2:$H$131,"Matched manipulation control")</x:f>
        <x:v>20</x:v>
      </x:c>
      <x:c r="C5" s="7" t="n">
        <x:v>20</x:v>
      </x:c>
      <x:c r="D5" s="7" t="str">
        <x:f>IF(B5=C5,"PASS","CHECK")</x:f>
        <x:v>PASS</x:v>
      </x:c>
      <x:c r="E5" s="7" t="str">
        <x:v>Exact scene and object pair; near relation</x:v>
      </x:c>
    </x:row>
    <x:row r="6" ht="40" customHeight="1">
      <x:c r="A6" s="7" t="str">
        <x:v>Language robustness</x:v>
      </x:c>
      <x:c r="B6" s="7" t="n">
        <x:f>COUNTIF('Evaluation Plan'!$H$2:$H$131,"Language robustness")</x:f>
        <x:v>20</x:v>
      </x:c>
      <x:c r="C6" s="7" t="n">
        <x:v>20</x:v>
      </x:c>
      <x:c r="D6" s="7" t="str">
        <x:f>IF(B6=C6,"PASS","CHECK")</x:f>
        <x:v>PASS</x:v>
      </x:c>
      <x:c r="E6" s="7" t="str">
        <x:v>10 transfer paraphrases + 10 control paraphrases</x:v>
      </x:c>
    </x:row>
    <x:row r="7" ht="40" customHeight="1">
      <x:c r="A7" s="7" t="str">
        <x:v>Airplane seen-relation baseline</x:v>
      </x:c>
      <x:c r="B7" s="7" t="n">
        <x:f>COUNTIF('Evaluation Plan'!$H$2:$H$131,"Airplane seen-relation baseline")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Airplane directional transfer</x:v>
      </x:c>
      <x:c r="B8" s="7" t="n">
        <x:f>COUNTIF('Evaluation Plan'!$H$2:$H$131,"Airplane directional transfer")</x:f>
        <x:v>10</x:v>
      </x:c>
      <x:c r="C8" s="7" t="n">
        <x:v>10</x:v>
      </x:c>
      <x:c r="D8" s="7" t="str">
        <x:f>IF(B8=C8,"PASS","CHECK")</x:f>
        <x:v>PASS</x:v>
      </x:c>
      <x:c r="E8" s="7"/>
    </x:row>
    <x:row r="9" ht="40" customHeight="1">
      <x:c r="A9" s="7" t="str">
        <x:v>Three-object paired transfer</x:v>
      </x:c>
      <x:c r="B9" s="7" t="n">
        <x:f>COUNTIFS('Evaluation Plan'!$H$2:$H$41,"Concept/compositional transfer",'Evaluation Plan'!$K$2:$K$41,3)</x:f>
        <x:v>10</x:v>
      </x:c>
      <x:c r="C9" s="7" t="n">
        <x:v>10</x:v>
      </x:c>
      <x:c r="D9" s="7" t="str">
        <x:f>IF(B9=C9,"PASS","CHECK")</x:f>
        <x:v>PASS</x:v>
      </x:c>
      <x:c r="E9" s="7" t="str">
        <x:v>Families RP-F01–RP-F10</x:v>
      </x:c>
    </x:row>
    <x:row r="10" ht="40" customHeight="1">
      <x:c r="A10" s="7" t="str">
        <x:v>Three-object opposite-direction contrasts</x:v>
      </x:c>
      <x:c r="B10" s="7" t="n">
        <x:f>COUNTIFS('Evaluation Plan'!$H$2:$H$41,"Exact-scene opposite-direction contrast",'Evaluation Plan'!$K$2:$K$41,3)</x:f>
        <x:v>10</x:v>
      </x:c>
      <x:c r="C10" s="7" t="n">
        <x:v>10</x:v>
      </x:c>
      <x:c r="D10" s="7" t="str">
        <x:f>IF(B10=C10,"PASS","CHECK")</x:f>
        <x:v>PASS</x:v>
      </x:c>
      <x:c r="E10" s="7" t="str">
        <x:v>Families RP-F01–RP-F10</x:v>
      </x:c>
    </x:row>
    <x:row r="11" ht="40" customHeight="1">
      <x:c r="A11" s="7" t="str">
        <x:v>Three-object paired controls</x:v>
      </x:c>
      <x:c r="B11" s="7" t="n">
        <x:f>COUNTIFS('Evaluation Plan'!$H$2:$H$41,"Matched manipulation control",'Evaluation Plan'!$K$2:$K$41,3)</x:f>
        <x:v>10</x:v>
      </x:c>
      <x:c r="C11" s="7" t="n">
        <x:v>10</x:v>
      </x:c>
      <x:c r="D11" s="7" t="str">
        <x:f>IF(B11=C11,"PASS","CHECK")</x:f>
        <x:v>PASS</x:v>
      </x:c>
      <x:c r="E11" s="7" t="str">
        <x:v>Families RP-F01–RP-F10</x:v>
      </x:c>
    </x:row>
    <x:row r="12" ht="40" customHeight="1">
      <x:c r="A12" s="7" t="str">
        <x:v>Four-object paired transfer</x:v>
      </x:c>
      <x:c r="B12" s="7" t="n">
        <x:f>COUNTIFS('Evaluation Plan'!$H$42:$H$81,"Concept/compositional transfer",'Evaluation Plan'!$K$42:$K$81,4)</x:f>
        <x:v>10</x:v>
      </x:c>
      <x:c r="C12" s="7" t="n">
        <x:v>10</x:v>
      </x:c>
      <x:c r="D12" s="7" t="str">
        <x:f>IF(B12=C12,"PASS","CHECK")</x:f>
        <x:v>PASS</x:v>
      </x:c>
      <x:c r="E12" s="7" t="str">
        <x:v>Families RP-F11–RP-F20</x:v>
      </x:c>
    </x:row>
    <x:row r="13" ht="40" customHeight="1">
      <x:c r="A13" s="7" t="str">
        <x:v>Four-object opposite-direction contrasts</x:v>
      </x:c>
      <x:c r="B13" s="7" t="n">
        <x:f>COUNTIFS('Evaluation Plan'!$H$42:$H$81,"Exact-scene opposite-direction contrast",'Evaluation Plan'!$K$42:$K$81,4)</x:f>
        <x:v>10</x:v>
      </x:c>
      <x:c r="C13" s="7" t="n">
        <x:v>10</x:v>
      </x:c>
      <x:c r="D13" s="7" t="str">
        <x:f>IF(B13=C13,"PASS","CHECK")</x:f>
        <x:v>PASS</x:v>
      </x:c>
      <x:c r="E13" s="7" t="str">
        <x:v>Families RP-F11–RP-F20</x:v>
      </x:c>
    </x:row>
    <x:row r="14" ht="40" customHeight="1">
      <x:c r="A14" s="7" t="str">
        <x:v>Four-object paired controls</x:v>
      </x:c>
      <x:c r="B14" s="7" t="n">
        <x:f>COUNTIFS('Evaluation Plan'!$H$42:$H$81,"Matched manipulation control",'Evaluation Plan'!$K$42:$K$81,4)</x:f>
        <x:v>10</x:v>
      </x:c>
      <x:c r="C14" s="7" t="n">
        <x:v>10</x:v>
      </x:c>
      <x:c r="D14" s="7" t="str">
        <x:f>IF(B14=C14,"PASS","CHECK")</x:f>
        <x:v>PASS</x:v>
      </x:c>
      <x:c r="E14" s="7" t="str">
        <x:v>Families RP-F11–RP-F20</x:v>
      </x:c>
    </x:row>
    <x:row r="15" ht="40" customHeight="1">
      <x:c r="A15" s="7" t="str">
        <x:v>Transfer-scene paraphrases</x:v>
      </x:c>
      <x:c r="B15" s="7" t="n">
        <x:f>COUNTIF('Evaluation Plan'!$L$2:$L$131,"3 — Exact-scene transfer paraphrase — Paraphrase of concept/compositional-transfer prompt")</x:f>
        <x:v>10</x:v>
      </x:c>
      <x:c r="C15" s="7" t="n">
        <x:v>10</x:v>
      </x:c>
      <x:c r="D15" s="7" t="str">
        <x:f>IF(B15=C15,"PASS","CHECK")</x:f>
        <x:v>PASS</x:v>
      </x:c>
      <x:c r="E15" s="7" t="str">
        <x:v>Exact transfer scenes</x:v>
      </x:c>
    </x:row>
    <x:row r="16" ht="40" customHeight="1">
      <x:c r="A16" s="7" t="str">
        <x:v>Control-scene paraphrases</x:v>
      </x:c>
      <x:c r="B16" s="7" t="n">
        <x:f>COUNTIF('Evaluation Plan'!$L$2:$L$131,"4 — Exact-scene control paraphrase — Paraphrase of matched-control prompt")</x:f>
        <x:v>10</x:v>
      </x:c>
      <x:c r="C16" s="7" t="n">
        <x:v>10</x:v>
      </x:c>
      <x:c r="D16" s="7" t="str">
        <x:f>IF(B16=C16,"PASS","CHECK")</x:f>
        <x:v>PASS</x:v>
      </x:c>
      <x:c r="E16" s="7" t="str">
        <x:v>Exact control scenes</x:v>
      </x:c>
    </x:row>
    <x:row r="17" ht="40" customHeight="1">
      <x:c r="A17" s="7" t="str">
        <x:v>Primary transfer: front</x:v>
      </x:c>
      <x:c r="B17" s="7" t="n">
        <x:f>COUNTIFS('Evaluation Plan'!$H$2:$H$131,"Concept/compositional transfer",'Evaluation Plan'!$J$2:$J$131,"front")</x:f>
        <x:v>13</x:v>
      </x:c>
      <x:c r="C17" s="7" t="n">
        <x:v>13</x:v>
      </x:c>
      <x:c r="D17" s="7" t="str">
        <x:f>IF(B17=C17,"PASS","CHECK")</x:f>
        <x:v>PASS</x:v>
      </x:c>
      <x:c r="E17" s="7"/>
    </x:row>
    <x:row r="18" ht="40" customHeight="1">
      <x:c r="A18" s="7" t="str">
        <x:v>Primary transfer: behind</x:v>
      </x:c>
      <x:c r="B18" s="7" t="n">
        <x:f>COUNTIFS('Evaluation Plan'!$H$2:$H$131,"Concept/compositional transfer",'Evaluation Plan'!$J$2:$J$131,"behind")</x:f>
        <x:v>13</x:v>
      </x:c>
      <x:c r="C18" s="7" t="n">
        <x:v>13</x:v>
      </x:c>
      <x:c r="D18" s="7" t="str">
        <x:f>IF(B18=C18,"PASS","CHECK")</x:f>
        <x:v>PASS</x:v>
      </x:c>
      <x:c r="E18" s="7"/>
    </x:row>
    <x:row r="19" ht="40" customHeight="1">
      <x:c r="A19" s="7" t="str">
        <x:v>Primary transfer: left</x:v>
      </x:c>
      <x:c r="B19" s="7" t="n">
        <x:f>COUNTIFS('Evaluation Plan'!$H$2:$H$131,"Concept/compositional transfer",'Evaluation Plan'!$J$2:$J$131,"left")</x:f>
        <x:v>12</x:v>
      </x:c>
      <x:c r="C19" s="7" t="n">
        <x:v>12</x:v>
      </x:c>
      <x:c r="D19" s="7" t="str">
        <x:f>IF(B19=C19,"PASS","CHECK")</x:f>
        <x:v>PASS</x:v>
      </x:c>
      <x:c r="E19" s="7"/>
    </x:row>
    <x:row r="20" ht="40" customHeight="1">
      <x:c r="A20" s="7" t="str">
        <x:v>Primary transfer: right</x:v>
      </x:c>
      <x:c r="B20" s="7" t="n">
        <x:f>COUNTIFS('Evaluation Plan'!$H$2:$H$131,"Concept/compositional transfer",'Evaluation Plan'!$J$2:$J$131,"right")</x:f>
        <x:v>12</x:v>
      </x:c>
      <x:c r="C20" s="7" t="n">
        <x:v>12</x:v>
      </x:c>
      <x:c r="D20" s="7" t="str">
        <x:f>IF(B20=C20,"PASS","CHECK")</x:f>
        <x:v>PASS</x:v>
      </x:c>
      <x:c r="E20" s="7"/>
    </x:row>
    <x:row r="21" ht="40" customHeight="1">
      <x:c r="A21" s="7" t="str">
        <x:v>Opposite-direction contrast: front</x:v>
      </x:c>
      <x:c r="B21" s="7" t="n">
        <x:f>COUNTIFS('Evaluation Plan'!$H$2:$H$131,"Exact-scene opposite-direction contrast",'Evaluation Plan'!$J$2:$J$131,"front")</x:f>
        <x:v>5</x:v>
      </x:c>
      <x:c r="C21" s="7" t="n">
        <x:v>5</x:v>
      </x:c>
      <x:c r="D21" s="7" t="str">
        <x:f>IF(B21=C21,"PASS","CHECK")</x:f>
        <x:v>PASS</x:v>
      </x:c>
      <x:c r="E21" s="7"/>
    </x:row>
    <x:row r="22" ht="40" customHeight="1">
      <x:c r="A22" s="7" t="str">
        <x:v>Opposite-direction contrast: behind</x:v>
      </x:c>
      <x:c r="B22" s="7" t="n">
        <x:f>COUNTIFS('Evaluation Plan'!$H$2:$H$131,"Exact-scene opposite-direction contrast",'Evaluation Plan'!$J$2:$J$131,"behind")</x:f>
        <x:v>5</x:v>
      </x:c>
      <x:c r="C22" s="7" t="n">
        <x:v>5</x:v>
      </x:c>
      <x:c r="D22" s="7" t="str">
        <x:f>IF(B22=C22,"PASS","CHECK")</x:f>
        <x:v>PASS</x:v>
      </x:c>
      <x:c r="E22" s="7"/>
    </x:row>
    <x:row r="23" ht="40" customHeight="1">
      <x:c r="A23" s="7" t="str">
        <x:v>Opposite-direction contrast: left</x:v>
      </x:c>
      <x:c r="B23" s="7" t="n">
        <x:f>COUNTIFS('Evaluation Plan'!$H$2:$H$131,"Exact-scene opposite-direction contrast",'Evaluation Plan'!$J$2:$J$131,"left")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40" customHeight="1">
      <x:c r="A24" s="7" t="str">
        <x:v>Opposite-direction contrast: right</x:v>
      </x:c>
      <x:c r="B24" s="7" t="n">
        <x:f>COUNTIFS('Evaluation Plan'!$H$2:$H$131,"Exact-scene opposite-direction contrast",'Evaluation Plan'!$J$2:$J$131,"right")</x:f>
        <x:v>5</x:v>
      </x:c>
      <x:c r="C24" s="7" t="n">
        <x:v>5</x:v>
      </x:c>
      <x:c r="D24" s="7" t="str">
        <x:f>IF(B24=C24,"PASS","CHECK")</x:f>
        <x:v>PASS</x:v>
      </x:c>
      <x:c r="E24" s="7"/>
    </x:row>
    <x:row r="25" ht="40" customHeight="1">
      <x:c r="A25" s="7" t="str">
        <x:v>Primary transfer: green pen target</x:v>
      </x:c>
      <x:c r="B25" s="7" t="n">
        <x:f>COUNTIFS('Evaluation Plan'!$H$2:$H$131,"Concept/compositional transfer",'Evaluation Plan'!$F$2:$F$131,"green pen → 2–8 cm edge gap in front of red block; centroid direction within ±45°")+COUNTIFS('Evaluation Plan'!$H$2:$H$131,"Concept/compositional transfer",'Evaluation Plan'!$F$2:$F$131,"green pen → 2–8 cm edge gap behind red block; centroid direction within ±45°")+COUNTIFS('Evaluation Plan'!$H$2:$H$131,"Concept/compositional transfer",'Evaluation Plan'!$F$2:$F$131,"green pen → 2–8 cm edge gap to the left of red block; centroid direction within ±45°")+COUNTIFS('Evaluation Plan'!$H$2:$H$131,"Concept/compositional transfer",'Evaluation Plan'!$F$2:$F$131,"green pen → 2–8 cm edge gap to the right of red block; centroid direction within ±45°")</x:f>
        <x:v>25</x:v>
      </x:c>
      <x:c r="C25" s="7" t="n">
        <x:v>25</x:v>
      </x:c>
      <x:c r="D25" s="7" t="str">
        <x:f>IF(B25=C25,"PASS","CHECK")</x:f>
        <x:v>PASS</x:v>
      </x:c>
      <x:c r="E25" s="7"/>
    </x:row>
    <x:row r="26" ht="40" customHeight="1">
      <x:c r="A26" s="7" t="str">
        <x:v>Primary transfer: red block target</x:v>
      </x:c>
      <x:c r="B26" s="7" t="n">
        <x:f>COUNTIFS('Evaluation Plan'!$H$2:$H$131,"Concept/compositional transfer",'Evaluation Plan'!$F$2:$F$131,"red block → 2–8 cm edge gap in front of green pen; centroid direction within ±45°")+COUNTIFS('Evaluation Plan'!$H$2:$H$131,"Concept/compositional transfer",'Evaluation Plan'!$F$2:$F$131,"red block → 2–8 cm edge gap behind green pen; centroid direction within ±45°")+COUNTIFS('Evaluation Plan'!$H$2:$H$131,"Concept/compositional transfer",'Evaluation Plan'!$F$2:$F$131,"red block → 2–8 cm edge gap to the left of green pen; centroid direction within ±45°")+COUNTIFS('Evaluation Plan'!$H$2:$H$131,"Concept/compositional transfer",'Evaluation Plan'!$F$2:$F$131,"red block → 2–8 cm edge gap to the right of green pen; centroid direction within ±45°")</x:f>
        <x:v>25</x:v>
      </x:c>
      <x:c r="C26" s="7" t="n">
        <x:v>25</x:v>
      </x:c>
      <x:c r="D26" s="7" t="str">
        <x:f>IF(B26=C26,"PASS","CHECK")</x:f>
        <x:v>PASS</x:v>
      </x:c>
      <x:c r="E26" s="7"/>
    </x:row>
    <x:row r="27" ht="40" customHeight="1">
      <x:c r="A27" s="7" t="str">
        <x:v>Opposite-direction contrast: green pen target</x:v>
      </x:c>
      <x:c r="B27" s="7" t="n">
        <x:f>COUNTIFS('Evaluation Plan'!$H$2:$H$131,"Exact-scene opposite-direction contrast",'Evaluation Plan'!$F$2:$F$131,"green pen → 2–8 cm edge gap in front of red block; centroid direction within ±45°")+COUNTIFS('Evaluation Plan'!$H$2:$H$131,"Exact-scene opposite-direction contrast",'Evaluation Plan'!$F$2:$F$131,"green pen → 2–8 cm edge gap behind red block; centroid direction within ±45°")+COUNTIFS('Evaluation Plan'!$H$2:$H$131,"Exact-scene opposite-direction contrast",'Evaluation Plan'!$F$2:$F$131,"green pen → 2–8 cm edge gap to the left of red block; centroid direction within ±45°")+COUNTIFS('Evaluation Plan'!$H$2:$H$131,"Exact-scene opposite-direction contrast",'Evaluation Plan'!$F$2:$F$131,"green pen → 2–8 cm edge gap to the right of red block; centroid direction within ±45°")</x:f>
        <x:v>10</x:v>
      </x:c>
      <x:c r="C27" s="7" t="n">
        <x:v>10</x:v>
      </x:c>
      <x:c r="D27" s="7" t="str">
        <x:f>IF(B27=C27,"PASS","CHECK")</x:f>
        <x:v>PASS</x:v>
      </x:c>
      <x:c r="E27" s="7"/>
    </x:row>
    <x:row r="28" ht="40" customHeight="1">
      <x:c r="A28" s="7" t="str">
        <x:v>Opposite-direction contrast: red block target</x:v>
      </x:c>
      <x:c r="B28" s="7" t="n">
        <x:f>COUNTIFS('Evaluation Plan'!$H$2:$H$131,"Exact-scene opposite-direction contrast",'Evaluation Plan'!$F$2:$F$131,"red block → 2–8 cm edge gap in front of green pen; centroid direction within ±45°")+COUNTIFS('Evaluation Plan'!$H$2:$H$131,"Exact-scene opposite-direction contrast",'Evaluation Plan'!$F$2:$F$131,"red block → 2–8 cm edge gap behind green pen; centroid direction within ±45°")+COUNTIFS('Evaluation Plan'!$H$2:$H$131,"Exact-scene opposite-direction contrast",'Evaluation Plan'!$F$2:$F$131,"red block → 2–8 cm edge gap to the left of green pen; centroid direction within ±45°")+COUNTIFS('Evaluation Plan'!$H$2:$H$131,"Exact-scene opposite-direction contrast",'Evaluation Plan'!$F$2:$F$131,"red block → 2–8 cm edge gap to the right of green pen; centroid direction within ±45°")</x:f>
        <x:v>10</x:v>
      </x:c>
      <x:c r="C28" s="7" t="n">
        <x:v>10</x:v>
      </x:c>
      <x:c r="D28" s="7" t="str">
        <x:f>IF(B28=C28,"PASS","CHECK")</x:f>
        <x:v>PASS</x:v>
      </x:c>
      <x:c r="E28" s="7"/>
    </x:row>
    <x:row r="29" ht="40" customHeight="1">
      <x:c r="A29" s="7" t="str">
        <x:v>Airplane directional: airplane target</x:v>
      </x:c>
      <x:c r="B29" s="7" t="n">
        <x:f>COUNTIF('Evaluation Plan'!$L$2:$L$131,"2 — Airplane directional transfer — Cross-task airplane as target; directional relation (front)")+COUNTIF('Evaluation Plan'!$L$2:$L$131,"2 — Airplane directional transfer — Cross-task airplane as target; directional relation (behind)")+COUNTIF('Evaluation Plan'!$L$2:$L$131,"2 — Airplane directional transfer — Cross-task airplane as target; directional relation (left)")+COUNTIF('Evaluation Plan'!$L$2:$L$131,"2 — Airplane directional transfer — Cross-task airplane as target; directional relation (right)")</x:f>
        <x:v>5</x:v>
      </x:c>
      <x:c r="C29" s="7" t="n">
        <x:v>5</x:v>
      </x:c>
      <x:c r="D29" s="7" t="str">
        <x:f>IF(B29=C29,"PASS","CHECK")</x:f>
        <x:v>PASS</x:v>
      </x:c>
      <x:c r="E29" s="7"/>
    </x:row>
    <x:row r="30" ht="40" customHeight="1">
      <x:c r="A30" s="7" t="str">
        <x:v>Airplane directional: airplane reference</x:v>
      </x:c>
      <x:c r="B30" s="7" t="n">
        <x:f>COUNTIF('Evaluation Plan'!$L$2:$L$131,"2 — Airplane directional transfer — Cross-task airplane as reference; directional relation (front)")+COUNTIF('Evaluation Plan'!$L$2:$L$131,"2 — Airplane directional transfer — Cross-task airplane as reference; directional relation (behind)")+COUNTIF('Evaluation Plan'!$L$2:$L$131,"2 — Airplane directional transfer — Cross-task airplane as reference; directional relation (left)")+COUNTIF('Evaluation Plan'!$L$2:$L$131,"2 — Airplane directional transfer — Cross-task airplane as reference; directional relation (right)")</x:f>
        <x:v>5</x:v>
      </x:c>
      <x:c r="C30" s="7" t="n">
        <x:v>5</x:v>
      </x:c>
      <x:c r="D30" s="7" t="str">
        <x:f>IF(B30=C30,"PASS","CHECK")</x:f>
        <x:v>PASS</x:v>
      </x:c>
      <x:c r="E30" s="7"/>
    </x:row>
    <x:row r="31" ht="40" customHeight="1">
      <x:c r="A31" s="7" t="str">
        <x:v>Airplane visual rows (both variants validated)</x:v>
      </x:c>
      <x:c r="B31" s="7" t="n">
        <x:f>COUNTIF('Evaluation Plan'!$H$2:$H$131,"Airplane seen-relation baseline")+COUNTIF('Evaluation Plan'!$H$2:$H$131,"Airplane directional transfer")</x:f>
        <x:v>20</x:v>
      </x:c>
      <x:c r="C31" s="7" t="n">
        <x:v>20</x:v>
      </x:c>
      <x:c r="D31" s="7" t="str">
        <x:f>IF(B31=C31,"PASS","CHECK")</x:f>
        <x:v>PASS</x:v>
      </x:c>
      <x:c r="E31" s="7" t="str">
        <x:v>Descriptor remains necessary; builder also checks both names in every family</x:v>
      </x:c>
    </x:row>
    <x:row r="32" ht="40" customHeight="1">
      <x:c r="A32" s="7" t="str">
        <x:v>Opposite-direction contrasts with references</x:v>
      </x:c>
      <x:c r="B32" s="7" t="n">
        <x:f>COUNTIFS('Evaluation Plan'!$H$2:$H$131,"Exact-scene opposite-direction contrast",'Evaluation Plan'!$E$2:$E$131,"&gt;=0")</x:f>
        <x:v>20</x:v>
      </x:c>
      <x:c r="C32" s="7" t="n">
        <x:v>20</x:v>
      </x:c>
      <x:c r="D32" s="7" t="str">
        <x:f>IF(B32=C32,"PASS","CHECK")</x:f>
        <x:v>PASS</x:v>
      </x:c>
      <x:c r="E32" s="7"/>
    </x:row>
    <x:row r="33" ht="40" customHeight="1">
      <x:c r="A33" s="7" t="str">
        <x:v>Language rows with references</x:v>
      </x:c>
      <x:c r="B33" s="7" t="n">
        <x:f>COUNTIFS('Evaluation Plan'!$H$2:$H$131,"Language robustness",'Evaluation Plan'!$E$2:$E$131,"&gt;=0")</x:f>
        <x:v>20</x:v>
      </x:c>
      <x:c r="C33" s="7" t="n">
        <x:v>20</x:v>
      </x:c>
      <x:c r="D33" s="7" t="str">
        <x:f>IF(B33=C33,"PASS","CHECK")</x:f>
        <x:v>PASS</x:v>
      </x:c>
      <x:c r="E33" s="7"/>
    </x:row>
    <x:row r="34" ht="40" customHeight="1">
      <x:c r="A34" s="7" t="str">
        <x:v>Control rows with references</x:v>
      </x:c>
      <x:c r="B34" s="7" t="n">
        <x:f>COUNTIFS('Evaluation Plan'!$H$2:$H$131,"Matched manipulation control",'Evaluation Plan'!$E$2:$E$131,"&gt;=0")</x:f>
        <x:v>20</x:v>
      </x:c>
      <x:c r="C34" s="7" t="n">
        <x:v>20</x:v>
      </x:c>
      <x:c r="D34" s="7" t="str">
        <x:f>IF(B34=C34,"PASS","CHECK")</x:f>
        <x:v>PASS</x:v>
      </x:c>
      <x:c r="E34" s="7"/>
    </x:row>
    <x:row r="35" ht="40" customHeight="1">
      <x:c r="A35" s="7" t="str">
        <x:v>Airplane directional rows with references</x:v>
      </x:c>
      <x:c r="B35" s="7" t="n">
        <x:f>COUNTIFS('Evaluation Plan'!$H$2:$H$131,"Airplane directional transfer",'Evaluation Plan'!$E$2:$E$131,"&gt;=0")</x:f>
        <x:v>10</x:v>
      </x:c>
      <x:c r="C35" s="7" t="n">
        <x:v>10</x:v>
      </x:c>
      <x:c r="D35" s="7" t="str">
        <x:f>IF(B35=C35,"PASS","CHECK")</x:f>
        <x:v>PASS</x:v>
      </x:c>
      <x:c r="E35" s="7"/>
    </x:row>
    <x:row r="36" ht="40" customHeight="1">
      <x:c r="A36" s="7" t="str">
        <x:v>Initial Not collected statuses</x:v>
      </x:c>
      <x:c r="B36" s="7" t="n">
        <x:f>COUNTIF('Evaluation Plan'!$A$2:$A$131,"Not collected")</x:f>
        <x:v>130</x:v>
      </x:c>
      <x:c r="C36" s="7" t="n">
        <x:v>130</x:v>
      </x:c>
      <x:c r="D36" s="7" t="str">
        <x:f>IF(B36=C36,"PASS","CHECK")</x:f>
        <x:v>PASS</x:v>
      </x:c>
      <x:c r="E36" s="7"/>
    </x:row>
    <x:row r="37" ht="40" customHeight="1">
      <x:c r="A37" s="7" t="str">
        <x:v>Minimum episode number</x:v>
      </x:c>
      <x:c r="B37" s="7" t="n">
        <x:f>MIN('Evaluation Plan'!$B$2:$B$131)</x:f>
        <x:v>0</x:v>
      </x:c>
      <x:c r="C37" s="7" t="n">
        <x:v>0</x:v>
      </x:c>
      <x:c r="D37" s="7" t="str">
        <x:f>IF(B37=C37,"PASS","CHECK")</x:f>
        <x:v>PASS</x:v>
      </x:c>
      <x:c r="E37" s="7"/>
    </x:row>
    <x:row r="38" ht="40" customHeight="1">
      <x:c r="A38" s="7" t="str">
        <x:v>Maximum episode number</x:v>
      </x:c>
      <x:c r="B38" s="7" t="n">
        <x:f>MAX('Evaluation Plan'!$B$2:$B$131)</x:f>
        <x:v>129</x:v>
      </x:c>
      <x:c r="C38" s="7" t="n">
        <x:v>129</x:v>
      </x:c>
      <x:c r="D38" s="7" t="str">
        <x:f>IF(B38=C38,"PASS","CHECK")</x:f>
        <x:v>PASS</x:v>
      </x:c>
      <x:c r="E38" s="7"/>
    </x:row>
  </x:sheetData>
  <x:conditionalFormatting sqref="D2:D38">
    <x:cfRule type="containsText" dxfId="7" priority="1" operator="containsText" text="PASS"/>
    <x:cfRule type="containsText" dxfId="8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d4108622ef554e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in front of the red block.</x:v>
      </x:c>
      <x:c r="D2" s="10" t="str">
        <x:f>'Evaluation Plan'!D2</x:f>
        <x:v>P1 red block at R1 (table center) [REFERENCE]; P2 green pen 18 cm behind P1 [TARGET START]; P3 pink marker 15 cm to the left of P1 [DISTRACTOR]</x:v>
      </x:c>
      <x:c r="E2" s="9" t="str">
        <x:f>IF(ISBLANK('Evaluation Plan'!E2),"",'Evaluation Plan'!E2)</x:f>
      </x:c>
      <x:c r="F2" s="9" t="str">
        <x:f>'Evaluation Plan'!F2</x:f>
        <x:v>green pen → 2–8 cm edge gap in front of red block; centroid direction within ±45°</x:v>
      </x:c>
      <x:c r="G2" s="10"/>
      <x:c r="H2" s="9" t="str">
        <x:f>'Evaluation Plan'!H2</x:f>
        <x:v>Concept/compositional transfer</x:v>
      </x:c>
      <x:c r="I2" s="9" t="str">
        <x:f>'Evaluation Plan'!I2</x:f>
        <x:v>RP-F01</x:v>
      </x:c>
      <x:c r="J2" s="9" t="str">
        <x:f>'Evaluation Plan'!J2</x:f>
        <x:v>front</x:v>
      </x:c>
      <x:c r="K2" s="9" t="n">
        <x:f>'Evaluation Plan'!K2</x:f>
        <x:v>3</x:v>
      </x:c>
      <x:c r="L2" s="9" t="str">
        <x:f>'Evaluation Plan'!L2</x:f>
        <x:v>1 — Canonical transfer — Held-out direction × green-pen/red-block pair (front)</x:v>
      </x:c>
      <x:c r="M2" s="9" t="n">
        <x:f>'Evaluation Plan'!M2</x:f>
        <x:v>1</x:v>
      </x:c>
      <x:c r="N2" s="10" t="str">
        <x:f>'Evaluation Plan'!N2</x:f>
        <x:v>Build the marked scene. Target starts in the opposite sector and outside the success gap; save a first-frame filename.</x:v>
      </x:c>
      <x:c r="O2" s="10" t="str">
        <x:f>'Evaluation Plan'!O2</x:f>
        <x:v>Directional language is trained on other object pairs, but all directional green-pen/red-block demonstrations are withheld in both target/reference directions.</x:v>
      </x:c>
      <x:c r="P2" s="10" t="str">
        <x:f>IF(ISBLANK('Evaluation Plan'!P2),"",'Evaluation Plan'!P2)</x:f>
      </x:c>
    </x:row>
    <x:row r="3" ht="64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green pen to the back of the red block.</x:v>
      </x:c>
      <x:c r="D3" s="7" t="str">
        <x:f>'Evaluation Plan'!D3</x:f>
        <x:v>P1 red block at R1 (table center) [REFERENCE]; P2 green pen 18 cm behind P1 [TARGET START]; P3 pink marker 15 cm to the left of P1 [DISTRACTOR]</x:v>
      </x:c>
      <x:c r="E3" s="8" t="n">
        <x:f>IF(ISBLANK('Evaluation Plan'!E3),"",'Evaluation Plan'!E3)</x:f>
        <x:v>0</x:v>
      </x:c>
      <x:c r="F3" s="8" t="str">
        <x:f>'Evaluation Plan'!F3</x:f>
        <x:v>green pen → 2–8 cm edge gap behind red block; centroid direction within ±45°</x:v>
      </x:c>
      <x:c r="G3" s="7"/>
      <x:c r="H3" s="8" t="str">
        <x:f>'Evaluation Plan'!H3</x:f>
        <x:v>Exact-scene opposite-direction contrast</x:v>
      </x:c>
      <x:c r="I3" s="8" t="str">
        <x:f>'Evaluation Plan'!I3</x:f>
        <x:v>RP-F01</x:v>
      </x:c>
      <x:c r="J3" s="8" t="str">
        <x:f>'Evaluation Plan'!J3</x:f>
        <x:v>behind</x:v>
      </x:c>
      <x:c r="K3" s="8" t="n">
        <x:f>'Evaluation Plan'!K3</x:f>
        <x:v>3</x:v>
      </x:c>
      <x:c r="L3" s="8" t="str">
        <x:f>'Evaluation Plan'!L3</x:f>
        <x:v>2 — Exact-scene opposite-direction contrast — Direction-word counterfactual (front→behind)</x:v>
      </x:c>
      <x:c r="M3" s="8" t="n">
        <x:f>'Evaluation Plan'!M3</x:f>
        <x:v>1</x:v>
      </x:c>
      <x:c r="N3" s="7" t="str">
        <x:f>'Evaluation Plan'!N3</x:f>
        <x:v>Reset only P2 to its marked start. Preserve the exact scene; change only the directional word and expected goal sector.</x:v>
      </x:c>
      <x:c r="O3" s="7" t="str">
        <x:f>'Evaluation Plan'!O3</x:f>
        <x:v>Exact-scene semantic counterfactual. Target and reference identities stay fixed while the requested endpoint reverses front↔behind or left↔right.</x:v>
      </x:c>
      <x:c r="P3" s="7" t="str">
        <x:f>IF(ISBLANK('Evaluation Plan'!P3),"",'Evaluation Plan'!P3)</x:f>
      </x:c>
    </x:row>
    <x:row r="4" ht="64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green pen to the robot-facing side of the red block.</x:v>
      </x:c>
      <x:c r="D4" s="7" t="str">
        <x:f>'Evaluation Plan'!D4</x:f>
        <x:v>P1 red block at R1 (table center) [REFERENCE]; P2 green pen 18 cm behind P1 [TARGET START]; P3 pink marker 15 cm to the left of P1 [DISTRACTOR]</x:v>
      </x:c>
      <x:c r="E4" s="8" t="n">
        <x:f>IF(ISBLANK('Evaluation Plan'!E4),"",'Evaluation Plan'!E4)</x:f>
        <x:v>0</x:v>
      </x:c>
      <x:c r="F4" s="8" t="str">
        <x:f>'Evaluation Plan'!F4</x:f>
        <x:v>green pen → 2–8 cm edge gap in front of red block; centroid direction within ±45°</x:v>
      </x:c>
      <x:c r="G4" s="7"/>
      <x:c r="H4" s="8" t="str">
        <x:f>'Evaluation Plan'!H4</x:f>
        <x:v>Language robustness</x:v>
      </x:c>
      <x:c r="I4" s="8" t="str">
        <x:f>'Evaluation Plan'!I4</x:f>
        <x:v>RP-F01</x:v>
      </x:c>
      <x:c r="J4" s="8" t="str">
        <x:f>'Evaluation Plan'!J4</x:f>
        <x:v>front</x:v>
      </x:c>
      <x:c r="K4" s="8" t="n">
        <x:f>'Evaluation Plan'!K4</x:f>
        <x:v>3</x:v>
      </x:c>
      <x:c r="L4" s="8" t="str">
        <x:f>'Evaluation Plan'!L4</x:f>
        <x:v>3 — Exact-scene transfer paraphrase — Paraphrase of concept/compositional-transfer prompt</x:v>
      </x:c>
      <x:c r="M4" s="8" t="n">
        <x:f>'Evaluation Plan'!M4</x:f>
        <x:v>1</x:v>
      </x:c>
      <x:c r="N4" s="7" t="str">
        <x:f>'Evaluation Plan'!N4</x:f>
        <x:v>Reset only P2 to its marked start; change only the prompt wording.</x:v>
      </x:c>
      <x:c r="O4" s="7" t="str">
        <x:f>'Evaluation Plan'!O4</x:f>
        <x:v>Exact-scene language comparison for the held-out pair composition.</x:v>
      </x:c>
      <x:c r="P4" s="7" t="str">
        <x:f>IF(ISBLANK('Evaluation Plan'!P4),"",'Evaluation Plan'!P4)</x:f>
      </x:c>
    </x:row>
    <x:row r="5" ht="64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Move the green pen near the red block.</x:v>
      </x:c>
      <x:c r="D5" s="7" t="str">
        <x:f>'Evaluation Plan'!D5</x:f>
        <x:v>P1 red block at R1 (table center) [REFERENCE]; P2 green pen 18 cm behind P1 [TARGET START]; P3 pink marker 15 cm to the left of P1 [DISTRACTOR]</x:v>
      </x:c>
      <x:c r="E5" s="8" t="n">
        <x:f>IF(ISBLANK('Evaluation Plan'!E5),"",'Evaluation Plan'!E5)</x:f>
        <x:v>0</x:v>
      </x:c>
      <x:c r="F5" s="8" t="str">
        <x:f>'Evaluation Plan'!F5</x:f>
        <x:v>green pen → 2–8 cm edge gap from red block (any direction)</x:v>
      </x:c>
      <x:c r="G5" s="7"/>
      <x:c r="H5" s="8" t="str">
        <x:f>'Evaluation Plan'!H5</x:f>
        <x:v>Matched manipulation control</x:v>
      </x:c>
      <x:c r="I5" s="8" t="str">
        <x:f>'Evaluation Plan'!I5</x:f>
        <x:v>RP-F01</x:v>
      </x:c>
      <x:c r="J5" s="8" t="str">
        <x:f>'Evaluation Plan'!J5</x:f>
        <x:v>near</x:v>
      </x:c>
      <x:c r="K5" s="8" t="n">
        <x:f>'Evaluation Plan'!K5</x:f>
        <x:v>3</x:v>
      </x:c>
      <x:c r="L5" s="8" t="str">
        <x:f>'Evaluation Plan'!L5</x:f>
        <x:v>4 — Matched control — Seen near/next-to/beside relation on the same ordered pair (3 objects)</x:v>
      </x:c>
      <x:c r="M5" s="8" t="n">
        <x:f>'Evaluation Plan'!M5</x:f>
        <x:v>1</x:v>
      </x:c>
      <x:c r="N5" s="7" t="str">
        <x:f>'Evaluation Plan'!N5</x:f>
        <x:v>Reset only P2 to its marked start. Keep every object, camera setting, and pose fixed; change only the prompt.</x:v>
      </x:c>
      <x:c r="O5" s="7" t="str">
        <x:f>'Evaluation Plan'!O5</x:f>
        <x:v>Controls target/reference recognition and basic pick-place on the exact pair. It is skill-matched but not direction-endpoint-matched, so analyze the paired success delta separately.</x:v>
      </x:c>
      <x:c r="P5" s="7" t="str">
        <x:f>IF(ISBLANK('Evaluation Plan'!P5),"",'Evaluation Plan'!P5)</x:f>
      </x:c>
    </x:row>
    <x:row r="6" ht="64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Move the red block to the back of the green pen.</x:v>
      </x:c>
      <x:c r="D6" s="10" t="str">
        <x:f>'Evaluation Plan'!D6</x:f>
        <x:v>P1 green pen at R2 (5 cm left of center) [REFERENCE]; P2 red block 21 cm in front of P1 [TARGET START]; P3 pink marker 15 cm to the left of P1 [DISTRACTOR]</x:v>
      </x:c>
      <x:c r="E6" s="9" t="str">
        <x:f>IF(ISBLANK('Evaluation Plan'!E6),"",'Evaluation Plan'!E6)</x:f>
      </x:c>
      <x:c r="F6" s="9" t="str">
        <x:f>'Evaluation Plan'!F6</x:f>
        <x:v>red block → 2–8 cm edge gap behind green pen; centroid direction within ±45°</x:v>
      </x:c>
      <x:c r="G6" s="10"/>
      <x:c r="H6" s="9" t="str">
        <x:f>'Evaluation Plan'!H6</x:f>
        <x:v>Concept/compositional transfer</x:v>
      </x:c>
      <x:c r="I6" s="9" t="str">
        <x:f>'Evaluation Plan'!I6</x:f>
        <x:v>RP-F02</x:v>
      </x:c>
      <x:c r="J6" s="9" t="str">
        <x:f>'Evaluation Plan'!J6</x:f>
        <x:v>behind</x:v>
      </x:c>
      <x:c r="K6" s="9" t="n">
        <x:f>'Evaluation Plan'!K6</x:f>
        <x:v>3</x:v>
      </x:c>
      <x:c r="L6" s="9" t="str">
        <x:f>'Evaluation Plan'!L6</x:f>
        <x:v>1 — Canonical transfer — Held-out direction × green-pen/red-block pair (behind)</x:v>
      </x:c>
      <x:c r="M6" s="9" t="n">
        <x:f>'Evaluation Plan'!M6</x:f>
        <x:v>2</x:v>
      </x:c>
      <x:c r="N6" s="10" t="str">
        <x:f>'Evaluation Plan'!N6</x:f>
        <x:v>Build the marked scene. Target starts in the opposite sector and outside the success gap; save a first-frame filename.</x:v>
      </x:c>
      <x:c r="O6" s="10" t="str">
        <x:f>'Evaluation Plan'!O6</x:f>
        <x:v>Directional language is trained on other object pairs, but all directional green-pen/red-block demonstrations are withheld in both target/reference directions.</x:v>
      </x:c>
      <x:c r="P6" s="10" t="str">
        <x:f>IF(ISBLANK('Evaluation Plan'!P6),"",'Evaluation Plan'!P6)</x:f>
      </x:c>
    </x:row>
    <x:row r="7" ht="64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red block on the table in front of the green pen.</x:v>
      </x:c>
      <x:c r="D7" s="7" t="str">
        <x:f>'Evaluation Plan'!D7</x:f>
        <x:v>P1 green pen at R2 (5 cm left of center) [REFERENCE]; P2 red block 21 cm in front of P1 [TARGET START]; P3 pink marker 15 cm to the left of P1 [DISTRACTOR]</x:v>
      </x:c>
      <x:c r="E7" s="8" t="n">
        <x:f>IF(ISBLANK('Evaluation Plan'!E7),"",'Evaluation Plan'!E7)</x:f>
        <x:v>4</x:v>
      </x:c>
      <x:c r="F7" s="8" t="str">
        <x:f>'Evaluation Plan'!F7</x:f>
        <x:v>red block → 2–8 cm edge gap in front of green pen; centroid direction within ±45°</x:v>
      </x:c>
      <x:c r="G7" s="7"/>
      <x:c r="H7" s="8" t="str">
        <x:f>'Evaluation Plan'!H7</x:f>
        <x:v>Exact-scene opposite-direction contrast</x:v>
      </x:c>
      <x:c r="I7" s="8" t="str">
        <x:f>'Evaluation Plan'!I7</x:f>
        <x:v>RP-F02</x:v>
      </x:c>
      <x:c r="J7" s="8" t="str">
        <x:f>'Evaluation Plan'!J7</x:f>
        <x:v>front</x:v>
      </x:c>
      <x:c r="K7" s="8" t="n">
        <x:f>'Evaluation Plan'!K7</x:f>
        <x:v>3</x:v>
      </x:c>
      <x:c r="L7" s="8" t="str">
        <x:f>'Evaluation Plan'!L7</x:f>
        <x:v>2 — Exact-scene opposite-direction contrast — Direction-word counterfactual (behind→front)</x:v>
      </x:c>
      <x:c r="M7" s="8" t="n">
        <x:f>'Evaluation Plan'!M7</x:f>
        <x:v>2</x:v>
      </x:c>
      <x:c r="N7" s="7" t="str">
        <x:f>'Evaluation Plan'!N7</x:f>
        <x:v>Reset only P2 to its marked start. Preserve the exact scene; change only the directional word and expected goal sector.</x:v>
      </x:c>
      <x:c r="O7" s="7" t="str">
        <x:f>'Evaluation Plan'!O7</x:f>
        <x:v>Exact-scene semantic counterfactual. Target and reference identities stay fixed while the requested endpoint reverses front↔behind or left↔right.</x:v>
      </x:c>
      <x:c r="P7" s="7" t="str">
        <x:f>IF(ISBLANK('Evaluation Plan'!P7),"",'Evaluation Plan'!P7)</x:f>
      </x:c>
    </x:row>
    <x:row r="8" ht="64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Move the red block to the rear side of the green pen.</x:v>
      </x:c>
      <x:c r="D8" s="7" t="str">
        <x:f>'Evaluation Plan'!D8</x:f>
        <x:v>P1 green pen at R2 (5 cm left of center) [REFERENCE]; P2 red block 21 cm in front of P1 [TARGET START]; P3 pink marker 15 cm to the left of P1 [DISTRACTOR]</x:v>
      </x:c>
      <x:c r="E8" s="8" t="n">
        <x:f>IF(ISBLANK('Evaluation Plan'!E8),"",'Evaluation Plan'!E8)</x:f>
        <x:v>4</x:v>
      </x:c>
      <x:c r="F8" s="8" t="str">
        <x:f>'Evaluation Plan'!F8</x:f>
        <x:v>red block → 2–8 cm edge gap behind green pen; centroid direction within ±45°</x:v>
      </x:c>
      <x:c r="G8" s="7"/>
      <x:c r="H8" s="8" t="str">
        <x:f>'Evaluation Plan'!H8</x:f>
        <x:v>Language robustness</x:v>
      </x:c>
      <x:c r="I8" s="8" t="str">
        <x:f>'Evaluation Plan'!I8</x:f>
        <x:v>RP-F02</x:v>
      </x:c>
      <x:c r="J8" s="8" t="str">
        <x:f>'Evaluation Plan'!J8</x:f>
        <x:v>behind</x:v>
      </x:c>
      <x:c r="K8" s="8" t="n">
        <x:f>'Evaluation Plan'!K8</x:f>
        <x:v>3</x:v>
      </x:c>
      <x:c r="L8" s="8" t="str">
        <x:f>'Evaluation Plan'!L8</x:f>
        <x:v>3 — Exact-scene transfer paraphrase — Paraphrase of concept/compositional-transfer prompt</x:v>
      </x:c>
      <x:c r="M8" s="8" t="n">
        <x:f>'Evaluation Plan'!M8</x:f>
        <x:v>2</x:v>
      </x:c>
      <x:c r="N8" s="7" t="str">
        <x:f>'Evaluation Plan'!N8</x:f>
        <x:v>Reset only P2 to its marked start; change only the prompt wording.</x:v>
      </x:c>
      <x:c r="O8" s="7" t="str">
        <x:f>'Evaluation Plan'!O8</x:f>
        <x:v>Exact-scene language comparison for the held-out pair composition.</x:v>
      </x:c>
      <x:c r="P8" s="7" t="str">
        <x:f>IF(ISBLANK('Evaluation Plan'!P8),"",'Evaluation Plan'!P8)</x:f>
      </x:c>
    </x:row>
    <x:row r="9" ht="64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Place the red block next to the green pen.</x:v>
      </x:c>
      <x:c r="D9" s="7" t="str">
        <x:f>'Evaluation Plan'!D9</x:f>
        <x:v>P1 green pen at R2 (5 cm left of center) [REFERENCE]; P2 red block 21 cm in front of P1 [TARGET START]; P3 pink marker 15 cm to the left of P1 [DISTRACTOR]</x:v>
      </x:c>
      <x:c r="E9" s="8" t="n">
        <x:f>IF(ISBLANK('Evaluation Plan'!E9),"",'Evaluation Plan'!E9)</x:f>
        <x:v>4</x:v>
      </x:c>
      <x:c r="F9" s="8" t="str">
        <x:f>'Evaluation Plan'!F9</x:f>
        <x:v>red block → 2–8 cm edge gap from green pen (any direction)</x:v>
      </x:c>
      <x:c r="G9" s="7"/>
      <x:c r="H9" s="8" t="str">
        <x:f>'Evaluation Plan'!H9</x:f>
        <x:v>Matched manipulation control</x:v>
      </x:c>
      <x:c r="I9" s="8" t="str">
        <x:f>'Evaluation Plan'!I9</x:f>
        <x:v>RP-F02</x:v>
      </x:c>
      <x:c r="J9" s="8" t="str">
        <x:f>'Evaluation Plan'!J9</x:f>
        <x:v>near</x:v>
      </x:c>
      <x:c r="K9" s="8" t="n">
        <x:f>'Evaluation Plan'!K9</x:f>
        <x:v>3</x:v>
      </x:c>
      <x:c r="L9" s="8" t="str">
        <x:f>'Evaluation Plan'!L9</x:f>
        <x:v>4 — Matched control — Seen near/next-to/beside relation on the same ordered pair (3 objects)</x:v>
      </x:c>
      <x:c r="M9" s="8" t="n">
        <x:f>'Evaluation Plan'!M9</x:f>
        <x:v>2</x:v>
      </x:c>
      <x:c r="N9" s="7" t="str">
        <x:f>'Evaluation Plan'!N9</x:f>
        <x:v>Reset only P2 to its marked start. Keep every object, camera setting, and pose fixed; change only the prompt.</x:v>
      </x:c>
      <x:c r="O9" s="7" t="str">
        <x:f>'Evaluation Plan'!O9</x:f>
        <x:v>Controls target/reference recognition and basic pick-place on the exact pair. It is skill-matched but not direction-endpoint-matched, so analyze the paired success delta separately.</x:v>
      </x:c>
      <x:c r="P9" s="7" t="str">
        <x:f>IF(ISBLANK('Evaluation Plan'!P9),"",'Evaluation Plan'!P9)</x:f>
      </x:c>
    </x:row>
    <x:row r="10" ht="64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Place the green pen to the left of the red block.</x:v>
      </x:c>
      <x:c r="D10" s="10" t="str">
        <x:f>'Evaluation Plan'!D10</x:f>
        <x:v>P1 red block at R3 (5 cm right of center) [REFERENCE]; P2 green pen 24 cm to the right of P1 [TARGET START]; P3 pink marker 15 cm in front of P1 [DISTRACTOR]</x:v>
      </x:c>
      <x:c r="E10" s="9" t="str">
        <x:f>IF(ISBLANK('Evaluation Plan'!E10),"",'Evaluation Plan'!E10)</x:f>
      </x:c>
      <x:c r="F10" s="9" t="str">
        <x:f>'Evaluation Plan'!F10</x:f>
        <x:v>green pen → 2–8 cm edge gap to the left of red block; centroid direction within ±45°</x:v>
      </x:c>
      <x:c r="G10" s="10"/>
      <x:c r="H10" s="9" t="str">
        <x:f>'Evaluation Plan'!H10</x:f>
        <x:v>Concept/compositional transfer</x:v>
      </x:c>
      <x:c r="I10" s="9" t="str">
        <x:f>'Evaluation Plan'!I10</x:f>
        <x:v>RP-F03</x:v>
      </x:c>
      <x:c r="J10" s="9" t="str">
        <x:f>'Evaluation Plan'!J10</x:f>
        <x:v>left</x:v>
      </x:c>
      <x:c r="K10" s="9" t="n">
        <x:f>'Evaluation Plan'!K10</x:f>
        <x:v>3</x:v>
      </x:c>
      <x:c r="L10" s="9" t="str">
        <x:f>'Evaluation Plan'!L10</x:f>
        <x:v>1 — Canonical transfer — Held-out direction × green-pen/red-block pair (left)</x:v>
      </x:c>
      <x:c r="M10" s="9" t="n">
        <x:f>'Evaluation Plan'!M10</x:f>
        <x:v>3</x:v>
      </x:c>
      <x:c r="N10" s="10" t="str">
        <x:f>'Evaluation Plan'!N10</x:f>
        <x:v>Build the marked scene. Target starts in the opposite sector and outside the success gap; save a first-frame filename.</x:v>
      </x:c>
      <x:c r="O10" s="10" t="str">
        <x:f>'Evaluation Plan'!O10</x:f>
        <x:v>Directional language is trained on other object pairs, but all directional green-pen/red-block demonstrations are withheld in both target/reference directions.</x:v>
      </x:c>
      <x:c r="P10" s="10" t="str">
        <x:f>IF(ISBLANK('Evaluation Plan'!P10),"",'Evaluation Plan'!P10)</x:f>
      </x:c>
    </x:row>
    <x:row r="11" ht="64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green pen to the right of the red block.</x:v>
      </x:c>
      <x:c r="D11" s="7" t="str">
        <x:f>'Evaluation Plan'!D11</x:f>
        <x:v>P1 red block at R3 (5 cm right of center) [REFERENCE]; P2 green pen 24 cm to the right of P1 [TARGET START]; P3 pink marker 15 cm in front of P1 [DISTRACTOR]</x:v>
      </x:c>
      <x:c r="E11" s="8" t="n">
        <x:f>IF(ISBLANK('Evaluation Plan'!E11),"",'Evaluation Plan'!E11)</x:f>
        <x:v>8</x:v>
      </x:c>
      <x:c r="F11" s="8" t="str">
        <x:f>'Evaluation Plan'!F11</x:f>
        <x:v>green pen → 2–8 cm edge gap to the right of red block; centroid direction within ±45°</x:v>
      </x:c>
      <x:c r="G11" s="7"/>
      <x:c r="H11" s="8" t="str">
        <x:f>'Evaluation Plan'!H11</x:f>
        <x:v>Exact-scene opposite-direction contrast</x:v>
      </x:c>
      <x:c r="I11" s="8" t="str">
        <x:f>'Evaluation Plan'!I11</x:f>
        <x:v>RP-F03</x:v>
      </x:c>
      <x:c r="J11" s="8" t="str">
        <x:f>'Evaluation Plan'!J11</x:f>
        <x:v>right</x:v>
      </x:c>
      <x:c r="K11" s="8" t="n">
        <x:f>'Evaluation Plan'!K11</x:f>
        <x:v>3</x:v>
      </x:c>
      <x:c r="L11" s="8" t="str">
        <x:f>'Evaluation Plan'!L11</x:f>
        <x:v>2 — Exact-scene opposite-direction contrast — Direction-word counterfactual (left→right)</x:v>
      </x:c>
      <x:c r="M11" s="8" t="n">
        <x:f>'Evaluation Plan'!M11</x:f>
        <x:v>3</x:v>
      </x:c>
      <x:c r="N11" s="7" t="str">
        <x:f>'Evaluation Plan'!N11</x:f>
        <x:v>Reset only P2 to its marked start. Preserve the exact scene; change only the directional word and expected goal sector.</x:v>
      </x:c>
      <x:c r="O11" s="7" t="str">
        <x:f>'Evaluation Plan'!O11</x:f>
        <x:v>Exact-scene semantic counterfactual. Target and reference identities stay fixed while the requested endpoint reverses front↔behind or left↔right.</x:v>
      </x:c>
      <x:c r="P11" s="7" t="str">
        <x:f>IF(ISBLANK('Evaluation Plan'!P11),"",'Evaluation Plan'!P11)</x:f>
      </x:c>
    </x:row>
    <x:row r="12" ht="64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Set the green pen on the left-hand side of the red block.</x:v>
      </x:c>
      <x:c r="D12" s="7" t="str">
        <x:f>'Evaluation Plan'!D12</x:f>
        <x:v>P1 red block at R3 (5 cm right of center) [REFERENCE]; P2 green pen 24 cm to the right of P1 [TARGET START]; P3 pink marker 15 cm in front of P1 [DISTRACTOR]</x:v>
      </x:c>
      <x:c r="E12" s="8" t="n">
        <x:f>IF(ISBLANK('Evaluation Plan'!E12),"",'Evaluation Plan'!E12)</x:f>
        <x:v>8</x:v>
      </x:c>
      <x:c r="F12" s="8" t="str">
        <x:f>'Evaluation Plan'!F12</x:f>
        <x:v>green pen → 2–8 cm edge gap to the left of red block; centroid direction within ±45°</x:v>
      </x:c>
      <x:c r="G12" s="7"/>
      <x:c r="H12" s="8" t="str">
        <x:f>'Evaluation Plan'!H12</x:f>
        <x:v>Language robustness</x:v>
      </x:c>
      <x:c r="I12" s="8" t="str">
        <x:f>'Evaluation Plan'!I12</x:f>
        <x:v>RP-F03</x:v>
      </x:c>
      <x:c r="J12" s="8" t="str">
        <x:f>'Evaluation Plan'!J12</x:f>
        <x:v>left</x:v>
      </x:c>
      <x:c r="K12" s="8" t="n">
        <x:f>'Evaluation Plan'!K12</x:f>
        <x:v>3</x:v>
      </x:c>
      <x:c r="L12" s="8" t="str">
        <x:f>'Evaluation Plan'!L12</x:f>
        <x:v>3 — Exact-scene transfer paraphrase — Paraphrase of concept/compositional-transfer prompt</x:v>
      </x:c>
      <x:c r="M12" s="8" t="n">
        <x:f>'Evaluation Plan'!M12</x:f>
        <x:v>3</x:v>
      </x:c>
      <x:c r="N12" s="7" t="str">
        <x:f>'Evaluation Plan'!N12</x:f>
        <x:v>Reset only P2 to its marked start; change only the prompt wording.</x:v>
      </x:c>
      <x:c r="O12" s="7" t="str">
        <x:f>'Evaluation Plan'!O12</x:f>
        <x:v>Exact-scene language comparison for the held-out pair composition.</x:v>
      </x:c>
      <x:c r="P12" s="7" t="str">
        <x:f>IF(ISBLANK('Evaluation Plan'!P12),"",'Evaluation Plan'!P12)</x:f>
      </x:c>
    </x:row>
    <x:row r="13" ht="64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Put the green pen beside the red block.</x:v>
      </x:c>
      <x:c r="D13" s="7" t="str">
        <x:f>'Evaluation Plan'!D13</x:f>
        <x:v>P1 red block at R3 (5 cm right of center) [REFERENCE]; P2 green pen 24 cm to the right of P1 [TARGET START]; P3 pink marker 15 cm in front of P1 [DISTRACTOR]</x:v>
      </x:c>
      <x:c r="E13" s="8" t="n">
        <x:f>IF(ISBLANK('Evaluation Plan'!E13),"",'Evaluation Plan'!E13)</x:f>
        <x:v>8</x:v>
      </x:c>
      <x:c r="F13" s="8" t="str">
        <x:f>'Evaluation Plan'!F13</x:f>
        <x:v>green pen → 2–8 cm edge gap from red block (any direction)</x:v>
      </x:c>
      <x:c r="G13" s="7"/>
      <x:c r="H13" s="8" t="str">
        <x:f>'Evaluation Plan'!H13</x:f>
        <x:v>Matched manipulation control</x:v>
      </x:c>
      <x:c r="I13" s="8" t="str">
        <x:f>'Evaluation Plan'!I13</x:f>
        <x:v>RP-F03</x:v>
      </x:c>
      <x:c r="J13" s="8" t="str">
        <x:f>'Evaluation Plan'!J13</x:f>
        <x:v>near</x:v>
      </x:c>
      <x:c r="K13" s="8" t="n">
        <x:f>'Evaluation Plan'!K13</x:f>
        <x:v>3</x:v>
      </x:c>
      <x:c r="L13" s="8" t="str">
        <x:f>'Evaluation Plan'!L13</x:f>
        <x:v>4 — Matched control — Seen near/next-to/beside relation on the same ordered pair (3 objects)</x:v>
      </x:c>
      <x:c r="M13" s="8" t="n">
        <x:f>'Evaluation Plan'!M13</x:f>
        <x:v>3</x:v>
      </x:c>
      <x:c r="N13" s="7" t="str">
        <x:f>'Evaluation Plan'!N13</x:f>
        <x:v>Reset only P2 to its marked start. Keep every object, camera setting, and pose fixed; change only the prompt.</x:v>
      </x:c>
      <x:c r="O13" s="7" t="str">
        <x:f>'Evaluation Plan'!O13</x:f>
        <x:v>Controls target/reference recognition and basic pick-place on the exact pair. It is skill-matched but not direction-endpoint-matched, so analyze the paired success delta separately.</x:v>
      </x:c>
      <x:c r="P13" s="7" t="str">
        <x:f>IF(ISBLANK('Evaluation Plan'!P13),"",'Evaluation Plan'!P13)</x:f>
      </x:c>
    </x:row>
    <x:row r="14" ht="64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Place the red block to the right of the green pen.</x:v>
      </x:c>
      <x:c r="D14" s="10" t="str">
        <x:f>'Evaluation Plan'!D14</x:f>
        <x:v>P1 green pen at R4 (5 cm toward the robot from center) [REFERENCE]; P2 red block 18 cm to the left of P1 [TARGET START]; P3 pink marker 15 cm in front of P1 [DISTRACTOR]</x:v>
      </x:c>
      <x:c r="E14" s="9" t="str">
        <x:f>IF(ISBLANK('Evaluation Plan'!E14),"",'Evaluation Plan'!E14)</x:f>
      </x:c>
      <x:c r="F14" s="9" t="str">
        <x:f>'Evaluation Plan'!F14</x:f>
        <x:v>red block → 2–8 cm edge gap to the right of green pen; centroid direction within ±45°</x:v>
      </x:c>
      <x:c r="G14" s="10"/>
      <x:c r="H14" s="9" t="str">
        <x:f>'Evaluation Plan'!H14</x:f>
        <x:v>Concept/compositional transfer</x:v>
      </x:c>
      <x:c r="I14" s="9" t="str">
        <x:f>'Evaluation Plan'!I14</x:f>
        <x:v>RP-F04</x:v>
      </x:c>
      <x:c r="J14" s="9" t="str">
        <x:f>'Evaluation Plan'!J14</x:f>
        <x:v>right</x:v>
      </x:c>
      <x:c r="K14" s="9" t="n">
        <x:f>'Evaluation Plan'!K14</x:f>
        <x:v>3</x:v>
      </x:c>
      <x:c r="L14" s="9" t="str">
        <x:f>'Evaluation Plan'!L14</x:f>
        <x:v>1 — Canonical transfer — Held-out direction × green-pen/red-block pair (right)</x:v>
      </x:c>
      <x:c r="M14" s="9" t="n">
        <x:f>'Evaluation Plan'!M14</x:f>
        <x:v>4</x:v>
      </x:c>
      <x:c r="N14" s="10" t="str">
        <x:f>'Evaluation Plan'!N14</x:f>
        <x:v>Build the marked scene. Target starts in the opposite sector and outside the success gap; save a first-frame filename.</x:v>
      </x:c>
      <x:c r="O14" s="10" t="str">
        <x:f>'Evaluation Plan'!O14</x:f>
        <x:v>Directional language is trained on other object pairs, but all directional green-pen/red-block demonstrations are withheld in both target/reference directions.</x:v>
      </x:c>
      <x:c r="P14" s="10" t="str">
        <x:f>IF(ISBLANK('Evaluation Plan'!P14),"",'Evaluation Plan'!P14)</x:f>
      </x:c>
    </x:row>
    <x:row r="15" ht="64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Place the red block to the left of the green pen.</x:v>
      </x:c>
      <x:c r="D15" s="7" t="str">
        <x:f>'Evaluation Plan'!D15</x:f>
        <x:v>P1 green pen at R4 (5 cm toward the robot from center) [REFERENCE]; P2 red block 18 cm to the left of P1 [TARGET START]; P3 pink marker 15 cm in front of P1 [DISTRACTOR]</x:v>
      </x:c>
      <x:c r="E15" s="8" t="n">
        <x:f>IF(ISBLANK('Evaluation Plan'!E15),"",'Evaluation Plan'!E15)</x:f>
        <x:v>12</x:v>
      </x:c>
      <x:c r="F15" s="8" t="str">
        <x:f>'Evaluation Plan'!F15</x:f>
        <x:v>red block → 2–8 cm edge gap to the left of green pen; centroid direction within ±45°</x:v>
      </x:c>
      <x:c r="G15" s="7"/>
      <x:c r="H15" s="8" t="str">
        <x:f>'Evaluation Plan'!H15</x:f>
        <x:v>Exact-scene opposite-direction contrast</x:v>
      </x:c>
      <x:c r="I15" s="8" t="str">
        <x:f>'Evaluation Plan'!I15</x:f>
        <x:v>RP-F04</x:v>
      </x:c>
      <x:c r="J15" s="8" t="str">
        <x:f>'Evaluation Plan'!J15</x:f>
        <x:v>left</x:v>
      </x:c>
      <x:c r="K15" s="8" t="n">
        <x:f>'Evaluation Plan'!K15</x:f>
        <x:v>3</x:v>
      </x:c>
      <x:c r="L15" s="8" t="str">
        <x:f>'Evaluation Plan'!L15</x:f>
        <x:v>2 — Exact-scene opposite-direction contrast — Direction-word counterfactual (right→left)</x:v>
      </x:c>
      <x:c r="M15" s="8" t="n">
        <x:f>'Evaluation Plan'!M15</x:f>
        <x:v>4</x:v>
      </x:c>
      <x:c r="N15" s="7" t="str">
        <x:f>'Evaluation Plan'!N15</x:f>
        <x:v>Reset only P2 to its marked start. Preserve the exact scene; change only the directional word and expected goal sector.</x:v>
      </x:c>
      <x:c r="O15" s="7" t="str">
        <x:f>'Evaluation Plan'!O15</x:f>
        <x:v>Exact-scene semantic counterfactual. Target and reference identities stay fixed while the requested endpoint reverses front↔behind or left↔right.</x:v>
      </x:c>
      <x:c r="P15" s="7" t="str">
        <x:f>IF(ISBLANK('Evaluation Plan'!P15),"",'Evaluation Plan'!P15)</x:f>
      </x:c>
    </x:row>
    <x:row r="16" ht="64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red block to the side immediately right of the green pen.</x:v>
      </x:c>
      <x:c r="D16" s="7" t="str">
        <x:f>'Evaluation Plan'!D16</x:f>
        <x:v>P1 green pen at R4 (5 cm toward the robot from center) [REFERENCE]; P2 red block 18 cm to the left of P1 [TARGET START]; P3 pink marker 15 cm in front of P1 [DISTRACTOR]</x:v>
      </x:c>
      <x:c r="E16" s="8" t="n">
        <x:f>IF(ISBLANK('Evaluation Plan'!E16),"",'Evaluation Plan'!E16)</x:f>
        <x:v>12</x:v>
      </x:c>
      <x:c r="F16" s="8" t="str">
        <x:f>'Evaluation Plan'!F16</x:f>
        <x:v>red block → 2–8 cm edge gap to the right of green pen; centroid direction within ±45°</x:v>
      </x:c>
      <x:c r="G16" s="7"/>
      <x:c r="H16" s="8" t="str">
        <x:f>'Evaluation Plan'!H16</x:f>
        <x:v>Language robustness</x:v>
      </x:c>
      <x:c r="I16" s="8" t="str">
        <x:f>'Evaluation Plan'!I16</x:f>
        <x:v>RP-F04</x:v>
      </x:c>
      <x:c r="J16" s="8" t="str">
        <x:f>'Evaluation Plan'!J16</x:f>
        <x:v>right</x:v>
      </x:c>
      <x:c r="K16" s="8" t="n">
        <x:f>'Evaluation Plan'!K16</x:f>
        <x:v>3</x:v>
      </x:c>
      <x:c r="L16" s="8" t="str">
        <x:f>'Evaluation Plan'!L16</x:f>
        <x:v>3 — Exact-scene transfer paraphrase — Paraphrase of concept/compositional-transfer prompt</x:v>
      </x:c>
      <x:c r="M16" s="8" t="n">
        <x:f>'Evaluation Plan'!M16</x:f>
        <x:v>4</x:v>
      </x:c>
      <x:c r="N16" s="7" t="str">
        <x:f>'Evaluation Plan'!N16</x:f>
        <x:v>Reset only P2 to its marked start; change only the prompt wording.</x:v>
      </x:c>
      <x:c r="O16" s="7" t="str">
        <x:f>'Evaluation Plan'!O16</x:f>
        <x:v>Exact-scene language comparison for the held-out pair composition.</x:v>
      </x:c>
      <x:c r="P16" s="7" t="str">
        <x:f>IF(ISBLANK('Evaluation Plan'!P16),"",'Evaluation Plan'!P16)</x:f>
      </x:c>
    </x:row>
    <x:row r="17" ht="64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Move the red block near the green pen.</x:v>
      </x:c>
      <x:c r="D17" s="7" t="str">
        <x:f>'Evaluation Plan'!D17</x:f>
        <x:v>P1 green pen at R4 (5 cm toward the robot from center) [REFERENCE]; P2 red block 18 cm to the left of P1 [TARGET START]; P3 pink marker 15 cm in front of P1 [DISTRACTOR]</x:v>
      </x:c>
      <x:c r="E17" s="8" t="n">
        <x:f>IF(ISBLANK('Evaluation Plan'!E17),"",'Evaluation Plan'!E17)</x:f>
        <x:v>12</x:v>
      </x:c>
      <x:c r="F17" s="8" t="str">
        <x:f>'Evaluation Plan'!F17</x:f>
        <x:v>red block → 2–8 cm edge gap from green pen (any direction)</x:v>
      </x:c>
      <x:c r="G17" s="7"/>
      <x:c r="H17" s="8" t="str">
        <x:f>'Evaluation Plan'!H17</x:f>
        <x:v>Matched manipulation control</x:v>
      </x:c>
      <x:c r="I17" s="8" t="str">
        <x:f>'Evaluation Plan'!I17</x:f>
        <x:v>RP-F04</x:v>
      </x:c>
      <x:c r="J17" s="8" t="str">
        <x:f>'Evaluation Plan'!J17</x:f>
        <x:v>near</x:v>
      </x:c>
      <x:c r="K17" s="8" t="n">
        <x:f>'Evaluation Plan'!K17</x:f>
        <x:v>3</x:v>
      </x:c>
      <x:c r="L17" s="8" t="str">
        <x:f>'Evaluation Plan'!L17</x:f>
        <x:v>4 — Matched control — Seen near/next-to/beside relation on the same ordered pair (3 objects)</x:v>
      </x:c>
      <x:c r="M17" s="8" t="n">
        <x:f>'Evaluation Plan'!M17</x:f>
        <x:v>4</x:v>
      </x:c>
      <x:c r="N17" s="7" t="str">
        <x:f>'Evaluation Plan'!N17</x:f>
        <x:v>Reset only P2 to its marked start. Keep every object, camera setting, and pose fixed; change only the prompt.</x:v>
      </x:c>
      <x:c r="O17" s="7" t="str">
        <x:f>'Evaluation Plan'!O17</x:f>
        <x:v>Controls target/reference recognition and basic pick-place on the exact pair. It is skill-matched but not direction-endpoint-matched, so analyze the paired success delta separately.</x:v>
      </x:c>
      <x:c r="P17" s="7" t="str">
        <x:f>IF(ISBLANK('Evaluation Plan'!P17),"",'Evaluation Plan'!P17)</x:f>
      </x:c>
    </x:row>
    <x:row r="18" ht="64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red block to the front of the green pen.</x:v>
      </x:c>
      <x:c r="D18" s="10" t="str">
        <x:f>'Evaluation Plan'!D18</x:f>
        <x:v>P1 green pen at R5 (5 cm away from the robot from center) [REFERENCE]; P2 red block 21 cm behind P1 [TARGET START]; P3 pink marker 15 cm to the left of P1 [DISTRACTOR]</x:v>
      </x:c>
      <x:c r="E18" s="9" t="str">
        <x:f>IF(ISBLANK('Evaluation Plan'!E18),"",'Evaluation Plan'!E18)</x:f>
      </x:c>
      <x:c r="F18" s="9" t="str">
        <x:f>'Evaluation Plan'!F18</x:f>
        <x:v>red block → 2–8 cm edge gap in front of green pen; centroid direction within ±45°</x:v>
      </x:c>
      <x:c r="G18" s="10"/>
      <x:c r="H18" s="9" t="str">
        <x:f>'Evaluation Plan'!H18</x:f>
        <x:v>Concept/compositional transfer</x:v>
      </x:c>
      <x:c r="I18" s="9" t="str">
        <x:f>'Evaluation Plan'!I18</x:f>
        <x:v>RP-F05</x:v>
      </x:c>
      <x:c r="J18" s="9" t="str">
        <x:f>'Evaluation Plan'!J18</x:f>
        <x:v>front</x:v>
      </x:c>
      <x:c r="K18" s="9" t="n">
        <x:f>'Evaluation Plan'!K18</x:f>
        <x:v>3</x:v>
      </x:c>
      <x:c r="L18" s="9" t="str">
        <x:f>'Evaluation Plan'!L18</x:f>
        <x:v>1 — Canonical transfer — Held-out direction × green-pen/red-block pair (front)</x:v>
      </x:c>
      <x:c r="M18" s="9" t="n">
        <x:f>'Evaluation Plan'!M18</x:f>
        <x:v>5</x:v>
      </x:c>
      <x:c r="N18" s="10" t="str">
        <x:f>'Evaluation Plan'!N18</x:f>
        <x:v>Build the marked scene. Target starts in the opposite sector and outside the success gap; save a first-frame filename.</x:v>
      </x:c>
      <x:c r="O18" s="10" t="str">
        <x:f>'Evaluation Plan'!O18</x:f>
        <x:v>Directional language is trained on other object pairs, but all directional green-pen/red-block demonstrations are withheld in both target/reference directions.</x:v>
      </x:c>
      <x:c r="P18" s="10" t="str">
        <x:f>IF(ISBLANK('Evaluation Plan'!P18),"",'Evaluation Plan'!P18)</x:f>
      </x:c>
    </x:row>
    <x:row r="19" ht="64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red block on the table behind the green pen.</x:v>
      </x:c>
      <x:c r="D19" s="7" t="str">
        <x:f>'Evaluation Plan'!D19</x:f>
        <x:v>P1 green pen at R5 (5 cm away from the robot from center) [REFERENCE]; P2 red block 21 cm behind P1 [TARGET START]; P3 pink marker 15 cm to the left of P1 [DISTRACTOR]</x:v>
      </x:c>
      <x:c r="E19" s="8" t="n">
        <x:f>IF(ISBLANK('Evaluation Plan'!E19),"",'Evaluation Plan'!E19)</x:f>
        <x:v>16</x:v>
      </x:c>
      <x:c r="F19" s="8" t="str">
        <x:f>'Evaluation Plan'!F19</x:f>
        <x:v>red block → 2–8 cm edge gap behind green pen; centroid direction within ±45°</x:v>
      </x:c>
      <x:c r="G19" s="7"/>
      <x:c r="H19" s="8" t="str">
        <x:f>'Evaluation Plan'!H19</x:f>
        <x:v>Exact-scene opposite-direction contrast</x:v>
      </x:c>
      <x:c r="I19" s="8" t="str">
        <x:f>'Evaluation Plan'!I19</x:f>
        <x:v>RP-F05</x:v>
      </x:c>
      <x:c r="J19" s="8" t="str">
        <x:f>'Evaluation Plan'!J19</x:f>
        <x:v>behind</x:v>
      </x:c>
      <x:c r="K19" s="8" t="n">
        <x:f>'Evaluation Plan'!K19</x:f>
        <x:v>3</x:v>
      </x:c>
      <x:c r="L19" s="8" t="str">
        <x:f>'Evaluation Plan'!L19</x:f>
        <x:v>2 — Exact-scene opposite-direction contrast — Direction-word counterfactual (front→behind)</x:v>
      </x:c>
      <x:c r="M19" s="8" t="n">
        <x:f>'Evaluation Plan'!M19</x:f>
        <x:v>5</x:v>
      </x:c>
      <x:c r="N19" s="7" t="str">
        <x:f>'Evaluation Plan'!N19</x:f>
        <x:v>Reset only P2 to its marked start. Preserve the exact scene; change only the directional word and expected goal sector.</x:v>
      </x:c>
      <x:c r="O19" s="7" t="str">
        <x:f>'Evaluation Plan'!O19</x:f>
        <x:v>Exact-scene semantic counterfactual. Target and reference identities stay fixed while the requested endpoint reverses front↔behind or left↔right.</x:v>
      </x:c>
      <x:c r="P19" s="7" t="str">
        <x:f>IF(ISBLANK('Evaluation Plan'!P19),"",'Evaluation Plan'!P19)</x:f>
      </x:c>
    </x:row>
    <x:row r="20" ht="64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red block to the robot-facing side of the green pen.</x:v>
      </x:c>
      <x:c r="D20" s="7" t="str">
        <x:f>'Evaluation Plan'!D20</x:f>
        <x:v>P1 green pen at R5 (5 cm away from the robot from center) [REFERENCE]; P2 red block 21 cm behind P1 [TARGET START]; P3 pink marker 15 cm to the left of P1 [DISTRACTOR]</x:v>
      </x:c>
      <x:c r="E20" s="8" t="n">
        <x:f>IF(ISBLANK('Evaluation Plan'!E20),"",'Evaluation Plan'!E20)</x:f>
        <x:v>16</x:v>
      </x:c>
      <x:c r="F20" s="8" t="str">
        <x:f>'Evaluation Plan'!F20</x:f>
        <x:v>red block → 2–8 cm edge gap in front of green pen; centroid direction within ±45°</x:v>
      </x:c>
      <x:c r="G20" s="7"/>
      <x:c r="H20" s="8" t="str">
        <x:f>'Evaluation Plan'!H20</x:f>
        <x:v>Language robustness</x:v>
      </x:c>
      <x:c r="I20" s="8" t="str">
        <x:f>'Evaluation Plan'!I20</x:f>
        <x:v>RP-F05</x:v>
      </x:c>
      <x:c r="J20" s="8" t="str">
        <x:f>'Evaluation Plan'!J20</x:f>
        <x:v>front</x:v>
      </x:c>
      <x:c r="K20" s="8" t="n">
        <x:f>'Evaluation Plan'!K20</x:f>
        <x:v>3</x:v>
      </x:c>
      <x:c r="L20" s="8" t="str">
        <x:f>'Evaluation Plan'!L20</x:f>
        <x:v>3 — Exact-scene transfer paraphrase — Paraphrase of concept/compositional-transfer prompt</x:v>
      </x:c>
      <x:c r="M20" s="8" t="n">
        <x:f>'Evaluation Plan'!M20</x:f>
        <x:v>5</x:v>
      </x:c>
      <x:c r="N20" s="7" t="str">
        <x:f>'Evaluation Plan'!N20</x:f>
        <x:v>Reset only P2 to its marked start; change only the prompt wording.</x:v>
      </x:c>
      <x:c r="O20" s="7" t="str">
        <x:f>'Evaluation Plan'!O20</x:f>
        <x:v>Exact-scene language comparison for the held-out pair composition.</x:v>
      </x:c>
      <x:c r="P20" s="7" t="str">
        <x:f>IF(ISBLANK('Evaluation Plan'!P20),"",'Evaluation Plan'!P20)</x:f>
      </x:c>
    </x:row>
    <x:row r="21" ht="64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Place the red block next to the green pen.</x:v>
      </x:c>
      <x:c r="D21" s="7" t="str">
        <x:f>'Evaluation Plan'!D21</x:f>
        <x:v>P1 green pen at R5 (5 cm away from the robot from center) [REFERENCE]; P2 red block 21 cm behind P1 [TARGET START]; P3 pink marker 15 cm to the left of P1 [DISTRACTOR]</x:v>
      </x:c>
      <x:c r="E21" s="8" t="n">
        <x:f>IF(ISBLANK('Evaluation Plan'!E21),"",'Evaluation Plan'!E21)</x:f>
        <x:v>16</x:v>
      </x:c>
      <x:c r="F21" s="8" t="str">
        <x:f>'Evaluation Plan'!F21</x:f>
        <x:v>red block → 2–8 cm edge gap from green pen (any direction)</x:v>
      </x:c>
      <x:c r="G21" s="7"/>
      <x:c r="H21" s="8" t="str">
        <x:f>'Evaluation Plan'!H21</x:f>
        <x:v>Matched manipulation control</x:v>
      </x:c>
      <x:c r="I21" s="8" t="str">
        <x:f>'Evaluation Plan'!I21</x:f>
        <x:v>RP-F05</x:v>
      </x:c>
      <x:c r="J21" s="8" t="str">
        <x:f>'Evaluation Plan'!J21</x:f>
        <x:v>near</x:v>
      </x:c>
      <x:c r="K21" s="8" t="n">
        <x:f>'Evaluation Plan'!K21</x:f>
        <x:v>3</x:v>
      </x:c>
      <x:c r="L21" s="8" t="str">
        <x:f>'Evaluation Plan'!L21</x:f>
        <x:v>4 — Matched control — Seen near/next-to/beside relation on the same ordered pair (3 objects)</x:v>
      </x:c>
      <x:c r="M21" s="8" t="n">
        <x:f>'Evaluation Plan'!M21</x:f>
        <x:v>5</x:v>
      </x:c>
      <x:c r="N21" s="7" t="str">
        <x:f>'Evaluation Plan'!N21</x:f>
        <x:v>Reset only P2 to its marked start. Keep every object, camera setting, and pose fixed; change only the prompt.</x:v>
      </x:c>
      <x:c r="O21" s="7" t="str">
        <x:f>'Evaluation Plan'!O21</x:f>
        <x:v>Controls target/reference recognition and basic pick-place on the exact pair. It is skill-matched but not direction-endpoint-matched, so analyze the paired success delta separately.</x:v>
      </x:c>
      <x:c r="P21" s="7" t="str">
        <x:f>IF(ISBLANK('Evaluation Plan'!P21),"",'Evaluation Plan'!P21)</x:f>
      </x:c>
    </x:row>
    <x:row r="22" ht="64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Put the green pen on the table behind the red block.</x:v>
      </x:c>
      <x:c r="D22" s="10" t="str">
        <x:f>'Evaluation Plan'!D22</x:f>
        <x:v>P1 red block at R1 (table center) [REFERENCE]; P2 green pen 24 cm in front of P1 [TARGET START]; P3 pink marker 15 cm to the left of P1 [DISTRACTOR]</x:v>
      </x:c>
      <x:c r="E22" s="9" t="str">
        <x:f>IF(ISBLANK('Evaluation Plan'!E22),"",'Evaluation Plan'!E22)</x:f>
      </x:c>
      <x:c r="F22" s="9" t="str">
        <x:f>'Evaluation Plan'!F22</x:f>
        <x:v>green pen → 2–8 cm edge gap behind red block; centroid direction within ±45°</x:v>
      </x:c>
      <x:c r="G22" s="10"/>
      <x:c r="H22" s="9" t="str">
        <x:f>'Evaluation Plan'!H22</x:f>
        <x:v>Concept/compositional transfer</x:v>
      </x:c>
      <x:c r="I22" s="9" t="str">
        <x:f>'Evaluation Plan'!I22</x:f>
        <x:v>RP-F06</x:v>
      </x:c>
      <x:c r="J22" s="9" t="str">
        <x:f>'Evaluation Plan'!J22</x:f>
        <x:v>behind</x:v>
      </x:c>
      <x:c r="K22" s="9" t="n">
        <x:f>'Evaluation Plan'!K22</x:f>
        <x:v>3</x:v>
      </x:c>
      <x:c r="L22" s="9" t="str">
        <x:f>'Evaluation Plan'!L22</x:f>
        <x:v>1 — Canonical transfer — Held-out direction × green-pen/red-block pair (behind)</x:v>
      </x:c>
      <x:c r="M22" s="9" t="n">
        <x:f>'Evaluation Plan'!M22</x:f>
        <x:v>6</x:v>
      </x:c>
      <x:c r="N22" s="10" t="str">
        <x:f>'Evaluation Plan'!N22</x:f>
        <x:v>Build the marked scene. Target starts in the opposite sector and outside the success gap; save a first-frame filename.</x:v>
      </x:c>
      <x:c r="O22" s="10" t="str">
        <x:f>'Evaluation Plan'!O22</x:f>
        <x:v>Directional language is trained on other object pairs, but all directional green-pen/red-block demonstrations are withheld in both target/reference directions.</x:v>
      </x:c>
      <x:c r="P22" s="10" t="str">
        <x:f>IF(ISBLANK('Evaluation Plan'!P22),"",'Evaluation Plan'!P22)</x:f>
      </x:c>
    </x:row>
    <x:row r="23" ht="64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green pen in front of the red block.</x:v>
      </x:c>
      <x:c r="D23" s="7" t="str">
        <x:f>'Evaluation Plan'!D23</x:f>
        <x:v>P1 red block at R1 (table center) [REFERENCE]; P2 green pen 24 cm in front of P1 [TARGET START]; P3 pink marker 15 cm to the left of P1 [DISTRACTOR]</x:v>
      </x:c>
      <x:c r="E23" s="8" t="n">
        <x:f>IF(ISBLANK('Evaluation Plan'!E23),"",'Evaluation Plan'!E23)</x:f>
        <x:v>20</x:v>
      </x:c>
      <x:c r="F23" s="8" t="str">
        <x:f>'Evaluation Plan'!F23</x:f>
        <x:v>green pen → 2–8 cm edge gap in front of red block; centroid direction within ±45°</x:v>
      </x:c>
      <x:c r="G23" s="7"/>
      <x:c r="H23" s="8" t="str">
        <x:f>'Evaluation Plan'!H23</x:f>
        <x:v>Exact-scene opposite-direction contrast</x:v>
      </x:c>
      <x:c r="I23" s="8" t="str">
        <x:f>'Evaluation Plan'!I23</x:f>
        <x:v>RP-F06</x:v>
      </x:c>
      <x:c r="J23" s="8" t="str">
        <x:f>'Evaluation Plan'!J23</x:f>
        <x:v>front</x:v>
      </x:c>
      <x:c r="K23" s="8" t="n">
        <x:f>'Evaluation Plan'!K23</x:f>
        <x:v>3</x:v>
      </x:c>
      <x:c r="L23" s="8" t="str">
        <x:f>'Evaluation Plan'!L23</x:f>
        <x:v>2 — Exact-scene opposite-direction contrast — Direction-word counterfactual (behind→front)</x:v>
      </x:c>
      <x:c r="M23" s="8" t="n">
        <x:f>'Evaluation Plan'!M23</x:f>
        <x:v>6</x:v>
      </x:c>
      <x:c r="N23" s="7" t="str">
        <x:f>'Evaluation Plan'!N23</x:f>
        <x:v>Reset only P2 to its marked start. Preserve the exact scene; change only the directional word and expected goal sector.</x:v>
      </x:c>
      <x:c r="O23" s="7" t="str">
        <x:f>'Evaluation Plan'!O23</x:f>
        <x:v>Exact-scene semantic counterfactual. Target and reference identities stay fixed while the requested endpoint reverses front↔behind or left↔right.</x:v>
      </x:c>
      <x:c r="P23" s="7" t="str">
        <x:f>IF(ISBLANK('Evaluation Plan'!P23),"",'Evaluation Plan'!P23)</x:f>
      </x:c>
    </x:row>
    <x:row r="24" ht="64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rear side of the red block.</x:v>
      </x:c>
      <x:c r="D24" s="7" t="str">
        <x:f>'Evaluation Plan'!D24</x:f>
        <x:v>P1 red block at R1 (table center) [REFERENCE]; P2 green pen 24 cm in front of P1 [TARGET START]; P3 pink marker 15 cm to the left of P1 [DISTRACTOR]</x:v>
      </x:c>
      <x:c r="E24" s="8" t="n">
        <x:f>IF(ISBLANK('Evaluation Plan'!E24),"",'Evaluation Plan'!E24)</x:f>
        <x:v>20</x:v>
      </x:c>
      <x:c r="F24" s="8" t="str">
        <x:f>'Evaluation Plan'!F24</x:f>
        <x:v>green pen → 2–8 cm edge gap behind red block; centroid direction within ±45°</x:v>
      </x:c>
      <x:c r="G24" s="7"/>
      <x:c r="H24" s="8" t="str">
        <x:f>'Evaluation Plan'!H24</x:f>
        <x:v>Language robustness</x:v>
      </x:c>
      <x:c r="I24" s="8" t="str">
        <x:f>'Evaluation Plan'!I24</x:f>
        <x:v>RP-F06</x:v>
      </x:c>
      <x:c r="J24" s="8" t="str">
        <x:f>'Evaluation Plan'!J24</x:f>
        <x:v>behind</x:v>
      </x:c>
      <x:c r="K24" s="8" t="n">
        <x:f>'Evaluation Plan'!K24</x:f>
        <x:v>3</x:v>
      </x:c>
      <x:c r="L24" s="8" t="str">
        <x:f>'Evaluation Plan'!L24</x:f>
        <x:v>3 — Exact-scene transfer paraphrase — Paraphrase of concept/compositional-transfer prompt</x:v>
      </x:c>
      <x:c r="M24" s="8" t="n">
        <x:f>'Evaluation Plan'!M24</x:f>
        <x:v>6</x:v>
      </x:c>
      <x:c r="N24" s="7" t="str">
        <x:f>'Evaluation Plan'!N24</x:f>
        <x:v>Reset only P2 to its marked start; change only the prompt wording.</x:v>
      </x:c>
      <x:c r="O24" s="7" t="str">
        <x:f>'Evaluation Plan'!O24</x:f>
        <x:v>Exact-scene language comparison for the held-out pair composition.</x:v>
      </x:c>
      <x:c r="P24" s="7" t="str">
        <x:f>IF(ISBLANK('Evaluation Plan'!P24),"",'Evaluation Plan'!P24)</x:f>
      </x:c>
    </x:row>
    <x:row r="25" ht="64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Put the green pen beside the red block.</x:v>
      </x:c>
      <x:c r="D25" s="7" t="str">
        <x:f>'Evaluation Plan'!D25</x:f>
        <x:v>P1 red block at R1 (table center) [REFERENCE]; P2 green pen 24 cm in front of P1 [TARGET START]; P3 pink marker 15 cm to the left of P1 [DISTRACTOR]</x:v>
      </x:c>
      <x:c r="E25" s="8" t="n">
        <x:f>IF(ISBLANK('Evaluation Plan'!E25),"",'Evaluation Plan'!E25)</x:f>
        <x:v>20</x:v>
      </x:c>
      <x:c r="F25" s="8" t="str">
        <x:f>'Evaluation Plan'!F25</x:f>
        <x:v>green pen → 2–8 cm edge gap from red block (any direction)</x:v>
      </x:c>
      <x:c r="G25" s="7"/>
      <x:c r="H25" s="8" t="str">
        <x:f>'Evaluation Plan'!H25</x:f>
        <x:v>Matched manipulation control</x:v>
      </x:c>
      <x:c r="I25" s="8" t="str">
        <x:f>'Evaluation Plan'!I25</x:f>
        <x:v>RP-F06</x:v>
      </x:c>
      <x:c r="J25" s="8" t="str">
        <x:f>'Evaluation Plan'!J25</x:f>
        <x:v>near</x:v>
      </x:c>
      <x:c r="K25" s="8" t="n">
        <x:f>'Evaluation Plan'!K25</x:f>
        <x:v>3</x:v>
      </x:c>
      <x:c r="L25" s="8" t="str">
        <x:f>'Evaluation Plan'!L25</x:f>
        <x:v>4 — Matched control — Seen near/next-to/beside relation on the same ordered pair (3 objects)</x:v>
      </x:c>
      <x:c r="M25" s="8" t="n">
        <x:f>'Evaluation Plan'!M25</x:f>
        <x:v>6</x:v>
      </x:c>
      <x:c r="N25" s="7" t="str">
        <x:f>'Evaluation Plan'!N25</x:f>
        <x:v>Reset only P2 to its marked start. Keep every object, camera setting, and pose fixed; change only the prompt.</x:v>
      </x:c>
      <x:c r="O25" s="7" t="str">
        <x:f>'Evaluation Plan'!O25</x:f>
        <x:v>Controls target/reference recognition and basic pick-place on the exact pair. It is skill-matched but not direction-endpoint-matched, so analyze the paired success delta separately.</x:v>
      </x:c>
      <x:c r="P25" s="7" t="str">
        <x:f>IF(ISBLANK('Evaluation Plan'!P25),"",'Evaluation Plan'!P25)</x:f>
      </x:c>
    </x:row>
    <x:row r="26" ht="64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red block to the left of the green pen.</x:v>
      </x:c>
      <x:c r="D26" s="10" t="str">
        <x:f>'Evaluation Plan'!D26</x:f>
        <x:v>P1 green pen at R2 (5 cm left of center) [REFERENCE]; P2 red block 18 cm to the right of P1 [TARGET START]; P3 pink marker 15 cm in front of P1 [DISTRACTOR]</x:v>
      </x:c>
      <x:c r="E26" s="9" t="str">
        <x:f>IF(ISBLANK('Evaluation Plan'!E26),"",'Evaluation Plan'!E26)</x:f>
      </x:c>
      <x:c r="F26" s="9" t="str">
        <x:f>'Evaluation Plan'!F26</x:f>
        <x:v>red block → 2–8 cm edge gap to the left of green pen; centroid direction within ±45°</x:v>
      </x:c>
      <x:c r="G26" s="10"/>
      <x:c r="H26" s="9" t="str">
        <x:f>'Evaluation Plan'!H26</x:f>
        <x:v>Concept/compositional transfer</x:v>
      </x:c>
      <x:c r="I26" s="9" t="str">
        <x:f>'Evaluation Plan'!I26</x:f>
        <x:v>RP-F07</x:v>
      </x:c>
      <x:c r="J26" s="9" t="str">
        <x:f>'Evaluation Plan'!J26</x:f>
        <x:v>left</x:v>
      </x:c>
      <x:c r="K26" s="9" t="n">
        <x:f>'Evaluation Plan'!K26</x:f>
        <x:v>3</x:v>
      </x:c>
      <x:c r="L26" s="9" t="str">
        <x:f>'Evaluation Plan'!L26</x:f>
        <x:v>1 — Canonical transfer — Held-out direction × green-pen/red-block pair (left)</x:v>
      </x:c>
      <x:c r="M26" s="9" t="n">
        <x:f>'Evaluation Plan'!M26</x:f>
        <x:v>7</x:v>
      </x:c>
      <x:c r="N26" s="10" t="str">
        <x:f>'Evaluation Plan'!N26</x:f>
        <x:v>Build the marked scene. Target starts in the opposite sector and outside the success gap; save a first-frame filename.</x:v>
      </x:c>
      <x:c r="O26" s="10" t="str">
        <x:f>'Evaluation Plan'!O26</x:f>
        <x:v>Directional language is trained on other object pairs, but all directional green-pen/red-block demonstrations are withheld in both target/reference directions.</x:v>
      </x:c>
      <x:c r="P26" s="10" t="str">
        <x:f>IF(ISBLANK('Evaluation Plan'!P26),"",'Evaluation Plan'!P26)</x:f>
      </x:c>
    </x:row>
    <x:row r="27" ht="64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red block to the right of the green pen.</x:v>
      </x:c>
      <x:c r="D27" s="7" t="str">
        <x:f>'Evaluation Plan'!D27</x:f>
        <x:v>P1 green pen at R2 (5 cm left of center) [REFERENCE]; P2 red block 18 cm to the right of P1 [TARGET START]; P3 pink marker 15 cm in front of P1 [DISTRACTOR]</x:v>
      </x:c>
      <x:c r="E27" s="8" t="n">
        <x:f>IF(ISBLANK('Evaluation Plan'!E27),"",'Evaluation Plan'!E27)</x:f>
        <x:v>24</x:v>
      </x:c>
      <x:c r="F27" s="8" t="str">
        <x:f>'Evaluation Plan'!F27</x:f>
        <x:v>red block → 2–8 cm edge gap to the right of green pen; centroid direction within ±45°</x:v>
      </x:c>
      <x:c r="G27" s="7"/>
      <x:c r="H27" s="8" t="str">
        <x:f>'Evaluation Plan'!H27</x:f>
        <x:v>Exact-scene opposite-direction contrast</x:v>
      </x:c>
      <x:c r="I27" s="8" t="str">
        <x:f>'Evaluation Plan'!I27</x:f>
        <x:v>RP-F07</x:v>
      </x:c>
      <x:c r="J27" s="8" t="str">
        <x:f>'Evaluation Plan'!J27</x:f>
        <x:v>right</x:v>
      </x:c>
      <x:c r="K27" s="8" t="n">
        <x:f>'Evaluation Plan'!K27</x:f>
        <x:v>3</x:v>
      </x:c>
      <x:c r="L27" s="8" t="str">
        <x:f>'Evaluation Plan'!L27</x:f>
        <x:v>2 — Exact-scene opposite-direction contrast — Direction-word counterfactual (left→right)</x:v>
      </x:c>
      <x:c r="M27" s="8" t="n">
        <x:f>'Evaluation Plan'!M27</x:f>
        <x:v>7</x:v>
      </x:c>
      <x:c r="N27" s="7" t="str">
        <x:f>'Evaluation Plan'!N27</x:f>
        <x:v>Reset only P2 to its marked start. Preserve the exact scene; change only the directional word and expected goal sector.</x:v>
      </x:c>
      <x:c r="O27" s="7" t="str">
        <x:f>'Evaluation Plan'!O27</x:f>
        <x:v>Exact-scene semantic counterfactual. Target and reference identities stay fixed while the requested endpoint reverses front↔behind or left↔right.</x:v>
      </x:c>
      <x:c r="P27" s="7" t="str">
        <x:f>IF(ISBLANK('Evaluation Plan'!P27),"",'Evaluation Plan'!P27)</x:f>
      </x:c>
    </x:row>
    <x:row r="28" ht="64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Set the red block on the left-hand side of the green pen.</x:v>
      </x:c>
      <x:c r="D28" s="7" t="str">
        <x:f>'Evaluation Plan'!D28</x:f>
        <x:v>P1 green pen at R2 (5 cm left of center) [REFERENCE]; P2 red block 18 cm to the right of P1 [TARGET START]; P3 pink marker 15 cm in front of P1 [DISTRACTOR]</x:v>
      </x:c>
      <x:c r="E28" s="8" t="n">
        <x:f>IF(ISBLANK('Evaluation Plan'!E28),"",'Evaluation Plan'!E28)</x:f>
        <x:v>24</x:v>
      </x:c>
      <x:c r="F28" s="8" t="str">
        <x:f>'Evaluation Plan'!F28</x:f>
        <x:v>red block → 2–8 cm edge gap to the left of green pen; centroid direction within ±45°</x:v>
      </x:c>
      <x:c r="G28" s="7"/>
      <x:c r="H28" s="8" t="str">
        <x:f>'Evaluation Plan'!H28</x:f>
        <x:v>Language robustness</x:v>
      </x:c>
      <x:c r="I28" s="8" t="str">
        <x:f>'Evaluation Plan'!I28</x:f>
        <x:v>RP-F07</x:v>
      </x:c>
      <x:c r="J28" s="8" t="str">
        <x:f>'Evaluation Plan'!J28</x:f>
        <x:v>left</x:v>
      </x:c>
      <x:c r="K28" s="8" t="n">
        <x:f>'Evaluation Plan'!K28</x:f>
        <x:v>3</x:v>
      </x:c>
      <x:c r="L28" s="8" t="str">
        <x:f>'Evaluation Plan'!L28</x:f>
        <x:v>3 — Exact-scene transfer paraphrase — Paraphrase of concept/compositional-transfer prompt</x:v>
      </x:c>
      <x:c r="M28" s="8" t="n">
        <x:f>'Evaluation Plan'!M28</x:f>
        <x:v>7</x:v>
      </x:c>
      <x:c r="N28" s="7" t="str">
        <x:f>'Evaluation Plan'!N28</x:f>
        <x:v>Reset only P2 to its marked start; change only the prompt wording.</x:v>
      </x:c>
      <x:c r="O28" s="7" t="str">
        <x:f>'Evaluation Plan'!O28</x:f>
        <x:v>Exact-scene language comparison for the held-out pair composition.</x:v>
      </x:c>
      <x:c r="P28" s="7" t="str">
        <x:f>IF(ISBLANK('Evaluation Plan'!P28),"",'Evaluation Plan'!P28)</x:f>
      </x:c>
    </x:row>
    <x:row r="29" ht="64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Move the red block near the green pen.</x:v>
      </x:c>
      <x:c r="D29" s="7" t="str">
        <x:f>'Evaluation Plan'!D29</x:f>
        <x:v>P1 green pen at R2 (5 cm left of center) [REFERENCE]; P2 red block 18 cm to the right of P1 [TARGET START]; P3 pink marker 15 cm in front of P1 [DISTRACTOR]</x:v>
      </x:c>
      <x:c r="E29" s="8" t="n">
        <x:f>IF(ISBLANK('Evaluation Plan'!E29),"",'Evaluation Plan'!E29)</x:f>
        <x:v>24</x:v>
      </x:c>
      <x:c r="F29" s="8" t="str">
        <x:f>'Evaluation Plan'!F29</x:f>
        <x:v>red block → 2–8 cm edge gap from green pen (any direction)</x:v>
      </x:c>
      <x:c r="G29" s="7"/>
      <x:c r="H29" s="8" t="str">
        <x:f>'Evaluation Plan'!H29</x:f>
        <x:v>Matched manipulation control</x:v>
      </x:c>
      <x:c r="I29" s="8" t="str">
        <x:f>'Evaluation Plan'!I29</x:f>
        <x:v>RP-F07</x:v>
      </x:c>
      <x:c r="J29" s="8" t="str">
        <x:f>'Evaluation Plan'!J29</x:f>
        <x:v>near</x:v>
      </x:c>
      <x:c r="K29" s="8" t="n">
        <x:f>'Evaluation Plan'!K29</x:f>
        <x:v>3</x:v>
      </x:c>
      <x:c r="L29" s="8" t="str">
        <x:f>'Evaluation Plan'!L29</x:f>
        <x:v>4 — Matched control — Seen near/next-to/beside relation on the same ordered pair (3 objects)</x:v>
      </x:c>
      <x:c r="M29" s="8" t="n">
        <x:f>'Evaluation Plan'!M29</x:f>
        <x:v>7</x:v>
      </x:c>
      <x:c r="N29" s="7" t="str">
        <x:f>'Evaluation Plan'!N29</x:f>
        <x:v>Reset only P2 to its marked start. Keep every object, camera setting, and pose fixed; change only the prompt.</x:v>
      </x:c>
      <x:c r="O29" s="7" t="str">
        <x:f>'Evaluation Plan'!O29</x:f>
        <x:v>Controls target/reference recognition and basic pick-place on the exact pair. It is skill-matched but not direction-endpoint-matched, so analyze the paired success delta separately.</x:v>
      </x:c>
      <x:c r="P29" s="7" t="str">
        <x:f>IF(ISBLANK('Evaluation Plan'!P29),"",'Evaluation Plan'!P29)</x:f>
      </x:c>
    </x:row>
    <x:row r="30" ht="64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Place the green pen to the right of the red block.</x:v>
      </x:c>
      <x:c r="D30" s="10" t="str">
        <x:f>'Evaluation Plan'!D30</x:f>
        <x:v>P1 red block at R3 (5 cm right of center) [REFERENCE]; P2 green pen 21 cm to the left of P1 [TARGET START]; P3 pink marker 15 cm in front of P1 [DISTRACTOR]</x:v>
      </x:c>
      <x:c r="E30" s="9" t="str">
        <x:f>IF(ISBLANK('Evaluation Plan'!E30),"",'Evaluation Plan'!E30)</x:f>
      </x:c>
      <x:c r="F30" s="9" t="str">
        <x:f>'Evaluation Plan'!F30</x:f>
        <x:v>green pen → 2–8 cm edge gap to the right of red block; centroid direction within ±45°</x:v>
      </x:c>
      <x:c r="G30" s="10"/>
      <x:c r="H30" s="9" t="str">
        <x:f>'Evaluation Plan'!H30</x:f>
        <x:v>Concept/compositional transfer</x:v>
      </x:c>
      <x:c r="I30" s="9" t="str">
        <x:f>'Evaluation Plan'!I30</x:f>
        <x:v>RP-F08</x:v>
      </x:c>
      <x:c r="J30" s="9" t="str">
        <x:f>'Evaluation Plan'!J30</x:f>
        <x:v>right</x:v>
      </x:c>
      <x:c r="K30" s="9" t="n">
        <x:f>'Evaluation Plan'!K30</x:f>
        <x:v>3</x:v>
      </x:c>
      <x:c r="L30" s="9" t="str">
        <x:f>'Evaluation Plan'!L30</x:f>
        <x:v>1 — Canonical transfer — Held-out direction × green-pen/red-block pair (right)</x:v>
      </x:c>
      <x:c r="M30" s="9" t="n">
        <x:f>'Evaluation Plan'!M30</x:f>
        <x:v>8</x:v>
      </x:c>
      <x:c r="N30" s="10" t="str">
        <x:f>'Evaluation Plan'!N30</x:f>
        <x:v>Build the marked scene. Target starts in the opposite sector and outside the success gap; save a first-frame filename.</x:v>
      </x:c>
      <x:c r="O30" s="10" t="str">
        <x:f>'Evaluation Plan'!O30</x:f>
        <x:v>Directional language is trained on other object pairs, but all directional green-pen/red-block demonstrations are withheld in both target/reference directions.</x:v>
      </x:c>
      <x:c r="P30" s="10" t="str">
        <x:f>IF(ISBLANK('Evaluation Plan'!P30),"",'Evaluation Plan'!P30)</x:f>
      </x:c>
    </x:row>
    <x:row r="31" ht="64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Place the green pen to the left of the red block.</x:v>
      </x:c>
      <x:c r="D31" s="7" t="str">
        <x:f>'Evaluation Plan'!D31</x:f>
        <x:v>P1 red block at R3 (5 cm right of center) [REFERENCE]; P2 green pen 21 cm to the left of P1 [TARGET START]; P3 pink marker 15 cm in front of P1 [DISTRACTOR]</x:v>
      </x:c>
      <x:c r="E31" s="8" t="n">
        <x:f>IF(ISBLANK('Evaluation Plan'!E31),"",'Evaluation Plan'!E31)</x:f>
        <x:v>28</x:v>
      </x:c>
      <x:c r="F31" s="8" t="str">
        <x:f>'Evaluation Plan'!F31</x:f>
        <x:v>green pen → 2–8 cm edge gap to the left of red block; centroid direction within ±45°</x:v>
      </x:c>
      <x:c r="G31" s="7"/>
      <x:c r="H31" s="8" t="str">
        <x:f>'Evaluation Plan'!H31</x:f>
        <x:v>Exact-scene opposite-direction contrast</x:v>
      </x:c>
      <x:c r="I31" s="8" t="str">
        <x:f>'Evaluation Plan'!I31</x:f>
        <x:v>RP-F08</x:v>
      </x:c>
      <x:c r="J31" s="8" t="str">
        <x:f>'Evaluation Plan'!J31</x:f>
        <x:v>left</x:v>
      </x:c>
      <x:c r="K31" s="8" t="n">
        <x:f>'Evaluation Plan'!K31</x:f>
        <x:v>3</x:v>
      </x:c>
      <x:c r="L31" s="8" t="str">
        <x:f>'Evaluation Plan'!L31</x:f>
        <x:v>2 — Exact-scene opposite-direction contrast — Direction-word counterfactual (right→left)</x:v>
      </x:c>
      <x:c r="M31" s="8" t="n">
        <x:f>'Evaluation Plan'!M31</x:f>
        <x:v>8</x:v>
      </x:c>
      <x:c r="N31" s="7" t="str">
        <x:f>'Evaluation Plan'!N31</x:f>
        <x:v>Reset only P2 to its marked start. Preserve the exact scene; change only the directional word and expected goal sector.</x:v>
      </x:c>
      <x:c r="O31" s="7" t="str">
        <x:f>'Evaluation Plan'!O31</x:f>
        <x:v>Exact-scene semantic counterfactual. Target and reference identities stay fixed while the requested endpoint reverses front↔behind or left↔right.</x:v>
      </x:c>
      <x:c r="P31" s="7" t="str">
        <x:f>IF(ISBLANK('Evaluation Plan'!P31),"",'Evaluation Plan'!P31)</x:f>
      </x:c>
    </x:row>
    <x:row r="32" ht="64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the green pen to the side immediately right of the red block.</x:v>
      </x:c>
      <x:c r="D32" s="7" t="str">
        <x:f>'Evaluation Plan'!D32</x:f>
        <x:v>P1 red block at R3 (5 cm right of center) [REFERENCE]; P2 green pen 21 cm to the left of P1 [TARGET START]; P3 pink marker 15 cm in front of P1 [DISTRACTOR]</x:v>
      </x:c>
      <x:c r="E32" s="8" t="n">
        <x:f>IF(ISBLANK('Evaluation Plan'!E32),"",'Evaluation Plan'!E32)</x:f>
        <x:v>28</x:v>
      </x:c>
      <x:c r="F32" s="8" t="str">
        <x:f>'Evaluation Plan'!F32</x:f>
        <x:v>green pen → 2–8 cm edge gap to the right of red block; centroid direction within ±45°</x:v>
      </x:c>
      <x:c r="G32" s="7"/>
      <x:c r="H32" s="8" t="str">
        <x:f>'Evaluation Plan'!H32</x:f>
        <x:v>Language robustness</x:v>
      </x:c>
      <x:c r="I32" s="8" t="str">
        <x:f>'Evaluation Plan'!I32</x:f>
        <x:v>RP-F08</x:v>
      </x:c>
      <x:c r="J32" s="8" t="str">
        <x:f>'Evaluation Plan'!J32</x:f>
        <x:v>right</x:v>
      </x:c>
      <x:c r="K32" s="8" t="n">
        <x:f>'Evaluation Plan'!K32</x:f>
        <x:v>3</x:v>
      </x:c>
      <x:c r="L32" s="8" t="str">
        <x:f>'Evaluation Plan'!L32</x:f>
        <x:v>3 — Exact-scene transfer paraphrase — Paraphrase of concept/compositional-transfer prompt</x:v>
      </x:c>
      <x:c r="M32" s="8" t="n">
        <x:f>'Evaluation Plan'!M32</x:f>
        <x:v>8</x:v>
      </x:c>
      <x:c r="N32" s="7" t="str">
        <x:f>'Evaluation Plan'!N32</x:f>
        <x:v>Reset only P2 to its marked start; change only the prompt wording.</x:v>
      </x:c>
      <x:c r="O32" s="7" t="str">
        <x:f>'Evaluation Plan'!O32</x:f>
        <x:v>Exact-scene language comparison for the held-out pair composition.</x:v>
      </x:c>
      <x:c r="P32" s="7" t="str">
        <x:f>IF(ISBLANK('Evaluation Plan'!P32),"",'Evaluation Plan'!P32)</x:f>
      </x:c>
    </x:row>
    <x:row r="33" ht="64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green pen next to the red block.</x:v>
      </x:c>
      <x:c r="D33" s="7" t="str">
        <x:f>'Evaluation Plan'!D33</x:f>
        <x:v>P1 red block at R3 (5 cm right of center) [REFERENCE]; P2 green pen 21 cm to the left of P1 [TARGET START]; P3 pink marker 15 cm in front of P1 [DISTRACTOR]</x:v>
      </x:c>
      <x:c r="E33" s="8" t="n">
        <x:f>IF(ISBLANK('Evaluation Plan'!E33),"",'Evaluation Plan'!E33)</x:f>
        <x:v>28</x:v>
      </x:c>
      <x:c r="F33" s="8" t="str">
        <x:f>'Evaluation Plan'!F33</x:f>
        <x:v>green pen → 2–8 cm edge gap from red block (any direction)</x:v>
      </x:c>
      <x:c r="G33" s="7"/>
      <x:c r="H33" s="8" t="str">
        <x:f>'Evaluation Plan'!H33</x:f>
        <x:v>Matched manipulation control</x:v>
      </x:c>
      <x:c r="I33" s="8" t="str">
        <x:f>'Evaluation Plan'!I33</x:f>
        <x:v>RP-F08</x:v>
      </x:c>
      <x:c r="J33" s="8" t="str">
        <x:f>'Evaluation Plan'!J33</x:f>
        <x:v>near</x:v>
      </x:c>
      <x:c r="K33" s="8" t="n">
        <x:f>'Evaluation Plan'!K33</x:f>
        <x:v>3</x:v>
      </x:c>
      <x:c r="L33" s="8" t="str">
        <x:f>'Evaluation Plan'!L33</x:f>
        <x:v>4 — Matched control — Seen near/next-to/beside relation on the same ordered pair (3 objects)</x:v>
      </x:c>
      <x:c r="M33" s="8" t="n">
        <x:f>'Evaluation Plan'!M33</x:f>
        <x:v>8</x:v>
      </x:c>
      <x:c r="N33" s="7" t="str">
        <x:f>'Evaluation Plan'!N33</x:f>
        <x:v>Reset only P2 to its marked start. Keep every object, camera setting, and pose fixed; change only the prompt.</x:v>
      </x:c>
      <x:c r="O33" s="7" t="str">
        <x:f>'Evaluation Plan'!O33</x:f>
        <x:v>Controls target/reference recognition and basic pick-place on the exact pair. It is skill-matched but not direction-endpoint-matched, so analyze the paired success delta separately.</x:v>
      </x:c>
      <x:c r="P33" s="7" t="str">
        <x:f>IF(ISBLANK('Evaluation Plan'!P33),"",'Evaluation Plan'!P33)</x:f>
      </x:c>
    </x:row>
    <x:row r="34" ht="64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green pen on the table in front of the red block.</x:v>
      </x:c>
      <x:c r="D34" s="10" t="str">
        <x:f>'Evaluation Plan'!D34</x:f>
        <x:v>P1 red block at R4 (5 cm toward the robot from center) [REFERENCE]; P2 green pen 24 cm behind P1 [TARGET START]; P3 pink marker 15 cm to the left of P1 [DISTRACTOR]</x:v>
      </x:c>
      <x:c r="E34" s="9" t="str">
        <x:f>IF(ISBLANK('Evaluation Plan'!E34),"",'Evaluation Plan'!E34)</x:f>
      </x:c>
      <x:c r="F34" s="9" t="str">
        <x:f>'Evaluation Plan'!F34</x:f>
        <x:v>green pen → 2–8 cm edge gap in front of red block; centroid direction within ±45°</x:v>
      </x:c>
      <x:c r="G34" s="10"/>
      <x:c r="H34" s="9" t="str">
        <x:f>'Evaluation Plan'!H34</x:f>
        <x:v>Concept/compositional transfer</x:v>
      </x:c>
      <x:c r="I34" s="9" t="str">
        <x:f>'Evaluation Plan'!I34</x:f>
        <x:v>RP-F09</x:v>
      </x:c>
      <x:c r="J34" s="9" t="str">
        <x:f>'Evaluation Plan'!J34</x:f>
        <x:v>front</x:v>
      </x:c>
      <x:c r="K34" s="9" t="n">
        <x:f>'Evaluation Plan'!K34</x:f>
        <x:v>3</x:v>
      </x:c>
      <x:c r="L34" s="9" t="str">
        <x:f>'Evaluation Plan'!L34</x:f>
        <x:v>1 — Canonical transfer — Held-out direction × green-pen/red-block pair (front)</x:v>
      </x:c>
      <x:c r="M34" s="9" t="n">
        <x:f>'Evaluation Plan'!M34</x:f>
        <x:v>9</x:v>
      </x:c>
      <x:c r="N34" s="10" t="str">
        <x:f>'Evaluation Plan'!N34</x:f>
        <x:v>Build the marked scene. Target starts in the opposite sector and outside the success gap; save a first-frame filename.</x:v>
      </x:c>
      <x:c r="O34" s="10" t="str">
        <x:f>'Evaluation Plan'!O34</x:f>
        <x:v>Directional language is trained on other object pairs, but all directional green-pen/red-block demonstrations are withheld in both target/reference directions.</x:v>
      </x:c>
      <x:c r="P34" s="10" t="str">
        <x:f>IF(ISBLANK('Evaluation Plan'!P34),"",'Evaluation Plan'!P34)</x:f>
      </x:c>
    </x:row>
    <x:row r="35" ht="64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Place the green pen behind the red block.</x:v>
      </x:c>
      <x:c r="D35" s="7" t="str">
        <x:f>'Evaluation Plan'!D35</x:f>
        <x:v>P1 red block at R4 (5 cm toward the robot from center) [REFERENCE]; P2 green pen 24 cm behind P1 [TARGET START]; P3 pink marker 15 cm to the left of P1 [DISTRACTOR]</x:v>
      </x:c>
      <x:c r="E35" s="8" t="n">
        <x:f>IF(ISBLANK('Evaluation Plan'!E35),"",'Evaluation Plan'!E35)</x:f>
        <x:v>32</x:v>
      </x:c>
      <x:c r="F35" s="8" t="str">
        <x:f>'Evaluation Plan'!F35</x:f>
        <x:v>green pen → 2–8 cm edge gap behind red block; centroid direction within ±45°</x:v>
      </x:c>
      <x:c r="G35" s="7"/>
      <x:c r="H35" s="8" t="str">
        <x:f>'Evaluation Plan'!H35</x:f>
        <x:v>Exact-scene opposite-direction contrast</x:v>
      </x:c>
      <x:c r="I35" s="8" t="str">
        <x:f>'Evaluation Plan'!I35</x:f>
        <x:v>RP-F09</x:v>
      </x:c>
      <x:c r="J35" s="8" t="str">
        <x:f>'Evaluation Plan'!J35</x:f>
        <x:v>behind</x:v>
      </x:c>
      <x:c r="K35" s="8" t="n">
        <x:f>'Evaluation Plan'!K35</x:f>
        <x:v>3</x:v>
      </x:c>
      <x:c r="L35" s="8" t="str">
        <x:f>'Evaluation Plan'!L35</x:f>
        <x:v>2 — Exact-scene opposite-direction contrast — Direction-word counterfactual (front→behind)</x:v>
      </x:c>
      <x:c r="M35" s="8" t="n">
        <x:f>'Evaluation Plan'!M35</x:f>
        <x:v>9</x:v>
      </x:c>
      <x:c r="N35" s="7" t="str">
        <x:f>'Evaluation Plan'!N35</x:f>
        <x:v>Reset only P2 to its marked start. Preserve the exact scene; change only the directional word and expected goal sector.</x:v>
      </x:c>
      <x:c r="O35" s="7" t="str">
        <x:f>'Evaluation Plan'!O35</x:f>
        <x:v>Exact-scene semantic counterfactual. Target and reference identities stay fixed while the requested endpoint reverses front↔behind or left↔right.</x:v>
      </x:c>
      <x:c r="P35" s="7" t="str">
        <x:f>IF(ISBLANK('Evaluation Plan'!P35),"",'Evaluation Plan'!P35)</x:f>
      </x:c>
    </x:row>
    <x:row r="36" ht="64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green pen to the robot-facing side of the red block.</x:v>
      </x:c>
      <x:c r="D36" s="7" t="str">
        <x:f>'Evaluation Plan'!D36</x:f>
        <x:v>P1 red block at R4 (5 cm toward the robot from center) [REFERENCE]; P2 green pen 24 cm behind P1 [TARGET START]; P3 pink marker 15 cm to the left of P1 [DISTRACTOR]</x:v>
      </x:c>
      <x:c r="E36" s="8" t="n">
        <x:f>IF(ISBLANK('Evaluation Plan'!E36),"",'Evaluation Plan'!E36)</x:f>
        <x:v>32</x:v>
      </x:c>
      <x:c r="F36" s="8" t="str">
        <x:f>'Evaluation Plan'!F36</x:f>
        <x:v>green pen → 2–8 cm edge gap in front of red block; centroid direction within ±45°</x:v>
      </x:c>
      <x:c r="G36" s="7"/>
      <x:c r="H36" s="8" t="str">
        <x:f>'Evaluation Plan'!H36</x:f>
        <x:v>Language robustness</x:v>
      </x:c>
      <x:c r="I36" s="8" t="str">
        <x:f>'Evaluation Plan'!I36</x:f>
        <x:v>RP-F09</x:v>
      </x:c>
      <x:c r="J36" s="8" t="str">
        <x:f>'Evaluation Plan'!J36</x:f>
        <x:v>front</x:v>
      </x:c>
      <x:c r="K36" s="8" t="n">
        <x:f>'Evaluation Plan'!K36</x:f>
        <x:v>3</x:v>
      </x:c>
      <x:c r="L36" s="8" t="str">
        <x:f>'Evaluation Plan'!L36</x:f>
        <x:v>3 — Exact-scene transfer paraphrase — Paraphrase of concept/compositional-transfer prompt</x:v>
      </x:c>
      <x:c r="M36" s="8" t="n">
        <x:f>'Evaluation Plan'!M36</x:f>
        <x:v>9</x:v>
      </x:c>
      <x:c r="N36" s="7" t="str">
        <x:f>'Evaluation Plan'!N36</x:f>
        <x:v>Reset only P2 to its marked start; change only the prompt wording.</x:v>
      </x:c>
      <x:c r="O36" s="7" t="str">
        <x:f>'Evaluation Plan'!O36</x:f>
        <x:v>Exact-scene language comparison for the held-out pair composition.</x:v>
      </x:c>
      <x:c r="P36" s="7" t="str">
        <x:f>IF(ISBLANK('Evaluation Plan'!P36),"",'Evaluation Plan'!P36)</x:f>
      </x:c>
    </x:row>
    <x:row r="37" ht="64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Put the green pen beside the red block.</x:v>
      </x:c>
      <x:c r="D37" s="7" t="str">
        <x:f>'Evaluation Plan'!D37</x:f>
        <x:v>P1 red block at R4 (5 cm toward the robot from center) [REFERENCE]; P2 green pen 24 cm behind P1 [TARGET START]; P3 pink marker 15 cm to the left of P1 [DISTRACTOR]</x:v>
      </x:c>
      <x:c r="E37" s="8" t="n">
        <x:f>IF(ISBLANK('Evaluation Plan'!E37),"",'Evaluation Plan'!E37)</x:f>
        <x:v>32</x:v>
      </x:c>
      <x:c r="F37" s="8" t="str">
        <x:f>'Evaluation Plan'!F37</x:f>
        <x:v>green pen → 2–8 cm edge gap from red block (any direction)</x:v>
      </x:c>
      <x:c r="G37" s="7"/>
      <x:c r="H37" s="8" t="str">
        <x:f>'Evaluation Plan'!H37</x:f>
        <x:v>Matched manipulation control</x:v>
      </x:c>
      <x:c r="I37" s="8" t="str">
        <x:f>'Evaluation Plan'!I37</x:f>
        <x:v>RP-F09</x:v>
      </x:c>
      <x:c r="J37" s="8" t="str">
        <x:f>'Evaluation Plan'!J37</x:f>
        <x:v>near</x:v>
      </x:c>
      <x:c r="K37" s="8" t="n">
        <x:f>'Evaluation Plan'!K37</x:f>
        <x:v>3</x:v>
      </x:c>
      <x:c r="L37" s="8" t="str">
        <x:f>'Evaluation Plan'!L37</x:f>
        <x:v>4 — Matched control — Seen near/next-to/beside relation on the same ordered pair (3 objects)</x:v>
      </x:c>
      <x:c r="M37" s="8" t="n">
        <x:f>'Evaluation Plan'!M37</x:f>
        <x:v>9</x:v>
      </x:c>
      <x:c r="N37" s="7" t="str">
        <x:f>'Evaluation Plan'!N37</x:f>
        <x:v>Reset only P2 to its marked start. Keep every object, camera setting, and pose fixed; change only the prompt.</x:v>
      </x:c>
      <x:c r="O37" s="7" t="str">
        <x:f>'Evaluation Plan'!O37</x:f>
        <x:v>Controls target/reference recognition and basic pick-place on the exact pair. It is skill-matched but not direction-endpoint-matched, so analyze the paired success delta separately.</x:v>
      </x:c>
      <x:c r="P37" s="7" t="str">
        <x:f>IF(ISBLANK('Evaluation Plan'!P37),"",'Evaluation Plan'!P37)</x:f>
      </x:c>
    </x:row>
    <x:row r="38" ht="64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red block behind the green pen.</x:v>
      </x:c>
      <x:c r="D38" s="10" t="str">
        <x:f>'Evaluation Plan'!D38</x:f>
        <x:v>P1 green pen at R5 (5 cm away from the robot from center) [REFERENCE]; P2 red block 18 cm in front of P1 [TARGET START]; P3 pink marker 15 cm to the left of P1 [DISTRACTOR]</x:v>
      </x:c>
      <x:c r="E38" s="9" t="str">
        <x:f>IF(ISBLANK('Evaluation Plan'!E38),"",'Evaluation Plan'!E38)</x:f>
      </x:c>
      <x:c r="F38" s="9" t="str">
        <x:f>'Evaluation Plan'!F38</x:f>
        <x:v>red block → 2–8 cm edge gap behind green pen; centroid direction within ±45°</x:v>
      </x:c>
      <x:c r="G38" s="10"/>
      <x:c r="H38" s="9" t="str">
        <x:f>'Evaluation Plan'!H38</x:f>
        <x:v>Concept/compositional transfer</x:v>
      </x:c>
      <x:c r="I38" s="9" t="str">
        <x:f>'Evaluation Plan'!I38</x:f>
        <x:v>RP-F10</x:v>
      </x:c>
      <x:c r="J38" s="9" t="str">
        <x:f>'Evaluation Plan'!J38</x:f>
        <x:v>behind</x:v>
      </x:c>
      <x:c r="K38" s="9" t="n">
        <x:f>'Evaluation Plan'!K38</x:f>
        <x:v>3</x:v>
      </x:c>
      <x:c r="L38" s="9" t="str">
        <x:f>'Evaluation Plan'!L38</x:f>
        <x:v>1 — Canonical transfer — Held-out direction × green-pen/red-block pair (behind)</x:v>
      </x:c>
      <x:c r="M38" s="9" t="n">
        <x:f>'Evaluation Plan'!M38</x:f>
        <x:v>10</x:v>
      </x:c>
      <x:c r="N38" s="10" t="str">
        <x:f>'Evaluation Plan'!N38</x:f>
        <x:v>Build the marked scene. Target starts in the opposite sector and outside the success gap; save a first-frame filename.</x:v>
      </x:c>
      <x:c r="O38" s="10" t="str">
        <x:f>'Evaluation Plan'!O38</x:f>
        <x:v>Directional language is trained on other object pairs, but all directional green-pen/red-block demonstrations are withheld in both target/reference directions.</x:v>
      </x:c>
      <x:c r="P38" s="10" t="str">
        <x:f>IF(ISBLANK('Evaluation Plan'!P38),"",'Evaluation Plan'!P38)</x:f>
      </x:c>
    </x:row>
    <x:row r="39" ht="64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red block to the front of the green pen.</x:v>
      </x:c>
      <x:c r="D39" s="7" t="str">
        <x:f>'Evaluation Plan'!D39</x:f>
        <x:v>P1 green pen at R5 (5 cm away from the robot from center) [REFERENCE]; P2 red block 18 cm in front of P1 [TARGET START]; P3 pink marker 15 cm to the left of P1 [DISTRACTOR]</x:v>
      </x:c>
      <x:c r="E39" s="8" t="n">
        <x:f>IF(ISBLANK('Evaluation Plan'!E39),"",'Evaluation Plan'!E39)</x:f>
        <x:v>36</x:v>
      </x:c>
      <x:c r="F39" s="8" t="str">
        <x:f>'Evaluation Plan'!F39</x:f>
        <x:v>red block → 2–8 cm edge gap in front of green pen; centroid direction within ±45°</x:v>
      </x:c>
      <x:c r="G39" s="7"/>
      <x:c r="H39" s="8" t="str">
        <x:f>'Evaluation Plan'!H39</x:f>
        <x:v>Exact-scene opposite-direction contrast</x:v>
      </x:c>
      <x:c r="I39" s="8" t="str">
        <x:f>'Evaluation Plan'!I39</x:f>
        <x:v>RP-F10</x:v>
      </x:c>
      <x:c r="J39" s="8" t="str">
        <x:f>'Evaluation Plan'!J39</x:f>
        <x:v>front</x:v>
      </x:c>
      <x:c r="K39" s="8" t="n">
        <x:f>'Evaluation Plan'!K39</x:f>
        <x:v>3</x:v>
      </x:c>
      <x:c r="L39" s="8" t="str">
        <x:f>'Evaluation Plan'!L39</x:f>
        <x:v>2 — Exact-scene opposite-direction contrast — Direction-word counterfactual (behind→front)</x:v>
      </x:c>
      <x:c r="M39" s="8" t="n">
        <x:f>'Evaluation Plan'!M39</x:f>
        <x:v>10</x:v>
      </x:c>
      <x:c r="N39" s="7" t="str">
        <x:f>'Evaluation Plan'!N39</x:f>
        <x:v>Reset only P2 to its marked start. Preserve the exact scene; change only the directional word and expected goal sector.</x:v>
      </x:c>
      <x:c r="O39" s="7" t="str">
        <x:f>'Evaluation Plan'!O39</x:f>
        <x:v>Exact-scene semantic counterfactual. Target and reference identities stay fixed while the requested endpoint reverses front↔behind or left↔right.</x:v>
      </x:c>
      <x:c r="P39" s="7" t="str">
        <x:f>IF(ISBLANK('Evaluation Plan'!P39),"",'Evaluation Plan'!P39)</x:f>
      </x:c>
    </x:row>
    <x:row r="40" ht="64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red block to the rear side of the green pen.</x:v>
      </x:c>
      <x:c r="D40" s="7" t="str">
        <x:f>'Evaluation Plan'!D40</x:f>
        <x:v>P1 green pen at R5 (5 cm away from the robot from center) [REFERENCE]; P2 red block 18 cm in front of P1 [TARGET START]; P3 pink marker 15 cm to the left of P1 [DISTRACTOR]</x:v>
      </x:c>
      <x:c r="E40" s="8" t="n">
        <x:f>IF(ISBLANK('Evaluation Plan'!E40),"",'Evaluation Plan'!E40)</x:f>
        <x:v>36</x:v>
      </x:c>
      <x:c r="F40" s="8" t="str">
        <x:f>'Evaluation Plan'!F40</x:f>
        <x:v>red block → 2–8 cm edge gap behind green pen; centroid direction within ±45°</x:v>
      </x:c>
      <x:c r="G40" s="7"/>
      <x:c r="H40" s="8" t="str">
        <x:f>'Evaluation Plan'!H40</x:f>
        <x:v>Language robustness</x:v>
      </x:c>
      <x:c r="I40" s="8" t="str">
        <x:f>'Evaluation Plan'!I40</x:f>
        <x:v>RP-F10</x:v>
      </x:c>
      <x:c r="J40" s="8" t="str">
        <x:f>'Evaluation Plan'!J40</x:f>
        <x:v>behind</x:v>
      </x:c>
      <x:c r="K40" s="8" t="n">
        <x:f>'Evaluation Plan'!K40</x:f>
        <x:v>3</x:v>
      </x:c>
      <x:c r="L40" s="8" t="str">
        <x:f>'Evaluation Plan'!L40</x:f>
        <x:v>3 — Exact-scene transfer paraphrase — Paraphrase of concept/compositional-transfer prompt</x:v>
      </x:c>
      <x:c r="M40" s="8" t="n">
        <x:f>'Evaluation Plan'!M40</x:f>
        <x:v>10</x:v>
      </x:c>
      <x:c r="N40" s="7" t="str">
        <x:f>'Evaluation Plan'!N40</x:f>
        <x:v>Reset only P2 to its marked start; change only the prompt wording.</x:v>
      </x:c>
      <x:c r="O40" s="7" t="str">
        <x:f>'Evaluation Plan'!O40</x:f>
        <x:v>Exact-scene language comparison for the held-out pair composition.</x:v>
      </x:c>
      <x:c r="P40" s="7" t="str">
        <x:f>IF(ISBLANK('Evaluation Plan'!P40),"",'Evaluation Plan'!P40)</x:f>
      </x:c>
    </x:row>
    <x:row r="41" ht="64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red block near the green pen.</x:v>
      </x:c>
      <x:c r="D41" s="7" t="str">
        <x:f>'Evaluation Plan'!D41</x:f>
        <x:v>P1 green pen at R5 (5 cm away from the robot from center) [REFERENCE]; P2 red block 18 cm in front of P1 [TARGET START]; P3 pink marker 15 cm to the left of P1 [DISTRACTOR]</x:v>
      </x:c>
      <x:c r="E41" s="8" t="n">
        <x:f>IF(ISBLANK('Evaluation Plan'!E41),"",'Evaluation Plan'!E41)</x:f>
        <x:v>36</x:v>
      </x:c>
      <x:c r="F41" s="8" t="str">
        <x:f>'Evaluation Plan'!F41</x:f>
        <x:v>red block → 2–8 cm edge gap from green pen (any direction)</x:v>
      </x:c>
      <x:c r="G41" s="7"/>
      <x:c r="H41" s="8" t="str">
        <x:f>'Evaluation Plan'!H41</x:f>
        <x:v>Matched manipulation control</x:v>
      </x:c>
      <x:c r="I41" s="8" t="str">
        <x:f>'Evaluation Plan'!I41</x:f>
        <x:v>RP-F10</x:v>
      </x:c>
      <x:c r="J41" s="8" t="str">
        <x:f>'Evaluation Plan'!J41</x:f>
        <x:v>near</x:v>
      </x:c>
      <x:c r="K41" s="8" t="n">
        <x:f>'Evaluation Plan'!K41</x:f>
        <x:v>3</x:v>
      </x:c>
      <x:c r="L41" s="8" t="str">
        <x:f>'Evaluation Plan'!L41</x:f>
        <x:v>4 — Matched control — Seen near/next-to/beside relation on the same ordered pair (3 objects)</x:v>
      </x:c>
      <x:c r="M41" s="8" t="n">
        <x:f>'Evaluation Plan'!M41</x:f>
        <x:v>10</x:v>
      </x:c>
      <x:c r="N41" s="7" t="str">
        <x:f>'Evaluation Plan'!N41</x:f>
        <x:v>Reset only P2 to its marked start. Keep every object, camera setting, and pose fixed; change only the prompt.</x:v>
      </x:c>
      <x:c r="O41" s="7" t="str">
        <x:f>'Evaluation Plan'!O41</x:f>
        <x:v>Controls target/reference recognition and basic pick-place on the exact pair. It is skill-matched but not direction-endpoint-matched, so analyze the paired success delta separately.</x:v>
      </x:c>
      <x:c r="P41" s="7" t="str">
        <x:f>IF(ISBLANK('Evaluation Plan'!P41),"",'Evaluation Plan'!P41)</x:f>
      </x:c>
    </x:row>
    <x:row r="42" ht="64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Place the green pen to the left of the red block.</x:v>
      </x:c>
      <x:c r="D42" s="10" t="str">
        <x:f>'Evaluation Plan'!D42</x:f>
        <x:v>P1 red block at R1 (table center) [REFERENCE]; P2 green pen 21 cm to the right of P1 [TARGET START]; P3 pink marker 15 cm in front of P1 [DISTRACTOR]; P4 blue block 15 cm behind P1 [DISTRACTOR]</x:v>
      </x:c>
      <x:c r="E42" s="9" t="str">
        <x:f>IF(ISBLANK('Evaluation Plan'!E42),"",'Evaluation Plan'!E42)</x:f>
      </x:c>
      <x:c r="F42" s="9" t="str">
        <x:f>'Evaluation Plan'!F42</x:f>
        <x:v>green pen → 2–8 cm edge gap to the left of red block; centroid direction within ±45°</x:v>
      </x:c>
      <x:c r="G42" s="10"/>
      <x:c r="H42" s="9" t="str">
        <x:f>'Evaluation Plan'!H42</x:f>
        <x:v>Concept/compositional transfer</x:v>
      </x:c>
      <x:c r="I42" s="9" t="str">
        <x:f>'Evaluation Plan'!I42</x:f>
        <x:v>RP-F11</x:v>
      </x:c>
      <x:c r="J42" s="9" t="str">
        <x:f>'Evaluation Plan'!J42</x:f>
        <x:v>left</x:v>
      </x:c>
      <x:c r="K42" s="9" t="n">
        <x:f>'Evaluation Plan'!K42</x:f>
        <x:v>4</x:v>
      </x:c>
      <x:c r="L42" s="9" t="str">
        <x:f>'Evaluation Plan'!L42</x:f>
        <x:v>1 — Canonical transfer — Held-out direction × green-pen/red-block pair (left)</x:v>
      </x:c>
      <x:c r="M42" s="9" t="n">
        <x:f>'Evaluation Plan'!M42</x:f>
        <x:v>11</x:v>
      </x:c>
      <x:c r="N42" s="10" t="str">
        <x:f>'Evaluation Plan'!N42</x:f>
        <x:v>Build the marked scene. Target starts in the opposite sector and outside the success gap; save a first-frame filename.</x:v>
      </x:c>
      <x:c r="O42" s="10" t="str">
        <x:f>'Evaluation Plan'!O42</x:f>
        <x:v>Directional language is trained on other object pairs, but all directional green-pen/red-block demonstrations are withheld in both target/reference directions.</x:v>
      </x:c>
      <x:c r="P42" s="10" t="str">
        <x:f>IF(ISBLANK('Evaluation Plan'!P42),"",'Evaluation Plan'!P42)</x:f>
      </x:c>
    </x:row>
    <x:row r="43" ht="64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Place the green pen to the right of the red block.</x:v>
      </x:c>
      <x:c r="D43" s="7" t="str">
        <x:f>'Evaluation Plan'!D43</x:f>
        <x:v>P1 red block at R1 (table center) [REFERENCE]; P2 green pen 21 cm to the right of P1 [TARGET START]; P3 pink marker 15 cm in front of P1 [DISTRACTOR]; P4 blue block 15 cm behind P1 [DISTRACTOR]</x:v>
      </x:c>
      <x:c r="E43" s="8" t="n">
        <x:f>IF(ISBLANK('Evaluation Plan'!E43),"",'Evaluation Plan'!E43)</x:f>
        <x:v>40</x:v>
      </x:c>
      <x:c r="F43" s="8" t="str">
        <x:f>'Evaluation Plan'!F43</x:f>
        <x:v>green pen → 2–8 cm edge gap to the right of red block; centroid direction within ±45°</x:v>
      </x:c>
      <x:c r="G43" s="7"/>
      <x:c r="H43" s="8" t="str">
        <x:f>'Evaluation Plan'!H43</x:f>
        <x:v>Exact-scene opposite-direction contrast</x:v>
      </x:c>
      <x:c r="I43" s="8" t="str">
        <x:f>'Evaluation Plan'!I43</x:f>
        <x:v>RP-F11</x:v>
      </x:c>
      <x:c r="J43" s="8" t="str">
        <x:f>'Evaluation Plan'!J43</x:f>
        <x:v>right</x:v>
      </x:c>
      <x:c r="K43" s="8" t="n">
        <x:f>'Evaluation Plan'!K43</x:f>
        <x:v>4</x:v>
      </x:c>
      <x:c r="L43" s="8" t="str">
        <x:f>'Evaluation Plan'!L43</x:f>
        <x:v>2 — Exact-scene opposite-direction contrast — Direction-word counterfactual (left→right)</x:v>
      </x:c>
      <x:c r="M43" s="8" t="n">
        <x:f>'Evaluation Plan'!M43</x:f>
        <x:v>11</x:v>
      </x:c>
      <x:c r="N43" s="7" t="str">
        <x:f>'Evaluation Plan'!N43</x:f>
        <x:v>Reset only P2 to its marked start. Preserve the exact scene; change only the directional word and expected goal sector.</x:v>
      </x:c>
      <x:c r="O43" s="7" t="str">
        <x:f>'Evaluation Plan'!O43</x:f>
        <x:v>Exact-scene semantic counterfactual. Target and reference identities stay fixed while the requested endpoint reverses front↔behind or left↔right.</x:v>
      </x:c>
      <x:c r="P43" s="7" t="str">
        <x:f>IF(ISBLANK('Evaluation Plan'!P43),"",'Evaluation Plan'!P43)</x:f>
      </x:c>
    </x:row>
    <x:row r="44" ht="64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Place the green pen next to the red block.</x:v>
      </x:c>
      <x:c r="D44" s="7" t="str">
        <x:f>'Evaluation Plan'!D44</x:f>
        <x:v>P1 red block at R1 (table center) [REFERENCE]; P2 green pen 21 cm to the right of P1 [TARGET START]; P3 pink marker 15 cm in front of P1 [DISTRACTOR]; P4 blue block 15 cm behind P1 [DISTRACTOR]</x:v>
      </x:c>
      <x:c r="E44" s="8" t="n">
        <x:f>IF(ISBLANK('Evaluation Plan'!E44),"",'Evaluation Plan'!E44)</x:f>
        <x:v>40</x:v>
      </x:c>
      <x:c r="F44" s="8" t="str">
        <x:f>'Evaluation Plan'!F44</x:f>
        <x:v>green pen → 2–8 cm edge gap from red block (any direction)</x:v>
      </x:c>
      <x:c r="G44" s="7"/>
      <x:c r="H44" s="8" t="str">
        <x:f>'Evaluation Plan'!H44</x:f>
        <x:v>Matched manipulation control</x:v>
      </x:c>
      <x:c r="I44" s="8" t="str">
        <x:f>'Evaluation Plan'!I44</x:f>
        <x:v>RP-F11</x:v>
      </x:c>
      <x:c r="J44" s="8" t="str">
        <x:f>'Evaluation Plan'!J44</x:f>
        <x:v>near</x:v>
      </x:c>
      <x:c r="K44" s="8" t="n">
        <x:f>'Evaluation Plan'!K44</x:f>
        <x:v>4</x:v>
      </x:c>
      <x:c r="L44" s="8" t="str">
        <x:f>'Evaluation Plan'!L44</x:f>
        <x:v>3 — Matched control — Seen near/next-to/beside relation on the same ordered pair (4 objects)</x:v>
      </x:c>
      <x:c r="M44" s="8" t="n">
        <x:f>'Evaluation Plan'!M44</x:f>
        <x:v>11</x:v>
      </x:c>
      <x:c r="N44" s="7" t="str">
        <x:f>'Evaluation Plan'!N44</x:f>
        <x:v>Reset only P2 to its marked start. Keep every object, camera setting, and pose fixed; change only the prompt.</x:v>
      </x:c>
      <x:c r="O44" s="7" t="str">
        <x:f>'Evaluation Plan'!O44</x:f>
        <x:v>Controls target/reference recognition and basic pick-place on the exact pair. It is skill-matched but not direction-endpoint-matched, so analyze the paired success delta separately.</x:v>
      </x:c>
      <x:c r="P44" s="7" t="str">
        <x:f>IF(ISBLANK('Evaluation Plan'!P44),"",'Evaluation Plan'!P44)</x:f>
      </x:c>
    </x:row>
    <x:row r="45" ht="64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Position the green pen adjacent to the red block.</x:v>
      </x:c>
      <x:c r="D45" s="7" t="str">
        <x:f>'Evaluation Plan'!D45</x:f>
        <x:v>P1 red block at R1 (table center) [REFERENCE]; P2 green pen 21 cm to the right of P1 [TARGET START]; P3 pink marker 15 cm in front of P1 [DISTRACTOR]; P4 blue block 15 cm behind P1 [DISTRACTOR]</x:v>
      </x:c>
      <x:c r="E45" s="8" t="n">
        <x:f>IF(ISBLANK('Evaluation Plan'!E45),"",'Evaluation Plan'!E45)</x:f>
        <x:v>42</x:v>
      </x:c>
      <x:c r="F45" s="8" t="str">
        <x:f>'Evaluation Plan'!F45</x:f>
        <x:v>green pen → 2–8 cm edge gap from red block (any direction)</x:v>
      </x:c>
      <x:c r="G45" s="7"/>
      <x:c r="H45" s="8" t="str">
        <x:f>'Evaluation Plan'!H45</x:f>
        <x:v>Language robustness</x:v>
      </x:c>
      <x:c r="I45" s="8" t="str">
        <x:f>'Evaluation Plan'!I45</x:f>
        <x:v>RP-F11</x:v>
      </x:c>
      <x:c r="J45" s="8" t="str">
        <x:f>'Evaluation Plan'!J45</x:f>
        <x:v>near</x:v>
      </x:c>
      <x:c r="K45" s="8" t="n">
        <x:f>'Evaluation Plan'!K45</x:f>
        <x:v>4</x:v>
      </x:c>
      <x:c r="L45" s="8" t="str">
        <x:f>'Evaluation Plan'!L45</x:f>
        <x:v>4 — Exact-scene control paraphrase — Paraphrase of matched-control prompt</x:v>
      </x:c>
      <x:c r="M45" s="8" t="n">
        <x:f>'Evaluation Plan'!M45</x:f>
        <x:v>11</x:v>
      </x:c>
      <x:c r="N45" s="7" t="str">
        <x:f>'Evaluation Plan'!N45</x:f>
        <x:v>Reset only P2 to its marked start; change only the prompt wording.</x:v>
      </x:c>
      <x:c r="O45" s="7" t="str">
        <x:f>'Evaluation Plan'!O45</x:f>
        <x:v>Exact-scene language comparison for the seen near relation.</x:v>
      </x:c>
      <x:c r="P45" s="7" t="str">
        <x:f>IF(ISBLANK('Evaluation Plan'!P45),"",'Evaluation Plan'!P45)</x:f>
      </x:c>
    </x:row>
    <x:row r="46" ht="64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Place the red block to the right of the green pen.</x:v>
      </x:c>
      <x:c r="D46" s="10" t="str">
        <x:f>'Evaluation Plan'!D46</x:f>
        <x:v>P1 green pen at R2 (5 cm left of center) [REFERENCE]; P2 red block 24 cm to the left of P1 [TARGET START]; P3 pink marker 15 cm in front of P1 [DISTRACTOR]; P4 blue block 15 cm behind P1 [DISTRACTOR]</x:v>
      </x:c>
      <x:c r="E46" s="9" t="str">
        <x:f>IF(ISBLANK('Evaluation Plan'!E46),"",'Evaluation Plan'!E46)</x:f>
      </x:c>
      <x:c r="F46" s="9" t="str">
        <x:f>'Evaluation Plan'!F46</x:f>
        <x:v>red block → 2–8 cm edge gap to the right of green pen; centroid direction within ±45°</x:v>
      </x:c>
      <x:c r="G46" s="10"/>
      <x:c r="H46" s="9" t="str">
        <x:f>'Evaluation Plan'!H46</x:f>
        <x:v>Concept/compositional transfer</x:v>
      </x:c>
      <x:c r="I46" s="9" t="str">
        <x:f>'Evaluation Plan'!I46</x:f>
        <x:v>RP-F12</x:v>
      </x:c>
      <x:c r="J46" s="9" t="str">
        <x:f>'Evaluation Plan'!J46</x:f>
        <x:v>right</x:v>
      </x:c>
      <x:c r="K46" s="9" t="n">
        <x:f>'Evaluation Plan'!K46</x:f>
        <x:v>4</x:v>
      </x:c>
      <x:c r="L46" s="9" t="str">
        <x:f>'Evaluation Plan'!L46</x:f>
        <x:v>1 — Canonical transfer — Held-out direction × green-pen/red-block pair (right)</x:v>
      </x:c>
      <x:c r="M46" s="9" t="n">
        <x:f>'Evaluation Plan'!M46</x:f>
        <x:v>12</x:v>
      </x:c>
      <x:c r="N46" s="10" t="str">
        <x:f>'Evaluation Plan'!N46</x:f>
        <x:v>Build the marked scene. Target starts in the opposite sector and outside the success gap; save a first-frame filename.</x:v>
      </x:c>
      <x:c r="O46" s="10" t="str">
        <x:f>'Evaluation Plan'!O46</x:f>
        <x:v>Directional language is trained on other object pairs, but all directional green-pen/red-block demonstrations are withheld in both target/reference directions.</x:v>
      </x:c>
      <x:c r="P46" s="10" t="str">
        <x:f>IF(ISBLANK('Evaluation Plan'!P46),"",'Evaluation Plan'!P46)</x:f>
      </x:c>
    </x:row>
    <x:row r="47" ht="64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Place the red block to the left of the green pen.</x:v>
      </x:c>
      <x:c r="D47" s="7" t="str">
        <x:f>'Evaluation Plan'!D47</x:f>
        <x:v>P1 green pen at R2 (5 cm left of center) [REFERENCE]; P2 red block 24 cm to the left of P1 [TARGET START]; P3 pink marker 15 cm in front of P1 [DISTRACTOR]; P4 blue block 15 cm behind P1 [DISTRACTOR]</x:v>
      </x:c>
      <x:c r="E47" s="8" t="n">
        <x:f>IF(ISBLANK('Evaluation Plan'!E47),"",'Evaluation Plan'!E47)</x:f>
        <x:v>44</x:v>
      </x:c>
      <x:c r="F47" s="8" t="str">
        <x:f>'Evaluation Plan'!F47</x:f>
        <x:v>red block → 2–8 cm edge gap to the left of green pen; centroid direction within ±45°</x:v>
      </x:c>
      <x:c r="G47" s="7"/>
      <x:c r="H47" s="8" t="str">
        <x:f>'Evaluation Plan'!H47</x:f>
        <x:v>Exact-scene opposite-direction contrast</x:v>
      </x:c>
      <x:c r="I47" s="8" t="str">
        <x:f>'Evaluation Plan'!I47</x:f>
        <x:v>RP-F12</x:v>
      </x:c>
      <x:c r="J47" s="8" t="str">
        <x:f>'Evaluation Plan'!J47</x:f>
        <x:v>left</x:v>
      </x:c>
      <x:c r="K47" s="8" t="n">
        <x:f>'Evaluation Plan'!K47</x:f>
        <x:v>4</x:v>
      </x:c>
      <x:c r="L47" s="8" t="str">
        <x:f>'Evaluation Plan'!L47</x:f>
        <x:v>2 — Exact-scene opposite-direction contrast — Direction-word counterfactual (right→left)</x:v>
      </x:c>
      <x:c r="M47" s="8" t="n">
        <x:f>'Evaluation Plan'!M47</x:f>
        <x:v>12</x:v>
      </x:c>
      <x:c r="N47" s="7" t="str">
        <x:f>'Evaluation Plan'!N47</x:f>
        <x:v>Reset only P2 to its marked start. Preserve the exact scene; change only the directional word and expected goal sector.</x:v>
      </x:c>
      <x:c r="O47" s="7" t="str">
        <x:f>'Evaluation Plan'!O47</x:f>
        <x:v>Exact-scene semantic counterfactual. Target and reference identities stay fixed while the requested endpoint reverses front↔behind or left↔right.</x:v>
      </x:c>
      <x:c r="P47" s="7" t="str">
        <x:f>IF(ISBLANK('Evaluation Plan'!P47),"",'Evaluation Plan'!P47)</x:f>
      </x:c>
    </x:row>
    <x:row r="48" ht="64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red block beside the green pen.</x:v>
      </x:c>
      <x:c r="D48" s="7" t="str">
        <x:f>'Evaluation Plan'!D48</x:f>
        <x:v>P1 green pen at R2 (5 cm left of center) [REFERENCE]; P2 red block 24 cm to the left of P1 [TARGET START]; P3 pink marker 15 cm in front of P1 [DISTRACTOR]; P4 blue block 15 cm behind P1 [DISTRACTOR]</x:v>
      </x:c>
      <x:c r="E48" s="8" t="n">
        <x:f>IF(ISBLANK('Evaluation Plan'!E48),"",'Evaluation Plan'!E48)</x:f>
        <x:v>44</x:v>
      </x:c>
      <x:c r="F48" s="8" t="str">
        <x:f>'Evaluation Plan'!F48</x:f>
        <x:v>red block → 2–8 cm edge gap from green pen (any direction)</x:v>
      </x:c>
      <x:c r="G48" s="7"/>
      <x:c r="H48" s="8" t="str">
        <x:f>'Evaluation Plan'!H48</x:f>
        <x:v>Matched manipulation control</x:v>
      </x:c>
      <x:c r="I48" s="8" t="str">
        <x:f>'Evaluation Plan'!I48</x:f>
        <x:v>RP-F12</x:v>
      </x:c>
      <x:c r="J48" s="8" t="str">
        <x:f>'Evaluation Plan'!J48</x:f>
        <x:v>near</x:v>
      </x:c>
      <x:c r="K48" s="8" t="n">
        <x:f>'Evaluation Plan'!K48</x:f>
        <x:v>4</x:v>
      </x:c>
      <x:c r="L48" s="8" t="str">
        <x:f>'Evaluation Plan'!L48</x:f>
        <x:v>3 — Matched control — Seen near/next-to/beside relation on the same ordered pair (4 objects)</x:v>
      </x:c>
      <x:c r="M48" s="8" t="n">
        <x:f>'Evaluation Plan'!M48</x:f>
        <x:v>12</x:v>
      </x:c>
      <x:c r="N48" s="7" t="str">
        <x:f>'Evaluation Plan'!N48</x:f>
        <x:v>Reset only P2 to its marked start. Keep every object, camera setting, and pose fixed; change only the prompt.</x:v>
      </x:c>
      <x:c r="O48" s="7" t="str">
        <x:f>'Evaluation Plan'!O48</x:f>
        <x:v>Controls target/reference recognition and basic pick-place on the exact pair. It is skill-matched but not direction-endpoint-matched, so analyze the paired success delta separately.</x:v>
      </x:c>
      <x:c r="P48" s="7" t="str">
        <x:f>IF(ISBLANK('Evaluation Plan'!P48),"",'Evaluation Plan'!P48)</x:f>
      </x:c>
    </x:row>
    <x:row r="49" ht="64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red block close to the green pen.</x:v>
      </x:c>
      <x:c r="D49" s="7" t="str">
        <x:f>'Evaluation Plan'!D49</x:f>
        <x:v>P1 green pen at R2 (5 cm left of center) [REFERENCE]; P2 red block 24 cm to the left of P1 [TARGET START]; P3 pink marker 15 cm in front of P1 [DISTRACTOR]; P4 blue block 15 cm behind P1 [DISTRACTOR]</x:v>
      </x:c>
      <x:c r="E49" s="8" t="n">
        <x:f>IF(ISBLANK('Evaluation Plan'!E49),"",'Evaluation Plan'!E49)</x:f>
        <x:v>46</x:v>
      </x:c>
      <x:c r="F49" s="8" t="str">
        <x:f>'Evaluation Plan'!F49</x:f>
        <x:v>red block → 2–8 cm edge gap from green pen (any direction)</x:v>
      </x:c>
      <x:c r="G49" s="7"/>
      <x:c r="H49" s="8" t="str">
        <x:f>'Evaluation Plan'!H49</x:f>
        <x:v>Language robustness</x:v>
      </x:c>
      <x:c r="I49" s="8" t="str">
        <x:f>'Evaluation Plan'!I49</x:f>
        <x:v>RP-F12</x:v>
      </x:c>
      <x:c r="J49" s="8" t="str">
        <x:f>'Evaluation Plan'!J49</x:f>
        <x:v>near</x:v>
      </x:c>
      <x:c r="K49" s="8" t="n">
        <x:f>'Evaluation Plan'!K49</x:f>
        <x:v>4</x:v>
      </x:c>
      <x:c r="L49" s="8" t="str">
        <x:f>'Evaluation Plan'!L49</x:f>
        <x:v>4 — Exact-scene control paraphrase — Paraphrase of matched-control prompt</x:v>
      </x:c>
      <x:c r="M49" s="8" t="n">
        <x:f>'Evaluation Plan'!M49</x:f>
        <x:v>12</x:v>
      </x:c>
      <x:c r="N49" s="7" t="str">
        <x:f>'Evaluation Plan'!N49</x:f>
        <x:v>Reset only P2 to its marked start; change only the prompt wording.</x:v>
      </x:c>
      <x:c r="O49" s="7" t="str">
        <x:f>'Evaluation Plan'!O49</x:f>
        <x:v>Exact-scene language comparison for the seen near relation.</x:v>
      </x:c>
      <x:c r="P49" s="7" t="str">
        <x:f>IF(ISBLANK('Evaluation Plan'!P49),"",'Evaluation Plan'!P49)</x:f>
      </x:c>
    </x:row>
    <x:row r="50" ht="64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red block in front of the green pen.</x:v>
      </x:c>
      <x:c r="D50" s="10" t="str">
        <x:f>'Evaluation Plan'!D50</x:f>
        <x:v>P1 green pen at R3 (5 cm right of center) [REFERENCE]; P2 red block 18 cm behind P1 [TARGET START]; P3 pink marker 15 cm to the left of P1 [DISTRACTOR]; P4 blue block 15 cm to the right of P1 [DISTRACTOR]</x:v>
      </x:c>
      <x:c r="E50" s="9" t="str">
        <x:f>IF(ISBLANK('Evaluation Plan'!E50),"",'Evaluation Plan'!E50)</x:f>
      </x:c>
      <x:c r="F50" s="9" t="str">
        <x:f>'Evaluation Plan'!F50</x:f>
        <x:v>red block → 2–8 cm edge gap in front of green pen; centroid direction within ±45°</x:v>
      </x:c>
      <x:c r="G50" s="10"/>
      <x:c r="H50" s="9" t="str">
        <x:f>'Evaluation Plan'!H50</x:f>
        <x:v>Concept/compositional transfer</x:v>
      </x:c>
      <x:c r="I50" s="9" t="str">
        <x:f>'Evaluation Plan'!I50</x:f>
        <x:v>RP-F13</x:v>
      </x:c>
      <x:c r="J50" s="9" t="str">
        <x:f>'Evaluation Plan'!J50</x:f>
        <x:v>front</x:v>
      </x:c>
      <x:c r="K50" s="9" t="n">
        <x:f>'Evaluation Plan'!K50</x:f>
        <x:v>4</x:v>
      </x:c>
      <x:c r="L50" s="9" t="str">
        <x:f>'Evaluation Plan'!L50</x:f>
        <x:v>1 — Canonical transfer — Held-out direction × green-pen/red-block pair (front)</x:v>
      </x:c>
      <x:c r="M50" s="9" t="n">
        <x:f>'Evaluation Plan'!M50</x:f>
        <x:v>13</x:v>
      </x:c>
      <x:c r="N50" s="10" t="str">
        <x:f>'Evaluation Plan'!N50</x:f>
        <x:v>Build the marked scene. Target starts in the opposite sector and outside the success gap; save a first-frame filename.</x:v>
      </x:c>
      <x:c r="O50" s="10" t="str">
        <x:f>'Evaluation Plan'!O50</x:f>
        <x:v>Directional language is trained on other object pairs, but all directional green-pen/red-block demonstrations are withheld in both target/reference directions.</x:v>
      </x:c>
      <x:c r="P50" s="10" t="str">
        <x:f>IF(ISBLANK('Evaluation Plan'!P50),"",'Evaluation Plan'!P50)</x:f>
      </x:c>
    </x:row>
    <x:row r="51" ht="64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red block to the back of the green pen.</x:v>
      </x:c>
      <x:c r="D51" s="7" t="str">
        <x:f>'Evaluation Plan'!D51</x:f>
        <x:v>P1 green pen at R3 (5 cm right of center) [REFERENCE]; P2 red block 18 cm behind P1 [TARGET START]; P3 pink marker 15 cm to the left of P1 [DISTRACTOR]; P4 blue block 15 cm to the right of P1 [DISTRACTOR]</x:v>
      </x:c>
      <x:c r="E51" s="8" t="n">
        <x:f>IF(ISBLANK('Evaluation Plan'!E51),"",'Evaluation Plan'!E51)</x:f>
        <x:v>48</x:v>
      </x:c>
      <x:c r="F51" s="8" t="str">
        <x:f>'Evaluation Plan'!F51</x:f>
        <x:v>red block → 2–8 cm edge gap behind green pen; centroid direction within ±45°</x:v>
      </x:c>
      <x:c r="G51" s="7"/>
      <x:c r="H51" s="8" t="str">
        <x:f>'Evaluation Plan'!H51</x:f>
        <x:v>Exact-scene opposite-direction contrast</x:v>
      </x:c>
      <x:c r="I51" s="8" t="str">
        <x:f>'Evaluation Plan'!I51</x:f>
        <x:v>RP-F13</x:v>
      </x:c>
      <x:c r="J51" s="8" t="str">
        <x:f>'Evaluation Plan'!J51</x:f>
        <x:v>behind</x:v>
      </x:c>
      <x:c r="K51" s="8" t="n">
        <x:f>'Evaluation Plan'!K51</x:f>
        <x:v>4</x:v>
      </x:c>
      <x:c r="L51" s="8" t="str">
        <x:f>'Evaluation Plan'!L51</x:f>
        <x:v>2 — Exact-scene opposite-direction contrast — Direction-word counterfactual (front→behind)</x:v>
      </x:c>
      <x:c r="M51" s="8" t="n">
        <x:f>'Evaluation Plan'!M51</x:f>
        <x:v>13</x:v>
      </x:c>
      <x:c r="N51" s="7" t="str">
        <x:f>'Evaluation Plan'!N51</x:f>
        <x:v>Reset only P2 to its marked start. Preserve the exact scene; change only the directional word and expected goal sector.</x:v>
      </x:c>
      <x:c r="O51" s="7" t="str">
        <x:f>'Evaluation Plan'!O51</x:f>
        <x:v>Exact-scene semantic counterfactual. Target and reference identities stay fixed while the requested endpoint reverses front↔behind or left↔right.</x:v>
      </x:c>
      <x:c r="P51" s="7" t="str">
        <x:f>IF(ISBLANK('Evaluation Plan'!P51),"",'Evaluation Plan'!P51)</x:f>
      </x:c>
    </x:row>
    <x:row r="52" ht="64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Move the red block near the green pen.</x:v>
      </x:c>
      <x:c r="D52" s="7" t="str">
        <x:f>'Evaluation Plan'!D52</x:f>
        <x:v>P1 green pen at R3 (5 cm right of center) [REFERENCE]; P2 red block 18 cm behind P1 [TARGET START]; P3 pink marker 15 cm to the left of P1 [DISTRACTOR]; P4 blue block 15 cm to the right of P1 [DISTRACTOR]</x:v>
      </x:c>
      <x:c r="E52" s="8" t="n">
        <x:f>IF(ISBLANK('Evaluation Plan'!E52),"",'Evaluation Plan'!E52)</x:f>
        <x:v>48</x:v>
      </x:c>
      <x:c r="F52" s="8" t="str">
        <x:f>'Evaluation Plan'!F52</x:f>
        <x:v>red block → 2–8 cm edge gap from green pen (any direction)</x:v>
      </x:c>
      <x:c r="G52" s="7"/>
      <x:c r="H52" s="8" t="str">
        <x:f>'Evaluation Plan'!H52</x:f>
        <x:v>Matched manipulation control</x:v>
      </x:c>
      <x:c r="I52" s="8" t="str">
        <x:f>'Evaluation Plan'!I52</x:f>
        <x:v>RP-F13</x:v>
      </x:c>
      <x:c r="J52" s="8" t="str">
        <x:f>'Evaluation Plan'!J52</x:f>
        <x:v>near</x:v>
      </x:c>
      <x:c r="K52" s="8" t="n">
        <x:f>'Evaluation Plan'!K52</x:f>
        <x:v>4</x:v>
      </x:c>
      <x:c r="L52" s="8" t="str">
        <x:f>'Evaluation Plan'!L52</x:f>
        <x:v>3 — Matched control — Seen near/next-to/beside relation on the same ordered pair (4 objects)</x:v>
      </x:c>
      <x:c r="M52" s="8" t="n">
        <x:f>'Evaluation Plan'!M52</x:f>
        <x:v>13</x:v>
      </x:c>
      <x:c r="N52" s="7" t="str">
        <x:f>'Evaluation Plan'!N52</x:f>
        <x:v>Reset only P2 to its marked start. Keep every object, camera setting, and pose fixed; change only the prompt.</x:v>
      </x:c>
      <x:c r="O52" s="7" t="str">
        <x:f>'Evaluation Plan'!O52</x:f>
        <x:v>Controls target/reference recognition and basic pick-place on the exact pair. It is skill-matched but not direction-endpoint-matched, so analyze the paired success delta separately.</x:v>
      </x:c>
      <x:c r="P52" s="7" t="str">
        <x:f>IF(ISBLANK('Evaluation Plan'!P52),"",'Evaluation Plan'!P52)</x:f>
      </x:c>
    </x:row>
    <x:row r="53" ht="64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Set the red block alongside the green pen.</x:v>
      </x:c>
      <x:c r="D53" s="7" t="str">
        <x:f>'Evaluation Plan'!D53</x:f>
        <x:v>P1 green pen at R3 (5 cm right of center) [REFERENCE]; P2 red block 18 cm behind P1 [TARGET START]; P3 pink marker 15 cm to the left of P1 [DISTRACTOR]; P4 blue block 15 cm to the right of P1 [DISTRACTOR]</x:v>
      </x:c>
      <x:c r="E53" s="8" t="n">
        <x:f>IF(ISBLANK('Evaluation Plan'!E53),"",'Evaluation Plan'!E53)</x:f>
        <x:v>50</x:v>
      </x:c>
      <x:c r="F53" s="8" t="str">
        <x:f>'Evaluation Plan'!F53</x:f>
        <x:v>red block → 2–8 cm edge gap from green pen (any direction)</x:v>
      </x:c>
      <x:c r="G53" s="7"/>
      <x:c r="H53" s="8" t="str">
        <x:f>'Evaluation Plan'!H53</x:f>
        <x:v>Language robustness</x:v>
      </x:c>
      <x:c r="I53" s="8" t="str">
        <x:f>'Evaluation Plan'!I53</x:f>
        <x:v>RP-F13</x:v>
      </x:c>
      <x:c r="J53" s="8" t="str">
        <x:f>'Evaluation Plan'!J53</x:f>
        <x:v>near</x:v>
      </x:c>
      <x:c r="K53" s="8" t="n">
        <x:f>'Evaluation Plan'!K53</x:f>
        <x:v>4</x:v>
      </x:c>
      <x:c r="L53" s="8" t="str">
        <x:f>'Evaluation Plan'!L53</x:f>
        <x:v>4 — Exact-scene control paraphrase — Paraphrase of matched-control prompt</x:v>
      </x:c>
      <x:c r="M53" s="8" t="n">
        <x:f>'Evaluation Plan'!M53</x:f>
        <x:v>13</x:v>
      </x:c>
      <x:c r="N53" s="7" t="str">
        <x:f>'Evaluation Plan'!N53</x:f>
        <x:v>Reset only P2 to its marked start; change only the prompt wording.</x:v>
      </x:c>
      <x:c r="O53" s="7" t="str">
        <x:f>'Evaluation Plan'!O53</x:f>
        <x:v>Exact-scene language comparison for the seen near relation.</x:v>
      </x:c>
      <x:c r="P53" s="7" t="str">
        <x:f>IF(ISBLANK('Evaluation Plan'!P53),"",'Evaluation Plan'!P53)</x:f>
      </x:c>
    </x:row>
    <x:row r="54" ht="64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Move the green pen to the back of the red block.</x:v>
      </x:c>
      <x:c r="D54" s="10" t="str">
        <x:f>'Evaluation Plan'!D54</x:f>
        <x:v>P1 red block at R4 (5 cm toward the robot from center) [REFERENCE]; P2 green pen 21 cm in front of P1 [TARGET START]; P3 pink marker 15 cm to the left of P1 [DISTRACTOR]; P4 blue block 15 cm to the right of P1 [DISTRACTOR]</x:v>
      </x:c>
      <x:c r="E54" s="9" t="str">
        <x:f>IF(ISBLANK('Evaluation Plan'!E54),"",'Evaluation Plan'!E54)</x:f>
      </x:c>
      <x:c r="F54" s="9" t="str">
        <x:f>'Evaluation Plan'!F54</x:f>
        <x:v>green pen → 2–8 cm edge gap behind red block; centroid direction within ±45°</x:v>
      </x:c>
      <x:c r="G54" s="10"/>
      <x:c r="H54" s="9" t="str">
        <x:f>'Evaluation Plan'!H54</x:f>
        <x:v>Concept/compositional transfer</x:v>
      </x:c>
      <x:c r="I54" s="9" t="str">
        <x:f>'Evaluation Plan'!I54</x:f>
        <x:v>RP-F14</x:v>
      </x:c>
      <x:c r="J54" s="9" t="str">
        <x:f>'Evaluation Plan'!J54</x:f>
        <x:v>behind</x:v>
      </x:c>
      <x:c r="K54" s="9" t="n">
        <x:f>'Evaluation Plan'!K54</x:f>
        <x:v>4</x:v>
      </x:c>
      <x:c r="L54" s="9" t="str">
        <x:f>'Evaluation Plan'!L54</x:f>
        <x:v>1 — Canonical transfer — Held-out direction × green-pen/red-block pair (behind)</x:v>
      </x:c>
      <x:c r="M54" s="9" t="n">
        <x:f>'Evaluation Plan'!M54</x:f>
        <x:v>14</x:v>
      </x:c>
      <x:c r="N54" s="10" t="str">
        <x:f>'Evaluation Plan'!N54</x:f>
        <x:v>Build the marked scene. Target starts in the opposite sector and outside the success gap; save a first-frame filename.</x:v>
      </x:c>
      <x:c r="O54" s="10" t="str">
        <x:f>'Evaluation Plan'!O54</x:f>
        <x:v>Directional language is trained on other object pairs, but all directional green-pen/red-block demonstrations are withheld in both target/reference directions.</x:v>
      </x:c>
      <x:c r="P54" s="10" t="str">
        <x:f>IF(ISBLANK('Evaluation Plan'!P54),"",'Evaluation Plan'!P54)</x:f>
      </x:c>
    </x:row>
    <x:row r="55" ht="64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green pen on the table in front of the red block.</x:v>
      </x:c>
      <x:c r="D55" s="7" t="str">
        <x:f>'Evaluation Plan'!D55</x:f>
        <x:v>P1 red block at R4 (5 cm toward the robot from center) [REFERENCE]; P2 green pen 21 cm in front of P1 [TARGET START]; P3 pink marker 15 cm to the left of P1 [DISTRACTOR]; P4 blue block 15 cm to the right of P1 [DISTRACTOR]</x:v>
      </x:c>
      <x:c r="E55" s="8" t="n">
        <x:f>IF(ISBLANK('Evaluation Plan'!E55),"",'Evaluation Plan'!E55)</x:f>
        <x:v>52</x:v>
      </x:c>
      <x:c r="F55" s="8" t="str">
        <x:f>'Evaluation Plan'!F55</x:f>
        <x:v>green pen → 2–8 cm edge gap in front of red block; centroid direction within ±45°</x:v>
      </x:c>
      <x:c r="G55" s="7"/>
      <x:c r="H55" s="8" t="str">
        <x:f>'Evaluation Plan'!H55</x:f>
        <x:v>Exact-scene opposite-direction contrast</x:v>
      </x:c>
      <x:c r="I55" s="8" t="str">
        <x:f>'Evaluation Plan'!I55</x:f>
        <x:v>RP-F14</x:v>
      </x:c>
      <x:c r="J55" s="8" t="str">
        <x:f>'Evaluation Plan'!J55</x:f>
        <x:v>front</x:v>
      </x:c>
      <x:c r="K55" s="8" t="n">
        <x:f>'Evaluation Plan'!K55</x:f>
        <x:v>4</x:v>
      </x:c>
      <x:c r="L55" s="8" t="str">
        <x:f>'Evaluation Plan'!L55</x:f>
        <x:v>2 — Exact-scene opposite-direction contrast — Direction-word counterfactual (behind→front)</x:v>
      </x:c>
      <x:c r="M55" s="8" t="n">
        <x:f>'Evaluation Plan'!M55</x:f>
        <x:v>14</x:v>
      </x:c>
      <x:c r="N55" s="7" t="str">
        <x:f>'Evaluation Plan'!N55</x:f>
        <x:v>Reset only P2 to its marked start. Preserve the exact scene; change only the directional word and expected goal sector.</x:v>
      </x:c>
      <x:c r="O55" s="7" t="str">
        <x:f>'Evaluation Plan'!O55</x:f>
        <x:v>Exact-scene semantic counterfactual. Target and reference identities stay fixed while the requested endpoint reverses front↔behind or left↔right.</x:v>
      </x:c>
      <x:c r="P55" s="7" t="str">
        <x:f>IF(ISBLANK('Evaluation Plan'!P55),"",'Evaluation Plan'!P55)</x:f>
      </x:c>
    </x:row>
    <x:row r="56" ht="64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Place the green pen next to the red block.</x:v>
      </x:c>
      <x:c r="D56" s="7" t="str">
        <x:f>'Evaluation Plan'!D56</x:f>
        <x:v>P1 red block at R4 (5 cm toward the robot from center) [REFERENCE]; P2 green pen 21 cm in front of P1 [TARGET START]; P3 pink marker 15 cm to the left of P1 [DISTRACTOR]; P4 blue block 15 cm to the right of P1 [DISTRACTOR]</x:v>
      </x:c>
      <x:c r="E56" s="8" t="n">
        <x:f>IF(ISBLANK('Evaluation Plan'!E56),"",'Evaluation Plan'!E56)</x:f>
        <x:v>52</x:v>
      </x:c>
      <x:c r="F56" s="8" t="str">
        <x:f>'Evaluation Plan'!F56</x:f>
        <x:v>green pen → 2–8 cm edge gap from red block (any direction)</x:v>
      </x:c>
      <x:c r="G56" s="7"/>
      <x:c r="H56" s="8" t="str">
        <x:f>'Evaluation Plan'!H56</x:f>
        <x:v>Matched manipulation control</x:v>
      </x:c>
      <x:c r="I56" s="8" t="str">
        <x:f>'Evaluation Plan'!I56</x:f>
        <x:v>RP-F14</x:v>
      </x:c>
      <x:c r="J56" s="8" t="str">
        <x:f>'Evaluation Plan'!J56</x:f>
        <x:v>near</x:v>
      </x:c>
      <x:c r="K56" s="8" t="n">
        <x:f>'Evaluation Plan'!K56</x:f>
        <x:v>4</x:v>
      </x:c>
      <x:c r="L56" s="8" t="str">
        <x:f>'Evaluation Plan'!L56</x:f>
        <x:v>3 — Matched control — Seen near/next-to/beside relation on the same ordered pair (4 objects)</x:v>
      </x:c>
      <x:c r="M56" s="8" t="n">
        <x:f>'Evaluation Plan'!M56</x:f>
        <x:v>14</x:v>
      </x:c>
      <x:c r="N56" s="7" t="str">
        <x:f>'Evaluation Plan'!N56</x:f>
        <x:v>Reset only P2 to its marked start. Keep every object, camera setting, and pose fixed; change only the prompt.</x:v>
      </x:c>
      <x:c r="O56" s="7" t="str">
        <x:f>'Evaluation Plan'!O56</x:f>
        <x:v>Controls target/reference recognition and basic pick-place on the exact pair. It is skill-matched but not direction-endpoint-matched, so analyze the paired success delta separately.</x:v>
      </x:c>
      <x:c r="P56" s="7" t="str">
        <x:f>IF(ISBLANK('Evaluation Plan'!P56),"",'Evaluation Plan'!P56)</x:f>
      </x:c>
    </x:row>
    <x:row r="57" ht="64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green pen within a short distance of the red block.</x:v>
      </x:c>
      <x:c r="D57" s="7" t="str">
        <x:f>'Evaluation Plan'!D57</x:f>
        <x:v>P1 red block at R4 (5 cm toward the robot from center) [REFERENCE]; P2 green pen 21 cm in front of P1 [TARGET START]; P3 pink marker 15 cm to the left of P1 [DISTRACTOR]; P4 blue block 15 cm to the right of P1 [DISTRACTOR]</x:v>
      </x:c>
      <x:c r="E57" s="8" t="n">
        <x:f>IF(ISBLANK('Evaluation Plan'!E57),"",'Evaluation Plan'!E57)</x:f>
        <x:v>54</x:v>
      </x:c>
      <x:c r="F57" s="8" t="str">
        <x:f>'Evaluation Plan'!F57</x:f>
        <x:v>green pen → 2–8 cm edge gap from red block (any direction)</x:v>
      </x:c>
      <x:c r="G57" s="7"/>
      <x:c r="H57" s="8" t="str">
        <x:f>'Evaluation Plan'!H57</x:f>
        <x:v>Language robustness</x:v>
      </x:c>
      <x:c r="I57" s="8" t="str">
        <x:f>'Evaluation Plan'!I57</x:f>
        <x:v>RP-F14</x:v>
      </x:c>
      <x:c r="J57" s="8" t="str">
        <x:f>'Evaluation Plan'!J57</x:f>
        <x:v>near</x:v>
      </x:c>
      <x:c r="K57" s="8" t="n">
        <x:f>'Evaluation Plan'!K57</x:f>
        <x:v>4</x:v>
      </x:c>
      <x:c r="L57" s="8" t="str">
        <x:f>'Evaluation Plan'!L57</x:f>
        <x:v>4 — Exact-scene control paraphrase — Paraphrase of matched-control prompt</x:v>
      </x:c>
      <x:c r="M57" s="8" t="n">
        <x:f>'Evaluation Plan'!M57</x:f>
        <x:v>14</x:v>
      </x:c>
      <x:c r="N57" s="7" t="str">
        <x:f>'Evaluation Plan'!N57</x:f>
        <x:v>Reset only P2 to its marked start; change only the prompt wording.</x:v>
      </x:c>
      <x:c r="O57" s="7" t="str">
        <x:f>'Evaluation Plan'!O57</x:f>
        <x:v>Exact-scene language comparison for the seen near relation.</x:v>
      </x:c>
      <x:c r="P57" s="7" t="str">
        <x:f>IF(ISBLANK('Evaluation Plan'!P57),"",'Evaluation Plan'!P57)</x:f>
      </x:c>
    </x:row>
    <x:row r="58" ht="64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Place the red block to the left of the green pen.</x:v>
      </x:c>
      <x:c r="D58" s="10" t="str">
        <x:f>'Evaluation Plan'!D58</x:f>
        <x:v>P1 green pen at R5 (5 cm away from the robot from center) [REFERENCE]; P2 red block 24 cm to the right of P1 [TARGET START]; P3 pink marker 15 cm in front of P1 [DISTRACTOR]; P4 blue block 15 cm behind P1 [DISTRACTOR]</x:v>
      </x:c>
      <x:c r="E58" s="9" t="str">
        <x:f>IF(ISBLANK('Evaluation Plan'!E58),"",'Evaluation Plan'!E58)</x:f>
      </x:c>
      <x:c r="F58" s="9" t="str">
        <x:f>'Evaluation Plan'!F58</x:f>
        <x:v>red block → 2–8 cm edge gap to the left of green pen; centroid direction within ±45°</x:v>
      </x:c>
      <x:c r="G58" s="10"/>
      <x:c r="H58" s="9" t="str">
        <x:f>'Evaluation Plan'!H58</x:f>
        <x:v>Concept/compositional transfer</x:v>
      </x:c>
      <x:c r="I58" s="9" t="str">
        <x:f>'Evaluation Plan'!I58</x:f>
        <x:v>RP-F15</x:v>
      </x:c>
      <x:c r="J58" s="9" t="str">
        <x:f>'Evaluation Plan'!J58</x:f>
        <x:v>left</x:v>
      </x:c>
      <x:c r="K58" s="9" t="n">
        <x:f>'Evaluation Plan'!K58</x:f>
        <x:v>4</x:v>
      </x:c>
      <x:c r="L58" s="9" t="str">
        <x:f>'Evaluation Plan'!L58</x:f>
        <x:v>1 — Canonical transfer — Held-out direction × green-pen/red-block pair (left)</x:v>
      </x:c>
      <x:c r="M58" s="9" t="n">
        <x:f>'Evaluation Plan'!M58</x:f>
        <x:v>15</x:v>
      </x:c>
      <x:c r="N58" s="10" t="str">
        <x:f>'Evaluation Plan'!N58</x:f>
        <x:v>Build the marked scene. Target starts in the opposite sector and outside the success gap; save a first-frame filename.</x:v>
      </x:c>
      <x:c r="O58" s="10" t="str">
        <x:f>'Evaluation Plan'!O58</x:f>
        <x:v>Directional language is trained on other object pairs, but all directional green-pen/red-block demonstrations are withheld in both target/reference directions.</x:v>
      </x:c>
      <x:c r="P58" s="10" t="str">
        <x:f>IF(ISBLANK('Evaluation Plan'!P58),"",'Evaluation Plan'!P58)</x:f>
      </x:c>
    </x:row>
    <x:row r="59" ht="64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red block to the right of the green pen.</x:v>
      </x:c>
      <x:c r="D59" s="7" t="str">
        <x:f>'Evaluation Plan'!D59</x:f>
        <x:v>P1 green pen at R5 (5 cm away from the robot from center) [REFERENCE]; P2 red block 24 cm to the right of P1 [TARGET START]; P3 pink marker 15 cm in front of P1 [DISTRACTOR]; P4 blue block 15 cm behind P1 [DISTRACTOR]</x:v>
      </x:c>
      <x:c r="E59" s="8" t="n">
        <x:f>IF(ISBLANK('Evaluation Plan'!E59),"",'Evaluation Plan'!E59)</x:f>
        <x:v>56</x:v>
      </x:c>
      <x:c r="F59" s="8" t="str">
        <x:f>'Evaluation Plan'!F59</x:f>
        <x:v>red block → 2–8 cm edge gap to the right of green pen; centroid direction within ±45°</x:v>
      </x:c>
      <x:c r="G59" s="7"/>
      <x:c r="H59" s="8" t="str">
        <x:f>'Evaluation Plan'!H59</x:f>
        <x:v>Exact-scene opposite-direction contrast</x:v>
      </x:c>
      <x:c r="I59" s="8" t="str">
        <x:f>'Evaluation Plan'!I59</x:f>
        <x:v>RP-F15</x:v>
      </x:c>
      <x:c r="J59" s="8" t="str">
        <x:f>'Evaluation Plan'!J59</x:f>
        <x:v>right</x:v>
      </x:c>
      <x:c r="K59" s="8" t="n">
        <x:f>'Evaluation Plan'!K59</x:f>
        <x:v>4</x:v>
      </x:c>
      <x:c r="L59" s="8" t="str">
        <x:f>'Evaluation Plan'!L59</x:f>
        <x:v>2 — Exact-scene opposite-direction contrast — Direction-word counterfactual (left→right)</x:v>
      </x:c>
      <x:c r="M59" s="8" t="n">
        <x:f>'Evaluation Plan'!M59</x:f>
        <x:v>15</x:v>
      </x:c>
      <x:c r="N59" s="7" t="str">
        <x:f>'Evaluation Plan'!N59</x:f>
        <x:v>Reset only P2 to its marked start. Preserve the exact scene; change only the directional word and expected goal sector.</x:v>
      </x:c>
      <x:c r="O59" s="7" t="str">
        <x:f>'Evaluation Plan'!O59</x:f>
        <x:v>Exact-scene semantic counterfactual. Target and reference identities stay fixed while the requested endpoint reverses front↔behind or left↔right.</x:v>
      </x:c>
      <x:c r="P59" s="7" t="str">
        <x:f>IF(ISBLANK('Evaluation Plan'!P59),"",'Evaluation Plan'!P59)</x:f>
      </x:c>
    </x:row>
    <x:row r="60" ht="64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red block beside the green pen.</x:v>
      </x:c>
      <x:c r="D60" s="7" t="str">
        <x:f>'Evaluation Plan'!D60</x:f>
        <x:v>P1 green pen at R5 (5 cm away from the robot from center) [REFERENCE]; P2 red block 24 cm to the right of P1 [TARGET START]; P3 pink marker 15 cm in front of P1 [DISTRACTOR]; P4 blue block 15 cm behind P1 [DISTRACTOR]</x:v>
      </x:c>
      <x:c r="E60" s="8" t="n">
        <x:f>IF(ISBLANK('Evaluation Plan'!E60),"",'Evaluation Plan'!E60)</x:f>
        <x:v>56</x:v>
      </x:c>
      <x:c r="F60" s="8" t="str">
        <x:f>'Evaluation Plan'!F60</x:f>
        <x:v>red block → 2–8 cm edge gap from green pen (any direction)</x:v>
      </x:c>
      <x:c r="G60" s="7"/>
      <x:c r="H60" s="8" t="str">
        <x:f>'Evaluation Plan'!H60</x:f>
        <x:v>Matched manipulation control</x:v>
      </x:c>
      <x:c r="I60" s="8" t="str">
        <x:f>'Evaluation Plan'!I60</x:f>
        <x:v>RP-F15</x:v>
      </x:c>
      <x:c r="J60" s="8" t="str">
        <x:f>'Evaluation Plan'!J60</x:f>
        <x:v>near</x:v>
      </x:c>
      <x:c r="K60" s="8" t="n">
        <x:f>'Evaluation Plan'!K60</x:f>
        <x:v>4</x:v>
      </x:c>
      <x:c r="L60" s="8" t="str">
        <x:f>'Evaluation Plan'!L60</x:f>
        <x:v>3 — Matched control — Seen near/next-to/beside relation on the same ordered pair (4 objects)</x:v>
      </x:c>
      <x:c r="M60" s="8" t="n">
        <x:f>'Evaluation Plan'!M60</x:f>
        <x:v>15</x:v>
      </x:c>
      <x:c r="N60" s="7" t="str">
        <x:f>'Evaluation Plan'!N60</x:f>
        <x:v>Reset only P2 to its marked start. Keep every object, camera setting, and pose fixed; change only the prompt.</x:v>
      </x:c>
      <x:c r="O60" s="7" t="str">
        <x:f>'Evaluation Plan'!O60</x:f>
        <x:v>Controls target/reference recognition and basic pick-place on the exact pair. It is skill-matched but not direction-endpoint-matched, so analyze the paired success delta separately.</x:v>
      </x:c>
      <x:c r="P60" s="7" t="str">
        <x:f>IF(ISBLANK('Evaluation Plan'!P60),"",'Evaluation Plan'!P60)</x:f>
      </x:c>
    </x:row>
    <x:row r="61" ht="64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Place the red block near enough to sit beside the green pen.</x:v>
      </x:c>
      <x:c r="D61" s="7" t="str">
        <x:f>'Evaluation Plan'!D61</x:f>
        <x:v>P1 green pen at R5 (5 cm away from the robot from center) [REFERENCE]; P2 red block 24 cm to the right of P1 [TARGET START]; P3 pink marker 15 cm in front of P1 [DISTRACTOR]; P4 blue block 15 cm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block → 2–8 cm edge gap from green pen (any direction)</x:v>
      </x:c>
      <x:c r="G61" s="7"/>
      <x:c r="H61" s="8" t="str">
        <x:f>'Evaluation Plan'!H61</x:f>
        <x:v>Language robustness</x:v>
      </x:c>
      <x:c r="I61" s="8" t="str">
        <x:f>'Evaluation Plan'!I61</x:f>
        <x:v>RP-F15</x:v>
      </x:c>
      <x:c r="J61" s="8" t="str">
        <x:f>'Evaluation Plan'!J61</x:f>
        <x:v>near</x:v>
      </x:c>
      <x:c r="K61" s="8" t="n">
        <x:f>'Evaluation Plan'!K61</x:f>
        <x:v>4</x:v>
      </x:c>
      <x:c r="L61" s="8" t="str">
        <x:f>'Evaluation Plan'!L61</x:f>
        <x:v>4 — Exact-scene control paraphrase — Paraphrase of matched-control prompt</x:v>
      </x:c>
      <x:c r="M61" s="8" t="n">
        <x:f>'Evaluation Plan'!M61</x:f>
        <x:v>15</x:v>
      </x:c>
      <x:c r="N61" s="7" t="str">
        <x:f>'Evaluation Plan'!N61</x:f>
        <x:v>Reset only P2 to its marked start; change only the prompt wording.</x:v>
      </x:c>
      <x:c r="O61" s="7" t="str">
        <x:f>'Evaluation Plan'!O61</x:f>
        <x:v>Exact-scene language comparison for the seen near relation.</x:v>
      </x:c>
      <x:c r="P61" s="7" t="str">
        <x:f>IF(ISBLANK('Evaluation Plan'!P61),"",'Evaluation Plan'!P61)</x:f>
      </x:c>
    </x:row>
    <x:row r="62" ht="64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green pen to the right of the red block.</x:v>
      </x:c>
      <x:c r="D62" s="10" t="str">
        <x:f>'Evaluation Plan'!D62</x:f>
        <x:v>P1 red block at R1 (table center) [REFERENCE]; P2 green pen 18 cm to the left of P1 [TARGET START]; P3 pink marker 15 cm in front of P1 [DISTRACTOR]; P4 blue block 15 cm behind P1 [DISTRACTOR]</x:v>
      </x:c>
      <x:c r="E62" s="9" t="str">
        <x:f>IF(ISBLANK('Evaluation Plan'!E62),"",'Evaluation Plan'!E62)</x:f>
      </x:c>
      <x:c r="F62" s="9" t="str">
        <x:f>'Evaluation Plan'!F62</x:f>
        <x:v>green pen → 2–8 cm edge gap to the right of red block; centroid direction within ±45°</x:v>
      </x:c>
      <x:c r="G62" s="10"/>
      <x:c r="H62" s="9" t="str">
        <x:f>'Evaluation Plan'!H62</x:f>
        <x:v>Concept/compositional transfer</x:v>
      </x:c>
      <x:c r="I62" s="9" t="str">
        <x:f>'Evaluation Plan'!I62</x:f>
        <x:v>RP-F16</x:v>
      </x:c>
      <x:c r="J62" s="9" t="str">
        <x:f>'Evaluation Plan'!J62</x:f>
        <x:v>right</x:v>
      </x:c>
      <x:c r="K62" s="9" t="n">
        <x:f>'Evaluation Plan'!K62</x:f>
        <x:v>4</x:v>
      </x:c>
      <x:c r="L62" s="9" t="str">
        <x:f>'Evaluation Plan'!L62</x:f>
        <x:v>1 — Canonical transfer — Held-out direction × green-pen/red-block pair (right)</x:v>
      </x:c>
      <x:c r="M62" s="9" t="n">
        <x:f>'Evaluation Plan'!M62</x:f>
        <x:v>16</x:v>
      </x:c>
      <x:c r="N62" s="10" t="str">
        <x:f>'Evaluation Plan'!N62</x:f>
        <x:v>Build the marked scene. Target starts in the opposite sector and outside the success gap; save a first-frame filename.</x:v>
      </x:c>
      <x:c r="O62" s="10" t="str">
        <x:f>'Evaluation Plan'!O62</x:f>
        <x:v>Directional language is trained on other object pairs, but all directional green-pen/red-block demonstrations are withheld in both target/reference directions.</x:v>
      </x:c>
      <x:c r="P62" s="10" t="str">
        <x:f>IF(ISBLANK('Evaluation Plan'!P62),"",'Evaluation Plan'!P62)</x:f>
      </x:c>
    </x:row>
    <x:row r="63" ht="64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green pen to the left of the red block.</x:v>
      </x:c>
      <x:c r="D63" s="7" t="str">
        <x:f>'Evaluation Plan'!D63</x:f>
        <x:v>P1 red block at R1 (table center) [REFERENCE]; P2 green pen 18 cm to the left of P1 [TARGET START]; P3 pink marker 15 cm in front of P1 [DISTRACTOR]; P4 blue block 15 cm behind P1 [DISTRACTOR]</x:v>
      </x:c>
      <x:c r="E63" s="8" t="n">
        <x:f>IF(ISBLANK('Evaluation Plan'!E63),"",'Evaluation Plan'!E63)</x:f>
        <x:v>60</x:v>
      </x:c>
      <x:c r="F63" s="8" t="str">
        <x:f>'Evaluation Plan'!F63</x:f>
        <x:v>green pen → 2–8 cm edge gap to the left of red block; centroid direction within ±45°</x:v>
      </x:c>
      <x:c r="G63" s="7"/>
      <x:c r="H63" s="8" t="str">
        <x:f>'Evaluation Plan'!H63</x:f>
        <x:v>Exact-scene opposite-direction contrast</x:v>
      </x:c>
      <x:c r="I63" s="8" t="str">
        <x:f>'Evaluation Plan'!I63</x:f>
        <x:v>RP-F16</x:v>
      </x:c>
      <x:c r="J63" s="8" t="str">
        <x:f>'Evaluation Plan'!J63</x:f>
        <x:v>left</x:v>
      </x:c>
      <x:c r="K63" s="8" t="n">
        <x:f>'Evaluation Plan'!K63</x:f>
        <x:v>4</x:v>
      </x:c>
      <x:c r="L63" s="8" t="str">
        <x:f>'Evaluation Plan'!L63</x:f>
        <x:v>2 — Exact-scene opposite-direction contrast — Direction-word counterfactual (right→left)</x:v>
      </x:c>
      <x:c r="M63" s="8" t="n">
        <x:f>'Evaluation Plan'!M63</x:f>
        <x:v>16</x:v>
      </x:c>
      <x:c r="N63" s="7" t="str">
        <x:f>'Evaluation Plan'!N63</x:f>
        <x:v>Reset only P2 to its marked start. Preserve the exact scene; change only the directional word and expected goal sector.</x:v>
      </x:c>
      <x:c r="O63" s="7" t="str">
        <x:f>'Evaluation Plan'!O63</x:f>
        <x:v>Exact-scene semantic counterfactual. Target and reference identities stay fixed while the requested endpoint reverses front↔behind or left↔right.</x:v>
      </x:c>
      <x:c r="P63" s="7" t="str">
        <x:f>IF(ISBLANK('Evaluation Plan'!P63),"",'Evaluation Plan'!P63)</x:f>
      </x:c>
    </x:row>
    <x:row r="64" ht="64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pen near the red block.</x:v>
      </x:c>
      <x:c r="D64" s="7" t="str">
        <x:f>'Evaluation Plan'!D64</x:f>
        <x:v>P1 red block at R1 (table center) [REFERENCE]; P2 green pen 18 cm to the left of P1 [TARGET START]; P3 pink marker 15 cm in front of P1 [DISTRACTOR]; P4 blue block 15 cm behind P1 [DISTRACTOR]</x:v>
      </x:c>
      <x:c r="E64" s="8" t="n">
        <x:f>IF(ISBLANK('Evaluation Plan'!E64),"",'Evaluation Plan'!E64)</x:f>
        <x:v>60</x:v>
      </x:c>
      <x:c r="F64" s="8" t="str">
        <x:f>'Evaluation Plan'!F64</x:f>
        <x:v>green pen → 2–8 cm edge gap from red block (any direction)</x:v>
      </x:c>
      <x:c r="G64" s="7"/>
      <x:c r="H64" s="8" t="str">
        <x:f>'Evaluation Plan'!H64</x:f>
        <x:v>Matched manipulation control</x:v>
      </x:c>
      <x:c r="I64" s="8" t="str">
        <x:f>'Evaluation Plan'!I64</x:f>
        <x:v>RP-F16</x:v>
      </x:c>
      <x:c r="J64" s="8" t="str">
        <x:f>'Evaluation Plan'!J64</x:f>
        <x:v>near</x:v>
      </x:c>
      <x:c r="K64" s="8" t="n">
        <x:f>'Evaluation Plan'!K64</x:f>
        <x:v>4</x:v>
      </x:c>
      <x:c r="L64" s="8" t="str">
        <x:f>'Evaluation Plan'!L64</x:f>
        <x:v>3 — Matched control — Seen near/next-to/beside relation on the same ordered pair (4 objects)</x:v>
      </x:c>
      <x:c r="M64" s="8" t="n">
        <x:f>'Evaluation Plan'!M64</x:f>
        <x:v>16</x:v>
      </x:c>
      <x:c r="N64" s="7" t="str">
        <x:f>'Evaluation Plan'!N64</x:f>
        <x:v>Reset only P2 to its marked start. Keep every object, camera setting, and pose fixed; change only the prompt.</x:v>
      </x:c>
      <x:c r="O64" s="7" t="str">
        <x:f>'Evaluation Plan'!O64</x:f>
        <x:v>Controls target/reference recognition and basic pick-place on the exact pair. It is skill-matched but not direction-endpoint-matched, so analyze the paired success delta separately.</x:v>
      </x:c>
      <x:c r="P64" s="7" t="str">
        <x:f>IF(ISBLANK('Evaluation Plan'!P64),"",'Evaluation Plan'!P64)</x:f>
      </x:c>
    </x:row>
    <x:row r="65" ht="64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Position the green pen adjacent to the red block.</x:v>
      </x:c>
      <x:c r="D65" s="7" t="str">
        <x:f>'Evaluation Plan'!D65</x:f>
        <x:v>P1 red block at R1 (table center) [REFERENCE]; P2 green pen 18 cm to the left of P1 [TARGET START]; P3 pink marker 15 cm in front of P1 [DISTRACTOR]; P4 blue block 15 cm behind P1 [DISTRACTOR]</x:v>
      </x:c>
      <x:c r="E65" s="8" t="n">
        <x:f>IF(ISBLANK('Evaluation Plan'!E65),"",'Evaluation Plan'!E65)</x:f>
        <x:v>62</x:v>
      </x:c>
      <x:c r="F65" s="8" t="str">
        <x:f>'Evaluation Plan'!F65</x:f>
        <x:v>green pen → 2–8 cm edge gap from red block (any direction)</x:v>
      </x:c>
      <x:c r="G65" s="7"/>
      <x:c r="H65" s="8" t="str">
        <x:f>'Evaluation Plan'!H65</x:f>
        <x:v>Language robustness</x:v>
      </x:c>
      <x:c r="I65" s="8" t="str">
        <x:f>'Evaluation Plan'!I65</x:f>
        <x:v>RP-F16</x:v>
      </x:c>
      <x:c r="J65" s="8" t="str">
        <x:f>'Evaluation Plan'!J65</x:f>
        <x:v>near</x:v>
      </x:c>
      <x:c r="K65" s="8" t="n">
        <x:f>'Evaluation Plan'!K65</x:f>
        <x:v>4</x:v>
      </x:c>
      <x:c r="L65" s="8" t="str">
        <x:f>'Evaluation Plan'!L65</x:f>
        <x:v>4 — Exact-scene control paraphrase — Paraphrase of matched-control prompt</x:v>
      </x:c>
      <x:c r="M65" s="8" t="n">
        <x:f>'Evaluation Plan'!M65</x:f>
        <x:v>16</x:v>
      </x:c>
      <x:c r="N65" s="7" t="str">
        <x:f>'Evaluation Plan'!N65</x:f>
        <x:v>Reset only P2 to its marked start; change only the prompt wording.</x:v>
      </x:c>
      <x:c r="O65" s="7" t="str">
        <x:f>'Evaluation Plan'!O65</x:f>
        <x:v>Exact-scene language comparison for the seen near relation.</x:v>
      </x:c>
      <x:c r="P65" s="7" t="str">
        <x:f>IF(ISBLANK('Evaluation Plan'!P65),"",'Evaluation Plan'!P65)</x:f>
      </x:c>
    </x:row>
    <x:row r="66" ht="64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green pen to the front of the red block.</x:v>
      </x:c>
      <x:c r="D66" s="10" t="str">
        <x:f>'Evaluation Plan'!D66</x:f>
        <x:v>P1 red block at R2 (5 cm left of center) [REFERENCE]; P2 green pen 21 cm behind P1 [TARGET START]; P3 pink marker 15 cm to the left of P1 [DISTRACTOR]; P4 blue block 15 cm to the right of P1 [DISTRACTOR]</x:v>
      </x:c>
      <x:c r="E66" s="9" t="str">
        <x:f>IF(ISBLANK('Evaluation Plan'!E66),"",'Evaluation Plan'!E66)</x:f>
      </x:c>
      <x:c r="F66" s="9" t="str">
        <x:f>'Evaluation Plan'!F66</x:f>
        <x:v>green pen → 2–8 cm edge gap in front of red block; centroid direction within ±45°</x:v>
      </x:c>
      <x:c r="G66" s="10"/>
      <x:c r="H66" s="9" t="str">
        <x:f>'Evaluation Plan'!H66</x:f>
        <x:v>Concept/compositional transfer</x:v>
      </x:c>
      <x:c r="I66" s="9" t="str">
        <x:f>'Evaluation Plan'!I66</x:f>
        <x:v>RP-F17</x:v>
      </x:c>
      <x:c r="J66" s="9" t="str">
        <x:f>'Evaluation Plan'!J66</x:f>
        <x:v>front</x:v>
      </x:c>
      <x:c r="K66" s="9" t="n">
        <x:f>'Evaluation Plan'!K66</x:f>
        <x:v>4</x:v>
      </x:c>
      <x:c r="L66" s="9" t="str">
        <x:f>'Evaluation Plan'!L66</x:f>
        <x:v>1 — Canonical transfer — Held-out direction × green-pen/red-block pair (front)</x:v>
      </x:c>
      <x:c r="M66" s="9" t="n">
        <x:f>'Evaluation Plan'!M66</x:f>
        <x:v>17</x:v>
      </x:c>
      <x:c r="N66" s="10" t="str">
        <x:f>'Evaluation Plan'!N66</x:f>
        <x:v>Build the marked scene. Target starts in the opposite sector and outside the success gap; save a first-frame filename.</x:v>
      </x:c>
      <x:c r="O66" s="10" t="str">
        <x:f>'Evaluation Plan'!O66</x:f>
        <x:v>Directional language is trained on other object pairs, but all directional green-pen/red-block demonstrations are withheld in both target/reference directions.</x:v>
      </x:c>
      <x:c r="P66" s="10" t="str">
        <x:f>IF(ISBLANK('Evaluation Plan'!P66),"",'Evaluation Plan'!P66)</x:f>
      </x:c>
    </x:row>
    <x:row r="67" ht="64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pen on the table behind the red block.</x:v>
      </x:c>
      <x:c r="D67" s="7" t="str">
        <x:f>'Evaluation Plan'!D67</x:f>
        <x:v>P1 red block at R2 (5 cm left of center) [REFERENCE]; P2 green pen 21 cm behind P1 [TARGET START]; P3 pink marker 15 cm to the left of P1 [DISTRACTOR]; P4 blue block 15 cm to the right of P1 [DISTRACTOR]</x:v>
      </x:c>
      <x:c r="E67" s="8" t="n">
        <x:f>IF(ISBLANK('Evaluation Plan'!E67),"",'Evaluation Plan'!E67)</x:f>
        <x:v>64</x:v>
      </x:c>
      <x:c r="F67" s="8" t="str">
        <x:f>'Evaluation Plan'!F67</x:f>
        <x:v>green pen → 2–8 cm edge gap behind red block; centroid direction within ±45°</x:v>
      </x:c>
      <x:c r="G67" s="7"/>
      <x:c r="H67" s="8" t="str">
        <x:f>'Evaluation Plan'!H67</x:f>
        <x:v>Exact-scene opposite-direction contrast</x:v>
      </x:c>
      <x:c r="I67" s="8" t="str">
        <x:f>'Evaluation Plan'!I67</x:f>
        <x:v>RP-F17</x:v>
      </x:c>
      <x:c r="J67" s="8" t="str">
        <x:f>'Evaluation Plan'!J67</x:f>
        <x:v>behind</x:v>
      </x:c>
      <x:c r="K67" s="8" t="n">
        <x:f>'Evaluation Plan'!K67</x:f>
        <x:v>4</x:v>
      </x:c>
      <x:c r="L67" s="8" t="str">
        <x:f>'Evaluation Plan'!L67</x:f>
        <x:v>2 — Exact-scene opposite-direction contrast — Direction-word counterfactual (front→behind)</x:v>
      </x:c>
      <x:c r="M67" s="8" t="n">
        <x:f>'Evaluation Plan'!M67</x:f>
        <x:v>17</x:v>
      </x:c>
      <x:c r="N67" s="7" t="str">
        <x:f>'Evaluation Plan'!N67</x:f>
        <x:v>Reset only P2 to its marked start. Preserve the exact scene; change only the directional word and expected goal sector.</x:v>
      </x:c>
      <x:c r="O67" s="7" t="str">
        <x:f>'Evaluation Plan'!O67</x:f>
        <x:v>Exact-scene semantic counterfactual. Target and reference identities stay fixed while the requested endpoint reverses front↔behind or left↔right.</x:v>
      </x:c>
      <x:c r="P67" s="7" t="str">
        <x:f>IF(ISBLANK('Evaluation Plan'!P67),"",'Evaluation Plan'!P67)</x:f>
      </x:c>
    </x:row>
    <x:row r="68" ht="64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Place the green pen next to the red block.</x:v>
      </x:c>
      <x:c r="D68" s="7" t="str">
        <x:f>'Evaluation Plan'!D68</x:f>
        <x:v>P1 red block at R2 (5 cm left of center) [REFERENCE]; P2 green pen 21 cm behind P1 [TARGET START]; P3 pink marker 15 cm to the left of P1 [DISTRACTOR]; P4 blue block 15 cm to the right of P1 [DISTRACTOR]</x:v>
      </x:c>
      <x:c r="E68" s="8" t="n">
        <x:f>IF(ISBLANK('Evaluation Plan'!E68),"",'Evaluation Plan'!E68)</x:f>
        <x:v>64</x:v>
      </x:c>
      <x:c r="F68" s="8" t="str">
        <x:f>'Evaluation Plan'!F68</x:f>
        <x:v>green pen → 2–8 cm edge gap from red block (any direction)</x:v>
      </x:c>
      <x:c r="G68" s="7"/>
      <x:c r="H68" s="8" t="str">
        <x:f>'Evaluation Plan'!H68</x:f>
        <x:v>Matched manipulation control</x:v>
      </x:c>
      <x:c r="I68" s="8" t="str">
        <x:f>'Evaluation Plan'!I68</x:f>
        <x:v>RP-F17</x:v>
      </x:c>
      <x:c r="J68" s="8" t="str">
        <x:f>'Evaluation Plan'!J68</x:f>
        <x:v>near</x:v>
      </x:c>
      <x:c r="K68" s="8" t="n">
        <x:f>'Evaluation Plan'!K68</x:f>
        <x:v>4</x:v>
      </x:c>
      <x:c r="L68" s="8" t="str">
        <x:f>'Evaluation Plan'!L68</x:f>
        <x:v>3 — Matched control — Seen near/next-to/beside relation on the same ordered pair (4 objects)</x:v>
      </x:c>
      <x:c r="M68" s="8" t="n">
        <x:f>'Evaluation Plan'!M68</x:f>
        <x:v>17</x:v>
      </x:c>
      <x:c r="N68" s="7" t="str">
        <x:f>'Evaluation Plan'!N68</x:f>
        <x:v>Reset only P2 to its marked start. Keep every object, camera setting, and pose fixed; change only the prompt.</x:v>
      </x:c>
      <x:c r="O68" s="7" t="str">
        <x:f>'Evaluation Plan'!O68</x:f>
        <x:v>Controls target/reference recognition and basic pick-place on the exact pair. It is skill-matched but not direction-endpoint-matched, so analyze the paired success delta separately.</x:v>
      </x:c>
      <x:c r="P68" s="7" t="str">
        <x:f>IF(ISBLANK('Evaluation Plan'!P68),"",'Evaluation Plan'!P68)</x:f>
      </x:c>
    </x:row>
    <x:row r="69" ht="64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green pen close to the red block.</x:v>
      </x:c>
      <x:c r="D69" s="7" t="str">
        <x:f>'Evaluation Plan'!D69</x:f>
        <x:v>P1 red block at R2 (5 cm left of center) [REFERENCE]; P2 green pen 21 cm behind P1 [TARGET START]; P3 pink marker 15 cm to the left of P1 [DISTRACTOR]; P4 blue block 15 cm to the right of P1 [DISTRACTOR]</x:v>
      </x:c>
      <x:c r="E69" s="8" t="n">
        <x:f>IF(ISBLANK('Evaluation Plan'!E69),"",'Evaluation Plan'!E69)</x:f>
        <x:v>66</x:v>
      </x:c>
      <x:c r="F69" s="8" t="str">
        <x:f>'Evaluation Plan'!F69</x:f>
        <x:v>green pen → 2–8 cm edge gap from red block (any direction)</x:v>
      </x:c>
      <x:c r="G69" s="7"/>
      <x:c r="H69" s="8" t="str">
        <x:f>'Evaluation Plan'!H69</x:f>
        <x:v>Language robustness</x:v>
      </x:c>
      <x:c r="I69" s="8" t="str">
        <x:f>'Evaluation Plan'!I69</x:f>
        <x:v>RP-F17</x:v>
      </x:c>
      <x:c r="J69" s="8" t="str">
        <x:f>'Evaluation Plan'!J69</x:f>
        <x:v>near</x:v>
      </x:c>
      <x:c r="K69" s="8" t="n">
        <x:f>'Evaluation Plan'!K69</x:f>
        <x:v>4</x:v>
      </x:c>
      <x:c r="L69" s="8" t="str">
        <x:f>'Evaluation Plan'!L69</x:f>
        <x:v>4 — Exact-scene control paraphrase — Paraphrase of matched-control prompt</x:v>
      </x:c>
      <x:c r="M69" s="8" t="n">
        <x:f>'Evaluation Plan'!M69</x:f>
        <x:v>17</x:v>
      </x:c>
      <x:c r="N69" s="7" t="str">
        <x:f>'Evaluation Plan'!N69</x:f>
        <x:v>Reset only P2 to its marked start; change only the prompt wording.</x:v>
      </x:c>
      <x:c r="O69" s="7" t="str">
        <x:f>'Evaluation Plan'!O69</x:f>
        <x:v>Exact-scene language comparison for the seen near relation.</x:v>
      </x:c>
      <x:c r="P69" s="7" t="str">
        <x:f>IF(ISBLANK('Evaluation Plan'!P69),"",'Evaluation Plan'!P69)</x:f>
      </x:c>
    </x:row>
    <x:row r="70" ht="64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Put the red block on the table behind the green pen.</x:v>
      </x:c>
      <x:c r="D70" s="10" t="str">
        <x:f>'Evaluation Plan'!D70</x:f>
        <x:v>P1 green pen at R3 (5 cm right of center) [REFERENCE]; P2 red block 24 cm in front of P1 [TARGET START]; P3 pink marker 15 cm to the left of P1 [DISTRACTOR]; P4 blue block 15 cm to the right of P1 [DISTRACTOR]</x:v>
      </x:c>
      <x:c r="E70" s="9" t="str">
        <x:f>IF(ISBLANK('Evaluation Plan'!E70),"",'Evaluation Plan'!E70)</x:f>
      </x:c>
      <x:c r="F70" s="9" t="str">
        <x:f>'Evaluation Plan'!F70</x:f>
        <x:v>red block → 2–8 cm edge gap behind green pen; centroid direction within ±45°</x:v>
      </x:c>
      <x:c r="G70" s="10"/>
      <x:c r="H70" s="9" t="str">
        <x:f>'Evaluation Plan'!H70</x:f>
        <x:v>Concept/compositional transfer</x:v>
      </x:c>
      <x:c r="I70" s="9" t="str">
        <x:f>'Evaluation Plan'!I70</x:f>
        <x:v>RP-F18</x:v>
      </x:c>
      <x:c r="J70" s="9" t="str">
        <x:f>'Evaluation Plan'!J70</x:f>
        <x:v>behind</x:v>
      </x:c>
      <x:c r="K70" s="9" t="n">
        <x:f>'Evaluation Plan'!K70</x:f>
        <x:v>4</x:v>
      </x:c>
      <x:c r="L70" s="9" t="str">
        <x:f>'Evaluation Plan'!L70</x:f>
        <x:v>1 — Canonical transfer — Held-out direction × green-pen/red-block pair (behind)</x:v>
      </x:c>
      <x:c r="M70" s="9" t="n">
        <x:f>'Evaluation Plan'!M70</x:f>
        <x:v>18</x:v>
      </x:c>
      <x:c r="N70" s="10" t="str">
        <x:f>'Evaluation Plan'!N70</x:f>
        <x:v>Build the marked scene. Target starts in the opposite sector and outside the success gap; save a first-frame filename.</x:v>
      </x:c>
      <x:c r="O70" s="10" t="str">
        <x:f>'Evaluation Plan'!O70</x:f>
        <x:v>Directional language is trained on other object pairs, but all directional green-pen/red-block demonstrations are withheld in both target/reference directions.</x:v>
      </x:c>
      <x:c r="P70" s="10" t="str">
        <x:f>IF(ISBLANK('Evaluation Plan'!P70),"",'Evaluation Plan'!P70)</x:f>
      </x:c>
    </x:row>
    <x:row r="71" ht="64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Place the red block in front of the green pen.</x:v>
      </x:c>
      <x:c r="D71" s="7" t="str">
        <x:f>'Evaluation Plan'!D71</x:f>
        <x:v>P1 green pen at R3 (5 cm right of center) [REFERENCE]; P2 red block 24 cm in front of P1 [TARGET START]; P3 pink marker 15 cm to the left of P1 [DISTRACTOR]; P4 blue block 15 cm to the right of P1 [DISTRACTOR]</x:v>
      </x:c>
      <x:c r="E71" s="8" t="n">
        <x:f>IF(ISBLANK('Evaluation Plan'!E71),"",'Evaluation Plan'!E71)</x:f>
        <x:v>68</x:v>
      </x:c>
      <x:c r="F71" s="8" t="str">
        <x:f>'Evaluation Plan'!F71</x:f>
        <x:v>red block → 2–8 cm edge gap in front of green pen; centroid direction within ±45°</x:v>
      </x:c>
      <x:c r="G71" s="7"/>
      <x:c r="H71" s="8" t="str">
        <x:f>'Evaluation Plan'!H71</x:f>
        <x:v>Exact-scene opposite-direction contrast</x:v>
      </x:c>
      <x:c r="I71" s="8" t="str">
        <x:f>'Evaluation Plan'!I71</x:f>
        <x:v>RP-F18</x:v>
      </x:c>
      <x:c r="J71" s="8" t="str">
        <x:f>'Evaluation Plan'!J71</x:f>
        <x:v>front</x:v>
      </x:c>
      <x:c r="K71" s="8" t="n">
        <x:f>'Evaluation Plan'!K71</x:f>
        <x:v>4</x:v>
      </x:c>
      <x:c r="L71" s="8" t="str">
        <x:f>'Evaluation Plan'!L71</x:f>
        <x:v>2 — Exact-scene opposite-direction contrast — Direction-word counterfactual (behind→front)</x:v>
      </x:c>
      <x:c r="M71" s="8" t="n">
        <x:f>'Evaluation Plan'!M71</x:f>
        <x:v>18</x:v>
      </x:c>
      <x:c r="N71" s="7" t="str">
        <x:f>'Evaluation Plan'!N71</x:f>
        <x:v>Reset only P2 to its marked start. Preserve the exact scene; change only the directional word and expected goal sector.</x:v>
      </x:c>
      <x:c r="O71" s="7" t="str">
        <x:f>'Evaluation Plan'!O71</x:f>
        <x:v>Exact-scene semantic counterfactual. Target and reference identities stay fixed while the requested endpoint reverses front↔behind or left↔right.</x:v>
      </x:c>
      <x:c r="P71" s="7" t="str">
        <x:f>IF(ISBLANK('Evaluation Plan'!P71),"",'Evaluation Plan'!P71)</x:f>
      </x:c>
    </x:row>
    <x:row r="72" ht="64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red block beside the green pen.</x:v>
      </x:c>
      <x:c r="D72" s="7" t="str">
        <x:f>'Evaluation Plan'!D72</x:f>
        <x:v>P1 green pen at R3 (5 cm right of center) [REFERENCE]; P2 red block 24 cm in front of P1 [TARGET START]; P3 pink marker 15 cm to the left of P1 [DISTRACTOR]; P4 blue block 15 cm to the right of P1 [DISTRACTOR]</x:v>
      </x:c>
      <x:c r="E72" s="8" t="n">
        <x:f>IF(ISBLANK('Evaluation Plan'!E72),"",'Evaluation Plan'!E72)</x:f>
        <x:v>68</x:v>
      </x:c>
      <x:c r="F72" s="8" t="str">
        <x:f>'Evaluation Plan'!F72</x:f>
        <x:v>red block → 2–8 cm edge gap from green pen (any direction)</x:v>
      </x:c>
      <x:c r="G72" s="7"/>
      <x:c r="H72" s="8" t="str">
        <x:f>'Evaluation Plan'!H72</x:f>
        <x:v>Matched manipulation control</x:v>
      </x:c>
      <x:c r="I72" s="8" t="str">
        <x:f>'Evaluation Plan'!I72</x:f>
        <x:v>RP-F18</x:v>
      </x:c>
      <x:c r="J72" s="8" t="str">
        <x:f>'Evaluation Plan'!J72</x:f>
        <x:v>near</x:v>
      </x:c>
      <x:c r="K72" s="8" t="n">
        <x:f>'Evaluation Plan'!K72</x:f>
        <x:v>4</x:v>
      </x:c>
      <x:c r="L72" s="8" t="str">
        <x:f>'Evaluation Plan'!L72</x:f>
        <x:v>3 — Matched control — Seen near/next-to/beside relation on the same ordered pair (4 objects)</x:v>
      </x:c>
      <x:c r="M72" s="8" t="n">
        <x:f>'Evaluation Plan'!M72</x:f>
        <x:v>18</x:v>
      </x:c>
      <x:c r="N72" s="7" t="str">
        <x:f>'Evaluation Plan'!N72</x:f>
        <x:v>Reset only P2 to its marked start. Keep every object, camera setting, and pose fixed; change only the prompt.</x:v>
      </x:c>
      <x:c r="O72" s="7" t="str">
        <x:f>'Evaluation Plan'!O72</x:f>
        <x:v>Controls target/reference recognition and basic pick-place on the exact pair. It is skill-matched but not direction-endpoint-matched, so analyze the paired success delta separately.</x:v>
      </x:c>
      <x:c r="P72" s="7" t="str">
        <x:f>IF(ISBLANK('Evaluation Plan'!P72),"",'Evaluation Plan'!P72)</x:f>
      </x:c>
    </x:row>
    <x:row r="73" ht="64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Set the red block alongside the green pen.</x:v>
      </x:c>
      <x:c r="D73" s="7" t="str">
        <x:f>'Evaluation Plan'!D73</x:f>
        <x:v>P1 green pen at R3 (5 cm right of center) [REFERENCE]; P2 red block 24 cm in front of P1 [TARGET START]; P3 pink marker 15 cm to the left of P1 [DISTRACTOR]; P4 blue block 15 cm to the right of P1 [DISTRACTOR]</x:v>
      </x:c>
      <x:c r="E73" s="8" t="n">
        <x:f>IF(ISBLANK('Evaluation Plan'!E73),"",'Evaluation Plan'!E73)</x:f>
        <x:v>70</x:v>
      </x:c>
      <x:c r="F73" s="8" t="str">
        <x:f>'Evaluation Plan'!F73</x:f>
        <x:v>red block → 2–8 cm edge gap from green pen (any direction)</x:v>
      </x:c>
      <x:c r="G73" s="7"/>
      <x:c r="H73" s="8" t="str">
        <x:f>'Evaluation Plan'!H73</x:f>
        <x:v>Language robustness</x:v>
      </x:c>
      <x:c r="I73" s="8" t="str">
        <x:f>'Evaluation Plan'!I73</x:f>
        <x:v>RP-F18</x:v>
      </x:c>
      <x:c r="J73" s="8" t="str">
        <x:f>'Evaluation Plan'!J73</x:f>
        <x:v>near</x:v>
      </x:c>
      <x:c r="K73" s="8" t="n">
        <x:f>'Evaluation Plan'!K73</x:f>
        <x:v>4</x:v>
      </x:c>
      <x:c r="L73" s="8" t="str">
        <x:f>'Evaluation Plan'!L73</x:f>
        <x:v>4 — Exact-scene control paraphrase — Paraphrase of matched-control prompt</x:v>
      </x:c>
      <x:c r="M73" s="8" t="n">
        <x:f>'Evaluation Plan'!M73</x:f>
        <x:v>18</x:v>
      </x:c>
      <x:c r="N73" s="7" t="str">
        <x:f>'Evaluation Plan'!N73</x:f>
        <x:v>Reset only P2 to its marked start; change only the prompt wording.</x:v>
      </x:c>
      <x:c r="O73" s="7" t="str">
        <x:f>'Evaluation Plan'!O73</x:f>
        <x:v>Exact-scene language comparison for the seen near relation.</x:v>
      </x:c>
      <x:c r="P73" s="7" t="str">
        <x:f>IF(ISBLANK('Evaluation Plan'!P73),"",'Evaluation Plan'!P73)</x:f>
      </x:c>
    </x:row>
    <x:row r="74" ht="64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green pen to the left of the red block.</x:v>
      </x:c>
      <x:c r="D74" s="10" t="str">
        <x:f>'Evaluation Plan'!D74</x:f>
        <x:v>P1 red block at R4 (5 cm toward the robot from center) [REFERENCE]; P2 green pen 18 cm to the right of P1 [TARGET START]; P3 pink marker 15 cm in front of P1 [DISTRACTOR]; P4 blue block 15 cm behind P1 [DISTRACTOR]</x:v>
      </x:c>
      <x:c r="E74" s="9" t="str">
        <x:f>IF(ISBLANK('Evaluation Plan'!E74),"",'Evaluation Plan'!E74)</x:f>
      </x:c>
      <x:c r="F74" s="9" t="str">
        <x:f>'Evaluation Plan'!F74</x:f>
        <x:v>green pen → 2–8 cm edge gap to the left of red block; centroid direction within ±45°</x:v>
      </x:c>
      <x:c r="G74" s="10"/>
      <x:c r="H74" s="9" t="str">
        <x:f>'Evaluation Plan'!H74</x:f>
        <x:v>Concept/compositional transfer</x:v>
      </x:c>
      <x:c r="I74" s="9" t="str">
        <x:f>'Evaluation Plan'!I74</x:f>
        <x:v>RP-F19</x:v>
      </x:c>
      <x:c r="J74" s="9" t="str">
        <x:f>'Evaluation Plan'!J74</x:f>
        <x:v>left</x:v>
      </x:c>
      <x:c r="K74" s="9" t="n">
        <x:f>'Evaluation Plan'!K74</x:f>
        <x:v>4</x:v>
      </x:c>
      <x:c r="L74" s="9" t="str">
        <x:f>'Evaluation Plan'!L74</x:f>
        <x:v>1 — Canonical transfer — Held-out direction × green-pen/red-block pair (left)</x:v>
      </x:c>
      <x:c r="M74" s="9" t="n">
        <x:f>'Evaluation Plan'!M74</x:f>
        <x:v>19</x:v>
      </x:c>
      <x:c r="N74" s="10" t="str">
        <x:f>'Evaluation Plan'!N74</x:f>
        <x:v>Build the marked scene. Target starts in the opposite sector and outside the success gap; save a first-frame filename.</x:v>
      </x:c>
      <x:c r="O74" s="10" t="str">
        <x:f>'Evaluation Plan'!O74</x:f>
        <x:v>Directional language is trained on other object pairs, but all directional green-pen/red-block demonstrations are withheld in both target/reference directions.</x:v>
      </x:c>
      <x:c r="P74" s="10" t="str">
        <x:f>IF(ISBLANK('Evaluation Plan'!P74),"",'Evaluation Plan'!P74)</x:f>
      </x:c>
    </x:row>
    <x:row r="75" ht="64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to the right of the red block.</x:v>
      </x:c>
      <x:c r="D75" s="7" t="str">
        <x:f>'Evaluation Plan'!D75</x:f>
        <x:v>P1 red block at R4 (5 cm toward the robot from center) [REFERENCE]; P2 green pen 18 cm to the right of P1 [TARGET START]; P3 pink marker 15 cm in front of P1 [DISTRACTOR]; P4 blue block 15 cm behind P1 [DISTRACTOR]</x:v>
      </x:c>
      <x:c r="E75" s="8" t="n">
        <x:f>IF(ISBLANK('Evaluation Plan'!E75),"",'Evaluation Plan'!E75)</x:f>
        <x:v>72</x:v>
      </x:c>
      <x:c r="F75" s="8" t="str">
        <x:f>'Evaluation Plan'!F75</x:f>
        <x:v>green pen → 2–8 cm edge gap to the right of red block; centroid direction within ±45°</x:v>
      </x:c>
      <x:c r="G75" s="7"/>
      <x:c r="H75" s="8" t="str">
        <x:f>'Evaluation Plan'!H75</x:f>
        <x:v>Exact-scene opposite-direction contrast</x:v>
      </x:c>
      <x:c r="I75" s="8" t="str">
        <x:f>'Evaluation Plan'!I75</x:f>
        <x:v>RP-F19</x:v>
      </x:c>
      <x:c r="J75" s="8" t="str">
        <x:f>'Evaluation Plan'!J75</x:f>
        <x:v>right</x:v>
      </x:c>
      <x:c r="K75" s="8" t="n">
        <x:f>'Evaluation Plan'!K75</x:f>
        <x:v>4</x:v>
      </x:c>
      <x:c r="L75" s="8" t="str">
        <x:f>'Evaluation Plan'!L75</x:f>
        <x:v>2 — Exact-scene opposite-direction contrast — Direction-word counterfactual (left→right)</x:v>
      </x:c>
      <x:c r="M75" s="8" t="n">
        <x:f>'Evaluation Plan'!M75</x:f>
        <x:v>19</x:v>
      </x:c>
      <x:c r="N75" s="7" t="str">
        <x:f>'Evaluation Plan'!N75</x:f>
        <x:v>Reset only P2 to its marked start. Preserve the exact scene; change only the directional word and expected goal sector.</x:v>
      </x:c>
      <x:c r="O75" s="7" t="str">
        <x:f>'Evaluation Plan'!O75</x:f>
        <x:v>Exact-scene semantic counterfactual. Target and reference identities stay fixed while the requested endpoint reverses front↔behind or left↔right.</x:v>
      </x:c>
      <x:c r="P75" s="7" t="str">
        <x:f>IF(ISBLANK('Evaluation Plan'!P75),"",'Evaluation Plan'!P75)</x:f>
      </x:c>
    </x:row>
    <x:row r="76" ht="64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green pen near the red block.</x:v>
      </x:c>
      <x:c r="D76" s="7" t="str">
        <x:f>'Evaluation Plan'!D76</x:f>
        <x:v>P1 red block at R4 (5 cm toward the robot from center) [REFERENCE]; P2 green pen 18 cm to the right of P1 [TARGET START]; P3 pink marker 15 cm in front of P1 [DISTRACTOR]; P4 blue block 15 cm behind P1 [DISTRACTOR]</x:v>
      </x:c>
      <x:c r="E76" s="8" t="n">
        <x:f>IF(ISBLANK('Evaluation Plan'!E76),"",'Evaluation Plan'!E76)</x:f>
        <x:v>72</x:v>
      </x:c>
      <x:c r="F76" s="8" t="str">
        <x:f>'Evaluation Plan'!F76</x:f>
        <x:v>green pen → 2–8 cm edge gap from red block (any direction)</x:v>
      </x:c>
      <x:c r="G76" s="7"/>
      <x:c r="H76" s="8" t="str">
        <x:f>'Evaluation Plan'!H76</x:f>
        <x:v>Matched manipulation control</x:v>
      </x:c>
      <x:c r="I76" s="8" t="str">
        <x:f>'Evaluation Plan'!I76</x:f>
        <x:v>RP-F19</x:v>
      </x:c>
      <x:c r="J76" s="8" t="str">
        <x:f>'Evaluation Plan'!J76</x:f>
        <x:v>near</x:v>
      </x:c>
      <x:c r="K76" s="8" t="n">
        <x:f>'Evaluation Plan'!K76</x:f>
        <x:v>4</x:v>
      </x:c>
      <x:c r="L76" s="8" t="str">
        <x:f>'Evaluation Plan'!L76</x:f>
        <x:v>3 — Matched control — Seen near/next-to/beside relation on the same ordered pair (4 objects)</x:v>
      </x:c>
      <x:c r="M76" s="8" t="n">
        <x:f>'Evaluation Plan'!M76</x:f>
        <x:v>19</x:v>
      </x:c>
      <x:c r="N76" s="7" t="str">
        <x:f>'Evaluation Plan'!N76</x:f>
        <x:v>Reset only P2 to its marked start. Keep every object, camera setting, and pose fixed; change only the prompt.</x:v>
      </x:c>
      <x:c r="O76" s="7" t="str">
        <x:f>'Evaluation Plan'!O76</x:f>
        <x:v>Controls target/reference recognition and basic pick-place on the exact pair. It is skill-matched but not direction-endpoint-matched, so analyze the paired success delta separately.</x:v>
      </x:c>
      <x:c r="P76" s="7" t="str">
        <x:f>IF(ISBLANK('Evaluation Plan'!P76),"",'Evaluation Plan'!P76)</x:f>
      </x:c>
    </x:row>
    <x:row r="77" ht="64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green pen within a short distance of the red block.</x:v>
      </x:c>
      <x:c r="D77" s="7" t="str">
        <x:f>'Evaluation Plan'!D77</x:f>
        <x:v>P1 red block at R4 (5 cm toward the robot from center) [REFERENCE]; P2 green pen 18 cm to the right of P1 [TARGET START]; P3 pink marker 15 cm in front of P1 [DISTRACTOR]; P4 blue block 15 cm behind P1 [DISTRACTOR]</x:v>
      </x:c>
      <x:c r="E77" s="8" t="n">
        <x:f>IF(ISBLANK('Evaluation Plan'!E77),"",'Evaluation Plan'!E77)</x:f>
        <x:v>74</x:v>
      </x:c>
      <x:c r="F77" s="8" t="str">
        <x:f>'Evaluation Plan'!F77</x:f>
        <x:v>green pen → 2–8 cm edge gap from red block (any direction)</x:v>
      </x:c>
      <x:c r="G77" s="7"/>
      <x:c r="H77" s="8" t="str">
        <x:f>'Evaluation Plan'!H77</x:f>
        <x:v>Language robustness</x:v>
      </x:c>
      <x:c r="I77" s="8" t="str">
        <x:f>'Evaluation Plan'!I77</x:f>
        <x:v>RP-F19</x:v>
      </x:c>
      <x:c r="J77" s="8" t="str">
        <x:f>'Evaluation Plan'!J77</x:f>
        <x:v>near</x:v>
      </x:c>
      <x:c r="K77" s="8" t="n">
        <x:f>'Evaluation Plan'!K77</x:f>
        <x:v>4</x:v>
      </x:c>
      <x:c r="L77" s="8" t="str">
        <x:f>'Evaluation Plan'!L77</x:f>
        <x:v>4 — Exact-scene control paraphrase — Paraphrase of matched-control prompt</x:v>
      </x:c>
      <x:c r="M77" s="8" t="n">
        <x:f>'Evaluation Plan'!M77</x:f>
        <x:v>19</x:v>
      </x:c>
      <x:c r="N77" s="7" t="str">
        <x:f>'Evaluation Plan'!N77</x:f>
        <x:v>Reset only P2 to its marked start; change only the prompt wording.</x:v>
      </x:c>
      <x:c r="O77" s="7" t="str">
        <x:f>'Evaluation Plan'!O77</x:f>
        <x:v>Exact-scene language comparison for the seen near relation.</x:v>
      </x:c>
      <x:c r="P77" s="7" t="str">
        <x:f>IF(ISBLANK('Evaluation Plan'!P77),"",'Evaluation Plan'!P77)</x:f>
      </x:c>
    </x:row>
    <x:row r="78" ht="64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Place the red block to the right of the green pen.</x:v>
      </x:c>
      <x:c r="D78" s="10" t="str">
        <x:f>'Evaluation Plan'!D78</x:f>
        <x:v>P1 green pen at R5 (5 cm away from the robot from center) [REFERENCE]; P2 red block 21 cm to the left of P1 [TARGET START]; P3 pink marker 15 cm in front of P1 [DISTRACTOR]; P4 blue block 15 cm behind P1 [DISTRACTOR]</x:v>
      </x:c>
      <x:c r="E78" s="9" t="str">
        <x:f>IF(ISBLANK('Evaluation Plan'!E78),"",'Evaluation Plan'!E78)</x:f>
      </x:c>
      <x:c r="F78" s="9" t="str">
        <x:f>'Evaluation Plan'!F78</x:f>
        <x:v>red block → 2–8 cm edge gap to the right of green pen; centroid direction within ±45°</x:v>
      </x:c>
      <x:c r="G78" s="10"/>
      <x:c r="H78" s="9" t="str">
        <x:f>'Evaluation Plan'!H78</x:f>
        <x:v>Concept/compositional transfer</x:v>
      </x:c>
      <x:c r="I78" s="9" t="str">
        <x:f>'Evaluation Plan'!I78</x:f>
        <x:v>RP-F20</x:v>
      </x:c>
      <x:c r="J78" s="9" t="str">
        <x:f>'Evaluation Plan'!J78</x:f>
        <x:v>right</x:v>
      </x:c>
      <x:c r="K78" s="9" t="n">
        <x:f>'Evaluation Plan'!K78</x:f>
        <x:v>4</x:v>
      </x:c>
      <x:c r="L78" s="9" t="str">
        <x:f>'Evaluation Plan'!L78</x:f>
        <x:v>1 — Canonical transfer — Held-out direction × green-pen/red-block pair (right)</x:v>
      </x:c>
      <x:c r="M78" s="9" t="n">
        <x:f>'Evaluation Plan'!M78</x:f>
        <x:v>20</x:v>
      </x:c>
      <x:c r="N78" s="10" t="str">
        <x:f>'Evaluation Plan'!N78</x:f>
        <x:v>Build the marked scene. Target starts in the opposite sector and outside the success gap; save a first-frame filename.</x:v>
      </x:c>
      <x:c r="O78" s="10" t="str">
        <x:f>'Evaluation Plan'!O78</x:f>
        <x:v>Directional language is trained on other object pairs, but all directional green-pen/red-block demonstrations are withheld in both target/reference directions.</x:v>
      </x:c>
      <x:c r="P78" s="10" t="str">
        <x:f>IF(ISBLANK('Evaluation Plan'!P78),"",'Evaluation Plan'!P78)</x:f>
      </x:c>
    </x:row>
    <x:row r="79" ht="64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Place the red block to the left of the green pen.</x:v>
      </x:c>
      <x:c r="D79" s="7" t="str">
        <x:f>'Evaluation Plan'!D79</x:f>
        <x:v>P1 green pen at R5 (5 cm away from the robot from center) [REFERENCE]; P2 red block 21 cm to the left of P1 [TARGET START]; P3 pink marker 15 cm in front of P1 [DISTRACTOR]; P4 blue block 15 cm behind P1 [DISTRACTOR]</x:v>
      </x:c>
      <x:c r="E79" s="8" t="n">
        <x:f>IF(ISBLANK('Evaluation Plan'!E79),"",'Evaluation Plan'!E79)</x:f>
        <x:v>76</x:v>
      </x:c>
      <x:c r="F79" s="8" t="str">
        <x:f>'Evaluation Plan'!F79</x:f>
        <x:v>red block → 2–8 cm edge gap to the left of green pen; centroid direction within ±45°</x:v>
      </x:c>
      <x:c r="G79" s="7"/>
      <x:c r="H79" s="8" t="str">
        <x:f>'Evaluation Plan'!H79</x:f>
        <x:v>Exact-scene opposite-direction contrast</x:v>
      </x:c>
      <x:c r="I79" s="8" t="str">
        <x:f>'Evaluation Plan'!I79</x:f>
        <x:v>RP-F20</x:v>
      </x:c>
      <x:c r="J79" s="8" t="str">
        <x:f>'Evaluation Plan'!J79</x:f>
        <x:v>left</x:v>
      </x:c>
      <x:c r="K79" s="8" t="n">
        <x:f>'Evaluation Plan'!K79</x:f>
        <x:v>4</x:v>
      </x:c>
      <x:c r="L79" s="8" t="str">
        <x:f>'Evaluation Plan'!L79</x:f>
        <x:v>2 — Exact-scene opposite-direction contrast — Direction-word counterfactual (right→left)</x:v>
      </x:c>
      <x:c r="M79" s="8" t="n">
        <x:f>'Evaluation Plan'!M79</x:f>
        <x:v>20</x:v>
      </x:c>
      <x:c r="N79" s="7" t="str">
        <x:f>'Evaluation Plan'!N79</x:f>
        <x:v>Reset only P2 to its marked start. Preserve the exact scene; change only the directional word and expected goal sector.</x:v>
      </x:c>
      <x:c r="O79" s="7" t="str">
        <x:f>'Evaluation Plan'!O79</x:f>
        <x:v>Exact-scene semantic counterfactual. Target and reference identities stay fixed while the requested endpoint reverses front↔behind or left↔right.</x:v>
      </x:c>
      <x:c r="P79" s="7" t="str">
        <x:f>IF(ISBLANK('Evaluation Plan'!P79),"",'Evaluation Plan'!P79)</x:f>
      </x:c>
    </x:row>
    <x:row r="80" ht="64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Place the red block next to the green pen.</x:v>
      </x:c>
      <x:c r="D80" s="7" t="str">
        <x:f>'Evaluation Plan'!D80</x:f>
        <x:v>P1 green pen at R5 (5 cm away from the robot from center) [REFERENCE]; P2 red block 21 cm to the left of P1 [TARGET START]; P3 pink marker 15 cm in front of P1 [DISTRACTOR]; P4 blue block 15 cm behind P1 [DISTRACTOR]</x:v>
      </x:c>
      <x:c r="E80" s="8" t="n">
        <x:f>IF(ISBLANK('Evaluation Plan'!E80),"",'Evaluation Plan'!E80)</x:f>
        <x:v>76</x:v>
      </x:c>
      <x:c r="F80" s="8" t="str">
        <x:f>'Evaluation Plan'!F80</x:f>
        <x:v>red block → 2–8 cm edge gap from green pen (any direction)</x:v>
      </x:c>
      <x:c r="G80" s="7"/>
      <x:c r="H80" s="8" t="str">
        <x:f>'Evaluation Plan'!H80</x:f>
        <x:v>Matched manipulation control</x:v>
      </x:c>
      <x:c r="I80" s="8" t="str">
        <x:f>'Evaluation Plan'!I80</x:f>
        <x:v>RP-F20</x:v>
      </x:c>
      <x:c r="J80" s="8" t="str">
        <x:f>'Evaluation Plan'!J80</x:f>
        <x:v>near</x:v>
      </x:c>
      <x:c r="K80" s="8" t="n">
        <x:f>'Evaluation Plan'!K80</x:f>
        <x:v>4</x:v>
      </x:c>
      <x:c r="L80" s="8" t="str">
        <x:f>'Evaluation Plan'!L80</x:f>
        <x:v>3 — Matched control — Seen near/next-to/beside relation on the same ordered pair (4 objects)</x:v>
      </x:c>
      <x:c r="M80" s="8" t="n">
        <x:f>'Evaluation Plan'!M80</x:f>
        <x:v>20</x:v>
      </x:c>
      <x:c r="N80" s="7" t="str">
        <x:f>'Evaluation Plan'!N80</x:f>
        <x:v>Reset only P2 to its marked start. Keep every object, camera setting, and pose fixed; change only the prompt.</x:v>
      </x:c>
      <x:c r="O80" s="7" t="str">
        <x:f>'Evaluation Plan'!O80</x:f>
        <x:v>Controls target/reference recognition and basic pick-place on the exact pair. It is skill-matched but not direction-endpoint-matched, so analyze the paired success delta separately.</x:v>
      </x:c>
      <x:c r="P80" s="7" t="str">
        <x:f>IF(ISBLANK('Evaluation Plan'!P80),"",'Evaluation Plan'!P80)</x:f>
      </x:c>
    </x:row>
    <x:row r="81" ht="64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red block near enough to sit beside the green pen.</x:v>
      </x:c>
      <x:c r="D81" s="7" t="str">
        <x:f>'Evaluation Plan'!D81</x:f>
        <x:v>P1 green pen at R5 (5 cm away from the robot from center) [REFERENCE]; P2 red block 21 cm to the left of P1 [TARGET START]; P3 pink marker 15 cm in front of P1 [DISTRACTOR]; P4 blue block 15 cm behind P1 [DISTRACTOR]</x:v>
      </x:c>
      <x:c r="E81" s="8" t="n">
        <x:f>IF(ISBLANK('Evaluation Plan'!E81),"",'Evaluation Plan'!E81)</x:f>
        <x:v>78</x:v>
      </x:c>
      <x:c r="F81" s="8" t="str">
        <x:f>'Evaluation Plan'!F81</x:f>
        <x:v>red block → 2–8 cm edge gap from green pen (any direction)</x:v>
      </x:c>
      <x:c r="G81" s="7"/>
      <x:c r="H81" s="8" t="str">
        <x:f>'Evaluation Plan'!H81</x:f>
        <x:v>Language robustness</x:v>
      </x:c>
      <x:c r="I81" s="8" t="str">
        <x:f>'Evaluation Plan'!I81</x:f>
        <x:v>RP-F20</x:v>
      </x:c>
      <x:c r="J81" s="8" t="str">
        <x:f>'Evaluation Plan'!J81</x:f>
        <x:v>near</x:v>
      </x:c>
      <x:c r="K81" s="8" t="n">
        <x:f>'Evaluation Plan'!K81</x:f>
        <x:v>4</x:v>
      </x:c>
      <x:c r="L81" s="8" t="str">
        <x:f>'Evaluation Plan'!L81</x:f>
        <x:v>4 — Exact-scene control paraphrase — Paraphrase of matched-control prompt</x:v>
      </x:c>
      <x:c r="M81" s="8" t="n">
        <x:f>'Evaluation Plan'!M81</x:f>
        <x:v>20</x:v>
      </x:c>
      <x:c r="N81" s="7" t="str">
        <x:f>'Evaluation Plan'!N81</x:f>
        <x:v>Reset only P2 to its marked start; change only the prompt wording.</x:v>
      </x:c>
      <x:c r="O81" s="7" t="str">
        <x:f>'Evaluation Plan'!O81</x:f>
        <x:v>Exact-scene language comparison for the seen near relation.</x:v>
      </x:c>
      <x:c r="P81" s="7" t="str">
        <x:f>IF(ISBLANK('Evaluation Plan'!P81),"",'Evaluation Plan'!P81)</x:f>
      </x:c>
    </x:row>
    <x:row r="82" ht="64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Put the green pen on the table in front of the red block.</x:v>
      </x:c>
      <x:c r="D82" s="7" t="str">
        <x:f>'Evaluation Plan'!D82</x:f>
        <x:v>P1 red block at R1 (table center) [REFERENCE]; P2 green pen 24 cm behind P1 [TARGET START]; P3 pink marker 15 cm to the left of P1 [DISTRACTOR]</x:v>
      </x:c>
      <x:c r="E82" s="8" t="str">
        <x:f>IF(ISBLANK('Evaluation Plan'!E82),"",'Evaluation Plan'!E82)</x:f>
      </x:c>
      <x:c r="F82" s="8" t="str">
        <x:f>'Evaluation Plan'!F82</x:f>
        <x:v>green pen → 2–8 cm edge gap in front of red block; centroid direction within ±45°</x:v>
      </x:c>
      <x:c r="G82" s="7"/>
      <x:c r="H82" s="8" t="str">
        <x:f>'Evaluation Plan'!H82</x:f>
        <x:v>Concept/compositional transfer</x:v>
      </x:c>
      <x:c r="I82" s="8" t="str">
        <x:f>'Evaluation Plan'!I82</x:f>
        <x:v>RP-X01</x:v>
      </x:c>
      <x:c r="J82" s="8" t="str">
        <x:f>'Evaluation Plan'!J82</x:f>
        <x:v>front</x:v>
      </x:c>
      <x:c r="K82" s="8" t="n">
        <x:f>'Evaluation Plan'!K82</x:f>
        <x:v>3</x:v>
      </x:c>
      <x:c r="L82" s="8" t="str">
        <x:f>'Evaluation Plan'!L82</x:f>
        <x:v>Additional transfer — Additional held-out direction × green-pen/red-block pair (front)</x:v>
      </x:c>
      <x:c r="M82" s="8" t="n">
        <x:f>'Evaluation Plan'!M82</x:f>
        <x:v>21</x:v>
      </x:c>
      <x:c r="N82" s="7" t="str">
        <x:f>'Evaluation Plan'!N82</x:f>
        <x:v>Build the listed scene; target starts in the opposite sector. Save a first-frame filename.</x:v>
      </x:c>
      <x:c r="O82" s="7" t="str">
        <x:f>'Evaluation Plan'!O82</x:f>
        <x:v>Unpaired primary-transfer coverage. Canonical wording is seen with other pairs; only the object-pair composition is held out.</x:v>
      </x:c>
      <x:c r="P82" s="7" t="str">
        <x:f>IF(ISBLANK('Evaluation Plan'!P82),"",'Evaluation Plan'!P82)</x:f>
      </x:c>
    </x:row>
    <x:row r="83" ht="64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Place the red block behind the green pen.</x:v>
      </x:c>
      <x:c r="D83" s="7" t="str">
        <x:f>'Evaluation Plan'!D83</x:f>
        <x:v>P1 green pen at R2 (5 cm left of center) [REFERENCE]; P2 red block 18 cm in front of P1 [TARGET START]; P3 pink marker 15 cm to the left of P1 [DISTRACTOR]</x:v>
      </x:c>
      <x:c r="E83" s="8" t="str">
        <x:f>IF(ISBLANK('Evaluation Plan'!E83),"",'Evaluation Plan'!E83)</x:f>
      </x:c>
      <x:c r="F83" s="8" t="str">
        <x:f>'Evaluation Plan'!F83</x:f>
        <x:v>red block → 2–8 cm edge gap behind green pen; centroid direction within ±45°</x:v>
      </x:c>
      <x:c r="G83" s="7"/>
      <x:c r="H83" s="8" t="str">
        <x:f>'Evaluation Plan'!H83</x:f>
        <x:v>Concept/compositional transfer</x:v>
      </x:c>
      <x:c r="I83" s="8" t="str">
        <x:f>'Evaluation Plan'!I83</x:f>
        <x:v>RP-X02</x:v>
      </x:c>
      <x:c r="J83" s="8" t="str">
        <x:f>'Evaluation Plan'!J83</x:f>
        <x:v>behind</x:v>
      </x:c>
      <x:c r="K83" s="8" t="n">
        <x:f>'Evaluation Plan'!K83</x:f>
        <x:v>3</x:v>
      </x:c>
      <x:c r="L83" s="8" t="str">
        <x:f>'Evaluation Plan'!L83</x:f>
        <x:v>Additional transfer — Additional held-out direction × green-pen/red-block pair (behind)</x:v>
      </x:c>
      <x:c r="M83" s="8" t="n">
        <x:f>'Evaluation Plan'!M83</x:f>
        <x:v>22</x:v>
      </x:c>
      <x:c r="N83" s="7" t="str">
        <x:f>'Evaluation Plan'!N83</x:f>
        <x:v>Build the listed scene; target starts in the opposite sector. Save a first-frame filename.</x:v>
      </x:c>
      <x:c r="O83" s="7" t="str">
        <x:f>'Evaluation Plan'!O83</x:f>
        <x:v>Unpaired primary-transfer coverage. Canonical wording is seen with other pairs; only the object-pair composition is held out.</x:v>
      </x:c>
      <x:c r="P83" s="7" t="str">
        <x:f>IF(ISBLANK('Evaluation Plan'!P83),"",'Evaluation Plan'!P83)</x:f>
      </x:c>
    </x:row>
    <x:row r="84" ht="64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Place the green pen to the left of the red block.</x:v>
      </x:c>
      <x:c r="D84" s="7" t="str">
        <x:f>'Evaluation Plan'!D84</x:f>
        <x:v>P1 red block at R3 (5 cm right of center) [REFERENCE]; P2 green pen 21 cm to the right of P1 [TARGET START]; P3 pink marker 15 cm in front of P1 [DISTRACTOR]</x:v>
      </x:c>
      <x:c r="E84" s="8" t="str">
        <x:f>IF(ISBLANK('Evaluation Plan'!E84),"",'Evaluation Plan'!E84)</x:f>
      </x:c>
      <x:c r="F84" s="8" t="str">
        <x:f>'Evaluation Plan'!F84</x:f>
        <x:v>green pen → 2–8 cm edge gap to the left of red block; centroid direction within ±45°</x:v>
      </x:c>
      <x:c r="G84" s="7"/>
      <x:c r="H84" s="8" t="str">
        <x:f>'Evaluation Plan'!H84</x:f>
        <x:v>Concept/compositional transfer</x:v>
      </x:c>
      <x:c r="I84" s="8" t="str">
        <x:f>'Evaluation Plan'!I84</x:f>
        <x:v>RP-X03</x:v>
      </x:c>
      <x:c r="J84" s="8" t="str">
        <x:f>'Evaluation Plan'!J84</x:f>
        <x:v>left</x:v>
      </x:c>
      <x:c r="K84" s="8" t="n">
        <x:f>'Evaluation Plan'!K84</x:f>
        <x:v>3</x:v>
      </x:c>
      <x:c r="L84" s="8" t="str">
        <x:f>'Evaluation Plan'!L84</x:f>
        <x:v>Additional transfer — Additional held-out direction × green-pen/red-block pair (left)</x:v>
      </x:c>
      <x:c r="M84" s="8" t="n">
        <x:f>'Evaluation Plan'!M84</x:f>
        <x:v>23</x:v>
      </x:c>
      <x:c r="N84" s="7" t="str">
        <x:f>'Evaluation Plan'!N84</x:f>
        <x:v>Build the listed scene; target starts in the opposite sector. Save a first-frame filename.</x:v>
      </x:c>
      <x:c r="O84" s="7" t="str">
        <x:f>'Evaluation Plan'!O84</x:f>
        <x:v>Unpaired primary-transfer coverage. Canonical wording is seen with other pairs; only the object-pair composition is held out.</x:v>
      </x:c>
      <x:c r="P84" s="7" t="str">
        <x:f>IF(ISBLANK('Evaluation Plan'!P84),"",'Evaluation Plan'!P84)</x:f>
      </x:c>
    </x:row>
    <x:row r="85" ht="64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Place the red block to the right of the green pen.</x:v>
      </x:c>
      <x:c r="D85" s="7" t="str">
        <x:f>'Evaluation Plan'!D85</x:f>
        <x:v>P1 green pen at R4 (5 cm toward the robot from center) [REFERENCE]; P2 red block 24 cm to the left of P1 [TARGET START]; P3 pink marker 15 cm in front of P1 [DISTRACTOR]</x:v>
      </x:c>
      <x:c r="E85" s="8" t="str">
        <x:f>IF(ISBLANK('Evaluation Plan'!E85),"",'Evaluation Plan'!E85)</x:f>
      </x:c>
      <x:c r="F85" s="8" t="str">
        <x:f>'Evaluation Plan'!F85</x:f>
        <x:v>red block → 2–8 cm edge gap to the right of green pen; centroid direction within ±45°</x:v>
      </x:c>
      <x:c r="G85" s="7"/>
      <x:c r="H85" s="8" t="str">
        <x:f>'Evaluation Plan'!H85</x:f>
        <x:v>Concept/compositional transfer</x:v>
      </x:c>
      <x:c r="I85" s="8" t="str">
        <x:f>'Evaluation Plan'!I85</x:f>
        <x:v>RP-X04</x:v>
      </x:c>
      <x:c r="J85" s="8" t="str">
        <x:f>'Evaluation Plan'!J85</x:f>
        <x:v>right</x:v>
      </x:c>
      <x:c r="K85" s="8" t="n">
        <x:f>'Evaluation Plan'!K85</x:f>
        <x:v>3</x:v>
      </x:c>
      <x:c r="L85" s="8" t="str">
        <x:f>'Evaluation Plan'!L85</x:f>
        <x:v>Additional transfer — Additional held-out direction × green-pen/red-block pair (right)</x:v>
      </x:c>
      <x:c r="M85" s="8" t="n">
        <x:f>'Evaluation Plan'!M85</x:f>
        <x:v>24</x:v>
      </x:c>
      <x:c r="N85" s="7" t="str">
        <x:f>'Evaluation Plan'!N85</x:f>
        <x:v>Build the listed scene; target starts in the opposite sector. Save a first-frame filename.</x:v>
      </x:c>
      <x:c r="O85" s="7" t="str">
        <x:f>'Evaluation Plan'!O85</x:f>
        <x:v>Unpaired primary-transfer coverage. Canonical wording is seen with other pairs; only the object-pair composition is held out.</x:v>
      </x:c>
      <x:c r="P85" s="7" t="str">
        <x:f>IF(ISBLANK('Evaluation Plan'!P85),"",'Evaluation Plan'!P85)</x:f>
      </x:c>
    </x:row>
    <x:row r="86" ht="64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red block in front of the green pen.</x:v>
      </x:c>
      <x:c r="D86" s="7" t="str">
        <x:f>'Evaluation Plan'!D86</x:f>
        <x:v>P1 green pen at R5 (5 cm away from the robot from center) [REFERENCE]; P2 red block 18 cm behind P1 [TARGET START]; P3 pink marker 15 cm to the left of P1 [DISTRACTOR]</x:v>
      </x:c>
      <x:c r="E86" s="8" t="str">
        <x:f>IF(ISBLANK('Evaluation Plan'!E86),"",'Evaluation Plan'!E86)</x:f>
      </x:c>
      <x:c r="F86" s="8" t="str">
        <x:f>'Evaluation Plan'!F86</x:f>
        <x:v>red block → 2–8 cm edge gap in front of green pen; centroid direction within ±45°</x:v>
      </x:c>
      <x:c r="G86" s="7"/>
      <x:c r="H86" s="8" t="str">
        <x:f>'Evaluation Plan'!H86</x:f>
        <x:v>Concept/compositional transfer</x:v>
      </x:c>
      <x:c r="I86" s="8" t="str">
        <x:f>'Evaluation Plan'!I86</x:f>
        <x:v>RP-X05</x:v>
      </x:c>
      <x:c r="J86" s="8" t="str">
        <x:f>'Evaluation Plan'!J86</x:f>
        <x:v>front</x:v>
      </x:c>
      <x:c r="K86" s="8" t="n">
        <x:f>'Evaluation Plan'!K86</x:f>
        <x:v>3</x:v>
      </x:c>
      <x:c r="L86" s="8" t="str">
        <x:f>'Evaluation Plan'!L86</x:f>
        <x:v>Additional transfer — Additional held-out direction × green-pen/red-block pair (front)</x:v>
      </x:c>
      <x:c r="M86" s="8" t="n">
        <x:f>'Evaluation Plan'!M86</x:f>
        <x:v>25</x:v>
      </x:c>
      <x:c r="N86" s="7" t="str">
        <x:f>'Evaluation Plan'!N86</x:f>
        <x:v>Build the listed scene; target starts in the opposite sector. Save a first-frame filename.</x:v>
      </x:c>
      <x:c r="O86" s="7" t="str">
        <x:f>'Evaluation Plan'!O86</x:f>
        <x:v>Unpaired primary-transfer coverage. Canonical wording is seen with other pairs; only the object-pair composition is held out.</x:v>
      </x:c>
      <x:c r="P86" s="7" t="str">
        <x:f>IF(ISBLANK('Evaluation Plan'!P86),"",'Evaluation Plan'!P86)</x:f>
      </x:c>
    </x:row>
    <x:row r="87" ht="64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Move the green pen to the back of the red block.</x:v>
      </x:c>
      <x:c r="D87" s="7" t="str">
        <x:f>'Evaluation Plan'!D87</x:f>
        <x:v>P1 red block at R1 (table center) [REFERENCE]; P2 green pen 21 cm in front of P1 [TARGET START]; P3 pink marker 15 cm to the left of P1 [DISTRACTOR]</x:v>
      </x:c>
      <x:c r="E87" s="8" t="str">
        <x:f>IF(ISBLANK('Evaluation Plan'!E87),"",'Evaluation Plan'!E87)</x:f>
      </x:c>
      <x:c r="F87" s="8" t="str">
        <x:f>'Evaluation Plan'!F87</x:f>
        <x:v>green pen → 2–8 cm edge gap behind red block; centroid direction within ±45°</x:v>
      </x:c>
      <x:c r="G87" s="7"/>
      <x:c r="H87" s="8" t="str">
        <x:f>'Evaluation Plan'!H87</x:f>
        <x:v>Concept/compositional transfer</x:v>
      </x:c>
      <x:c r="I87" s="8" t="str">
        <x:f>'Evaluation Plan'!I87</x:f>
        <x:v>RP-X06</x:v>
      </x:c>
      <x:c r="J87" s="8" t="str">
        <x:f>'Evaluation Plan'!J87</x:f>
        <x:v>behind</x:v>
      </x:c>
      <x:c r="K87" s="8" t="n">
        <x:f>'Evaluation Plan'!K87</x:f>
        <x:v>3</x:v>
      </x:c>
      <x:c r="L87" s="8" t="str">
        <x:f>'Evaluation Plan'!L87</x:f>
        <x:v>Additional transfer — Additional held-out direction × green-pen/red-block pair (behind)</x:v>
      </x:c>
      <x:c r="M87" s="8" t="n">
        <x:f>'Evaluation Plan'!M87</x:f>
        <x:v>26</x:v>
      </x:c>
      <x:c r="N87" s="7" t="str">
        <x:f>'Evaluation Plan'!N87</x:f>
        <x:v>Build the listed scene; target starts in the opposite sector. Save a first-frame filename.</x:v>
      </x:c>
      <x:c r="O87" s="7" t="str">
        <x:f>'Evaluation Plan'!O87</x:f>
        <x:v>Unpaired primary-transfer coverage. Canonical wording is seen with other pairs; only the object-pair composition is held out.</x:v>
      </x:c>
      <x:c r="P87" s="7" t="str">
        <x:f>IF(ISBLANK('Evaluation Plan'!P87),"",'Evaluation Plan'!P87)</x:f>
      </x:c>
    </x:row>
    <x:row r="88" ht="64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Place the red block to the left of the green pen.</x:v>
      </x:c>
      <x:c r="D88" s="7" t="str">
        <x:f>'Evaluation Plan'!D88</x:f>
        <x:v>P1 green pen at R2 (5 cm left of center) [REFERENCE]; P2 red block 24 cm to the right of P1 [TARGET START]; P3 pink marker 15 cm in front of P1 [DISTRACTOR]</x:v>
      </x:c>
      <x:c r="E88" s="8" t="str">
        <x:f>IF(ISBLANK('Evaluation Plan'!E88),"",'Evaluation Plan'!E88)</x:f>
      </x:c>
      <x:c r="F88" s="8" t="str">
        <x:f>'Evaluation Plan'!F88</x:f>
        <x:v>red block → 2–8 cm edge gap to the left of green pen; centroid direction within ±45°</x:v>
      </x:c>
      <x:c r="G88" s="7"/>
      <x:c r="H88" s="8" t="str">
        <x:f>'Evaluation Plan'!H88</x:f>
        <x:v>Concept/compositional transfer</x:v>
      </x:c>
      <x:c r="I88" s="8" t="str">
        <x:f>'Evaluation Plan'!I88</x:f>
        <x:v>RP-X07</x:v>
      </x:c>
      <x:c r="J88" s="8" t="str">
        <x:f>'Evaluation Plan'!J88</x:f>
        <x:v>left</x:v>
      </x:c>
      <x:c r="K88" s="8" t="n">
        <x:f>'Evaluation Plan'!K88</x:f>
        <x:v>3</x:v>
      </x:c>
      <x:c r="L88" s="8" t="str">
        <x:f>'Evaluation Plan'!L88</x:f>
        <x:v>Additional transfer — Additional held-out direction × green-pen/red-block pair (left)</x:v>
      </x:c>
      <x:c r="M88" s="8" t="n">
        <x:f>'Evaluation Plan'!M88</x:f>
        <x:v>27</x:v>
      </x:c>
      <x:c r="N88" s="7" t="str">
        <x:f>'Evaluation Plan'!N88</x:f>
        <x:v>Build the listed scene; target starts in the opposite sector. Save a first-frame filename.</x:v>
      </x:c>
      <x:c r="O88" s="7" t="str">
        <x:f>'Evaluation Plan'!O88</x:f>
        <x:v>Unpaired primary-transfer coverage. Canonical wording is seen with other pairs; only the object-pair composition is held out.</x:v>
      </x:c>
      <x:c r="P88" s="7" t="str">
        <x:f>IF(ISBLANK('Evaluation Plan'!P88),"",'Evaluation Plan'!P88)</x:f>
      </x:c>
    </x:row>
    <x:row r="89" ht="64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green pen to the right of the red block.</x:v>
      </x:c>
      <x:c r="D89" s="7" t="str">
        <x:f>'Evaluation Plan'!D89</x:f>
        <x:v>P1 red block at R3 (5 cm right of center) [REFERENCE]; P2 green pen 18 cm to the left of P1 [TARGET START]; P3 pink marker 15 cm in front of P1 [DISTRACTOR]</x:v>
      </x:c>
      <x:c r="E89" s="8" t="str">
        <x:f>IF(ISBLANK('Evaluation Plan'!E89),"",'Evaluation Plan'!E89)</x:f>
      </x:c>
      <x:c r="F89" s="8" t="str">
        <x:f>'Evaluation Plan'!F89</x:f>
        <x:v>green pen → 2–8 cm edge gap to the right of red block; centroid direction within ±45°</x:v>
      </x:c>
      <x:c r="G89" s="7"/>
      <x:c r="H89" s="8" t="str">
        <x:f>'Evaluation Plan'!H89</x:f>
        <x:v>Concept/compositional transfer</x:v>
      </x:c>
      <x:c r="I89" s="8" t="str">
        <x:f>'Evaluation Plan'!I89</x:f>
        <x:v>RP-X08</x:v>
      </x:c>
      <x:c r="J89" s="8" t="str">
        <x:f>'Evaluation Plan'!J89</x:f>
        <x:v>right</x:v>
      </x:c>
      <x:c r="K89" s="8" t="n">
        <x:f>'Evaluation Plan'!K89</x:f>
        <x:v>3</x:v>
      </x:c>
      <x:c r="L89" s="8" t="str">
        <x:f>'Evaluation Plan'!L89</x:f>
        <x:v>Additional transfer — Additional held-out direction × green-pen/red-block pair (right)</x:v>
      </x:c>
      <x:c r="M89" s="8" t="n">
        <x:f>'Evaluation Plan'!M89</x:f>
        <x:v>28</x:v>
      </x:c>
      <x:c r="N89" s="7" t="str">
        <x:f>'Evaluation Plan'!N89</x:f>
        <x:v>Build the listed scene; target starts in the opposite sector. Save a first-frame filename.</x:v>
      </x:c>
      <x:c r="O89" s="7" t="str">
        <x:f>'Evaluation Plan'!O89</x:f>
        <x:v>Unpaired primary-transfer coverage. Canonical wording is seen with other pairs; only the object-pair composition is held out.</x:v>
      </x:c>
      <x:c r="P89" s="7" t="str">
        <x:f>IF(ISBLANK('Evaluation Plan'!P89),"",'Evaluation Plan'!P89)</x:f>
      </x:c>
    </x:row>
    <x:row r="90" ht="64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Move the green pen to the front of the red block.</x:v>
      </x:c>
      <x:c r="D90" s="7" t="str">
        <x:f>'Evaluation Plan'!D90</x:f>
        <x:v>P1 red block at R4 (5 cm toward the robot from center) [REFERENCE]; P2 green pen 21 cm behind P1 [TARGET START]; P3 pink marker 15 cm to the left of P1 [DISTRACTOR]</x:v>
      </x:c>
      <x:c r="E90" s="8" t="str">
        <x:f>IF(ISBLANK('Evaluation Plan'!E90),"",'Evaluation Plan'!E90)</x:f>
      </x:c>
      <x:c r="F90" s="8" t="str">
        <x:f>'Evaluation Plan'!F90</x:f>
        <x:v>green pen → 2–8 cm edge gap in front of red block; centroid direction within ±45°</x:v>
      </x:c>
      <x:c r="G90" s="7"/>
      <x:c r="H90" s="8" t="str">
        <x:f>'Evaluation Plan'!H90</x:f>
        <x:v>Concept/compositional transfer</x:v>
      </x:c>
      <x:c r="I90" s="8" t="str">
        <x:f>'Evaluation Plan'!I90</x:f>
        <x:v>RP-X09</x:v>
      </x:c>
      <x:c r="J90" s="8" t="str">
        <x:f>'Evaluation Plan'!J90</x:f>
        <x:v>front</x:v>
      </x:c>
      <x:c r="K90" s="8" t="n">
        <x:f>'Evaluation Plan'!K90</x:f>
        <x:v>3</x:v>
      </x:c>
      <x:c r="L90" s="8" t="str">
        <x:f>'Evaluation Plan'!L90</x:f>
        <x:v>Additional transfer — Additional held-out direction × green-pen/red-block pair (front)</x:v>
      </x:c>
      <x:c r="M90" s="8" t="n">
        <x:f>'Evaluation Plan'!M90</x:f>
        <x:v>29</x:v>
      </x:c>
      <x:c r="N90" s="7" t="str">
        <x:f>'Evaluation Plan'!N90</x:f>
        <x:v>Build the listed scene; target starts in the opposite sector. Save a first-frame filename.</x:v>
      </x:c>
      <x:c r="O90" s="7" t="str">
        <x:f>'Evaluation Plan'!O90</x:f>
        <x:v>Unpaired primary-transfer coverage. Canonical wording is seen with other pairs; only the object-pair composition is held out.</x:v>
      </x:c>
      <x:c r="P90" s="7" t="str">
        <x:f>IF(ISBLANK('Evaluation Plan'!P90),"",'Evaluation Plan'!P90)</x:f>
      </x:c>
    </x:row>
    <x:row r="91" ht="64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Put the red block on the table behind the green pen.</x:v>
      </x:c>
      <x:c r="D91" s="7" t="str">
        <x:f>'Evaluation Plan'!D91</x:f>
        <x:v>P1 green pen at R5 (5 cm away from the robot from center) [REFERENCE]; P2 red block 24 cm in front of P1 [TARGET START]; P3 pink marker 15 cm to the left of P1 [DISTRACTOR]</x:v>
      </x:c>
      <x:c r="E91" s="8" t="str">
        <x:f>IF(ISBLANK('Evaluation Plan'!E91),"",'Evaluation Plan'!E91)</x:f>
      </x:c>
      <x:c r="F91" s="8" t="str">
        <x:f>'Evaluation Plan'!F91</x:f>
        <x:v>red block → 2–8 cm edge gap behind green pen; centroid direction within ±45°</x:v>
      </x:c>
      <x:c r="G91" s="7"/>
      <x:c r="H91" s="8" t="str">
        <x:f>'Evaluation Plan'!H91</x:f>
        <x:v>Concept/compositional transfer</x:v>
      </x:c>
      <x:c r="I91" s="8" t="str">
        <x:f>'Evaluation Plan'!I91</x:f>
        <x:v>RP-X10</x:v>
      </x:c>
      <x:c r="J91" s="8" t="str">
        <x:f>'Evaluation Plan'!J91</x:f>
        <x:v>behind</x:v>
      </x:c>
      <x:c r="K91" s="8" t="n">
        <x:f>'Evaluation Plan'!K91</x:f>
        <x:v>3</x:v>
      </x:c>
      <x:c r="L91" s="8" t="str">
        <x:f>'Evaluation Plan'!L91</x:f>
        <x:v>Additional transfer — Additional held-out direction × green-pen/red-block pair (behind)</x:v>
      </x:c>
      <x:c r="M91" s="8" t="n">
        <x:f>'Evaluation Plan'!M91</x:f>
        <x:v>30</x:v>
      </x:c>
      <x:c r="N91" s="7" t="str">
        <x:f>'Evaluation Plan'!N91</x:f>
        <x:v>Build the listed scene; target starts in the opposite sector. Save a first-frame filename.</x:v>
      </x:c>
      <x:c r="O91" s="7" t="str">
        <x:f>'Evaluation Plan'!O91</x:f>
        <x:v>Unpaired primary-transfer coverage. Canonical wording is seen with other pairs; only the object-pair composition is held out.</x:v>
      </x:c>
      <x:c r="P91" s="7" t="str">
        <x:f>IF(ISBLANK('Evaluation Plan'!P91),"",'Evaluation Plan'!P91)</x:f>
      </x:c>
    </x:row>
    <x:row r="92" ht="64" customHeight="1">
      <x:c r="A92" s="8" t="str">
        <x:v>Not collected</x:v>
      </x:c>
      <x:c r="B92" s="8" t="n">
        <x:f>'Evaluation Plan'!B92</x:f>
        <x:v>90</x:v>
      </x:c>
      <x:c r="C92" s="7" t="str">
        <x:f>'Evaluation Plan'!C92</x:f>
        <x:v>Place the green pen to the left of the red block.</x:v>
      </x:c>
      <x:c r="D92" s="7" t="str">
        <x:f>'Evaluation Plan'!D92</x:f>
        <x:v>P1 red block at R1 (table center) [REFERENCE]; P2 green pen 18 cm to the right of P1 [TARGET START]; P3 pink marker 15 cm in front of P1 [DISTRACTOR]</x:v>
      </x:c>
      <x:c r="E92" s="8" t="str">
        <x:f>IF(ISBLANK('Evaluation Plan'!E92),"",'Evaluation Plan'!E92)</x:f>
      </x:c>
      <x:c r="F92" s="8" t="str">
        <x:f>'Evaluation Plan'!F92</x:f>
        <x:v>green pen → 2–8 cm edge gap to the left of red block; centroid direction within ±45°</x:v>
      </x:c>
      <x:c r="G92" s="7"/>
      <x:c r="H92" s="8" t="str">
        <x:f>'Evaluation Plan'!H92</x:f>
        <x:v>Concept/compositional transfer</x:v>
      </x:c>
      <x:c r="I92" s="8" t="str">
        <x:f>'Evaluation Plan'!I92</x:f>
        <x:v>RP-X11</x:v>
      </x:c>
      <x:c r="J92" s="8" t="str">
        <x:f>'Evaluation Plan'!J92</x:f>
        <x:v>left</x:v>
      </x:c>
      <x:c r="K92" s="8" t="n">
        <x:f>'Evaluation Plan'!K92</x:f>
        <x:v>3</x:v>
      </x:c>
      <x:c r="L92" s="8" t="str">
        <x:f>'Evaluation Plan'!L92</x:f>
        <x:v>Additional transfer — Additional held-out direction × green-pen/red-block pair (left)</x:v>
      </x:c>
      <x:c r="M92" s="8" t="n">
        <x:f>'Evaluation Plan'!M92</x:f>
        <x:v>31</x:v>
      </x:c>
      <x:c r="N92" s="7" t="str">
        <x:f>'Evaluation Plan'!N92</x:f>
        <x:v>Build the listed scene; target starts in the opposite sector. Save a first-frame filename.</x:v>
      </x:c>
      <x:c r="O92" s="7" t="str">
        <x:f>'Evaluation Plan'!O92</x:f>
        <x:v>Unpaired primary-transfer coverage. Canonical wording is seen with other pairs; only the object-pair composition is held out.</x:v>
      </x:c>
      <x:c r="P92" s="7" t="str">
        <x:f>IF(ISBLANK('Evaluation Plan'!P92),"",'Evaluation Plan'!P92)</x:f>
      </x:c>
    </x:row>
    <x:row r="93" ht="64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Place the red block to the right of the green pen.</x:v>
      </x:c>
      <x:c r="D93" s="7" t="str">
        <x:f>'Evaluation Plan'!D93</x:f>
        <x:v>P1 green pen at R2 (5 cm left of center) [REFERENCE]; P2 red block 21 cm to the left of P1 [TARGET START]; P3 pink marker 15 cm in front of P1 [DISTRACTOR]</x:v>
      </x:c>
      <x:c r="E93" s="8" t="str">
        <x:f>IF(ISBLANK('Evaluation Plan'!E93),"",'Evaluation Plan'!E93)</x:f>
      </x:c>
      <x:c r="F93" s="8" t="str">
        <x:f>'Evaluation Plan'!F93</x:f>
        <x:v>red block → 2–8 cm edge gap to the right of green pen; centroid direction within ±45°</x:v>
      </x:c>
      <x:c r="G93" s="7"/>
      <x:c r="H93" s="8" t="str">
        <x:f>'Evaluation Plan'!H93</x:f>
        <x:v>Concept/compositional transfer</x:v>
      </x:c>
      <x:c r="I93" s="8" t="str">
        <x:f>'Evaluation Plan'!I93</x:f>
        <x:v>RP-X12</x:v>
      </x:c>
      <x:c r="J93" s="8" t="str">
        <x:f>'Evaluation Plan'!J93</x:f>
        <x:v>right</x:v>
      </x:c>
      <x:c r="K93" s="8" t="n">
        <x:f>'Evaluation Plan'!K93</x:f>
        <x:v>3</x:v>
      </x:c>
      <x:c r="L93" s="8" t="str">
        <x:f>'Evaluation Plan'!L93</x:f>
        <x:v>Additional transfer — Additional held-out direction × green-pen/red-block pair (right)</x:v>
      </x:c>
      <x:c r="M93" s="8" t="n">
        <x:f>'Evaluation Plan'!M93</x:f>
        <x:v>32</x:v>
      </x:c>
      <x:c r="N93" s="7" t="str">
        <x:f>'Evaluation Plan'!N93</x:f>
        <x:v>Build the listed scene; target starts in the opposite sector. Save a first-frame filename.</x:v>
      </x:c>
      <x:c r="O93" s="7" t="str">
        <x:f>'Evaluation Plan'!O93</x:f>
        <x:v>Unpaired primary-transfer coverage. Canonical wording is seen with other pairs; only the object-pair composition is held out.</x:v>
      </x:c>
      <x:c r="P93" s="7" t="str">
        <x:f>IF(ISBLANK('Evaluation Plan'!P93),"",'Evaluation Plan'!P93)</x:f>
      </x:c>
    </x:row>
    <x:row r="94" ht="64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Put the red block on the table in front of the green pen.</x:v>
      </x:c>
      <x:c r="D94" s="7" t="str">
        <x:f>'Evaluation Plan'!D94</x:f>
        <x:v>P1 green pen at R3 (5 cm right of center) [REFERENCE]; P2 red block 24 cm behind P1 [TARGET START]; P3 pink marker 15 cm to the left of P1 [DISTRACTOR]</x:v>
      </x:c>
      <x:c r="E94" s="8" t="str">
        <x:f>IF(ISBLANK('Evaluation Plan'!E94),"",'Evaluation Plan'!E94)</x:f>
      </x:c>
      <x:c r="F94" s="8" t="str">
        <x:f>'Evaluation Plan'!F94</x:f>
        <x:v>red block → 2–8 cm edge gap in front of green pen; centroid direction within ±45°</x:v>
      </x:c>
      <x:c r="G94" s="7"/>
      <x:c r="H94" s="8" t="str">
        <x:f>'Evaluation Plan'!H94</x:f>
        <x:v>Concept/compositional transfer</x:v>
      </x:c>
      <x:c r="I94" s="8" t="str">
        <x:f>'Evaluation Plan'!I94</x:f>
        <x:v>RP-X13</x:v>
      </x:c>
      <x:c r="J94" s="8" t="str">
        <x:f>'Evaluation Plan'!J94</x:f>
        <x:v>front</x:v>
      </x:c>
      <x:c r="K94" s="8" t="n">
        <x:f>'Evaluation Plan'!K94</x:f>
        <x:v>3</x:v>
      </x:c>
      <x:c r="L94" s="8" t="str">
        <x:f>'Evaluation Plan'!L94</x:f>
        <x:v>Additional transfer — Additional held-out direction × green-pen/red-block pair (front)</x:v>
      </x:c>
      <x:c r="M94" s="8" t="n">
        <x:f>'Evaluation Plan'!M94</x:f>
        <x:v>33</x:v>
      </x:c>
      <x:c r="N94" s="7" t="str">
        <x:f>'Evaluation Plan'!N94</x:f>
        <x:v>Build the listed scene; target starts in the opposite sector. Save a first-frame filename.</x:v>
      </x:c>
      <x:c r="O94" s="7" t="str">
        <x:f>'Evaluation Plan'!O94</x:f>
        <x:v>Unpaired primary-transfer coverage. Canonical wording is seen with other pairs; only the object-pair composition is held out.</x:v>
      </x:c>
      <x:c r="P94" s="7" t="str">
        <x:f>IF(ISBLANK('Evaluation Plan'!P94),"",'Evaluation Plan'!P94)</x:f>
      </x:c>
    </x:row>
    <x:row r="95" ht="64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Place the green pen behind the red block.</x:v>
      </x:c>
      <x:c r="D95" s="7" t="str">
        <x:f>'Evaluation Plan'!D95</x:f>
        <x:v>P1 red block at R4 (5 cm toward the robot from center) [REFERENCE]; P2 green pen 18 cm in front of P1 [TARGET START]; P3 pink marker 15 cm to the left of P1 [DISTRACTOR]</x:v>
      </x:c>
      <x:c r="E95" s="8" t="str">
        <x:f>IF(ISBLANK('Evaluation Plan'!E95),"",'Evaluation Plan'!E95)</x:f>
      </x:c>
      <x:c r="F95" s="8" t="str">
        <x:f>'Evaluation Plan'!F95</x:f>
        <x:v>green pen → 2–8 cm edge gap behind red block; centroid direction within ±45°</x:v>
      </x:c>
      <x:c r="G95" s="7"/>
      <x:c r="H95" s="8" t="str">
        <x:f>'Evaluation Plan'!H95</x:f>
        <x:v>Concept/compositional transfer</x:v>
      </x:c>
      <x:c r="I95" s="8" t="str">
        <x:f>'Evaluation Plan'!I95</x:f>
        <x:v>RP-X14</x:v>
      </x:c>
      <x:c r="J95" s="8" t="str">
        <x:f>'Evaluation Plan'!J95</x:f>
        <x:v>behind</x:v>
      </x:c>
      <x:c r="K95" s="8" t="n">
        <x:f>'Evaluation Plan'!K95</x:f>
        <x:v>3</x:v>
      </x:c>
      <x:c r="L95" s="8" t="str">
        <x:f>'Evaluation Plan'!L95</x:f>
        <x:v>Additional transfer — Additional held-out direction × green-pen/red-block pair (behind)</x:v>
      </x:c>
      <x:c r="M95" s="8" t="n">
        <x:f>'Evaluation Plan'!M95</x:f>
        <x:v>34</x:v>
      </x:c>
      <x:c r="N95" s="7" t="str">
        <x:f>'Evaluation Plan'!N95</x:f>
        <x:v>Build the listed scene; target starts in the opposite sector. Save a first-frame filename.</x:v>
      </x:c>
      <x:c r="O95" s="7" t="str">
        <x:f>'Evaluation Plan'!O95</x:f>
        <x:v>Unpaired primary-transfer coverage. Canonical wording is seen with other pairs; only the object-pair composition is held out.</x:v>
      </x:c>
      <x:c r="P95" s="7" t="str">
        <x:f>IF(ISBLANK('Evaluation Plan'!P95),"",'Evaluation Plan'!P95)</x:f>
      </x:c>
    </x:row>
    <x:row r="96" ht="64" customHeight="1">
      <x:c r="A96" s="8" t="str">
        <x:v>Not collected</x:v>
      </x:c>
      <x:c r="B96" s="8" t="n">
        <x:f>'Evaluation Plan'!B96</x:f>
        <x:v>94</x:v>
      </x:c>
      <x:c r="C96" s="7" t="str">
        <x:f>'Evaluation Plan'!C96</x:f>
        <x:v>Place the red block to the left of the green pen.</x:v>
      </x:c>
      <x:c r="D96" s="7" t="str">
        <x:f>'Evaluation Plan'!D96</x:f>
        <x:v>P1 green pen at R5 (5 cm away from the robot from center) [REFERENCE]; P2 red block 21 cm to the right of P1 [TARGET START]; P3 pink marker 15 cm in front of P1 [DISTRACTOR]</x:v>
      </x:c>
      <x:c r="E96" s="8" t="str">
        <x:f>IF(ISBLANK('Evaluation Plan'!E96),"",'Evaluation Plan'!E96)</x:f>
      </x:c>
      <x:c r="F96" s="8" t="str">
        <x:f>'Evaluation Plan'!F96</x:f>
        <x:v>red block → 2–8 cm edge gap to the left of green pen; centroid direction within ±45°</x:v>
      </x:c>
      <x:c r="G96" s="7"/>
      <x:c r="H96" s="8" t="str">
        <x:f>'Evaluation Plan'!H96</x:f>
        <x:v>Concept/compositional transfer</x:v>
      </x:c>
      <x:c r="I96" s="8" t="str">
        <x:f>'Evaluation Plan'!I96</x:f>
        <x:v>RP-X15</x:v>
      </x:c>
      <x:c r="J96" s="8" t="str">
        <x:f>'Evaluation Plan'!J96</x:f>
        <x:v>left</x:v>
      </x:c>
      <x:c r="K96" s="8" t="n">
        <x:f>'Evaluation Plan'!K96</x:f>
        <x:v>3</x:v>
      </x:c>
      <x:c r="L96" s="8" t="str">
        <x:f>'Evaluation Plan'!L96</x:f>
        <x:v>Additional transfer — Additional held-out direction × green-pen/red-block pair (left)</x:v>
      </x:c>
      <x:c r="M96" s="8" t="n">
        <x:f>'Evaluation Plan'!M96</x:f>
        <x:v>35</x:v>
      </x:c>
      <x:c r="N96" s="7" t="str">
        <x:f>'Evaluation Plan'!N96</x:f>
        <x:v>Build the listed scene; target starts in the opposite sector. Save a first-frame filename.</x:v>
      </x:c>
      <x:c r="O96" s="7" t="str">
        <x:f>'Evaluation Plan'!O96</x:f>
        <x:v>Unpaired primary-transfer coverage. Canonical wording is seen with other pairs; only the object-pair composition is held out.</x:v>
      </x:c>
      <x:c r="P96" s="7" t="str">
        <x:f>IF(ISBLANK('Evaluation Plan'!P96),"",'Evaluation Plan'!P96)</x:f>
      </x:c>
    </x:row>
    <x:row r="97" ht="64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Place the green pen to the right of the red block.</x:v>
      </x:c>
      <x:c r="D97" s="7" t="str">
        <x:f>'Evaluation Plan'!D97</x:f>
        <x:v>P1 red block at R1 (table center) [REFERENCE]; P2 green pen 24 cm to the left of P1 [TARGET START]; P3 pink marker 15 cm in front of P1 [DISTRACTOR]; P4 blue block 15 cm behind P1 [DISTRACTOR]</x:v>
      </x:c>
      <x:c r="E97" s="8" t="str">
        <x:f>IF(ISBLANK('Evaluation Plan'!E97),"",'Evaluation Plan'!E97)</x:f>
      </x:c>
      <x:c r="F97" s="8" t="str">
        <x:f>'Evaluation Plan'!F97</x:f>
        <x:v>green pen → 2–8 cm edge gap to the right of red block; centroid direction within ±45°</x:v>
      </x:c>
      <x:c r="G97" s="7"/>
      <x:c r="H97" s="8" t="str">
        <x:f>'Evaluation Plan'!H97</x:f>
        <x:v>Concept/compositional transfer</x:v>
      </x:c>
      <x:c r="I97" s="8" t="str">
        <x:f>'Evaluation Plan'!I97</x:f>
        <x:v>RP-X16</x:v>
      </x:c>
      <x:c r="J97" s="8" t="str">
        <x:f>'Evaluation Plan'!J97</x:f>
        <x:v>right</x:v>
      </x:c>
      <x:c r="K97" s="8" t="n">
        <x:f>'Evaluation Plan'!K97</x:f>
        <x:v>4</x:v>
      </x:c>
      <x:c r="L97" s="8" t="str">
        <x:f>'Evaluation Plan'!L97</x:f>
        <x:v>Additional transfer — Additional held-out direction × green-pen/red-block pair (right)</x:v>
      </x:c>
      <x:c r="M97" s="8" t="n">
        <x:f>'Evaluation Plan'!M97</x:f>
        <x:v>36</x:v>
      </x:c>
      <x:c r="N97" s="7" t="str">
        <x:f>'Evaluation Plan'!N97</x:f>
        <x:v>Build the listed scene; target starts in the opposite sector. Save a first-frame filename.</x:v>
      </x:c>
      <x:c r="O97" s="7" t="str">
        <x:f>'Evaluation Plan'!O97</x:f>
        <x:v>Unpaired primary-transfer coverage. Canonical wording is seen with other pairs; only the object-pair composition is held out.</x:v>
      </x:c>
      <x:c r="P97" s="7" t="str">
        <x:f>IF(ISBLANK('Evaluation Plan'!P97),"",'Evaluation Plan'!P97)</x:f>
      </x:c>
    </x:row>
    <x:row r="98" ht="64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Place the green pen in front of the red block.</x:v>
      </x:c>
      <x:c r="D98" s="7" t="str">
        <x:f>'Evaluation Plan'!D98</x:f>
        <x:v>P1 red block at R2 (5 cm left of center) [REFERENCE]; P2 green pen 18 cm behind P1 [TARGET START]; P3 pink marker 15 cm to the left of P1 [DISTRACTOR]; P4 blue block 15 cm to the right of P1 [DISTRACTOR]</x:v>
      </x:c>
      <x:c r="E98" s="8" t="str">
        <x:f>IF(ISBLANK('Evaluation Plan'!E98),"",'Evaluation Plan'!E98)</x:f>
      </x:c>
      <x:c r="F98" s="8" t="str">
        <x:f>'Evaluation Plan'!F98</x:f>
        <x:v>green pen → 2–8 cm edge gap in front of red block; centroid direction within ±45°</x:v>
      </x:c>
      <x:c r="G98" s="7"/>
      <x:c r="H98" s="8" t="str">
        <x:f>'Evaluation Plan'!H98</x:f>
        <x:v>Concept/compositional transfer</x:v>
      </x:c>
      <x:c r="I98" s="8" t="str">
        <x:f>'Evaluation Plan'!I98</x:f>
        <x:v>RP-X17</x:v>
      </x:c>
      <x:c r="J98" s="8" t="str">
        <x:f>'Evaluation Plan'!J98</x:f>
        <x:v>front</x:v>
      </x:c>
      <x:c r="K98" s="8" t="n">
        <x:f>'Evaluation Plan'!K98</x:f>
        <x:v>4</x:v>
      </x:c>
      <x:c r="L98" s="8" t="str">
        <x:f>'Evaluation Plan'!L98</x:f>
        <x:v>Additional transfer — Additional held-out direction × green-pen/red-block pair (front)</x:v>
      </x:c>
      <x:c r="M98" s="8" t="n">
        <x:f>'Evaluation Plan'!M98</x:f>
        <x:v>37</x:v>
      </x:c>
      <x:c r="N98" s="7" t="str">
        <x:f>'Evaluation Plan'!N98</x:f>
        <x:v>Build the listed scene; target starts in the opposite sector. Save a first-frame filename.</x:v>
      </x:c>
      <x:c r="O98" s="7" t="str">
        <x:f>'Evaluation Plan'!O98</x:f>
        <x:v>Unpaired primary-transfer coverage. Canonical wording is seen with other pairs; only the object-pair composition is held out.</x:v>
      </x:c>
      <x:c r="P98" s="7" t="str">
        <x:f>IF(ISBLANK('Evaluation Plan'!P98),"",'Evaluation Plan'!P98)</x:f>
      </x:c>
    </x:row>
    <x:row r="99" ht="64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Move the red block to the back of the green pen.</x:v>
      </x:c>
      <x:c r="D99" s="7" t="str">
        <x:f>'Evaluation Plan'!D99</x:f>
        <x:v>P1 green pen at R3 (5 cm right of center) [REFERENCE]; P2 red block 21 cm in front of P1 [TARGET START]; P3 pink marker 15 cm to the left of P1 [DISTRACTOR]; P4 blue block 15 cm to the right of P1 [DISTRACTOR]</x:v>
      </x:c>
      <x:c r="E99" s="8" t="str">
        <x:f>IF(ISBLANK('Evaluation Plan'!E99),"",'Evaluation Plan'!E99)</x:f>
      </x:c>
      <x:c r="F99" s="8" t="str">
        <x:f>'Evaluation Plan'!F99</x:f>
        <x:v>red block → 2–8 cm edge gap behind green pen; centroid direction within ±45°</x:v>
      </x:c>
      <x:c r="G99" s="7"/>
      <x:c r="H99" s="8" t="str">
        <x:f>'Evaluation Plan'!H99</x:f>
        <x:v>Concept/compositional transfer</x:v>
      </x:c>
      <x:c r="I99" s="8" t="str">
        <x:f>'Evaluation Plan'!I99</x:f>
        <x:v>RP-X18</x:v>
      </x:c>
      <x:c r="J99" s="8" t="str">
        <x:f>'Evaluation Plan'!J99</x:f>
        <x:v>behind</x:v>
      </x:c>
      <x:c r="K99" s="8" t="n">
        <x:f>'Evaluation Plan'!K99</x:f>
        <x:v>4</x:v>
      </x:c>
      <x:c r="L99" s="8" t="str">
        <x:f>'Evaluation Plan'!L99</x:f>
        <x:v>Additional transfer — Additional held-out direction × green-pen/red-block pair (behind)</x:v>
      </x:c>
      <x:c r="M99" s="8" t="n">
        <x:f>'Evaluation Plan'!M99</x:f>
        <x:v>38</x:v>
      </x:c>
      <x:c r="N99" s="7" t="str">
        <x:f>'Evaluation Plan'!N99</x:f>
        <x:v>Build the listed scene; target starts in the opposite sector. Save a first-frame filename.</x:v>
      </x:c>
      <x:c r="O99" s="7" t="str">
        <x:f>'Evaluation Plan'!O99</x:f>
        <x:v>Unpaired primary-transfer coverage. Canonical wording is seen with other pairs; only the object-pair composition is held out.</x:v>
      </x:c>
      <x:c r="P99" s="7" t="str">
        <x:f>IF(ISBLANK('Evaluation Plan'!P99),"",'Evaluation Plan'!P99)</x:f>
      </x:c>
    </x:row>
    <x:row r="100" ht="64" customHeight="1">
      <x:c r="A100" s="8" t="str">
        <x:v>Not collected</x:v>
      </x:c>
      <x:c r="B100" s="8" t="n">
        <x:f>'Evaluation Plan'!B100</x:f>
        <x:v>98</x:v>
      </x:c>
      <x:c r="C100" s="7" t="str">
        <x:f>'Evaluation Plan'!C100</x:f>
        <x:v>Place the green pen to the left of the red block.</x:v>
      </x:c>
      <x:c r="D100" s="7" t="str">
        <x:f>'Evaluation Plan'!D100</x:f>
        <x:v>P1 red block at R4 (5 cm toward the robot from center) [REFERENCE]; P2 green pen 24 cm to the right of P1 [TARGET START]; P3 pink marker 15 cm in front of P1 [DISTRACTOR]; P4 blue block 15 cm behind P1 [DISTRACTOR]</x:v>
      </x:c>
      <x:c r="E100" s="8" t="str">
        <x:f>IF(ISBLANK('Evaluation Plan'!E100),"",'Evaluation Plan'!E100)</x:f>
      </x:c>
      <x:c r="F100" s="8" t="str">
        <x:f>'Evaluation Plan'!F100</x:f>
        <x:v>green pen → 2–8 cm edge gap to the left of red block; centroid direction within ±45°</x:v>
      </x:c>
      <x:c r="G100" s="7"/>
      <x:c r="H100" s="8" t="str">
        <x:f>'Evaluation Plan'!H100</x:f>
        <x:v>Concept/compositional transfer</x:v>
      </x:c>
      <x:c r="I100" s="8" t="str">
        <x:f>'Evaluation Plan'!I100</x:f>
        <x:v>RP-X19</x:v>
      </x:c>
      <x:c r="J100" s="8" t="str">
        <x:f>'Evaluation Plan'!J100</x:f>
        <x:v>left</x:v>
      </x:c>
      <x:c r="K100" s="8" t="n">
        <x:f>'Evaluation Plan'!K100</x:f>
        <x:v>4</x:v>
      </x:c>
      <x:c r="L100" s="8" t="str">
        <x:f>'Evaluation Plan'!L100</x:f>
        <x:v>Additional transfer — Additional held-out direction × green-pen/red-block pair (left)</x:v>
      </x:c>
      <x:c r="M100" s="8" t="n">
        <x:f>'Evaluation Plan'!M100</x:f>
        <x:v>39</x:v>
      </x:c>
      <x:c r="N100" s="7" t="str">
        <x:f>'Evaluation Plan'!N100</x:f>
        <x:v>Build the listed scene; target starts in the opposite sector. Save a first-frame filename.</x:v>
      </x:c>
      <x:c r="O100" s="7" t="str">
        <x:f>'Evaluation Plan'!O100</x:f>
        <x:v>Unpaired primary-transfer coverage. Canonical wording is seen with other pairs; only the object-pair composition is held out.</x:v>
      </x:c>
      <x:c r="P100" s="7" t="str">
        <x:f>IF(ISBLANK('Evaluation Plan'!P100),"",'Evaluation Plan'!P100)</x:f>
      </x:c>
    </x:row>
    <x:row r="101" ht="64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Place the red block to the right of the green pen.</x:v>
      </x:c>
      <x:c r="D101" s="7" t="str">
        <x:f>'Evaluation Plan'!D101</x:f>
        <x:v>P1 green pen at R5 (5 cm away from the robot from center) [REFERENCE]; P2 red block 18 cm to the left of P1 [TARGET START]; P3 pink marker 15 cm in front of P1 [DISTRACTOR]; P4 blue block 15 cm behind P1 [DISTRACTOR]</x:v>
      </x:c>
      <x:c r="E101" s="8" t="str">
        <x:f>IF(ISBLANK('Evaluation Plan'!E101),"",'Evaluation Plan'!E101)</x:f>
      </x:c>
      <x:c r="F101" s="8" t="str">
        <x:f>'Evaluation Plan'!F101</x:f>
        <x:v>red block → 2–8 cm edge gap to the right of green pen; centroid direction within ±45°</x:v>
      </x:c>
      <x:c r="G101" s="7"/>
      <x:c r="H101" s="8" t="str">
        <x:f>'Evaluation Plan'!H101</x:f>
        <x:v>Concept/compositional transfer</x:v>
      </x:c>
      <x:c r="I101" s="8" t="str">
        <x:f>'Evaluation Plan'!I101</x:f>
        <x:v>RP-X20</x:v>
      </x:c>
      <x:c r="J101" s="8" t="str">
        <x:f>'Evaluation Plan'!J101</x:f>
        <x:v>right</x:v>
      </x:c>
      <x:c r="K101" s="8" t="n">
        <x:f>'Evaluation Plan'!K101</x:f>
        <x:v>4</x:v>
      </x:c>
      <x:c r="L101" s="8" t="str">
        <x:f>'Evaluation Plan'!L101</x:f>
        <x:v>Additional transfer — Additional held-out direction × green-pen/red-block pair (right)</x:v>
      </x:c>
      <x:c r="M101" s="8" t="n">
        <x:f>'Evaluation Plan'!M101</x:f>
        <x:v>40</x:v>
      </x:c>
      <x:c r="N101" s="7" t="str">
        <x:f>'Evaluation Plan'!N101</x:f>
        <x:v>Build the listed scene; target starts in the opposite sector. Save a first-frame filename.</x:v>
      </x:c>
      <x:c r="O101" s="7" t="str">
        <x:f>'Evaluation Plan'!O101</x:f>
        <x:v>Unpaired primary-transfer coverage. Canonical wording is seen with other pairs; only the object-pair composition is held out.</x:v>
      </x:c>
      <x:c r="P101" s="7" t="str">
        <x:f>IF(ISBLANK('Evaluation Plan'!P101),"",'Evaluation Plan'!P101)</x:f>
      </x:c>
    </x:row>
    <x:row r="102" ht="64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Move the red block to the front of the green pen.</x:v>
      </x:c>
      <x:c r="D102" s="7" t="str">
        <x:f>'Evaluation Plan'!D102</x:f>
        <x:v>P1 green pen at R1 (table center) [REFERENCE]; P2 red block 21 cm behind P1 [TARGET START]; P3 pink marker 15 cm to the left of P1 [DISTRACTOR]; P4 blue block 15 cm to the right of P1 [DISTRACTOR]</x:v>
      </x:c>
      <x:c r="E102" s="8" t="str">
        <x:f>IF(ISBLANK('Evaluation Plan'!E102),"",'Evaluation Plan'!E102)</x:f>
      </x:c>
      <x:c r="F102" s="8" t="str">
        <x:f>'Evaluation Plan'!F102</x:f>
        <x:v>red block → 2–8 cm edge gap in front of green pen; centroid direction within ±45°</x:v>
      </x:c>
      <x:c r="G102" s="7"/>
      <x:c r="H102" s="8" t="str">
        <x:f>'Evaluation Plan'!H102</x:f>
        <x:v>Concept/compositional transfer</x:v>
      </x:c>
      <x:c r="I102" s="8" t="str">
        <x:f>'Evaluation Plan'!I102</x:f>
        <x:v>RP-X21</x:v>
      </x:c>
      <x:c r="J102" s="8" t="str">
        <x:f>'Evaluation Plan'!J102</x:f>
        <x:v>front</x:v>
      </x:c>
      <x:c r="K102" s="8" t="n">
        <x:f>'Evaluation Plan'!K102</x:f>
        <x:v>4</x:v>
      </x:c>
      <x:c r="L102" s="8" t="str">
        <x:f>'Evaluation Plan'!L102</x:f>
        <x:v>Additional transfer — Additional held-out direction × green-pen/red-block pair (front)</x:v>
      </x:c>
      <x:c r="M102" s="8" t="n">
        <x:f>'Evaluation Plan'!M102</x:f>
        <x:v>41</x:v>
      </x:c>
      <x:c r="N102" s="7" t="str">
        <x:f>'Evaluation Plan'!N102</x:f>
        <x:v>Build the listed scene; target starts in the opposite sector. Save a first-frame filename.</x:v>
      </x:c>
      <x:c r="O102" s="7" t="str">
        <x:f>'Evaluation Plan'!O102</x:f>
        <x:v>Unpaired primary-transfer coverage. Canonical wording is seen with other pairs; only the object-pair composition is held out.</x:v>
      </x:c>
      <x:c r="P102" s="7" t="str">
        <x:f>IF(ISBLANK('Evaluation Plan'!P102),"",'Evaluation Plan'!P102)</x:f>
      </x:c>
    </x:row>
    <x:row r="103" ht="64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Put the green pen on the table behind the red block.</x:v>
      </x:c>
      <x:c r="D103" s="7" t="str">
        <x:f>'Evaluation Plan'!D103</x:f>
        <x:v>P1 red block at R2 (5 cm left of center) [REFERENCE]; P2 green pen 24 cm in front of P1 [TARGET START]; P3 pink marker 15 cm to the left of P1 [DISTRACTOR]; P4 blue block 15 cm to the right of P1 [DISTRACTOR]</x:v>
      </x:c>
      <x:c r="E103" s="8" t="str">
        <x:f>IF(ISBLANK('Evaluation Plan'!E103),"",'Evaluation Plan'!E103)</x:f>
      </x:c>
      <x:c r="F103" s="8" t="str">
        <x:f>'Evaluation Plan'!F103</x:f>
        <x:v>green pen → 2–8 cm edge gap behind red block; centroid direction within ±45°</x:v>
      </x:c>
      <x:c r="G103" s="7"/>
      <x:c r="H103" s="8" t="str">
        <x:f>'Evaluation Plan'!H103</x:f>
        <x:v>Concept/compositional transfer</x:v>
      </x:c>
      <x:c r="I103" s="8" t="str">
        <x:f>'Evaluation Plan'!I103</x:f>
        <x:v>RP-X22</x:v>
      </x:c>
      <x:c r="J103" s="8" t="str">
        <x:f>'Evaluation Plan'!J103</x:f>
        <x:v>behind</x:v>
      </x:c>
      <x:c r="K103" s="8" t="n">
        <x:f>'Evaluation Plan'!K103</x:f>
        <x:v>4</x:v>
      </x:c>
      <x:c r="L103" s="8" t="str">
        <x:f>'Evaluation Plan'!L103</x:f>
        <x:v>Additional transfer — Additional held-out direction × green-pen/red-block pair (behind)</x:v>
      </x:c>
      <x:c r="M103" s="8" t="n">
        <x:f>'Evaluation Plan'!M103</x:f>
        <x:v>42</x:v>
      </x:c>
      <x:c r="N103" s="7" t="str">
        <x:f>'Evaluation Plan'!N103</x:f>
        <x:v>Build the listed scene; target starts in the opposite sector. Save a first-frame filename.</x:v>
      </x:c>
      <x:c r="O103" s="7" t="str">
        <x:f>'Evaluation Plan'!O103</x:f>
        <x:v>Unpaired primary-transfer coverage. Canonical wording is seen with other pairs; only the object-pair composition is held out.</x:v>
      </x:c>
      <x:c r="P103" s="7" t="str">
        <x:f>IF(ISBLANK('Evaluation Plan'!P103),"",'Evaluation Plan'!P103)</x:f>
      </x:c>
    </x:row>
    <x:row r="104" ht="64" customHeight="1">
      <x:c r="A104" s="8" t="str">
        <x:v>Not collected</x:v>
      </x:c>
      <x:c r="B104" s="8" t="n">
        <x:f>'Evaluation Plan'!B104</x:f>
        <x:v>102</x:v>
      </x:c>
      <x:c r="C104" s="7" t="str">
        <x:f>'Evaluation Plan'!C104</x:f>
        <x:v>Place the red block to the left of the green pen.</x:v>
      </x:c>
      <x:c r="D104" s="7" t="str">
        <x:f>'Evaluation Plan'!D104</x:f>
        <x:v>P1 green pen at R3 (5 cm right of center) [REFERENCE]; P2 red block 18 cm to the right of P1 [TARGET START]; P3 pink marker 15 cm in front of P1 [DISTRACTOR]; P4 blue block 15 cm behind P1 [DISTRACTOR]</x:v>
      </x:c>
      <x:c r="E104" s="8" t="str">
        <x:f>IF(ISBLANK('Evaluation Plan'!E104),"",'Evaluation Plan'!E104)</x:f>
      </x:c>
      <x:c r="F104" s="8" t="str">
        <x:f>'Evaluation Plan'!F104</x:f>
        <x:v>red block → 2–8 cm edge gap to the left of green pen; centroid direction within ±45°</x:v>
      </x:c>
      <x:c r="G104" s="7"/>
      <x:c r="H104" s="8" t="str">
        <x:f>'Evaluation Plan'!H104</x:f>
        <x:v>Concept/compositional transfer</x:v>
      </x:c>
      <x:c r="I104" s="8" t="str">
        <x:f>'Evaluation Plan'!I104</x:f>
        <x:v>RP-X23</x:v>
      </x:c>
      <x:c r="J104" s="8" t="str">
        <x:f>'Evaluation Plan'!J104</x:f>
        <x:v>left</x:v>
      </x:c>
      <x:c r="K104" s="8" t="n">
        <x:f>'Evaluation Plan'!K104</x:f>
        <x:v>4</x:v>
      </x:c>
      <x:c r="L104" s="8" t="str">
        <x:f>'Evaluation Plan'!L104</x:f>
        <x:v>Additional transfer — Additional held-out direction × green-pen/red-block pair (left)</x:v>
      </x:c>
      <x:c r="M104" s="8" t="n">
        <x:f>'Evaluation Plan'!M104</x:f>
        <x:v>43</x:v>
      </x:c>
      <x:c r="N104" s="7" t="str">
        <x:f>'Evaluation Plan'!N104</x:f>
        <x:v>Build the listed scene; target starts in the opposite sector. Save a first-frame filename.</x:v>
      </x:c>
      <x:c r="O104" s="7" t="str">
        <x:f>'Evaluation Plan'!O104</x:f>
        <x:v>Unpaired primary-transfer coverage. Canonical wording is seen with other pairs; only the object-pair composition is held out.</x:v>
      </x:c>
      <x:c r="P104" s="7" t="str">
        <x:f>IF(ISBLANK('Evaluation Plan'!P104),"",'Evaluation Plan'!P104)</x:f>
      </x:c>
    </x:row>
    <x:row r="105" ht="64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green pen to the right of the red block.</x:v>
      </x:c>
      <x:c r="D105" s="7" t="str">
        <x:f>'Evaluation Plan'!D105</x:f>
        <x:v>P1 red block at R4 (5 cm toward the robot from center) [REFERENCE]; P2 green pen 21 cm to the left of P1 [TARGET START]; P3 pink marker 15 cm in front of P1 [DISTRACTOR]; P4 blue block 15 cm behind P1 [DISTRACTOR]</x:v>
      </x:c>
      <x:c r="E105" s="8" t="str">
        <x:f>IF(ISBLANK('Evaluation Plan'!E105),"",'Evaluation Plan'!E105)</x:f>
      </x:c>
      <x:c r="F105" s="8" t="str">
        <x:f>'Evaluation Plan'!F105</x:f>
        <x:v>green pen → 2–8 cm edge gap to the right of red block; centroid direction within ±45°</x:v>
      </x:c>
      <x:c r="G105" s="7"/>
      <x:c r="H105" s="8" t="str">
        <x:f>'Evaluation Plan'!H105</x:f>
        <x:v>Concept/compositional transfer</x:v>
      </x:c>
      <x:c r="I105" s="8" t="str">
        <x:f>'Evaluation Plan'!I105</x:f>
        <x:v>RP-X24</x:v>
      </x:c>
      <x:c r="J105" s="8" t="str">
        <x:f>'Evaluation Plan'!J105</x:f>
        <x:v>right</x:v>
      </x:c>
      <x:c r="K105" s="8" t="n">
        <x:f>'Evaluation Plan'!K105</x:f>
        <x:v>4</x:v>
      </x:c>
      <x:c r="L105" s="8" t="str">
        <x:f>'Evaluation Plan'!L105</x:f>
        <x:v>Additional transfer — Additional held-out direction × green-pen/red-block pair (right)</x:v>
      </x:c>
      <x:c r="M105" s="8" t="n">
        <x:f>'Evaluation Plan'!M105</x:f>
        <x:v>44</x:v>
      </x:c>
      <x:c r="N105" s="7" t="str">
        <x:f>'Evaluation Plan'!N105</x:f>
        <x:v>Build the listed scene; target starts in the opposite sector. Save a first-frame filename.</x:v>
      </x:c>
      <x:c r="O105" s="7" t="str">
        <x:f>'Evaluation Plan'!O105</x:f>
        <x:v>Unpaired primary-transfer coverage. Canonical wording is seen with other pairs; only the object-pair composition is held out.</x:v>
      </x:c>
      <x:c r="P105" s="7" t="str">
        <x:f>IF(ISBLANK('Evaluation Plan'!P105),"",'Evaluation Plan'!P105)</x:f>
      </x:c>
    </x:row>
    <x:row r="106" ht="64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Put the green pen on the table in front of the red block.</x:v>
      </x:c>
      <x:c r="D106" s="7" t="str">
        <x:f>'Evaluation Plan'!D106</x:f>
        <x:v>P1 red block at R5 (5 cm away from the robot from center) [REFERENCE]; P2 green pen 24 cm behind P1 [TARGET START]; P3 pink marker 15 cm to the left of P1 [DISTRACTOR]; P4 blue block 15 cm to the right of P1 [DISTRACTOR]</x:v>
      </x:c>
      <x:c r="E106" s="8" t="str">
        <x:f>IF(ISBLANK('Evaluation Plan'!E106),"",'Evaluation Plan'!E106)</x:f>
      </x:c>
      <x:c r="F106" s="8" t="str">
        <x:f>'Evaluation Plan'!F106</x:f>
        <x:v>green pen → 2–8 cm edge gap in front of red block; centroid direction within ±45°</x:v>
      </x:c>
      <x:c r="G106" s="7"/>
      <x:c r="H106" s="8" t="str">
        <x:f>'Evaluation Plan'!H106</x:f>
        <x:v>Concept/compositional transfer</x:v>
      </x:c>
      <x:c r="I106" s="8" t="str">
        <x:f>'Evaluation Plan'!I106</x:f>
        <x:v>RP-X25</x:v>
      </x:c>
      <x:c r="J106" s="8" t="str">
        <x:f>'Evaluation Plan'!J106</x:f>
        <x:v>front</x:v>
      </x:c>
      <x:c r="K106" s="8" t="n">
        <x:f>'Evaluation Plan'!K106</x:f>
        <x:v>4</x:v>
      </x:c>
      <x:c r="L106" s="8" t="str">
        <x:f>'Evaluation Plan'!L106</x:f>
        <x:v>Additional transfer — Additional held-out direction × green-pen/red-block pair (front)</x:v>
      </x:c>
      <x:c r="M106" s="8" t="n">
        <x:f>'Evaluation Plan'!M106</x:f>
        <x:v>45</x:v>
      </x:c>
      <x:c r="N106" s="7" t="str">
        <x:f>'Evaluation Plan'!N106</x:f>
        <x:v>Build the listed scene; target starts in the opposite sector. Save a first-frame filename.</x:v>
      </x:c>
      <x:c r="O106" s="7" t="str">
        <x:f>'Evaluation Plan'!O106</x:f>
        <x:v>Unpaired primary-transfer coverage. Canonical wording is seen with other pairs; only the object-pair composition is held out.</x:v>
      </x:c>
      <x:c r="P106" s="7" t="str">
        <x:f>IF(ISBLANK('Evaluation Plan'!P106),"",'Evaluation Plan'!P106)</x:f>
      </x:c>
    </x:row>
    <x:row r="107" ht="64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Place the red block behind the green pen.</x:v>
      </x:c>
      <x:c r="D107" s="7" t="str">
        <x:f>'Evaluation Plan'!D107</x:f>
        <x:v>P1 green pen at R1 (table center) [REFERENCE]; P2 red block 18 cm in front of P1 [TARGET START]; P3 pink marker 15 cm to the left of P1 [DISTRACTOR]; P4 blue block 15 cm to the right of P1 [DISTRACTOR]</x:v>
      </x:c>
      <x:c r="E107" s="8" t="str">
        <x:f>IF(ISBLANK('Evaluation Plan'!E107),"",'Evaluation Plan'!E107)</x:f>
      </x:c>
      <x:c r="F107" s="8" t="str">
        <x:f>'Evaluation Plan'!F107</x:f>
        <x:v>red block → 2–8 cm edge gap behind green pen; centroid direction within ±45°</x:v>
      </x:c>
      <x:c r="G107" s="7"/>
      <x:c r="H107" s="8" t="str">
        <x:f>'Evaluation Plan'!H107</x:f>
        <x:v>Concept/compositional transfer</x:v>
      </x:c>
      <x:c r="I107" s="8" t="str">
        <x:f>'Evaluation Plan'!I107</x:f>
        <x:v>RP-X26</x:v>
      </x:c>
      <x:c r="J107" s="8" t="str">
        <x:f>'Evaluation Plan'!J107</x:f>
        <x:v>behind</x:v>
      </x:c>
      <x:c r="K107" s="8" t="n">
        <x:f>'Evaluation Plan'!K107</x:f>
        <x:v>4</x:v>
      </x:c>
      <x:c r="L107" s="8" t="str">
        <x:f>'Evaluation Plan'!L107</x:f>
        <x:v>Additional transfer — Additional held-out direction × green-pen/red-block pair (behind)</x:v>
      </x:c>
      <x:c r="M107" s="8" t="n">
        <x:f>'Evaluation Plan'!M107</x:f>
        <x:v>46</x:v>
      </x:c>
      <x:c r="N107" s="7" t="str">
        <x:f>'Evaluation Plan'!N107</x:f>
        <x:v>Build the listed scene; target starts in the opposite sector. Save a first-frame filename.</x:v>
      </x:c>
      <x:c r="O107" s="7" t="str">
        <x:f>'Evaluation Plan'!O107</x:f>
        <x:v>Unpaired primary-transfer coverage. Canonical wording is seen with other pairs; only the object-pair composition is held out.</x:v>
      </x:c>
      <x:c r="P107" s="7" t="str">
        <x:f>IF(ISBLANK('Evaluation Plan'!P107),"",'Evaluation Plan'!P107)</x:f>
      </x:c>
    </x:row>
    <x:row r="108" ht="64" customHeight="1">
      <x:c r="A108" s="8" t="str">
        <x:v>Not collected</x:v>
      </x:c>
      <x:c r="B108" s="8" t="n">
        <x:f>'Evaluation Plan'!B108</x:f>
        <x:v>106</x:v>
      </x:c>
      <x:c r="C108" s="7" t="str">
        <x:f>'Evaluation Plan'!C108</x:f>
        <x:v>Place the green pen to the left of the red block.</x:v>
      </x:c>
      <x:c r="D108" s="7" t="str">
        <x:f>'Evaluation Plan'!D108</x:f>
        <x:v>P1 red block at R2 (5 cm left of center) [REFERENCE]; P2 green pen 21 cm to the right of P1 [TARGET START]; P3 pink marker 15 cm in front of P1 [DISTRACTOR]; P4 blue block 15 cm behind P1 [DISTRACTOR]</x:v>
      </x:c>
      <x:c r="E108" s="8" t="str">
        <x:f>IF(ISBLANK('Evaluation Plan'!E108),"",'Evaluation Plan'!E108)</x:f>
      </x:c>
      <x:c r="F108" s="8" t="str">
        <x:f>'Evaluation Plan'!F108</x:f>
        <x:v>green pen → 2–8 cm edge gap to the left of red block; centroid direction within ±45°</x:v>
      </x:c>
      <x:c r="G108" s="7"/>
      <x:c r="H108" s="8" t="str">
        <x:f>'Evaluation Plan'!H108</x:f>
        <x:v>Concept/compositional transfer</x:v>
      </x:c>
      <x:c r="I108" s="8" t="str">
        <x:f>'Evaluation Plan'!I108</x:f>
        <x:v>RP-X27</x:v>
      </x:c>
      <x:c r="J108" s="8" t="str">
        <x:f>'Evaluation Plan'!J108</x:f>
        <x:v>left</x:v>
      </x:c>
      <x:c r="K108" s="8" t="n">
        <x:f>'Evaluation Plan'!K108</x:f>
        <x:v>4</x:v>
      </x:c>
      <x:c r="L108" s="8" t="str">
        <x:f>'Evaluation Plan'!L108</x:f>
        <x:v>Additional transfer — Additional held-out direction × green-pen/red-block pair (left)</x:v>
      </x:c>
      <x:c r="M108" s="8" t="n">
        <x:f>'Evaluation Plan'!M108</x:f>
        <x:v>47</x:v>
      </x:c>
      <x:c r="N108" s="7" t="str">
        <x:f>'Evaluation Plan'!N108</x:f>
        <x:v>Build the listed scene; target starts in the opposite sector. Save a first-frame filename.</x:v>
      </x:c>
      <x:c r="O108" s="7" t="str">
        <x:f>'Evaluation Plan'!O108</x:f>
        <x:v>Unpaired primary-transfer coverage. Canonical wording is seen with other pairs; only the object-pair composition is held out.</x:v>
      </x:c>
      <x:c r="P108" s="7" t="str">
        <x:f>IF(ISBLANK('Evaluation Plan'!P108),"",'Evaluation Plan'!P108)</x:f>
      </x:c>
    </x:row>
    <x:row r="109" ht="64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red block to the right of the green pen.</x:v>
      </x:c>
      <x:c r="D109" s="7" t="str">
        <x:f>'Evaluation Plan'!D109</x:f>
        <x:v>P1 green pen at R3 (5 cm right of center) [REFERENCE]; P2 red block 24 cm to the left of P1 [TARGET START]; P3 pink marker 15 cm in front of P1 [DISTRACTOR]; P4 blue block 15 cm behind P1 [DISTRACTOR]</x:v>
      </x:c>
      <x:c r="E109" s="8" t="str">
        <x:f>IF(ISBLANK('Evaluation Plan'!E109),"",'Evaluation Plan'!E109)</x:f>
      </x:c>
      <x:c r="F109" s="8" t="str">
        <x:f>'Evaluation Plan'!F109</x:f>
        <x:v>red block → 2–8 cm edge gap to the right of green pen; centroid direction within ±45°</x:v>
      </x:c>
      <x:c r="G109" s="7"/>
      <x:c r="H109" s="8" t="str">
        <x:f>'Evaluation Plan'!H109</x:f>
        <x:v>Concept/compositional transfer</x:v>
      </x:c>
      <x:c r="I109" s="8" t="str">
        <x:f>'Evaluation Plan'!I109</x:f>
        <x:v>RP-X28</x:v>
      </x:c>
      <x:c r="J109" s="8" t="str">
        <x:f>'Evaluation Plan'!J109</x:f>
        <x:v>right</x:v>
      </x:c>
      <x:c r="K109" s="8" t="n">
        <x:f>'Evaluation Plan'!K109</x:f>
        <x:v>4</x:v>
      </x:c>
      <x:c r="L109" s="8" t="str">
        <x:f>'Evaluation Plan'!L109</x:f>
        <x:v>Additional transfer — Additional held-out direction × green-pen/red-block pair (right)</x:v>
      </x:c>
      <x:c r="M109" s="8" t="n">
        <x:f>'Evaluation Plan'!M109</x:f>
        <x:v>48</x:v>
      </x:c>
      <x:c r="N109" s="7" t="str">
        <x:f>'Evaluation Plan'!N109</x:f>
        <x:v>Build the listed scene; target starts in the opposite sector. Save a first-frame filename.</x:v>
      </x:c>
      <x:c r="O109" s="7" t="str">
        <x:f>'Evaluation Plan'!O109</x:f>
        <x:v>Unpaired primary-transfer coverage. Canonical wording is seen with other pairs; only the object-pair composition is held out.</x:v>
      </x:c>
      <x:c r="P109" s="7" t="str">
        <x:f>IF(ISBLANK('Evaluation Plan'!P109),"",'Evaluation Plan'!P109)</x:f>
      </x:c>
    </x:row>
    <x:row r="110" ht="64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Place the red block in front of the green pen.</x:v>
      </x:c>
      <x:c r="D110" s="7" t="str">
        <x:f>'Evaluation Plan'!D110</x:f>
        <x:v>P1 green pen at R4 (5 cm toward the robot from center) [REFERENCE]; P2 red block 18 cm behind P1 [TARGET START]; P3 pink marker 15 cm to the left of P1 [DISTRACTOR]; P4 blue block 15 cm to the right of P1 [DISTRACTOR]</x:v>
      </x:c>
      <x:c r="E110" s="8" t="str">
        <x:f>IF(ISBLANK('Evaluation Plan'!E110),"",'Evaluation Plan'!E110)</x:f>
      </x:c>
      <x:c r="F110" s="8" t="str">
        <x:f>'Evaluation Plan'!F110</x:f>
        <x:v>red block → 2–8 cm edge gap in front of green pen; centroid direction within ±45°</x:v>
      </x:c>
      <x:c r="G110" s="7"/>
      <x:c r="H110" s="8" t="str">
        <x:f>'Evaluation Plan'!H110</x:f>
        <x:v>Concept/compositional transfer</x:v>
      </x:c>
      <x:c r="I110" s="8" t="str">
        <x:f>'Evaluation Plan'!I110</x:f>
        <x:v>RP-X29</x:v>
      </x:c>
      <x:c r="J110" s="8" t="str">
        <x:f>'Evaluation Plan'!J110</x:f>
        <x:v>front</x:v>
      </x:c>
      <x:c r="K110" s="8" t="n">
        <x:f>'Evaluation Plan'!K110</x:f>
        <x:v>4</x:v>
      </x:c>
      <x:c r="L110" s="8" t="str">
        <x:f>'Evaluation Plan'!L110</x:f>
        <x:v>Additional transfer — Additional held-out direction × green-pen/red-block pair (front)</x:v>
      </x:c>
      <x:c r="M110" s="8" t="n">
        <x:f>'Evaluation Plan'!M110</x:f>
        <x:v>49</x:v>
      </x:c>
      <x:c r="N110" s="7" t="str">
        <x:f>'Evaluation Plan'!N110</x:f>
        <x:v>Build the listed scene; target starts in the opposite sector. Save a first-frame filename.</x:v>
      </x:c>
      <x:c r="O110" s="7" t="str">
        <x:f>'Evaluation Plan'!O110</x:f>
        <x:v>Unpaired primary-transfer coverage. Canonical wording is seen with other pairs; only the object-pair composition is held out.</x:v>
      </x:c>
      <x:c r="P110" s="7" t="str">
        <x:f>IF(ISBLANK('Evaluation Plan'!P110),"",'Evaluation Plan'!P110)</x:f>
      </x:c>
    </x:row>
    <x:row r="111" ht="64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green pen to the back of the red block.</x:v>
      </x:c>
      <x:c r="D111" s="7" t="str">
        <x:f>'Evaluation Plan'!D111</x:f>
        <x:v>P1 red block at R5 (5 cm away from the robot from center) [REFERENCE]; P2 green pen 21 cm in front of P1 [TARGET START]; P3 pink marker 15 cm to the left of P1 [DISTRACTOR]; P4 blue block 15 cm to the right of P1 [DISTRACTOR]</x:v>
      </x:c>
      <x:c r="E111" s="8" t="str">
        <x:f>IF(ISBLANK('Evaluation Plan'!E111),"",'Evaluation Plan'!E111)</x:f>
      </x:c>
      <x:c r="F111" s="8" t="str">
        <x:f>'Evaluation Plan'!F111</x:f>
        <x:v>green pen → 2–8 cm edge gap behind red block; centroid direction within ±45°</x:v>
      </x:c>
      <x:c r="G111" s="7"/>
      <x:c r="H111" s="8" t="str">
        <x:f>'Evaluation Plan'!H111</x:f>
        <x:v>Concept/compositional transfer</x:v>
      </x:c>
      <x:c r="I111" s="8" t="str">
        <x:f>'Evaluation Plan'!I111</x:f>
        <x:v>RP-X30</x:v>
      </x:c>
      <x:c r="J111" s="8" t="str">
        <x:f>'Evaluation Plan'!J111</x:f>
        <x:v>behind</x:v>
      </x:c>
      <x:c r="K111" s="8" t="n">
        <x:f>'Evaluation Plan'!K111</x:f>
        <x:v>4</x:v>
      </x:c>
      <x:c r="L111" s="8" t="str">
        <x:f>'Evaluation Plan'!L111</x:f>
        <x:v>Additional transfer — Additional held-out direction × green-pen/red-block pair (behind)</x:v>
      </x:c>
      <x:c r="M111" s="8" t="n">
        <x:f>'Evaluation Plan'!M111</x:f>
        <x:v>50</x:v>
      </x:c>
      <x:c r="N111" s="7" t="str">
        <x:f>'Evaluation Plan'!N111</x:f>
        <x:v>Build the listed scene; target starts in the opposite sector. Save a first-frame filename.</x:v>
      </x:c>
      <x:c r="O111" s="7" t="str">
        <x:f>'Evaluation Plan'!O111</x:f>
        <x:v>Unpaired primary-transfer coverage. Canonical wording is seen with other pairs; only the object-pair composition is held out.</x:v>
      </x:c>
      <x:c r="P111" s="7" t="str">
        <x:f>IF(ISBLANK('Evaluation Plan'!P111),"",'Evaluation Plan'!P111)</x:f>
      </x:c>
    </x:row>
    <x:row r="112" ht="64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Put the airplane toy with propellers beside the pink marker.</x:v>
      </x:c>
      <x:c r="D112" s="10" t="str">
        <x:f>'Evaluation Plan'!D112</x:f>
        <x:v>P1 pink marker at R1 (table center) [REFERENCE]; P2 airplane toy with propellers 21 cm behind P1 [TARGET START]; P3 airplane toy without propellers 15 cm to the left of P1 [VISUAL COMPETITOR]</x:v>
      </x:c>
      <x:c r="E112" s="9" t="str">
        <x:f>IF(ISBLANK('Evaluation Plan'!E112),"",'Evaluation Plan'!E112)</x:f>
      </x:c>
      <x:c r="F112" s="9" t="str">
        <x:f>'Evaluation Plan'!F112</x:f>
        <x:v>airplane toy with propellers → 2–8 cm edge gap from pink marker (any direction)</x:v>
      </x:c>
      <x:c r="G112" s="10"/>
      <x:c r="H112" s="9" t="str">
        <x:f>'Evaluation Plan'!H112</x:f>
        <x:v>Airplane seen-relation baseline</x:v>
      </x:c>
      <x:c r="I112" s="9" t="str">
        <x:f>'Evaluation Plan'!I112</x:f>
        <x:v>RP-AIR01</x:v>
      </x:c>
      <x:c r="J112" s="9" t="str">
        <x:f>'Evaluation Plan'!J112</x:f>
        <x:v>near</x:v>
      </x:c>
      <x:c r="K112" s="9" t="n">
        <x:f>'Evaluation Plan'!K112</x:f>
        <x:v>3</x:v>
      </x:c>
      <x:c r="L112" s="9" t="str">
        <x:f>'Evaluation Plan'!L112</x:f>
        <x:v>1 — Airplane seen-relation baseline — Cross-task airplane as target; seen near relation</x:v>
      </x:c>
      <x:c r="M112" s="9" t="n">
        <x:f>'Evaluation Plan'!M112</x:f>
        <x:v>51</x:v>
      </x:c>
      <x:c r="N112" s="10" t="str">
        <x:f>'Evaluation Plan'!N112</x:f>
        <x:v>Build the listed scene with both airplane variants present. Save a first-frame filename before running the baseline.</x:v>
      </x:c>
      <x:c r="O112" s="10" t="str">
        <x:f>'Evaluation Plan'!O112</x:f>
        <x:v>The airplanes are seen elsewhere in fine-tuning but absent from Relational Placement. The near baseline checks role-specific visual grounding and basic manipulation before directional composition.</x:v>
      </x:c>
      <x:c r="P112" s="10" t="str">
        <x:f>IF(ISBLANK('Evaluation Plan'!P112),"",'Evaluation Plan'!P112)</x:f>
      </x:c>
    </x:row>
    <x:row r="113" ht="64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Move the airplane toy with propellers to the front of the pink marker.</x:v>
      </x:c>
      <x:c r="D113" s="7" t="str">
        <x:f>'Evaluation Plan'!D113</x:f>
        <x:v>P1 pink marker at R1 (table center) [REFERENCE]; P2 airplane toy with propellers 21 cm behind P1 [TARGET START]; P3 airplane toy without propellers 15 cm to the left of P1 [VISUAL COMPETITOR]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 → 2–8 cm edge gap in front of pink marker; centroid direction within ±45°</x:v>
      </x:c>
      <x:c r="G113" s="7"/>
      <x:c r="H113" s="8" t="str">
        <x:f>'Evaluation Plan'!H113</x:f>
        <x:v>Airplane directional transfer</x:v>
      </x:c>
      <x:c r="I113" s="8" t="str">
        <x:f>'Evaluation Plan'!I113</x:f>
        <x:v>RP-AIR01</x:v>
      </x:c>
      <x:c r="J113" s="8" t="str">
        <x:f>'Evaluation Plan'!J113</x:f>
        <x:v>front</x:v>
      </x:c>
      <x:c r="K113" s="8" t="n">
        <x:f>'Evaluation Plan'!K113</x:f>
        <x:v>3</x:v>
      </x:c>
      <x:c r="L113" s="8" t="str">
        <x:f>'Evaluation Plan'!L113</x:f>
        <x:v>2 — Airplane directional transfer — Cross-task airplane as target; directional relation (front)</x:v>
      </x:c>
      <x:c r="M113" s="8" t="n">
        <x:f>'Evaluation Plan'!M113</x:f>
        <x:v>51</x:v>
      </x:c>
      <x:c r="N113" s="7" t="str">
        <x:f>'Evaluation Plan'!N113</x:f>
        <x:v>Reset only P2 to its marked start. Keep the scene exact; change only the prompt and expected placement.</x:v>
      </x:c>
      <x:c r="O113" s="7" t="str">
        <x:f>'Evaluation Plan'!O113</x:f>
        <x:v>Cross-task visual-role composition. Analyze airplane-as-target and airplane-as-reference families separately; do not call this globally unseen-object generalization.</x:v>
      </x:c>
      <x:c r="P113" s="7" t="str">
        <x:f>IF(ISBLANK('Evaluation Plan'!P113),"",'Evaluation Plan'!P113)</x:f>
      </x:c>
    </x:row>
    <x:row r="114" ht="64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Move the airplane toy without propellers near the blue block.</x:v>
      </x:c>
      <x:c r="D114" s="10" t="str">
        <x:f>'Evaluation Plan'!D114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4" s="9" t="str">
        <x:f>IF(ISBLANK('Evaluation Plan'!E114),"",'Evaluation Plan'!E114)</x:f>
      </x:c>
      <x:c r="F114" s="9" t="str">
        <x:f>'Evaluation Plan'!F114</x:f>
        <x:v>airplane toy without propellers → 2–8 cm edge gap from blue block (any direction)</x:v>
      </x:c>
      <x:c r="G114" s="10"/>
      <x:c r="H114" s="9" t="str">
        <x:f>'Evaluation Plan'!H114</x:f>
        <x:v>Airplane seen-relation baseline</x:v>
      </x:c>
      <x:c r="I114" s="9" t="str">
        <x:f>'Evaluation Plan'!I114</x:f>
        <x:v>RP-AIR02</x:v>
      </x:c>
      <x:c r="J114" s="9" t="str">
        <x:f>'Evaluation Plan'!J114</x:f>
        <x:v>near</x:v>
      </x:c>
      <x:c r="K114" s="9" t="n">
        <x:f>'Evaluation Plan'!K114</x:f>
        <x:v>4</x:v>
      </x:c>
      <x:c r="L114" s="9" t="str">
        <x:f>'Evaluation Plan'!L114</x:f>
        <x:v>1 — Airplane seen-relation baseline — Cross-task airplane as target; seen near relation</x:v>
      </x:c>
      <x:c r="M114" s="9" t="n">
        <x:f>'Evaluation Plan'!M114</x:f>
        <x:v>52</x:v>
      </x:c>
      <x:c r="N114" s="10" t="str">
        <x:f>'Evaluation Plan'!N114</x:f>
        <x:v>Build the listed scene with both airplane variants present. Save a first-frame filename before running the baseline.</x:v>
      </x:c>
      <x:c r="O114" s="10" t="str">
        <x:f>'Evaluation Plan'!O114</x:f>
        <x:v>The airplanes are seen elsewhere in fine-tuning but absent from Relational Placement. The near baseline checks role-specific visual grounding and basic manipulation before directional composition.</x:v>
      </x:c>
      <x:c r="P114" s="10" t="str">
        <x:f>IF(ISBLANK('Evaluation Plan'!P114),"",'Evaluation Plan'!P114)</x:f>
      </x:c>
    </x:row>
    <x:row r="115" ht="64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airplane toy without propellers on the table behind the blue block.</x:v>
      </x:c>
      <x:c r="D115" s="7" t="str">
        <x:f>'Evaluation Plan'!D115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5" s="8" t="n">
        <x:f>IF(ISBLANK('Evaluation Plan'!E115),"",'Evaluation Plan'!E115)</x:f>
        <x:v>112</x:v>
      </x:c>
      <x:c r="F115" s="8" t="str">
        <x:f>'Evaluation Plan'!F115</x:f>
        <x:v>airplane toy without propellers → 2–8 cm edge gap behind blue block; centroid direction within ±45°</x:v>
      </x:c>
      <x:c r="G115" s="7"/>
      <x:c r="H115" s="8" t="str">
        <x:f>'Evaluation Plan'!H115</x:f>
        <x:v>Airplane directional transfer</x:v>
      </x:c>
      <x:c r="I115" s="8" t="str">
        <x:f>'Evaluation Plan'!I115</x:f>
        <x:v>RP-AIR02</x:v>
      </x:c>
      <x:c r="J115" s="8" t="str">
        <x:f>'Evaluation Plan'!J115</x:f>
        <x:v>behind</x:v>
      </x:c>
      <x:c r="K115" s="8" t="n">
        <x:f>'Evaluation Plan'!K115</x:f>
        <x:v>4</x:v>
      </x:c>
      <x:c r="L115" s="8" t="str">
        <x:f>'Evaluation Plan'!L115</x:f>
        <x:v>2 — Airplane directional transfer — Cross-task airplane as target; directional relation (behind)</x:v>
      </x:c>
      <x:c r="M115" s="8" t="n">
        <x:f>'Evaluation Plan'!M115</x:f>
        <x:v>52</x:v>
      </x:c>
      <x:c r="N115" s="7" t="str">
        <x:f>'Evaluation Plan'!N115</x:f>
        <x:v>Reset only P2 to its marked start. Keep the scene exact; change only the prompt and expected placement.</x:v>
      </x:c>
      <x:c r="O115" s="7" t="str">
        <x:f>'Evaluation Plan'!O115</x:f>
        <x:v>Cross-task visual-role composition. Analyze airplane-as-target and airplane-as-reference families separately; do not call this globally unseen-object generalization.</x:v>
      </x:c>
      <x:c r="P115" s="7" t="str">
        <x:f>IF(ISBLANK('Evaluation Plan'!P115),"",'Evaluation Plan'!P115)</x:f>
      </x:c>
    </x:row>
    <x:row r="116" ht="64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Place the airplane toy with propellers next to the green pen.</x:v>
      </x:c>
      <x:c r="D116" s="10" t="str">
        <x:f>'Evaluation Plan'!D116</x:f>
        <x:v>P1 green pen at R3 (5 cm right of center) [REFERENCE]; P2 airplane toy with propellers 18 cm to the right of P1 [TARGET START]; P3 airplane toy without propellers 15 cm in front of P1 [VISUAL COMPETITOR]</x:v>
      </x:c>
      <x:c r="E116" s="9" t="str">
        <x:f>IF(ISBLANK('Evaluation Plan'!E116),"",'Evaluation Plan'!E116)</x:f>
      </x:c>
      <x:c r="F116" s="9" t="str">
        <x:f>'Evaluation Plan'!F116</x:f>
        <x:v>airplane toy with propellers → 2–8 cm edge gap from green pen (any direction)</x:v>
      </x:c>
      <x:c r="G116" s="10"/>
      <x:c r="H116" s="9" t="str">
        <x:f>'Evaluation Plan'!H116</x:f>
        <x:v>Airplane seen-relation baseline</x:v>
      </x:c>
      <x:c r="I116" s="9" t="str">
        <x:f>'Evaluation Plan'!I116</x:f>
        <x:v>RP-AIR03</x:v>
      </x:c>
      <x:c r="J116" s="9" t="str">
        <x:f>'Evaluation Plan'!J116</x:f>
        <x:v>near</x:v>
      </x:c>
      <x:c r="K116" s="9" t="n">
        <x:f>'Evaluation Plan'!K116</x:f>
        <x:v>3</x:v>
      </x:c>
      <x:c r="L116" s="9" t="str">
        <x:f>'Evaluation Plan'!L116</x:f>
        <x:v>1 — Airplane seen-relation baseline — Cross-task airplane as target; seen near relation</x:v>
      </x:c>
      <x:c r="M116" s="9" t="n">
        <x:f>'Evaluation Plan'!M116</x:f>
        <x:v>53</x:v>
      </x:c>
      <x:c r="N116" s="10" t="str">
        <x:f>'Evaluation Plan'!N116</x:f>
        <x:v>Build the listed scene with both airplane variants present. Save a first-frame filename before running the baseline.</x:v>
      </x:c>
      <x:c r="O116" s="10" t="str">
        <x:f>'Evaluation Plan'!O116</x:f>
        <x:v>The airplanes are seen elsewhere in fine-tuning but absent from Relational Placement. The near baseline checks role-specific visual grounding and basic manipulation before directional composition.</x:v>
      </x:c>
      <x:c r="P116" s="10" t="str">
        <x:f>IF(ISBLANK('Evaluation Plan'!P116),"",'Evaluation Plan'!P116)</x:f>
      </x:c>
    </x:row>
    <x:row r="117" ht="64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Place the airplane toy with propellers to the left of the green pen.</x:v>
      </x:c>
      <x:c r="D117" s="7" t="str">
        <x:f>'Evaluation Plan'!D117</x:f>
        <x:v>P1 green pen at R3 (5 cm right of center) [REFERENCE]; P2 airplane toy with propellers 18 cm to the right of P1 [TARGET START]; P3 airplane toy without propellers 15 cm in front of P1 [VISUAL COMPETITOR]</x:v>
      </x:c>
      <x:c r="E117" s="8" t="n">
        <x:f>IF(ISBLANK('Evaluation Plan'!E117),"",'Evaluation Plan'!E117)</x:f>
        <x:v>114</x:v>
      </x:c>
      <x:c r="F117" s="8" t="str">
        <x:f>'Evaluation Plan'!F117</x:f>
        <x:v>airplane toy with propellers → 2–8 cm edge gap to the left of green pen; centroid direction within ±45°</x:v>
      </x:c>
      <x:c r="G117" s="7"/>
      <x:c r="H117" s="8" t="str">
        <x:f>'Evaluation Plan'!H117</x:f>
        <x:v>Airplane directional transfer</x:v>
      </x:c>
      <x:c r="I117" s="8" t="str">
        <x:f>'Evaluation Plan'!I117</x:f>
        <x:v>RP-AIR03</x:v>
      </x:c>
      <x:c r="J117" s="8" t="str">
        <x:f>'Evaluation Plan'!J117</x:f>
        <x:v>left</x:v>
      </x:c>
      <x:c r="K117" s="8" t="n">
        <x:f>'Evaluation Plan'!K117</x:f>
        <x:v>3</x:v>
      </x:c>
      <x:c r="L117" s="8" t="str">
        <x:f>'Evaluation Plan'!L117</x:f>
        <x:v>2 — Airplane directional transfer — Cross-task airplane as target; directional relation (left)</x:v>
      </x:c>
      <x:c r="M117" s="8" t="n">
        <x:f>'Evaluation Plan'!M117</x:f>
        <x:v>53</x:v>
      </x:c>
      <x:c r="N117" s="7" t="str">
        <x:f>'Evaluation Plan'!N117</x:f>
        <x:v>Reset only P2 to its marked start. Keep the scene exact; change only the prompt and expected placement.</x:v>
      </x:c>
      <x:c r="O117" s="7" t="str">
        <x:f>'Evaluation Plan'!O117</x:f>
        <x:v>Cross-task visual-role composition. Analyze airplane-as-target and airplane-as-reference families separately; do not call this globally unseen-object generalization.</x:v>
      </x:c>
      <x:c r="P117" s="7" t="str">
        <x:f>IF(ISBLANK('Evaluation Plan'!P117),"",'Evaluation Plan'!P117)</x:f>
      </x:c>
    </x:row>
    <x:row r="118" ht="64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airplane toy without propellers beside the pink marker.</x:v>
      </x:c>
      <x:c r="D118" s="10" t="str">
        <x:f>'Evaluation Plan'!D118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8" s="9" t="str">
        <x:f>IF(ISBLANK('Evaluation Plan'!E118),"",'Evaluation Plan'!E118)</x:f>
      </x:c>
      <x:c r="F118" s="9" t="str">
        <x:f>'Evaluation Plan'!F118</x:f>
        <x:v>airplane toy without propellers → 2–8 cm edge gap from pink marker (any direction)</x:v>
      </x:c>
      <x:c r="G118" s="10"/>
      <x:c r="H118" s="9" t="str">
        <x:f>'Evaluation Plan'!H118</x:f>
        <x:v>Airplane seen-relation baseline</x:v>
      </x:c>
      <x:c r="I118" s="9" t="str">
        <x:f>'Evaluation Plan'!I118</x:f>
        <x:v>RP-AIR04</x:v>
      </x:c>
      <x:c r="J118" s="9" t="str">
        <x:f>'Evaluation Plan'!J118</x:f>
        <x:v>near</x:v>
      </x:c>
      <x:c r="K118" s="9" t="n">
        <x:f>'Evaluation Plan'!K118</x:f>
        <x:v>4</x:v>
      </x:c>
      <x:c r="L118" s="9" t="str">
        <x:f>'Evaluation Plan'!L118</x:f>
        <x:v>1 — Airplane seen-relation baseline — Cross-task airplane as target; seen near relation</x:v>
      </x:c>
      <x:c r="M118" s="9" t="n">
        <x:f>'Evaluation Plan'!M118</x:f>
        <x:v>54</x:v>
      </x:c>
      <x:c r="N118" s="10" t="str">
        <x:f>'Evaluation Plan'!N118</x:f>
        <x:v>Build the listed scene with both airplane variants present. Save a first-frame filename before running the baseline.</x:v>
      </x:c>
      <x:c r="O118" s="10" t="str">
        <x:f>'Evaluation Plan'!O118</x:f>
        <x:v>The airplanes are seen elsewhere in fine-tuning but absent from Relational Placement. The near baseline checks role-specific visual grounding and basic manipulation before directional composition.</x:v>
      </x:c>
      <x:c r="P118" s="10" t="str">
        <x:f>IF(ISBLANK('Evaluation Plan'!P118),"",'Evaluation Plan'!P118)</x:f>
      </x:c>
    </x:row>
    <x:row r="119" ht="64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airplane toy without propellers to the right of the pink marker.</x:v>
      </x:c>
      <x:c r="D119" s="7" t="str">
        <x:f>'Evaluation Plan'!D119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9" s="8" t="n">
        <x:f>IF(ISBLANK('Evaluation Plan'!E119),"",'Evaluation Plan'!E119)</x:f>
        <x:v>116</x:v>
      </x:c>
      <x:c r="F119" s="8" t="str">
        <x:f>'Evaluation Plan'!F119</x:f>
        <x:v>airplane toy without propellers → 2–8 cm edge gap to the right of pink marker; centroid direction within ±45°</x:v>
      </x:c>
      <x:c r="G119" s="7"/>
      <x:c r="H119" s="8" t="str">
        <x:f>'Evaluation Plan'!H119</x:f>
        <x:v>Airplane directional transfer</x:v>
      </x:c>
      <x:c r="I119" s="8" t="str">
        <x:f>'Evaluation Plan'!I119</x:f>
        <x:v>RP-AIR04</x:v>
      </x:c>
      <x:c r="J119" s="8" t="str">
        <x:f>'Evaluation Plan'!J119</x:f>
        <x:v>right</x:v>
      </x:c>
      <x:c r="K119" s="8" t="n">
        <x:f>'Evaluation Plan'!K119</x:f>
        <x:v>4</x:v>
      </x:c>
      <x:c r="L119" s="8" t="str">
        <x:f>'Evaluation Plan'!L119</x:f>
        <x:v>2 — Airplane directional transfer — Cross-task airplane as target; directional relation (right)</x:v>
      </x:c>
      <x:c r="M119" s="8" t="n">
        <x:f>'Evaluation Plan'!M119</x:f>
        <x:v>54</x:v>
      </x:c>
      <x:c r="N119" s="7" t="str">
        <x:f>'Evaluation Plan'!N119</x:f>
        <x:v>Reset only P2 to its marked start. Keep the scene exact; change only the prompt and expected placement.</x:v>
      </x:c>
      <x:c r="O119" s="7" t="str">
        <x:f>'Evaluation Plan'!O119</x:f>
        <x:v>Cross-task visual-role composition. Analyze airplane-as-target and airplane-as-reference families separately; do not call this globally unseen-object generalization.</x:v>
      </x:c>
      <x:c r="P119" s="7" t="str">
        <x:f>IF(ISBLANK('Evaluation Plan'!P119),"",'Evaluation Plan'!P119)</x:f>
      </x:c>
    </x:row>
    <x:row r="120" ht="64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Move the airplane toy with propellers near the blue block.</x:v>
      </x:c>
      <x:c r="D120" s="10" t="str">
        <x:f>'Evaluation Plan'!D120</x:f>
        <x:v>P1 blue block at R5 (5 cm away from the robot from center) [REFERENCE]; P2 airplane toy with propellers 24 cm behind P1 [TARGET START]; P3 airplane toy without propellers 15 cm to the left of P1 [VISUAL COMPETITOR]</x:v>
      </x:c>
      <x:c r="E120" s="9" t="str">
        <x:f>IF(ISBLANK('Evaluation Plan'!E120),"",'Evaluation Plan'!E120)</x:f>
      </x:c>
      <x:c r="F120" s="9" t="str">
        <x:f>'Evaluation Plan'!F120</x:f>
        <x:v>airplane toy with propellers → 2–8 cm edge gap from blue block (any direction)</x:v>
      </x:c>
      <x:c r="G120" s="10"/>
      <x:c r="H120" s="9" t="str">
        <x:f>'Evaluation Plan'!H120</x:f>
        <x:v>Airplane seen-relation baseline</x:v>
      </x:c>
      <x:c r="I120" s="9" t="str">
        <x:f>'Evaluation Plan'!I120</x:f>
        <x:v>RP-AIR05</x:v>
      </x:c>
      <x:c r="J120" s="9" t="str">
        <x:f>'Evaluation Plan'!J120</x:f>
        <x:v>near</x:v>
      </x:c>
      <x:c r="K120" s="9" t="n">
        <x:f>'Evaluation Plan'!K120</x:f>
        <x:v>3</x:v>
      </x:c>
      <x:c r="L120" s="9" t="str">
        <x:f>'Evaluation Plan'!L120</x:f>
        <x:v>1 — Airplane seen-relation baseline — Cross-task airplane as target; seen near relation</x:v>
      </x:c>
      <x:c r="M120" s="9" t="n">
        <x:f>'Evaluation Plan'!M120</x:f>
        <x:v>55</x:v>
      </x:c>
      <x:c r="N120" s="10" t="str">
        <x:f>'Evaluation Plan'!N120</x:f>
        <x:v>Build the listed scene with both airplane variants present. Save a first-frame filename before running the baseline.</x:v>
      </x:c>
      <x:c r="O120" s="10" t="str">
        <x:f>'Evaluation Plan'!O120</x:f>
        <x:v>The airplanes are seen elsewhere in fine-tuning but absent from Relational Placement. The near baseline checks role-specific visual grounding and basic manipulation before directional composition.</x:v>
      </x:c>
      <x:c r="P120" s="10" t="str">
        <x:f>IF(ISBLANK('Evaluation Plan'!P120),"",'Evaluation Plan'!P120)</x:f>
      </x:c>
    </x:row>
    <x:row r="121" ht="64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Put the airplane toy with propellers on the table in front of the blue block.</x:v>
      </x:c>
      <x:c r="D121" s="7" t="str">
        <x:f>'Evaluation Plan'!D121</x:f>
        <x:v>P1 blue block at R5 (5 cm away from the robot from center) [REFERENCE]; P2 airplane toy with propellers 24 cm behind P1 [TARGET START]; P3 airplane toy without propellers 15 cm to the left of P1 [VISUAL COMPETITOR]</x:v>
      </x:c>
      <x:c r="E121" s="8" t="n">
        <x:f>IF(ISBLANK('Evaluation Plan'!E121),"",'Evaluation Plan'!E121)</x:f>
        <x:v>118</x:v>
      </x:c>
      <x:c r="F121" s="8" t="str">
        <x:f>'Evaluation Plan'!F121</x:f>
        <x:v>airplane toy with propellers → 2–8 cm edge gap in front of blue block; centroid direction within ±45°</x:v>
      </x:c>
      <x:c r="G121" s="7"/>
      <x:c r="H121" s="8" t="str">
        <x:f>'Evaluation Plan'!H121</x:f>
        <x:v>Airplane directional transfer</x:v>
      </x:c>
      <x:c r="I121" s="8" t="str">
        <x:f>'Evaluation Plan'!I121</x:f>
        <x:v>RP-AIR05</x:v>
      </x:c>
      <x:c r="J121" s="8" t="str">
        <x:f>'Evaluation Plan'!J121</x:f>
        <x:v>front</x:v>
      </x:c>
      <x:c r="K121" s="8" t="n">
        <x:f>'Evaluation Plan'!K121</x:f>
        <x:v>3</x:v>
      </x:c>
      <x:c r="L121" s="8" t="str">
        <x:f>'Evaluation Plan'!L121</x:f>
        <x:v>2 — Airplane directional transfer — Cross-task airplane as target; directional relation (front)</x:v>
      </x:c>
      <x:c r="M121" s="8" t="n">
        <x:f>'Evaluation Plan'!M121</x:f>
        <x:v>55</x:v>
      </x:c>
      <x:c r="N121" s="7" t="str">
        <x:f>'Evaluation Plan'!N121</x:f>
        <x:v>Reset only P2 to its marked start. Keep the scene exact; change only the prompt and expected placement.</x:v>
      </x:c>
      <x:c r="O121" s="7" t="str">
        <x:f>'Evaluation Plan'!O121</x:f>
        <x:v>Cross-task visual-role composition. Analyze airplane-as-target and airplane-as-reference families separately; do not call this globally unseen-object generalization.</x:v>
      </x:c>
      <x:c r="P121" s="7" t="str">
        <x:f>IF(ISBLANK('Evaluation Plan'!P121),"",'Evaluation Plan'!P121)</x:f>
      </x:c>
    </x:row>
    <x:row r="122" ht="64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Place the pink marker next to the airplane toy without propellers.</x:v>
      </x:c>
      <x:c r="D122" s="10" t="str">
        <x:f>'Evaluation Plan'!D122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2" s="9" t="str">
        <x:f>IF(ISBLANK('Evaluation Plan'!E122),"",'Evaluation Plan'!E122)</x:f>
      </x:c>
      <x:c r="F122" s="9" t="str">
        <x:f>'Evaluation Plan'!F122</x:f>
        <x:v>pink marker → 2–8 cm edge gap from airplane toy without propellers (any direction)</x:v>
      </x:c>
      <x:c r="G122" s="10"/>
      <x:c r="H122" s="9" t="str">
        <x:f>'Evaluation Plan'!H122</x:f>
        <x:v>Airplane seen-relation baseline</x:v>
      </x:c>
      <x:c r="I122" s="9" t="str">
        <x:f>'Evaluation Plan'!I122</x:f>
        <x:v>RP-AIR06</x:v>
      </x:c>
      <x:c r="J122" s="9" t="str">
        <x:f>'Evaluation Plan'!J122</x:f>
        <x:v>near</x:v>
      </x:c>
      <x:c r="K122" s="9" t="n">
        <x:f>'Evaluation Plan'!K122</x:f>
        <x:v>4</x:v>
      </x:c>
      <x:c r="L122" s="9" t="str">
        <x:f>'Evaluation Plan'!L122</x:f>
        <x:v>1 — Airplane seen-relation baseline — Cross-task airplane as reference; seen near relation</x:v>
      </x:c>
      <x:c r="M122" s="9" t="n">
        <x:f>'Evaluation Plan'!M122</x:f>
        <x:v>56</x:v>
      </x:c>
      <x:c r="N122" s="10" t="str">
        <x:f>'Evaluation Plan'!N122</x:f>
        <x:v>Build the listed scene with both airplane variants present. Save a first-frame filename before running the baseline.</x:v>
      </x:c>
      <x:c r="O122" s="10" t="str">
        <x:f>'Evaluation Plan'!O122</x:f>
        <x:v>The airplanes are seen elsewhere in fine-tuning but absent from Relational Placement. The near baseline checks role-specific visual grounding and basic manipulation before directional composition.</x:v>
      </x:c>
      <x:c r="P122" s="10" t="str">
        <x:f>IF(ISBLANK('Evaluation Plan'!P122),"",'Evaluation Plan'!P122)</x:f>
      </x:c>
    </x:row>
    <x:row r="123" ht="64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Place the pink marker behind the airplane toy without propellers.</x:v>
      </x:c>
      <x:c r="D123" s="7" t="str">
        <x:f>'Evaluation Plan'!D123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3" s="8" t="n">
        <x:f>IF(ISBLANK('Evaluation Plan'!E123),"",'Evaluation Plan'!E123)</x:f>
        <x:v>120</x:v>
      </x:c>
      <x:c r="F123" s="8" t="str">
        <x:f>'Evaluation Plan'!F123</x:f>
        <x:v>pink marker → 2–8 cm edge gap behind airplane toy without propellers; centroid direction within ±45°</x:v>
      </x:c>
      <x:c r="G123" s="7"/>
      <x:c r="H123" s="8" t="str">
        <x:f>'Evaluation Plan'!H123</x:f>
        <x:v>Airplane directional transfer</x:v>
      </x:c>
      <x:c r="I123" s="8" t="str">
        <x:f>'Evaluation Plan'!I123</x:f>
        <x:v>RP-AIR06</x:v>
      </x:c>
      <x:c r="J123" s="8" t="str">
        <x:f>'Evaluation Plan'!J123</x:f>
        <x:v>behind</x:v>
      </x:c>
      <x:c r="K123" s="8" t="n">
        <x:f>'Evaluation Plan'!K123</x:f>
        <x:v>4</x:v>
      </x:c>
      <x:c r="L123" s="8" t="str">
        <x:f>'Evaluation Plan'!L123</x:f>
        <x:v>2 — Airplane directional transfer — Cross-task airplane as reference; directional relation (behind)</x:v>
      </x:c>
      <x:c r="M123" s="8" t="n">
        <x:f>'Evaluation Plan'!M123</x:f>
        <x:v>56</x:v>
      </x:c>
      <x:c r="N123" s="7" t="str">
        <x:f>'Evaluation Plan'!N123</x:f>
        <x:v>Reset only P2 to its marked start. Keep the scene exact; change only the prompt and expected placement.</x:v>
      </x:c>
      <x:c r="O123" s="7" t="str">
        <x:f>'Evaluation Plan'!O123</x:f>
        <x:v>Cross-task visual-role composition. Analyze airplane-as-target and airplane-as-reference families separately; do not call this globally unseen-object generalization.</x:v>
      </x:c>
      <x:c r="P123" s="7" t="str">
        <x:f>IF(ISBLANK('Evaluation Plan'!P123),"",'Evaluation Plan'!P123)</x:f>
      </x:c>
    </x:row>
    <x:row r="124" ht="64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Put the blue block beside the airplane toy with propellers.</x:v>
      </x:c>
      <x:c r="D124" s="10" t="str">
        <x:f>'Evaluation Plan'!D124</x:f>
        <x:v>P1 airplane toy with propellers at R2 (5 cm left of center) [REFERENCE]; P2 blue block 21 cm to the right of P1 [TARGET START]; P3 airplane toy without propellers 15 cm in front of P1 [VISUAL COMPETITOR]</x:v>
      </x:c>
      <x:c r="E124" s="9" t="str">
        <x:f>IF(ISBLANK('Evaluation Plan'!E124),"",'Evaluation Plan'!E124)</x:f>
      </x:c>
      <x:c r="F124" s="9" t="str">
        <x:f>'Evaluation Plan'!F124</x:f>
        <x:v>blue block → 2–8 cm edge gap from airplane toy with propellers (any direction)</x:v>
      </x:c>
      <x:c r="G124" s="10"/>
      <x:c r="H124" s="9" t="str">
        <x:f>'Evaluation Plan'!H124</x:f>
        <x:v>Airplane seen-relation baseline</x:v>
      </x:c>
      <x:c r="I124" s="9" t="str">
        <x:f>'Evaluation Plan'!I124</x:f>
        <x:v>RP-AIR07</x:v>
      </x:c>
      <x:c r="J124" s="9" t="str">
        <x:f>'Evaluation Plan'!J124</x:f>
        <x:v>near</x:v>
      </x:c>
      <x:c r="K124" s="9" t="n">
        <x:f>'Evaluation Plan'!K124</x:f>
        <x:v>3</x:v>
      </x:c>
      <x:c r="L124" s="9" t="str">
        <x:f>'Evaluation Plan'!L124</x:f>
        <x:v>1 — Airplane seen-relation baseline — Cross-task airplane as reference; seen near relation</x:v>
      </x:c>
      <x:c r="M124" s="9" t="n">
        <x:f>'Evaluation Plan'!M124</x:f>
        <x:v>57</x:v>
      </x:c>
      <x:c r="N124" s="10" t="str">
        <x:f>'Evaluation Plan'!N124</x:f>
        <x:v>Build the listed scene with both airplane variants present. Save a first-frame filename before running the baseline.</x:v>
      </x:c>
      <x:c r="O124" s="10" t="str">
        <x:f>'Evaluation Plan'!O124</x:f>
        <x:v>The airplanes are seen elsewhere in fine-tuning but absent from Relational Placement. The near baseline checks role-specific visual grounding and basic manipulation before directional composition.</x:v>
      </x:c>
      <x:c r="P124" s="10" t="str">
        <x:f>IF(ISBLANK('Evaluation Plan'!P124),"",'Evaluation Plan'!P124)</x:f>
      </x:c>
    </x:row>
    <x:row r="125" ht="64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Place the blue block to the left of the airplane toy with propellers.</x:v>
      </x:c>
      <x:c r="D125" s="7" t="str">
        <x:f>'Evaluation Plan'!D125</x:f>
        <x:v>P1 airplane toy with propellers at R2 (5 cm left of center) [REFERENCE]; P2 blue block 21 cm to the right of P1 [TARGET START]; P3 airplane toy without propellers 15 cm in front of P1 [VISUAL COMPETITOR]</x:v>
      </x:c>
      <x:c r="E125" s="8" t="n">
        <x:f>IF(ISBLANK('Evaluation Plan'!E125),"",'Evaluation Plan'!E125)</x:f>
        <x:v>122</x:v>
      </x:c>
      <x:c r="F125" s="8" t="str">
        <x:f>'Evaluation Plan'!F125</x:f>
        <x:v>blue block → 2–8 cm edge gap to the left of airplane toy with propellers; centroid direction within ±45°</x:v>
      </x:c>
      <x:c r="G125" s="7"/>
      <x:c r="H125" s="8" t="str">
        <x:f>'Evaluation Plan'!H125</x:f>
        <x:v>Airplane directional transfer</x:v>
      </x:c>
      <x:c r="I125" s="8" t="str">
        <x:f>'Evaluation Plan'!I125</x:f>
        <x:v>RP-AIR07</x:v>
      </x:c>
      <x:c r="J125" s="8" t="str">
        <x:f>'Evaluation Plan'!J125</x:f>
        <x:v>left</x:v>
      </x:c>
      <x:c r="K125" s="8" t="n">
        <x:f>'Evaluation Plan'!K125</x:f>
        <x:v>3</x:v>
      </x:c>
      <x:c r="L125" s="8" t="str">
        <x:f>'Evaluation Plan'!L125</x:f>
        <x:v>2 — Airplane directional transfer — Cross-task airplane as reference; directional relation (left)</x:v>
      </x:c>
      <x:c r="M125" s="8" t="n">
        <x:f>'Evaluation Plan'!M125</x:f>
        <x:v>57</x:v>
      </x:c>
      <x:c r="N125" s="7" t="str">
        <x:f>'Evaluation Plan'!N125</x:f>
        <x:v>Reset only P2 to its marked start. Keep the scene exact; change only the prompt and expected placement.</x:v>
      </x:c>
      <x:c r="O125" s="7" t="str">
        <x:f>'Evaluation Plan'!O125</x:f>
        <x:v>Cross-task visual-role composition. Analyze airplane-as-target and airplane-as-reference families separately; do not call this globally unseen-object generalization.</x:v>
      </x:c>
      <x:c r="P125" s="7" t="str">
        <x:f>IF(ISBLANK('Evaluation Plan'!P125),"",'Evaluation Plan'!P125)</x:f>
      </x:c>
    </x:row>
    <x:row r="126" ht="64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Move the green pen near the airplane toy without propellers.</x:v>
      </x:c>
      <x:c r="D126" s="10" t="str">
        <x:f>'Evaluation Plan'!D126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6" s="9" t="str">
        <x:f>IF(ISBLANK('Evaluation Plan'!E126),"",'Evaluation Plan'!E126)</x:f>
      </x:c>
      <x:c r="F126" s="9" t="str">
        <x:f>'Evaluation Plan'!F126</x:f>
        <x:v>green pen → 2–8 cm edge gap from airplane toy without propellers (any direction)</x:v>
      </x:c>
      <x:c r="G126" s="10"/>
      <x:c r="H126" s="9" t="str">
        <x:f>'Evaluation Plan'!H126</x:f>
        <x:v>Airplane seen-relation baseline</x:v>
      </x:c>
      <x:c r="I126" s="9" t="str">
        <x:f>'Evaluation Plan'!I126</x:f>
        <x:v>RP-AIR08</x:v>
      </x:c>
      <x:c r="J126" s="9" t="str">
        <x:f>'Evaluation Plan'!J126</x:f>
        <x:v>near</x:v>
      </x:c>
      <x:c r="K126" s="9" t="n">
        <x:f>'Evaluation Plan'!K126</x:f>
        <x:v>4</x:v>
      </x:c>
      <x:c r="L126" s="9" t="str">
        <x:f>'Evaluation Plan'!L126</x:f>
        <x:v>1 — Airplane seen-relation baseline — Cross-task airplane as reference; seen near relation</x:v>
      </x:c>
      <x:c r="M126" s="9" t="n">
        <x:f>'Evaluation Plan'!M126</x:f>
        <x:v>58</x:v>
      </x:c>
      <x:c r="N126" s="10" t="str">
        <x:f>'Evaluation Plan'!N126</x:f>
        <x:v>Build the listed scene with both airplane variants present. Save a first-frame filename before running the baseline.</x:v>
      </x:c>
      <x:c r="O126" s="10" t="str">
        <x:f>'Evaluation Plan'!O126</x:f>
        <x:v>The airplanes are seen elsewhere in fine-tuning but absent from Relational Placement. The near baseline checks role-specific visual grounding and basic manipulation before directional composition.</x:v>
      </x:c>
      <x:c r="P126" s="10" t="str">
        <x:f>IF(ISBLANK('Evaluation Plan'!P126),"",'Evaluation Plan'!P126)</x:f>
      </x:c>
    </x:row>
    <x:row r="127" ht="64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Place the green pen to the right of the airplane toy without propellers.</x:v>
      </x:c>
      <x:c r="D127" s="7" t="str">
        <x:f>'Evaluation Plan'!D127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7" s="8" t="n">
        <x:f>IF(ISBLANK('Evaluation Plan'!E127),"",'Evaluation Plan'!E127)</x:f>
        <x:v>124</x:v>
      </x:c>
      <x:c r="F127" s="8" t="str">
        <x:f>'Evaluation Plan'!F127</x:f>
        <x:v>green pen → 2–8 cm edge gap to the right of airplane toy without propellers; centroid direction within ±45°</x:v>
      </x:c>
      <x:c r="G127" s="7"/>
      <x:c r="H127" s="8" t="str">
        <x:f>'Evaluation Plan'!H127</x:f>
        <x:v>Airplane directional transfer</x:v>
      </x:c>
      <x:c r="I127" s="8" t="str">
        <x:f>'Evaluation Plan'!I127</x:f>
        <x:v>RP-AIR08</x:v>
      </x:c>
      <x:c r="J127" s="8" t="str">
        <x:f>'Evaluation Plan'!J127</x:f>
        <x:v>right</x:v>
      </x:c>
      <x:c r="K127" s="8" t="n">
        <x:f>'Evaluation Plan'!K127</x:f>
        <x:v>4</x:v>
      </x:c>
      <x:c r="L127" s="8" t="str">
        <x:f>'Evaluation Plan'!L127</x:f>
        <x:v>2 — Airplane directional transfer — Cross-task airplane as reference; directional relation (right)</x:v>
      </x:c>
      <x:c r="M127" s="8" t="n">
        <x:f>'Evaluation Plan'!M127</x:f>
        <x:v>58</x:v>
      </x:c>
      <x:c r="N127" s="7" t="str">
        <x:f>'Evaluation Plan'!N127</x:f>
        <x:v>Reset only P2 to its marked start. Keep the scene exact; change only the prompt and expected placement.</x:v>
      </x:c>
      <x:c r="O127" s="7" t="str">
        <x:f>'Evaluation Plan'!O127</x:f>
        <x:v>Cross-task visual-role composition. Analyze airplane-as-target and airplane-as-reference families separately; do not call this globally unseen-object generalization.</x:v>
      </x:c>
      <x:c r="P127" s="7" t="str">
        <x:f>IF(ISBLANK('Evaluation Plan'!P127),"",'Evaluation Plan'!P127)</x:f>
      </x:c>
    </x:row>
    <x:row r="128" ht="64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Place the pink marker next to the airplane toy with propellers.</x:v>
      </x:c>
      <x:c r="D128" s="10" t="str">
        <x:f>'Evaluation Plan'!D128</x:f>
        <x:v>P1 airplane toy with propellers at R4 (5 cm toward the robot from center) [REFERENCE]; P2 pink marker 18 cm behind P1 [TARGET START]; P3 airplane toy without propellers 15 cm to the left of P1 [VISUAL COMPETITOR]</x:v>
      </x:c>
      <x:c r="E128" s="9" t="str">
        <x:f>IF(ISBLANK('Evaluation Plan'!E128),"",'Evaluation Plan'!E128)</x:f>
      </x:c>
      <x:c r="F128" s="9" t="str">
        <x:f>'Evaluation Plan'!F128</x:f>
        <x:v>pink marker → 2–8 cm edge gap from airplane toy with propellers (any direction)</x:v>
      </x:c>
      <x:c r="G128" s="10"/>
      <x:c r="H128" s="9" t="str">
        <x:f>'Evaluation Plan'!H128</x:f>
        <x:v>Airplane seen-relation baseline</x:v>
      </x:c>
      <x:c r="I128" s="9" t="str">
        <x:f>'Evaluation Plan'!I128</x:f>
        <x:v>RP-AIR09</x:v>
      </x:c>
      <x:c r="J128" s="9" t="str">
        <x:f>'Evaluation Plan'!J128</x:f>
        <x:v>near</x:v>
      </x:c>
      <x:c r="K128" s="9" t="n">
        <x:f>'Evaluation Plan'!K128</x:f>
        <x:v>3</x:v>
      </x:c>
      <x:c r="L128" s="9" t="str">
        <x:f>'Evaluation Plan'!L128</x:f>
        <x:v>1 — Airplane seen-relation baseline — Cross-task airplane as reference; seen near relation</x:v>
      </x:c>
      <x:c r="M128" s="9" t="n">
        <x:f>'Evaluation Plan'!M128</x:f>
        <x:v>59</x:v>
      </x:c>
      <x:c r="N128" s="10" t="str">
        <x:f>'Evaluation Plan'!N128</x:f>
        <x:v>Build the listed scene with both airplane variants present. Save a first-frame filename before running the baseline.</x:v>
      </x:c>
      <x:c r="O128" s="10" t="str">
        <x:f>'Evaluation Plan'!O128</x:f>
        <x:v>The airplanes are seen elsewhere in fine-tuning but absent from Relational Placement. The near baseline checks role-specific visual grounding and basic manipulation before directional composition.</x:v>
      </x:c>
      <x:c r="P128" s="10" t="str">
        <x:f>IF(ISBLANK('Evaluation Plan'!P128),"",'Evaluation Plan'!P128)</x:f>
      </x:c>
    </x:row>
    <x:row r="129" ht="64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Place the pink marker in front of the airplane toy with propellers.</x:v>
      </x:c>
      <x:c r="D129" s="7" t="str">
        <x:f>'Evaluation Plan'!D129</x:f>
        <x:v>P1 airplane toy with propellers at R4 (5 cm toward the robot from center) [REFERENCE]; P2 pink marker 18 cm behind P1 [TARGET START]; P3 airplane toy without propellers 15 cm to the left of P1 [VISUAL COMPETITOR]</x:v>
      </x:c>
      <x:c r="E129" s="8" t="n">
        <x:f>IF(ISBLANK('Evaluation Plan'!E129),"",'Evaluation Plan'!E129)</x:f>
        <x:v>126</x:v>
      </x:c>
      <x:c r="F129" s="8" t="str">
        <x:f>'Evaluation Plan'!F129</x:f>
        <x:v>pink marker → 2–8 cm edge gap in front of airplane toy with propellers; centroid direction within ±45°</x:v>
      </x:c>
      <x:c r="G129" s="7"/>
      <x:c r="H129" s="8" t="str">
        <x:f>'Evaluation Plan'!H129</x:f>
        <x:v>Airplane directional transfer</x:v>
      </x:c>
      <x:c r="I129" s="8" t="str">
        <x:f>'Evaluation Plan'!I129</x:f>
        <x:v>RP-AIR09</x:v>
      </x:c>
      <x:c r="J129" s="8" t="str">
        <x:f>'Evaluation Plan'!J129</x:f>
        <x:v>front</x:v>
      </x:c>
      <x:c r="K129" s="8" t="n">
        <x:f>'Evaluation Plan'!K129</x:f>
        <x:v>3</x:v>
      </x:c>
      <x:c r="L129" s="8" t="str">
        <x:f>'Evaluation Plan'!L129</x:f>
        <x:v>2 — Airplane directional transfer — Cross-task airplane as reference; directional relation (front)</x:v>
      </x:c>
      <x:c r="M129" s="8" t="n">
        <x:f>'Evaluation Plan'!M129</x:f>
        <x:v>59</x:v>
      </x:c>
      <x:c r="N129" s="7" t="str">
        <x:f>'Evaluation Plan'!N129</x:f>
        <x:v>Reset only P2 to its marked start. Keep the scene exact; change only the prompt and expected placement.</x:v>
      </x:c>
      <x:c r="O129" s="7" t="str">
        <x:f>'Evaluation Plan'!O129</x:f>
        <x:v>Cross-task visual-role composition. Analyze airplane-as-target and airplane-as-reference families separately; do not call this globally unseen-object generalization.</x:v>
      </x:c>
      <x:c r="P129" s="7" t="str">
        <x:f>IF(ISBLANK('Evaluation Plan'!P129),"",'Evaluation Plan'!P129)</x:f>
      </x:c>
    </x:row>
    <x:row r="130" ht="64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blue block beside the airplane toy without propellers.</x:v>
      </x:c>
      <x:c r="D130" s="10" t="str">
        <x:f>'Evaluation Plan'!D130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0" s="9" t="str">
        <x:f>IF(ISBLANK('Evaluation Plan'!E130),"",'Evaluation Plan'!E130)</x:f>
      </x:c>
      <x:c r="F130" s="9" t="str">
        <x:f>'Evaluation Plan'!F130</x:f>
        <x:v>blue block → 2–8 cm edge gap from airplane toy without propellers (any direction)</x:v>
      </x:c>
      <x:c r="G130" s="10"/>
      <x:c r="H130" s="9" t="str">
        <x:f>'Evaluation Plan'!H130</x:f>
        <x:v>Airplane seen-relation baseline</x:v>
      </x:c>
      <x:c r="I130" s="9" t="str">
        <x:f>'Evaluation Plan'!I130</x:f>
        <x:v>RP-AIR10</x:v>
      </x:c>
      <x:c r="J130" s="9" t="str">
        <x:f>'Evaluation Plan'!J130</x:f>
        <x:v>near</x:v>
      </x:c>
      <x:c r="K130" s="9" t="n">
        <x:f>'Evaluation Plan'!K130</x:f>
        <x:v>4</x:v>
      </x:c>
      <x:c r="L130" s="9" t="str">
        <x:f>'Evaluation Plan'!L130</x:f>
        <x:v>1 — Airplane seen-relation baseline — Cross-task airplane as reference; seen near relation</x:v>
      </x:c>
      <x:c r="M130" s="9" t="n">
        <x:f>'Evaluation Plan'!M130</x:f>
        <x:v>60</x:v>
      </x:c>
      <x:c r="N130" s="10" t="str">
        <x:f>'Evaluation Plan'!N130</x:f>
        <x:v>Build the listed scene with both airplane variants present. Save a first-frame filename before running the baseline.</x:v>
      </x:c>
      <x:c r="O130" s="10" t="str">
        <x:f>'Evaluation Plan'!O130</x:f>
        <x:v>The airplanes are seen elsewhere in fine-tuning but absent from Relational Placement. The near baseline checks role-specific visual grounding and basic manipulation before directional composition.</x:v>
      </x:c>
      <x:c r="P130" s="10" t="str">
        <x:f>IF(ISBLANK('Evaluation Plan'!P130),"",'Evaluation Plan'!P130)</x:f>
      </x:c>
    </x:row>
    <x:row r="131" ht="64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blue block to the back of the airplane toy without propellers.</x:v>
      </x:c>
      <x:c r="D131" s="7" t="str">
        <x:f>'Evaluation Plan'!D131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1" s="8" t="n">
        <x:f>IF(ISBLANK('Evaluation Plan'!E131),"",'Evaluation Plan'!E131)</x:f>
        <x:v>128</x:v>
      </x:c>
      <x:c r="F131" s="8" t="str">
        <x:f>'Evaluation Plan'!F131</x:f>
        <x:v>blue block → 2–8 cm edge gap behind airplane toy without propellers; centroid direction within ±45°</x:v>
      </x:c>
      <x:c r="G131" s="7"/>
      <x:c r="H131" s="8" t="str">
        <x:f>'Evaluation Plan'!H131</x:f>
        <x:v>Airplane directional transfer</x:v>
      </x:c>
      <x:c r="I131" s="8" t="str">
        <x:f>'Evaluation Plan'!I131</x:f>
        <x:v>RP-AIR10</x:v>
      </x:c>
      <x:c r="J131" s="8" t="str">
        <x:f>'Evaluation Plan'!J131</x:f>
        <x:v>behind</x:v>
      </x:c>
      <x:c r="K131" s="8" t="n">
        <x:f>'Evaluation Plan'!K131</x:f>
        <x:v>4</x:v>
      </x:c>
      <x:c r="L131" s="8" t="str">
        <x:f>'Evaluation Plan'!L131</x:f>
        <x:v>2 — Airplane directional transfer — Cross-task airplane as reference; directional relation (behind)</x:v>
      </x:c>
      <x:c r="M131" s="8" t="n">
        <x:f>'Evaluation Plan'!M131</x:f>
        <x:v>60</x:v>
      </x:c>
      <x:c r="N131" s="7" t="str">
        <x:f>'Evaluation Plan'!N131</x:f>
        <x:v>Reset only P2 to its marked start. Keep the scene exact; change only the prompt and expected placement.</x:v>
      </x:c>
      <x:c r="O131" s="7" t="str">
        <x:f>'Evaluation Plan'!O131</x:f>
        <x:v>Cross-task visual-role composition. Analyze airplane-as-target and airplane-as-reference families separately; do not call this globally unseen-object generalization.</x:v>
      </x:c>
      <x:c r="P131" s="7" t="str">
        <x:f>IF(ISBLANK('Evaluation Plan'!P131),"",'Evaluation Plan'!P131)</x:f>
      </x:c>
    </x:row>
  </x:sheetData>
  <x:conditionalFormatting sqref="A2:P131">
    <x:cfRule type="expression" dxfId="9" priority="1">
      <x:formula>$A2="Success"</x:formula>
    </x:cfRule>
    <x:cfRule type="expression" dxfId="10" priority="2">
      <x:formula>$A2="Failure"</x:formula>
    </x:cfRule>
  </x:conditionalFormatting>
  <x:conditionalFormatting sqref="H2:H131">
    <x:cfRule type="containsText" dxfId="11" priority="3" operator="containsText" text="Concept/compositional transfer"/>
    <x:cfRule type="containsText" dxfId="12" priority="4" operator="containsText" text="Exact-scene opposite-direction contrast"/>
    <x:cfRule type="containsText" dxfId="13" priority="5" operator="containsText" text="Matched manipulation control"/>
    <x:cfRule type="containsText" dxfId="14" priority="6" operator="containsText" text="Airplane"/>
    <x:cfRule type="containsText" dxfId="15" priority="7" operator="containsText" text="Language robustness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da804b921948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in front of the red block.</x:v>
      </x:c>
      <x:c r="D2" s="10" t="str">
        <x:f>'Evaluation Plan'!D2</x:f>
        <x:v>P1 red block at R1 (table center) [REFERENCE]; P2 green pen 18 cm behind P1 [TARGET START]; P3 pink marker 15 cm to the left of P1 [DISTRACTOR]</x:v>
      </x:c>
      <x:c r="E2" s="9" t="str">
        <x:f>IF(ISBLANK('Evaluation Plan'!E2),"",'Evaluation Plan'!E2)</x:f>
      </x:c>
      <x:c r="F2" s="9" t="str">
        <x:f>'Evaluation Plan'!F2</x:f>
        <x:v>green pen → 2–8 cm edge gap in front of red block; centroid direction within ±45°</x:v>
      </x:c>
      <x:c r="G2" s="10"/>
      <x:c r="H2" s="9" t="str">
        <x:f>'Evaluation Plan'!H2</x:f>
        <x:v>Concept/compositional transfer</x:v>
      </x:c>
      <x:c r="I2" s="9" t="str">
        <x:f>'Evaluation Plan'!I2</x:f>
        <x:v>RP-F01</x:v>
      </x:c>
      <x:c r="J2" s="9" t="str">
        <x:f>'Evaluation Plan'!J2</x:f>
        <x:v>front</x:v>
      </x:c>
      <x:c r="K2" s="9" t="n">
        <x:f>'Evaluation Plan'!K2</x:f>
        <x:v>3</x:v>
      </x:c>
      <x:c r="L2" s="9" t="str">
        <x:f>'Evaluation Plan'!L2</x:f>
        <x:v>1 — Canonical transfer — Held-out direction × green-pen/red-block pair (front)</x:v>
      </x:c>
      <x:c r="M2" s="9" t="n">
        <x:f>'Evaluation Plan'!M2</x:f>
        <x:v>1</x:v>
      </x:c>
      <x:c r="N2" s="10" t="str">
        <x:f>'Evaluation Plan'!N2</x:f>
        <x:v>Build the marked scene. Target starts in the opposite sector and outside the success gap; save a first-frame filename.</x:v>
      </x:c>
      <x:c r="O2" s="10" t="str">
        <x:f>'Evaluation Plan'!O2</x:f>
        <x:v>Directional language is trained on other object pairs, but all directional green-pen/red-block demonstrations are withheld in both target/reference directions.</x:v>
      </x:c>
      <x:c r="P2" s="10" t="str">
        <x:f>IF(ISBLANK('Evaluation Plan'!P2),"",'Evaluation Plan'!P2)</x:f>
      </x:c>
    </x:row>
    <x:row r="3" ht="64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green pen to the back of the red block.</x:v>
      </x:c>
      <x:c r="D3" s="7" t="str">
        <x:f>'Evaluation Plan'!D3</x:f>
        <x:v>P1 red block at R1 (table center) [REFERENCE]; P2 green pen 18 cm behind P1 [TARGET START]; P3 pink marker 15 cm to the left of P1 [DISTRACTOR]</x:v>
      </x:c>
      <x:c r="E3" s="8" t="n">
        <x:f>IF(ISBLANK('Evaluation Plan'!E3),"",'Evaluation Plan'!E3)</x:f>
        <x:v>0</x:v>
      </x:c>
      <x:c r="F3" s="8" t="str">
        <x:f>'Evaluation Plan'!F3</x:f>
        <x:v>green pen → 2–8 cm edge gap behind red block; centroid direction within ±45°</x:v>
      </x:c>
      <x:c r="G3" s="7"/>
      <x:c r="H3" s="8" t="str">
        <x:f>'Evaluation Plan'!H3</x:f>
        <x:v>Exact-scene opposite-direction contrast</x:v>
      </x:c>
      <x:c r="I3" s="8" t="str">
        <x:f>'Evaluation Plan'!I3</x:f>
        <x:v>RP-F01</x:v>
      </x:c>
      <x:c r="J3" s="8" t="str">
        <x:f>'Evaluation Plan'!J3</x:f>
        <x:v>behind</x:v>
      </x:c>
      <x:c r="K3" s="8" t="n">
        <x:f>'Evaluation Plan'!K3</x:f>
        <x:v>3</x:v>
      </x:c>
      <x:c r="L3" s="8" t="str">
        <x:f>'Evaluation Plan'!L3</x:f>
        <x:v>2 — Exact-scene opposite-direction contrast — Direction-word counterfactual (front→behind)</x:v>
      </x:c>
      <x:c r="M3" s="8" t="n">
        <x:f>'Evaluation Plan'!M3</x:f>
        <x:v>1</x:v>
      </x:c>
      <x:c r="N3" s="7" t="str">
        <x:f>'Evaluation Plan'!N3</x:f>
        <x:v>Reset only P2 to its marked start. Preserve the exact scene; change only the directional word and expected goal sector.</x:v>
      </x:c>
      <x:c r="O3" s="7" t="str">
        <x:f>'Evaluation Plan'!O3</x:f>
        <x:v>Exact-scene semantic counterfactual. Target and reference identities stay fixed while the requested endpoint reverses front↔behind or left↔right.</x:v>
      </x:c>
      <x:c r="P3" s="7" t="str">
        <x:f>IF(ISBLANK('Evaluation Plan'!P3),"",'Evaluation Plan'!P3)</x:f>
      </x:c>
    </x:row>
    <x:row r="4" ht="64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green pen to the robot-facing side of the red block.</x:v>
      </x:c>
      <x:c r="D4" s="7" t="str">
        <x:f>'Evaluation Plan'!D4</x:f>
        <x:v>P1 red block at R1 (table center) [REFERENCE]; P2 green pen 18 cm behind P1 [TARGET START]; P3 pink marker 15 cm to the left of P1 [DISTRACTOR]</x:v>
      </x:c>
      <x:c r="E4" s="8" t="n">
        <x:f>IF(ISBLANK('Evaluation Plan'!E4),"",'Evaluation Plan'!E4)</x:f>
        <x:v>0</x:v>
      </x:c>
      <x:c r="F4" s="8" t="str">
        <x:f>'Evaluation Plan'!F4</x:f>
        <x:v>green pen → 2–8 cm edge gap in front of red block; centroid direction within ±45°</x:v>
      </x:c>
      <x:c r="G4" s="7"/>
      <x:c r="H4" s="8" t="str">
        <x:f>'Evaluation Plan'!H4</x:f>
        <x:v>Language robustness</x:v>
      </x:c>
      <x:c r="I4" s="8" t="str">
        <x:f>'Evaluation Plan'!I4</x:f>
        <x:v>RP-F01</x:v>
      </x:c>
      <x:c r="J4" s="8" t="str">
        <x:f>'Evaluation Plan'!J4</x:f>
        <x:v>front</x:v>
      </x:c>
      <x:c r="K4" s="8" t="n">
        <x:f>'Evaluation Plan'!K4</x:f>
        <x:v>3</x:v>
      </x:c>
      <x:c r="L4" s="8" t="str">
        <x:f>'Evaluation Plan'!L4</x:f>
        <x:v>3 — Exact-scene transfer paraphrase — Paraphrase of concept/compositional-transfer prompt</x:v>
      </x:c>
      <x:c r="M4" s="8" t="n">
        <x:f>'Evaluation Plan'!M4</x:f>
        <x:v>1</x:v>
      </x:c>
      <x:c r="N4" s="7" t="str">
        <x:f>'Evaluation Plan'!N4</x:f>
        <x:v>Reset only P2 to its marked start; change only the prompt wording.</x:v>
      </x:c>
      <x:c r="O4" s="7" t="str">
        <x:f>'Evaluation Plan'!O4</x:f>
        <x:v>Exact-scene language comparison for the held-out pair composition.</x:v>
      </x:c>
      <x:c r="P4" s="7" t="str">
        <x:f>IF(ISBLANK('Evaluation Plan'!P4),"",'Evaluation Plan'!P4)</x:f>
      </x:c>
    </x:row>
    <x:row r="5" ht="64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Move the green pen near the red block.</x:v>
      </x:c>
      <x:c r="D5" s="7" t="str">
        <x:f>'Evaluation Plan'!D5</x:f>
        <x:v>P1 red block at R1 (table center) [REFERENCE]; P2 green pen 18 cm behind P1 [TARGET START]; P3 pink marker 15 cm to the left of P1 [DISTRACTOR]</x:v>
      </x:c>
      <x:c r="E5" s="8" t="n">
        <x:f>IF(ISBLANK('Evaluation Plan'!E5),"",'Evaluation Plan'!E5)</x:f>
        <x:v>0</x:v>
      </x:c>
      <x:c r="F5" s="8" t="str">
        <x:f>'Evaluation Plan'!F5</x:f>
        <x:v>green pen → 2–8 cm edge gap from red block (any direction)</x:v>
      </x:c>
      <x:c r="G5" s="7"/>
      <x:c r="H5" s="8" t="str">
        <x:f>'Evaluation Plan'!H5</x:f>
        <x:v>Matched manipulation control</x:v>
      </x:c>
      <x:c r="I5" s="8" t="str">
        <x:f>'Evaluation Plan'!I5</x:f>
        <x:v>RP-F01</x:v>
      </x:c>
      <x:c r="J5" s="8" t="str">
        <x:f>'Evaluation Plan'!J5</x:f>
        <x:v>near</x:v>
      </x:c>
      <x:c r="K5" s="8" t="n">
        <x:f>'Evaluation Plan'!K5</x:f>
        <x:v>3</x:v>
      </x:c>
      <x:c r="L5" s="8" t="str">
        <x:f>'Evaluation Plan'!L5</x:f>
        <x:v>4 — Matched control — Seen near/next-to/beside relation on the same ordered pair (3 objects)</x:v>
      </x:c>
      <x:c r="M5" s="8" t="n">
        <x:f>'Evaluation Plan'!M5</x:f>
        <x:v>1</x:v>
      </x:c>
      <x:c r="N5" s="7" t="str">
        <x:f>'Evaluation Plan'!N5</x:f>
        <x:v>Reset only P2 to its marked start. Keep every object, camera setting, and pose fixed; change only the prompt.</x:v>
      </x:c>
      <x:c r="O5" s="7" t="str">
        <x:f>'Evaluation Plan'!O5</x:f>
        <x:v>Controls target/reference recognition and basic pick-place on the exact pair. It is skill-matched but not direction-endpoint-matched, so analyze the paired success delta separately.</x:v>
      </x:c>
      <x:c r="P5" s="7" t="str">
        <x:f>IF(ISBLANK('Evaluation Plan'!P5),"",'Evaluation Plan'!P5)</x:f>
      </x:c>
    </x:row>
    <x:row r="6" ht="64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Move the red block to the back of the green pen.</x:v>
      </x:c>
      <x:c r="D6" s="10" t="str">
        <x:f>'Evaluation Plan'!D6</x:f>
        <x:v>P1 green pen at R2 (5 cm left of center) [REFERENCE]; P2 red block 21 cm in front of P1 [TARGET START]; P3 pink marker 15 cm to the left of P1 [DISTRACTOR]</x:v>
      </x:c>
      <x:c r="E6" s="9" t="str">
        <x:f>IF(ISBLANK('Evaluation Plan'!E6),"",'Evaluation Plan'!E6)</x:f>
      </x:c>
      <x:c r="F6" s="9" t="str">
        <x:f>'Evaluation Plan'!F6</x:f>
        <x:v>red block → 2–8 cm edge gap behind green pen; centroid direction within ±45°</x:v>
      </x:c>
      <x:c r="G6" s="10"/>
      <x:c r="H6" s="9" t="str">
        <x:f>'Evaluation Plan'!H6</x:f>
        <x:v>Concept/compositional transfer</x:v>
      </x:c>
      <x:c r="I6" s="9" t="str">
        <x:f>'Evaluation Plan'!I6</x:f>
        <x:v>RP-F02</x:v>
      </x:c>
      <x:c r="J6" s="9" t="str">
        <x:f>'Evaluation Plan'!J6</x:f>
        <x:v>behind</x:v>
      </x:c>
      <x:c r="K6" s="9" t="n">
        <x:f>'Evaluation Plan'!K6</x:f>
        <x:v>3</x:v>
      </x:c>
      <x:c r="L6" s="9" t="str">
        <x:f>'Evaluation Plan'!L6</x:f>
        <x:v>1 — Canonical transfer — Held-out direction × green-pen/red-block pair (behind)</x:v>
      </x:c>
      <x:c r="M6" s="9" t="n">
        <x:f>'Evaluation Plan'!M6</x:f>
        <x:v>2</x:v>
      </x:c>
      <x:c r="N6" s="10" t="str">
        <x:f>'Evaluation Plan'!N6</x:f>
        <x:v>Build the marked scene. Target starts in the opposite sector and outside the success gap; save a first-frame filename.</x:v>
      </x:c>
      <x:c r="O6" s="10" t="str">
        <x:f>'Evaluation Plan'!O6</x:f>
        <x:v>Directional language is trained on other object pairs, but all directional green-pen/red-block demonstrations are withheld in both target/reference directions.</x:v>
      </x:c>
      <x:c r="P6" s="10" t="str">
        <x:f>IF(ISBLANK('Evaluation Plan'!P6),"",'Evaluation Plan'!P6)</x:f>
      </x:c>
    </x:row>
    <x:row r="7" ht="64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red block on the table in front of the green pen.</x:v>
      </x:c>
      <x:c r="D7" s="7" t="str">
        <x:f>'Evaluation Plan'!D7</x:f>
        <x:v>P1 green pen at R2 (5 cm left of center) [REFERENCE]; P2 red block 21 cm in front of P1 [TARGET START]; P3 pink marker 15 cm to the left of P1 [DISTRACTOR]</x:v>
      </x:c>
      <x:c r="E7" s="8" t="n">
        <x:f>IF(ISBLANK('Evaluation Plan'!E7),"",'Evaluation Plan'!E7)</x:f>
        <x:v>4</x:v>
      </x:c>
      <x:c r="F7" s="8" t="str">
        <x:f>'Evaluation Plan'!F7</x:f>
        <x:v>red block → 2–8 cm edge gap in front of green pen; centroid direction within ±45°</x:v>
      </x:c>
      <x:c r="G7" s="7"/>
      <x:c r="H7" s="8" t="str">
        <x:f>'Evaluation Plan'!H7</x:f>
        <x:v>Exact-scene opposite-direction contrast</x:v>
      </x:c>
      <x:c r="I7" s="8" t="str">
        <x:f>'Evaluation Plan'!I7</x:f>
        <x:v>RP-F02</x:v>
      </x:c>
      <x:c r="J7" s="8" t="str">
        <x:f>'Evaluation Plan'!J7</x:f>
        <x:v>front</x:v>
      </x:c>
      <x:c r="K7" s="8" t="n">
        <x:f>'Evaluation Plan'!K7</x:f>
        <x:v>3</x:v>
      </x:c>
      <x:c r="L7" s="8" t="str">
        <x:f>'Evaluation Plan'!L7</x:f>
        <x:v>2 — Exact-scene opposite-direction contrast — Direction-word counterfactual (behind→front)</x:v>
      </x:c>
      <x:c r="M7" s="8" t="n">
        <x:f>'Evaluation Plan'!M7</x:f>
        <x:v>2</x:v>
      </x:c>
      <x:c r="N7" s="7" t="str">
        <x:f>'Evaluation Plan'!N7</x:f>
        <x:v>Reset only P2 to its marked start. Preserve the exact scene; change only the directional word and expected goal sector.</x:v>
      </x:c>
      <x:c r="O7" s="7" t="str">
        <x:f>'Evaluation Plan'!O7</x:f>
        <x:v>Exact-scene semantic counterfactual. Target and reference identities stay fixed while the requested endpoint reverses front↔behind or left↔right.</x:v>
      </x:c>
      <x:c r="P7" s="7" t="str">
        <x:f>IF(ISBLANK('Evaluation Plan'!P7),"",'Evaluation Plan'!P7)</x:f>
      </x:c>
    </x:row>
    <x:row r="8" ht="64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Move the red block to the rear side of the green pen.</x:v>
      </x:c>
      <x:c r="D8" s="7" t="str">
        <x:f>'Evaluation Plan'!D8</x:f>
        <x:v>P1 green pen at R2 (5 cm left of center) [REFERENCE]; P2 red block 21 cm in front of P1 [TARGET START]; P3 pink marker 15 cm to the left of P1 [DISTRACTOR]</x:v>
      </x:c>
      <x:c r="E8" s="8" t="n">
        <x:f>IF(ISBLANK('Evaluation Plan'!E8),"",'Evaluation Plan'!E8)</x:f>
        <x:v>4</x:v>
      </x:c>
      <x:c r="F8" s="8" t="str">
        <x:f>'Evaluation Plan'!F8</x:f>
        <x:v>red block → 2–8 cm edge gap behind green pen; centroid direction within ±45°</x:v>
      </x:c>
      <x:c r="G8" s="7"/>
      <x:c r="H8" s="8" t="str">
        <x:f>'Evaluation Plan'!H8</x:f>
        <x:v>Language robustness</x:v>
      </x:c>
      <x:c r="I8" s="8" t="str">
        <x:f>'Evaluation Plan'!I8</x:f>
        <x:v>RP-F02</x:v>
      </x:c>
      <x:c r="J8" s="8" t="str">
        <x:f>'Evaluation Plan'!J8</x:f>
        <x:v>behind</x:v>
      </x:c>
      <x:c r="K8" s="8" t="n">
        <x:f>'Evaluation Plan'!K8</x:f>
        <x:v>3</x:v>
      </x:c>
      <x:c r="L8" s="8" t="str">
        <x:f>'Evaluation Plan'!L8</x:f>
        <x:v>3 — Exact-scene transfer paraphrase — Paraphrase of concept/compositional-transfer prompt</x:v>
      </x:c>
      <x:c r="M8" s="8" t="n">
        <x:f>'Evaluation Plan'!M8</x:f>
        <x:v>2</x:v>
      </x:c>
      <x:c r="N8" s="7" t="str">
        <x:f>'Evaluation Plan'!N8</x:f>
        <x:v>Reset only P2 to its marked start; change only the prompt wording.</x:v>
      </x:c>
      <x:c r="O8" s="7" t="str">
        <x:f>'Evaluation Plan'!O8</x:f>
        <x:v>Exact-scene language comparison for the held-out pair composition.</x:v>
      </x:c>
      <x:c r="P8" s="7" t="str">
        <x:f>IF(ISBLANK('Evaluation Plan'!P8),"",'Evaluation Plan'!P8)</x:f>
      </x:c>
    </x:row>
    <x:row r="9" ht="64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Place the red block next to the green pen.</x:v>
      </x:c>
      <x:c r="D9" s="7" t="str">
        <x:f>'Evaluation Plan'!D9</x:f>
        <x:v>P1 green pen at R2 (5 cm left of center) [REFERENCE]; P2 red block 21 cm in front of P1 [TARGET START]; P3 pink marker 15 cm to the left of P1 [DISTRACTOR]</x:v>
      </x:c>
      <x:c r="E9" s="8" t="n">
        <x:f>IF(ISBLANK('Evaluation Plan'!E9),"",'Evaluation Plan'!E9)</x:f>
        <x:v>4</x:v>
      </x:c>
      <x:c r="F9" s="8" t="str">
        <x:f>'Evaluation Plan'!F9</x:f>
        <x:v>red block → 2–8 cm edge gap from green pen (any direction)</x:v>
      </x:c>
      <x:c r="G9" s="7"/>
      <x:c r="H9" s="8" t="str">
        <x:f>'Evaluation Plan'!H9</x:f>
        <x:v>Matched manipulation control</x:v>
      </x:c>
      <x:c r="I9" s="8" t="str">
        <x:f>'Evaluation Plan'!I9</x:f>
        <x:v>RP-F02</x:v>
      </x:c>
      <x:c r="J9" s="8" t="str">
        <x:f>'Evaluation Plan'!J9</x:f>
        <x:v>near</x:v>
      </x:c>
      <x:c r="K9" s="8" t="n">
        <x:f>'Evaluation Plan'!K9</x:f>
        <x:v>3</x:v>
      </x:c>
      <x:c r="L9" s="8" t="str">
        <x:f>'Evaluation Plan'!L9</x:f>
        <x:v>4 — Matched control — Seen near/next-to/beside relation on the same ordered pair (3 objects)</x:v>
      </x:c>
      <x:c r="M9" s="8" t="n">
        <x:f>'Evaluation Plan'!M9</x:f>
        <x:v>2</x:v>
      </x:c>
      <x:c r="N9" s="7" t="str">
        <x:f>'Evaluation Plan'!N9</x:f>
        <x:v>Reset only P2 to its marked start. Keep every object, camera setting, and pose fixed; change only the prompt.</x:v>
      </x:c>
      <x:c r="O9" s="7" t="str">
        <x:f>'Evaluation Plan'!O9</x:f>
        <x:v>Controls target/reference recognition and basic pick-place on the exact pair. It is skill-matched but not direction-endpoint-matched, so analyze the paired success delta separately.</x:v>
      </x:c>
      <x:c r="P9" s="7" t="str">
        <x:f>IF(ISBLANK('Evaluation Plan'!P9),"",'Evaluation Plan'!P9)</x:f>
      </x:c>
    </x:row>
    <x:row r="10" ht="64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Place the green pen to the left of the red block.</x:v>
      </x:c>
      <x:c r="D10" s="10" t="str">
        <x:f>'Evaluation Plan'!D10</x:f>
        <x:v>P1 red block at R3 (5 cm right of center) [REFERENCE]; P2 green pen 24 cm to the right of P1 [TARGET START]; P3 pink marker 15 cm in front of P1 [DISTRACTOR]</x:v>
      </x:c>
      <x:c r="E10" s="9" t="str">
        <x:f>IF(ISBLANK('Evaluation Plan'!E10),"",'Evaluation Plan'!E10)</x:f>
      </x:c>
      <x:c r="F10" s="9" t="str">
        <x:f>'Evaluation Plan'!F10</x:f>
        <x:v>green pen → 2–8 cm edge gap to the left of red block; centroid direction within ±45°</x:v>
      </x:c>
      <x:c r="G10" s="10"/>
      <x:c r="H10" s="9" t="str">
        <x:f>'Evaluation Plan'!H10</x:f>
        <x:v>Concept/compositional transfer</x:v>
      </x:c>
      <x:c r="I10" s="9" t="str">
        <x:f>'Evaluation Plan'!I10</x:f>
        <x:v>RP-F03</x:v>
      </x:c>
      <x:c r="J10" s="9" t="str">
        <x:f>'Evaluation Plan'!J10</x:f>
        <x:v>left</x:v>
      </x:c>
      <x:c r="K10" s="9" t="n">
        <x:f>'Evaluation Plan'!K10</x:f>
        <x:v>3</x:v>
      </x:c>
      <x:c r="L10" s="9" t="str">
        <x:f>'Evaluation Plan'!L10</x:f>
        <x:v>1 — Canonical transfer — Held-out direction × green-pen/red-block pair (left)</x:v>
      </x:c>
      <x:c r="M10" s="9" t="n">
        <x:f>'Evaluation Plan'!M10</x:f>
        <x:v>3</x:v>
      </x:c>
      <x:c r="N10" s="10" t="str">
        <x:f>'Evaluation Plan'!N10</x:f>
        <x:v>Build the marked scene. Target starts in the opposite sector and outside the success gap; save a first-frame filename.</x:v>
      </x:c>
      <x:c r="O10" s="10" t="str">
        <x:f>'Evaluation Plan'!O10</x:f>
        <x:v>Directional language is trained on other object pairs, but all directional green-pen/red-block demonstrations are withheld in both target/reference directions.</x:v>
      </x:c>
      <x:c r="P10" s="10" t="str">
        <x:f>IF(ISBLANK('Evaluation Plan'!P10),"",'Evaluation Plan'!P10)</x:f>
      </x:c>
    </x:row>
    <x:row r="11" ht="64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green pen to the right of the red block.</x:v>
      </x:c>
      <x:c r="D11" s="7" t="str">
        <x:f>'Evaluation Plan'!D11</x:f>
        <x:v>P1 red block at R3 (5 cm right of center) [REFERENCE]; P2 green pen 24 cm to the right of P1 [TARGET START]; P3 pink marker 15 cm in front of P1 [DISTRACTOR]</x:v>
      </x:c>
      <x:c r="E11" s="8" t="n">
        <x:f>IF(ISBLANK('Evaluation Plan'!E11),"",'Evaluation Plan'!E11)</x:f>
        <x:v>8</x:v>
      </x:c>
      <x:c r="F11" s="8" t="str">
        <x:f>'Evaluation Plan'!F11</x:f>
        <x:v>green pen → 2–8 cm edge gap to the right of red block; centroid direction within ±45°</x:v>
      </x:c>
      <x:c r="G11" s="7"/>
      <x:c r="H11" s="8" t="str">
        <x:f>'Evaluation Plan'!H11</x:f>
        <x:v>Exact-scene opposite-direction contrast</x:v>
      </x:c>
      <x:c r="I11" s="8" t="str">
        <x:f>'Evaluation Plan'!I11</x:f>
        <x:v>RP-F03</x:v>
      </x:c>
      <x:c r="J11" s="8" t="str">
        <x:f>'Evaluation Plan'!J11</x:f>
        <x:v>right</x:v>
      </x:c>
      <x:c r="K11" s="8" t="n">
        <x:f>'Evaluation Plan'!K11</x:f>
        <x:v>3</x:v>
      </x:c>
      <x:c r="L11" s="8" t="str">
        <x:f>'Evaluation Plan'!L11</x:f>
        <x:v>2 — Exact-scene opposite-direction contrast — Direction-word counterfactual (left→right)</x:v>
      </x:c>
      <x:c r="M11" s="8" t="n">
        <x:f>'Evaluation Plan'!M11</x:f>
        <x:v>3</x:v>
      </x:c>
      <x:c r="N11" s="7" t="str">
        <x:f>'Evaluation Plan'!N11</x:f>
        <x:v>Reset only P2 to its marked start. Preserve the exact scene; change only the directional word and expected goal sector.</x:v>
      </x:c>
      <x:c r="O11" s="7" t="str">
        <x:f>'Evaluation Plan'!O11</x:f>
        <x:v>Exact-scene semantic counterfactual. Target and reference identities stay fixed while the requested endpoint reverses front↔behind or left↔right.</x:v>
      </x:c>
      <x:c r="P11" s="7" t="str">
        <x:f>IF(ISBLANK('Evaluation Plan'!P11),"",'Evaluation Plan'!P11)</x:f>
      </x:c>
    </x:row>
    <x:row r="12" ht="64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Set the green pen on the left-hand side of the red block.</x:v>
      </x:c>
      <x:c r="D12" s="7" t="str">
        <x:f>'Evaluation Plan'!D12</x:f>
        <x:v>P1 red block at R3 (5 cm right of center) [REFERENCE]; P2 green pen 24 cm to the right of P1 [TARGET START]; P3 pink marker 15 cm in front of P1 [DISTRACTOR]</x:v>
      </x:c>
      <x:c r="E12" s="8" t="n">
        <x:f>IF(ISBLANK('Evaluation Plan'!E12),"",'Evaluation Plan'!E12)</x:f>
        <x:v>8</x:v>
      </x:c>
      <x:c r="F12" s="8" t="str">
        <x:f>'Evaluation Plan'!F12</x:f>
        <x:v>green pen → 2–8 cm edge gap to the left of red block; centroid direction within ±45°</x:v>
      </x:c>
      <x:c r="G12" s="7"/>
      <x:c r="H12" s="8" t="str">
        <x:f>'Evaluation Plan'!H12</x:f>
        <x:v>Language robustness</x:v>
      </x:c>
      <x:c r="I12" s="8" t="str">
        <x:f>'Evaluation Plan'!I12</x:f>
        <x:v>RP-F03</x:v>
      </x:c>
      <x:c r="J12" s="8" t="str">
        <x:f>'Evaluation Plan'!J12</x:f>
        <x:v>left</x:v>
      </x:c>
      <x:c r="K12" s="8" t="n">
        <x:f>'Evaluation Plan'!K12</x:f>
        <x:v>3</x:v>
      </x:c>
      <x:c r="L12" s="8" t="str">
        <x:f>'Evaluation Plan'!L12</x:f>
        <x:v>3 — Exact-scene transfer paraphrase — Paraphrase of concept/compositional-transfer prompt</x:v>
      </x:c>
      <x:c r="M12" s="8" t="n">
        <x:f>'Evaluation Plan'!M12</x:f>
        <x:v>3</x:v>
      </x:c>
      <x:c r="N12" s="7" t="str">
        <x:f>'Evaluation Plan'!N12</x:f>
        <x:v>Reset only P2 to its marked start; change only the prompt wording.</x:v>
      </x:c>
      <x:c r="O12" s="7" t="str">
        <x:f>'Evaluation Plan'!O12</x:f>
        <x:v>Exact-scene language comparison for the held-out pair composition.</x:v>
      </x:c>
      <x:c r="P12" s="7" t="str">
        <x:f>IF(ISBLANK('Evaluation Plan'!P12),"",'Evaluation Plan'!P12)</x:f>
      </x:c>
    </x:row>
    <x:row r="13" ht="64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Put the green pen beside the red block.</x:v>
      </x:c>
      <x:c r="D13" s="7" t="str">
        <x:f>'Evaluation Plan'!D13</x:f>
        <x:v>P1 red block at R3 (5 cm right of center) [REFERENCE]; P2 green pen 24 cm to the right of P1 [TARGET START]; P3 pink marker 15 cm in front of P1 [DISTRACTOR]</x:v>
      </x:c>
      <x:c r="E13" s="8" t="n">
        <x:f>IF(ISBLANK('Evaluation Plan'!E13),"",'Evaluation Plan'!E13)</x:f>
        <x:v>8</x:v>
      </x:c>
      <x:c r="F13" s="8" t="str">
        <x:f>'Evaluation Plan'!F13</x:f>
        <x:v>green pen → 2–8 cm edge gap from red block (any direction)</x:v>
      </x:c>
      <x:c r="G13" s="7"/>
      <x:c r="H13" s="8" t="str">
        <x:f>'Evaluation Plan'!H13</x:f>
        <x:v>Matched manipulation control</x:v>
      </x:c>
      <x:c r="I13" s="8" t="str">
        <x:f>'Evaluation Plan'!I13</x:f>
        <x:v>RP-F03</x:v>
      </x:c>
      <x:c r="J13" s="8" t="str">
        <x:f>'Evaluation Plan'!J13</x:f>
        <x:v>near</x:v>
      </x:c>
      <x:c r="K13" s="8" t="n">
        <x:f>'Evaluation Plan'!K13</x:f>
        <x:v>3</x:v>
      </x:c>
      <x:c r="L13" s="8" t="str">
        <x:f>'Evaluation Plan'!L13</x:f>
        <x:v>4 — Matched control — Seen near/next-to/beside relation on the same ordered pair (3 objects)</x:v>
      </x:c>
      <x:c r="M13" s="8" t="n">
        <x:f>'Evaluation Plan'!M13</x:f>
        <x:v>3</x:v>
      </x:c>
      <x:c r="N13" s="7" t="str">
        <x:f>'Evaluation Plan'!N13</x:f>
        <x:v>Reset only P2 to its marked start. Keep every object, camera setting, and pose fixed; change only the prompt.</x:v>
      </x:c>
      <x:c r="O13" s="7" t="str">
        <x:f>'Evaluation Plan'!O13</x:f>
        <x:v>Controls target/reference recognition and basic pick-place on the exact pair. It is skill-matched but not direction-endpoint-matched, so analyze the paired success delta separately.</x:v>
      </x:c>
      <x:c r="P13" s="7" t="str">
        <x:f>IF(ISBLANK('Evaluation Plan'!P13),"",'Evaluation Plan'!P13)</x:f>
      </x:c>
    </x:row>
    <x:row r="14" ht="64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Place the red block to the right of the green pen.</x:v>
      </x:c>
      <x:c r="D14" s="10" t="str">
        <x:f>'Evaluation Plan'!D14</x:f>
        <x:v>P1 green pen at R4 (5 cm toward the robot from center) [REFERENCE]; P2 red block 18 cm to the left of P1 [TARGET START]; P3 pink marker 15 cm in front of P1 [DISTRACTOR]</x:v>
      </x:c>
      <x:c r="E14" s="9" t="str">
        <x:f>IF(ISBLANK('Evaluation Plan'!E14),"",'Evaluation Plan'!E14)</x:f>
      </x:c>
      <x:c r="F14" s="9" t="str">
        <x:f>'Evaluation Plan'!F14</x:f>
        <x:v>red block → 2–8 cm edge gap to the right of green pen; centroid direction within ±45°</x:v>
      </x:c>
      <x:c r="G14" s="10"/>
      <x:c r="H14" s="9" t="str">
        <x:f>'Evaluation Plan'!H14</x:f>
        <x:v>Concept/compositional transfer</x:v>
      </x:c>
      <x:c r="I14" s="9" t="str">
        <x:f>'Evaluation Plan'!I14</x:f>
        <x:v>RP-F04</x:v>
      </x:c>
      <x:c r="J14" s="9" t="str">
        <x:f>'Evaluation Plan'!J14</x:f>
        <x:v>right</x:v>
      </x:c>
      <x:c r="K14" s="9" t="n">
        <x:f>'Evaluation Plan'!K14</x:f>
        <x:v>3</x:v>
      </x:c>
      <x:c r="L14" s="9" t="str">
        <x:f>'Evaluation Plan'!L14</x:f>
        <x:v>1 — Canonical transfer — Held-out direction × green-pen/red-block pair (right)</x:v>
      </x:c>
      <x:c r="M14" s="9" t="n">
        <x:f>'Evaluation Plan'!M14</x:f>
        <x:v>4</x:v>
      </x:c>
      <x:c r="N14" s="10" t="str">
        <x:f>'Evaluation Plan'!N14</x:f>
        <x:v>Build the marked scene. Target starts in the opposite sector and outside the success gap; save a first-frame filename.</x:v>
      </x:c>
      <x:c r="O14" s="10" t="str">
        <x:f>'Evaluation Plan'!O14</x:f>
        <x:v>Directional language is trained on other object pairs, but all directional green-pen/red-block demonstrations are withheld in both target/reference directions.</x:v>
      </x:c>
      <x:c r="P14" s="10" t="str">
        <x:f>IF(ISBLANK('Evaluation Plan'!P14),"",'Evaluation Plan'!P14)</x:f>
      </x:c>
    </x:row>
    <x:row r="15" ht="64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Place the red block to the left of the green pen.</x:v>
      </x:c>
      <x:c r="D15" s="7" t="str">
        <x:f>'Evaluation Plan'!D15</x:f>
        <x:v>P1 green pen at R4 (5 cm toward the robot from center) [REFERENCE]; P2 red block 18 cm to the left of P1 [TARGET START]; P3 pink marker 15 cm in front of P1 [DISTRACTOR]</x:v>
      </x:c>
      <x:c r="E15" s="8" t="n">
        <x:f>IF(ISBLANK('Evaluation Plan'!E15),"",'Evaluation Plan'!E15)</x:f>
        <x:v>12</x:v>
      </x:c>
      <x:c r="F15" s="8" t="str">
        <x:f>'Evaluation Plan'!F15</x:f>
        <x:v>red block → 2–8 cm edge gap to the left of green pen; centroid direction within ±45°</x:v>
      </x:c>
      <x:c r="G15" s="7"/>
      <x:c r="H15" s="8" t="str">
        <x:f>'Evaluation Plan'!H15</x:f>
        <x:v>Exact-scene opposite-direction contrast</x:v>
      </x:c>
      <x:c r="I15" s="8" t="str">
        <x:f>'Evaluation Plan'!I15</x:f>
        <x:v>RP-F04</x:v>
      </x:c>
      <x:c r="J15" s="8" t="str">
        <x:f>'Evaluation Plan'!J15</x:f>
        <x:v>left</x:v>
      </x:c>
      <x:c r="K15" s="8" t="n">
        <x:f>'Evaluation Plan'!K15</x:f>
        <x:v>3</x:v>
      </x:c>
      <x:c r="L15" s="8" t="str">
        <x:f>'Evaluation Plan'!L15</x:f>
        <x:v>2 — Exact-scene opposite-direction contrast — Direction-word counterfactual (right→left)</x:v>
      </x:c>
      <x:c r="M15" s="8" t="n">
        <x:f>'Evaluation Plan'!M15</x:f>
        <x:v>4</x:v>
      </x:c>
      <x:c r="N15" s="7" t="str">
        <x:f>'Evaluation Plan'!N15</x:f>
        <x:v>Reset only P2 to its marked start. Preserve the exact scene; change only the directional word and expected goal sector.</x:v>
      </x:c>
      <x:c r="O15" s="7" t="str">
        <x:f>'Evaluation Plan'!O15</x:f>
        <x:v>Exact-scene semantic counterfactual. Target and reference identities stay fixed while the requested endpoint reverses front↔behind or left↔right.</x:v>
      </x:c>
      <x:c r="P15" s="7" t="str">
        <x:f>IF(ISBLANK('Evaluation Plan'!P15),"",'Evaluation Plan'!P15)</x:f>
      </x:c>
    </x:row>
    <x:row r="16" ht="64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red block to the side immediately right of the green pen.</x:v>
      </x:c>
      <x:c r="D16" s="7" t="str">
        <x:f>'Evaluation Plan'!D16</x:f>
        <x:v>P1 green pen at R4 (5 cm toward the robot from center) [REFERENCE]; P2 red block 18 cm to the left of P1 [TARGET START]; P3 pink marker 15 cm in front of P1 [DISTRACTOR]</x:v>
      </x:c>
      <x:c r="E16" s="8" t="n">
        <x:f>IF(ISBLANK('Evaluation Plan'!E16),"",'Evaluation Plan'!E16)</x:f>
        <x:v>12</x:v>
      </x:c>
      <x:c r="F16" s="8" t="str">
        <x:f>'Evaluation Plan'!F16</x:f>
        <x:v>red block → 2–8 cm edge gap to the right of green pen; centroid direction within ±45°</x:v>
      </x:c>
      <x:c r="G16" s="7"/>
      <x:c r="H16" s="8" t="str">
        <x:f>'Evaluation Plan'!H16</x:f>
        <x:v>Language robustness</x:v>
      </x:c>
      <x:c r="I16" s="8" t="str">
        <x:f>'Evaluation Plan'!I16</x:f>
        <x:v>RP-F04</x:v>
      </x:c>
      <x:c r="J16" s="8" t="str">
        <x:f>'Evaluation Plan'!J16</x:f>
        <x:v>right</x:v>
      </x:c>
      <x:c r="K16" s="8" t="n">
        <x:f>'Evaluation Plan'!K16</x:f>
        <x:v>3</x:v>
      </x:c>
      <x:c r="L16" s="8" t="str">
        <x:f>'Evaluation Plan'!L16</x:f>
        <x:v>3 — Exact-scene transfer paraphrase — Paraphrase of concept/compositional-transfer prompt</x:v>
      </x:c>
      <x:c r="M16" s="8" t="n">
        <x:f>'Evaluation Plan'!M16</x:f>
        <x:v>4</x:v>
      </x:c>
      <x:c r="N16" s="7" t="str">
        <x:f>'Evaluation Plan'!N16</x:f>
        <x:v>Reset only P2 to its marked start; change only the prompt wording.</x:v>
      </x:c>
      <x:c r="O16" s="7" t="str">
        <x:f>'Evaluation Plan'!O16</x:f>
        <x:v>Exact-scene language comparison for the held-out pair composition.</x:v>
      </x:c>
      <x:c r="P16" s="7" t="str">
        <x:f>IF(ISBLANK('Evaluation Plan'!P16),"",'Evaluation Plan'!P16)</x:f>
      </x:c>
    </x:row>
    <x:row r="17" ht="64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Move the red block near the green pen.</x:v>
      </x:c>
      <x:c r="D17" s="7" t="str">
        <x:f>'Evaluation Plan'!D17</x:f>
        <x:v>P1 green pen at R4 (5 cm toward the robot from center) [REFERENCE]; P2 red block 18 cm to the left of P1 [TARGET START]; P3 pink marker 15 cm in front of P1 [DISTRACTOR]</x:v>
      </x:c>
      <x:c r="E17" s="8" t="n">
        <x:f>IF(ISBLANK('Evaluation Plan'!E17),"",'Evaluation Plan'!E17)</x:f>
        <x:v>12</x:v>
      </x:c>
      <x:c r="F17" s="8" t="str">
        <x:f>'Evaluation Plan'!F17</x:f>
        <x:v>red block → 2–8 cm edge gap from green pen (any direction)</x:v>
      </x:c>
      <x:c r="G17" s="7"/>
      <x:c r="H17" s="8" t="str">
        <x:f>'Evaluation Plan'!H17</x:f>
        <x:v>Matched manipulation control</x:v>
      </x:c>
      <x:c r="I17" s="8" t="str">
        <x:f>'Evaluation Plan'!I17</x:f>
        <x:v>RP-F04</x:v>
      </x:c>
      <x:c r="J17" s="8" t="str">
        <x:f>'Evaluation Plan'!J17</x:f>
        <x:v>near</x:v>
      </x:c>
      <x:c r="K17" s="8" t="n">
        <x:f>'Evaluation Plan'!K17</x:f>
        <x:v>3</x:v>
      </x:c>
      <x:c r="L17" s="8" t="str">
        <x:f>'Evaluation Plan'!L17</x:f>
        <x:v>4 — Matched control — Seen near/next-to/beside relation on the same ordered pair (3 objects)</x:v>
      </x:c>
      <x:c r="M17" s="8" t="n">
        <x:f>'Evaluation Plan'!M17</x:f>
        <x:v>4</x:v>
      </x:c>
      <x:c r="N17" s="7" t="str">
        <x:f>'Evaluation Plan'!N17</x:f>
        <x:v>Reset only P2 to its marked start. Keep every object, camera setting, and pose fixed; change only the prompt.</x:v>
      </x:c>
      <x:c r="O17" s="7" t="str">
        <x:f>'Evaluation Plan'!O17</x:f>
        <x:v>Controls target/reference recognition and basic pick-place on the exact pair. It is skill-matched but not direction-endpoint-matched, so analyze the paired success delta separately.</x:v>
      </x:c>
      <x:c r="P17" s="7" t="str">
        <x:f>IF(ISBLANK('Evaluation Plan'!P17),"",'Evaluation Plan'!P17)</x:f>
      </x:c>
    </x:row>
    <x:row r="18" ht="64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red block to the front of the green pen.</x:v>
      </x:c>
      <x:c r="D18" s="10" t="str">
        <x:f>'Evaluation Plan'!D18</x:f>
        <x:v>P1 green pen at R5 (5 cm away from the robot from center) [REFERENCE]; P2 red block 21 cm behind P1 [TARGET START]; P3 pink marker 15 cm to the left of P1 [DISTRACTOR]</x:v>
      </x:c>
      <x:c r="E18" s="9" t="str">
        <x:f>IF(ISBLANK('Evaluation Plan'!E18),"",'Evaluation Plan'!E18)</x:f>
      </x:c>
      <x:c r="F18" s="9" t="str">
        <x:f>'Evaluation Plan'!F18</x:f>
        <x:v>red block → 2–8 cm edge gap in front of green pen; centroid direction within ±45°</x:v>
      </x:c>
      <x:c r="G18" s="10"/>
      <x:c r="H18" s="9" t="str">
        <x:f>'Evaluation Plan'!H18</x:f>
        <x:v>Concept/compositional transfer</x:v>
      </x:c>
      <x:c r="I18" s="9" t="str">
        <x:f>'Evaluation Plan'!I18</x:f>
        <x:v>RP-F05</x:v>
      </x:c>
      <x:c r="J18" s="9" t="str">
        <x:f>'Evaluation Plan'!J18</x:f>
        <x:v>front</x:v>
      </x:c>
      <x:c r="K18" s="9" t="n">
        <x:f>'Evaluation Plan'!K18</x:f>
        <x:v>3</x:v>
      </x:c>
      <x:c r="L18" s="9" t="str">
        <x:f>'Evaluation Plan'!L18</x:f>
        <x:v>1 — Canonical transfer — Held-out direction × green-pen/red-block pair (front)</x:v>
      </x:c>
      <x:c r="M18" s="9" t="n">
        <x:f>'Evaluation Plan'!M18</x:f>
        <x:v>5</x:v>
      </x:c>
      <x:c r="N18" s="10" t="str">
        <x:f>'Evaluation Plan'!N18</x:f>
        <x:v>Build the marked scene. Target starts in the opposite sector and outside the success gap; save a first-frame filename.</x:v>
      </x:c>
      <x:c r="O18" s="10" t="str">
        <x:f>'Evaluation Plan'!O18</x:f>
        <x:v>Directional language is trained on other object pairs, but all directional green-pen/red-block demonstrations are withheld in both target/reference directions.</x:v>
      </x:c>
      <x:c r="P18" s="10" t="str">
        <x:f>IF(ISBLANK('Evaluation Plan'!P18),"",'Evaluation Plan'!P18)</x:f>
      </x:c>
    </x:row>
    <x:row r="19" ht="64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red block on the table behind the green pen.</x:v>
      </x:c>
      <x:c r="D19" s="7" t="str">
        <x:f>'Evaluation Plan'!D19</x:f>
        <x:v>P1 green pen at R5 (5 cm away from the robot from center) [REFERENCE]; P2 red block 21 cm behind P1 [TARGET START]; P3 pink marker 15 cm to the left of P1 [DISTRACTOR]</x:v>
      </x:c>
      <x:c r="E19" s="8" t="n">
        <x:f>IF(ISBLANK('Evaluation Plan'!E19),"",'Evaluation Plan'!E19)</x:f>
        <x:v>16</x:v>
      </x:c>
      <x:c r="F19" s="8" t="str">
        <x:f>'Evaluation Plan'!F19</x:f>
        <x:v>red block → 2–8 cm edge gap behind green pen; centroid direction within ±45°</x:v>
      </x:c>
      <x:c r="G19" s="7"/>
      <x:c r="H19" s="8" t="str">
        <x:f>'Evaluation Plan'!H19</x:f>
        <x:v>Exact-scene opposite-direction contrast</x:v>
      </x:c>
      <x:c r="I19" s="8" t="str">
        <x:f>'Evaluation Plan'!I19</x:f>
        <x:v>RP-F05</x:v>
      </x:c>
      <x:c r="J19" s="8" t="str">
        <x:f>'Evaluation Plan'!J19</x:f>
        <x:v>behind</x:v>
      </x:c>
      <x:c r="K19" s="8" t="n">
        <x:f>'Evaluation Plan'!K19</x:f>
        <x:v>3</x:v>
      </x:c>
      <x:c r="L19" s="8" t="str">
        <x:f>'Evaluation Plan'!L19</x:f>
        <x:v>2 — Exact-scene opposite-direction contrast — Direction-word counterfactual (front→behind)</x:v>
      </x:c>
      <x:c r="M19" s="8" t="n">
        <x:f>'Evaluation Plan'!M19</x:f>
        <x:v>5</x:v>
      </x:c>
      <x:c r="N19" s="7" t="str">
        <x:f>'Evaluation Plan'!N19</x:f>
        <x:v>Reset only P2 to its marked start. Preserve the exact scene; change only the directional word and expected goal sector.</x:v>
      </x:c>
      <x:c r="O19" s="7" t="str">
        <x:f>'Evaluation Plan'!O19</x:f>
        <x:v>Exact-scene semantic counterfactual. Target and reference identities stay fixed while the requested endpoint reverses front↔behind or left↔right.</x:v>
      </x:c>
      <x:c r="P19" s="7" t="str">
        <x:f>IF(ISBLANK('Evaluation Plan'!P19),"",'Evaluation Plan'!P19)</x:f>
      </x:c>
    </x:row>
    <x:row r="20" ht="64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red block to the robot-facing side of the green pen.</x:v>
      </x:c>
      <x:c r="D20" s="7" t="str">
        <x:f>'Evaluation Plan'!D20</x:f>
        <x:v>P1 green pen at R5 (5 cm away from the robot from center) [REFERENCE]; P2 red block 21 cm behind P1 [TARGET START]; P3 pink marker 15 cm to the left of P1 [DISTRACTOR]</x:v>
      </x:c>
      <x:c r="E20" s="8" t="n">
        <x:f>IF(ISBLANK('Evaluation Plan'!E20),"",'Evaluation Plan'!E20)</x:f>
        <x:v>16</x:v>
      </x:c>
      <x:c r="F20" s="8" t="str">
        <x:f>'Evaluation Plan'!F20</x:f>
        <x:v>red block → 2–8 cm edge gap in front of green pen; centroid direction within ±45°</x:v>
      </x:c>
      <x:c r="G20" s="7"/>
      <x:c r="H20" s="8" t="str">
        <x:f>'Evaluation Plan'!H20</x:f>
        <x:v>Language robustness</x:v>
      </x:c>
      <x:c r="I20" s="8" t="str">
        <x:f>'Evaluation Plan'!I20</x:f>
        <x:v>RP-F05</x:v>
      </x:c>
      <x:c r="J20" s="8" t="str">
        <x:f>'Evaluation Plan'!J20</x:f>
        <x:v>front</x:v>
      </x:c>
      <x:c r="K20" s="8" t="n">
        <x:f>'Evaluation Plan'!K20</x:f>
        <x:v>3</x:v>
      </x:c>
      <x:c r="L20" s="8" t="str">
        <x:f>'Evaluation Plan'!L20</x:f>
        <x:v>3 — Exact-scene transfer paraphrase — Paraphrase of concept/compositional-transfer prompt</x:v>
      </x:c>
      <x:c r="M20" s="8" t="n">
        <x:f>'Evaluation Plan'!M20</x:f>
        <x:v>5</x:v>
      </x:c>
      <x:c r="N20" s="7" t="str">
        <x:f>'Evaluation Plan'!N20</x:f>
        <x:v>Reset only P2 to its marked start; change only the prompt wording.</x:v>
      </x:c>
      <x:c r="O20" s="7" t="str">
        <x:f>'Evaluation Plan'!O20</x:f>
        <x:v>Exact-scene language comparison for the held-out pair composition.</x:v>
      </x:c>
      <x:c r="P20" s="7" t="str">
        <x:f>IF(ISBLANK('Evaluation Plan'!P20),"",'Evaluation Plan'!P20)</x:f>
      </x:c>
    </x:row>
    <x:row r="21" ht="64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Place the red block next to the green pen.</x:v>
      </x:c>
      <x:c r="D21" s="7" t="str">
        <x:f>'Evaluation Plan'!D21</x:f>
        <x:v>P1 green pen at R5 (5 cm away from the robot from center) [REFERENCE]; P2 red block 21 cm behind P1 [TARGET START]; P3 pink marker 15 cm to the left of P1 [DISTRACTOR]</x:v>
      </x:c>
      <x:c r="E21" s="8" t="n">
        <x:f>IF(ISBLANK('Evaluation Plan'!E21),"",'Evaluation Plan'!E21)</x:f>
        <x:v>16</x:v>
      </x:c>
      <x:c r="F21" s="8" t="str">
        <x:f>'Evaluation Plan'!F21</x:f>
        <x:v>red block → 2–8 cm edge gap from green pen (any direction)</x:v>
      </x:c>
      <x:c r="G21" s="7"/>
      <x:c r="H21" s="8" t="str">
        <x:f>'Evaluation Plan'!H21</x:f>
        <x:v>Matched manipulation control</x:v>
      </x:c>
      <x:c r="I21" s="8" t="str">
        <x:f>'Evaluation Plan'!I21</x:f>
        <x:v>RP-F05</x:v>
      </x:c>
      <x:c r="J21" s="8" t="str">
        <x:f>'Evaluation Plan'!J21</x:f>
        <x:v>near</x:v>
      </x:c>
      <x:c r="K21" s="8" t="n">
        <x:f>'Evaluation Plan'!K21</x:f>
        <x:v>3</x:v>
      </x:c>
      <x:c r="L21" s="8" t="str">
        <x:f>'Evaluation Plan'!L21</x:f>
        <x:v>4 — Matched control — Seen near/next-to/beside relation on the same ordered pair (3 objects)</x:v>
      </x:c>
      <x:c r="M21" s="8" t="n">
        <x:f>'Evaluation Plan'!M21</x:f>
        <x:v>5</x:v>
      </x:c>
      <x:c r="N21" s="7" t="str">
        <x:f>'Evaluation Plan'!N21</x:f>
        <x:v>Reset only P2 to its marked start. Keep every object, camera setting, and pose fixed; change only the prompt.</x:v>
      </x:c>
      <x:c r="O21" s="7" t="str">
        <x:f>'Evaluation Plan'!O21</x:f>
        <x:v>Controls target/reference recognition and basic pick-place on the exact pair. It is skill-matched but not direction-endpoint-matched, so analyze the paired success delta separately.</x:v>
      </x:c>
      <x:c r="P21" s="7" t="str">
        <x:f>IF(ISBLANK('Evaluation Plan'!P21),"",'Evaluation Plan'!P21)</x:f>
      </x:c>
    </x:row>
    <x:row r="22" ht="64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Put the green pen on the table behind the red block.</x:v>
      </x:c>
      <x:c r="D22" s="10" t="str">
        <x:f>'Evaluation Plan'!D22</x:f>
        <x:v>P1 red block at R1 (table center) [REFERENCE]; P2 green pen 24 cm in front of P1 [TARGET START]; P3 pink marker 15 cm to the left of P1 [DISTRACTOR]</x:v>
      </x:c>
      <x:c r="E22" s="9" t="str">
        <x:f>IF(ISBLANK('Evaluation Plan'!E22),"",'Evaluation Plan'!E22)</x:f>
      </x:c>
      <x:c r="F22" s="9" t="str">
        <x:f>'Evaluation Plan'!F22</x:f>
        <x:v>green pen → 2–8 cm edge gap behind red block; centroid direction within ±45°</x:v>
      </x:c>
      <x:c r="G22" s="10"/>
      <x:c r="H22" s="9" t="str">
        <x:f>'Evaluation Plan'!H22</x:f>
        <x:v>Concept/compositional transfer</x:v>
      </x:c>
      <x:c r="I22" s="9" t="str">
        <x:f>'Evaluation Plan'!I22</x:f>
        <x:v>RP-F06</x:v>
      </x:c>
      <x:c r="J22" s="9" t="str">
        <x:f>'Evaluation Plan'!J22</x:f>
        <x:v>behind</x:v>
      </x:c>
      <x:c r="K22" s="9" t="n">
        <x:f>'Evaluation Plan'!K22</x:f>
        <x:v>3</x:v>
      </x:c>
      <x:c r="L22" s="9" t="str">
        <x:f>'Evaluation Plan'!L22</x:f>
        <x:v>1 — Canonical transfer — Held-out direction × green-pen/red-block pair (behind)</x:v>
      </x:c>
      <x:c r="M22" s="9" t="n">
        <x:f>'Evaluation Plan'!M22</x:f>
        <x:v>6</x:v>
      </x:c>
      <x:c r="N22" s="10" t="str">
        <x:f>'Evaluation Plan'!N22</x:f>
        <x:v>Build the marked scene. Target starts in the opposite sector and outside the success gap; save a first-frame filename.</x:v>
      </x:c>
      <x:c r="O22" s="10" t="str">
        <x:f>'Evaluation Plan'!O22</x:f>
        <x:v>Directional language is trained on other object pairs, but all directional green-pen/red-block demonstrations are withheld in both target/reference directions.</x:v>
      </x:c>
      <x:c r="P22" s="10" t="str">
        <x:f>IF(ISBLANK('Evaluation Plan'!P22),"",'Evaluation Plan'!P22)</x:f>
      </x:c>
    </x:row>
    <x:row r="23" ht="64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green pen in front of the red block.</x:v>
      </x:c>
      <x:c r="D23" s="7" t="str">
        <x:f>'Evaluation Plan'!D23</x:f>
        <x:v>P1 red block at R1 (table center) [REFERENCE]; P2 green pen 24 cm in front of P1 [TARGET START]; P3 pink marker 15 cm to the left of P1 [DISTRACTOR]</x:v>
      </x:c>
      <x:c r="E23" s="8" t="n">
        <x:f>IF(ISBLANK('Evaluation Plan'!E23),"",'Evaluation Plan'!E23)</x:f>
        <x:v>20</x:v>
      </x:c>
      <x:c r="F23" s="8" t="str">
        <x:f>'Evaluation Plan'!F23</x:f>
        <x:v>green pen → 2–8 cm edge gap in front of red block; centroid direction within ±45°</x:v>
      </x:c>
      <x:c r="G23" s="7"/>
      <x:c r="H23" s="8" t="str">
        <x:f>'Evaluation Plan'!H23</x:f>
        <x:v>Exact-scene opposite-direction contrast</x:v>
      </x:c>
      <x:c r="I23" s="8" t="str">
        <x:f>'Evaluation Plan'!I23</x:f>
        <x:v>RP-F06</x:v>
      </x:c>
      <x:c r="J23" s="8" t="str">
        <x:f>'Evaluation Plan'!J23</x:f>
        <x:v>front</x:v>
      </x:c>
      <x:c r="K23" s="8" t="n">
        <x:f>'Evaluation Plan'!K23</x:f>
        <x:v>3</x:v>
      </x:c>
      <x:c r="L23" s="8" t="str">
        <x:f>'Evaluation Plan'!L23</x:f>
        <x:v>2 — Exact-scene opposite-direction contrast — Direction-word counterfactual (behind→front)</x:v>
      </x:c>
      <x:c r="M23" s="8" t="n">
        <x:f>'Evaluation Plan'!M23</x:f>
        <x:v>6</x:v>
      </x:c>
      <x:c r="N23" s="7" t="str">
        <x:f>'Evaluation Plan'!N23</x:f>
        <x:v>Reset only P2 to its marked start. Preserve the exact scene; change only the directional word and expected goal sector.</x:v>
      </x:c>
      <x:c r="O23" s="7" t="str">
        <x:f>'Evaluation Plan'!O23</x:f>
        <x:v>Exact-scene semantic counterfactual. Target and reference identities stay fixed while the requested endpoint reverses front↔behind or left↔right.</x:v>
      </x:c>
      <x:c r="P23" s="7" t="str">
        <x:f>IF(ISBLANK('Evaluation Plan'!P23),"",'Evaluation Plan'!P23)</x:f>
      </x:c>
    </x:row>
    <x:row r="24" ht="64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rear side of the red block.</x:v>
      </x:c>
      <x:c r="D24" s="7" t="str">
        <x:f>'Evaluation Plan'!D24</x:f>
        <x:v>P1 red block at R1 (table center) [REFERENCE]; P2 green pen 24 cm in front of P1 [TARGET START]; P3 pink marker 15 cm to the left of P1 [DISTRACTOR]</x:v>
      </x:c>
      <x:c r="E24" s="8" t="n">
        <x:f>IF(ISBLANK('Evaluation Plan'!E24),"",'Evaluation Plan'!E24)</x:f>
        <x:v>20</x:v>
      </x:c>
      <x:c r="F24" s="8" t="str">
        <x:f>'Evaluation Plan'!F24</x:f>
        <x:v>green pen → 2–8 cm edge gap behind red block; centroid direction within ±45°</x:v>
      </x:c>
      <x:c r="G24" s="7"/>
      <x:c r="H24" s="8" t="str">
        <x:f>'Evaluation Plan'!H24</x:f>
        <x:v>Language robustness</x:v>
      </x:c>
      <x:c r="I24" s="8" t="str">
        <x:f>'Evaluation Plan'!I24</x:f>
        <x:v>RP-F06</x:v>
      </x:c>
      <x:c r="J24" s="8" t="str">
        <x:f>'Evaluation Plan'!J24</x:f>
        <x:v>behind</x:v>
      </x:c>
      <x:c r="K24" s="8" t="n">
        <x:f>'Evaluation Plan'!K24</x:f>
        <x:v>3</x:v>
      </x:c>
      <x:c r="L24" s="8" t="str">
        <x:f>'Evaluation Plan'!L24</x:f>
        <x:v>3 — Exact-scene transfer paraphrase — Paraphrase of concept/compositional-transfer prompt</x:v>
      </x:c>
      <x:c r="M24" s="8" t="n">
        <x:f>'Evaluation Plan'!M24</x:f>
        <x:v>6</x:v>
      </x:c>
      <x:c r="N24" s="7" t="str">
        <x:f>'Evaluation Plan'!N24</x:f>
        <x:v>Reset only P2 to its marked start; change only the prompt wording.</x:v>
      </x:c>
      <x:c r="O24" s="7" t="str">
        <x:f>'Evaluation Plan'!O24</x:f>
        <x:v>Exact-scene language comparison for the held-out pair composition.</x:v>
      </x:c>
      <x:c r="P24" s="7" t="str">
        <x:f>IF(ISBLANK('Evaluation Plan'!P24),"",'Evaluation Plan'!P24)</x:f>
      </x:c>
    </x:row>
    <x:row r="25" ht="64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Put the green pen beside the red block.</x:v>
      </x:c>
      <x:c r="D25" s="7" t="str">
        <x:f>'Evaluation Plan'!D25</x:f>
        <x:v>P1 red block at R1 (table center) [REFERENCE]; P2 green pen 24 cm in front of P1 [TARGET START]; P3 pink marker 15 cm to the left of P1 [DISTRACTOR]</x:v>
      </x:c>
      <x:c r="E25" s="8" t="n">
        <x:f>IF(ISBLANK('Evaluation Plan'!E25),"",'Evaluation Plan'!E25)</x:f>
        <x:v>20</x:v>
      </x:c>
      <x:c r="F25" s="8" t="str">
        <x:f>'Evaluation Plan'!F25</x:f>
        <x:v>green pen → 2–8 cm edge gap from red block (any direction)</x:v>
      </x:c>
      <x:c r="G25" s="7"/>
      <x:c r="H25" s="8" t="str">
        <x:f>'Evaluation Plan'!H25</x:f>
        <x:v>Matched manipulation control</x:v>
      </x:c>
      <x:c r="I25" s="8" t="str">
        <x:f>'Evaluation Plan'!I25</x:f>
        <x:v>RP-F06</x:v>
      </x:c>
      <x:c r="J25" s="8" t="str">
        <x:f>'Evaluation Plan'!J25</x:f>
        <x:v>near</x:v>
      </x:c>
      <x:c r="K25" s="8" t="n">
        <x:f>'Evaluation Plan'!K25</x:f>
        <x:v>3</x:v>
      </x:c>
      <x:c r="L25" s="8" t="str">
        <x:f>'Evaluation Plan'!L25</x:f>
        <x:v>4 — Matched control — Seen near/next-to/beside relation on the same ordered pair (3 objects)</x:v>
      </x:c>
      <x:c r="M25" s="8" t="n">
        <x:f>'Evaluation Plan'!M25</x:f>
        <x:v>6</x:v>
      </x:c>
      <x:c r="N25" s="7" t="str">
        <x:f>'Evaluation Plan'!N25</x:f>
        <x:v>Reset only P2 to its marked start. Keep every object, camera setting, and pose fixed; change only the prompt.</x:v>
      </x:c>
      <x:c r="O25" s="7" t="str">
        <x:f>'Evaluation Plan'!O25</x:f>
        <x:v>Controls target/reference recognition and basic pick-place on the exact pair. It is skill-matched but not direction-endpoint-matched, so analyze the paired success delta separately.</x:v>
      </x:c>
      <x:c r="P25" s="7" t="str">
        <x:f>IF(ISBLANK('Evaluation Plan'!P25),"",'Evaluation Plan'!P25)</x:f>
      </x:c>
    </x:row>
    <x:row r="26" ht="64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red block to the left of the green pen.</x:v>
      </x:c>
      <x:c r="D26" s="10" t="str">
        <x:f>'Evaluation Plan'!D26</x:f>
        <x:v>P1 green pen at R2 (5 cm left of center) [REFERENCE]; P2 red block 18 cm to the right of P1 [TARGET START]; P3 pink marker 15 cm in front of P1 [DISTRACTOR]</x:v>
      </x:c>
      <x:c r="E26" s="9" t="str">
        <x:f>IF(ISBLANK('Evaluation Plan'!E26),"",'Evaluation Plan'!E26)</x:f>
      </x:c>
      <x:c r="F26" s="9" t="str">
        <x:f>'Evaluation Plan'!F26</x:f>
        <x:v>red block → 2–8 cm edge gap to the left of green pen; centroid direction within ±45°</x:v>
      </x:c>
      <x:c r="G26" s="10"/>
      <x:c r="H26" s="9" t="str">
        <x:f>'Evaluation Plan'!H26</x:f>
        <x:v>Concept/compositional transfer</x:v>
      </x:c>
      <x:c r="I26" s="9" t="str">
        <x:f>'Evaluation Plan'!I26</x:f>
        <x:v>RP-F07</x:v>
      </x:c>
      <x:c r="J26" s="9" t="str">
        <x:f>'Evaluation Plan'!J26</x:f>
        <x:v>left</x:v>
      </x:c>
      <x:c r="K26" s="9" t="n">
        <x:f>'Evaluation Plan'!K26</x:f>
        <x:v>3</x:v>
      </x:c>
      <x:c r="L26" s="9" t="str">
        <x:f>'Evaluation Plan'!L26</x:f>
        <x:v>1 — Canonical transfer — Held-out direction × green-pen/red-block pair (left)</x:v>
      </x:c>
      <x:c r="M26" s="9" t="n">
        <x:f>'Evaluation Plan'!M26</x:f>
        <x:v>7</x:v>
      </x:c>
      <x:c r="N26" s="10" t="str">
        <x:f>'Evaluation Plan'!N26</x:f>
        <x:v>Build the marked scene. Target starts in the opposite sector and outside the success gap; save a first-frame filename.</x:v>
      </x:c>
      <x:c r="O26" s="10" t="str">
        <x:f>'Evaluation Plan'!O26</x:f>
        <x:v>Directional language is trained on other object pairs, but all directional green-pen/red-block demonstrations are withheld in both target/reference directions.</x:v>
      </x:c>
      <x:c r="P26" s="10" t="str">
        <x:f>IF(ISBLANK('Evaluation Plan'!P26),"",'Evaluation Plan'!P26)</x:f>
      </x:c>
    </x:row>
    <x:row r="27" ht="64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red block to the right of the green pen.</x:v>
      </x:c>
      <x:c r="D27" s="7" t="str">
        <x:f>'Evaluation Plan'!D27</x:f>
        <x:v>P1 green pen at R2 (5 cm left of center) [REFERENCE]; P2 red block 18 cm to the right of P1 [TARGET START]; P3 pink marker 15 cm in front of P1 [DISTRACTOR]</x:v>
      </x:c>
      <x:c r="E27" s="8" t="n">
        <x:f>IF(ISBLANK('Evaluation Plan'!E27),"",'Evaluation Plan'!E27)</x:f>
        <x:v>24</x:v>
      </x:c>
      <x:c r="F27" s="8" t="str">
        <x:f>'Evaluation Plan'!F27</x:f>
        <x:v>red block → 2–8 cm edge gap to the right of green pen; centroid direction within ±45°</x:v>
      </x:c>
      <x:c r="G27" s="7"/>
      <x:c r="H27" s="8" t="str">
        <x:f>'Evaluation Plan'!H27</x:f>
        <x:v>Exact-scene opposite-direction contrast</x:v>
      </x:c>
      <x:c r="I27" s="8" t="str">
        <x:f>'Evaluation Plan'!I27</x:f>
        <x:v>RP-F07</x:v>
      </x:c>
      <x:c r="J27" s="8" t="str">
        <x:f>'Evaluation Plan'!J27</x:f>
        <x:v>right</x:v>
      </x:c>
      <x:c r="K27" s="8" t="n">
        <x:f>'Evaluation Plan'!K27</x:f>
        <x:v>3</x:v>
      </x:c>
      <x:c r="L27" s="8" t="str">
        <x:f>'Evaluation Plan'!L27</x:f>
        <x:v>2 — Exact-scene opposite-direction contrast — Direction-word counterfactual (left→right)</x:v>
      </x:c>
      <x:c r="M27" s="8" t="n">
        <x:f>'Evaluation Plan'!M27</x:f>
        <x:v>7</x:v>
      </x:c>
      <x:c r="N27" s="7" t="str">
        <x:f>'Evaluation Plan'!N27</x:f>
        <x:v>Reset only P2 to its marked start. Preserve the exact scene; change only the directional word and expected goal sector.</x:v>
      </x:c>
      <x:c r="O27" s="7" t="str">
        <x:f>'Evaluation Plan'!O27</x:f>
        <x:v>Exact-scene semantic counterfactual. Target and reference identities stay fixed while the requested endpoint reverses front↔behind or left↔right.</x:v>
      </x:c>
      <x:c r="P27" s="7" t="str">
        <x:f>IF(ISBLANK('Evaluation Plan'!P27),"",'Evaluation Plan'!P27)</x:f>
      </x:c>
    </x:row>
    <x:row r="28" ht="64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Set the red block on the left-hand side of the green pen.</x:v>
      </x:c>
      <x:c r="D28" s="7" t="str">
        <x:f>'Evaluation Plan'!D28</x:f>
        <x:v>P1 green pen at R2 (5 cm left of center) [REFERENCE]; P2 red block 18 cm to the right of P1 [TARGET START]; P3 pink marker 15 cm in front of P1 [DISTRACTOR]</x:v>
      </x:c>
      <x:c r="E28" s="8" t="n">
        <x:f>IF(ISBLANK('Evaluation Plan'!E28),"",'Evaluation Plan'!E28)</x:f>
        <x:v>24</x:v>
      </x:c>
      <x:c r="F28" s="8" t="str">
        <x:f>'Evaluation Plan'!F28</x:f>
        <x:v>red block → 2–8 cm edge gap to the left of green pen; centroid direction within ±45°</x:v>
      </x:c>
      <x:c r="G28" s="7"/>
      <x:c r="H28" s="8" t="str">
        <x:f>'Evaluation Plan'!H28</x:f>
        <x:v>Language robustness</x:v>
      </x:c>
      <x:c r="I28" s="8" t="str">
        <x:f>'Evaluation Plan'!I28</x:f>
        <x:v>RP-F07</x:v>
      </x:c>
      <x:c r="J28" s="8" t="str">
        <x:f>'Evaluation Plan'!J28</x:f>
        <x:v>left</x:v>
      </x:c>
      <x:c r="K28" s="8" t="n">
        <x:f>'Evaluation Plan'!K28</x:f>
        <x:v>3</x:v>
      </x:c>
      <x:c r="L28" s="8" t="str">
        <x:f>'Evaluation Plan'!L28</x:f>
        <x:v>3 — Exact-scene transfer paraphrase — Paraphrase of concept/compositional-transfer prompt</x:v>
      </x:c>
      <x:c r="M28" s="8" t="n">
        <x:f>'Evaluation Plan'!M28</x:f>
        <x:v>7</x:v>
      </x:c>
      <x:c r="N28" s="7" t="str">
        <x:f>'Evaluation Plan'!N28</x:f>
        <x:v>Reset only P2 to its marked start; change only the prompt wording.</x:v>
      </x:c>
      <x:c r="O28" s="7" t="str">
        <x:f>'Evaluation Plan'!O28</x:f>
        <x:v>Exact-scene language comparison for the held-out pair composition.</x:v>
      </x:c>
      <x:c r="P28" s="7" t="str">
        <x:f>IF(ISBLANK('Evaluation Plan'!P28),"",'Evaluation Plan'!P28)</x:f>
      </x:c>
    </x:row>
    <x:row r="29" ht="64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Move the red block near the green pen.</x:v>
      </x:c>
      <x:c r="D29" s="7" t="str">
        <x:f>'Evaluation Plan'!D29</x:f>
        <x:v>P1 green pen at R2 (5 cm left of center) [REFERENCE]; P2 red block 18 cm to the right of P1 [TARGET START]; P3 pink marker 15 cm in front of P1 [DISTRACTOR]</x:v>
      </x:c>
      <x:c r="E29" s="8" t="n">
        <x:f>IF(ISBLANK('Evaluation Plan'!E29),"",'Evaluation Plan'!E29)</x:f>
        <x:v>24</x:v>
      </x:c>
      <x:c r="F29" s="8" t="str">
        <x:f>'Evaluation Plan'!F29</x:f>
        <x:v>red block → 2–8 cm edge gap from green pen (any direction)</x:v>
      </x:c>
      <x:c r="G29" s="7"/>
      <x:c r="H29" s="8" t="str">
        <x:f>'Evaluation Plan'!H29</x:f>
        <x:v>Matched manipulation control</x:v>
      </x:c>
      <x:c r="I29" s="8" t="str">
        <x:f>'Evaluation Plan'!I29</x:f>
        <x:v>RP-F07</x:v>
      </x:c>
      <x:c r="J29" s="8" t="str">
        <x:f>'Evaluation Plan'!J29</x:f>
        <x:v>near</x:v>
      </x:c>
      <x:c r="K29" s="8" t="n">
        <x:f>'Evaluation Plan'!K29</x:f>
        <x:v>3</x:v>
      </x:c>
      <x:c r="L29" s="8" t="str">
        <x:f>'Evaluation Plan'!L29</x:f>
        <x:v>4 — Matched control — Seen near/next-to/beside relation on the same ordered pair (3 objects)</x:v>
      </x:c>
      <x:c r="M29" s="8" t="n">
        <x:f>'Evaluation Plan'!M29</x:f>
        <x:v>7</x:v>
      </x:c>
      <x:c r="N29" s="7" t="str">
        <x:f>'Evaluation Plan'!N29</x:f>
        <x:v>Reset only P2 to its marked start. Keep every object, camera setting, and pose fixed; change only the prompt.</x:v>
      </x:c>
      <x:c r="O29" s="7" t="str">
        <x:f>'Evaluation Plan'!O29</x:f>
        <x:v>Controls target/reference recognition and basic pick-place on the exact pair. It is skill-matched but not direction-endpoint-matched, so analyze the paired success delta separately.</x:v>
      </x:c>
      <x:c r="P29" s="7" t="str">
        <x:f>IF(ISBLANK('Evaluation Plan'!P29),"",'Evaluation Plan'!P29)</x:f>
      </x:c>
    </x:row>
    <x:row r="30" ht="64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Place the green pen to the right of the red block.</x:v>
      </x:c>
      <x:c r="D30" s="10" t="str">
        <x:f>'Evaluation Plan'!D30</x:f>
        <x:v>P1 red block at R3 (5 cm right of center) [REFERENCE]; P2 green pen 21 cm to the left of P1 [TARGET START]; P3 pink marker 15 cm in front of P1 [DISTRACTOR]</x:v>
      </x:c>
      <x:c r="E30" s="9" t="str">
        <x:f>IF(ISBLANK('Evaluation Plan'!E30),"",'Evaluation Plan'!E30)</x:f>
      </x:c>
      <x:c r="F30" s="9" t="str">
        <x:f>'Evaluation Plan'!F30</x:f>
        <x:v>green pen → 2–8 cm edge gap to the right of red block; centroid direction within ±45°</x:v>
      </x:c>
      <x:c r="G30" s="10"/>
      <x:c r="H30" s="9" t="str">
        <x:f>'Evaluation Plan'!H30</x:f>
        <x:v>Concept/compositional transfer</x:v>
      </x:c>
      <x:c r="I30" s="9" t="str">
        <x:f>'Evaluation Plan'!I30</x:f>
        <x:v>RP-F08</x:v>
      </x:c>
      <x:c r="J30" s="9" t="str">
        <x:f>'Evaluation Plan'!J30</x:f>
        <x:v>right</x:v>
      </x:c>
      <x:c r="K30" s="9" t="n">
        <x:f>'Evaluation Plan'!K30</x:f>
        <x:v>3</x:v>
      </x:c>
      <x:c r="L30" s="9" t="str">
        <x:f>'Evaluation Plan'!L30</x:f>
        <x:v>1 — Canonical transfer — Held-out direction × green-pen/red-block pair (right)</x:v>
      </x:c>
      <x:c r="M30" s="9" t="n">
        <x:f>'Evaluation Plan'!M30</x:f>
        <x:v>8</x:v>
      </x:c>
      <x:c r="N30" s="10" t="str">
        <x:f>'Evaluation Plan'!N30</x:f>
        <x:v>Build the marked scene. Target starts in the opposite sector and outside the success gap; save a first-frame filename.</x:v>
      </x:c>
      <x:c r="O30" s="10" t="str">
        <x:f>'Evaluation Plan'!O30</x:f>
        <x:v>Directional language is trained on other object pairs, but all directional green-pen/red-block demonstrations are withheld in both target/reference directions.</x:v>
      </x:c>
      <x:c r="P30" s="10" t="str">
        <x:f>IF(ISBLANK('Evaluation Plan'!P30),"",'Evaluation Plan'!P30)</x:f>
      </x:c>
    </x:row>
    <x:row r="31" ht="64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Place the green pen to the left of the red block.</x:v>
      </x:c>
      <x:c r="D31" s="7" t="str">
        <x:f>'Evaluation Plan'!D31</x:f>
        <x:v>P1 red block at R3 (5 cm right of center) [REFERENCE]; P2 green pen 21 cm to the left of P1 [TARGET START]; P3 pink marker 15 cm in front of P1 [DISTRACTOR]</x:v>
      </x:c>
      <x:c r="E31" s="8" t="n">
        <x:f>IF(ISBLANK('Evaluation Plan'!E31),"",'Evaluation Plan'!E31)</x:f>
        <x:v>28</x:v>
      </x:c>
      <x:c r="F31" s="8" t="str">
        <x:f>'Evaluation Plan'!F31</x:f>
        <x:v>green pen → 2–8 cm edge gap to the left of red block; centroid direction within ±45°</x:v>
      </x:c>
      <x:c r="G31" s="7"/>
      <x:c r="H31" s="8" t="str">
        <x:f>'Evaluation Plan'!H31</x:f>
        <x:v>Exact-scene opposite-direction contrast</x:v>
      </x:c>
      <x:c r="I31" s="8" t="str">
        <x:f>'Evaluation Plan'!I31</x:f>
        <x:v>RP-F08</x:v>
      </x:c>
      <x:c r="J31" s="8" t="str">
        <x:f>'Evaluation Plan'!J31</x:f>
        <x:v>left</x:v>
      </x:c>
      <x:c r="K31" s="8" t="n">
        <x:f>'Evaluation Plan'!K31</x:f>
        <x:v>3</x:v>
      </x:c>
      <x:c r="L31" s="8" t="str">
        <x:f>'Evaluation Plan'!L31</x:f>
        <x:v>2 — Exact-scene opposite-direction contrast — Direction-word counterfactual (right→left)</x:v>
      </x:c>
      <x:c r="M31" s="8" t="n">
        <x:f>'Evaluation Plan'!M31</x:f>
        <x:v>8</x:v>
      </x:c>
      <x:c r="N31" s="7" t="str">
        <x:f>'Evaluation Plan'!N31</x:f>
        <x:v>Reset only P2 to its marked start. Preserve the exact scene; change only the directional word and expected goal sector.</x:v>
      </x:c>
      <x:c r="O31" s="7" t="str">
        <x:f>'Evaluation Plan'!O31</x:f>
        <x:v>Exact-scene semantic counterfactual. Target and reference identities stay fixed while the requested endpoint reverses front↔behind or left↔right.</x:v>
      </x:c>
      <x:c r="P31" s="7" t="str">
        <x:f>IF(ISBLANK('Evaluation Plan'!P31),"",'Evaluation Plan'!P31)</x:f>
      </x:c>
    </x:row>
    <x:row r="32" ht="64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the green pen to the side immediately right of the red block.</x:v>
      </x:c>
      <x:c r="D32" s="7" t="str">
        <x:f>'Evaluation Plan'!D32</x:f>
        <x:v>P1 red block at R3 (5 cm right of center) [REFERENCE]; P2 green pen 21 cm to the left of P1 [TARGET START]; P3 pink marker 15 cm in front of P1 [DISTRACTOR]</x:v>
      </x:c>
      <x:c r="E32" s="8" t="n">
        <x:f>IF(ISBLANK('Evaluation Plan'!E32),"",'Evaluation Plan'!E32)</x:f>
        <x:v>28</x:v>
      </x:c>
      <x:c r="F32" s="8" t="str">
        <x:f>'Evaluation Plan'!F32</x:f>
        <x:v>green pen → 2–8 cm edge gap to the right of red block; centroid direction within ±45°</x:v>
      </x:c>
      <x:c r="G32" s="7"/>
      <x:c r="H32" s="8" t="str">
        <x:f>'Evaluation Plan'!H32</x:f>
        <x:v>Language robustness</x:v>
      </x:c>
      <x:c r="I32" s="8" t="str">
        <x:f>'Evaluation Plan'!I32</x:f>
        <x:v>RP-F08</x:v>
      </x:c>
      <x:c r="J32" s="8" t="str">
        <x:f>'Evaluation Plan'!J32</x:f>
        <x:v>right</x:v>
      </x:c>
      <x:c r="K32" s="8" t="n">
        <x:f>'Evaluation Plan'!K32</x:f>
        <x:v>3</x:v>
      </x:c>
      <x:c r="L32" s="8" t="str">
        <x:f>'Evaluation Plan'!L32</x:f>
        <x:v>3 — Exact-scene transfer paraphrase — Paraphrase of concept/compositional-transfer prompt</x:v>
      </x:c>
      <x:c r="M32" s="8" t="n">
        <x:f>'Evaluation Plan'!M32</x:f>
        <x:v>8</x:v>
      </x:c>
      <x:c r="N32" s="7" t="str">
        <x:f>'Evaluation Plan'!N32</x:f>
        <x:v>Reset only P2 to its marked start; change only the prompt wording.</x:v>
      </x:c>
      <x:c r="O32" s="7" t="str">
        <x:f>'Evaluation Plan'!O32</x:f>
        <x:v>Exact-scene language comparison for the held-out pair composition.</x:v>
      </x:c>
      <x:c r="P32" s="7" t="str">
        <x:f>IF(ISBLANK('Evaluation Plan'!P32),"",'Evaluation Plan'!P32)</x:f>
      </x:c>
    </x:row>
    <x:row r="33" ht="64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green pen next to the red block.</x:v>
      </x:c>
      <x:c r="D33" s="7" t="str">
        <x:f>'Evaluation Plan'!D33</x:f>
        <x:v>P1 red block at R3 (5 cm right of center) [REFERENCE]; P2 green pen 21 cm to the left of P1 [TARGET START]; P3 pink marker 15 cm in front of P1 [DISTRACTOR]</x:v>
      </x:c>
      <x:c r="E33" s="8" t="n">
        <x:f>IF(ISBLANK('Evaluation Plan'!E33),"",'Evaluation Plan'!E33)</x:f>
        <x:v>28</x:v>
      </x:c>
      <x:c r="F33" s="8" t="str">
        <x:f>'Evaluation Plan'!F33</x:f>
        <x:v>green pen → 2–8 cm edge gap from red block (any direction)</x:v>
      </x:c>
      <x:c r="G33" s="7"/>
      <x:c r="H33" s="8" t="str">
        <x:f>'Evaluation Plan'!H33</x:f>
        <x:v>Matched manipulation control</x:v>
      </x:c>
      <x:c r="I33" s="8" t="str">
        <x:f>'Evaluation Plan'!I33</x:f>
        <x:v>RP-F08</x:v>
      </x:c>
      <x:c r="J33" s="8" t="str">
        <x:f>'Evaluation Plan'!J33</x:f>
        <x:v>near</x:v>
      </x:c>
      <x:c r="K33" s="8" t="n">
        <x:f>'Evaluation Plan'!K33</x:f>
        <x:v>3</x:v>
      </x:c>
      <x:c r="L33" s="8" t="str">
        <x:f>'Evaluation Plan'!L33</x:f>
        <x:v>4 — Matched control — Seen near/next-to/beside relation on the same ordered pair (3 objects)</x:v>
      </x:c>
      <x:c r="M33" s="8" t="n">
        <x:f>'Evaluation Plan'!M33</x:f>
        <x:v>8</x:v>
      </x:c>
      <x:c r="N33" s="7" t="str">
        <x:f>'Evaluation Plan'!N33</x:f>
        <x:v>Reset only P2 to its marked start. Keep every object, camera setting, and pose fixed; change only the prompt.</x:v>
      </x:c>
      <x:c r="O33" s="7" t="str">
        <x:f>'Evaluation Plan'!O33</x:f>
        <x:v>Controls target/reference recognition and basic pick-place on the exact pair. It is skill-matched but not direction-endpoint-matched, so analyze the paired success delta separately.</x:v>
      </x:c>
      <x:c r="P33" s="7" t="str">
        <x:f>IF(ISBLANK('Evaluation Plan'!P33),"",'Evaluation Plan'!P33)</x:f>
      </x:c>
    </x:row>
    <x:row r="34" ht="64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green pen on the table in front of the red block.</x:v>
      </x:c>
      <x:c r="D34" s="10" t="str">
        <x:f>'Evaluation Plan'!D34</x:f>
        <x:v>P1 red block at R4 (5 cm toward the robot from center) [REFERENCE]; P2 green pen 24 cm behind P1 [TARGET START]; P3 pink marker 15 cm to the left of P1 [DISTRACTOR]</x:v>
      </x:c>
      <x:c r="E34" s="9" t="str">
        <x:f>IF(ISBLANK('Evaluation Plan'!E34),"",'Evaluation Plan'!E34)</x:f>
      </x:c>
      <x:c r="F34" s="9" t="str">
        <x:f>'Evaluation Plan'!F34</x:f>
        <x:v>green pen → 2–8 cm edge gap in front of red block; centroid direction within ±45°</x:v>
      </x:c>
      <x:c r="G34" s="10"/>
      <x:c r="H34" s="9" t="str">
        <x:f>'Evaluation Plan'!H34</x:f>
        <x:v>Concept/compositional transfer</x:v>
      </x:c>
      <x:c r="I34" s="9" t="str">
        <x:f>'Evaluation Plan'!I34</x:f>
        <x:v>RP-F09</x:v>
      </x:c>
      <x:c r="J34" s="9" t="str">
        <x:f>'Evaluation Plan'!J34</x:f>
        <x:v>front</x:v>
      </x:c>
      <x:c r="K34" s="9" t="n">
        <x:f>'Evaluation Plan'!K34</x:f>
        <x:v>3</x:v>
      </x:c>
      <x:c r="L34" s="9" t="str">
        <x:f>'Evaluation Plan'!L34</x:f>
        <x:v>1 — Canonical transfer — Held-out direction × green-pen/red-block pair (front)</x:v>
      </x:c>
      <x:c r="M34" s="9" t="n">
        <x:f>'Evaluation Plan'!M34</x:f>
        <x:v>9</x:v>
      </x:c>
      <x:c r="N34" s="10" t="str">
        <x:f>'Evaluation Plan'!N34</x:f>
        <x:v>Build the marked scene. Target starts in the opposite sector and outside the success gap; save a first-frame filename.</x:v>
      </x:c>
      <x:c r="O34" s="10" t="str">
        <x:f>'Evaluation Plan'!O34</x:f>
        <x:v>Directional language is trained on other object pairs, but all directional green-pen/red-block demonstrations are withheld in both target/reference directions.</x:v>
      </x:c>
      <x:c r="P34" s="10" t="str">
        <x:f>IF(ISBLANK('Evaluation Plan'!P34),"",'Evaluation Plan'!P34)</x:f>
      </x:c>
    </x:row>
    <x:row r="35" ht="64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Place the green pen behind the red block.</x:v>
      </x:c>
      <x:c r="D35" s="7" t="str">
        <x:f>'Evaluation Plan'!D35</x:f>
        <x:v>P1 red block at R4 (5 cm toward the robot from center) [REFERENCE]; P2 green pen 24 cm behind P1 [TARGET START]; P3 pink marker 15 cm to the left of P1 [DISTRACTOR]</x:v>
      </x:c>
      <x:c r="E35" s="8" t="n">
        <x:f>IF(ISBLANK('Evaluation Plan'!E35),"",'Evaluation Plan'!E35)</x:f>
        <x:v>32</x:v>
      </x:c>
      <x:c r="F35" s="8" t="str">
        <x:f>'Evaluation Plan'!F35</x:f>
        <x:v>green pen → 2–8 cm edge gap behind red block; centroid direction within ±45°</x:v>
      </x:c>
      <x:c r="G35" s="7"/>
      <x:c r="H35" s="8" t="str">
        <x:f>'Evaluation Plan'!H35</x:f>
        <x:v>Exact-scene opposite-direction contrast</x:v>
      </x:c>
      <x:c r="I35" s="8" t="str">
        <x:f>'Evaluation Plan'!I35</x:f>
        <x:v>RP-F09</x:v>
      </x:c>
      <x:c r="J35" s="8" t="str">
        <x:f>'Evaluation Plan'!J35</x:f>
        <x:v>behind</x:v>
      </x:c>
      <x:c r="K35" s="8" t="n">
        <x:f>'Evaluation Plan'!K35</x:f>
        <x:v>3</x:v>
      </x:c>
      <x:c r="L35" s="8" t="str">
        <x:f>'Evaluation Plan'!L35</x:f>
        <x:v>2 — Exact-scene opposite-direction contrast — Direction-word counterfactual (front→behind)</x:v>
      </x:c>
      <x:c r="M35" s="8" t="n">
        <x:f>'Evaluation Plan'!M35</x:f>
        <x:v>9</x:v>
      </x:c>
      <x:c r="N35" s="7" t="str">
        <x:f>'Evaluation Plan'!N35</x:f>
        <x:v>Reset only P2 to its marked start. Preserve the exact scene; change only the directional word and expected goal sector.</x:v>
      </x:c>
      <x:c r="O35" s="7" t="str">
        <x:f>'Evaluation Plan'!O35</x:f>
        <x:v>Exact-scene semantic counterfactual. Target and reference identities stay fixed while the requested endpoint reverses front↔behind or left↔right.</x:v>
      </x:c>
      <x:c r="P35" s="7" t="str">
        <x:f>IF(ISBLANK('Evaluation Plan'!P35),"",'Evaluation Plan'!P35)</x:f>
      </x:c>
    </x:row>
    <x:row r="36" ht="64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green pen to the robot-facing side of the red block.</x:v>
      </x:c>
      <x:c r="D36" s="7" t="str">
        <x:f>'Evaluation Plan'!D36</x:f>
        <x:v>P1 red block at R4 (5 cm toward the robot from center) [REFERENCE]; P2 green pen 24 cm behind P1 [TARGET START]; P3 pink marker 15 cm to the left of P1 [DISTRACTOR]</x:v>
      </x:c>
      <x:c r="E36" s="8" t="n">
        <x:f>IF(ISBLANK('Evaluation Plan'!E36),"",'Evaluation Plan'!E36)</x:f>
        <x:v>32</x:v>
      </x:c>
      <x:c r="F36" s="8" t="str">
        <x:f>'Evaluation Plan'!F36</x:f>
        <x:v>green pen → 2–8 cm edge gap in front of red block; centroid direction within ±45°</x:v>
      </x:c>
      <x:c r="G36" s="7"/>
      <x:c r="H36" s="8" t="str">
        <x:f>'Evaluation Plan'!H36</x:f>
        <x:v>Language robustness</x:v>
      </x:c>
      <x:c r="I36" s="8" t="str">
        <x:f>'Evaluation Plan'!I36</x:f>
        <x:v>RP-F09</x:v>
      </x:c>
      <x:c r="J36" s="8" t="str">
        <x:f>'Evaluation Plan'!J36</x:f>
        <x:v>front</x:v>
      </x:c>
      <x:c r="K36" s="8" t="n">
        <x:f>'Evaluation Plan'!K36</x:f>
        <x:v>3</x:v>
      </x:c>
      <x:c r="L36" s="8" t="str">
        <x:f>'Evaluation Plan'!L36</x:f>
        <x:v>3 — Exact-scene transfer paraphrase — Paraphrase of concept/compositional-transfer prompt</x:v>
      </x:c>
      <x:c r="M36" s="8" t="n">
        <x:f>'Evaluation Plan'!M36</x:f>
        <x:v>9</x:v>
      </x:c>
      <x:c r="N36" s="7" t="str">
        <x:f>'Evaluation Plan'!N36</x:f>
        <x:v>Reset only P2 to its marked start; change only the prompt wording.</x:v>
      </x:c>
      <x:c r="O36" s="7" t="str">
        <x:f>'Evaluation Plan'!O36</x:f>
        <x:v>Exact-scene language comparison for the held-out pair composition.</x:v>
      </x:c>
      <x:c r="P36" s="7" t="str">
        <x:f>IF(ISBLANK('Evaluation Plan'!P36),"",'Evaluation Plan'!P36)</x:f>
      </x:c>
    </x:row>
    <x:row r="37" ht="64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Put the green pen beside the red block.</x:v>
      </x:c>
      <x:c r="D37" s="7" t="str">
        <x:f>'Evaluation Plan'!D37</x:f>
        <x:v>P1 red block at R4 (5 cm toward the robot from center) [REFERENCE]; P2 green pen 24 cm behind P1 [TARGET START]; P3 pink marker 15 cm to the left of P1 [DISTRACTOR]</x:v>
      </x:c>
      <x:c r="E37" s="8" t="n">
        <x:f>IF(ISBLANK('Evaluation Plan'!E37),"",'Evaluation Plan'!E37)</x:f>
        <x:v>32</x:v>
      </x:c>
      <x:c r="F37" s="8" t="str">
        <x:f>'Evaluation Plan'!F37</x:f>
        <x:v>green pen → 2–8 cm edge gap from red block (any direction)</x:v>
      </x:c>
      <x:c r="G37" s="7"/>
      <x:c r="H37" s="8" t="str">
        <x:f>'Evaluation Plan'!H37</x:f>
        <x:v>Matched manipulation control</x:v>
      </x:c>
      <x:c r="I37" s="8" t="str">
        <x:f>'Evaluation Plan'!I37</x:f>
        <x:v>RP-F09</x:v>
      </x:c>
      <x:c r="J37" s="8" t="str">
        <x:f>'Evaluation Plan'!J37</x:f>
        <x:v>near</x:v>
      </x:c>
      <x:c r="K37" s="8" t="n">
        <x:f>'Evaluation Plan'!K37</x:f>
        <x:v>3</x:v>
      </x:c>
      <x:c r="L37" s="8" t="str">
        <x:f>'Evaluation Plan'!L37</x:f>
        <x:v>4 — Matched control — Seen near/next-to/beside relation on the same ordered pair (3 objects)</x:v>
      </x:c>
      <x:c r="M37" s="8" t="n">
        <x:f>'Evaluation Plan'!M37</x:f>
        <x:v>9</x:v>
      </x:c>
      <x:c r="N37" s="7" t="str">
        <x:f>'Evaluation Plan'!N37</x:f>
        <x:v>Reset only P2 to its marked start. Keep every object, camera setting, and pose fixed; change only the prompt.</x:v>
      </x:c>
      <x:c r="O37" s="7" t="str">
        <x:f>'Evaluation Plan'!O37</x:f>
        <x:v>Controls target/reference recognition and basic pick-place on the exact pair. It is skill-matched but not direction-endpoint-matched, so analyze the paired success delta separately.</x:v>
      </x:c>
      <x:c r="P37" s="7" t="str">
        <x:f>IF(ISBLANK('Evaluation Plan'!P37),"",'Evaluation Plan'!P37)</x:f>
      </x:c>
    </x:row>
    <x:row r="38" ht="64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red block behind the green pen.</x:v>
      </x:c>
      <x:c r="D38" s="10" t="str">
        <x:f>'Evaluation Plan'!D38</x:f>
        <x:v>P1 green pen at R5 (5 cm away from the robot from center) [REFERENCE]; P2 red block 18 cm in front of P1 [TARGET START]; P3 pink marker 15 cm to the left of P1 [DISTRACTOR]</x:v>
      </x:c>
      <x:c r="E38" s="9" t="str">
        <x:f>IF(ISBLANK('Evaluation Plan'!E38),"",'Evaluation Plan'!E38)</x:f>
      </x:c>
      <x:c r="F38" s="9" t="str">
        <x:f>'Evaluation Plan'!F38</x:f>
        <x:v>red block → 2–8 cm edge gap behind green pen; centroid direction within ±45°</x:v>
      </x:c>
      <x:c r="G38" s="10"/>
      <x:c r="H38" s="9" t="str">
        <x:f>'Evaluation Plan'!H38</x:f>
        <x:v>Concept/compositional transfer</x:v>
      </x:c>
      <x:c r="I38" s="9" t="str">
        <x:f>'Evaluation Plan'!I38</x:f>
        <x:v>RP-F10</x:v>
      </x:c>
      <x:c r="J38" s="9" t="str">
        <x:f>'Evaluation Plan'!J38</x:f>
        <x:v>behind</x:v>
      </x:c>
      <x:c r="K38" s="9" t="n">
        <x:f>'Evaluation Plan'!K38</x:f>
        <x:v>3</x:v>
      </x:c>
      <x:c r="L38" s="9" t="str">
        <x:f>'Evaluation Plan'!L38</x:f>
        <x:v>1 — Canonical transfer — Held-out direction × green-pen/red-block pair (behind)</x:v>
      </x:c>
      <x:c r="M38" s="9" t="n">
        <x:f>'Evaluation Plan'!M38</x:f>
        <x:v>10</x:v>
      </x:c>
      <x:c r="N38" s="10" t="str">
        <x:f>'Evaluation Plan'!N38</x:f>
        <x:v>Build the marked scene. Target starts in the opposite sector and outside the success gap; save a first-frame filename.</x:v>
      </x:c>
      <x:c r="O38" s="10" t="str">
        <x:f>'Evaluation Plan'!O38</x:f>
        <x:v>Directional language is trained on other object pairs, but all directional green-pen/red-block demonstrations are withheld in both target/reference directions.</x:v>
      </x:c>
      <x:c r="P38" s="10" t="str">
        <x:f>IF(ISBLANK('Evaluation Plan'!P38),"",'Evaluation Plan'!P38)</x:f>
      </x:c>
    </x:row>
    <x:row r="39" ht="64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red block to the front of the green pen.</x:v>
      </x:c>
      <x:c r="D39" s="7" t="str">
        <x:f>'Evaluation Plan'!D39</x:f>
        <x:v>P1 green pen at R5 (5 cm away from the robot from center) [REFERENCE]; P2 red block 18 cm in front of P1 [TARGET START]; P3 pink marker 15 cm to the left of P1 [DISTRACTOR]</x:v>
      </x:c>
      <x:c r="E39" s="8" t="n">
        <x:f>IF(ISBLANK('Evaluation Plan'!E39),"",'Evaluation Plan'!E39)</x:f>
        <x:v>36</x:v>
      </x:c>
      <x:c r="F39" s="8" t="str">
        <x:f>'Evaluation Plan'!F39</x:f>
        <x:v>red block → 2–8 cm edge gap in front of green pen; centroid direction within ±45°</x:v>
      </x:c>
      <x:c r="G39" s="7"/>
      <x:c r="H39" s="8" t="str">
        <x:f>'Evaluation Plan'!H39</x:f>
        <x:v>Exact-scene opposite-direction contrast</x:v>
      </x:c>
      <x:c r="I39" s="8" t="str">
        <x:f>'Evaluation Plan'!I39</x:f>
        <x:v>RP-F10</x:v>
      </x:c>
      <x:c r="J39" s="8" t="str">
        <x:f>'Evaluation Plan'!J39</x:f>
        <x:v>front</x:v>
      </x:c>
      <x:c r="K39" s="8" t="n">
        <x:f>'Evaluation Plan'!K39</x:f>
        <x:v>3</x:v>
      </x:c>
      <x:c r="L39" s="8" t="str">
        <x:f>'Evaluation Plan'!L39</x:f>
        <x:v>2 — Exact-scene opposite-direction contrast — Direction-word counterfactual (behind→front)</x:v>
      </x:c>
      <x:c r="M39" s="8" t="n">
        <x:f>'Evaluation Plan'!M39</x:f>
        <x:v>10</x:v>
      </x:c>
      <x:c r="N39" s="7" t="str">
        <x:f>'Evaluation Plan'!N39</x:f>
        <x:v>Reset only P2 to its marked start. Preserve the exact scene; change only the directional word and expected goal sector.</x:v>
      </x:c>
      <x:c r="O39" s="7" t="str">
        <x:f>'Evaluation Plan'!O39</x:f>
        <x:v>Exact-scene semantic counterfactual. Target and reference identities stay fixed while the requested endpoint reverses front↔behind or left↔right.</x:v>
      </x:c>
      <x:c r="P39" s="7" t="str">
        <x:f>IF(ISBLANK('Evaluation Plan'!P39),"",'Evaluation Plan'!P39)</x:f>
      </x:c>
    </x:row>
    <x:row r="40" ht="64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red block to the rear side of the green pen.</x:v>
      </x:c>
      <x:c r="D40" s="7" t="str">
        <x:f>'Evaluation Plan'!D40</x:f>
        <x:v>P1 green pen at R5 (5 cm away from the robot from center) [REFERENCE]; P2 red block 18 cm in front of P1 [TARGET START]; P3 pink marker 15 cm to the left of P1 [DISTRACTOR]</x:v>
      </x:c>
      <x:c r="E40" s="8" t="n">
        <x:f>IF(ISBLANK('Evaluation Plan'!E40),"",'Evaluation Plan'!E40)</x:f>
        <x:v>36</x:v>
      </x:c>
      <x:c r="F40" s="8" t="str">
        <x:f>'Evaluation Plan'!F40</x:f>
        <x:v>red block → 2–8 cm edge gap behind green pen; centroid direction within ±45°</x:v>
      </x:c>
      <x:c r="G40" s="7"/>
      <x:c r="H40" s="8" t="str">
        <x:f>'Evaluation Plan'!H40</x:f>
        <x:v>Language robustness</x:v>
      </x:c>
      <x:c r="I40" s="8" t="str">
        <x:f>'Evaluation Plan'!I40</x:f>
        <x:v>RP-F10</x:v>
      </x:c>
      <x:c r="J40" s="8" t="str">
        <x:f>'Evaluation Plan'!J40</x:f>
        <x:v>behind</x:v>
      </x:c>
      <x:c r="K40" s="8" t="n">
        <x:f>'Evaluation Plan'!K40</x:f>
        <x:v>3</x:v>
      </x:c>
      <x:c r="L40" s="8" t="str">
        <x:f>'Evaluation Plan'!L40</x:f>
        <x:v>3 — Exact-scene transfer paraphrase — Paraphrase of concept/compositional-transfer prompt</x:v>
      </x:c>
      <x:c r="M40" s="8" t="n">
        <x:f>'Evaluation Plan'!M40</x:f>
        <x:v>10</x:v>
      </x:c>
      <x:c r="N40" s="7" t="str">
        <x:f>'Evaluation Plan'!N40</x:f>
        <x:v>Reset only P2 to its marked start; change only the prompt wording.</x:v>
      </x:c>
      <x:c r="O40" s="7" t="str">
        <x:f>'Evaluation Plan'!O40</x:f>
        <x:v>Exact-scene language comparison for the held-out pair composition.</x:v>
      </x:c>
      <x:c r="P40" s="7" t="str">
        <x:f>IF(ISBLANK('Evaluation Plan'!P40),"",'Evaluation Plan'!P40)</x:f>
      </x:c>
    </x:row>
    <x:row r="41" ht="64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red block near the green pen.</x:v>
      </x:c>
      <x:c r="D41" s="7" t="str">
        <x:f>'Evaluation Plan'!D41</x:f>
        <x:v>P1 green pen at R5 (5 cm away from the robot from center) [REFERENCE]; P2 red block 18 cm in front of P1 [TARGET START]; P3 pink marker 15 cm to the left of P1 [DISTRACTOR]</x:v>
      </x:c>
      <x:c r="E41" s="8" t="n">
        <x:f>IF(ISBLANK('Evaluation Plan'!E41),"",'Evaluation Plan'!E41)</x:f>
        <x:v>36</x:v>
      </x:c>
      <x:c r="F41" s="8" t="str">
        <x:f>'Evaluation Plan'!F41</x:f>
        <x:v>red block → 2–8 cm edge gap from green pen (any direction)</x:v>
      </x:c>
      <x:c r="G41" s="7"/>
      <x:c r="H41" s="8" t="str">
        <x:f>'Evaluation Plan'!H41</x:f>
        <x:v>Matched manipulation control</x:v>
      </x:c>
      <x:c r="I41" s="8" t="str">
        <x:f>'Evaluation Plan'!I41</x:f>
        <x:v>RP-F10</x:v>
      </x:c>
      <x:c r="J41" s="8" t="str">
        <x:f>'Evaluation Plan'!J41</x:f>
        <x:v>near</x:v>
      </x:c>
      <x:c r="K41" s="8" t="n">
        <x:f>'Evaluation Plan'!K41</x:f>
        <x:v>3</x:v>
      </x:c>
      <x:c r="L41" s="8" t="str">
        <x:f>'Evaluation Plan'!L41</x:f>
        <x:v>4 — Matched control — Seen near/next-to/beside relation on the same ordered pair (3 objects)</x:v>
      </x:c>
      <x:c r="M41" s="8" t="n">
        <x:f>'Evaluation Plan'!M41</x:f>
        <x:v>10</x:v>
      </x:c>
      <x:c r="N41" s="7" t="str">
        <x:f>'Evaluation Plan'!N41</x:f>
        <x:v>Reset only P2 to its marked start. Keep every object, camera setting, and pose fixed; change only the prompt.</x:v>
      </x:c>
      <x:c r="O41" s="7" t="str">
        <x:f>'Evaluation Plan'!O41</x:f>
        <x:v>Controls target/reference recognition and basic pick-place on the exact pair. It is skill-matched but not direction-endpoint-matched, so analyze the paired success delta separately.</x:v>
      </x:c>
      <x:c r="P41" s="7" t="str">
        <x:f>IF(ISBLANK('Evaluation Plan'!P41),"",'Evaluation Plan'!P41)</x:f>
      </x:c>
    </x:row>
    <x:row r="42" ht="64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Place the green pen to the left of the red block.</x:v>
      </x:c>
      <x:c r="D42" s="10" t="str">
        <x:f>'Evaluation Plan'!D42</x:f>
        <x:v>P1 red block at R1 (table center) [REFERENCE]; P2 green pen 21 cm to the right of P1 [TARGET START]; P3 pink marker 15 cm in front of P1 [DISTRACTOR]; P4 blue block 15 cm behind P1 [DISTRACTOR]</x:v>
      </x:c>
      <x:c r="E42" s="9" t="str">
        <x:f>IF(ISBLANK('Evaluation Plan'!E42),"",'Evaluation Plan'!E42)</x:f>
      </x:c>
      <x:c r="F42" s="9" t="str">
        <x:f>'Evaluation Plan'!F42</x:f>
        <x:v>green pen → 2–8 cm edge gap to the left of red block; centroid direction within ±45°</x:v>
      </x:c>
      <x:c r="G42" s="10"/>
      <x:c r="H42" s="9" t="str">
        <x:f>'Evaluation Plan'!H42</x:f>
        <x:v>Concept/compositional transfer</x:v>
      </x:c>
      <x:c r="I42" s="9" t="str">
        <x:f>'Evaluation Plan'!I42</x:f>
        <x:v>RP-F11</x:v>
      </x:c>
      <x:c r="J42" s="9" t="str">
        <x:f>'Evaluation Plan'!J42</x:f>
        <x:v>left</x:v>
      </x:c>
      <x:c r="K42" s="9" t="n">
        <x:f>'Evaluation Plan'!K42</x:f>
        <x:v>4</x:v>
      </x:c>
      <x:c r="L42" s="9" t="str">
        <x:f>'Evaluation Plan'!L42</x:f>
        <x:v>1 — Canonical transfer — Held-out direction × green-pen/red-block pair (left)</x:v>
      </x:c>
      <x:c r="M42" s="9" t="n">
        <x:f>'Evaluation Plan'!M42</x:f>
        <x:v>11</x:v>
      </x:c>
      <x:c r="N42" s="10" t="str">
        <x:f>'Evaluation Plan'!N42</x:f>
        <x:v>Build the marked scene. Target starts in the opposite sector and outside the success gap; save a first-frame filename.</x:v>
      </x:c>
      <x:c r="O42" s="10" t="str">
        <x:f>'Evaluation Plan'!O42</x:f>
        <x:v>Directional language is trained on other object pairs, but all directional green-pen/red-block demonstrations are withheld in both target/reference directions.</x:v>
      </x:c>
      <x:c r="P42" s="10" t="str">
        <x:f>IF(ISBLANK('Evaluation Plan'!P42),"",'Evaluation Plan'!P42)</x:f>
      </x:c>
    </x:row>
    <x:row r="43" ht="64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Place the green pen to the right of the red block.</x:v>
      </x:c>
      <x:c r="D43" s="7" t="str">
        <x:f>'Evaluation Plan'!D43</x:f>
        <x:v>P1 red block at R1 (table center) [REFERENCE]; P2 green pen 21 cm to the right of P1 [TARGET START]; P3 pink marker 15 cm in front of P1 [DISTRACTOR]; P4 blue block 15 cm behind P1 [DISTRACTOR]</x:v>
      </x:c>
      <x:c r="E43" s="8" t="n">
        <x:f>IF(ISBLANK('Evaluation Plan'!E43),"",'Evaluation Plan'!E43)</x:f>
        <x:v>40</x:v>
      </x:c>
      <x:c r="F43" s="8" t="str">
        <x:f>'Evaluation Plan'!F43</x:f>
        <x:v>green pen → 2–8 cm edge gap to the right of red block; centroid direction within ±45°</x:v>
      </x:c>
      <x:c r="G43" s="7"/>
      <x:c r="H43" s="8" t="str">
        <x:f>'Evaluation Plan'!H43</x:f>
        <x:v>Exact-scene opposite-direction contrast</x:v>
      </x:c>
      <x:c r="I43" s="8" t="str">
        <x:f>'Evaluation Plan'!I43</x:f>
        <x:v>RP-F11</x:v>
      </x:c>
      <x:c r="J43" s="8" t="str">
        <x:f>'Evaluation Plan'!J43</x:f>
        <x:v>right</x:v>
      </x:c>
      <x:c r="K43" s="8" t="n">
        <x:f>'Evaluation Plan'!K43</x:f>
        <x:v>4</x:v>
      </x:c>
      <x:c r="L43" s="8" t="str">
        <x:f>'Evaluation Plan'!L43</x:f>
        <x:v>2 — Exact-scene opposite-direction contrast — Direction-word counterfactual (left→right)</x:v>
      </x:c>
      <x:c r="M43" s="8" t="n">
        <x:f>'Evaluation Plan'!M43</x:f>
        <x:v>11</x:v>
      </x:c>
      <x:c r="N43" s="7" t="str">
        <x:f>'Evaluation Plan'!N43</x:f>
        <x:v>Reset only P2 to its marked start. Preserve the exact scene; change only the directional word and expected goal sector.</x:v>
      </x:c>
      <x:c r="O43" s="7" t="str">
        <x:f>'Evaluation Plan'!O43</x:f>
        <x:v>Exact-scene semantic counterfactual. Target and reference identities stay fixed while the requested endpoint reverses front↔behind or left↔right.</x:v>
      </x:c>
      <x:c r="P43" s="7" t="str">
        <x:f>IF(ISBLANK('Evaluation Plan'!P43),"",'Evaluation Plan'!P43)</x:f>
      </x:c>
    </x:row>
    <x:row r="44" ht="64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Place the green pen next to the red block.</x:v>
      </x:c>
      <x:c r="D44" s="7" t="str">
        <x:f>'Evaluation Plan'!D44</x:f>
        <x:v>P1 red block at R1 (table center) [REFERENCE]; P2 green pen 21 cm to the right of P1 [TARGET START]; P3 pink marker 15 cm in front of P1 [DISTRACTOR]; P4 blue block 15 cm behind P1 [DISTRACTOR]</x:v>
      </x:c>
      <x:c r="E44" s="8" t="n">
        <x:f>IF(ISBLANK('Evaluation Plan'!E44),"",'Evaluation Plan'!E44)</x:f>
        <x:v>40</x:v>
      </x:c>
      <x:c r="F44" s="8" t="str">
        <x:f>'Evaluation Plan'!F44</x:f>
        <x:v>green pen → 2–8 cm edge gap from red block (any direction)</x:v>
      </x:c>
      <x:c r="G44" s="7"/>
      <x:c r="H44" s="8" t="str">
        <x:f>'Evaluation Plan'!H44</x:f>
        <x:v>Matched manipulation control</x:v>
      </x:c>
      <x:c r="I44" s="8" t="str">
        <x:f>'Evaluation Plan'!I44</x:f>
        <x:v>RP-F11</x:v>
      </x:c>
      <x:c r="J44" s="8" t="str">
        <x:f>'Evaluation Plan'!J44</x:f>
        <x:v>near</x:v>
      </x:c>
      <x:c r="K44" s="8" t="n">
        <x:f>'Evaluation Plan'!K44</x:f>
        <x:v>4</x:v>
      </x:c>
      <x:c r="L44" s="8" t="str">
        <x:f>'Evaluation Plan'!L44</x:f>
        <x:v>3 — Matched control — Seen near/next-to/beside relation on the same ordered pair (4 objects)</x:v>
      </x:c>
      <x:c r="M44" s="8" t="n">
        <x:f>'Evaluation Plan'!M44</x:f>
        <x:v>11</x:v>
      </x:c>
      <x:c r="N44" s="7" t="str">
        <x:f>'Evaluation Plan'!N44</x:f>
        <x:v>Reset only P2 to its marked start. Keep every object, camera setting, and pose fixed; change only the prompt.</x:v>
      </x:c>
      <x:c r="O44" s="7" t="str">
        <x:f>'Evaluation Plan'!O44</x:f>
        <x:v>Controls target/reference recognition and basic pick-place on the exact pair. It is skill-matched but not direction-endpoint-matched, so analyze the paired success delta separately.</x:v>
      </x:c>
      <x:c r="P44" s="7" t="str">
        <x:f>IF(ISBLANK('Evaluation Plan'!P44),"",'Evaluation Plan'!P44)</x:f>
      </x:c>
    </x:row>
    <x:row r="45" ht="64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Position the green pen adjacent to the red block.</x:v>
      </x:c>
      <x:c r="D45" s="7" t="str">
        <x:f>'Evaluation Plan'!D45</x:f>
        <x:v>P1 red block at R1 (table center) [REFERENCE]; P2 green pen 21 cm to the right of P1 [TARGET START]; P3 pink marker 15 cm in front of P1 [DISTRACTOR]; P4 blue block 15 cm behind P1 [DISTRACTOR]</x:v>
      </x:c>
      <x:c r="E45" s="8" t="n">
        <x:f>IF(ISBLANK('Evaluation Plan'!E45),"",'Evaluation Plan'!E45)</x:f>
        <x:v>42</x:v>
      </x:c>
      <x:c r="F45" s="8" t="str">
        <x:f>'Evaluation Plan'!F45</x:f>
        <x:v>green pen → 2–8 cm edge gap from red block (any direction)</x:v>
      </x:c>
      <x:c r="G45" s="7"/>
      <x:c r="H45" s="8" t="str">
        <x:f>'Evaluation Plan'!H45</x:f>
        <x:v>Language robustness</x:v>
      </x:c>
      <x:c r="I45" s="8" t="str">
        <x:f>'Evaluation Plan'!I45</x:f>
        <x:v>RP-F11</x:v>
      </x:c>
      <x:c r="J45" s="8" t="str">
        <x:f>'Evaluation Plan'!J45</x:f>
        <x:v>near</x:v>
      </x:c>
      <x:c r="K45" s="8" t="n">
        <x:f>'Evaluation Plan'!K45</x:f>
        <x:v>4</x:v>
      </x:c>
      <x:c r="L45" s="8" t="str">
        <x:f>'Evaluation Plan'!L45</x:f>
        <x:v>4 — Exact-scene control paraphrase — Paraphrase of matched-control prompt</x:v>
      </x:c>
      <x:c r="M45" s="8" t="n">
        <x:f>'Evaluation Plan'!M45</x:f>
        <x:v>11</x:v>
      </x:c>
      <x:c r="N45" s="7" t="str">
        <x:f>'Evaluation Plan'!N45</x:f>
        <x:v>Reset only P2 to its marked start; change only the prompt wording.</x:v>
      </x:c>
      <x:c r="O45" s="7" t="str">
        <x:f>'Evaluation Plan'!O45</x:f>
        <x:v>Exact-scene language comparison for the seen near relation.</x:v>
      </x:c>
      <x:c r="P45" s="7" t="str">
        <x:f>IF(ISBLANK('Evaluation Plan'!P45),"",'Evaluation Plan'!P45)</x:f>
      </x:c>
    </x:row>
    <x:row r="46" ht="64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Place the red block to the right of the green pen.</x:v>
      </x:c>
      <x:c r="D46" s="10" t="str">
        <x:f>'Evaluation Plan'!D46</x:f>
        <x:v>P1 green pen at R2 (5 cm left of center) [REFERENCE]; P2 red block 24 cm to the left of P1 [TARGET START]; P3 pink marker 15 cm in front of P1 [DISTRACTOR]; P4 blue block 15 cm behind P1 [DISTRACTOR]</x:v>
      </x:c>
      <x:c r="E46" s="9" t="str">
        <x:f>IF(ISBLANK('Evaluation Plan'!E46),"",'Evaluation Plan'!E46)</x:f>
      </x:c>
      <x:c r="F46" s="9" t="str">
        <x:f>'Evaluation Plan'!F46</x:f>
        <x:v>red block → 2–8 cm edge gap to the right of green pen; centroid direction within ±45°</x:v>
      </x:c>
      <x:c r="G46" s="10"/>
      <x:c r="H46" s="9" t="str">
        <x:f>'Evaluation Plan'!H46</x:f>
        <x:v>Concept/compositional transfer</x:v>
      </x:c>
      <x:c r="I46" s="9" t="str">
        <x:f>'Evaluation Plan'!I46</x:f>
        <x:v>RP-F12</x:v>
      </x:c>
      <x:c r="J46" s="9" t="str">
        <x:f>'Evaluation Plan'!J46</x:f>
        <x:v>right</x:v>
      </x:c>
      <x:c r="K46" s="9" t="n">
        <x:f>'Evaluation Plan'!K46</x:f>
        <x:v>4</x:v>
      </x:c>
      <x:c r="L46" s="9" t="str">
        <x:f>'Evaluation Plan'!L46</x:f>
        <x:v>1 — Canonical transfer — Held-out direction × green-pen/red-block pair (right)</x:v>
      </x:c>
      <x:c r="M46" s="9" t="n">
        <x:f>'Evaluation Plan'!M46</x:f>
        <x:v>12</x:v>
      </x:c>
      <x:c r="N46" s="10" t="str">
        <x:f>'Evaluation Plan'!N46</x:f>
        <x:v>Build the marked scene. Target starts in the opposite sector and outside the success gap; save a first-frame filename.</x:v>
      </x:c>
      <x:c r="O46" s="10" t="str">
        <x:f>'Evaluation Plan'!O46</x:f>
        <x:v>Directional language is trained on other object pairs, but all directional green-pen/red-block demonstrations are withheld in both target/reference directions.</x:v>
      </x:c>
      <x:c r="P46" s="10" t="str">
        <x:f>IF(ISBLANK('Evaluation Plan'!P46),"",'Evaluation Plan'!P46)</x:f>
      </x:c>
    </x:row>
    <x:row r="47" ht="64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Place the red block to the left of the green pen.</x:v>
      </x:c>
      <x:c r="D47" s="7" t="str">
        <x:f>'Evaluation Plan'!D47</x:f>
        <x:v>P1 green pen at R2 (5 cm left of center) [REFERENCE]; P2 red block 24 cm to the left of P1 [TARGET START]; P3 pink marker 15 cm in front of P1 [DISTRACTOR]; P4 blue block 15 cm behind P1 [DISTRACTOR]</x:v>
      </x:c>
      <x:c r="E47" s="8" t="n">
        <x:f>IF(ISBLANK('Evaluation Plan'!E47),"",'Evaluation Plan'!E47)</x:f>
        <x:v>44</x:v>
      </x:c>
      <x:c r="F47" s="8" t="str">
        <x:f>'Evaluation Plan'!F47</x:f>
        <x:v>red block → 2–8 cm edge gap to the left of green pen; centroid direction within ±45°</x:v>
      </x:c>
      <x:c r="G47" s="7"/>
      <x:c r="H47" s="8" t="str">
        <x:f>'Evaluation Plan'!H47</x:f>
        <x:v>Exact-scene opposite-direction contrast</x:v>
      </x:c>
      <x:c r="I47" s="8" t="str">
        <x:f>'Evaluation Plan'!I47</x:f>
        <x:v>RP-F12</x:v>
      </x:c>
      <x:c r="J47" s="8" t="str">
        <x:f>'Evaluation Plan'!J47</x:f>
        <x:v>left</x:v>
      </x:c>
      <x:c r="K47" s="8" t="n">
        <x:f>'Evaluation Plan'!K47</x:f>
        <x:v>4</x:v>
      </x:c>
      <x:c r="L47" s="8" t="str">
        <x:f>'Evaluation Plan'!L47</x:f>
        <x:v>2 — Exact-scene opposite-direction contrast — Direction-word counterfactual (right→left)</x:v>
      </x:c>
      <x:c r="M47" s="8" t="n">
        <x:f>'Evaluation Plan'!M47</x:f>
        <x:v>12</x:v>
      </x:c>
      <x:c r="N47" s="7" t="str">
        <x:f>'Evaluation Plan'!N47</x:f>
        <x:v>Reset only P2 to its marked start. Preserve the exact scene; change only the directional word and expected goal sector.</x:v>
      </x:c>
      <x:c r="O47" s="7" t="str">
        <x:f>'Evaluation Plan'!O47</x:f>
        <x:v>Exact-scene semantic counterfactual. Target and reference identities stay fixed while the requested endpoint reverses front↔behind or left↔right.</x:v>
      </x:c>
      <x:c r="P47" s="7" t="str">
        <x:f>IF(ISBLANK('Evaluation Plan'!P47),"",'Evaluation Plan'!P47)</x:f>
      </x:c>
    </x:row>
    <x:row r="48" ht="64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red block beside the green pen.</x:v>
      </x:c>
      <x:c r="D48" s="7" t="str">
        <x:f>'Evaluation Plan'!D48</x:f>
        <x:v>P1 green pen at R2 (5 cm left of center) [REFERENCE]; P2 red block 24 cm to the left of P1 [TARGET START]; P3 pink marker 15 cm in front of P1 [DISTRACTOR]; P4 blue block 15 cm behind P1 [DISTRACTOR]</x:v>
      </x:c>
      <x:c r="E48" s="8" t="n">
        <x:f>IF(ISBLANK('Evaluation Plan'!E48),"",'Evaluation Plan'!E48)</x:f>
        <x:v>44</x:v>
      </x:c>
      <x:c r="F48" s="8" t="str">
        <x:f>'Evaluation Plan'!F48</x:f>
        <x:v>red block → 2–8 cm edge gap from green pen (any direction)</x:v>
      </x:c>
      <x:c r="G48" s="7"/>
      <x:c r="H48" s="8" t="str">
        <x:f>'Evaluation Plan'!H48</x:f>
        <x:v>Matched manipulation control</x:v>
      </x:c>
      <x:c r="I48" s="8" t="str">
        <x:f>'Evaluation Plan'!I48</x:f>
        <x:v>RP-F12</x:v>
      </x:c>
      <x:c r="J48" s="8" t="str">
        <x:f>'Evaluation Plan'!J48</x:f>
        <x:v>near</x:v>
      </x:c>
      <x:c r="K48" s="8" t="n">
        <x:f>'Evaluation Plan'!K48</x:f>
        <x:v>4</x:v>
      </x:c>
      <x:c r="L48" s="8" t="str">
        <x:f>'Evaluation Plan'!L48</x:f>
        <x:v>3 — Matched control — Seen near/next-to/beside relation on the same ordered pair (4 objects)</x:v>
      </x:c>
      <x:c r="M48" s="8" t="n">
        <x:f>'Evaluation Plan'!M48</x:f>
        <x:v>12</x:v>
      </x:c>
      <x:c r="N48" s="7" t="str">
        <x:f>'Evaluation Plan'!N48</x:f>
        <x:v>Reset only P2 to its marked start. Keep every object, camera setting, and pose fixed; change only the prompt.</x:v>
      </x:c>
      <x:c r="O48" s="7" t="str">
        <x:f>'Evaluation Plan'!O48</x:f>
        <x:v>Controls target/reference recognition and basic pick-place on the exact pair. It is skill-matched but not direction-endpoint-matched, so analyze the paired success delta separately.</x:v>
      </x:c>
      <x:c r="P48" s="7" t="str">
        <x:f>IF(ISBLANK('Evaluation Plan'!P48),"",'Evaluation Plan'!P48)</x:f>
      </x:c>
    </x:row>
    <x:row r="49" ht="64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red block close to the green pen.</x:v>
      </x:c>
      <x:c r="D49" s="7" t="str">
        <x:f>'Evaluation Plan'!D49</x:f>
        <x:v>P1 green pen at R2 (5 cm left of center) [REFERENCE]; P2 red block 24 cm to the left of P1 [TARGET START]; P3 pink marker 15 cm in front of P1 [DISTRACTOR]; P4 blue block 15 cm behind P1 [DISTRACTOR]</x:v>
      </x:c>
      <x:c r="E49" s="8" t="n">
        <x:f>IF(ISBLANK('Evaluation Plan'!E49),"",'Evaluation Plan'!E49)</x:f>
        <x:v>46</x:v>
      </x:c>
      <x:c r="F49" s="8" t="str">
        <x:f>'Evaluation Plan'!F49</x:f>
        <x:v>red block → 2–8 cm edge gap from green pen (any direction)</x:v>
      </x:c>
      <x:c r="G49" s="7"/>
      <x:c r="H49" s="8" t="str">
        <x:f>'Evaluation Plan'!H49</x:f>
        <x:v>Language robustness</x:v>
      </x:c>
      <x:c r="I49" s="8" t="str">
        <x:f>'Evaluation Plan'!I49</x:f>
        <x:v>RP-F12</x:v>
      </x:c>
      <x:c r="J49" s="8" t="str">
        <x:f>'Evaluation Plan'!J49</x:f>
        <x:v>near</x:v>
      </x:c>
      <x:c r="K49" s="8" t="n">
        <x:f>'Evaluation Plan'!K49</x:f>
        <x:v>4</x:v>
      </x:c>
      <x:c r="L49" s="8" t="str">
        <x:f>'Evaluation Plan'!L49</x:f>
        <x:v>4 — Exact-scene control paraphrase — Paraphrase of matched-control prompt</x:v>
      </x:c>
      <x:c r="M49" s="8" t="n">
        <x:f>'Evaluation Plan'!M49</x:f>
        <x:v>12</x:v>
      </x:c>
      <x:c r="N49" s="7" t="str">
        <x:f>'Evaluation Plan'!N49</x:f>
        <x:v>Reset only P2 to its marked start; change only the prompt wording.</x:v>
      </x:c>
      <x:c r="O49" s="7" t="str">
        <x:f>'Evaluation Plan'!O49</x:f>
        <x:v>Exact-scene language comparison for the seen near relation.</x:v>
      </x:c>
      <x:c r="P49" s="7" t="str">
        <x:f>IF(ISBLANK('Evaluation Plan'!P49),"",'Evaluation Plan'!P49)</x:f>
      </x:c>
    </x:row>
    <x:row r="50" ht="64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red block in front of the green pen.</x:v>
      </x:c>
      <x:c r="D50" s="10" t="str">
        <x:f>'Evaluation Plan'!D50</x:f>
        <x:v>P1 green pen at R3 (5 cm right of center) [REFERENCE]; P2 red block 18 cm behind P1 [TARGET START]; P3 pink marker 15 cm to the left of P1 [DISTRACTOR]; P4 blue block 15 cm to the right of P1 [DISTRACTOR]</x:v>
      </x:c>
      <x:c r="E50" s="9" t="str">
        <x:f>IF(ISBLANK('Evaluation Plan'!E50),"",'Evaluation Plan'!E50)</x:f>
      </x:c>
      <x:c r="F50" s="9" t="str">
        <x:f>'Evaluation Plan'!F50</x:f>
        <x:v>red block → 2–8 cm edge gap in front of green pen; centroid direction within ±45°</x:v>
      </x:c>
      <x:c r="G50" s="10"/>
      <x:c r="H50" s="9" t="str">
        <x:f>'Evaluation Plan'!H50</x:f>
        <x:v>Concept/compositional transfer</x:v>
      </x:c>
      <x:c r="I50" s="9" t="str">
        <x:f>'Evaluation Plan'!I50</x:f>
        <x:v>RP-F13</x:v>
      </x:c>
      <x:c r="J50" s="9" t="str">
        <x:f>'Evaluation Plan'!J50</x:f>
        <x:v>front</x:v>
      </x:c>
      <x:c r="K50" s="9" t="n">
        <x:f>'Evaluation Plan'!K50</x:f>
        <x:v>4</x:v>
      </x:c>
      <x:c r="L50" s="9" t="str">
        <x:f>'Evaluation Plan'!L50</x:f>
        <x:v>1 — Canonical transfer — Held-out direction × green-pen/red-block pair (front)</x:v>
      </x:c>
      <x:c r="M50" s="9" t="n">
        <x:f>'Evaluation Plan'!M50</x:f>
        <x:v>13</x:v>
      </x:c>
      <x:c r="N50" s="10" t="str">
        <x:f>'Evaluation Plan'!N50</x:f>
        <x:v>Build the marked scene. Target starts in the opposite sector and outside the success gap; save a first-frame filename.</x:v>
      </x:c>
      <x:c r="O50" s="10" t="str">
        <x:f>'Evaluation Plan'!O50</x:f>
        <x:v>Directional language is trained on other object pairs, but all directional green-pen/red-block demonstrations are withheld in both target/reference directions.</x:v>
      </x:c>
      <x:c r="P50" s="10" t="str">
        <x:f>IF(ISBLANK('Evaluation Plan'!P50),"",'Evaluation Plan'!P50)</x:f>
      </x:c>
    </x:row>
    <x:row r="51" ht="64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red block to the back of the green pen.</x:v>
      </x:c>
      <x:c r="D51" s="7" t="str">
        <x:f>'Evaluation Plan'!D51</x:f>
        <x:v>P1 green pen at R3 (5 cm right of center) [REFERENCE]; P2 red block 18 cm behind P1 [TARGET START]; P3 pink marker 15 cm to the left of P1 [DISTRACTOR]; P4 blue block 15 cm to the right of P1 [DISTRACTOR]</x:v>
      </x:c>
      <x:c r="E51" s="8" t="n">
        <x:f>IF(ISBLANK('Evaluation Plan'!E51),"",'Evaluation Plan'!E51)</x:f>
        <x:v>48</x:v>
      </x:c>
      <x:c r="F51" s="8" t="str">
        <x:f>'Evaluation Plan'!F51</x:f>
        <x:v>red block → 2–8 cm edge gap behind green pen; centroid direction within ±45°</x:v>
      </x:c>
      <x:c r="G51" s="7"/>
      <x:c r="H51" s="8" t="str">
        <x:f>'Evaluation Plan'!H51</x:f>
        <x:v>Exact-scene opposite-direction contrast</x:v>
      </x:c>
      <x:c r="I51" s="8" t="str">
        <x:f>'Evaluation Plan'!I51</x:f>
        <x:v>RP-F13</x:v>
      </x:c>
      <x:c r="J51" s="8" t="str">
        <x:f>'Evaluation Plan'!J51</x:f>
        <x:v>behind</x:v>
      </x:c>
      <x:c r="K51" s="8" t="n">
        <x:f>'Evaluation Plan'!K51</x:f>
        <x:v>4</x:v>
      </x:c>
      <x:c r="L51" s="8" t="str">
        <x:f>'Evaluation Plan'!L51</x:f>
        <x:v>2 — Exact-scene opposite-direction contrast — Direction-word counterfactual (front→behind)</x:v>
      </x:c>
      <x:c r="M51" s="8" t="n">
        <x:f>'Evaluation Plan'!M51</x:f>
        <x:v>13</x:v>
      </x:c>
      <x:c r="N51" s="7" t="str">
        <x:f>'Evaluation Plan'!N51</x:f>
        <x:v>Reset only P2 to its marked start. Preserve the exact scene; change only the directional word and expected goal sector.</x:v>
      </x:c>
      <x:c r="O51" s="7" t="str">
        <x:f>'Evaluation Plan'!O51</x:f>
        <x:v>Exact-scene semantic counterfactual. Target and reference identities stay fixed while the requested endpoint reverses front↔behind or left↔right.</x:v>
      </x:c>
      <x:c r="P51" s="7" t="str">
        <x:f>IF(ISBLANK('Evaluation Plan'!P51),"",'Evaluation Plan'!P51)</x:f>
      </x:c>
    </x:row>
    <x:row r="52" ht="64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Move the red block near the green pen.</x:v>
      </x:c>
      <x:c r="D52" s="7" t="str">
        <x:f>'Evaluation Plan'!D52</x:f>
        <x:v>P1 green pen at R3 (5 cm right of center) [REFERENCE]; P2 red block 18 cm behind P1 [TARGET START]; P3 pink marker 15 cm to the left of P1 [DISTRACTOR]; P4 blue block 15 cm to the right of P1 [DISTRACTOR]</x:v>
      </x:c>
      <x:c r="E52" s="8" t="n">
        <x:f>IF(ISBLANK('Evaluation Plan'!E52),"",'Evaluation Plan'!E52)</x:f>
        <x:v>48</x:v>
      </x:c>
      <x:c r="F52" s="8" t="str">
        <x:f>'Evaluation Plan'!F52</x:f>
        <x:v>red block → 2–8 cm edge gap from green pen (any direction)</x:v>
      </x:c>
      <x:c r="G52" s="7"/>
      <x:c r="H52" s="8" t="str">
        <x:f>'Evaluation Plan'!H52</x:f>
        <x:v>Matched manipulation control</x:v>
      </x:c>
      <x:c r="I52" s="8" t="str">
        <x:f>'Evaluation Plan'!I52</x:f>
        <x:v>RP-F13</x:v>
      </x:c>
      <x:c r="J52" s="8" t="str">
        <x:f>'Evaluation Plan'!J52</x:f>
        <x:v>near</x:v>
      </x:c>
      <x:c r="K52" s="8" t="n">
        <x:f>'Evaluation Plan'!K52</x:f>
        <x:v>4</x:v>
      </x:c>
      <x:c r="L52" s="8" t="str">
        <x:f>'Evaluation Plan'!L52</x:f>
        <x:v>3 — Matched control — Seen near/next-to/beside relation on the same ordered pair (4 objects)</x:v>
      </x:c>
      <x:c r="M52" s="8" t="n">
        <x:f>'Evaluation Plan'!M52</x:f>
        <x:v>13</x:v>
      </x:c>
      <x:c r="N52" s="7" t="str">
        <x:f>'Evaluation Plan'!N52</x:f>
        <x:v>Reset only P2 to its marked start. Keep every object, camera setting, and pose fixed; change only the prompt.</x:v>
      </x:c>
      <x:c r="O52" s="7" t="str">
        <x:f>'Evaluation Plan'!O52</x:f>
        <x:v>Controls target/reference recognition and basic pick-place on the exact pair. It is skill-matched but not direction-endpoint-matched, so analyze the paired success delta separately.</x:v>
      </x:c>
      <x:c r="P52" s="7" t="str">
        <x:f>IF(ISBLANK('Evaluation Plan'!P52),"",'Evaluation Plan'!P52)</x:f>
      </x:c>
    </x:row>
    <x:row r="53" ht="64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Set the red block alongside the green pen.</x:v>
      </x:c>
      <x:c r="D53" s="7" t="str">
        <x:f>'Evaluation Plan'!D53</x:f>
        <x:v>P1 green pen at R3 (5 cm right of center) [REFERENCE]; P2 red block 18 cm behind P1 [TARGET START]; P3 pink marker 15 cm to the left of P1 [DISTRACTOR]; P4 blue block 15 cm to the right of P1 [DISTRACTOR]</x:v>
      </x:c>
      <x:c r="E53" s="8" t="n">
        <x:f>IF(ISBLANK('Evaluation Plan'!E53),"",'Evaluation Plan'!E53)</x:f>
        <x:v>50</x:v>
      </x:c>
      <x:c r="F53" s="8" t="str">
        <x:f>'Evaluation Plan'!F53</x:f>
        <x:v>red block → 2–8 cm edge gap from green pen (any direction)</x:v>
      </x:c>
      <x:c r="G53" s="7"/>
      <x:c r="H53" s="8" t="str">
        <x:f>'Evaluation Plan'!H53</x:f>
        <x:v>Language robustness</x:v>
      </x:c>
      <x:c r="I53" s="8" t="str">
        <x:f>'Evaluation Plan'!I53</x:f>
        <x:v>RP-F13</x:v>
      </x:c>
      <x:c r="J53" s="8" t="str">
        <x:f>'Evaluation Plan'!J53</x:f>
        <x:v>near</x:v>
      </x:c>
      <x:c r="K53" s="8" t="n">
        <x:f>'Evaluation Plan'!K53</x:f>
        <x:v>4</x:v>
      </x:c>
      <x:c r="L53" s="8" t="str">
        <x:f>'Evaluation Plan'!L53</x:f>
        <x:v>4 — Exact-scene control paraphrase — Paraphrase of matched-control prompt</x:v>
      </x:c>
      <x:c r="M53" s="8" t="n">
        <x:f>'Evaluation Plan'!M53</x:f>
        <x:v>13</x:v>
      </x:c>
      <x:c r="N53" s="7" t="str">
        <x:f>'Evaluation Plan'!N53</x:f>
        <x:v>Reset only P2 to its marked start; change only the prompt wording.</x:v>
      </x:c>
      <x:c r="O53" s="7" t="str">
        <x:f>'Evaluation Plan'!O53</x:f>
        <x:v>Exact-scene language comparison for the seen near relation.</x:v>
      </x:c>
      <x:c r="P53" s="7" t="str">
        <x:f>IF(ISBLANK('Evaluation Plan'!P53),"",'Evaluation Plan'!P53)</x:f>
      </x:c>
    </x:row>
    <x:row r="54" ht="64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Move the green pen to the back of the red block.</x:v>
      </x:c>
      <x:c r="D54" s="10" t="str">
        <x:f>'Evaluation Plan'!D54</x:f>
        <x:v>P1 red block at R4 (5 cm toward the robot from center) [REFERENCE]; P2 green pen 21 cm in front of P1 [TARGET START]; P3 pink marker 15 cm to the left of P1 [DISTRACTOR]; P4 blue block 15 cm to the right of P1 [DISTRACTOR]</x:v>
      </x:c>
      <x:c r="E54" s="9" t="str">
        <x:f>IF(ISBLANK('Evaluation Plan'!E54),"",'Evaluation Plan'!E54)</x:f>
      </x:c>
      <x:c r="F54" s="9" t="str">
        <x:f>'Evaluation Plan'!F54</x:f>
        <x:v>green pen → 2–8 cm edge gap behind red block; centroid direction within ±45°</x:v>
      </x:c>
      <x:c r="G54" s="10"/>
      <x:c r="H54" s="9" t="str">
        <x:f>'Evaluation Plan'!H54</x:f>
        <x:v>Concept/compositional transfer</x:v>
      </x:c>
      <x:c r="I54" s="9" t="str">
        <x:f>'Evaluation Plan'!I54</x:f>
        <x:v>RP-F14</x:v>
      </x:c>
      <x:c r="J54" s="9" t="str">
        <x:f>'Evaluation Plan'!J54</x:f>
        <x:v>behind</x:v>
      </x:c>
      <x:c r="K54" s="9" t="n">
        <x:f>'Evaluation Plan'!K54</x:f>
        <x:v>4</x:v>
      </x:c>
      <x:c r="L54" s="9" t="str">
        <x:f>'Evaluation Plan'!L54</x:f>
        <x:v>1 — Canonical transfer — Held-out direction × green-pen/red-block pair (behind)</x:v>
      </x:c>
      <x:c r="M54" s="9" t="n">
        <x:f>'Evaluation Plan'!M54</x:f>
        <x:v>14</x:v>
      </x:c>
      <x:c r="N54" s="10" t="str">
        <x:f>'Evaluation Plan'!N54</x:f>
        <x:v>Build the marked scene. Target starts in the opposite sector and outside the success gap; save a first-frame filename.</x:v>
      </x:c>
      <x:c r="O54" s="10" t="str">
        <x:f>'Evaluation Plan'!O54</x:f>
        <x:v>Directional language is trained on other object pairs, but all directional green-pen/red-block demonstrations are withheld in both target/reference directions.</x:v>
      </x:c>
      <x:c r="P54" s="10" t="str">
        <x:f>IF(ISBLANK('Evaluation Plan'!P54),"",'Evaluation Plan'!P54)</x:f>
      </x:c>
    </x:row>
    <x:row r="55" ht="64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green pen on the table in front of the red block.</x:v>
      </x:c>
      <x:c r="D55" s="7" t="str">
        <x:f>'Evaluation Plan'!D55</x:f>
        <x:v>P1 red block at R4 (5 cm toward the robot from center) [REFERENCE]; P2 green pen 21 cm in front of P1 [TARGET START]; P3 pink marker 15 cm to the left of P1 [DISTRACTOR]; P4 blue block 15 cm to the right of P1 [DISTRACTOR]</x:v>
      </x:c>
      <x:c r="E55" s="8" t="n">
        <x:f>IF(ISBLANK('Evaluation Plan'!E55),"",'Evaluation Plan'!E55)</x:f>
        <x:v>52</x:v>
      </x:c>
      <x:c r="F55" s="8" t="str">
        <x:f>'Evaluation Plan'!F55</x:f>
        <x:v>green pen → 2–8 cm edge gap in front of red block; centroid direction within ±45°</x:v>
      </x:c>
      <x:c r="G55" s="7"/>
      <x:c r="H55" s="8" t="str">
        <x:f>'Evaluation Plan'!H55</x:f>
        <x:v>Exact-scene opposite-direction contrast</x:v>
      </x:c>
      <x:c r="I55" s="8" t="str">
        <x:f>'Evaluation Plan'!I55</x:f>
        <x:v>RP-F14</x:v>
      </x:c>
      <x:c r="J55" s="8" t="str">
        <x:f>'Evaluation Plan'!J55</x:f>
        <x:v>front</x:v>
      </x:c>
      <x:c r="K55" s="8" t="n">
        <x:f>'Evaluation Plan'!K55</x:f>
        <x:v>4</x:v>
      </x:c>
      <x:c r="L55" s="8" t="str">
        <x:f>'Evaluation Plan'!L55</x:f>
        <x:v>2 — Exact-scene opposite-direction contrast — Direction-word counterfactual (behind→front)</x:v>
      </x:c>
      <x:c r="M55" s="8" t="n">
        <x:f>'Evaluation Plan'!M55</x:f>
        <x:v>14</x:v>
      </x:c>
      <x:c r="N55" s="7" t="str">
        <x:f>'Evaluation Plan'!N55</x:f>
        <x:v>Reset only P2 to its marked start. Preserve the exact scene; change only the directional word and expected goal sector.</x:v>
      </x:c>
      <x:c r="O55" s="7" t="str">
        <x:f>'Evaluation Plan'!O55</x:f>
        <x:v>Exact-scene semantic counterfactual. Target and reference identities stay fixed while the requested endpoint reverses front↔behind or left↔right.</x:v>
      </x:c>
      <x:c r="P55" s="7" t="str">
        <x:f>IF(ISBLANK('Evaluation Plan'!P55),"",'Evaluation Plan'!P55)</x:f>
      </x:c>
    </x:row>
    <x:row r="56" ht="64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Place the green pen next to the red block.</x:v>
      </x:c>
      <x:c r="D56" s="7" t="str">
        <x:f>'Evaluation Plan'!D56</x:f>
        <x:v>P1 red block at R4 (5 cm toward the robot from center) [REFERENCE]; P2 green pen 21 cm in front of P1 [TARGET START]; P3 pink marker 15 cm to the left of P1 [DISTRACTOR]; P4 blue block 15 cm to the right of P1 [DISTRACTOR]</x:v>
      </x:c>
      <x:c r="E56" s="8" t="n">
        <x:f>IF(ISBLANK('Evaluation Plan'!E56),"",'Evaluation Plan'!E56)</x:f>
        <x:v>52</x:v>
      </x:c>
      <x:c r="F56" s="8" t="str">
        <x:f>'Evaluation Plan'!F56</x:f>
        <x:v>green pen → 2–8 cm edge gap from red block (any direction)</x:v>
      </x:c>
      <x:c r="G56" s="7"/>
      <x:c r="H56" s="8" t="str">
        <x:f>'Evaluation Plan'!H56</x:f>
        <x:v>Matched manipulation control</x:v>
      </x:c>
      <x:c r="I56" s="8" t="str">
        <x:f>'Evaluation Plan'!I56</x:f>
        <x:v>RP-F14</x:v>
      </x:c>
      <x:c r="J56" s="8" t="str">
        <x:f>'Evaluation Plan'!J56</x:f>
        <x:v>near</x:v>
      </x:c>
      <x:c r="K56" s="8" t="n">
        <x:f>'Evaluation Plan'!K56</x:f>
        <x:v>4</x:v>
      </x:c>
      <x:c r="L56" s="8" t="str">
        <x:f>'Evaluation Plan'!L56</x:f>
        <x:v>3 — Matched control — Seen near/next-to/beside relation on the same ordered pair (4 objects)</x:v>
      </x:c>
      <x:c r="M56" s="8" t="n">
        <x:f>'Evaluation Plan'!M56</x:f>
        <x:v>14</x:v>
      </x:c>
      <x:c r="N56" s="7" t="str">
        <x:f>'Evaluation Plan'!N56</x:f>
        <x:v>Reset only P2 to its marked start. Keep every object, camera setting, and pose fixed; change only the prompt.</x:v>
      </x:c>
      <x:c r="O56" s="7" t="str">
        <x:f>'Evaluation Plan'!O56</x:f>
        <x:v>Controls target/reference recognition and basic pick-place on the exact pair. It is skill-matched but not direction-endpoint-matched, so analyze the paired success delta separately.</x:v>
      </x:c>
      <x:c r="P56" s="7" t="str">
        <x:f>IF(ISBLANK('Evaluation Plan'!P56),"",'Evaluation Plan'!P56)</x:f>
      </x:c>
    </x:row>
    <x:row r="57" ht="64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green pen within a short distance of the red block.</x:v>
      </x:c>
      <x:c r="D57" s="7" t="str">
        <x:f>'Evaluation Plan'!D57</x:f>
        <x:v>P1 red block at R4 (5 cm toward the robot from center) [REFERENCE]; P2 green pen 21 cm in front of P1 [TARGET START]; P3 pink marker 15 cm to the left of P1 [DISTRACTOR]; P4 blue block 15 cm to the right of P1 [DISTRACTOR]</x:v>
      </x:c>
      <x:c r="E57" s="8" t="n">
        <x:f>IF(ISBLANK('Evaluation Plan'!E57),"",'Evaluation Plan'!E57)</x:f>
        <x:v>54</x:v>
      </x:c>
      <x:c r="F57" s="8" t="str">
        <x:f>'Evaluation Plan'!F57</x:f>
        <x:v>green pen → 2–8 cm edge gap from red block (any direction)</x:v>
      </x:c>
      <x:c r="G57" s="7"/>
      <x:c r="H57" s="8" t="str">
        <x:f>'Evaluation Plan'!H57</x:f>
        <x:v>Language robustness</x:v>
      </x:c>
      <x:c r="I57" s="8" t="str">
        <x:f>'Evaluation Plan'!I57</x:f>
        <x:v>RP-F14</x:v>
      </x:c>
      <x:c r="J57" s="8" t="str">
        <x:f>'Evaluation Plan'!J57</x:f>
        <x:v>near</x:v>
      </x:c>
      <x:c r="K57" s="8" t="n">
        <x:f>'Evaluation Plan'!K57</x:f>
        <x:v>4</x:v>
      </x:c>
      <x:c r="L57" s="8" t="str">
        <x:f>'Evaluation Plan'!L57</x:f>
        <x:v>4 — Exact-scene control paraphrase — Paraphrase of matched-control prompt</x:v>
      </x:c>
      <x:c r="M57" s="8" t="n">
        <x:f>'Evaluation Plan'!M57</x:f>
        <x:v>14</x:v>
      </x:c>
      <x:c r="N57" s="7" t="str">
        <x:f>'Evaluation Plan'!N57</x:f>
        <x:v>Reset only P2 to its marked start; change only the prompt wording.</x:v>
      </x:c>
      <x:c r="O57" s="7" t="str">
        <x:f>'Evaluation Plan'!O57</x:f>
        <x:v>Exact-scene language comparison for the seen near relation.</x:v>
      </x:c>
      <x:c r="P57" s="7" t="str">
        <x:f>IF(ISBLANK('Evaluation Plan'!P57),"",'Evaluation Plan'!P57)</x:f>
      </x:c>
    </x:row>
    <x:row r="58" ht="64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Place the red block to the left of the green pen.</x:v>
      </x:c>
      <x:c r="D58" s="10" t="str">
        <x:f>'Evaluation Plan'!D58</x:f>
        <x:v>P1 green pen at R5 (5 cm away from the robot from center) [REFERENCE]; P2 red block 24 cm to the right of P1 [TARGET START]; P3 pink marker 15 cm in front of P1 [DISTRACTOR]; P4 blue block 15 cm behind P1 [DISTRACTOR]</x:v>
      </x:c>
      <x:c r="E58" s="9" t="str">
        <x:f>IF(ISBLANK('Evaluation Plan'!E58),"",'Evaluation Plan'!E58)</x:f>
      </x:c>
      <x:c r="F58" s="9" t="str">
        <x:f>'Evaluation Plan'!F58</x:f>
        <x:v>red block → 2–8 cm edge gap to the left of green pen; centroid direction within ±45°</x:v>
      </x:c>
      <x:c r="G58" s="10"/>
      <x:c r="H58" s="9" t="str">
        <x:f>'Evaluation Plan'!H58</x:f>
        <x:v>Concept/compositional transfer</x:v>
      </x:c>
      <x:c r="I58" s="9" t="str">
        <x:f>'Evaluation Plan'!I58</x:f>
        <x:v>RP-F15</x:v>
      </x:c>
      <x:c r="J58" s="9" t="str">
        <x:f>'Evaluation Plan'!J58</x:f>
        <x:v>left</x:v>
      </x:c>
      <x:c r="K58" s="9" t="n">
        <x:f>'Evaluation Plan'!K58</x:f>
        <x:v>4</x:v>
      </x:c>
      <x:c r="L58" s="9" t="str">
        <x:f>'Evaluation Plan'!L58</x:f>
        <x:v>1 — Canonical transfer — Held-out direction × green-pen/red-block pair (left)</x:v>
      </x:c>
      <x:c r="M58" s="9" t="n">
        <x:f>'Evaluation Plan'!M58</x:f>
        <x:v>15</x:v>
      </x:c>
      <x:c r="N58" s="10" t="str">
        <x:f>'Evaluation Plan'!N58</x:f>
        <x:v>Build the marked scene. Target starts in the opposite sector and outside the success gap; save a first-frame filename.</x:v>
      </x:c>
      <x:c r="O58" s="10" t="str">
        <x:f>'Evaluation Plan'!O58</x:f>
        <x:v>Directional language is trained on other object pairs, but all directional green-pen/red-block demonstrations are withheld in both target/reference directions.</x:v>
      </x:c>
      <x:c r="P58" s="10" t="str">
        <x:f>IF(ISBLANK('Evaluation Plan'!P58),"",'Evaluation Plan'!P58)</x:f>
      </x:c>
    </x:row>
    <x:row r="59" ht="64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red block to the right of the green pen.</x:v>
      </x:c>
      <x:c r="D59" s="7" t="str">
        <x:f>'Evaluation Plan'!D59</x:f>
        <x:v>P1 green pen at R5 (5 cm away from the robot from center) [REFERENCE]; P2 red block 24 cm to the right of P1 [TARGET START]; P3 pink marker 15 cm in front of P1 [DISTRACTOR]; P4 blue block 15 cm behind P1 [DISTRACTOR]</x:v>
      </x:c>
      <x:c r="E59" s="8" t="n">
        <x:f>IF(ISBLANK('Evaluation Plan'!E59),"",'Evaluation Plan'!E59)</x:f>
        <x:v>56</x:v>
      </x:c>
      <x:c r="F59" s="8" t="str">
        <x:f>'Evaluation Plan'!F59</x:f>
        <x:v>red block → 2–8 cm edge gap to the right of green pen; centroid direction within ±45°</x:v>
      </x:c>
      <x:c r="G59" s="7"/>
      <x:c r="H59" s="8" t="str">
        <x:f>'Evaluation Plan'!H59</x:f>
        <x:v>Exact-scene opposite-direction contrast</x:v>
      </x:c>
      <x:c r="I59" s="8" t="str">
        <x:f>'Evaluation Plan'!I59</x:f>
        <x:v>RP-F15</x:v>
      </x:c>
      <x:c r="J59" s="8" t="str">
        <x:f>'Evaluation Plan'!J59</x:f>
        <x:v>right</x:v>
      </x:c>
      <x:c r="K59" s="8" t="n">
        <x:f>'Evaluation Plan'!K59</x:f>
        <x:v>4</x:v>
      </x:c>
      <x:c r="L59" s="8" t="str">
        <x:f>'Evaluation Plan'!L59</x:f>
        <x:v>2 — Exact-scene opposite-direction contrast — Direction-word counterfactual (left→right)</x:v>
      </x:c>
      <x:c r="M59" s="8" t="n">
        <x:f>'Evaluation Plan'!M59</x:f>
        <x:v>15</x:v>
      </x:c>
      <x:c r="N59" s="7" t="str">
        <x:f>'Evaluation Plan'!N59</x:f>
        <x:v>Reset only P2 to its marked start. Preserve the exact scene; change only the directional word and expected goal sector.</x:v>
      </x:c>
      <x:c r="O59" s="7" t="str">
        <x:f>'Evaluation Plan'!O59</x:f>
        <x:v>Exact-scene semantic counterfactual. Target and reference identities stay fixed while the requested endpoint reverses front↔behind or left↔right.</x:v>
      </x:c>
      <x:c r="P59" s="7" t="str">
        <x:f>IF(ISBLANK('Evaluation Plan'!P59),"",'Evaluation Plan'!P59)</x:f>
      </x:c>
    </x:row>
    <x:row r="60" ht="64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red block beside the green pen.</x:v>
      </x:c>
      <x:c r="D60" s="7" t="str">
        <x:f>'Evaluation Plan'!D60</x:f>
        <x:v>P1 green pen at R5 (5 cm away from the robot from center) [REFERENCE]; P2 red block 24 cm to the right of P1 [TARGET START]; P3 pink marker 15 cm in front of P1 [DISTRACTOR]; P4 blue block 15 cm behind P1 [DISTRACTOR]</x:v>
      </x:c>
      <x:c r="E60" s="8" t="n">
        <x:f>IF(ISBLANK('Evaluation Plan'!E60),"",'Evaluation Plan'!E60)</x:f>
        <x:v>56</x:v>
      </x:c>
      <x:c r="F60" s="8" t="str">
        <x:f>'Evaluation Plan'!F60</x:f>
        <x:v>red block → 2–8 cm edge gap from green pen (any direction)</x:v>
      </x:c>
      <x:c r="G60" s="7"/>
      <x:c r="H60" s="8" t="str">
        <x:f>'Evaluation Plan'!H60</x:f>
        <x:v>Matched manipulation control</x:v>
      </x:c>
      <x:c r="I60" s="8" t="str">
        <x:f>'Evaluation Plan'!I60</x:f>
        <x:v>RP-F15</x:v>
      </x:c>
      <x:c r="J60" s="8" t="str">
        <x:f>'Evaluation Plan'!J60</x:f>
        <x:v>near</x:v>
      </x:c>
      <x:c r="K60" s="8" t="n">
        <x:f>'Evaluation Plan'!K60</x:f>
        <x:v>4</x:v>
      </x:c>
      <x:c r="L60" s="8" t="str">
        <x:f>'Evaluation Plan'!L60</x:f>
        <x:v>3 — Matched control — Seen near/next-to/beside relation on the same ordered pair (4 objects)</x:v>
      </x:c>
      <x:c r="M60" s="8" t="n">
        <x:f>'Evaluation Plan'!M60</x:f>
        <x:v>15</x:v>
      </x:c>
      <x:c r="N60" s="7" t="str">
        <x:f>'Evaluation Plan'!N60</x:f>
        <x:v>Reset only P2 to its marked start. Keep every object, camera setting, and pose fixed; change only the prompt.</x:v>
      </x:c>
      <x:c r="O60" s="7" t="str">
        <x:f>'Evaluation Plan'!O60</x:f>
        <x:v>Controls target/reference recognition and basic pick-place on the exact pair. It is skill-matched but not direction-endpoint-matched, so analyze the paired success delta separately.</x:v>
      </x:c>
      <x:c r="P60" s="7" t="str">
        <x:f>IF(ISBLANK('Evaluation Plan'!P60),"",'Evaluation Plan'!P60)</x:f>
      </x:c>
    </x:row>
    <x:row r="61" ht="64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Place the red block near enough to sit beside the green pen.</x:v>
      </x:c>
      <x:c r="D61" s="7" t="str">
        <x:f>'Evaluation Plan'!D61</x:f>
        <x:v>P1 green pen at R5 (5 cm away from the robot from center) [REFERENCE]; P2 red block 24 cm to the right of P1 [TARGET START]; P3 pink marker 15 cm in front of P1 [DISTRACTOR]; P4 blue block 15 cm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block → 2–8 cm edge gap from green pen (any direction)</x:v>
      </x:c>
      <x:c r="G61" s="7"/>
      <x:c r="H61" s="8" t="str">
        <x:f>'Evaluation Plan'!H61</x:f>
        <x:v>Language robustness</x:v>
      </x:c>
      <x:c r="I61" s="8" t="str">
        <x:f>'Evaluation Plan'!I61</x:f>
        <x:v>RP-F15</x:v>
      </x:c>
      <x:c r="J61" s="8" t="str">
        <x:f>'Evaluation Plan'!J61</x:f>
        <x:v>near</x:v>
      </x:c>
      <x:c r="K61" s="8" t="n">
        <x:f>'Evaluation Plan'!K61</x:f>
        <x:v>4</x:v>
      </x:c>
      <x:c r="L61" s="8" t="str">
        <x:f>'Evaluation Plan'!L61</x:f>
        <x:v>4 — Exact-scene control paraphrase — Paraphrase of matched-control prompt</x:v>
      </x:c>
      <x:c r="M61" s="8" t="n">
        <x:f>'Evaluation Plan'!M61</x:f>
        <x:v>15</x:v>
      </x:c>
      <x:c r="N61" s="7" t="str">
        <x:f>'Evaluation Plan'!N61</x:f>
        <x:v>Reset only P2 to its marked start; change only the prompt wording.</x:v>
      </x:c>
      <x:c r="O61" s="7" t="str">
        <x:f>'Evaluation Plan'!O61</x:f>
        <x:v>Exact-scene language comparison for the seen near relation.</x:v>
      </x:c>
      <x:c r="P61" s="7" t="str">
        <x:f>IF(ISBLANK('Evaluation Plan'!P61),"",'Evaluation Plan'!P61)</x:f>
      </x:c>
    </x:row>
    <x:row r="62" ht="64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green pen to the right of the red block.</x:v>
      </x:c>
      <x:c r="D62" s="10" t="str">
        <x:f>'Evaluation Plan'!D62</x:f>
        <x:v>P1 red block at R1 (table center) [REFERENCE]; P2 green pen 18 cm to the left of P1 [TARGET START]; P3 pink marker 15 cm in front of P1 [DISTRACTOR]; P4 blue block 15 cm behind P1 [DISTRACTOR]</x:v>
      </x:c>
      <x:c r="E62" s="9" t="str">
        <x:f>IF(ISBLANK('Evaluation Plan'!E62),"",'Evaluation Plan'!E62)</x:f>
      </x:c>
      <x:c r="F62" s="9" t="str">
        <x:f>'Evaluation Plan'!F62</x:f>
        <x:v>green pen → 2–8 cm edge gap to the right of red block; centroid direction within ±45°</x:v>
      </x:c>
      <x:c r="G62" s="10"/>
      <x:c r="H62" s="9" t="str">
        <x:f>'Evaluation Plan'!H62</x:f>
        <x:v>Concept/compositional transfer</x:v>
      </x:c>
      <x:c r="I62" s="9" t="str">
        <x:f>'Evaluation Plan'!I62</x:f>
        <x:v>RP-F16</x:v>
      </x:c>
      <x:c r="J62" s="9" t="str">
        <x:f>'Evaluation Plan'!J62</x:f>
        <x:v>right</x:v>
      </x:c>
      <x:c r="K62" s="9" t="n">
        <x:f>'Evaluation Plan'!K62</x:f>
        <x:v>4</x:v>
      </x:c>
      <x:c r="L62" s="9" t="str">
        <x:f>'Evaluation Plan'!L62</x:f>
        <x:v>1 — Canonical transfer — Held-out direction × green-pen/red-block pair (right)</x:v>
      </x:c>
      <x:c r="M62" s="9" t="n">
        <x:f>'Evaluation Plan'!M62</x:f>
        <x:v>16</x:v>
      </x:c>
      <x:c r="N62" s="10" t="str">
        <x:f>'Evaluation Plan'!N62</x:f>
        <x:v>Build the marked scene. Target starts in the opposite sector and outside the success gap; save a first-frame filename.</x:v>
      </x:c>
      <x:c r="O62" s="10" t="str">
        <x:f>'Evaluation Plan'!O62</x:f>
        <x:v>Directional language is trained on other object pairs, but all directional green-pen/red-block demonstrations are withheld in both target/reference directions.</x:v>
      </x:c>
      <x:c r="P62" s="10" t="str">
        <x:f>IF(ISBLANK('Evaluation Plan'!P62),"",'Evaluation Plan'!P62)</x:f>
      </x:c>
    </x:row>
    <x:row r="63" ht="64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green pen to the left of the red block.</x:v>
      </x:c>
      <x:c r="D63" s="7" t="str">
        <x:f>'Evaluation Plan'!D63</x:f>
        <x:v>P1 red block at R1 (table center) [REFERENCE]; P2 green pen 18 cm to the left of P1 [TARGET START]; P3 pink marker 15 cm in front of P1 [DISTRACTOR]; P4 blue block 15 cm behind P1 [DISTRACTOR]</x:v>
      </x:c>
      <x:c r="E63" s="8" t="n">
        <x:f>IF(ISBLANK('Evaluation Plan'!E63),"",'Evaluation Plan'!E63)</x:f>
        <x:v>60</x:v>
      </x:c>
      <x:c r="F63" s="8" t="str">
        <x:f>'Evaluation Plan'!F63</x:f>
        <x:v>green pen → 2–8 cm edge gap to the left of red block; centroid direction within ±45°</x:v>
      </x:c>
      <x:c r="G63" s="7"/>
      <x:c r="H63" s="8" t="str">
        <x:f>'Evaluation Plan'!H63</x:f>
        <x:v>Exact-scene opposite-direction contrast</x:v>
      </x:c>
      <x:c r="I63" s="8" t="str">
        <x:f>'Evaluation Plan'!I63</x:f>
        <x:v>RP-F16</x:v>
      </x:c>
      <x:c r="J63" s="8" t="str">
        <x:f>'Evaluation Plan'!J63</x:f>
        <x:v>left</x:v>
      </x:c>
      <x:c r="K63" s="8" t="n">
        <x:f>'Evaluation Plan'!K63</x:f>
        <x:v>4</x:v>
      </x:c>
      <x:c r="L63" s="8" t="str">
        <x:f>'Evaluation Plan'!L63</x:f>
        <x:v>2 — Exact-scene opposite-direction contrast — Direction-word counterfactual (right→left)</x:v>
      </x:c>
      <x:c r="M63" s="8" t="n">
        <x:f>'Evaluation Plan'!M63</x:f>
        <x:v>16</x:v>
      </x:c>
      <x:c r="N63" s="7" t="str">
        <x:f>'Evaluation Plan'!N63</x:f>
        <x:v>Reset only P2 to its marked start. Preserve the exact scene; change only the directional word and expected goal sector.</x:v>
      </x:c>
      <x:c r="O63" s="7" t="str">
        <x:f>'Evaluation Plan'!O63</x:f>
        <x:v>Exact-scene semantic counterfactual. Target and reference identities stay fixed while the requested endpoint reverses front↔behind or left↔right.</x:v>
      </x:c>
      <x:c r="P63" s="7" t="str">
        <x:f>IF(ISBLANK('Evaluation Plan'!P63),"",'Evaluation Plan'!P63)</x:f>
      </x:c>
    </x:row>
    <x:row r="64" ht="64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pen near the red block.</x:v>
      </x:c>
      <x:c r="D64" s="7" t="str">
        <x:f>'Evaluation Plan'!D64</x:f>
        <x:v>P1 red block at R1 (table center) [REFERENCE]; P2 green pen 18 cm to the left of P1 [TARGET START]; P3 pink marker 15 cm in front of P1 [DISTRACTOR]; P4 blue block 15 cm behind P1 [DISTRACTOR]</x:v>
      </x:c>
      <x:c r="E64" s="8" t="n">
        <x:f>IF(ISBLANK('Evaluation Plan'!E64),"",'Evaluation Plan'!E64)</x:f>
        <x:v>60</x:v>
      </x:c>
      <x:c r="F64" s="8" t="str">
        <x:f>'Evaluation Plan'!F64</x:f>
        <x:v>green pen → 2–8 cm edge gap from red block (any direction)</x:v>
      </x:c>
      <x:c r="G64" s="7"/>
      <x:c r="H64" s="8" t="str">
        <x:f>'Evaluation Plan'!H64</x:f>
        <x:v>Matched manipulation control</x:v>
      </x:c>
      <x:c r="I64" s="8" t="str">
        <x:f>'Evaluation Plan'!I64</x:f>
        <x:v>RP-F16</x:v>
      </x:c>
      <x:c r="J64" s="8" t="str">
        <x:f>'Evaluation Plan'!J64</x:f>
        <x:v>near</x:v>
      </x:c>
      <x:c r="K64" s="8" t="n">
        <x:f>'Evaluation Plan'!K64</x:f>
        <x:v>4</x:v>
      </x:c>
      <x:c r="L64" s="8" t="str">
        <x:f>'Evaluation Plan'!L64</x:f>
        <x:v>3 — Matched control — Seen near/next-to/beside relation on the same ordered pair (4 objects)</x:v>
      </x:c>
      <x:c r="M64" s="8" t="n">
        <x:f>'Evaluation Plan'!M64</x:f>
        <x:v>16</x:v>
      </x:c>
      <x:c r="N64" s="7" t="str">
        <x:f>'Evaluation Plan'!N64</x:f>
        <x:v>Reset only P2 to its marked start. Keep every object, camera setting, and pose fixed; change only the prompt.</x:v>
      </x:c>
      <x:c r="O64" s="7" t="str">
        <x:f>'Evaluation Plan'!O64</x:f>
        <x:v>Controls target/reference recognition and basic pick-place on the exact pair. It is skill-matched but not direction-endpoint-matched, so analyze the paired success delta separately.</x:v>
      </x:c>
      <x:c r="P64" s="7" t="str">
        <x:f>IF(ISBLANK('Evaluation Plan'!P64),"",'Evaluation Plan'!P64)</x:f>
      </x:c>
    </x:row>
    <x:row r="65" ht="64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Position the green pen adjacent to the red block.</x:v>
      </x:c>
      <x:c r="D65" s="7" t="str">
        <x:f>'Evaluation Plan'!D65</x:f>
        <x:v>P1 red block at R1 (table center) [REFERENCE]; P2 green pen 18 cm to the left of P1 [TARGET START]; P3 pink marker 15 cm in front of P1 [DISTRACTOR]; P4 blue block 15 cm behind P1 [DISTRACTOR]</x:v>
      </x:c>
      <x:c r="E65" s="8" t="n">
        <x:f>IF(ISBLANK('Evaluation Plan'!E65),"",'Evaluation Plan'!E65)</x:f>
        <x:v>62</x:v>
      </x:c>
      <x:c r="F65" s="8" t="str">
        <x:f>'Evaluation Plan'!F65</x:f>
        <x:v>green pen → 2–8 cm edge gap from red block (any direction)</x:v>
      </x:c>
      <x:c r="G65" s="7"/>
      <x:c r="H65" s="8" t="str">
        <x:f>'Evaluation Plan'!H65</x:f>
        <x:v>Language robustness</x:v>
      </x:c>
      <x:c r="I65" s="8" t="str">
        <x:f>'Evaluation Plan'!I65</x:f>
        <x:v>RP-F16</x:v>
      </x:c>
      <x:c r="J65" s="8" t="str">
        <x:f>'Evaluation Plan'!J65</x:f>
        <x:v>near</x:v>
      </x:c>
      <x:c r="K65" s="8" t="n">
        <x:f>'Evaluation Plan'!K65</x:f>
        <x:v>4</x:v>
      </x:c>
      <x:c r="L65" s="8" t="str">
        <x:f>'Evaluation Plan'!L65</x:f>
        <x:v>4 — Exact-scene control paraphrase — Paraphrase of matched-control prompt</x:v>
      </x:c>
      <x:c r="M65" s="8" t="n">
        <x:f>'Evaluation Plan'!M65</x:f>
        <x:v>16</x:v>
      </x:c>
      <x:c r="N65" s="7" t="str">
        <x:f>'Evaluation Plan'!N65</x:f>
        <x:v>Reset only P2 to its marked start; change only the prompt wording.</x:v>
      </x:c>
      <x:c r="O65" s="7" t="str">
        <x:f>'Evaluation Plan'!O65</x:f>
        <x:v>Exact-scene language comparison for the seen near relation.</x:v>
      </x:c>
      <x:c r="P65" s="7" t="str">
        <x:f>IF(ISBLANK('Evaluation Plan'!P65),"",'Evaluation Plan'!P65)</x:f>
      </x:c>
    </x:row>
    <x:row r="66" ht="64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green pen to the front of the red block.</x:v>
      </x:c>
      <x:c r="D66" s="10" t="str">
        <x:f>'Evaluation Plan'!D66</x:f>
        <x:v>P1 red block at R2 (5 cm left of center) [REFERENCE]; P2 green pen 21 cm behind P1 [TARGET START]; P3 pink marker 15 cm to the left of P1 [DISTRACTOR]; P4 blue block 15 cm to the right of P1 [DISTRACTOR]</x:v>
      </x:c>
      <x:c r="E66" s="9" t="str">
        <x:f>IF(ISBLANK('Evaluation Plan'!E66),"",'Evaluation Plan'!E66)</x:f>
      </x:c>
      <x:c r="F66" s="9" t="str">
        <x:f>'Evaluation Plan'!F66</x:f>
        <x:v>green pen → 2–8 cm edge gap in front of red block; centroid direction within ±45°</x:v>
      </x:c>
      <x:c r="G66" s="10"/>
      <x:c r="H66" s="9" t="str">
        <x:f>'Evaluation Plan'!H66</x:f>
        <x:v>Concept/compositional transfer</x:v>
      </x:c>
      <x:c r="I66" s="9" t="str">
        <x:f>'Evaluation Plan'!I66</x:f>
        <x:v>RP-F17</x:v>
      </x:c>
      <x:c r="J66" s="9" t="str">
        <x:f>'Evaluation Plan'!J66</x:f>
        <x:v>front</x:v>
      </x:c>
      <x:c r="K66" s="9" t="n">
        <x:f>'Evaluation Plan'!K66</x:f>
        <x:v>4</x:v>
      </x:c>
      <x:c r="L66" s="9" t="str">
        <x:f>'Evaluation Plan'!L66</x:f>
        <x:v>1 — Canonical transfer — Held-out direction × green-pen/red-block pair (front)</x:v>
      </x:c>
      <x:c r="M66" s="9" t="n">
        <x:f>'Evaluation Plan'!M66</x:f>
        <x:v>17</x:v>
      </x:c>
      <x:c r="N66" s="10" t="str">
        <x:f>'Evaluation Plan'!N66</x:f>
        <x:v>Build the marked scene. Target starts in the opposite sector and outside the success gap; save a first-frame filename.</x:v>
      </x:c>
      <x:c r="O66" s="10" t="str">
        <x:f>'Evaluation Plan'!O66</x:f>
        <x:v>Directional language is trained on other object pairs, but all directional green-pen/red-block demonstrations are withheld in both target/reference directions.</x:v>
      </x:c>
      <x:c r="P66" s="10" t="str">
        <x:f>IF(ISBLANK('Evaluation Plan'!P66),"",'Evaluation Plan'!P66)</x:f>
      </x:c>
    </x:row>
    <x:row r="67" ht="64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pen on the table behind the red block.</x:v>
      </x:c>
      <x:c r="D67" s="7" t="str">
        <x:f>'Evaluation Plan'!D67</x:f>
        <x:v>P1 red block at R2 (5 cm left of center) [REFERENCE]; P2 green pen 21 cm behind P1 [TARGET START]; P3 pink marker 15 cm to the left of P1 [DISTRACTOR]; P4 blue block 15 cm to the right of P1 [DISTRACTOR]</x:v>
      </x:c>
      <x:c r="E67" s="8" t="n">
        <x:f>IF(ISBLANK('Evaluation Plan'!E67),"",'Evaluation Plan'!E67)</x:f>
        <x:v>64</x:v>
      </x:c>
      <x:c r="F67" s="8" t="str">
        <x:f>'Evaluation Plan'!F67</x:f>
        <x:v>green pen → 2–8 cm edge gap behind red block; centroid direction within ±45°</x:v>
      </x:c>
      <x:c r="G67" s="7"/>
      <x:c r="H67" s="8" t="str">
        <x:f>'Evaluation Plan'!H67</x:f>
        <x:v>Exact-scene opposite-direction contrast</x:v>
      </x:c>
      <x:c r="I67" s="8" t="str">
        <x:f>'Evaluation Plan'!I67</x:f>
        <x:v>RP-F17</x:v>
      </x:c>
      <x:c r="J67" s="8" t="str">
        <x:f>'Evaluation Plan'!J67</x:f>
        <x:v>behind</x:v>
      </x:c>
      <x:c r="K67" s="8" t="n">
        <x:f>'Evaluation Plan'!K67</x:f>
        <x:v>4</x:v>
      </x:c>
      <x:c r="L67" s="8" t="str">
        <x:f>'Evaluation Plan'!L67</x:f>
        <x:v>2 — Exact-scene opposite-direction contrast — Direction-word counterfactual (front→behind)</x:v>
      </x:c>
      <x:c r="M67" s="8" t="n">
        <x:f>'Evaluation Plan'!M67</x:f>
        <x:v>17</x:v>
      </x:c>
      <x:c r="N67" s="7" t="str">
        <x:f>'Evaluation Plan'!N67</x:f>
        <x:v>Reset only P2 to its marked start. Preserve the exact scene; change only the directional word and expected goal sector.</x:v>
      </x:c>
      <x:c r="O67" s="7" t="str">
        <x:f>'Evaluation Plan'!O67</x:f>
        <x:v>Exact-scene semantic counterfactual. Target and reference identities stay fixed while the requested endpoint reverses front↔behind or left↔right.</x:v>
      </x:c>
      <x:c r="P67" s="7" t="str">
        <x:f>IF(ISBLANK('Evaluation Plan'!P67),"",'Evaluation Plan'!P67)</x:f>
      </x:c>
    </x:row>
    <x:row r="68" ht="64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Place the green pen next to the red block.</x:v>
      </x:c>
      <x:c r="D68" s="7" t="str">
        <x:f>'Evaluation Plan'!D68</x:f>
        <x:v>P1 red block at R2 (5 cm left of center) [REFERENCE]; P2 green pen 21 cm behind P1 [TARGET START]; P3 pink marker 15 cm to the left of P1 [DISTRACTOR]; P4 blue block 15 cm to the right of P1 [DISTRACTOR]</x:v>
      </x:c>
      <x:c r="E68" s="8" t="n">
        <x:f>IF(ISBLANK('Evaluation Plan'!E68),"",'Evaluation Plan'!E68)</x:f>
        <x:v>64</x:v>
      </x:c>
      <x:c r="F68" s="8" t="str">
        <x:f>'Evaluation Plan'!F68</x:f>
        <x:v>green pen → 2–8 cm edge gap from red block (any direction)</x:v>
      </x:c>
      <x:c r="G68" s="7"/>
      <x:c r="H68" s="8" t="str">
        <x:f>'Evaluation Plan'!H68</x:f>
        <x:v>Matched manipulation control</x:v>
      </x:c>
      <x:c r="I68" s="8" t="str">
        <x:f>'Evaluation Plan'!I68</x:f>
        <x:v>RP-F17</x:v>
      </x:c>
      <x:c r="J68" s="8" t="str">
        <x:f>'Evaluation Plan'!J68</x:f>
        <x:v>near</x:v>
      </x:c>
      <x:c r="K68" s="8" t="n">
        <x:f>'Evaluation Plan'!K68</x:f>
        <x:v>4</x:v>
      </x:c>
      <x:c r="L68" s="8" t="str">
        <x:f>'Evaluation Plan'!L68</x:f>
        <x:v>3 — Matched control — Seen near/next-to/beside relation on the same ordered pair (4 objects)</x:v>
      </x:c>
      <x:c r="M68" s="8" t="n">
        <x:f>'Evaluation Plan'!M68</x:f>
        <x:v>17</x:v>
      </x:c>
      <x:c r="N68" s="7" t="str">
        <x:f>'Evaluation Plan'!N68</x:f>
        <x:v>Reset only P2 to its marked start. Keep every object, camera setting, and pose fixed; change only the prompt.</x:v>
      </x:c>
      <x:c r="O68" s="7" t="str">
        <x:f>'Evaluation Plan'!O68</x:f>
        <x:v>Controls target/reference recognition and basic pick-place on the exact pair. It is skill-matched but not direction-endpoint-matched, so analyze the paired success delta separately.</x:v>
      </x:c>
      <x:c r="P68" s="7" t="str">
        <x:f>IF(ISBLANK('Evaluation Plan'!P68),"",'Evaluation Plan'!P68)</x:f>
      </x:c>
    </x:row>
    <x:row r="69" ht="64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green pen close to the red block.</x:v>
      </x:c>
      <x:c r="D69" s="7" t="str">
        <x:f>'Evaluation Plan'!D69</x:f>
        <x:v>P1 red block at R2 (5 cm left of center) [REFERENCE]; P2 green pen 21 cm behind P1 [TARGET START]; P3 pink marker 15 cm to the left of P1 [DISTRACTOR]; P4 blue block 15 cm to the right of P1 [DISTRACTOR]</x:v>
      </x:c>
      <x:c r="E69" s="8" t="n">
        <x:f>IF(ISBLANK('Evaluation Plan'!E69),"",'Evaluation Plan'!E69)</x:f>
        <x:v>66</x:v>
      </x:c>
      <x:c r="F69" s="8" t="str">
        <x:f>'Evaluation Plan'!F69</x:f>
        <x:v>green pen → 2–8 cm edge gap from red block (any direction)</x:v>
      </x:c>
      <x:c r="G69" s="7"/>
      <x:c r="H69" s="8" t="str">
        <x:f>'Evaluation Plan'!H69</x:f>
        <x:v>Language robustness</x:v>
      </x:c>
      <x:c r="I69" s="8" t="str">
        <x:f>'Evaluation Plan'!I69</x:f>
        <x:v>RP-F17</x:v>
      </x:c>
      <x:c r="J69" s="8" t="str">
        <x:f>'Evaluation Plan'!J69</x:f>
        <x:v>near</x:v>
      </x:c>
      <x:c r="K69" s="8" t="n">
        <x:f>'Evaluation Plan'!K69</x:f>
        <x:v>4</x:v>
      </x:c>
      <x:c r="L69" s="8" t="str">
        <x:f>'Evaluation Plan'!L69</x:f>
        <x:v>4 — Exact-scene control paraphrase — Paraphrase of matched-control prompt</x:v>
      </x:c>
      <x:c r="M69" s="8" t="n">
        <x:f>'Evaluation Plan'!M69</x:f>
        <x:v>17</x:v>
      </x:c>
      <x:c r="N69" s="7" t="str">
        <x:f>'Evaluation Plan'!N69</x:f>
        <x:v>Reset only P2 to its marked start; change only the prompt wording.</x:v>
      </x:c>
      <x:c r="O69" s="7" t="str">
        <x:f>'Evaluation Plan'!O69</x:f>
        <x:v>Exact-scene language comparison for the seen near relation.</x:v>
      </x:c>
      <x:c r="P69" s="7" t="str">
        <x:f>IF(ISBLANK('Evaluation Plan'!P69),"",'Evaluation Plan'!P69)</x:f>
      </x:c>
    </x:row>
    <x:row r="70" ht="64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Put the red block on the table behind the green pen.</x:v>
      </x:c>
      <x:c r="D70" s="10" t="str">
        <x:f>'Evaluation Plan'!D70</x:f>
        <x:v>P1 green pen at R3 (5 cm right of center) [REFERENCE]; P2 red block 24 cm in front of P1 [TARGET START]; P3 pink marker 15 cm to the left of P1 [DISTRACTOR]; P4 blue block 15 cm to the right of P1 [DISTRACTOR]</x:v>
      </x:c>
      <x:c r="E70" s="9" t="str">
        <x:f>IF(ISBLANK('Evaluation Plan'!E70),"",'Evaluation Plan'!E70)</x:f>
      </x:c>
      <x:c r="F70" s="9" t="str">
        <x:f>'Evaluation Plan'!F70</x:f>
        <x:v>red block → 2–8 cm edge gap behind green pen; centroid direction within ±45°</x:v>
      </x:c>
      <x:c r="G70" s="10"/>
      <x:c r="H70" s="9" t="str">
        <x:f>'Evaluation Plan'!H70</x:f>
        <x:v>Concept/compositional transfer</x:v>
      </x:c>
      <x:c r="I70" s="9" t="str">
        <x:f>'Evaluation Plan'!I70</x:f>
        <x:v>RP-F18</x:v>
      </x:c>
      <x:c r="J70" s="9" t="str">
        <x:f>'Evaluation Plan'!J70</x:f>
        <x:v>behind</x:v>
      </x:c>
      <x:c r="K70" s="9" t="n">
        <x:f>'Evaluation Plan'!K70</x:f>
        <x:v>4</x:v>
      </x:c>
      <x:c r="L70" s="9" t="str">
        <x:f>'Evaluation Plan'!L70</x:f>
        <x:v>1 — Canonical transfer — Held-out direction × green-pen/red-block pair (behind)</x:v>
      </x:c>
      <x:c r="M70" s="9" t="n">
        <x:f>'Evaluation Plan'!M70</x:f>
        <x:v>18</x:v>
      </x:c>
      <x:c r="N70" s="10" t="str">
        <x:f>'Evaluation Plan'!N70</x:f>
        <x:v>Build the marked scene. Target starts in the opposite sector and outside the success gap; save a first-frame filename.</x:v>
      </x:c>
      <x:c r="O70" s="10" t="str">
        <x:f>'Evaluation Plan'!O70</x:f>
        <x:v>Directional language is trained on other object pairs, but all directional green-pen/red-block demonstrations are withheld in both target/reference directions.</x:v>
      </x:c>
      <x:c r="P70" s="10" t="str">
        <x:f>IF(ISBLANK('Evaluation Plan'!P70),"",'Evaluation Plan'!P70)</x:f>
      </x:c>
    </x:row>
    <x:row r="71" ht="64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Place the red block in front of the green pen.</x:v>
      </x:c>
      <x:c r="D71" s="7" t="str">
        <x:f>'Evaluation Plan'!D71</x:f>
        <x:v>P1 green pen at R3 (5 cm right of center) [REFERENCE]; P2 red block 24 cm in front of P1 [TARGET START]; P3 pink marker 15 cm to the left of P1 [DISTRACTOR]; P4 blue block 15 cm to the right of P1 [DISTRACTOR]</x:v>
      </x:c>
      <x:c r="E71" s="8" t="n">
        <x:f>IF(ISBLANK('Evaluation Plan'!E71),"",'Evaluation Plan'!E71)</x:f>
        <x:v>68</x:v>
      </x:c>
      <x:c r="F71" s="8" t="str">
        <x:f>'Evaluation Plan'!F71</x:f>
        <x:v>red block → 2–8 cm edge gap in front of green pen; centroid direction within ±45°</x:v>
      </x:c>
      <x:c r="G71" s="7"/>
      <x:c r="H71" s="8" t="str">
        <x:f>'Evaluation Plan'!H71</x:f>
        <x:v>Exact-scene opposite-direction contrast</x:v>
      </x:c>
      <x:c r="I71" s="8" t="str">
        <x:f>'Evaluation Plan'!I71</x:f>
        <x:v>RP-F18</x:v>
      </x:c>
      <x:c r="J71" s="8" t="str">
        <x:f>'Evaluation Plan'!J71</x:f>
        <x:v>front</x:v>
      </x:c>
      <x:c r="K71" s="8" t="n">
        <x:f>'Evaluation Plan'!K71</x:f>
        <x:v>4</x:v>
      </x:c>
      <x:c r="L71" s="8" t="str">
        <x:f>'Evaluation Plan'!L71</x:f>
        <x:v>2 — Exact-scene opposite-direction contrast — Direction-word counterfactual (behind→front)</x:v>
      </x:c>
      <x:c r="M71" s="8" t="n">
        <x:f>'Evaluation Plan'!M71</x:f>
        <x:v>18</x:v>
      </x:c>
      <x:c r="N71" s="7" t="str">
        <x:f>'Evaluation Plan'!N71</x:f>
        <x:v>Reset only P2 to its marked start. Preserve the exact scene; change only the directional word and expected goal sector.</x:v>
      </x:c>
      <x:c r="O71" s="7" t="str">
        <x:f>'Evaluation Plan'!O71</x:f>
        <x:v>Exact-scene semantic counterfactual. Target and reference identities stay fixed while the requested endpoint reverses front↔behind or left↔right.</x:v>
      </x:c>
      <x:c r="P71" s="7" t="str">
        <x:f>IF(ISBLANK('Evaluation Plan'!P71),"",'Evaluation Plan'!P71)</x:f>
      </x:c>
    </x:row>
    <x:row r="72" ht="64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red block beside the green pen.</x:v>
      </x:c>
      <x:c r="D72" s="7" t="str">
        <x:f>'Evaluation Plan'!D72</x:f>
        <x:v>P1 green pen at R3 (5 cm right of center) [REFERENCE]; P2 red block 24 cm in front of P1 [TARGET START]; P3 pink marker 15 cm to the left of P1 [DISTRACTOR]; P4 blue block 15 cm to the right of P1 [DISTRACTOR]</x:v>
      </x:c>
      <x:c r="E72" s="8" t="n">
        <x:f>IF(ISBLANK('Evaluation Plan'!E72),"",'Evaluation Plan'!E72)</x:f>
        <x:v>68</x:v>
      </x:c>
      <x:c r="F72" s="8" t="str">
        <x:f>'Evaluation Plan'!F72</x:f>
        <x:v>red block → 2–8 cm edge gap from green pen (any direction)</x:v>
      </x:c>
      <x:c r="G72" s="7"/>
      <x:c r="H72" s="8" t="str">
        <x:f>'Evaluation Plan'!H72</x:f>
        <x:v>Matched manipulation control</x:v>
      </x:c>
      <x:c r="I72" s="8" t="str">
        <x:f>'Evaluation Plan'!I72</x:f>
        <x:v>RP-F18</x:v>
      </x:c>
      <x:c r="J72" s="8" t="str">
        <x:f>'Evaluation Plan'!J72</x:f>
        <x:v>near</x:v>
      </x:c>
      <x:c r="K72" s="8" t="n">
        <x:f>'Evaluation Plan'!K72</x:f>
        <x:v>4</x:v>
      </x:c>
      <x:c r="L72" s="8" t="str">
        <x:f>'Evaluation Plan'!L72</x:f>
        <x:v>3 — Matched control — Seen near/next-to/beside relation on the same ordered pair (4 objects)</x:v>
      </x:c>
      <x:c r="M72" s="8" t="n">
        <x:f>'Evaluation Plan'!M72</x:f>
        <x:v>18</x:v>
      </x:c>
      <x:c r="N72" s="7" t="str">
        <x:f>'Evaluation Plan'!N72</x:f>
        <x:v>Reset only P2 to its marked start. Keep every object, camera setting, and pose fixed; change only the prompt.</x:v>
      </x:c>
      <x:c r="O72" s="7" t="str">
        <x:f>'Evaluation Plan'!O72</x:f>
        <x:v>Controls target/reference recognition and basic pick-place on the exact pair. It is skill-matched but not direction-endpoint-matched, so analyze the paired success delta separately.</x:v>
      </x:c>
      <x:c r="P72" s="7" t="str">
        <x:f>IF(ISBLANK('Evaluation Plan'!P72),"",'Evaluation Plan'!P72)</x:f>
      </x:c>
    </x:row>
    <x:row r="73" ht="64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Set the red block alongside the green pen.</x:v>
      </x:c>
      <x:c r="D73" s="7" t="str">
        <x:f>'Evaluation Plan'!D73</x:f>
        <x:v>P1 green pen at R3 (5 cm right of center) [REFERENCE]; P2 red block 24 cm in front of P1 [TARGET START]; P3 pink marker 15 cm to the left of P1 [DISTRACTOR]; P4 blue block 15 cm to the right of P1 [DISTRACTOR]</x:v>
      </x:c>
      <x:c r="E73" s="8" t="n">
        <x:f>IF(ISBLANK('Evaluation Plan'!E73),"",'Evaluation Plan'!E73)</x:f>
        <x:v>70</x:v>
      </x:c>
      <x:c r="F73" s="8" t="str">
        <x:f>'Evaluation Plan'!F73</x:f>
        <x:v>red block → 2–8 cm edge gap from green pen (any direction)</x:v>
      </x:c>
      <x:c r="G73" s="7"/>
      <x:c r="H73" s="8" t="str">
        <x:f>'Evaluation Plan'!H73</x:f>
        <x:v>Language robustness</x:v>
      </x:c>
      <x:c r="I73" s="8" t="str">
        <x:f>'Evaluation Plan'!I73</x:f>
        <x:v>RP-F18</x:v>
      </x:c>
      <x:c r="J73" s="8" t="str">
        <x:f>'Evaluation Plan'!J73</x:f>
        <x:v>near</x:v>
      </x:c>
      <x:c r="K73" s="8" t="n">
        <x:f>'Evaluation Plan'!K73</x:f>
        <x:v>4</x:v>
      </x:c>
      <x:c r="L73" s="8" t="str">
        <x:f>'Evaluation Plan'!L73</x:f>
        <x:v>4 — Exact-scene control paraphrase — Paraphrase of matched-control prompt</x:v>
      </x:c>
      <x:c r="M73" s="8" t="n">
        <x:f>'Evaluation Plan'!M73</x:f>
        <x:v>18</x:v>
      </x:c>
      <x:c r="N73" s="7" t="str">
        <x:f>'Evaluation Plan'!N73</x:f>
        <x:v>Reset only P2 to its marked start; change only the prompt wording.</x:v>
      </x:c>
      <x:c r="O73" s="7" t="str">
        <x:f>'Evaluation Plan'!O73</x:f>
        <x:v>Exact-scene language comparison for the seen near relation.</x:v>
      </x:c>
      <x:c r="P73" s="7" t="str">
        <x:f>IF(ISBLANK('Evaluation Plan'!P73),"",'Evaluation Plan'!P73)</x:f>
      </x:c>
    </x:row>
    <x:row r="74" ht="64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green pen to the left of the red block.</x:v>
      </x:c>
      <x:c r="D74" s="10" t="str">
        <x:f>'Evaluation Plan'!D74</x:f>
        <x:v>P1 red block at R4 (5 cm toward the robot from center) [REFERENCE]; P2 green pen 18 cm to the right of P1 [TARGET START]; P3 pink marker 15 cm in front of P1 [DISTRACTOR]; P4 blue block 15 cm behind P1 [DISTRACTOR]</x:v>
      </x:c>
      <x:c r="E74" s="9" t="str">
        <x:f>IF(ISBLANK('Evaluation Plan'!E74),"",'Evaluation Plan'!E74)</x:f>
      </x:c>
      <x:c r="F74" s="9" t="str">
        <x:f>'Evaluation Plan'!F74</x:f>
        <x:v>green pen → 2–8 cm edge gap to the left of red block; centroid direction within ±45°</x:v>
      </x:c>
      <x:c r="G74" s="10"/>
      <x:c r="H74" s="9" t="str">
        <x:f>'Evaluation Plan'!H74</x:f>
        <x:v>Concept/compositional transfer</x:v>
      </x:c>
      <x:c r="I74" s="9" t="str">
        <x:f>'Evaluation Plan'!I74</x:f>
        <x:v>RP-F19</x:v>
      </x:c>
      <x:c r="J74" s="9" t="str">
        <x:f>'Evaluation Plan'!J74</x:f>
        <x:v>left</x:v>
      </x:c>
      <x:c r="K74" s="9" t="n">
        <x:f>'Evaluation Plan'!K74</x:f>
        <x:v>4</x:v>
      </x:c>
      <x:c r="L74" s="9" t="str">
        <x:f>'Evaluation Plan'!L74</x:f>
        <x:v>1 — Canonical transfer — Held-out direction × green-pen/red-block pair (left)</x:v>
      </x:c>
      <x:c r="M74" s="9" t="n">
        <x:f>'Evaluation Plan'!M74</x:f>
        <x:v>19</x:v>
      </x:c>
      <x:c r="N74" s="10" t="str">
        <x:f>'Evaluation Plan'!N74</x:f>
        <x:v>Build the marked scene. Target starts in the opposite sector and outside the success gap; save a first-frame filename.</x:v>
      </x:c>
      <x:c r="O74" s="10" t="str">
        <x:f>'Evaluation Plan'!O74</x:f>
        <x:v>Directional language is trained on other object pairs, but all directional green-pen/red-block demonstrations are withheld in both target/reference directions.</x:v>
      </x:c>
      <x:c r="P74" s="10" t="str">
        <x:f>IF(ISBLANK('Evaluation Plan'!P74),"",'Evaluation Plan'!P74)</x:f>
      </x:c>
    </x:row>
    <x:row r="75" ht="64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to the right of the red block.</x:v>
      </x:c>
      <x:c r="D75" s="7" t="str">
        <x:f>'Evaluation Plan'!D75</x:f>
        <x:v>P1 red block at R4 (5 cm toward the robot from center) [REFERENCE]; P2 green pen 18 cm to the right of P1 [TARGET START]; P3 pink marker 15 cm in front of P1 [DISTRACTOR]; P4 blue block 15 cm behind P1 [DISTRACTOR]</x:v>
      </x:c>
      <x:c r="E75" s="8" t="n">
        <x:f>IF(ISBLANK('Evaluation Plan'!E75),"",'Evaluation Plan'!E75)</x:f>
        <x:v>72</x:v>
      </x:c>
      <x:c r="F75" s="8" t="str">
        <x:f>'Evaluation Plan'!F75</x:f>
        <x:v>green pen → 2–8 cm edge gap to the right of red block; centroid direction within ±45°</x:v>
      </x:c>
      <x:c r="G75" s="7"/>
      <x:c r="H75" s="8" t="str">
        <x:f>'Evaluation Plan'!H75</x:f>
        <x:v>Exact-scene opposite-direction contrast</x:v>
      </x:c>
      <x:c r="I75" s="8" t="str">
        <x:f>'Evaluation Plan'!I75</x:f>
        <x:v>RP-F19</x:v>
      </x:c>
      <x:c r="J75" s="8" t="str">
        <x:f>'Evaluation Plan'!J75</x:f>
        <x:v>right</x:v>
      </x:c>
      <x:c r="K75" s="8" t="n">
        <x:f>'Evaluation Plan'!K75</x:f>
        <x:v>4</x:v>
      </x:c>
      <x:c r="L75" s="8" t="str">
        <x:f>'Evaluation Plan'!L75</x:f>
        <x:v>2 — Exact-scene opposite-direction contrast — Direction-word counterfactual (left→right)</x:v>
      </x:c>
      <x:c r="M75" s="8" t="n">
        <x:f>'Evaluation Plan'!M75</x:f>
        <x:v>19</x:v>
      </x:c>
      <x:c r="N75" s="7" t="str">
        <x:f>'Evaluation Plan'!N75</x:f>
        <x:v>Reset only P2 to its marked start. Preserve the exact scene; change only the directional word and expected goal sector.</x:v>
      </x:c>
      <x:c r="O75" s="7" t="str">
        <x:f>'Evaluation Plan'!O75</x:f>
        <x:v>Exact-scene semantic counterfactual. Target and reference identities stay fixed while the requested endpoint reverses front↔behind or left↔right.</x:v>
      </x:c>
      <x:c r="P75" s="7" t="str">
        <x:f>IF(ISBLANK('Evaluation Plan'!P75),"",'Evaluation Plan'!P75)</x:f>
      </x:c>
    </x:row>
    <x:row r="76" ht="64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green pen near the red block.</x:v>
      </x:c>
      <x:c r="D76" s="7" t="str">
        <x:f>'Evaluation Plan'!D76</x:f>
        <x:v>P1 red block at R4 (5 cm toward the robot from center) [REFERENCE]; P2 green pen 18 cm to the right of P1 [TARGET START]; P3 pink marker 15 cm in front of P1 [DISTRACTOR]; P4 blue block 15 cm behind P1 [DISTRACTOR]</x:v>
      </x:c>
      <x:c r="E76" s="8" t="n">
        <x:f>IF(ISBLANK('Evaluation Plan'!E76),"",'Evaluation Plan'!E76)</x:f>
        <x:v>72</x:v>
      </x:c>
      <x:c r="F76" s="8" t="str">
        <x:f>'Evaluation Plan'!F76</x:f>
        <x:v>green pen → 2–8 cm edge gap from red block (any direction)</x:v>
      </x:c>
      <x:c r="G76" s="7"/>
      <x:c r="H76" s="8" t="str">
        <x:f>'Evaluation Plan'!H76</x:f>
        <x:v>Matched manipulation control</x:v>
      </x:c>
      <x:c r="I76" s="8" t="str">
        <x:f>'Evaluation Plan'!I76</x:f>
        <x:v>RP-F19</x:v>
      </x:c>
      <x:c r="J76" s="8" t="str">
        <x:f>'Evaluation Plan'!J76</x:f>
        <x:v>near</x:v>
      </x:c>
      <x:c r="K76" s="8" t="n">
        <x:f>'Evaluation Plan'!K76</x:f>
        <x:v>4</x:v>
      </x:c>
      <x:c r="L76" s="8" t="str">
        <x:f>'Evaluation Plan'!L76</x:f>
        <x:v>3 — Matched control — Seen near/next-to/beside relation on the same ordered pair (4 objects)</x:v>
      </x:c>
      <x:c r="M76" s="8" t="n">
        <x:f>'Evaluation Plan'!M76</x:f>
        <x:v>19</x:v>
      </x:c>
      <x:c r="N76" s="7" t="str">
        <x:f>'Evaluation Plan'!N76</x:f>
        <x:v>Reset only P2 to its marked start. Keep every object, camera setting, and pose fixed; change only the prompt.</x:v>
      </x:c>
      <x:c r="O76" s="7" t="str">
        <x:f>'Evaluation Plan'!O76</x:f>
        <x:v>Controls target/reference recognition and basic pick-place on the exact pair. It is skill-matched but not direction-endpoint-matched, so analyze the paired success delta separately.</x:v>
      </x:c>
      <x:c r="P76" s="7" t="str">
        <x:f>IF(ISBLANK('Evaluation Plan'!P76),"",'Evaluation Plan'!P76)</x:f>
      </x:c>
    </x:row>
    <x:row r="77" ht="64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green pen within a short distance of the red block.</x:v>
      </x:c>
      <x:c r="D77" s="7" t="str">
        <x:f>'Evaluation Plan'!D77</x:f>
        <x:v>P1 red block at R4 (5 cm toward the robot from center) [REFERENCE]; P2 green pen 18 cm to the right of P1 [TARGET START]; P3 pink marker 15 cm in front of P1 [DISTRACTOR]; P4 blue block 15 cm behind P1 [DISTRACTOR]</x:v>
      </x:c>
      <x:c r="E77" s="8" t="n">
        <x:f>IF(ISBLANK('Evaluation Plan'!E77),"",'Evaluation Plan'!E77)</x:f>
        <x:v>74</x:v>
      </x:c>
      <x:c r="F77" s="8" t="str">
        <x:f>'Evaluation Plan'!F77</x:f>
        <x:v>green pen → 2–8 cm edge gap from red block (any direction)</x:v>
      </x:c>
      <x:c r="G77" s="7"/>
      <x:c r="H77" s="8" t="str">
        <x:f>'Evaluation Plan'!H77</x:f>
        <x:v>Language robustness</x:v>
      </x:c>
      <x:c r="I77" s="8" t="str">
        <x:f>'Evaluation Plan'!I77</x:f>
        <x:v>RP-F19</x:v>
      </x:c>
      <x:c r="J77" s="8" t="str">
        <x:f>'Evaluation Plan'!J77</x:f>
        <x:v>near</x:v>
      </x:c>
      <x:c r="K77" s="8" t="n">
        <x:f>'Evaluation Plan'!K77</x:f>
        <x:v>4</x:v>
      </x:c>
      <x:c r="L77" s="8" t="str">
        <x:f>'Evaluation Plan'!L77</x:f>
        <x:v>4 — Exact-scene control paraphrase — Paraphrase of matched-control prompt</x:v>
      </x:c>
      <x:c r="M77" s="8" t="n">
        <x:f>'Evaluation Plan'!M77</x:f>
        <x:v>19</x:v>
      </x:c>
      <x:c r="N77" s="7" t="str">
        <x:f>'Evaluation Plan'!N77</x:f>
        <x:v>Reset only P2 to its marked start; change only the prompt wording.</x:v>
      </x:c>
      <x:c r="O77" s="7" t="str">
        <x:f>'Evaluation Plan'!O77</x:f>
        <x:v>Exact-scene language comparison for the seen near relation.</x:v>
      </x:c>
      <x:c r="P77" s="7" t="str">
        <x:f>IF(ISBLANK('Evaluation Plan'!P77),"",'Evaluation Plan'!P77)</x:f>
      </x:c>
    </x:row>
    <x:row r="78" ht="64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Place the red block to the right of the green pen.</x:v>
      </x:c>
      <x:c r="D78" s="10" t="str">
        <x:f>'Evaluation Plan'!D78</x:f>
        <x:v>P1 green pen at R5 (5 cm away from the robot from center) [REFERENCE]; P2 red block 21 cm to the left of P1 [TARGET START]; P3 pink marker 15 cm in front of P1 [DISTRACTOR]; P4 blue block 15 cm behind P1 [DISTRACTOR]</x:v>
      </x:c>
      <x:c r="E78" s="9" t="str">
        <x:f>IF(ISBLANK('Evaluation Plan'!E78),"",'Evaluation Plan'!E78)</x:f>
      </x:c>
      <x:c r="F78" s="9" t="str">
        <x:f>'Evaluation Plan'!F78</x:f>
        <x:v>red block → 2–8 cm edge gap to the right of green pen; centroid direction within ±45°</x:v>
      </x:c>
      <x:c r="G78" s="10"/>
      <x:c r="H78" s="9" t="str">
        <x:f>'Evaluation Plan'!H78</x:f>
        <x:v>Concept/compositional transfer</x:v>
      </x:c>
      <x:c r="I78" s="9" t="str">
        <x:f>'Evaluation Plan'!I78</x:f>
        <x:v>RP-F20</x:v>
      </x:c>
      <x:c r="J78" s="9" t="str">
        <x:f>'Evaluation Plan'!J78</x:f>
        <x:v>right</x:v>
      </x:c>
      <x:c r="K78" s="9" t="n">
        <x:f>'Evaluation Plan'!K78</x:f>
        <x:v>4</x:v>
      </x:c>
      <x:c r="L78" s="9" t="str">
        <x:f>'Evaluation Plan'!L78</x:f>
        <x:v>1 — Canonical transfer — Held-out direction × green-pen/red-block pair (right)</x:v>
      </x:c>
      <x:c r="M78" s="9" t="n">
        <x:f>'Evaluation Plan'!M78</x:f>
        <x:v>20</x:v>
      </x:c>
      <x:c r="N78" s="10" t="str">
        <x:f>'Evaluation Plan'!N78</x:f>
        <x:v>Build the marked scene. Target starts in the opposite sector and outside the success gap; save a first-frame filename.</x:v>
      </x:c>
      <x:c r="O78" s="10" t="str">
        <x:f>'Evaluation Plan'!O78</x:f>
        <x:v>Directional language is trained on other object pairs, but all directional green-pen/red-block demonstrations are withheld in both target/reference directions.</x:v>
      </x:c>
      <x:c r="P78" s="10" t="str">
        <x:f>IF(ISBLANK('Evaluation Plan'!P78),"",'Evaluation Plan'!P78)</x:f>
      </x:c>
    </x:row>
    <x:row r="79" ht="64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Place the red block to the left of the green pen.</x:v>
      </x:c>
      <x:c r="D79" s="7" t="str">
        <x:f>'Evaluation Plan'!D79</x:f>
        <x:v>P1 green pen at R5 (5 cm away from the robot from center) [REFERENCE]; P2 red block 21 cm to the left of P1 [TARGET START]; P3 pink marker 15 cm in front of P1 [DISTRACTOR]; P4 blue block 15 cm behind P1 [DISTRACTOR]</x:v>
      </x:c>
      <x:c r="E79" s="8" t="n">
        <x:f>IF(ISBLANK('Evaluation Plan'!E79),"",'Evaluation Plan'!E79)</x:f>
        <x:v>76</x:v>
      </x:c>
      <x:c r="F79" s="8" t="str">
        <x:f>'Evaluation Plan'!F79</x:f>
        <x:v>red block → 2–8 cm edge gap to the left of green pen; centroid direction within ±45°</x:v>
      </x:c>
      <x:c r="G79" s="7"/>
      <x:c r="H79" s="8" t="str">
        <x:f>'Evaluation Plan'!H79</x:f>
        <x:v>Exact-scene opposite-direction contrast</x:v>
      </x:c>
      <x:c r="I79" s="8" t="str">
        <x:f>'Evaluation Plan'!I79</x:f>
        <x:v>RP-F20</x:v>
      </x:c>
      <x:c r="J79" s="8" t="str">
        <x:f>'Evaluation Plan'!J79</x:f>
        <x:v>left</x:v>
      </x:c>
      <x:c r="K79" s="8" t="n">
        <x:f>'Evaluation Plan'!K79</x:f>
        <x:v>4</x:v>
      </x:c>
      <x:c r="L79" s="8" t="str">
        <x:f>'Evaluation Plan'!L79</x:f>
        <x:v>2 — Exact-scene opposite-direction contrast — Direction-word counterfactual (right→left)</x:v>
      </x:c>
      <x:c r="M79" s="8" t="n">
        <x:f>'Evaluation Plan'!M79</x:f>
        <x:v>20</x:v>
      </x:c>
      <x:c r="N79" s="7" t="str">
        <x:f>'Evaluation Plan'!N79</x:f>
        <x:v>Reset only P2 to its marked start. Preserve the exact scene; change only the directional word and expected goal sector.</x:v>
      </x:c>
      <x:c r="O79" s="7" t="str">
        <x:f>'Evaluation Plan'!O79</x:f>
        <x:v>Exact-scene semantic counterfactual. Target and reference identities stay fixed while the requested endpoint reverses front↔behind or left↔right.</x:v>
      </x:c>
      <x:c r="P79" s="7" t="str">
        <x:f>IF(ISBLANK('Evaluation Plan'!P79),"",'Evaluation Plan'!P79)</x:f>
      </x:c>
    </x:row>
    <x:row r="80" ht="64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Place the red block next to the green pen.</x:v>
      </x:c>
      <x:c r="D80" s="7" t="str">
        <x:f>'Evaluation Plan'!D80</x:f>
        <x:v>P1 green pen at R5 (5 cm away from the robot from center) [REFERENCE]; P2 red block 21 cm to the left of P1 [TARGET START]; P3 pink marker 15 cm in front of P1 [DISTRACTOR]; P4 blue block 15 cm behind P1 [DISTRACTOR]</x:v>
      </x:c>
      <x:c r="E80" s="8" t="n">
        <x:f>IF(ISBLANK('Evaluation Plan'!E80),"",'Evaluation Plan'!E80)</x:f>
        <x:v>76</x:v>
      </x:c>
      <x:c r="F80" s="8" t="str">
        <x:f>'Evaluation Plan'!F80</x:f>
        <x:v>red block → 2–8 cm edge gap from green pen (any direction)</x:v>
      </x:c>
      <x:c r="G80" s="7"/>
      <x:c r="H80" s="8" t="str">
        <x:f>'Evaluation Plan'!H80</x:f>
        <x:v>Matched manipulation control</x:v>
      </x:c>
      <x:c r="I80" s="8" t="str">
        <x:f>'Evaluation Plan'!I80</x:f>
        <x:v>RP-F20</x:v>
      </x:c>
      <x:c r="J80" s="8" t="str">
        <x:f>'Evaluation Plan'!J80</x:f>
        <x:v>near</x:v>
      </x:c>
      <x:c r="K80" s="8" t="n">
        <x:f>'Evaluation Plan'!K80</x:f>
        <x:v>4</x:v>
      </x:c>
      <x:c r="L80" s="8" t="str">
        <x:f>'Evaluation Plan'!L80</x:f>
        <x:v>3 — Matched control — Seen near/next-to/beside relation on the same ordered pair (4 objects)</x:v>
      </x:c>
      <x:c r="M80" s="8" t="n">
        <x:f>'Evaluation Plan'!M80</x:f>
        <x:v>20</x:v>
      </x:c>
      <x:c r="N80" s="7" t="str">
        <x:f>'Evaluation Plan'!N80</x:f>
        <x:v>Reset only P2 to its marked start. Keep every object, camera setting, and pose fixed; change only the prompt.</x:v>
      </x:c>
      <x:c r="O80" s="7" t="str">
        <x:f>'Evaluation Plan'!O80</x:f>
        <x:v>Controls target/reference recognition and basic pick-place on the exact pair. It is skill-matched but not direction-endpoint-matched, so analyze the paired success delta separately.</x:v>
      </x:c>
      <x:c r="P80" s="7" t="str">
        <x:f>IF(ISBLANK('Evaluation Plan'!P80),"",'Evaluation Plan'!P80)</x:f>
      </x:c>
    </x:row>
    <x:row r="81" ht="64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red block near enough to sit beside the green pen.</x:v>
      </x:c>
      <x:c r="D81" s="7" t="str">
        <x:f>'Evaluation Plan'!D81</x:f>
        <x:v>P1 green pen at R5 (5 cm away from the robot from center) [REFERENCE]; P2 red block 21 cm to the left of P1 [TARGET START]; P3 pink marker 15 cm in front of P1 [DISTRACTOR]; P4 blue block 15 cm behind P1 [DISTRACTOR]</x:v>
      </x:c>
      <x:c r="E81" s="8" t="n">
        <x:f>IF(ISBLANK('Evaluation Plan'!E81),"",'Evaluation Plan'!E81)</x:f>
        <x:v>78</x:v>
      </x:c>
      <x:c r="F81" s="8" t="str">
        <x:f>'Evaluation Plan'!F81</x:f>
        <x:v>red block → 2–8 cm edge gap from green pen (any direction)</x:v>
      </x:c>
      <x:c r="G81" s="7"/>
      <x:c r="H81" s="8" t="str">
        <x:f>'Evaluation Plan'!H81</x:f>
        <x:v>Language robustness</x:v>
      </x:c>
      <x:c r="I81" s="8" t="str">
        <x:f>'Evaluation Plan'!I81</x:f>
        <x:v>RP-F20</x:v>
      </x:c>
      <x:c r="J81" s="8" t="str">
        <x:f>'Evaluation Plan'!J81</x:f>
        <x:v>near</x:v>
      </x:c>
      <x:c r="K81" s="8" t="n">
        <x:f>'Evaluation Plan'!K81</x:f>
        <x:v>4</x:v>
      </x:c>
      <x:c r="L81" s="8" t="str">
        <x:f>'Evaluation Plan'!L81</x:f>
        <x:v>4 — Exact-scene control paraphrase — Paraphrase of matched-control prompt</x:v>
      </x:c>
      <x:c r="M81" s="8" t="n">
        <x:f>'Evaluation Plan'!M81</x:f>
        <x:v>20</x:v>
      </x:c>
      <x:c r="N81" s="7" t="str">
        <x:f>'Evaluation Plan'!N81</x:f>
        <x:v>Reset only P2 to its marked start; change only the prompt wording.</x:v>
      </x:c>
      <x:c r="O81" s="7" t="str">
        <x:f>'Evaluation Plan'!O81</x:f>
        <x:v>Exact-scene language comparison for the seen near relation.</x:v>
      </x:c>
      <x:c r="P81" s="7" t="str">
        <x:f>IF(ISBLANK('Evaluation Plan'!P81),"",'Evaluation Plan'!P81)</x:f>
      </x:c>
    </x:row>
    <x:row r="82" ht="64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Put the green pen on the table in front of the red block.</x:v>
      </x:c>
      <x:c r="D82" s="7" t="str">
        <x:f>'Evaluation Plan'!D82</x:f>
        <x:v>P1 red block at R1 (table center) [REFERENCE]; P2 green pen 24 cm behind P1 [TARGET START]; P3 pink marker 15 cm to the left of P1 [DISTRACTOR]</x:v>
      </x:c>
      <x:c r="E82" s="8" t="str">
        <x:f>IF(ISBLANK('Evaluation Plan'!E82),"",'Evaluation Plan'!E82)</x:f>
      </x:c>
      <x:c r="F82" s="8" t="str">
        <x:f>'Evaluation Plan'!F82</x:f>
        <x:v>green pen → 2–8 cm edge gap in front of red block; centroid direction within ±45°</x:v>
      </x:c>
      <x:c r="G82" s="7"/>
      <x:c r="H82" s="8" t="str">
        <x:f>'Evaluation Plan'!H82</x:f>
        <x:v>Concept/compositional transfer</x:v>
      </x:c>
      <x:c r="I82" s="8" t="str">
        <x:f>'Evaluation Plan'!I82</x:f>
        <x:v>RP-X01</x:v>
      </x:c>
      <x:c r="J82" s="8" t="str">
        <x:f>'Evaluation Plan'!J82</x:f>
        <x:v>front</x:v>
      </x:c>
      <x:c r="K82" s="8" t="n">
        <x:f>'Evaluation Plan'!K82</x:f>
        <x:v>3</x:v>
      </x:c>
      <x:c r="L82" s="8" t="str">
        <x:f>'Evaluation Plan'!L82</x:f>
        <x:v>Additional transfer — Additional held-out direction × green-pen/red-block pair (front)</x:v>
      </x:c>
      <x:c r="M82" s="8" t="n">
        <x:f>'Evaluation Plan'!M82</x:f>
        <x:v>21</x:v>
      </x:c>
      <x:c r="N82" s="7" t="str">
        <x:f>'Evaluation Plan'!N82</x:f>
        <x:v>Build the listed scene; target starts in the opposite sector. Save a first-frame filename.</x:v>
      </x:c>
      <x:c r="O82" s="7" t="str">
        <x:f>'Evaluation Plan'!O82</x:f>
        <x:v>Unpaired primary-transfer coverage. Canonical wording is seen with other pairs; only the object-pair composition is held out.</x:v>
      </x:c>
      <x:c r="P82" s="7" t="str">
        <x:f>IF(ISBLANK('Evaluation Plan'!P82),"",'Evaluation Plan'!P82)</x:f>
      </x:c>
    </x:row>
    <x:row r="83" ht="64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Place the red block behind the green pen.</x:v>
      </x:c>
      <x:c r="D83" s="7" t="str">
        <x:f>'Evaluation Plan'!D83</x:f>
        <x:v>P1 green pen at R2 (5 cm left of center) [REFERENCE]; P2 red block 18 cm in front of P1 [TARGET START]; P3 pink marker 15 cm to the left of P1 [DISTRACTOR]</x:v>
      </x:c>
      <x:c r="E83" s="8" t="str">
        <x:f>IF(ISBLANK('Evaluation Plan'!E83),"",'Evaluation Plan'!E83)</x:f>
      </x:c>
      <x:c r="F83" s="8" t="str">
        <x:f>'Evaluation Plan'!F83</x:f>
        <x:v>red block → 2–8 cm edge gap behind green pen; centroid direction within ±45°</x:v>
      </x:c>
      <x:c r="G83" s="7"/>
      <x:c r="H83" s="8" t="str">
        <x:f>'Evaluation Plan'!H83</x:f>
        <x:v>Concept/compositional transfer</x:v>
      </x:c>
      <x:c r="I83" s="8" t="str">
        <x:f>'Evaluation Plan'!I83</x:f>
        <x:v>RP-X02</x:v>
      </x:c>
      <x:c r="J83" s="8" t="str">
        <x:f>'Evaluation Plan'!J83</x:f>
        <x:v>behind</x:v>
      </x:c>
      <x:c r="K83" s="8" t="n">
        <x:f>'Evaluation Plan'!K83</x:f>
        <x:v>3</x:v>
      </x:c>
      <x:c r="L83" s="8" t="str">
        <x:f>'Evaluation Plan'!L83</x:f>
        <x:v>Additional transfer — Additional held-out direction × green-pen/red-block pair (behind)</x:v>
      </x:c>
      <x:c r="M83" s="8" t="n">
        <x:f>'Evaluation Plan'!M83</x:f>
        <x:v>22</x:v>
      </x:c>
      <x:c r="N83" s="7" t="str">
        <x:f>'Evaluation Plan'!N83</x:f>
        <x:v>Build the listed scene; target starts in the opposite sector. Save a first-frame filename.</x:v>
      </x:c>
      <x:c r="O83" s="7" t="str">
        <x:f>'Evaluation Plan'!O83</x:f>
        <x:v>Unpaired primary-transfer coverage. Canonical wording is seen with other pairs; only the object-pair composition is held out.</x:v>
      </x:c>
      <x:c r="P83" s="7" t="str">
        <x:f>IF(ISBLANK('Evaluation Plan'!P83),"",'Evaluation Plan'!P83)</x:f>
      </x:c>
    </x:row>
    <x:row r="84" ht="64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Place the green pen to the left of the red block.</x:v>
      </x:c>
      <x:c r="D84" s="7" t="str">
        <x:f>'Evaluation Plan'!D84</x:f>
        <x:v>P1 red block at R3 (5 cm right of center) [REFERENCE]; P2 green pen 21 cm to the right of P1 [TARGET START]; P3 pink marker 15 cm in front of P1 [DISTRACTOR]</x:v>
      </x:c>
      <x:c r="E84" s="8" t="str">
        <x:f>IF(ISBLANK('Evaluation Plan'!E84),"",'Evaluation Plan'!E84)</x:f>
      </x:c>
      <x:c r="F84" s="8" t="str">
        <x:f>'Evaluation Plan'!F84</x:f>
        <x:v>green pen → 2–8 cm edge gap to the left of red block; centroid direction within ±45°</x:v>
      </x:c>
      <x:c r="G84" s="7"/>
      <x:c r="H84" s="8" t="str">
        <x:f>'Evaluation Plan'!H84</x:f>
        <x:v>Concept/compositional transfer</x:v>
      </x:c>
      <x:c r="I84" s="8" t="str">
        <x:f>'Evaluation Plan'!I84</x:f>
        <x:v>RP-X03</x:v>
      </x:c>
      <x:c r="J84" s="8" t="str">
        <x:f>'Evaluation Plan'!J84</x:f>
        <x:v>left</x:v>
      </x:c>
      <x:c r="K84" s="8" t="n">
        <x:f>'Evaluation Plan'!K84</x:f>
        <x:v>3</x:v>
      </x:c>
      <x:c r="L84" s="8" t="str">
        <x:f>'Evaluation Plan'!L84</x:f>
        <x:v>Additional transfer — Additional held-out direction × green-pen/red-block pair (left)</x:v>
      </x:c>
      <x:c r="M84" s="8" t="n">
        <x:f>'Evaluation Plan'!M84</x:f>
        <x:v>23</x:v>
      </x:c>
      <x:c r="N84" s="7" t="str">
        <x:f>'Evaluation Plan'!N84</x:f>
        <x:v>Build the listed scene; target starts in the opposite sector. Save a first-frame filename.</x:v>
      </x:c>
      <x:c r="O84" s="7" t="str">
        <x:f>'Evaluation Plan'!O84</x:f>
        <x:v>Unpaired primary-transfer coverage. Canonical wording is seen with other pairs; only the object-pair composition is held out.</x:v>
      </x:c>
      <x:c r="P84" s="7" t="str">
        <x:f>IF(ISBLANK('Evaluation Plan'!P84),"",'Evaluation Plan'!P84)</x:f>
      </x:c>
    </x:row>
    <x:row r="85" ht="64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Place the red block to the right of the green pen.</x:v>
      </x:c>
      <x:c r="D85" s="7" t="str">
        <x:f>'Evaluation Plan'!D85</x:f>
        <x:v>P1 green pen at R4 (5 cm toward the robot from center) [REFERENCE]; P2 red block 24 cm to the left of P1 [TARGET START]; P3 pink marker 15 cm in front of P1 [DISTRACTOR]</x:v>
      </x:c>
      <x:c r="E85" s="8" t="str">
        <x:f>IF(ISBLANK('Evaluation Plan'!E85),"",'Evaluation Plan'!E85)</x:f>
      </x:c>
      <x:c r="F85" s="8" t="str">
        <x:f>'Evaluation Plan'!F85</x:f>
        <x:v>red block → 2–8 cm edge gap to the right of green pen; centroid direction within ±45°</x:v>
      </x:c>
      <x:c r="G85" s="7"/>
      <x:c r="H85" s="8" t="str">
        <x:f>'Evaluation Plan'!H85</x:f>
        <x:v>Concept/compositional transfer</x:v>
      </x:c>
      <x:c r="I85" s="8" t="str">
        <x:f>'Evaluation Plan'!I85</x:f>
        <x:v>RP-X04</x:v>
      </x:c>
      <x:c r="J85" s="8" t="str">
        <x:f>'Evaluation Plan'!J85</x:f>
        <x:v>right</x:v>
      </x:c>
      <x:c r="K85" s="8" t="n">
        <x:f>'Evaluation Plan'!K85</x:f>
        <x:v>3</x:v>
      </x:c>
      <x:c r="L85" s="8" t="str">
        <x:f>'Evaluation Plan'!L85</x:f>
        <x:v>Additional transfer — Additional held-out direction × green-pen/red-block pair (right)</x:v>
      </x:c>
      <x:c r="M85" s="8" t="n">
        <x:f>'Evaluation Plan'!M85</x:f>
        <x:v>24</x:v>
      </x:c>
      <x:c r="N85" s="7" t="str">
        <x:f>'Evaluation Plan'!N85</x:f>
        <x:v>Build the listed scene; target starts in the opposite sector. Save a first-frame filename.</x:v>
      </x:c>
      <x:c r="O85" s="7" t="str">
        <x:f>'Evaluation Plan'!O85</x:f>
        <x:v>Unpaired primary-transfer coverage. Canonical wording is seen with other pairs; only the object-pair composition is held out.</x:v>
      </x:c>
      <x:c r="P85" s="7" t="str">
        <x:f>IF(ISBLANK('Evaluation Plan'!P85),"",'Evaluation Plan'!P85)</x:f>
      </x:c>
    </x:row>
    <x:row r="86" ht="64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red block in front of the green pen.</x:v>
      </x:c>
      <x:c r="D86" s="7" t="str">
        <x:f>'Evaluation Plan'!D86</x:f>
        <x:v>P1 green pen at R5 (5 cm away from the robot from center) [REFERENCE]; P2 red block 18 cm behind P1 [TARGET START]; P3 pink marker 15 cm to the left of P1 [DISTRACTOR]</x:v>
      </x:c>
      <x:c r="E86" s="8" t="str">
        <x:f>IF(ISBLANK('Evaluation Plan'!E86),"",'Evaluation Plan'!E86)</x:f>
      </x:c>
      <x:c r="F86" s="8" t="str">
        <x:f>'Evaluation Plan'!F86</x:f>
        <x:v>red block → 2–8 cm edge gap in front of green pen; centroid direction within ±45°</x:v>
      </x:c>
      <x:c r="G86" s="7"/>
      <x:c r="H86" s="8" t="str">
        <x:f>'Evaluation Plan'!H86</x:f>
        <x:v>Concept/compositional transfer</x:v>
      </x:c>
      <x:c r="I86" s="8" t="str">
        <x:f>'Evaluation Plan'!I86</x:f>
        <x:v>RP-X05</x:v>
      </x:c>
      <x:c r="J86" s="8" t="str">
        <x:f>'Evaluation Plan'!J86</x:f>
        <x:v>front</x:v>
      </x:c>
      <x:c r="K86" s="8" t="n">
        <x:f>'Evaluation Plan'!K86</x:f>
        <x:v>3</x:v>
      </x:c>
      <x:c r="L86" s="8" t="str">
        <x:f>'Evaluation Plan'!L86</x:f>
        <x:v>Additional transfer — Additional held-out direction × green-pen/red-block pair (front)</x:v>
      </x:c>
      <x:c r="M86" s="8" t="n">
        <x:f>'Evaluation Plan'!M86</x:f>
        <x:v>25</x:v>
      </x:c>
      <x:c r="N86" s="7" t="str">
        <x:f>'Evaluation Plan'!N86</x:f>
        <x:v>Build the listed scene; target starts in the opposite sector. Save a first-frame filename.</x:v>
      </x:c>
      <x:c r="O86" s="7" t="str">
        <x:f>'Evaluation Plan'!O86</x:f>
        <x:v>Unpaired primary-transfer coverage. Canonical wording is seen with other pairs; only the object-pair composition is held out.</x:v>
      </x:c>
      <x:c r="P86" s="7" t="str">
        <x:f>IF(ISBLANK('Evaluation Plan'!P86),"",'Evaluation Plan'!P86)</x:f>
      </x:c>
    </x:row>
    <x:row r="87" ht="64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Move the green pen to the back of the red block.</x:v>
      </x:c>
      <x:c r="D87" s="7" t="str">
        <x:f>'Evaluation Plan'!D87</x:f>
        <x:v>P1 red block at R1 (table center) [REFERENCE]; P2 green pen 21 cm in front of P1 [TARGET START]; P3 pink marker 15 cm to the left of P1 [DISTRACTOR]</x:v>
      </x:c>
      <x:c r="E87" s="8" t="str">
        <x:f>IF(ISBLANK('Evaluation Plan'!E87),"",'Evaluation Plan'!E87)</x:f>
      </x:c>
      <x:c r="F87" s="8" t="str">
        <x:f>'Evaluation Plan'!F87</x:f>
        <x:v>green pen → 2–8 cm edge gap behind red block; centroid direction within ±45°</x:v>
      </x:c>
      <x:c r="G87" s="7"/>
      <x:c r="H87" s="8" t="str">
        <x:f>'Evaluation Plan'!H87</x:f>
        <x:v>Concept/compositional transfer</x:v>
      </x:c>
      <x:c r="I87" s="8" t="str">
        <x:f>'Evaluation Plan'!I87</x:f>
        <x:v>RP-X06</x:v>
      </x:c>
      <x:c r="J87" s="8" t="str">
        <x:f>'Evaluation Plan'!J87</x:f>
        <x:v>behind</x:v>
      </x:c>
      <x:c r="K87" s="8" t="n">
        <x:f>'Evaluation Plan'!K87</x:f>
        <x:v>3</x:v>
      </x:c>
      <x:c r="L87" s="8" t="str">
        <x:f>'Evaluation Plan'!L87</x:f>
        <x:v>Additional transfer — Additional held-out direction × green-pen/red-block pair (behind)</x:v>
      </x:c>
      <x:c r="M87" s="8" t="n">
        <x:f>'Evaluation Plan'!M87</x:f>
        <x:v>26</x:v>
      </x:c>
      <x:c r="N87" s="7" t="str">
        <x:f>'Evaluation Plan'!N87</x:f>
        <x:v>Build the listed scene; target starts in the opposite sector. Save a first-frame filename.</x:v>
      </x:c>
      <x:c r="O87" s="7" t="str">
        <x:f>'Evaluation Plan'!O87</x:f>
        <x:v>Unpaired primary-transfer coverage. Canonical wording is seen with other pairs; only the object-pair composition is held out.</x:v>
      </x:c>
      <x:c r="P87" s="7" t="str">
        <x:f>IF(ISBLANK('Evaluation Plan'!P87),"",'Evaluation Plan'!P87)</x:f>
      </x:c>
    </x:row>
    <x:row r="88" ht="64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Place the red block to the left of the green pen.</x:v>
      </x:c>
      <x:c r="D88" s="7" t="str">
        <x:f>'Evaluation Plan'!D88</x:f>
        <x:v>P1 green pen at R2 (5 cm left of center) [REFERENCE]; P2 red block 24 cm to the right of P1 [TARGET START]; P3 pink marker 15 cm in front of P1 [DISTRACTOR]</x:v>
      </x:c>
      <x:c r="E88" s="8" t="str">
        <x:f>IF(ISBLANK('Evaluation Plan'!E88),"",'Evaluation Plan'!E88)</x:f>
      </x:c>
      <x:c r="F88" s="8" t="str">
        <x:f>'Evaluation Plan'!F88</x:f>
        <x:v>red block → 2–8 cm edge gap to the left of green pen; centroid direction within ±45°</x:v>
      </x:c>
      <x:c r="G88" s="7"/>
      <x:c r="H88" s="8" t="str">
        <x:f>'Evaluation Plan'!H88</x:f>
        <x:v>Concept/compositional transfer</x:v>
      </x:c>
      <x:c r="I88" s="8" t="str">
        <x:f>'Evaluation Plan'!I88</x:f>
        <x:v>RP-X07</x:v>
      </x:c>
      <x:c r="J88" s="8" t="str">
        <x:f>'Evaluation Plan'!J88</x:f>
        <x:v>left</x:v>
      </x:c>
      <x:c r="K88" s="8" t="n">
        <x:f>'Evaluation Plan'!K88</x:f>
        <x:v>3</x:v>
      </x:c>
      <x:c r="L88" s="8" t="str">
        <x:f>'Evaluation Plan'!L88</x:f>
        <x:v>Additional transfer — Additional held-out direction × green-pen/red-block pair (left)</x:v>
      </x:c>
      <x:c r="M88" s="8" t="n">
        <x:f>'Evaluation Plan'!M88</x:f>
        <x:v>27</x:v>
      </x:c>
      <x:c r="N88" s="7" t="str">
        <x:f>'Evaluation Plan'!N88</x:f>
        <x:v>Build the listed scene; target starts in the opposite sector. Save a first-frame filename.</x:v>
      </x:c>
      <x:c r="O88" s="7" t="str">
        <x:f>'Evaluation Plan'!O88</x:f>
        <x:v>Unpaired primary-transfer coverage. Canonical wording is seen with other pairs; only the object-pair composition is held out.</x:v>
      </x:c>
      <x:c r="P88" s="7" t="str">
        <x:f>IF(ISBLANK('Evaluation Plan'!P88),"",'Evaluation Plan'!P88)</x:f>
      </x:c>
    </x:row>
    <x:row r="89" ht="64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green pen to the right of the red block.</x:v>
      </x:c>
      <x:c r="D89" s="7" t="str">
        <x:f>'Evaluation Plan'!D89</x:f>
        <x:v>P1 red block at R3 (5 cm right of center) [REFERENCE]; P2 green pen 18 cm to the left of P1 [TARGET START]; P3 pink marker 15 cm in front of P1 [DISTRACTOR]</x:v>
      </x:c>
      <x:c r="E89" s="8" t="str">
        <x:f>IF(ISBLANK('Evaluation Plan'!E89),"",'Evaluation Plan'!E89)</x:f>
      </x:c>
      <x:c r="F89" s="8" t="str">
        <x:f>'Evaluation Plan'!F89</x:f>
        <x:v>green pen → 2–8 cm edge gap to the right of red block; centroid direction within ±45°</x:v>
      </x:c>
      <x:c r="G89" s="7"/>
      <x:c r="H89" s="8" t="str">
        <x:f>'Evaluation Plan'!H89</x:f>
        <x:v>Concept/compositional transfer</x:v>
      </x:c>
      <x:c r="I89" s="8" t="str">
        <x:f>'Evaluation Plan'!I89</x:f>
        <x:v>RP-X08</x:v>
      </x:c>
      <x:c r="J89" s="8" t="str">
        <x:f>'Evaluation Plan'!J89</x:f>
        <x:v>right</x:v>
      </x:c>
      <x:c r="K89" s="8" t="n">
        <x:f>'Evaluation Plan'!K89</x:f>
        <x:v>3</x:v>
      </x:c>
      <x:c r="L89" s="8" t="str">
        <x:f>'Evaluation Plan'!L89</x:f>
        <x:v>Additional transfer — Additional held-out direction × green-pen/red-block pair (right)</x:v>
      </x:c>
      <x:c r="M89" s="8" t="n">
        <x:f>'Evaluation Plan'!M89</x:f>
        <x:v>28</x:v>
      </x:c>
      <x:c r="N89" s="7" t="str">
        <x:f>'Evaluation Plan'!N89</x:f>
        <x:v>Build the listed scene; target starts in the opposite sector. Save a first-frame filename.</x:v>
      </x:c>
      <x:c r="O89" s="7" t="str">
        <x:f>'Evaluation Plan'!O89</x:f>
        <x:v>Unpaired primary-transfer coverage. Canonical wording is seen with other pairs; only the object-pair composition is held out.</x:v>
      </x:c>
      <x:c r="P89" s="7" t="str">
        <x:f>IF(ISBLANK('Evaluation Plan'!P89),"",'Evaluation Plan'!P89)</x:f>
      </x:c>
    </x:row>
    <x:row r="90" ht="64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Move the green pen to the front of the red block.</x:v>
      </x:c>
      <x:c r="D90" s="7" t="str">
        <x:f>'Evaluation Plan'!D90</x:f>
        <x:v>P1 red block at R4 (5 cm toward the robot from center) [REFERENCE]; P2 green pen 21 cm behind P1 [TARGET START]; P3 pink marker 15 cm to the left of P1 [DISTRACTOR]</x:v>
      </x:c>
      <x:c r="E90" s="8" t="str">
        <x:f>IF(ISBLANK('Evaluation Plan'!E90),"",'Evaluation Plan'!E90)</x:f>
      </x:c>
      <x:c r="F90" s="8" t="str">
        <x:f>'Evaluation Plan'!F90</x:f>
        <x:v>green pen → 2–8 cm edge gap in front of red block; centroid direction within ±45°</x:v>
      </x:c>
      <x:c r="G90" s="7"/>
      <x:c r="H90" s="8" t="str">
        <x:f>'Evaluation Plan'!H90</x:f>
        <x:v>Concept/compositional transfer</x:v>
      </x:c>
      <x:c r="I90" s="8" t="str">
        <x:f>'Evaluation Plan'!I90</x:f>
        <x:v>RP-X09</x:v>
      </x:c>
      <x:c r="J90" s="8" t="str">
        <x:f>'Evaluation Plan'!J90</x:f>
        <x:v>front</x:v>
      </x:c>
      <x:c r="K90" s="8" t="n">
        <x:f>'Evaluation Plan'!K90</x:f>
        <x:v>3</x:v>
      </x:c>
      <x:c r="L90" s="8" t="str">
        <x:f>'Evaluation Plan'!L90</x:f>
        <x:v>Additional transfer — Additional held-out direction × green-pen/red-block pair (front)</x:v>
      </x:c>
      <x:c r="M90" s="8" t="n">
        <x:f>'Evaluation Plan'!M90</x:f>
        <x:v>29</x:v>
      </x:c>
      <x:c r="N90" s="7" t="str">
        <x:f>'Evaluation Plan'!N90</x:f>
        <x:v>Build the listed scene; target starts in the opposite sector. Save a first-frame filename.</x:v>
      </x:c>
      <x:c r="O90" s="7" t="str">
        <x:f>'Evaluation Plan'!O90</x:f>
        <x:v>Unpaired primary-transfer coverage. Canonical wording is seen with other pairs; only the object-pair composition is held out.</x:v>
      </x:c>
      <x:c r="P90" s="7" t="str">
        <x:f>IF(ISBLANK('Evaluation Plan'!P90),"",'Evaluation Plan'!P90)</x:f>
      </x:c>
    </x:row>
    <x:row r="91" ht="64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Put the red block on the table behind the green pen.</x:v>
      </x:c>
      <x:c r="D91" s="7" t="str">
        <x:f>'Evaluation Plan'!D91</x:f>
        <x:v>P1 green pen at R5 (5 cm away from the robot from center) [REFERENCE]; P2 red block 24 cm in front of P1 [TARGET START]; P3 pink marker 15 cm to the left of P1 [DISTRACTOR]</x:v>
      </x:c>
      <x:c r="E91" s="8" t="str">
        <x:f>IF(ISBLANK('Evaluation Plan'!E91),"",'Evaluation Plan'!E91)</x:f>
      </x:c>
      <x:c r="F91" s="8" t="str">
        <x:f>'Evaluation Plan'!F91</x:f>
        <x:v>red block → 2–8 cm edge gap behind green pen; centroid direction within ±45°</x:v>
      </x:c>
      <x:c r="G91" s="7"/>
      <x:c r="H91" s="8" t="str">
        <x:f>'Evaluation Plan'!H91</x:f>
        <x:v>Concept/compositional transfer</x:v>
      </x:c>
      <x:c r="I91" s="8" t="str">
        <x:f>'Evaluation Plan'!I91</x:f>
        <x:v>RP-X10</x:v>
      </x:c>
      <x:c r="J91" s="8" t="str">
        <x:f>'Evaluation Plan'!J91</x:f>
        <x:v>behind</x:v>
      </x:c>
      <x:c r="K91" s="8" t="n">
        <x:f>'Evaluation Plan'!K91</x:f>
        <x:v>3</x:v>
      </x:c>
      <x:c r="L91" s="8" t="str">
        <x:f>'Evaluation Plan'!L91</x:f>
        <x:v>Additional transfer — Additional held-out direction × green-pen/red-block pair (behind)</x:v>
      </x:c>
      <x:c r="M91" s="8" t="n">
        <x:f>'Evaluation Plan'!M91</x:f>
        <x:v>30</x:v>
      </x:c>
      <x:c r="N91" s="7" t="str">
        <x:f>'Evaluation Plan'!N91</x:f>
        <x:v>Build the listed scene; target starts in the opposite sector. Save a first-frame filename.</x:v>
      </x:c>
      <x:c r="O91" s="7" t="str">
        <x:f>'Evaluation Plan'!O91</x:f>
        <x:v>Unpaired primary-transfer coverage. Canonical wording is seen with other pairs; only the object-pair composition is held out.</x:v>
      </x:c>
      <x:c r="P91" s="7" t="str">
        <x:f>IF(ISBLANK('Evaluation Plan'!P91),"",'Evaluation Plan'!P91)</x:f>
      </x:c>
    </x:row>
    <x:row r="92" ht="64" customHeight="1">
      <x:c r="A92" s="8" t="str">
        <x:v>Not collected</x:v>
      </x:c>
      <x:c r="B92" s="8" t="n">
        <x:f>'Evaluation Plan'!B92</x:f>
        <x:v>90</x:v>
      </x:c>
      <x:c r="C92" s="7" t="str">
        <x:f>'Evaluation Plan'!C92</x:f>
        <x:v>Place the green pen to the left of the red block.</x:v>
      </x:c>
      <x:c r="D92" s="7" t="str">
        <x:f>'Evaluation Plan'!D92</x:f>
        <x:v>P1 red block at R1 (table center) [REFERENCE]; P2 green pen 18 cm to the right of P1 [TARGET START]; P3 pink marker 15 cm in front of P1 [DISTRACTOR]</x:v>
      </x:c>
      <x:c r="E92" s="8" t="str">
        <x:f>IF(ISBLANK('Evaluation Plan'!E92),"",'Evaluation Plan'!E92)</x:f>
      </x:c>
      <x:c r="F92" s="8" t="str">
        <x:f>'Evaluation Plan'!F92</x:f>
        <x:v>green pen → 2–8 cm edge gap to the left of red block; centroid direction within ±45°</x:v>
      </x:c>
      <x:c r="G92" s="7"/>
      <x:c r="H92" s="8" t="str">
        <x:f>'Evaluation Plan'!H92</x:f>
        <x:v>Concept/compositional transfer</x:v>
      </x:c>
      <x:c r="I92" s="8" t="str">
        <x:f>'Evaluation Plan'!I92</x:f>
        <x:v>RP-X11</x:v>
      </x:c>
      <x:c r="J92" s="8" t="str">
        <x:f>'Evaluation Plan'!J92</x:f>
        <x:v>left</x:v>
      </x:c>
      <x:c r="K92" s="8" t="n">
        <x:f>'Evaluation Plan'!K92</x:f>
        <x:v>3</x:v>
      </x:c>
      <x:c r="L92" s="8" t="str">
        <x:f>'Evaluation Plan'!L92</x:f>
        <x:v>Additional transfer — Additional held-out direction × green-pen/red-block pair (left)</x:v>
      </x:c>
      <x:c r="M92" s="8" t="n">
        <x:f>'Evaluation Plan'!M92</x:f>
        <x:v>31</x:v>
      </x:c>
      <x:c r="N92" s="7" t="str">
        <x:f>'Evaluation Plan'!N92</x:f>
        <x:v>Build the listed scene; target starts in the opposite sector. Save a first-frame filename.</x:v>
      </x:c>
      <x:c r="O92" s="7" t="str">
        <x:f>'Evaluation Plan'!O92</x:f>
        <x:v>Unpaired primary-transfer coverage. Canonical wording is seen with other pairs; only the object-pair composition is held out.</x:v>
      </x:c>
      <x:c r="P92" s="7" t="str">
        <x:f>IF(ISBLANK('Evaluation Plan'!P92),"",'Evaluation Plan'!P92)</x:f>
      </x:c>
    </x:row>
    <x:row r="93" ht="64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Place the red block to the right of the green pen.</x:v>
      </x:c>
      <x:c r="D93" s="7" t="str">
        <x:f>'Evaluation Plan'!D93</x:f>
        <x:v>P1 green pen at R2 (5 cm left of center) [REFERENCE]; P2 red block 21 cm to the left of P1 [TARGET START]; P3 pink marker 15 cm in front of P1 [DISTRACTOR]</x:v>
      </x:c>
      <x:c r="E93" s="8" t="str">
        <x:f>IF(ISBLANK('Evaluation Plan'!E93),"",'Evaluation Plan'!E93)</x:f>
      </x:c>
      <x:c r="F93" s="8" t="str">
        <x:f>'Evaluation Plan'!F93</x:f>
        <x:v>red block → 2–8 cm edge gap to the right of green pen; centroid direction within ±45°</x:v>
      </x:c>
      <x:c r="G93" s="7"/>
      <x:c r="H93" s="8" t="str">
        <x:f>'Evaluation Plan'!H93</x:f>
        <x:v>Concept/compositional transfer</x:v>
      </x:c>
      <x:c r="I93" s="8" t="str">
        <x:f>'Evaluation Plan'!I93</x:f>
        <x:v>RP-X12</x:v>
      </x:c>
      <x:c r="J93" s="8" t="str">
        <x:f>'Evaluation Plan'!J93</x:f>
        <x:v>right</x:v>
      </x:c>
      <x:c r="K93" s="8" t="n">
        <x:f>'Evaluation Plan'!K93</x:f>
        <x:v>3</x:v>
      </x:c>
      <x:c r="L93" s="8" t="str">
        <x:f>'Evaluation Plan'!L93</x:f>
        <x:v>Additional transfer — Additional held-out direction × green-pen/red-block pair (right)</x:v>
      </x:c>
      <x:c r="M93" s="8" t="n">
        <x:f>'Evaluation Plan'!M93</x:f>
        <x:v>32</x:v>
      </x:c>
      <x:c r="N93" s="7" t="str">
        <x:f>'Evaluation Plan'!N93</x:f>
        <x:v>Build the listed scene; target starts in the opposite sector. Save a first-frame filename.</x:v>
      </x:c>
      <x:c r="O93" s="7" t="str">
        <x:f>'Evaluation Plan'!O93</x:f>
        <x:v>Unpaired primary-transfer coverage. Canonical wording is seen with other pairs; only the object-pair composition is held out.</x:v>
      </x:c>
      <x:c r="P93" s="7" t="str">
        <x:f>IF(ISBLANK('Evaluation Plan'!P93),"",'Evaluation Plan'!P93)</x:f>
      </x:c>
    </x:row>
    <x:row r="94" ht="64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Put the red block on the table in front of the green pen.</x:v>
      </x:c>
      <x:c r="D94" s="7" t="str">
        <x:f>'Evaluation Plan'!D94</x:f>
        <x:v>P1 green pen at R3 (5 cm right of center) [REFERENCE]; P2 red block 24 cm behind P1 [TARGET START]; P3 pink marker 15 cm to the left of P1 [DISTRACTOR]</x:v>
      </x:c>
      <x:c r="E94" s="8" t="str">
        <x:f>IF(ISBLANK('Evaluation Plan'!E94),"",'Evaluation Plan'!E94)</x:f>
      </x:c>
      <x:c r="F94" s="8" t="str">
        <x:f>'Evaluation Plan'!F94</x:f>
        <x:v>red block → 2–8 cm edge gap in front of green pen; centroid direction within ±45°</x:v>
      </x:c>
      <x:c r="G94" s="7"/>
      <x:c r="H94" s="8" t="str">
        <x:f>'Evaluation Plan'!H94</x:f>
        <x:v>Concept/compositional transfer</x:v>
      </x:c>
      <x:c r="I94" s="8" t="str">
        <x:f>'Evaluation Plan'!I94</x:f>
        <x:v>RP-X13</x:v>
      </x:c>
      <x:c r="J94" s="8" t="str">
        <x:f>'Evaluation Plan'!J94</x:f>
        <x:v>front</x:v>
      </x:c>
      <x:c r="K94" s="8" t="n">
        <x:f>'Evaluation Plan'!K94</x:f>
        <x:v>3</x:v>
      </x:c>
      <x:c r="L94" s="8" t="str">
        <x:f>'Evaluation Plan'!L94</x:f>
        <x:v>Additional transfer — Additional held-out direction × green-pen/red-block pair (front)</x:v>
      </x:c>
      <x:c r="M94" s="8" t="n">
        <x:f>'Evaluation Plan'!M94</x:f>
        <x:v>33</x:v>
      </x:c>
      <x:c r="N94" s="7" t="str">
        <x:f>'Evaluation Plan'!N94</x:f>
        <x:v>Build the listed scene; target starts in the opposite sector. Save a first-frame filename.</x:v>
      </x:c>
      <x:c r="O94" s="7" t="str">
        <x:f>'Evaluation Plan'!O94</x:f>
        <x:v>Unpaired primary-transfer coverage. Canonical wording is seen with other pairs; only the object-pair composition is held out.</x:v>
      </x:c>
      <x:c r="P94" s="7" t="str">
        <x:f>IF(ISBLANK('Evaluation Plan'!P94),"",'Evaluation Plan'!P94)</x:f>
      </x:c>
    </x:row>
    <x:row r="95" ht="64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Place the green pen behind the red block.</x:v>
      </x:c>
      <x:c r="D95" s="7" t="str">
        <x:f>'Evaluation Plan'!D95</x:f>
        <x:v>P1 red block at R4 (5 cm toward the robot from center) [REFERENCE]; P2 green pen 18 cm in front of P1 [TARGET START]; P3 pink marker 15 cm to the left of P1 [DISTRACTOR]</x:v>
      </x:c>
      <x:c r="E95" s="8" t="str">
        <x:f>IF(ISBLANK('Evaluation Plan'!E95),"",'Evaluation Plan'!E95)</x:f>
      </x:c>
      <x:c r="F95" s="8" t="str">
        <x:f>'Evaluation Plan'!F95</x:f>
        <x:v>green pen → 2–8 cm edge gap behind red block; centroid direction within ±45°</x:v>
      </x:c>
      <x:c r="G95" s="7"/>
      <x:c r="H95" s="8" t="str">
        <x:f>'Evaluation Plan'!H95</x:f>
        <x:v>Concept/compositional transfer</x:v>
      </x:c>
      <x:c r="I95" s="8" t="str">
        <x:f>'Evaluation Plan'!I95</x:f>
        <x:v>RP-X14</x:v>
      </x:c>
      <x:c r="J95" s="8" t="str">
        <x:f>'Evaluation Plan'!J95</x:f>
        <x:v>behind</x:v>
      </x:c>
      <x:c r="K95" s="8" t="n">
        <x:f>'Evaluation Plan'!K95</x:f>
        <x:v>3</x:v>
      </x:c>
      <x:c r="L95" s="8" t="str">
        <x:f>'Evaluation Plan'!L95</x:f>
        <x:v>Additional transfer — Additional held-out direction × green-pen/red-block pair (behind)</x:v>
      </x:c>
      <x:c r="M95" s="8" t="n">
        <x:f>'Evaluation Plan'!M95</x:f>
        <x:v>34</x:v>
      </x:c>
      <x:c r="N95" s="7" t="str">
        <x:f>'Evaluation Plan'!N95</x:f>
        <x:v>Build the listed scene; target starts in the opposite sector. Save a first-frame filename.</x:v>
      </x:c>
      <x:c r="O95" s="7" t="str">
        <x:f>'Evaluation Plan'!O95</x:f>
        <x:v>Unpaired primary-transfer coverage. Canonical wording is seen with other pairs; only the object-pair composition is held out.</x:v>
      </x:c>
      <x:c r="P95" s="7" t="str">
        <x:f>IF(ISBLANK('Evaluation Plan'!P95),"",'Evaluation Plan'!P95)</x:f>
      </x:c>
    </x:row>
    <x:row r="96" ht="64" customHeight="1">
      <x:c r="A96" s="8" t="str">
        <x:v>Not collected</x:v>
      </x:c>
      <x:c r="B96" s="8" t="n">
        <x:f>'Evaluation Plan'!B96</x:f>
        <x:v>94</x:v>
      </x:c>
      <x:c r="C96" s="7" t="str">
        <x:f>'Evaluation Plan'!C96</x:f>
        <x:v>Place the red block to the left of the green pen.</x:v>
      </x:c>
      <x:c r="D96" s="7" t="str">
        <x:f>'Evaluation Plan'!D96</x:f>
        <x:v>P1 green pen at R5 (5 cm away from the robot from center) [REFERENCE]; P2 red block 21 cm to the right of P1 [TARGET START]; P3 pink marker 15 cm in front of P1 [DISTRACTOR]</x:v>
      </x:c>
      <x:c r="E96" s="8" t="str">
        <x:f>IF(ISBLANK('Evaluation Plan'!E96),"",'Evaluation Plan'!E96)</x:f>
      </x:c>
      <x:c r="F96" s="8" t="str">
        <x:f>'Evaluation Plan'!F96</x:f>
        <x:v>red block → 2–8 cm edge gap to the left of green pen; centroid direction within ±45°</x:v>
      </x:c>
      <x:c r="G96" s="7"/>
      <x:c r="H96" s="8" t="str">
        <x:f>'Evaluation Plan'!H96</x:f>
        <x:v>Concept/compositional transfer</x:v>
      </x:c>
      <x:c r="I96" s="8" t="str">
        <x:f>'Evaluation Plan'!I96</x:f>
        <x:v>RP-X15</x:v>
      </x:c>
      <x:c r="J96" s="8" t="str">
        <x:f>'Evaluation Plan'!J96</x:f>
        <x:v>left</x:v>
      </x:c>
      <x:c r="K96" s="8" t="n">
        <x:f>'Evaluation Plan'!K96</x:f>
        <x:v>3</x:v>
      </x:c>
      <x:c r="L96" s="8" t="str">
        <x:f>'Evaluation Plan'!L96</x:f>
        <x:v>Additional transfer — Additional held-out direction × green-pen/red-block pair (left)</x:v>
      </x:c>
      <x:c r="M96" s="8" t="n">
        <x:f>'Evaluation Plan'!M96</x:f>
        <x:v>35</x:v>
      </x:c>
      <x:c r="N96" s="7" t="str">
        <x:f>'Evaluation Plan'!N96</x:f>
        <x:v>Build the listed scene; target starts in the opposite sector. Save a first-frame filename.</x:v>
      </x:c>
      <x:c r="O96" s="7" t="str">
        <x:f>'Evaluation Plan'!O96</x:f>
        <x:v>Unpaired primary-transfer coverage. Canonical wording is seen with other pairs; only the object-pair composition is held out.</x:v>
      </x:c>
      <x:c r="P96" s="7" t="str">
        <x:f>IF(ISBLANK('Evaluation Plan'!P96),"",'Evaluation Plan'!P96)</x:f>
      </x:c>
    </x:row>
    <x:row r="97" ht="64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Place the green pen to the right of the red block.</x:v>
      </x:c>
      <x:c r="D97" s="7" t="str">
        <x:f>'Evaluation Plan'!D97</x:f>
        <x:v>P1 red block at R1 (table center) [REFERENCE]; P2 green pen 24 cm to the left of P1 [TARGET START]; P3 pink marker 15 cm in front of P1 [DISTRACTOR]; P4 blue block 15 cm behind P1 [DISTRACTOR]</x:v>
      </x:c>
      <x:c r="E97" s="8" t="str">
        <x:f>IF(ISBLANK('Evaluation Plan'!E97),"",'Evaluation Plan'!E97)</x:f>
      </x:c>
      <x:c r="F97" s="8" t="str">
        <x:f>'Evaluation Plan'!F97</x:f>
        <x:v>green pen → 2–8 cm edge gap to the right of red block; centroid direction within ±45°</x:v>
      </x:c>
      <x:c r="G97" s="7"/>
      <x:c r="H97" s="8" t="str">
        <x:f>'Evaluation Plan'!H97</x:f>
        <x:v>Concept/compositional transfer</x:v>
      </x:c>
      <x:c r="I97" s="8" t="str">
        <x:f>'Evaluation Plan'!I97</x:f>
        <x:v>RP-X16</x:v>
      </x:c>
      <x:c r="J97" s="8" t="str">
        <x:f>'Evaluation Plan'!J97</x:f>
        <x:v>right</x:v>
      </x:c>
      <x:c r="K97" s="8" t="n">
        <x:f>'Evaluation Plan'!K97</x:f>
        <x:v>4</x:v>
      </x:c>
      <x:c r="L97" s="8" t="str">
        <x:f>'Evaluation Plan'!L97</x:f>
        <x:v>Additional transfer — Additional held-out direction × green-pen/red-block pair (right)</x:v>
      </x:c>
      <x:c r="M97" s="8" t="n">
        <x:f>'Evaluation Plan'!M97</x:f>
        <x:v>36</x:v>
      </x:c>
      <x:c r="N97" s="7" t="str">
        <x:f>'Evaluation Plan'!N97</x:f>
        <x:v>Build the listed scene; target starts in the opposite sector. Save a first-frame filename.</x:v>
      </x:c>
      <x:c r="O97" s="7" t="str">
        <x:f>'Evaluation Plan'!O97</x:f>
        <x:v>Unpaired primary-transfer coverage. Canonical wording is seen with other pairs; only the object-pair composition is held out.</x:v>
      </x:c>
      <x:c r="P97" s="7" t="str">
        <x:f>IF(ISBLANK('Evaluation Plan'!P97),"",'Evaluation Plan'!P97)</x:f>
      </x:c>
    </x:row>
    <x:row r="98" ht="64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Place the green pen in front of the red block.</x:v>
      </x:c>
      <x:c r="D98" s="7" t="str">
        <x:f>'Evaluation Plan'!D98</x:f>
        <x:v>P1 red block at R2 (5 cm left of center) [REFERENCE]; P2 green pen 18 cm behind P1 [TARGET START]; P3 pink marker 15 cm to the left of P1 [DISTRACTOR]; P4 blue block 15 cm to the right of P1 [DISTRACTOR]</x:v>
      </x:c>
      <x:c r="E98" s="8" t="str">
        <x:f>IF(ISBLANK('Evaluation Plan'!E98),"",'Evaluation Plan'!E98)</x:f>
      </x:c>
      <x:c r="F98" s="8" t="str">
        <x:f>'Evaluation Plan'!F98</x:f>
        <x:v>green pen → 2–8 cm edge gap in front of red block; centroid direction within ±45°</x:v>
      </x:c>
      <x:c r="G98" s="7"/>
      <x:c r="H98" s="8" t="str">
        <x:f>'Evaluation Plan'!H98</x:f>
        <x:v>Concept/compositional transfer</x:v>
      </x:c>
      <x:c r="I98" s="8" t="str">
        <x:f>'Evaluation Plan'!I98</x:f>
        <x:v>RP-X17</x:v>
      </x:c>
      <x:c r="J98" s="8" t="str">
        <x:f>'Evaluation Plan'!J98</x:f>
        <x:v>front</x:v>
      </x:c>
      <x:c r="K98" s="8" t="n">
        <x:f>'Evaluation Plan'!K98</x:f>
        <x:v>4</x:v>
      </x:c>
      <x:c r="L98" s="8" t="str">
        <x:f>'Evaluation Plan'!L98</x:f>
        <x:v>Additional transfer — Additional held-out direction × green-pen/red-block pair (front)</x:v>
      </x:c>
      <x:c r="M98" s="8" t="n">
        <x:f>'Evaluation Plan'!M98</x:f>
        <x:v>37</x:v>
      </x:c>
      <x:c r="N98" s="7" t="str">
        <x:f>'Evaluation Plan'!N98</x:f>
        <x:v>Build the listed scene; target starts in the opposite sector. Save a first-frame filename.</x:v>
      </x:c>
      <x:c r="O98" s="7" t="str">
        <x:f>'Evaluation Plan'!O98</x:f>
        <x:v>Unpaired primary-transfer coverage. Canonical wording is seen with other pairs; only the object-pair composition is held out.</x:v>
      </x:c>
      <x:c r="P98" s="7" t="str">
        <x:f>IF(ISBLANK('Evaluation Plan'!P98),"",'Evaluation Plan'!P98)</x:f>
      </x:c>
    </x:row>
    <x:row r="99" ht="64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Move the red block to the back of the green pen.</x:v>
      </x:c>
      <x:c r="D99" s="7" t="str">
        <x:f>'Evaluation Plan'!D99</x:f>
        <x:v>P1 green pen at R3 (5 cm right of center) [REFERENCE]; P2 red block 21 cm in front of P1 [TARGET START]; P3 pink marker 15 cm to the left of P1 [DISTRACTOR]; P4 blue block 15 cm to the right of P1 [DISTRACTOR]</x:v>
      </x:c>
      <x:c r="E99" s="8" t="str">
        <x:f>IF(ISBLANK('Evaluation Plan'!E99),"",'Evaluation Plan'!E99)</x:f>
      </x:c>
      <x:c r="F99" s="8" t="str">
        <x:f>'Evaluation Plan'!F99</x:f>
        <x:v>red block → 2–8 cm edge gap behind green pen; centroid direction within ±45°</x:v>
      </x:c>
      <x:c r="G99" s="7"/>
      <x:c r="H99" s="8" t="str">
        <x:f>'Evaluation Plan'!H99</x:f>
        <x:v>Concept/compositional transfer</x:v>
      </x:c>
      <x:c r="I99" s="8" t="str">
        <x:f>'Evaluation Plan'!I99</x:f>
        <x:v>RP-X18</x:v>
      </x:c>
      <x:c r="J99" s="8" t="str">
        <x:f>'Evaluation Plan'!J99</x:f>
        <x:v>behind</x:v>
      </x:c>
      <x:c r="K99" s="8" t="n">
        <x:f>'Evaluation Plan'!K99</x:f>
        <x:v>4</x:v>
      </x:c>
      <x:c r="L99" s="8" t="str">
        <x:f>'Evaluation Plan'!L99</x:f>
        <x:v>Additional transfer — Additional held-out direction × green-pen/red-block pair (behind)</x:v>
      </x:c>
      <x:c r="M99" s="8" t="n">
        <x:f>'Evaluation Plan'!M99</x:f>
        <x:v>38</x:v>
      </x:c>
      <x:c r="N99" s="7" t="str">
        <x:f>'Evaluation Plan'!N99</x:f>
        <x:v>Build the listed scene; target starts in the opposite sector. Save a first-frame filename.</x:v>
      </x:c>
      <x:c r="O99" s="7" t="str">
        <x:f>'Evaluation Plan'!O99</x:f>
        <x:v>Unpaired primary-transfer coverage. Canonical wording is seen with other pairs; only the object-pair composition is held out.</x:v>
      </x:c>
      <x:c r="P99" s="7" t="str">
        <x:f>IF(ISBLANK('Evaluation Plan'!P99),"",'Evaluation Plan'!P99)</x:f>
      </x:c>
    </x:row>
    <x:row r="100" ht="64" customHeight="1">
      <x:c r="A100" s="8" t="str">
        <x:v>Not collected</x:v>
      </x:c>
      <x:c r="B100" s="8" t="n">
        <x:f>'Evaluation Plan'!B100</x:f>
        <x:v>98</x:v>
      </x:c>
      <x:c r="C100" s="7" t="str">
        <x:f>'Evaluation Plan'!C100</x:f>
        <x:v>Place the green pen to the left of the red block.</x:v>
      </x:c>
      <x:c r="D100" s="7" t="str">
        <x:f>'Evaluation Plan'!D100</x:f>
        <x:v>P1 red block at R4 (5 cm toward the robot from center) [REFERENCE]; P2 green pen 24 cm to the right of P1 [TARGET START]; P3 pink marker 15 cm in front of P1 [DISTRACTOR]; P4 blue block 15 cm behind P1 [DISTRACTOR]</x:v>
      </x:c>
      <x:c r="E100" s="8" t="str">
        <x:f>IF(ISBLANK('Evaluation Plan'!E100),"",'Evaluation Plan'!E100)</x:f>
      </x:c>
      <x:c r="F100" s="8" t="str">
        <x:f>'Evaluation Plan'!F100</x:f>
        <x:v>green pen → 2–8 cm edge gap to the left of red block; centroid direction within ±45°</x:v>
      </x:c>
      <x:c r="G100" s="7"/>
      <x:c r="H100" s="8" t="str">
        <x:f>'Evaluation Plan'!H100</x:f>
        <x:v>Concept/compositional transfer</x:v>
      </x:c>
      <x:c r="I100" s="8" t="str">
        <x:f>'Evaluation Plan'!I100</x:f>
        <x:v>RP-X19</x:v>
      </x:c>
      <x:c r="J100" s="8" t="str">
        <x:f>'Evaluation Plan'!J100</x:f>
        <x:v>left</x:v>
      </x:c>
      <x:c r="K100" s="8" t="n">
        <x:f>'Evaluation Plan'!K100</x:f>
        <x:v>4</x:v>
      </x:c>
      <x:c r="L100" s="8" t="str">
        <x:f>'Evaluation Plan'!L100</x:f>
        <x:v>Additional transfer — Additional held-out direction × green-pen/red-block pair (left)</x:v>
      </x:c>
      <x:c r="M100" s="8" t="n">
        <x:f>'Evaluation Plan'!M100</x:f>
        <x:v>39</x:v>
      </x:c>
      <x:c r="N100" s="7" t="str">
        <x:f>'Evaluation Plan'!N100</x:f>
        <x:v>Build the listed scene; target starts in the opposite sector. Save a first-frame filename.</x:v>
      </x:c>
      <x:c r="O100" s="7" t="str">
        <x:f>'Evaluation Plan'!O100</x:f>
        <x:v>Unpaired primary-transfer coverage. Canonical wording is seen with other pairs; only the object-pair composition is held out.</x:v>
      </x:c>
      <x:c r="P100" s="7" t="str">
        <x:f>IF(ISBLANK('Evaluation Plan'!P100),"",'Evaluation Plan'!P100)</x:f>
      </x:c>
    </x:row>
    <x:row r="101" ht="64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Place the red block to the right of the green pen.</x:v>
      </x:c>
      <x:c r="D101" s="7" t="str">
        <x:f>'Evaluation Plan'!D101</x:f>
        <x:v>P1 green pen at R5 (5 cm away from the robot from center) [REFERENCE]; P2 red block 18 cm to the left of P1 [TARGET START]; P3 pink marker 15 cm in front of P1 [DISTRACTOR]; P4 blue block 15 cm behind P1 [DISTRACTOR]</x:v>
      </x:c>
      <x:c r="E101" s="8" t="str">
        <x:f>IF(ISBLANK('Evaluation Plan'!E101),"",'Evaluation Plan'!E101)</x:f>
      </x:c>
      <x:c r="F101" s="8" t="str">
        <x:f>'Evaluation Plan'!F101</x:f>
        <x:v>red block → 2–8 cm edge gap to the right of green pen; centroid direction within ±45°</x:v>
      </x:c>
      <x:c r="G101" s="7"/>
      <x:c r="H101" s="8" t="str">
        <x:f>'Evaluation Plan'!H101</x:f>
        <x:v>Concept/compositional transfer</x:v>
      </x:c>
      <x:c r="I101" s="8" t="str">
        <x:f>'Evaluation Plan'!I101</x:f>
        <x:v>RP-X20</x:v>
      </x:c>
      <x:c r="J101" s="8" t="str">
        <x:f>'Evaluation Plan'!J101</x:f>
        <x:v>right</x:v>
      </x:c>
      <x:c r="K101" s="8" t="n">
        <x:f>'Evaluation Plan'!K101</x:f>
        <x:v>4</x:v>
      </x:c>
      <x:c r="L101" s="8" t="str">
        <x:f>'Evaluation Plan'!L101</x:f>
        <x:v>Additional transfer — Additional held-out direction × green-pen/red-block pair (right)</x:v>
      </x:c>
      <x:c r="M101" s="8" t="n">
        <x:f>'Evaluation Plan'!M101</x:f>
        <x:v>40</x:v>
      </x:c>
      <x:c r="N101" s="7" t="str">
        <x:f>'Evaluation Plan'!N101</x:f>
        <x:v>Build the listed scene; target starts in the opposite sector. Save a first-frame filename.</x:v>
      </x:c>
      <x:c r="O101" s="7" t="str">
        <x:f>'Evaluation Plan'!O101</x:f>
        <x:v>Unpaired primary-transfer coverage. Canonical wording is seen with other pairs; only the object-pair composition is held out.</x:v>
      </x:c>
      <x:c r="P101" s="7" t="str">
        <x:f>IF(ISBLANK('Evaluation Plan'!P101),"",'Evaluation Plan'!P101)</x:f>
      </x:c>
    </x:row>
    <x:row r="102" ht="64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Move the red block to the front of the green pen.</x:v>
      </x:c>
      <x:c r="D102" s="7" t="str">
        <x:f>'Evaluation Plan'!D102</x:f>
        <x:v>P1 green pen at R1 (table center) [REFERENCE]; P2 red block 21 cm behind P1 [TARGET START]; P3 pink marker 15 cm to the left of P1 [DISTRACTOR]; P4 blue block 15 cm to the right of P1 [DISTRACTOR]</x:v>
      </x:c>
      <x:c r="E102" s="8" t="str">
        <x:f>IF(ISBLANK('Evaluation Plan'!E102),"",'Evaluation Plan'!E102)</x:f>
      </x:c>
      <x:c r="F102" s="8" t="str">
        <x:f>'Evaluation Plan'!F102</x:f>
        <x:v>red block → 2–8 cm edge gap in front of green pen; centroid direction within ±45°</x:v>
      </x:c>
      <x:c r="G102" s="7"/>
      <x:c r="H102" s="8" t="str">
        <x:f>'Evaluation Plan'!H102</x:f>
        <x:v>Concept/compositional transfer</x:v>
      </x:c>
      <x:c r="I102" s="8" t="str">
        <x:f>'Evaluation Plan'!I102</x:f>
        <x:v>RP-X21</x:v>
      </x:c>
      <x:c r="J102" s="8" t="str">
        <x:f>'Evaluation Plan'!J102</x:f>
        <x:v>front</x:v>
      </x:c>
      <x:c r="K102" s="8" t="n">
        <x:f>'Evaluation Plan'!K102</x:f>
        <x:v>4</x:v>
      </x:c>
      <x:c r="L102" s="8" t="str">
        <x:f>'Evaluation Plan'!L102</x:f>
        <x:v>Additional transfer — Additional held-out direction × green-pen/red-block pair (front)</x:v>
      </x:c>
      <x:c r="M102" s="8" t="n">
        <x:f>'Evaluation Plan'!M102</x:f>
        <x:v>41</x:v>
      </x:c>
      <x:c r="N102" s="7" t="str">
        <x:f>'Evaluation Plan'!N102</x:f>
        <x:v>Build the listed scene; target starts in the opposite sector. Save a first-frame filename.</x:v>
      </x:c>
      <x:c r="O102" s="7" t="str">
        <x:f>'Evaluation Plan'!O102</x:f>
        <x:v>Unpaired primary-transfer coverage. Canonical wording is seen with other pairs; only the object-pair composition is held out.</x:v>
      </x:c>
      <x:c r="P102" s="7" t="str">
        <x:f>IF(ISBLANK('Evaluation Plan'!P102),"",'Evaluation Plan'!P102)</x:f>
      </x:c>
    </x:row>
    <x:row r="103" ht="64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Put the green pen on the table behind the red block.</x:v>
      </x:c>
      <x:c r="D103" s="7" t="str">
        <x:f>'Evaluation Plan'!D103</x:f>
        <x:v>P1 red block at R2 (5 cm left of center) [REFERENCE]; P2 green pen 24 cm in front of P1 [TARGET START]; P3 pink marker 15 cm to the left of P1 [DISTRACTOR]; P4 blue block 15 cm to the right of P1 [DISTRACTOR]</x:v>
      </x:c>
      <x:c r="E103" s="8" t="str">
        <x:f>IF(ISBLANK('Evaluation Plan'!E103),"",'Evaluation Plan'!E103)</x:f>
      </x:c>
      <x:c r="F103" s="8" t="str">
        <x:f>'Evaluation Plan'!F103</x:f>
        <x:v>green pen → 2–8 cm edge gap behind red block; centroid direction within ±45°</x:v>
      </x:c>
      <x:c r="G103" s="7"/>
      <x:c r="H103" s="8" t="str">
        <x:f>'Evaluation Plan'!H103</x:f>
        <x:v>Concept/compositional transfer</x:v>
      </x:c>
      <x:c r="I103" s="8" t="str">
        <x:f>'Evaluation Plan'!I103</x:f>
        <x:v>RP-X22</x:v>
      </x:c>
      <x:c r="J103" s="8" t="str">
        <x:f>'Evaluation Plan'!J103</x:f>
        <x:v>behind</x:v>
      </x:c>
      <x:c r="K103" s="8" t="n">
        <x:f>'Evaluation Plan'!K103</x:f>
        <x:v>4</x:v>
      </x:c>
      <x:c r="L103" s="8" t="str">
        <x:f>'Evaluation Plan'!L103</x:f>
        <x:v>Additional transfer — Additional held-out direction × green-pen/red-block pair (behind)</x:v>
      </x:c>
      <x:c r="M103" s="8" t="n">
        <x:f>'Evaluation Plan'!M103</x:f>
        <x:v>42</x:v>
      </x:c>
      <x:c r="N103" s="7" t="str">
        <x:f>'Evaluation Plan'!N103</x:f>
        <x:v>Build the listed scene; target starts in the opposite sector. Save a first-frame filename.</x:v>
      </x:c>
      <x:c r="O103" s="7" t="str">
        <x:f>'Evaluation Plan'!O103</x:f>
        <x:v>Unpaired primary-transfer coverage. Canonical wording is seen with other pairs; only the object-pair composition is held out.</x:v>
      </x:c>
      <x:c r="P103" s="7" t="str">
        <x:f>IF(ISBLANK('Evaluation Plan'!P103),"",'Evaluation Plan'!P103)</x:f>
      </x:c>
    </x:row>
    <x:row r="104" ht="64" customHeight="1">
      <x:c r="A104" s="8" t="str">
        <x:v>Not collected</x:v>
      </x:c>
      <x:c r="B104" s="8" t="n">
        <x:f>'Evaluation Plan'!B104</x:f>
        <x:v>102</x:v>
      </x:c>
      <x:c r="C104" s="7" t="str">
        <x:f>'Evaluation Plan'!C104</x:f>
        <x:v>Place the red block to the left of the green pen.</x:v>
      </x:c>
      <x:c r="D104" s="7" t="str">
        <x:f>'Evaluation Plan'!D104</x:f>
        <x:v>P1 green pen at R3 (5 cm right of center) [REFERENCE]; P2 red block 18 cm to the right of P1 [TARGET START]; P3 pink marker 15 cm in front of P1 [DISTRACTOR]; P4 blue block 15 cm behind P1 [DISTRACTOR]</x:v>
      </x:c>
      <x:c r="E104" s="8" t="str">
        <x:f>IF(ISBLANK('Evaluation Plan'!E104),"",'Evaluation Plan'!E104)</x:f>
      </x:c>
      <x:c r="F104" s="8" t="str">
        <x:f>'Evaluation Plan'!F104</x:f>
        <x:v>red block → 2–8 cm edge gap to the left of green pen; centroid direction within ±45°</x:v>
      </x:c>
      <x:c r="G104" s="7"/>
      <x:c r="H104" s="8" t="str">
        <x:f>'Evaluation Plan'!H104</x:f>
        <x:v>Concept/compositional transfer</x:v>
      </x:c>
      <x:c r="I104" s="8" t="str">
        <x:f>'Evaluation Plan'!I104</x:f>
        <x:v>RP-X23</x:v>
      </x:c>
      <x:c r="J104" s="8" t="str">
        <x:f>'Evaluation Plan'!J104</x:f>
        <x:v>left</x:v>
      </x:c>
      <x:c r="K104" s="8" t="n">
        <x:f>'Evaluation Plan'!K104</x:f>
        <x:v>4</x:v>
      </x:c>
      <x:c r="L104" s="8" t="str">
        <x:f>'Evaluation Plan'!L104</x:f>
        <x:v>Additional transfer — Additional held-out direction × green-pen/red-block pair (left)</x:v>
      </x:c>
      <x:c r="M104" s="8" t="n">
        <x:f>'Evaluation Plan'!M104</x:f>
        <x:v>43</x:v>
      </x:c>
      <x:c r="N104" s="7" t="str">
        <x:f>'Evaluation Plan'!N104</x:f>
        <x:v>Build the listed scene; target starts in the opposite sector. Save a first-frame filename.</x:v>
      </x:c>
      <x:c r="O104" s="7" t="str">
        <x:f>'Evaluation Plan'!O104</x:f>
        <x:v>Unpaired primary-transfer coverage. Canonical wording is seen with other pairs; only the object-pair composition is held out.</x:v>
      </x:c>
      <x:c r="P104" s="7" t="str">
        <x:f>IF(ISBLANK('Evaluation Plan'!P104),"",'Evaluation Plan'!P104)</x:f>
      </x:c>
    </x:row>
    <x:row r="105" ht="64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green pen to the right of the red block.</x:v>
      </x:c>
      <x:c r="D105" s="7" t="str">
        <x:f>'Evaluation Plan'!D105</x:f>
        <x:v>P1 red block at R4 (5 cm toward the robot from center) [REFERENCE]; P2 green pen 21 cm to the left of P1 [TARGET START]; P3 pink marker 15 cm in front of P1 [DISTRACTOR]; P4 blue block 15 cm behind P1 [DISTRACTOR]</x:v>
      </x:c>
      <x:c r="E105" s="8" t="str">
        <x:f>IF(ISBLANK('Evaluation Plan'!E105),"",'Evaluation Plan'!E105)</x:f>
      </x:c>
      <x:c r="F105" s="8" t="str">
        <x:f>'Evaluation Plan'!F105</x:f>
        <x:v>green pen → 2–8 cm edge gap to the right of red block; centroid direction within ±45°</x:v>
      </x:c>
      <x:c r="G105" s="7"/>
      <x:c r="H105" s="8" t="str">
        <x:f>'Evaluation Plan'!H105</x:f>
        <x:v>Concept/compositional transfer</x:v>
      </x:c>
      <x:c r="I105" s="8" t="str">
        <x:f>'Evaluation Plan'!I105</x:f>
        <x:v>RP-X24</x:v>
      </x:c>
      <x:c r="J105" s="8" t="str">
        <x:f>'Evaluation Plan'!J105</x:f>
        <x:v>right</x:v>
      </x:c>
      <x:c r="K105" s="8" t="n">
        <x:f>'Evaluation Plan'!K105</x:f>
        <x:v>4</x:v>
      </x:c>
      <x:c r="L105" s="8" t="str">
        <x:f>'Evaluation Plan'!L105</x:f>
        <x:v>Additional transfer — Additional held-out direction × green-pen/red-block pair (right)</x:v>
      </x:c>
      <x:c r="M105" s="8" t="n">
        <x:f>'Evaluation Plan'!M105</x:f>
        <x:v>44</x:v>
      </x:c>
      <x:c r="N105" s="7" t="str">
        <x:f>'Evaluation Plan'!N105</x:f>
        <x:v>Build the listed scene; target starts in the opposite sector. Save a first-frame filename.</x:v>
      </x:c>
      <x:c r="O105" s="7" t="str">
        <x:f>'Evaluation Plan'!O105</x:f>
        <x:v>Unpaired primary-transfer coverage. Canonical wording is seen with other pairs; only the object-pair composition is held out.</x:v>
      </x:c>
      <x:c r="P105" s="7" t="str">
        <x:f>IF(ISBLANK('Evaluation Plan'!P105),"",'Evaluation Plan'!P105)</x:f>
      </x:c>
    </x:row>
    <x:row r="106" ht="64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Put the green pen on the table in front of the red block.</x:v>
      </x:c>
      <x:c r="D106" s="7" t="str">
        <x:f>'Evaluation Plan'!D106</x:f>
        <x:v>P1 red block at R5 (5 cm away from the robot from center) [REFERENCE]; P2 green pen 24 cm behind P1 [TARGET START]; P3 pink marker 15 cm to the left of P1 [DISTRACTOR]; P4 blue block 15 cm to the right of P1 [DISTRACTOR]</x:v>
      </x:c>
      <x:c r="E106" s="8" t="str">
        <x:f>IF(ISBLANK('Evaluation Plan'!E106),"",'Evaluation Plan'!E106)</x:f>
      </x:c>
      <x:c r="F106" s="8" t="str">
        <x:f>'Evaluation Plan'!F106</x:f>
        <x:v>green pen → 2–8 cm edge gap in front of red block; centroid direction within ±45°</x:v>
      </x:c>
      <x:c r="G106" s="7"/>
      <x:c r="H106" s="8" t="str">
        <x:f>'Evaluation Plan'!H106</x:f>
        <x:v>Concept/compositional transfer</x:v>
      </x:c>
      <x:c r="I106" s="8" t="str">
        <x:f>'Evaluation Plan'!I106</x:f>
        <x:v>RP-X25</x:v>
      </x:c>
      <x:c r="J106" s="8" t="str">
        <x:f>'Evaluation Plan'!J106</x:f>
        <x:v>front</x:v>
      </x:c>
      <x:c r="K106" s="8" t="n">
        <x:f>'Evaluation Plan'!K106</x:f>
        <x:v>4</x:v>
      </x:c>
      <x:c r="L106" s="8" t="str">
        <x:f>'Evaluation Plan'!L106</x:f>
        <x:v>Additional transfer — Additional held-out direction × green-pen/red-block pair (front)</x:v>
      </x:c>
      <x:c r="M106" s="8" t="n">
        <x:f>'Evaluation Plan'!M106</x:f>
        <x:v>45</x:v>
      </x:c>
      <x:c r="N106" s="7" t="str">
        <x:f>'Evaluation Plan'!N106</x:f>
        <x:v>Build the listed scene; target starts in the opposite sector. Save a first-frame filename.</x:v>
      </x:c>
      <x:c r="O106" s="7" t="str">
        <x:f>'Evaluation Plan'!O106</x:f>
        <x:v>Unpaired primary-transfer coverage. Canonical wording is seen with other pairs; only the object-pair composition is held out.</x:v>
      </x:c>
      <x:c r="P106" s="7" t="str">
        <x:f>IF(ISBLANK('Evaluation Plan'!P106),"",'Evaluation Plan'!P106)</x:f>
      </x:c>
    </x:row>
    <x:row r="107" ht="64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Place the red block behind the green pen.</x:v>
      </x:c>
      <x:c r="D107" s="7" t="str">
        <x:f>'Evaluation Plan'!D107</x:f>
        <x:v>P1 green pen at R1 (table center) [REFERENCE]; P2 red block 18 cm in front of P1 [TARGET START]; P3 pink marker 15 cm to the left of P1 [DISTRACTOR]; P4 blue block 15 cm to the right of P1 [DISTRACTOR]</x:v>
      </x:c>
      <x:c r="E107" s="8" t="str">
        <x:f>IF(ISBLANK('Evaluation Plan'!E107),"",'Evaluation Plan'!E107)</x:f>
      </x:c>
      <x:c r="F107" s="8" t="str">
        <x:f>'Evaluation Plan'!F107</x:f>
        <x:v>red block → 2–8 cm edge gap behind green pen; centroid direction within ±45°</x:v>
      </x:c>
      <x:c r="G107" s="7"/>
      <x:c r="H107" s="8" t="str">
        <x:f>'Evaluation Plan'!H107</x:f>
        <x:v>Concept/compositional transfer</x:v>
      </x:c>
      <x:c r="I107" s="8" t="str">
        <x:f>'Evaluation Plan'!I107</x:f>
        <x:v>RP-X26</x:v>
      </x:c>
      <x:c r="J107" s="8" t="str">
        <x:f>'Evaluation Plan'!J107</x:f>
        <x:v>behind</x:v>
      </x:c>
      <x:c r="K107" s="8" t="n">
        <x:f>'Evaluation Plan'!K107</x:f>
        <x:v>4</x:v>
      </x:c>
      <x:c r="L107" s="8" t="str">
        <x:f>'Evaluation Plan'!L107</x:f>
        <x:v>Additional transfer — Additional held-out direction × green-pen/red-block pair (behind)</x:v>
      </x:c>
      <x:c r="M107" s="8" t="n">
        <x:f>'Evaluation Plan'!M107</x:f>
        <x:v>46</x:v>
      </x:c>
      <x:c r="N107" s="7" t="str">
        <x:f>'Evaluation Plan'!N107</x:f>
        <x:v>Build the listed scene; target starts in the opposite sector. Save a first-frame filename.</x:v>
      </x:c>
      <x:c r="O107" s="7" t="str">
        <x:f>'Evaluation Plan'!O107</x:f>
        <x:v>Unpaired primary-transfer coverage. Canonical wording is seen with other pairs; only the object-pair composition is held out.</x:v>
      </x:c>
      <x:c r="P107" s="7" t="str">
        <x:f>IF(ISBLANK('Evaluation Plan'!P107),"",'Evaluation Plan'!P107)</x:f>
      </x:c>
    </x:row>
    <x:row r="108" ht="64" customHeight="1">
      <x:c r="A108" s="8" t="str">
        <x:v>Not collected</x:v>
      </x:c>
      <x:c r="B108" s="8" t="n">
        <x:f>'Evaluation Plan'!B108</x:f>
        <x:v>106</x:v>
      </x:c>
      <x:c r="C108" s="7" t="str">
        <x:f>'Evaluation Plan'!C108</x:f>
        <x:v>Place the green pen to the left of the red block.</x:v>
      </x:c>
      <x:c r="D108" s="7" t="str">
        <x:f>'Evaluation Plan'!D108</x:f>
        <x:v>P1 red block at R2 (5 cm left of center) [REFERENCE]; P2 green pen 21 cm to the right of P1 [TARGET START]; P3 pink marker 15 cm in front of P1 [DISTRACTOR]; P4 blue block 15 cm behind P1 [DISTRACTOR]</x:v>
      </x:c>
      <x:c r="E108" s="8" t="str">
        <x:f>IF(ISBLANK('Evaluation Plan'!E108),"",'Evaluation Plan'!E108)</x:f>
      </x:c>
      <x:c r="F108" s="8" t="str">
        <x:f>'Evaluation Plan'!F108</x:f>
        <x:v>green pen → 2–8 cm edge gap to the left of red block; centroid direction within ±45°</x:v>
      </x:c>
      <x:c r="G108" s="7"/>
      <x:c r="H108" s="8" t="str">
        <x:f>'Evaluation Plan'!H108</x:f>
        <x:v>Concept/compositional transfer</x:v>
      </x:c>
      <x:c r="I108" s="8" t="str">
        <x:f>'Evaluation Plan'!I108</x:f>
        <x:v>RP-X27</x:v>
      </x:c>
      <x:c r="J108" s="8" t="str">
        <x:f>'Evaluation Plan'!J108</x:f>
        <x:v>left</x:v>
      </x:c>
      <x:c r="K108" s="8" t="n">
        <x:f>'Evaluation Plan'!K108</x:f>
        <x:v>4</x:v>
      </x:c>
      <x:c r="L108" s="8" t="str">
        <x:f>'Evaluation Plan'!L108</x:f>
        <x:v>Additional transfer — Additional held-out direction × green-pen/red-block pair (left)</x:v>
      </x:c>
      <x:c r="M108" s="8" t="n">
        <x:f>'Evaluation Plan'!M108</x:f>
        <x:v>47</x:v>
      </x:c>
      <x:c r="N108" s="7" t="str">
        <x:f>'Evaluation Plan'!N108</x:f>
        <x:v>Build the listed scene; target starts in the opposite sector. Save a first-frame filename.</x:v>
      </x:c>
      <x:c r="O108" s="7" t="str">
        <x:f>'Evaluation Plan'!O108</x:f>
        <x:v>Unpaired primary-transfer coverage. Canonical wording is seen with other pairs; only the object-pair composition is held out.</x:v>
      </x:c>
      <x:c r="P108" s="7" t="str">
        <x:f>IF(ISBLANK('Evaluation Plan'!P108),"",'Evaluation Plan'!P108)</x:f>
      </x:c>
    </x:row>
    <x:row r="109" ht="64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red block to the right of the green pen.</x:v>
      </x:c>
      <x:c r="D109" s="7" t="str">
        <x:f>'Evaluation Plan'!D109</x:f>
        <x:v>P1 green pen at R3 (5 cm right of center) [REFERENCE]; P2 red block 24 cm to the left of P1 [TARGET START]; P3 pink marker 15 cm in front of P1 [DISTRACTOR]; P4 blue block 15 cm behind P1 [DISTRACTOR]</x:v>
      </x:c>
      <x:c r="E109" s="8" t="str">
        <x:f>IF(ISBLANK('Evaluation Plan'!E109),"",'Evaluation Plan'!E109)</x:f>
      </x:c>
      <x:c r="F109" s="8" t="str">
        <x:f>'Evaluation Plan'!F109</x:f>
        <x:v>red block → 2–8 cm edge gap to the right of green pen; centroid direction within ±45°</x:v>
      </x:c>
      <x:c r="G109" s="7"/>
      <x:c r="H109" s="8" t="str">
        <x:f>'Evaluation Plan'!H109</x:f>
        <x:v>Concept/compositional transfer</x:v>
      </x:c>
      <x:c r="I109" s="8" t="str">
        <x:f>'Evaluation Plan'!I109</x:f>
        <x:v>RP-X28</x:v>
      </x:c>
      <x:c r="J109" s="8" t="str">
        <x:f>'Evaluation Plan'!J109</x:f>
        <x:v>right</x:v>
      </x:c>
      <x:c r="K109" s="8" t="n">
        <x:f>'Evaluation Plan'!K109</x:f>
        <x:v>4</x:v>
      </x:c>
      <x:c r="L109" s="8" t="str">
        <x:f>'Evaluation Plan'!L109</x:f>
        <x:v>Additional transfer — Additional held-out direction × green-pen/red-block pair (right)</x:v>
      </x:c>
      <x:c r="M109" s="8" t="n">
        <x:f>'Evaluation Plan'!M109</x:f>
        <x:v>48</x:v>
      </x:c>
      <x:c r="N109" s="7" t="str">
        <x:f>'Evaluation Plan'!N109</x:f>
        <x:v>Build the listed scene; target starts in the opposite sector. Save a first-frame filename.</x:v>
      </x:c>
      <x:c r="O109" s="7" t="str">
        <x:f>'Evaluation Plan'!O109</x:f>
        <x:v>Unpaired primary-transfer coverage. Canonical wording is seen with other pairs; only the object-pair composition is held out.</x:v>
      </x:c>
      <x:c r="P109" s="7" t="str">
        <x:f>IF(ISBLANK('Evaluation Plan'!P109),"",'Evaluation Plan'!P109)</x:f>
      </x:c>
    </x:row>
    <x:row r="110" ht="64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Place the red block in front of the green pen.</x:v>
      </x:c>
      <x:c r="D110" s="7" t="str">
        <x:f>'Evaluation Plan'!D110</x:f>
        <x:v>P1 green pen at R4 (5 cm toward the robot from center) [REFERENCE]; P2 red block 18 cm behind P1 [TARGET START]; P3 pink marker 15 cm to the left of P1 [DISTRACTOR]; P4 blue block 15 cm to the right of P1 [DISTRACTOR]</x:v>
      </x:c>
      <x:c r="E110" s="8" t="str">
        <x:f>IF(ISBLANK('Evaluation Plan'!E110),"",'Evaluation Plan'!E110)</x:f>
      </x:c>
      <x:c r="F110" s="8" t="str">
        <x:f>'Evaluation Plan'!F110</x:f>
        <x:v>red block → 2–8 cm edge gap in front of green pen; centroid direction within ±45°</x:v>
      </x:c>
      <x:c r="G110" s="7"/>
      <x:c r="H110" s="8" t="str">
        <x:f>'Evaluation Plan'!H110</x:f>
        <x:v>Concept/compositional transfer</x:v>
      </x:c>
      <x:c r="I110" s="8" t="str">
        <x:f>'Evaluation Plan'!I110</x:f>
        <x:v>RP-X29</x:v>
      </x:c>
      <x:c r="J110" s="8" t="str">
        <x:f>'Evaluation Plan'!J110</x:f>
        <x:v>front</x:v>
      </x:c>
      <x:c r="K110" s="8" t="n">
        <x:f>'Evaluation Plan'!K110</x:f>
        <x:v>4</x:v>
      </x:c>
      <x:c r="L110" s="8" t="str">
        <x:f>'Evaluation Plan'!L110</x:f>
        <x:v>Additional transfer — Additional held-out direction × green-pen/red-block pair (front)</x:v>
      </x:c>
      <x:c r="M110" s="8" t="n">
        <x:f>'Evaluation Plan'!M110</x:f>
        <x:v>49</x:v>
      </x:c>
      <x:c r="N110" s="7" t="str">
        <x:f>'Evaluation Plan'!N110</x:f>
        <x:v>Build the listed scene; target starts in the opposite sector. Save a first-frame filename.</x:v>
      </x:c>
      <x:c r="O110" s="7" t="str">
        <x:f>'Evaluation Plan'!O110</x:f>
        <x:v>Unpaired primary-transfer coverage. Canonical wording is seen with other pairs; only the object-pair composition is held out.</x:v>
      </x:c>
      <x:c r="P110" s="7" t="str">
        <x:f>IF(ISBLANK('Evaluation Plan'!P110),"",'Evaluation Plan'!P110)</x:f>
      </x:c>
    </x:row>
    <x:row r="111" ht="64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green pen to the back of the red block.</x:v>
      </x:c>
      <x:c r="D111" s="7" t="str">
        <x:f>'Evaluation Plan'!D111</x:f>
        <x:v>P1 red block at R5 (5 cm away from the robot from center) [REFERENCE]; P2 green pen 21 cm in front of P1 [TARGET START]; P3 pink marker 15 cm to the left of P1 [DISTRACTOR]; P4 blue block 15 cm to the right of P1 [DISTRACTOR]</x:v>
      </x:c>
      <x:c r="E111" s="8" t="str">
        <x:f>IF(ISBLANK('Evaluation Plan'!E111),"",'Evaluation Plan'!E111)</x:f>
      </x:c>
      <x:c r="F111" s="8" t="str">
        <x:f>'Evaluation Plan'!F111</x:f>
        <x:v>green pen → 2–8 cm edge gap behind red block; centroid direction within ±45°</x:v>
      </x:c>
      <x:c r="G111" s="7"/>
      <x:c r="H111" s="8" t="str">
        <x:f>'Evaluation Plan'!H111</x:f>
        <x:v>Concept/compositional transfer</x:v>
      </x:c>
      <x:c r="I111" s="8" t="str">
        <x:f>'Evaluation Plan'!I111</x:f>
        <x:v>RP-X30</x:v>
      </x:c>
      <x:c r="J111" s="8" t="str">
        <x:f>'Evaluation Plan'!J111</x:f>
        <x:v>behind</x:v>
      </x:c>
      <x:c r="K111" s="8" t="n">
        <x:f>'Evaluation Plan'!K111</x:f>
        <x:v>4</x:v>
      </x:c>
      <x:c r="L111" s="8" t="str">
        <x:f>'Evaluation Plan'!L111</x:f>
        <x:v>Additional transfer — Additional held-out direction × green-pen/red-block pair (behind)</x:v>
      </x:c>
      <x:c r="M111" s="8" t="n">
        <x:f>'Evaluation Plan'!M111</x:f>
        <x:v>50</x:v>
      </x:c>
      <x:c r="N111" s="7" t="str">
        <x:f>'Evaluation Plan'!N111</x:f>
        <x:v>Build the listed scene; target starts in the opposite sector. Save a first-frame filename.</x:v>
      </x:c>
      <x:c r="O111" s="7" t="str">
        <x:f>'Evaluation Plan'!O111</x:f>
        <x:v>Unpaired primary-transfer coverage. Canonical wording is seen with other pairs; only the object-pair composition is held out.</x:v>
      </x:c>
      <x:c r="P111" s="7" t="str">
        <x:f>IF(ISBLANK('Evaluation Plan'!P111),"",'Evaluation Plan'!P111)</x:f>
      </x:c>
    </x:row>
    <x:row r="112" ht="64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Put the airplane toy with propellers beside the pink marker.</x:v>
      </x:c>
      <x:c r="D112" s="10" t="str">
        <x:f>'Evaluation Plan'!D112</x:f>
        <x:v>P1 pink marker at R1 (table center) [REFERENCE]; P2 airplane toy with propellers 21 cm behind P1 [TARGET START]; P3 airplane toy without propellers 15 cm to the left of P1 [VISUAL COMPETITOR]</x:v>
      </x:c>
      <x:c r="E112" s="9" t="str">
        <x:f>IF(ISBLANK('Evaluation Plan'!E112),"",'Evaluation Plan'!E112)</x:f>
      </x:c>
      <x:c r="F112" s="9" t="str">
        <x:f>'Evaluation Plan'!F112</x:f>
        <x:v>airplane toy with propellers → 2–8 cm edge gap from pink marker (any direction)</x:v>
      </x:c>
      <x:c r="G112" s="10"/>
      <x:c r="H112" s="9" t="str">
        <x:f>'Evaluation Plan'!H112</x:f>
        <x:v>Airplane seen-relation baseline</x:v>
      </x:c>
      <x:c r="I112" s="9" t="str">
        <x:f>'Evaluation Plan'!I112</x:f>
        <x:v>RP-AIR01</x:v>
      </x:c>
      <x:c r="J112" s="9" t="str">
        <x:f>'Evaluation Plan'!J112</x:f>
        <x:v>near</x:v>
      </x:c>
      <x:c r="K112" s="9" t="n">
        <x:f>'Evaluation Plan'!K112</x:f>
        <x:v>3</x:v>
      </x:c>
      <x:c r="L112" s="9" t="str">
        <x:f>'Evaluation Plan'!L112</x:f>
        <x:v>1 — Airplane seen-relation baseline — Cross-task airplane as target; seen near relation</x:v>
      </x:c>
      <x:c r="M112" s="9" t="n">
        <x:f>'Evaluation Plan'!M112</x:f>
        <x:v>51</x:v>
      </x:c>
      <x:c r="N112" s="10" t="str">
        <x:f>'Evaluation Plan'!N112</x:f>
        <x:v>Build the listed scene with both airplane variants present. Save a first-frame filename before running the baseline.</x:v>
      </x:c>
      <x:c r="O112" s="10" t="str">
        <x:f>'Evaluation Plan'!O112</x:f>
        <x:v>The airplanes are seen elsewhere in fine-tuning but absent from Relational Placement. The near baseline checks role-specific visual grounding and basic manipulation before directional composition.</x:v>
      </x:c>
      <x:c r="P112" s="10" t="str">
        <x:f>IF(ISBLANK('Evaluation Plan'!P112),"",'Evaluation Plan'!P112)</x:f>
      </x:c>
    </x:row>
    <x:row r="113" ht="64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Move the airplane toy with propellers to the front of the pink marker.</x:v>
      </x:c>
      <x:c r="D113" s="7" t="str">
        <x:f>'Evaluation Plan'!D113</x:f>
        <x:v>P1 pink marker at R1 (table center) [REFERENCE]; P2 airplane toy with propellers 21 cm behind P1 [TARGET START]; P3 airplane toy without propellers 15 cm to the left of P1 [VISUAL COMPETITOR]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 → 2–8 cm edge gap in front of pink marker; centroid direction within ±45°</x:v>
      </x:c>
      <x:c r="G113" s="7"/>
      <x:c r="H113" s="8" t="str">
        <x:f>'Evaluation Plan'!H113</x:f>
        <x:v>Airplane directional transfer</x:v>
      </x:c>
      <x:c r="I113" s="8" t="str">
        <x:f>'Evaluation Plan'!I113</x:f>
        <x:v>RP-AIR01</x:v>
      </x:c>
      <x:c r="J113" s="8" t="str">
        <x:f>'Evaluation Plan'!J113</x:f>
        <x:v>front</x:v>
      </x:c>
      <x:c r="K113" s="8" t="n">
        <x:f>'Evaluation Plan'!K113</x:f>
        <x:v>3</x:v>
      </x:c>
      <x:c r="L113" s="8" t="str">
        <x:f>'Evaluation Plan'!L113</x:f>
        <x:v>2 — Airplane directional transfer — Cross-task airplane as target; directional relation (front)</x:v>
      </x:c>
      <x:c r="M113" s="8" t="n">
        <x:f>'Evaluation Plan'!M113</x:f>
        <x:v>51</x:v>
      </x:c>
      <x:c r="N113" s="7" t="str">
        <x:f>'Evaluation Plan'!N113</x:f>
        <x:v>Reset only P2 to its marked start. Keep the scene exact; change only the prompt and expected placement.</x:v>
      </x:c>
      <x:c r="O113" s="7" t="str">
        <x:f>'Evaluation Plan'!O113</x:f>
        <x:v>Cross-task visual-role composition. Analyze airplane-as-target and airplane-as-reference families separately; do not call this globally unseen-object generalization.</x:v>
      </x:c>
      <x:c r="P113" s="7" t="str">
        <x:f>IF(ISBLANK('Evaluation Plan'!P113),"",'Evaluation Plan'!P113)</x:f>
      </x:c>
    </x:row>
    <x:row r="114" ht="64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Move the airplane toy without propellers near the blue block.</x:v>
      </x:c>
      <x:c r="D114" s="10" t="str">
        <x:f>'Evaluation Plan'!D114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4" s="9" t="str">
        <x:f>IF(ISBLANK('Evaluation Plan'!E114),"",'Evaluation Plan'!E114)</x:f>
      </x:c>
      <x:c r="F114" s="9" t="str">
        <x:f>'Evaluation Plan'!F114</x:f>
        <x:v>airplane toy without propellers → 2–8 cm edge gap from blue block (any direction)</x:v>
      </x:c>
      <x:c r="G114" s="10"/>
      <x:c r="H114" s="9" t="str">
        <x:f>'Evaluation Plan'!H114</x:f>
        <x:v>Airplane seen-relation baseline</x:v>
      </x:c>
      <x:c r="I114" s="9" t="str">
        <x:f>'Evaluation Plan'!I114</x:f>
        <x:v>RP-AIR02</x:v>
      </x:c>
      <x:c r="J114" s="9" t="str">
        <x:f>'Evaluation Plan'!J114</x:f>
        <x:v>near</x:v>
      </x:c>
      <x:c r="K114" s="9" t="n">
        <x:f>'Evaluation Plan'!K114</x:f>
        <x:v>4</x:v>
      </x:c>
      <x:c r="L114" s="9" t="str">
        <x:f>'Evaluation Plan'!L114</x:f>
        <x:v>1 — Airplane seen-relation baseline — Cross-task airplane as target; seen near relation</x:v>
      </x:c>
      <x:c r="M114" s="9" t="n">
        <x:f>'Evaluation Plan'!M114</x:f>
        <x:v>52</x:v>
      </x:c>
      <x:c r="N114" s="10" t="str">
        <x:f>'Evaluation Plan'!N114</x:f>
        <x:v>Build the listed scene with both airplane variants present. Save a first-frame filename before running the baseline.</x:v>
      </x:c>
      <x:c r="O114" s="10" t="str">
        <x:f>'Evaluation Plan'!O114</x:f>
        <x:v>The airplanes are seen elsewhere in fine-tuning but absent from Relational Placement. The near baseline checks role-specific visual grounding and basic manipulation before directional composition.</x:v>
      </x:c>
      <x:c r="P114" s="10" t="str">
        <x:f>IF(ISBLANK('Evaluation Plan'!P114),"",'Evaluation Plan'!P114)</x:f>
      </x:c>
    </x:row>
    <x:row r="115" ht="64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airplane toy without propellers on the table behind the blue block.</x:v>
      </x:c>
      <x:c r="D115" s="7" t="str">
        <x:f>'Evaluation Plan'!D115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5" s="8" t="n">
        <x:f>IF(ISBLANK('Evaluation Plan'!E115),"",'Evaluation Plan'!E115)</x:f>
        <x:v>112</x:v>
      </x:c>
      <x:c r="F115" s="8" t="str">
        <x:f>'Evaluation Plan'!F115</x:f>
        <x:v>airplane toy without propellers → 2–8 cm edge gap behind blue block; centroid direction within ±45°</x:v>
      </x:c>
      <x:c r="G115" s="7"/>
      <x:c r="H115" s="8" t="str">
        <x:f>'Evaluation Plan'!H115</x:f>
        <x:v>Airplane directional transfer</x:v>
      </x:c>
      <x:c r="I115" s="8" t="str">
        <x:f>'Evaluation Plan'!I115</x:f>
        <x:v>RP-AIR02</x:v>
      </x:c>
      <x:c r="J115" s="8" t="str">
        <x:f>'Evaluation Plan'!J115</x:f>
        <x:v>behind</x:v>
      </x:c>
      <x:c r="K115" s="8" t="n">
        <x:f>'Evaluation Plan'!K115</x:f>
        <x:v>4</x:v>
      </x:c>
      <x:c r="L115" s="8" t="str">
        <x:f>'Evaluation Plan'!L115</x:f>
        <x:v>2 — Airplane directional transfer — Cross-task airplane as target; directional relation (behind)</x:v>
      </x:c>
      <x:c r="M115" s="8" t="n">
        <x:f>'Evaluation Plan'!M115</x:f>
        <x:v>52</x:v>
      </x:c>
      <x:c r="N115" s="7" t="str">
        <x:f>'Evaluation Plan'!N115</x:f>
        <x:v>Reset only P2 to its marked start. Keep the scene exact; change only the prompt and expected placement.</x:v>
      </x:c>
      <x:c r="O115" s="7" t="str">
        <x:f>'Evaluation Plan'!O115</x:f>
        <x:v>Cross-task visual-role composition. Analyze airplane-as-target and airplane-as-reference families separately; do not call this globally unseen-object generalization.</x:v>
      </x:c>
      <x:c r="P115" s="7" t="str">
        <x:f>IF(ISBLANK('Evaluation Plan'!P115),"",'Evaluation Plan'!P115)</x:f>
      </x:c>
    </x:row>
    <x:row r="116" ht="64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Place the airplane toy with propellers next to the green pen.</x:v>
      </x:c>
      <x:c r="D116" s="10" t="str">
        <x:f>'Evaluation Plan'!D116</x:f>
        <x:v>P1 green pen at R3 (5 cm right of center) [REFERENCE]; P2 airplane toy with propellers 18 cm to the right of P1 [TARGET START]; P3 airplane toy without propellers 15 cm in front of P1 [VISUAL COMPETITOR]</x:v>
      </x:c>
      <x:c r="E116" s="9" t="str">
        <x:f>IF(ISBLANK('Evaluation Plan'!E116),"",'Evaluation Plan'!E116)</x:f>
      </x:c>
      <x:c r="F116" s="9" t="str">
        <x:f>'Evaluation Plan'!F116</x:f>
        <x:v>airplane toy with propellers → 2–8 cm edge gap from green pen (any direction)</x:v>
      </x:c>
      <x:c r="G116" s="10"/>
      <x:c r="H116" s="9" t="str">
        <x:f>'Evaluation Plan'!H116</x:f>
        <x:v>Airplane seen-relation baseline</x:v>
      </x:c>
      <x:c r="I116" s="9" t="str">
        <x:f>'Evaluation Plan'!I116</x:f>
        <x:v>RP-AIR03</x:v>
      </x:c>
      <x:c r="J116" s="9" t="str">
        <x:f>'Evaluation Plan'!J116</x:f>
        <x:v>near</x:v>
      </x:c>
      <x:c r="K116" s="9" t="n">
        <x:f>'Evaluation Plan'!K116</x:f>
        <x:v>3</x:v>
      </x:c>
      <x:c r="L116" s="9" t="str">
        <x:f>'Evaluation Plan'!L116</x:f>
        <x:v>1 — Airplane seen-relation baseline — Cross-task airplane as target; seen near relation</x:v>
      </x:c>
      <x:c r="M116" s="9" t="n">
        <x:f>'Evaluation Plan'!M116</x:f>
        <x:v>53</x:v>
      </x:c>
      <x:c r="N116" s="10" t="str">
        <x:f>'Evaluation Plan'!N116</x:f>
        <x:v>Build the listed scene with both airplane variants present. Save a first-frame filename before running the baseline.</x:v>
      </x:c>
      <x:c r="O116" s="10" t="str">
        <x:f>'Evaluation Plan'!O116</x:f>
        <x:v>The airplanes are seen elsewhere in fine-tuning but absent from Relational Placement. The near baseline checks role-specific visual grounding and basic manipulation before directional composition.</x:v>
      </x:c>
      <x:c r="P116" s="10" t="str">
        <x:f>IF(ISBLANK('Evaluation Plan'!P116),"",'Evaluation Plan'!P116)</x:f>
      </x:c>
    </x:row>
    <x:row r="117" ht="64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Place the airplane toy with propellers to the left of the green pen.</x:v>
      </x:c>
      <x:c r="D117" s="7" t="str">
        <x:f>'Evaluation Plan'!D117</x:f>
        <x:v>P1 green pen at R3 (5 cm right of center) [REFERENCE]; P2 airplane toy with propellers 18 cm to the right of P1 [TARGET START]; P3 airplane toy without propellers 15 cm in front of P1 [VISUAL COMPETITOR]</x:v>
      </x:c>
      <x:c r="E117" s="8" t="n">
        <x:f>IF(ISBLANK('Evaluation Plan'!E117),"",'Evaluation Plan'!E117)</x:f>
        <x:v>114</x:v>
      </x:c>
      <x:c r="F117" s="8" t="str">
        <x:f>'Evaluation Plan'!F117</x:f>
        <x:v>airplane toy with propellers → 2–8 cm edge gap to the left of green pen; centroid direction within ±45°</x:v>
      </x:c>
      <x:c r="G117" s="7"/>
      <x:c r="H117" s="8" t="str">
        <x:f>'Evaluation Plan'!H117</x:f>
        <x:v>Airplane directional transfer</x:v>
      </x:c>
      <x:c r="I117" s="8" t="str">
        <x:f>'Evaluation Plan'!I117</x:f>
        <x:v>RP-AIR03</x:v>
      </x:c>
      <x:c r="J117" s="8" t="str">
        <x:f>'Evaluation Plan'!J117</x:f>
        <x:v>left</x:v>
      </x:c>
      <x:c r="K117" s="8" t="n">
        <x:f>'Evaluation Plan'!K117</x:f>
        <x:v>3</x:v>
      </x:c>
      <x:c r="L117" s="8" t="str">
        <x:f>'Evaluation Plan'!L117</x:f>
        <x:v>2 — Airplane directional transfer — Cross-task airplane as target; directional relation (left)</x:v>
      </x:c>
      <x:c r="M117" s="8" t="n">
        <x:f>'Evaluation Plan'!M117</x:f>
        <x:v>53</x:v>
      </x:c>
      <x:c r="N117" s="7" t="str">
        <x:f>'Evaluation Plan'!N117</x:f>
        <x:v>Reset only P2 to its marked start. Keep the scene exact; change only the prompt and expected placement.</x:v>
      </x:c>
      <x:c r="O117" s="7" t="str">
        <x:f>'Evaluation Plan'!O117</x:f>
        <x:v>Cross-task visual-role composition. Analyze airplane-as-target and airplane-as-reference families separately; do not call this globally unseen-object generalization.</x:v>
      </x:c>
      <x:c r="P117" s="7" t="str">
        <x:f>IF(ISBLANK('Evaluation Plan'!P117),"",'Evaluation Plan'!P117)</x:f>
      </x:c>
    </x:row>
    <x:row r="118" ht="64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airplane toy without propellers beside the pink marker.</x:v>
      </x:c>
      <x:c r="D118" s="10" t="str">
        <x:f>'Evaluation Plan'!D118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8" s="9" t="str">
        <x:f>IF(ISBLANK('Evaluation Plan'!E118),"",'Evaluation Plan'!E118)</x:f>
      </x:c>
      <x:c r="F118" s="9" t="str">
        <x:f>'Evaluation Plan'!F118</x:f>
        <x:v>airplane toy without propellers → 2–8 cm edge gap from pink marker (any direction)</x:v>
      </x:c>
      <x:c r="G118" s="10"/>
      <x:c r="H118" s="9" t="str">
        <x:f>'Evaluation Plan'!H118</x:f>
        <x:v>Airplane seen-relation baseline</x:v>
      </x:c>
      <x:c r="I118" s="9" t="str">
        <x:f>'Evaluation Plan'!I118</x:f>
        <x:v>RP-AIR04</x:v>
      </x:c>
      <x:c r="J118" s="9" t="str">
        <x:f>'Evaluation Plan'!J118</x:f>
        <x:v>near</x:v>
      </x:c>
      <x:c r="K118" s="9" t="n">
        <x:f>'Evaluation Plan'!K118</x:f>
        <x:v>4</x:v>
      </x:c>
      <x:c r="L118" s="9" t="str">
        <x:f>'Evaluation Plan'!L118</x:f>
        <x:v>1 — Airplane seen-relation baseline — Cross-task airplane as target; seen near relation</x:v>
      </x:c>
      <x:c r="M118" s="9" t="n">
        <x:f>'Evaluation Plan'!M118</x:f>
        <x:v>54</x:v>
      </x:c>
      <x:c r="N118" s="10" t="str">
        <x:f>'Evaluation Plan'!N118</x:f>
        <x:v>Build the listed scene with both airplane variants present. Save a first-frame filename before running the baseline.</x:v>
      </x:c>
      <x:c r="O118" s="10" t="str">
        <x:f>'Evaluation Plan'!O118</x:f>
        <x:v>The airplanes are seen elsewhere in fine-tuning but absent from Relational Placement. The near baseline checks role-specific visual grounding and basic manipulation before directional composition.</x:v>
      </x:c>
      <x:c r="P118" s="10" t="str">
        <x:f>IF(ISBLANK('Evaluation Plan'!P118),"",'Evaluation Plan'!P118)</x:f>
      </x:c>
    </x:row>
    <x:row r="119" ht="64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airplane toy without propellers to the right of the pink marker.</x:v>
      </x:c>
      <x:c r="D119" s="7" t="str">
        <x:f>'Evaluation Plan'!D119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9" s="8" t="n">
        <x:f>IF(ISBLANK('Evaluation Plan'!E119),"",'Evaluation Plan'!E119)</x:f>
        <x:v>116</x:v>
      </x:c>
      <x:c r="F119" s="8" t="str">
        <x:f>'Evaluation Plan'!F119</x:f>
        <x:v>airplane toy without propellers → 2–8 cm edge gap to the right of pink marker; centroid direction within ±45°</x:v>
      </x:c>
      <x:c r="G119" s="7"/>
      <x:c r="H119" s="8" t="str">
        <x:f>'Evaluation Plan'!H119</x:f>
        <x:v>Airplane directional transfer</x:v>
      </x:c>
      <x:c r="I119" s="8" t="str">
        <x:f>'Evaluation Plan'!I119</x:f>
        <x:v>RP-AIR04</x:v>
      </x:c>
      <x:c r="J119" s="8" t="str">
        <x:f>'Evaluation Plan'!J119</x:f>
        <x:v>right</x:v>
      </x:c>
      <x:c r="K119" s="8" t="n">
        <x:f>'Evaluation Plan'!K119</x:f>
        <x:v>4</x:v>
      </x:c>
      <x:c r="L119" s="8" t="str">
        <x:f>'Evaluation Plan'!L119</x:f>
        <x:v>2 — Airplane directional transfer — Cross-task airplane as target; directional relation (right)</x:v>
      </x:c>
      <x:c r="M119" s="8" t="n">
        <x:f>'Evaluation Plan'!M119</x:f>
        <x:v>54</x:v>
      </x:c>
      <x:c r="N119" s="7" t="str">
        <x:f>'Evaluation Plan'!N119</x:f>
        <x:v>Reset only P2 to its marked start. Keep the scene exact; change only the prompt and expected placement.</x:v>
      </x:c>
      <x:c r="O119" s="7" t="str">
        <x:f>'Evaluation Plan'!O119</x:f>
        <x:v>Cross-task visual-role composition. Analyze airplane-as-target and airplane-as-reference families separately; do not call this globally unseen-object generalization.</x:v>
      </x:c>
      <x:c r="P119" s="7" t="str">
        <x:f>IF(ISBLANK('Evaluation Plan'!P119),"",'Evaluation Plan'!P119)</x:f>
      </x:c>
    </x:row>
    <x:row r="120" ht="64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Move the airplane toy with propellers near the blue block.</x:v>
      </x:c>
      <x:c r="D120" s="10" t="str">
        <x:f>'Evaluation Plan'!D120</x:f>
        <x:v>P1 blue block at R5 (5 cm away from the robot from center) [REFERENCE]; P2 airplane toy with propellers 24 cm behind P1 [TARGET START]; P3 airplane toy without propellers 15 cm to the left of P1 [VISUAL COMPETITOR]</x:v>
      </x:c>
      <x:c r="E120" s="9" t="str">
        <x:f>IF(ISBLANK('Evaluation Plan'!E120),"",'Evaluation Plan'!E120)</x:f>
      </x:c>
      <x:c r="F120" s="9" t="str">
        <x:f>'Evaluation Plan'!F120</x:f>
        <x:v>airplane toy with propellers → 2–8 cm edge gap from blue block (any direction)</x:v>
      </x:c>
      <x:c r="G120" s="10"/>
      <x:c r="H120" s="9" t="str">
        <x:f>'Evaluation Plan'!H120</x:f>
        <x:v>Airplane seen-relation baseline</x:v>
      </x:c>
      <x:c r="I120" s="9" t="str">
        <x:f>'Evaluation Plan'!I120</x:f>
        <x:v>RP-AIR05</x:v>
      </x:c>
      <x:c r="J120" s="9" t="str">
        <x:f>'Evaluation Plan'!J120</x:f>
        <x:v>near</x:v>
      </x:c>
      <x:c r="K120" s="9" t="n">
        <x:f>'Evaluation Plan'!K120</x:f>
        <x:v>3</x:v>
      </x:c>
      <x:c r="L120" s="9" t="str">
        <x:f>'Evaluation Plan'!L120</x:f>
        <x:v>1 — Airplane seen-relation baseline — Cross-task airplane as target; seen near relation</x:v>
      </x:c>
      <x:c r="M120" s="9" t="n">
        <x:f>'Evaluation Plan'!M120</x:f>
        <x:v>55</x:v>
      </x:c>
      <x:c r="N120" s="10" t="str">
        <x:f>'Evaluation Plan'!N120</x:f>
        <x:v>Build the listed scene with both airplane variants present. Save a first-frame filename before running the baseline.</x:v>
      </x:c>
      <x:c r="O120" s="10" t="str">
        <x:f>'Evaluation Plan'!O120</x:f>
        <x:v>The airplanes are seen elsewhere in fine-tuning but absent from Relational Placement. The near baseline checks role-specific visual grounding and basic manipulation before directional composition.</x:v>
      </x:c>
      <x:c r="P120" s="10" t="str">
        <x:f>IF(ISBLANK('Evaluation Plan'!P120),"",'Evaluation Plan'!P120)</x:f>
      </x:c>
    </x:row>
    <x:row r="121" ht="64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Put the airplane toy with propellers on the table in front of the blue block.</x:v>
      </x:c>
      <x:c r="D121" s="7" t="str">
        <x:f>'Evaluation Plan'!D121</x:f>
        <x:v>P1 blue block at R5 (5 cm away from the robot from center) [REFERENCE]; P2 airplane toy with propellers 24 cm behind P1 [TARGET START]; P3 airplane toy without propellers 15 cm to the left of P1 [VISUAL COMPETITOR]</x:v>
      </x:c>
      <x:c r="E121" s="8" t="n">
        <x:f>IF(ISBLANK('Evaluation Plan'!E121),"",'Evaluation Plan'!E121)</x:f>
        <x:v>118</x:v>
      </x:c>
      <x:c r="F121" s="8" t="str">
        <x:f>'Evaluation Plan'!F121</x:f>
        <x:v>airplane toy with propellers → 2–8 cm edge gap in front of blue block; centroid direction within ±45°</x:v>
      </x:c>
      <x:c r="G121" s="7"/>
      <x:c r="H121" s="8" t="str">
        <x:f>'Evaluation Plan'!H121</x:f>
        <x:v>Airplane directional transfer</x:v>
      </x:c>
      <x:c r="I121" s="8" t="str">
        <x:f>'Evaluation Plan'!I121</x:f>
        <x:v>RP-AIR05</x:v>
      </x:c>
      <x:c r="J121" s="8" t="str">
        <x:f>'Evaluation Plan'!J121</x:f>
        <x:v>front</x:v>
      </x:c>
      <x:c r="K121" s="8" t="n">
        <x:f>'Evaluation Plan'!K121</x:f>
        <x:v>3</x:v>
      </x:c>
      <x:c r="L121" s="8" t="str">
        <x:f>'Evaluation Plan'!L121</x:f>
        <x:v>2 — Airplane directional transfer — Cross-task airplane as target; directional relation (front)</x:v>
      </x:c>
      <x:c r="M121" s="8" t="n">
        <x:f>'Evaluation Plan'!M121</x:f>
        <x:v>55</x:v>
      </x:c>
      <x:c r="N121" s="7" t="str">
        <x:f>'Evaluation Plan'!N121</x:f>
        <x:v>Reset only P2 to its marked start. Keep the scene exact; change only the prompt and expected placement.</x:v>
      </x:c>
      <x:c r="O121" s="7" t="str">
        <x:f>'Evaluation Plan'!O121</x:f>
        <x:v>Cross-task visual-role composition. Analyze airplane-as-target and airplane-as-reference families separately; do not call this globally unseen-object generalization.</x:v>
      </x:c>
      <x:c r="P121" s="7" t="str">
        <x:f>IF(ISBLANK('Evaluation Plan'!P121),"",'Evaluation Plan'!P121)</x:f>
      </x:c>
    </x:row>
    <x:row r="122" ht="64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Place the pink marker next to the airplane toy without propellers.</x:v>
      </x:c>
      <x:c r="D122" s="10" t="str">
        <x:f>'Evaluation Plan'!D122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2" s="9" t="str">
        <x:f>IF(ISBLANK('Evaluation Plan'!E122),"",'Evaluation Plan'!E122)</x:f>
      </x:c>
      <x:c r="F122" s="9" t="str">
        <x:f>'Evaluation Plan'!F122</x:f>
        <x:v>pink marker → 2–8 cm edge gap from airplane toy without propellers (any direction)</x:v>
      </x:c>
      <x:c r="G122" s="10"/>
      <x:c r="H122" s="9" t="str">
        <x:f>'Evaluation Plan'!H122</x:f>
        <x:v>Airplane seen-relation baseline</x:v>
      </x:c>
      <x:c r="I122" s="9" t="str">
        <x:f>'Evaluation Plan'!I122</x:f>
        <x:v>RP-AIR06</x:v>
      </x:c>
      <x:c r="J122" s="9" t="str">
        <x:f>'Evaluation Plan'!J122</x:f>
        <x:v>near</x:v>
      </x:c>
      <x:c r="K122" s="9" t="n">
        <x:f>'Evaluation Plan'!K122</x:f>
        <x:v>4</x:v>
      </x:c>
      <x:c r="L122" s="9" t="str">
        <x:f>'Evaluation Plan'!L122</x:f>
        <x:v>1 — Airplane seen-relation baseline — Cross-task airplane as reference; seen near relation</x:v>
      </x:c>
      <x:c r="M122" s="9" t="n">
        <x:f>'Evaluation Plan'!M122</x:f>
        <x:v>56</x:v>
      </x:c>
      <x:c r="N122" s="10" t="str">
        <x:f>'Evaluation Plan'!N122</x:f>
        <x:v>Build the listed scene with both airplane variants present. Save a first-frame filename before running the baseline.</x:v>
      </x:c>
      <x:c r="O122" s="10" t="str">
        <x:f>'Evaluation Plan'!O122</x:f>
        <x:v>The airplanes are seen elsewhere in fine-tuning but absent from Relational Placement. The near baseline checks role-specific visual grounding and basic manipulation before directional composition.</x:v>
      </x:c>
      <x:c r="P122" s="10" t="str">
        <x:f>IF(ISBLANK('Evaluation Plan'!P122),"",'Evaluation Plan'!P122)</x:f>
      </x:c>
    </x:row>
    <x:row r="123" ht="64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Place the pink marker behind the airplane toy without propellers.</x:v>
      </x:c>
      <x:c r="D123" s="7" t="str">
        <x:f>'Evaluation Plan'!D123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3" s="8" t="n">
        <x:f>IF(ISBLANK('Evaluation Plan'!E123),"",'Evaluation Plan'!E123)</x:f>
        <x:v>120</x:v>
      </x:c>
      <x:c r="F123" s="8" t="str">
        <x:f>'Evaluation Plan'!F123</x:f>
        <x:v>pink marker → 2–8 cm edge gap behind airplane toy without propellers; centroid direction within ±45°</x:v>
      </x:c>
      <x:c r="G123" s="7"/>
      <x:c r="H123" s="8" t="str">
        <x:f>'Evaluation Plan'!H123</x:f>
        <x:v>Airplane directional transfer</x:v>
      </x:c>
      <x:c r="I123" s="8" t="str">
        <x:f>'Evaluation Plan'!I123</x:f>
        <x:v>RP-AIR06</x:v>
      </x:c>
      <x:c r="J123" s="8" t="str">
        <x:f>'Evaluation Plan'!J123</x:f>
        <x:v>behind</x:v>
      </x:c>
      <x:c r="K123" s="8" t="n">
        <x:f>'Evaluation Plan'!K123</x:f>
        <x:v>4</x:v>
      </x:c>
      <x:c r="L123" s="8" t="str">
        <x:f>'Evaluation Plan'!L123</x:f>
        <x:v>2 — Airplane directional transfer — Cross-task airplane as reference; directional relation (behind)</x:v>
      </x:c>
      <x:c r="M123" s="8" t="n">
        <x:f>'Evaluation Plan'!M123</x:f>
        <x:v>56</x:v>
      </x:c>
      <x:c r="N123" s="7" t="str">
        <x:f>'Evaluation Plan'!N123</x:f>
        <x:v>Reset only P2 to its marked start. Keep the scene exact; change only the prompt and expected placement.</x:v>
      </x:c>
      <x:c r="O123" s="7" t="str">
        <x:f>'Evaluation Plan'!O123</x:f>
        <x:v>Cross-task visual-role composition. Analyze airplane-as-target and airplane-as-reference families separately; do not call this globally unseen-object generalization.</x:v>
      </x:c>
      <x:c r="P123" s="7" t="str">
        <x:f>IF(ISBLANK('Evaluation Plan'!P123),"",'Evaluation Plan'!P123)</x:f>
      </x:c>
    </x:row>
    <x:row r="124" ht="64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Put the blue block beside the airplane toy with propellers.</x:v>
      </x:c>
      <x:c r="D124" s="10" t="str">
        <x:f>'Evaluation Plan'!D124</x:f>
        <x:v>P1 airplane toy with propellers at R2 (5 cm left of center) [REFERENCE]; P2 blue block 21 cm to the right of P1 [TARGET START]; P3 airplane toy without propellers 15 cm in front of P1 [VISUAL COMPETITOR]</x:v>
      </x:c>
      <x:c r="E124" s="9" t="str">
        <x:f>IF(ISBLANK('Evaluation Plan'!E124),"",'Evaluation Plan'!E124)</x:f>
      </x:c>
      <x:c r="F124" s="9" t="str">
        <x:f>'Evaluation Plan'!F124</x:f>
        <x:v>blue block → 2–8 cm edge gap from airplane toy with propellers (any direction)</x:v>
      </x:c>
      <x:c r="G124" s="10"/>
      <x:c r="H124" s="9" t="str">
        <x:f>'Evaluation Plan'!H124</x:f>
        <x:v>Airplane seen-relation baseline</x:v>
      </x:c>
      <x:c r="I124" s="9" t="str">
        <x:f>'Evaluation Plan'!I124</x:f>
        <x:v>RP-AIR07</x:v>
      </x:c>
      <x:c r="J124" s="9" t="str">
        <x:f>'Evaluation Plan'!J124</x:f>
        <x:v>near</x:v>
      </x:c>
      <x:c r="K124" s="9" t="n">
        <x:f>'Evaluation Plan'!K124</x:f>
        <x:v>3</x:v>
      </x:c>
      <x:c r="L124" s="9" t="str">
        <x:f>'Evaluation Plan'!L124</x:f>
        <x:v>1 — Airplane seen-relation baseline — Cross-task airplane as reference; seen near relation</x:v>
      </x:c>
      <x:c r="M124" s="9" t="n">
        <x:f>'Evaluation Plan'!M124</x:f>
        <x:v>57</x:v>
      </x:c>
      <x:c r="N124" s="10" t="str">
        <x:f>'Evaluation Plan'!N124</x:f>
        <x:v>Build the listed scene with both airplane variants present. Save a first-frame filename before running the baseline.</x:v>
      </x:c>
      <x:c r="O124" s="10" t="str">
        <x:f>'Evaluation Plan'!O124</x:f>
        <x:v>The airplanes are seen elsewhere in fine-tuning but absent from Relational Placement. The near baseline checks role-specific visual grounding and basic manipulation before directional composition.</x:v>
      </x:c>
      <x:c r="P124" s="10" t="str">
        <x:f>IF(ISBLANK('Evaluation Plan'!P124),"",'Evaluation Plan'!P124)</x:f>
      </x:c>
    </x:row>
    <x:row r="125" ht="64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Place the blue block to the left of the airplane toy with propellers.</x:v>
      </x:c>
      <x:c r="D125" s="7" t="str">
        <x:f>'Evaluation Plan'!D125</x:f>
        <x:v>P1 airplane toy with propellers at R2 (5 cm left of center) [REFERENCE]; P2 blue block 21 cm to the right of P1 [TARGET START]; P3 airplane toy without propellers 15 cm in front of P1 [VISUAL COMPETITOR]</x:v>
      </x:c>
      <x:c r="E125" s="8" t="n">
        <x:f>IF(ISBLANK('Evaluation Plan'!E125),"",'Evaluation Plan'!E125)</x:f>
        <x:v>122</x:v>
      </x:c>
      <x:c r="F125" s="8" t="str">
        <x:f>'Evaluation Plan'!F125</x:f>
        <x:v>blue block → 2–8 cm edge gap to the left of airplane toy with propellers; centroid direction within ±45°</x:v>
      </x:c>
      <x:c r="G125" s="7"/>
      <x:c r="H125" s="8" t="str">
        <x:f>'Evaluation Plan'!H125</x:f>
        <x:v>Airplane directional transfer</x:v>
      </x:c>
      <x:c r="I125" s="8" t="str">
        <x:f>'Evaluation Plan'!I125</x:f>
        <x:v>RP-AIR07</x:v>
      </x:c>
      <x:c r="J125" s="8" t="str">
        <x:f>'Evaluation Plan'!J125</x:f>
        <x:v>left</x:v>
      </x:c>
      <x:c r="K125" s="8" t="n">
        <x:f>'Evaluation Plan'!K125</x:f>
        <x:v>3</x:v>
      </x:c>
      <x:c r="L125" s="8" t="str">
        <x:f>'Evaluation Plan'!L125</x:f>
        <x:v>2 — Airplane directional transfer — Cross-task airplane as reference; directional relation (left)</x:v>
      </x:c>
      <x:c r="M125" s="8" t="n">
        <x:f>'Evaluation Plan'!M125</x:f>
        <x:v>57</x:v>
      </x:c>
      <x:c r="N125" s="7" t="str">
        <x:f>'Evaluation Plan'!N125</x:f>
        <x:v>Reset only P2 to its marked start. Keep the scene exact; change only the prompt and expected placement.</x:v>
      </x:c>
      <x:c r="O125" s="7" t="str">
        <x:f>'Evaluation Plan'!O125</x:f>
        <x:v>Cross-task visual-role composition. Analyze airplane-as-target and airplane-as-reference families separately; do not call this globally unseen-object generalization.</x:v>
      </x:c>
      <x:c r="P125" s="7" t="str">
        <x:f>IF(ISBLANK('Evaluation Plan'!P125),"",'Evaluation Plan'!P125)</x:f>
      </x:c>
    </x:row>
    <x:row r="126" ht="64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Move the green pen near the airplane toy without propellers.</x:v>
      </x:c>
      <x:c r="D126" s="10" t="str">
        <x:f>'Evaluation Plan'!D126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6" s="9" t="str">
        <x:f>IF(ISBLANK('Evaluation Plan'!E126),"",'Evaluation Plan'!E126)</x:f>
      </x:c>
      <x:c r="F126" s="9" t="str">
        <x:f>'Evaluation Plan'!F126</x:f>
        <x:v>green pen → 2–8 cm edge gap from airplane toy without propellers (any direction)</x:v>
      </x:c>
      <x:c r="G126" s="10"/>
      <x:c r="H126" s="9" t="str">
        <x:f>'Evaluation Plan'!H126</x:f>
        <x:v>Airplane seen-relation baseline</x:v>
      </x:c>
      <x:c r="I126" s="9" t="str">
        <x:f>'Evaluation Plan'!I126</x:f>
        <x:v>RP-AIR08</x:v>
      </x:c>
      <x:c r="J126" s="9" t="str">
        <x:f>'Evaluation Plan'!J126</x:f>
        <x:v>near</x:v>
      </x:c>
      <x:c r="K126" s="9" t="n">
        <x:f>'Evaluation Plan'!K126</x:f>
        <x:v>4</x:v>
      </x:c>
      <x:c r="L126" s="9" t="str">
        <x:f>'Evaluation Plan'!L126</x:f>
        <x:v>1 — Airplane seen-relation baseline — Cross-task airplane as reference; seen near relation</x:v>
      </x:c>
      <x:c r="M126" s="9" t="n">
        <x:f>'Evaluation Plan'!M126</x:f>
        <x:v>58</x:v>
      </x:c>
      <x:c r="N126" s="10" t="str">
        <x:f>'Evaluation Plan'!N126</x:f>
        <x:v>Build the listed scene with both airplane variants present. Save a first-frame filename before running the baseline.</x:v>
      </x:c>
      <x:c r="O126" s="10" t="str">
        <x:f>'Evaluation Plan'!O126</x:f>
        <x:v>The airplanes are seen elsewhere in fine-tuning but absent from Relational Placement. The near baseline checks role-specific visual grounding and basic manipulation before directional composition.</x:v>
      </x:c>
      <x:c r="P126" s="10" t="str">
        <x:f>IF(ISBLANK('Evaluation Plan'!P126),"",'Evaluation Plan'!P126)</x:f>
      </x:c>
    </x:row>
    <x:row r="127" ht="64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Place the green pen to the right of the airplane toy without propellers.</x:v>
      </x:c>
      <x:c r="D127" s="7" t="str">
        <x:f>'Evaluation Plan'!D127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7" s="8" t="n">
        <x:f>IF(ISBLANK('Evaluation Plan'!E127),"",'Evaluation Plan'!E127)</x:f>
        <x:v>124</x:v>
      </x:c>
      <x:c r="F127" s="8" t="str">
        <x:f>'Evaluation Plan'!F127</x:f>
        <x:v>green pen → 2–8 cm edge gap to the right of airplane toy without propellers; centroid direction within ±45°</x:v>
      </x:c>
      <x:c r="G127" s="7"/>
      <x:c r="H127" s="8" t="str">
        <x:f>'Evaluation Plan'!H127</x:f>
        <x:v>Airplane directional transfer</x:v>
      </x:c>
      <x:c r="I127" s="8" t="str">
        <x:f>'Evaluation Plan'!I127</x:f>
        <x:v>RP-AIR08</x:v>
      </x:c>
      <x:c r="J127" s="8" t="str">
        <x:f>'Evaluation Plan'!J127</x:f>
        <x:v>right</x:v>
      </x:c>
      <x:c r="K127" s="8" t="n">
        <x:f>'Evaluation Plan'!K127</x:f>
        <x:v>4</x:v>
      </x:c>
      <x:c r="L127" s="8" t="str">
        <x:f>'Evaluation Plan'!L127</x:f>
        <x:v>2 — Airplane directional transfer — Cross-task airplane as reference; directional relation (right)</x:v>
      </x:c>
      <x:c r="M127" s="8" t="n">
        <x:f>'Evaluation Plan'!M127</x:f>
        <x:v>58</x:v>
      </x:c>
      <x:c r="N127" s="7" t="str">
        <x:f>'Evaluation Plan'!N127</x:f>
        <x:v>Reset only P2 to its marked start. Keep the scene exact; change only the prompt and expected placement.</x:v>
      </x:c>
      <x:c r="O127" s="7" t="str">
        <x:f>'Evaluation Plan'!O127</x:f>
        <x:v>Cross-task visual-role composition. Analyze airplane-as-target and airplane-as-reference families separately; do not call this globally unseen-object generalization.</x:v>
      </x:c>
      <x:c r="P127" s="7" t="str">
        <x:f>IF(ISBLANK('Evaluation Plan'!P127),"",'Evaluation Plan'!P127)</x:f>
      </x:c>
    </x:row>
    <x:row r="128" ht="64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Place the pink marker next to the airplane toy with propellers.</x:v>
      </x:c>
      <x:c r="D128" s="10" t="str">
        <x:f>'Evaluation Plan'!D128</x:f>
        <x:v>P1 airplane toy with propellers at R4 (5 cm toward the robot from center) [REFERENCE]; P2 pink marker 18 cm behind P1 [TARGET START]; P3 airplane toy without propellers 15 cm to the left of P1 [VISUAL COMPETITOR]</x:v>
      </x:c>
      <x:c r="E128" s="9" t="str">
        <x:f>IF(ISBLANK('Evaluation Plan'!E128),"",'Evaluation Plan'!E128)</x:f>
      </x:c>
      <x:c r="F128" s="9" t="str">
        <x:f>'Evaluation Plan'!F128</x:f>
        <x:v>pink marker → 2–8 cm edge gap from airplane toy with propellers (any direction)</x:v>
      </x:c>
      <x:c r="G128" s="10"/>
      <x:c r="H128" s="9" t="str">
        <x:f>'Evaluation Plan'!H128</x:f>
        <x:v>Airplane seen-relation baseline</x:v>
      </x:c>
      <x:c r="I128" s="9" t="str">
        <x:f>'Evaluation Plan'!I128</x:f>
        <x:v>RP-AIR09</x:v>
      </x:c>
      <x:c r="J128" s="9" t="str">
        <x:f>'Evaluation Plan'!J128</x:f>
        <x:v>near</x:v>
      </x:c>
      <x:c r="K128" s="9" t="n">
        <x:f>'Evaluation Plan'!K128</x:f>
        <x:v>3</x:v>
      </x:c>
      <x:c r="L128" s="9" t="str">
        <x:f>'Evaluation Plan'!L128</x:f>
        <x:v>1 — Airplane seen-relation baseline — Cross-task airplane as reference; seen near relation</x:v>
      </x:c>
      <x:c r="M128" s="9" t="n">
        <x:f>'Evaluation Plan'!M128</x:f>
        <x:v>59</x:v>
      </x:c>
      <x:c r="N128" s="10" t="str">
        <x:f>'Evaluation Plan'!N128</x:f>
        <x:v>Build the listed scene with both airplane variants present. Save a first-frame filename before running the baseline.</x:v>
      </x:c>
      <x:c r="O128" s="10" t="str">
        <x:f>'Evaluation Plan'!O128</x:f>
        <x:v>The airplanes are seen elsewhere in fine-tuning but absent from Relational Placement. The near baseline checks role-specific visual grounding and basic manipulation before directional composition.</x:v>
      </x:c>
      <x:c r="P128" s="10" t="str">
        <x:f>IF(ISBLANK('Evaluation Plan'!P128),"",'Evaluation Plan'!P128)</x:f>
      </x:c>
    </x:row>
    <x:row r="129" ht="64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Place the pink marker in front of the airplane toy with propellers.</x:v>
      </x:c>
      <x:c r="D129" s="7" t="str">
        <x:f>'Evaluation Plan'!D129</x:f>
        <x:v>P1 airplane toy with propellers at R4 (5 cm toward the robot from center) [REFERENCE]; P2 pink marker 18 cm behind P1 [TARGET START]; P3 airplane toy without propellers 15 cm to the left of P1 [VISUAL COMPETITOR]</x:v>
      </x:c>
      <x:c r="E129" s="8" t="n">
        <x:f>IF(ISBLANK('Evaluation Plan'!E129),"",'Evaluation Plan'!E129)</x:f>
        <x:v>126</x:v>
      </x:c>
      <x:c r="F129" s="8" t="str">
        <x:f>'Evaluation Plan'!F129</x:f>
        <x:v>pink marker → 2–8 cm edge gap in front of airplane toy with propellers; centroid direction within ±45°</x:v>
      </x:c>
      <x:c r="G129" s="7"/>
      <x:c r="H129" s="8" t="str">
        <x:f>'Evaluation Plan'!H129</x:f>
        <x:v>Airplane directional transfer</x:v>
      </x:c>
      <x:c r="I129" s="8" t="str">
        <x:f>'Evaluation Plan'!I129</x:f>
        <x:v>RP-AIR09</x:v>
      </x:c>
      <x:c r="J129" s="8" t="str">
        <x:f>'Evaluation Plan'!J129</x:f>
        <x:v>front</x:v>
      </x:c>
      <x:c r="K129" s="8" t="n">
        <x:f>'Evaluation Plan'!K129</x:f>
        <x:v>3</x:v>
      </x:c>
      <x:c r="L129" s="8" t="str">
        <x:f>'Evaluation Plan'!L129</x:f>
        <x:v>2 — Airplane directional transfer — Cross-task airplane as reference; directional relation (front)</x:v>
      </x:c>
      <x:c r="M129" s="8" t="n">
        <x:f>'Evaluation Plan'!M129</x:f>
        <x:v>59</x:v>
      </x:c>
      <x:c r="N129" s="7" t="str">
        <x:f>'Evaluation Plan'!N129</x:f>
        <x:v>Reset only P2 to its marked start. Keep the scene exact; change only the prompt and expected placement.</x:v>
      </x:c>
      <x:c r="O129" s="7" t="str">
        <x:f>'Evaluation Plan'!O129</x:f>
        <x:v>Cross-task visual-role composition. Analyze airplane-as-target and airplane-as-reference families separately; do not call this globally unseen-object generalization.</x:v>
      </x:c>
      <x:c r="P129" s="7" t="str">
        <x:f>IF(ISBLANK('Evaluation Plan'!P129),"",'Evaluation Plan'!P129)</x:f>
      </x:c>
    </x:row>
    <x:row r="130" ht="64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blue block beside the airplane toy without propellers.</x:v>
      </x:c>
      <x:c r="D130" s="10" t="str">
        <x:f>'Evaluation Plan'!D130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0" s="9" t="str">
        <x:f>IF(ISBLANK('Evaluation Plan'!E130),"",'Evaluation Plan'!E130)</x:f>
      </x:c>
      <x:c r="F130" s="9" t="str">
        <x:f>'Evaluation Plan'!F130</x:f>
        <x:v>blue block → 2–8 cm edge gap from airplane toy without propellers (any direction)</x:v>
      </x:c>
      <x:c r="G130" s="10"/>
      <x:c r="H130" s="9" t="str">
        <x:f>'Evaluation Plan'!H130</x:f>
        <x:v>Airplane seen-relation baseline</x:v>
      </x:c>
      <x:c r="I130" s="9" t="str">
        <x:f>'Evaluation Plan'!I130</x:f>
        <x:v>RP-AIR10</x:v>
      </x:c>
      <x:c r="J130" s="9" t="str">
        <x:f>'Evaluation Plan'!J130</x:f>
        <x:v>near</x:v>
      </x:c>
      <x:c r="K130" s="9" t="n">
        <x:f>'Evaluation Plan'!K130</x:f>
        <x:v>4</x:v>
      </x:c>
      <x:c r="L130" s="9" t="str">
        <x:f>'Evaluation Plan'!L130</x:f>
        <x:v>1 — Airplane seen-relation baseline — Cross-task airplane as reference; seen near relation</x:v>
      </x:c>
      <x:c r="M130" s="9" t="n">
        <x:f>'Evaluation Plan'!M130</x:f>
        <x:v>60</x:v>
      </x:c>
      <x:c r="N130" s="10" t="str">
        <x:f>'Evaluation Plan'!N130</x:f>
        <x:v>Build the listed scene with both airplane variants present. Save a first-frame filename before running the baseline.</x:v>
      </x:c>
      <x:c r="O130" s="10" t="str">
        <x:f>'Evaluation Plan'!O130</x:f>
        <x:v>The airplanes are seen elsewhere in fine-tuning but absent from Relational Placement. The near baseline checks role-specific visual grounding and basic manipulation before directional composition.</x:v>
      </x:c>
      <x:c r="P130" s="10" t="str">
        <x:f>IF(ISBLANK('Evaluation Plan'!P130),"",'Evaluation Plan'!P130)</x:f>
      </x:c>
    </x:row>
    <x:row r="131" ht="64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blue block to the back of the airplane toy without propellers.</x:v>
      </x:c>
      <x:c r="D131" s="7" t="str">
        <x:f>'Evaluation Plan'!D131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1" s="8" t="n">
        <x:f>IF(ISBLANK('Evaluation Plan'!E131),"",'Evaluation Plan'!E131)</x:f>
        <x:v>128</x:v>
      </x:c>
      <x:c r="F131" s="8" t="str">
        <x:f>'Evaluation Plan'!F131</x:f>
        <x:v>blue block → 2–8 cm edge gap behind airplane toy without propellers; centroid direction within ±45°</x:v>
      </x:c>
      <x:c r="G131" s="7"/>
      <x:c r="H131" s="8" t="str">
        <x:f>'Evaluation Plan'!H131</x:f>
        <x:v>Airplane directional transfer</x:v>
      </x:c>
      <x:c r="I131" s="8" t="str">
        <x:f>'Evaluation Plan'!I131</x:f>
        <x:v>RP-AIR10</x:v>
      </x:c>
      <x:c r="J131" s="8" t="str">
        <x:f>'Evaluation Plan'!J131</x:f>
        <x:v>behind</x:v>
      </x:c>
      <x:c r="K131" s="8" t="n">
        <x:f>'Evaluation Plan'!K131</x:f>
        <x:v>4</x:v>
      </x:c>
      <x:c r="L131" s="8" t="str">
        <x:f>'Evaluation Plan'!L131</x:f>
        <x:v>2 — Airplane directional transfer — Cross-task airplane as reference; directional relation (behind)</x:v>
      </x:c>
      <x:c r="M131" s="8" t="n">
        <x:f>'Evaluation Plan'!M131</x:f>
        <x:v>60</x:v>
      </x:c>
      <x:c r="N131" s="7" t="str">
        <x:f>'Evaluation Plan'!N131</x:f>
        <x:v>Reset only P2 to its marked start. Keep the scene exact; change only the prompt and expected placement.</x:v>
      </x:c>
      <x:c r="O131" s="7" t="str">
        <x:f>'Evaluation Plan'!O131</x:f>
        <x:v>Cross-task visual-role composition. Analyze airplane-as-target and airplane-as-reference families separately; do not call this globally unseen-object generalization.</x:v>
      </x:c>
      <x:c r="P131" s="7" t="str">
        <x:f>IF(ISBLANK('Evaluation Plan'!P131),"",'Evaluation Plan'!P131)</x:f>
      </x:c>
    </x:row>
  </x:sheetData>
  <x:conditionalFormatting sqref="A2:P131">
    <x:cfRule type="expression" dxfId="16" priority="1">
      <x:formula>$A2="Success"</x:formula>
    </x:cfRule>
    <x:cfRule type="expression" dxfId="17" priority="2">
      <x:formula>$A2="Failure"</x:formula>
    </x:cfRule>
  </x:conditionalFormatting>
  <x:conditionalFormatting sqref="H2:H131">
    <x:cfRule type="containsText" dxfId="18" priority="3" operator="containsText" text="Concept/compositional transfer"/>
    <x:cfRule type="containsText" dxfId="19" priority="4" operator="containsText" text="Exact-scene opposite-direction contrast"/>
    <x:cfRule type="containsText" dxfId="20" priority="5" operator="containsText" text="Matched manipulation control"/>
    <x:cfRule type="containsText" dxfId="21" priority="6" operator="containsText" text="Airplane"/>
    <x:cfRule type="containsText" dxfId="22" priority="7" operator="containsText" text="Language robustness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0c999cfaf14f4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44" hidden="0" customWidth="1"/>
    <x:col min="4" max="4" width="88" hidden="0" customWidth="1"/>
    <x:col min="5" max="5" width="14" hidden="0" customWidth="1"/>
    <x:col min="6" max="6" width="44" hidden="0" customWidth="1"/>
    <x:col min="7" max="7" width="42" hidden="0" customWidth="1"/>
    <x:col min="8" max="8" width="31" hidden="0" customWidth="1"/>
    <x:col min="9" max="9" width="14" hidden="0" customWidth="1"/>
    <x:col min="10" max="10" width="12" hidden="0" customWidth="1"/>
    <x:col min="11" max="11" width="12" hidden="0" customWidth="1"/>
    <x:col min="12" max="12" width="54" hidden="0" customWidth="1"/>
    <x:col min="13" max="13" width="13" hidden="0" customWidth="1"/>
    <x:col min="14" max="14" width="66" hidden="0" customWidth="1"/>
    <x:col min="15" max="15" width="72" hidden="0" customWidth="1"/>
    <x:col min="16" max="16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(P1-P4)</x:v>
      </x:c>
      <x:c r="E1" s="5" t="str">
        <x:v>Reference Episode</x:v>
      </x:c>
      <x:c r="F1" s="5" t="str">
        <x:v>Expected Target / Placement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Relation</x:v>
      </x:c>
      <x:c r="K1" s="5" t="str">
        <x:v>Object Count</x:v>
      </x:c>
      <x:c r="L1" s="5" t="str">
        <x:v>Comparison / Subtype</x:v>
      </x:c>
      <x:c r="M1" s="5" t="str">
        <x:v>Collection Block</x:v>
      </x:c>
      <x:c r="N1" s="5" t="str">
        <x:v>Setup Change from Previous</x:v>
      </x:c>
      <x:c r="O1" s="5" t="str">
        <x:v>Design Note</x:v>
      </x:c>
      <x:c r="P1" s="5" t="str">
        <x:v>Reference Media Filename</x:v>
      </x:c>
    </x:row>
    <x:row r="2" ht="64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Place the green pen in front of the red block.</x:v>
      </x:c>
      <x:c r="D2" s="10" t="str">
        <x:f>'Evaluation Plan'!D2</x:f>
        <x:v>P1 red block at R1 (table center) [REFERENCE]; P2 green pen 18 cm behind P1 [TARGET START]; P3 pink marker 15 cm to the left of P1 [DISTRACTOR]</x:v>
      </x:c>
      <x:c r="E2" s="9" t="str">
        <x:f>IF(ISBLANK('Evaluation Plan'!E2),"",'Evaluation Plan'!E2)</x:f>
      </x:c>
      <x:c r="F2" s="9" t="str">
        <x:f>'Evaluation Plan'!F2</x:f>
        <x:v>green pen → 2–8 cm edge gap in front of red block; centroid direction within ±45°</x:v>
      </x:c>
      <x:c r="G2" s="10"/>
      <x:c r="H2" s="9" t="str">
        <x:f>'Evaluation Plan'!H2</x:f>
        <x:v>Concept/compositional transfer</x:v>
      </x:c>
      <x:c r="I2" s="9" t="str">
        <x:f>'Evaluation Plan'!I2</x:f>
        <x:v>RP-F01</x:v>
      </x:c>
      <x:c r="J2" s="9" t="str">
        <x:f>'Evaluation Plan'!J2</x:f>
        <x:v>front</x:v>
      </x:c>
      <x:c r="K2" s="9" t="n">
        <x:f>'Evaluation Plan'!K2</x:f>
        <x:v>3</x:v>
      </x:c>
      <x:c r="L2" s="9" t="str">
        <x:f>'Evaluation Plan'!L2</x:f>
        <x:v>1 — Canonical transfer — Held-out direction × green-pen/red-block pair (front)</x:v>
      </x:c>
      <x:c r="M2" s="9" t="n">
        <x:f>'Evaluation Plan'!M2</x:f>
        <x:v>1</x:v>
      </x:c>
      <x:c r="N2" s="10" t="str">
        <x:f>'Evaluation Plan'!N2</x:f>
        <x:v>Build the marked scene. Target starts in the opposite sector and outside the success gap; save a first-frame filename.</x:v>
      </x:c>
      <x:c r="O2" s="10" t="str">
        <x:f>'Evaluation Plan'!O2</x:f>
        <x:v>Directional language is trained on other object pairs, but all directional green-pen/red-block demonstrations are withheld in both target/reference directions.</x:v>
      </x:c>
      <x:c r="P2" s="10" t="str">
        <x:f>IF(ISBLANK('Evaluation Plan'!P2),"",'Evaluation Plan'!P2)</x:f>
      </x:c>
    </x:row>
    <x:row r="3" ht="64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Move the green pen to the back of the red block.</x:v>
      </x:c>
      <x:c r="D3" s="7" t="str">
        <x:f>'Evaluation Plan'!D3</x:f>
        <x:v>P1 red block at R1 (table center) [REFERENCE]; P2 green pen 18 cm behind P1 [TARGET START]; P3 pink marker 15 cm to the left of P1 [DISTRACTOR]</x:v>
      </x:c>
      <x:c r="E3" s="8" t="n">
        <x:f>IF(ISBLANK('Evaluation Plan'!E3),"",'Evaluation Plan'!E3)</x:f>
        <x:v>0</x:v>
      </x:c>
      <x:c r="F3" s="8" t="str">
        <x:f>'Evaluation Plan'!F3</x:f>
        <x:v>green pen → 2–8 cm edge gap behind red block; centroid direction within ±45°</x:v>
      </x:c>
      <x:c r="G3" s="7"/>
      <x:c r="H3" s="8" t="str">
        <x:f>'Evaluation Plan'!H3</x:f>
        <x:v>Exact-scene opposite-direction contrast</x:v>
      </x:c>
      <x:c r="I3" s="8" t="str">
        <x:f>'Evaluation Plan'!I3</x:f>
        <x:v>RP-F01</x:v>
      </x:c>
      <x:c r="J3" s="8" t="str">
        <x:f>'Evaluation Plan'!J3</x:f>
        <x:v>behind</x:v>
      </x:c>
      <x:c r="K3" s="8" t="n">
        <x:f>'Evaluation Plan'!K3</x:f>
        <x:v>3</x:v>
      </x:c>
      <x:c r="L3" s="8" t="str">
        <x:f>'Evaluation Plan'!L3</x:f>
        <x:v>2 — Exact-scene opposite-direction contrast — Direction-word counterfactual (front→behind)</x:v>
      </x:c>
      <x:c r="M3" s="8" t="n">
        <x:f>'Evaluation Plan'!M3</x:f>
        <x:v>1</x:v>
      </x:c>
      <x:c r="N3" s="7" t="str">
        <x:f>'Evaluation Plan'!N3</x:f>
        <x:v>Reset only P2 to its marked start. Preserve the exact scene; change only the directional word and expected goal sector.</x:v>
      </x:c>
      <x:c r="O3" s="7" t="str">
        <x:f>'Evaluation Plan'!O3</x:f>
        <x:v>Exact-scene semantic counterfactual. Target and reference identities stay fixed while the requested endpoint reverses front↔behind or left↔right.</x:v>
      </x:c>
      <x:c r="P3" s="7" t="str">
        <x:f>IF(ISBLANK('Evaluation Plan'!P3),"",'Evaluation Plan'!P3)</x:f>
      </x:c>
    </x:row>
    <x:row r="4" ht="64" customHeight="1">
      <x:c r="A4" s="8" t="str">
        <x:v>Not collected</x:v>
      </x:c>
      <x:c r="B4" s="8" t="n">
        <x:f>'Evaluation Plan'!B4</x:f>
        <x:v>2</x:v>
      </x:c>
      <x:c r="C4" s="7" t="str">
        <x:f>'Evaluation Plan'!C4</x:f>
        <x:v>Move the green pen to the robot-facing side of the red block.</x:v>
      </x:c>
      <x:c r="D4" s="7" t="str">
        <x:f>'Evaluation Plan'!D4</x:f>
        <x:v>P1 red block at R1 (table center) [REFERENCE]; P2 green pen 18 cm behind P1 [TARGET START]; P3 pink marker 15 cm to the left of P1 [DISTRACTOR]</x:v>
      </x:c>
      <x:c r="E4" s="8" t="n">
        <x:f>IF(ISBLANK('Evaluation Plan'!E4),"",'Evaluation Plan'!E4)</x:f>
        <x:v>0</x:v>
      </x:c>
      <x:c r="F4" s="8" t="str">
        <x:f>'Evaluation Plan'!F4</x:f>
        <x:v>green pen → 2–8 cm edge gap in front of red block; centroid direction within ±45°</x:v>
      </x:c>
      <x:c r="G4" s="7"/>
      <x:c r="H4" s="8" t="str">
        <x:f>'Evaluation Plan'!H4</x:f>
        <x:v>Language robustness</x:v>
      </x:c>
      <x:c r="I4" s="8" t="str">
        <x:f>'Evaluation Plan'!I4</x:f>
        <x:v>RP-F01</x:v>
      </x:c>
      <x:c r="J4" s="8" t="str">
        <x:f>'Evaluation Plan'!J4</x:f>
        <x:v>front</x:v>
      </x:c>
      <x:c r="K4" s="8" t="n">
        <x:f>'Evaluation Plan'!K4</x:f>
        <x:v>3</x:v>
      </x:c>
      <x:c r="L4" s="8" t="str">
        <x:f>'Evaluation Plan'!L4</x:f>
        <x:v>3 — Exact-scene transfer paraphrase — Paraphrase of concept/compositional-transfer prompt</x:v>
      </x:c>
      <x:c r="M4" s="8" t="n">
        <x:f>'Evaluation Plan'!M4</x:f>
        <x:v>1</x:v>
      </x:c>
      <x:c r="N4" s="7" t="str">
        <x:f>'Evaluation Plan'!N4</x:f>
        <x:v>Reset only P2 to its marked start; change only the prompt wording.</x:v>
      </x:c>
      <x:c r="O4" s="7" t="str">
        <x:f>'Evaluation Plan'!O4</x:f>
        <x:v>Exact-scene language comparison for the held-out pair composition.</x:v>
      </x:c>
      <x:c r="P4" s="7" t="str">
        <x:f>IF(ISBLANK('Evaluation Plan'!P4),"",'Evaluation Plan'!P4)</x:f>
      </x:c>
    </x:row>
    <x:row r="5" ht="64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Move the green pen near the red block.</x:v>
      </x:c>
      <x:c r="D5" s="7" t="str">
        <x:f>'Evaluation Plan'!D5</x:f>
        <x:v>P1 red block at R1 (table center) [REFERENCE]; P2 green pen 18 cm behind P1 [TARGET START]; P3 pink marker 15 cm to the left of P1 [DISTRACTOR]</x:v>
      </x:c>
      <x:c r="E5" s="8" t="n">
        <x:f>IF(ISBLANK('Evaluation Plan'!E5),"",'Evaluation Plan'!E5)</x:f>
        <x:v>0</x:v>
      </x:c>
      <x:c r="F5" s="8" t="str">
        <x:f>'Evaluation Plan'!F5</x:f>
        <x:v>green pen → 2–8 cm edge gap from red block (any direction)</x:v>
      </x:c>
      <x:c r="G5" s="7"/>
      <x:c r="H5" s="8" t="str">
        <x:f>'Evaluation Plan'!H5</x:f>
        <x:v>Matched manipulation control</x:v>
      </x:c>
      <x:c r="I5" s="8" t="str">
        <x:f>'Evaluation Plan'!I5</x:f>
        <x:v>RP-F01</x:v>
      </x:c>
      <x:c r="J5" s="8" t="str">
        <x:f>'Evaluation Plan'!J5</x:f>
        <x:v>near</x:v>
      </x:c>
      <x:c r="K5" s="8" t="n">
        <x:f>'Evaluation Plan'!K5</x:f>
        <x:v>3</x:v>
      </x:c>
      <x:c r="L5" s="8" t="str">
        <x:f>'Evaluation Plan'!L5</x:f>
        <x:v>4 — Matched control — Seen near/next-to/beside relation on the same ordered pair (3 objects)</x:v>
      </x:c>
      <x:c r="M5" s="8" t="n">
        <x:f>'Evaluation Plan'!M5</x:f>
        <x:v>1</x:v>
      </x:c>
      <x:c r="N5" s="7" t="str">
        <x:f>'Evaluation Plan'!N5</x:f>
        <x:v>Reset only P2 to its marked start. Keep every object, camera setting, and pose fixed; change only the prompt.</x:v>
      </x:c>
      <x:c r="O5" s="7" t="str">
        <x:f>'Evaluation Plan'!O5</x:f>
        <x:v>Controls target/reference recognition and basic pick-place on the exact pair. It is skill-matched but not direction-endpoint-matched, so analyze the paired success delta separately.</x:v>
      </x:c>
      <x:c r="P5" s="7" t="str">
        <x:f>IF(ISBLANK('Evaluation Plan'!P5),"",'Evaluation Plan'!P5)</x:f>
      </x:c>
    </x:row>
    <x:row r="6" ht="64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Move the red block to the back of the green pen.</x:v>
      </x:c>
      <x:c r="D6" s="10" t="str">
        <x:f>'Evaluation Plan'!D6</x:f>
        <x:v>P1 green pen at R2 (5 cm left of center) [REFERENCE]; P2 red block 21 cm in front of P1 [TARGET START]; P3 pink marker 15 cm to the left of P1 [DISTRACTOR]</x:v>
      </x:c>
      <x:c r="E6" s="9" t="str">
        <x:f>IF(ISBLANK('Evaluation Plan'!E6),"",'Evaluation Plan'!E6)</x:f>
      </x:c>
      <x:c r="F6" s="9" t="str">
        <x:f>'Evaluation Plan'!F6</x:f>
        <x:v>red block → 2–8 cm edge gap behind green pen; centroid direction within ±45°</x:v>
      </x:c>
      <x:c r="G6" s="10"/>
      <x:c r="H6" s="9" t="str">
        <x:f>'Evaluation Plan'!H6</x:f>
        <x:v>Concept/compositional transfer</x:v>
      </x:c>
      <x:c r="I6" s="9" t="str">
        <x:f>'Evaluation Plan'!I6</x:f>
        <x:v>RP-F02</x:v>
      </x:c>
      <x:c r="J6" s="9" t="str">
        <x:f>'Evaluation Plan'!J6</x:f>
        <x:v>behind</x:v>
      </x:c>
      <x:c r="K6" s="9" t="n">
        <x:f>'Evaluation Plan'!K6</x:f>
        <x:v>3</x:v>
      </x:c>
      <x:c r="L6" s="9" t="str">
        <x:f>'Evaluation Plan'!L6</x:f>
        <x:v>1 — Canonical transfer — Held-out direction × green-pen/red-block pair (behind)</x:v>
      </x:c>
      <x:c r="M6" s="9" t="n">
        <x:f>'Evaluation Plan'!M6</x:f>
        <x:v>2</x:v>
      </x:c>
      <x:c r="N6" s="10" t="str">
        <x:f>'Evaluation Plan'!N6</x:f>
        <x:v>Build the marked scene. Target starts in the opposite sector and outside the success gap; save a first-frame filename.</x:v>
      </x:c>
      <x:c r="O6" s="10" t="str">
        <x:f>'Evaluation Plan'!O6</x:f>
        <x:v>Directional language is trained on other object pairs, but all directional green-pen/red-block demonstrations are withheld in both target/reference directions.</x:v>
      </x:c>
      <x:c r="P6" s="10" t="str">
        <x:f>IF(ISBLANK('Evaluation Plan'!P6),"",'Evaluation Plan'!P6)</x:f>
      </x:c>
    </x:row>
    <x:row r="7" ht="64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red block on the table in front of the green pen.</x:v>
      </x:c>
      <x:c r="D7" s="7" t="str">
        <x:f>'Evaluation Plan'!D7</x:f>
        <x:v>P1 green pen at R2 (5 cm left of center) [REFERENCE]; P2 red block 21 cm in front of P1 [TARGET START]; P3 pink marker 15 cm to the left of P1 [DISTRACTOR]</x:v>
      </x:c>
      <x:c r="E7" s="8" t="n">
        <x:f>IF(ISBLANK('Evaluation Plan'!E7),"",'Evaluation Plan'!E7)</x:f>
        <x:v>4</x:v>
      </x:c>
      <x:c r="F7" s="8" t="str">
        <x:f>'Evaluation Plan'!F7</x:f>
        <x:v>red block → 2–8 cm edge gap in front of green pen; centroid direction within ±45°</x:v>
      </x:c>
      <x:c r="G7" s="7"/>
      <x:c r="H7" s="8" t="str">
        <x:f>'Evaluation Plan'!H7</x:f>
        <x:v>Exact-scene opposite-direction contrast</x:v>
      </x:c>
      <x:c r="I7" s="8" t="str">
        <x:f>'Evaluation Plan'!I7</x:f>
        <x:v>RP-F02</x:v>
      </x:c>
      <x:c r="J7" s="8" t="str">
        <x:f>'Evaluation Plan'!J7</x:f>
        <x:v>front</x:v>
      </x:c>
      <x:c r="K7" s="8" t="n">
        <x:f>'Evaluation Plan'!K7</x:f>
        <x:v>3</x:v>
      </x:c>
      <x:c r="L7" s="8" t="str">
        <x:f>'Evaluation Plan'!L7</x:f>
        <x:v>2 — Exact-scene opposite-direction contrast — Direction-word counterfactual (behind→front)</x:v>
      </x:c>
      <x:c r="M7" s="8" t="n">
        <x:f>'Evaluation Plan'!M7</x:f>
        <x:v>2</x:v>
      </x:c>
      <x:c r="N7" s="7" t="str">
        <x:f>'Evaluation Plan'!N7</x:f>
        <x:v>Reset only P2 to its marked start. Preserve the exact scene; change only the directional word and expected goal sector.</x:v>
      </x:c>
      <x:c r="O7" s="7" t="str">
        <x:f>'Evaluation Plan'!O7</x:f>
        <x:v>Exact-scene semantic counterfactual. Target and reference identities stay fixed while the requested endpoint reverses front↔behind or left↔right.</x:v>
      </x:c>
      <x:c r="P7" s="7" t="str">
        <x:f>IF(ISBLANK('Evaluation Plan'!P7),"",'Evaluation Plan'!P7)</x:f>
      </x:c>
    </x:row>
    <x:row r="8" ht="64" customHeight="1">
      <x:c r="A8" s="8" t="str">
        <x:v>Not collected</x:v>
      </x:c>
      <x:c r="B8" s="8" t="n">
        <x:f>'Evaluation Plan'!B8</x:f>
        <x:v>6</x:v>
      </x:c>
      <x:c r="C8" s="7" t="str">
        <x:f>'Evaluation Plan'!C8</x:f>
        <x:v>Move the red block to the rear side of the green pen.</x:v>
      </x:c>
      <x:c r="D8" s="7" t="str">
        <x:f>'Evaluation Plan'!D8</x:f>
        <x:v>P1 green pen at R2 (5 cm left of center) [REFERENCE]; P2 red block 21 cm in front of P1 [TARGET START]; P3 pink marker 15 cm to the left of P1 [DISTRACTOR]</x:v>
      </x:c>
      <x:c r="E8" s="8" t="n">
        <x:f>IF(ISBLANK('Evaluation Plan'!E8),"",'Evaluation Plan'!E8)</x:f>
        <x:v>4</x:v>
      </x:c>
      <x:c r="F8" s="8" t="str">
        <x:f>'Evaluation Plan'!F8</x:f>
        <x:v>red block → 2–8 cm edge gap behind green pen; centroid direction within ±45°</x:v>
      </x:c>
      <x:c r="G8" s="7"/>
      <x:c r="H8" s="8" t="str">
        <x:f>'Evaluation Plan'!H8</x:f>
        <x:v>Language robustness</x:v>
      </x:c>
      <x:c r="I8" s="8" t="str">
        <x:f>'Evaluation Plan'!I8</x:f>
        <x:v>RP-F02</x:v>
      </x:c>
      <x:c r="J8" s="8" t="str">
        <x:f>'Evaluation Plan'!J8</x:f>
        <x:v>behind</x:v>
      </x:c>
      <x:c r="K8" s="8" t="n">
        <x:f>'Evaluation Plan'!K8</x:f>
        <x:v>3</x:v>
      </x:c>
      <x:c r="L8" s="8" t="str">
        <x:f>'Evaluation Plan'!L8</x:f>
        <x:v>3 — Exact-scene transfer paraphrase — Paraphrase of concept/compositional-transfer prompt</x:v>
      </x:c>
      <x:c r="M8" s="8" t="n">
        <x:f>'Evaluation Plan'!M8</x:f>
        <x:v>2</x:v>
      </x:c>
      <x:c r="N8" s="7" t="str">
        <x:f>'Evaluation Plan'!N8</x:f>
        <x:v>Reset only P2 to its marked start; change only the prompt wording.</x:v>
      </x:c>
      <x:c r="O8" s="7" t="str">
        <x:f>'Evaluation Plan'!O8</x:f>
        <x:v>Exact-scene language comparison for the held-out pair composition.</x:v>
      </x:c>
      <x:c r="P8" s="7" t="str">
        <x:f>IF(ISBLANK('Evaluation Plan'!P8),"",'Evaluation Plan'!P8)</x:f>
      </x:c>
    </x:row>
    <x:row r="9" ht="64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Place the red block next to the green pen.</x:v>
      </x:c>
      <x:c r="D9" s="7" t="str">
        <x:f>'Evaluation Plan'!D9</x:f>
        <x:v>P1 green pen at R2 (5 cm left of center) [REFERENCE]; P2 red block 21 cm in front of P1 [TARGET START]; P3 pink marker 15 cm to the left of P1 [DISTRACTOR]</x:v>
      </x:c>
      <x:c r="E9" s="8" t="n">
        <x:f>IF(ISBLANK('Evaluation Plan'!E9),"",'Evaluation Plan'!E9)</x:f>
        <x:v>4</x:v>
      </x:c>
      <x:c r="F9" s="8" t="str">
        <x:f>'Evaluation Plan'!F9</x:f>
        <x:v>red block → 2–8 cm edge gap from green pen (any direction)</x:v>
      </x:c>
      <x:c r="G9" s="7"/>
      <x:c r="H9" s="8" t="str">
        <x:f>'Evaluation Plan'!H9</x:f>
        <x:v>Matched manipulation control</x:v>
      </x:c>
      <x:c r="I9" s="8" t="str">
        <x:f>'Evaluation Plan'!I9</x:f>
        <x:v>RP-F02</x:v>
      </x:c>
      <x:c r="J9" s="8" t="str">
        <x:f>'Evaluation Plan'!J9</x:f>
        <x:v>near</x:v>
      </x:c>
      <x:c r="K9" s="8" t="n">
        <x:f>'Evaluation Plan'!K9</x:f>
        <x:v>3</x:v>
      </x:c>
      <x:c r="L9" s="8" t="str">
        <x:f>'Evaluation Plan'!L9</x:f>
        <x:v>4 — Matched control — Seen near/next-to/beside relation on the same ordered pair (3 objects)</x:v>
      </x:c>
      <x:c r="M9" s="8" t="n">
        <x:f>'Evaluation Plan'!M9</x:f>
        <x:v>2</x:v>
      </x:c>
      <x:c r="N9" s="7" t="str">
        <x:f>'Evaluation Plan'!N9</x:f>
        <x:v>Reset only P2 to its marked start. Keep every object, camera setting, and pose fixed; change only the prompt.</x:v>
      </x:c>
      <x:c r="O9" s="7" t="str">
        <x:f>'Evaluation Plan'!O9</x:f>
        <x:v>Controls target/reference recognition and basic pick-place on the exact pair. It is skill-matched but not direction-endpoint-matched, so analyze the paired success delta separately.</x:v>
      </x:c>
      <x:c r="P9" s="7" t="str">
        <x:f>IF(ISBLANK('Evaluation Plan'!P9),"",'Evaluation Plan'!P9)</x:f>
      </x:c>
    </x:row>
    <x:row r="10" ht="64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Place the green pen to the left of the red block.</x:v>
      </x:c>
      <x:c r="D10" s="10" t="str">
        <x:f>'Evaluation Plan'!D10</x:f>
        <x:v>P1 red block at R3 (5 cm right of center) [REFERENCE]; P2 green pen 24 cm to the right of P1 [TARGET START]; P3 pink marker 15 cm in front of P1 [DISTRACTOR]</x:v>
      </x:c>
      <x:c r="E10" s="9" t="str">
        <x:f>IF(ISBLANK('Evaluation Plan'!E10),"",'Evaluation Plan'!E10)</x:f>
      </x:c>
      <x:c r="F10" s="9" t="str">
        <x:f>'Evaluation Plan'!F10</x:f>
        <x:v>green pen → 2–8 cm edge gap to the left of red block; centroid direction within ±45°</x:v>
      </x:c>
      <x:c r="G10" s="10"/>
      <x:c r="H10" s="9" t="str">
        <x:f>'Evaluation Plan'!H10</x:f>
        <x:v>Concept/compositional transfer</x:v>
      </x:c>
      <x:c r="I10" s="9" t="str">
        <x:f>'Evaluation Plan'!I10</x:f>
        <x:v>RP-F03</x:v>
      </x:c>
      <x:c r="J10" s="9" t="str">
        <x:f>'Evaluation Plan'!J10</x:f>
        <x:v>left</x:v>
      </x:c>
      <x:c r="K10" s="9" t="n">
        <x:f>'Evaluation Plan'!K10</x:f>
        <x:v>3</x:v>
      </x:c>
      <x:c r="L10" s="9" t="str">
        <x:f>'Evaluation Plan'!L10</x:f>
        <x:v>1 — Canonical transfer — Held-out direction × green-pen/red-block pair (left)</x:v>
      </x:c>
      <x:c r="M10" s="9" t="n">
        <x:f>'Evaluation Plan'!M10</x:f>
        <x:v>3</x:v>
      </x:c>
      <x:c r="N10" s="10" t="str">
        <x:f>'Evaluation Plan'!N10</x:f>
        <x:v>Build the marked scene. Target starts in the opposite sector and outside the success gap; save a first-frame filename.</x:v>
      </x:c>
      <x:c r="O10" s="10" t="str">
        <x:f>'Evaluation Plan'!O10</x:f>
        <x:v>Directional language is trained on other object pairs, but all directional green-pen/red-block demonstrations are withheld in both target/reference directions.</x:v>
      </x:c>
      <x:c r="P10" s="10" t="str">
        <x:f>IF(ISBLANK('Evaluation Plan'!P10),"",'Evaluation Plan'!P10)</x:f>
      </x:c>
    </x:row>
    <x:row r="11" ht="64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Place the green pen to the right of the red block.</x:v>
      </x:c>
      <x:c r="D11" s="7" t="str">
        <x:f>'Evaluation Plan'!D11</x:f>
        <x:v>P1 red block at R3 (5 cm right of center) [REFERENCE]; P2 green pen 24 cm to the right of P1 [TARGET START]; P3 pink marker 15 cm in front of P1 [DISTRACTOR]</x:v>
      </x:c>
      <x:c r="E11" s="8" t="n">
        <x:f>IF(ISBLANK('Evaluation Plan'!E11),"",'Evaluation Plan'!E11)</x:f>
        <x:v>8</x:v>
      </x:c>
      <x:c r="F11" s="8" t="str">
        <x:f>'Evaluation Plan'!F11</x:f>
        <x:v>green pen → 2–8 cm edge gap to the right of red block; centroid direction within ±45°</x:v>
      </x:c>
      <x:c r="G11" s="7"/>
      <x:c r="H11" s="8" t="str">
        <x:f>'Evaluation Plan'!H11</x:f>
        <x:v>Exact-scene opposite-direction contrast</x:v>
      </x:c>
      <x:c r="I11" s="8" t="str">
        <x:f>'Evaluation Plan'!I11</x:f>
        <x:v>RP-F03</x:v>
      </x:c>
      <x:c r="J11" s="8" t="str">
        <x:f>'Evaluation Plan'!J11</x:f>
        <x:v>right</x:v>
      </x:c>
      <x:c r="K11" s="8" t="n">
        <x:f>'Evaluation Plan'!K11</x:f>
        <x:v>3</x:v>
      </x:c>
      <x:c r="L11" s="8" t="str">
        <x:f>'Evaluation Plan'!L11</x:f>
        <x:v>2 — Exact-scene opposite-direction contrast — Direction-word counterfactual (left→right)</x:v>
      </x:c>
      <x:c r="M11" s="8" t="n">
        <x:f>'Evaluation Plan'!M11</x:f>
        <x:v>3</x:v>
      </x:c>
      <x:c r="N11" s="7" t="str">
        <x:f>'Evaluation Plan'!N11</x:f>
        <x:v>Reset only P2 to its marked start. Preserve the exact scene; change only the directional word and expected goal sector.</x:v>
      </x:c>
      <x:c r="O11" s="7" t="str">
        <x:f>'Evaluation Plan'!O11</x:f>
        <x:v>Exact-scene semantic counterfactual. Target and reference identities stay fixed while the requested endpoint reverses front↔behind or left↔right.</x:v>
      </x:c>
      <x:c r="P11" s="7" t="str">
        <x:f>IF(ISBLANK('Evaluation Plan'!P11),"",'Evaluation Plan'!P11)</x:f>
      </x:c>
    </x:row>
    <x:row r="12" ht="64" customHeight="1">
      <x:c r="A12" s="8" t="str">
        <x:v>Not collected</x:v>
      </x:c>
      <x:c r="B12" s="8" t="n">
        <x:f>'Evaluation Plan'!B12</x:f>
        <x:v>10</x:v>
      </x:c>
      <x:c r="C12" s="7" t="str">
        <x:f>'Evaluation Plan'!C12</x:f>
        <x:v>Set the green pen on the left-hand side of the red block.</x:v>
      </x:c>
      <x:c r="D12" s="7" t="str">
        <x:f>'Evaluation Plan'!D12</x:f>
        <x:v>P1 red block at R3 (5 cm right of center) [REFERENCE]; P2 green pen 24 cm to the right of P1 [TARGET START]; P3 pink marker 15 cm in front of P1 [DISTRACTOR]</x:v>
      </x:c>
      <x:c r="E12" s="8" t="n">
        <x:f>IF(ISBLANK('Evaluation Plan'!E12),"",'Evaluation Plan'!E12)</x:f>
        <x:v>8</x:v>
      </x:c>
      <x:c r="F12" s="8" t="str">
        <x:f>'Evaluation Plan'!F12</x:f>
        <x:v>green pen → 2–8 cm edge gap to the left of red block; centroid direction within ±45°</x:v>
      </x:c>
      <x:c r="G12" s="7"/>
      <x:c r="H12" s="8" t="str">
        <x:f>'Evaluation Plan'!H12</x:f>
        <x:v>Language robustness</x:v>
      </x:c>
      <x:c r="I12" s="8" t="str">
        <x:f>'Evaluation Plan'!I12</x:f>
        <x:v>RP-F03</x:v>
      </x:c>
      <x:c r="J12" s="8" t="str">
        <x:f>'Evaluation Plan'!J12</x:f>
        <x:v>left</x:v>
      </x:c>
      <x:c r="K12" s="8" t="n">
        <x:f>'Evaluation Plan'!K12</x:f>
        <x:v>3</x:v>
      </x:c>
      <x:c r="L12" s="8" t="str">
        <x:f>'Evaluation Plan'!L12</x:f>
        <x:v>3 — Exact-scene transfer paraphrase — Paraphrase of concept/compositional-transfer prompt</x:v>
      </x:c>
      <x:c r="M12" s="8" t="n">
        <x:f>'Evaluation Plan'!M12</x:f>
        <x:v>3</x:v>
      </x:c>
      <x:c r="N12" s="7" t="str">
        <x:f>'Evaluation Plan'!N12</x:f>
        <x:v>Reset only P2 to its marked start; change only the prompt wording.</x:v>
      </x:c>
      <x:c r="O12" s="7" t="str">
        <x:f>'Evaluation Plan'!O12</x:f>
        <x:v>Exact-scene language comparison for the held-out pair composition.</x:v>
      </x:c>
      <x:c r="P12" s="7" t="str">
        <x:f>IF(ISBLANK('Evaluation Plan'!P12),"",'Evaluation Plan'!P12)</x:f>
      </x:c>
    </x:row>
    <x:row r="13" ht="64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Put the green pen beside the red block.</x:v>
      </x:c>
      <x:c r="D13" s="7" t="str">
        <x:f>'Evaluation Plan'!D13</x:f>
        <x:v>P1 red block at R3 (5 cm right of center) [REFERENCE]; P2 green pen 24 cm to the right of P1 [TARGET START]; P3 pink marker 15 cm in front of P1 [DISTRACTOR]</x:v>
      </x:c>
      <x:c r="E13" s="8" t="n">
        <x:f>IF(ISBLANK('Evaluation Plan'!E13),"",'Evaluation Plan'!E13)</x:f>
        <x:v>8</x:v>
      </x:c>
      <x:c r="F13" s="8" t="str">
        <x:f>'Evaluation Plan'!F13</x:f>
        <x:v>green pen → 2–8 cm edge gap from red block (any direction)</x:v>
      </x:c>
      <x:c r="G13" s="7"/>
      <x:c r="H13" s="8" t="str">
        <x:f>'Evaluation Plan'!H13</x:f>
        <x:v>Matched manipulation control</x:v>
      </x:c>
      <x:c r="I13" s="8" t="str">
        <x:f>'Evaluation Plan'!I13</x:f>
        <x:v>RP-F03</x:v>
      </x:c>
      <x:c r="J13" s="8" t="str">
        <x:f>'Evaluation Plan'!J13</x:f>
        <x:v>near</x:v>
      </x:c>
      <x:c r="K13" s="8" t="n">
        <x:f>'Evaluation Plan'!K13</x:f>
        <x:v>3</x:v>
      </x:c>
      <x:c r="L13" s="8" t="str">
        <x:f>'Evaluation Plan'!L13</x:f>
        <x:v>4 — Matched control — Seen near/next-to/beside relation on the same ordered pair (3 objects)</x:v>
      </x:c>
      <x:c r="M13" s="8" t="n">
        <x:f>'Evaluation Plan'!M13</x:f>
        <x:v>3</x:v>
      </x:c>
      <x:c r="N13" s="7" t="str">
        <x:f>'Evaluation Plan'!N13</x:f>
        <x:v>Reset only P2 to its marked start. Keep every object, camera setting, and pose fixed; change only the prompt.</x:v>
      </x:c>
      <x:c r="O13" s="7" t="str">
        <x:f>'Evaluation Plan'!O13</x:f>
        <x:v>Controls target/reference recognition and basic pick-place on the exact pair. It is skill-matched but not direction-endpoint-matched, so analyze the paired success delta separately.</x:v>
      </x:c>
      <x:c r="P13" s="7" t="str">
        <x:f>IF(ISBLANK('Evaluation Plan'!P13),"",'Evaluation Plan'!P13)</x:f>
      </x:c>
    </x:row>
    <x:row r="14" ht="64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Place the red block to the right of the green pen.</x:v>
      </x:c>
      <x:c r="D14" s="10" t="str">
        <x:f>'Evaluation Plan'!D14</x:f>
        <x:v>P1 green pen at R4 (5 cm toward the robot from center) [REFERENCE]; P2 red block 18 cm to the left of P1 [TARGET START]; P3 pink marker 15 cm in front of P1 [DISTRACTOR]</x:v>
      </x:c>
      <x:c r="E14" s="9" t="str">
        <x:f>IF(ISBLANK('Evaluation Plan'!E14),"",'Evaluation Plan'!E14)</x:f>
      </x:c>
      <x:c r="F14" s="9" t="str">
        <x:f>'Evaluation Plan'!F14</x:f>
        <x:v>red block → 2–8 cm edge gap to the right of green pen; centroid direction within ±45°</x:v>
      </x:c>
      <x:c r="G14" s="10"/>
      <x:c r="H14" s="9" t="str">
        <x:f>'Evaluation Plan'!H14</x:f>
        <x:v>Concept/compositional transfer</x:v>
      </x:c>
      <x:c r="I14" s="9" t="str">
        <x:f>'Evaluation Plan'!I14</x:f>
        <x:v>RP-F04</x:v>
      </x:c>
      <x:c r="J14" s="9" t="str">
        <x:f>'Evaluation Plan'!J14</x:f>
        <x:v>right</x:v>
      </x:c>
      <x:c r="K14" s="9" t="n">
        <x:f>'Evaluation Plan'!K14</x:f>
        <x:v>3</x:v>
      </x:c>
      <x:c r="L14" s="9" t="str">
        <x:f>'Evaluation Plan'!L14</x:f>
        <x:v>1 — Canonical transfer — Held-out direction × green-pen/red-block pair (right)</x:v>
      </x:c>
      <x:c r="M14" s="9" t="n">
        <x:f>'Evaluation Plan'!M14</x:f>
        <x:v>4</x:v>
      </x:c>
      <x:c r="N14" s="10" t="str">
        <x:f>'Evaluation Plan'!N14</x:f>
        <x:v>Build the marked scene. Target starts in the opposite sector and outside the success gap; save a first-frame filename.</x:v>
      </x:c>
      <x:c r="O14" s="10" t="str">
        <x:f>'Evaluation Plan'!O14</x:f>
        <x:v>Directional language is trained on other object pairs, but all directional green-pen/red-block demonstrations are withheld in both target/reference directions.</x:v>
      </x:c>
      <x:c r="P14" s="10" t="str">
        <x:f>IF(ISBLANK('Evaluation Plan'!P14),"",'Evaluation Plan'!P14)</x:f>
      </x:c>
    </x:row>
    <x:row r="15" ht="64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Place the red block to the left of the green pen.</x:v>
      </x:c>
      <x:c r="D15" s="7" t="str">
        <x:f>'Evaluation Plan'!D15</x:f>
        <x:v>P1 green pen at R4 (5 cm toward the robot from center) [REFERENCE]; P2 red block 18 cm to the left of P1 [TARGET START]; P3 pink marker 15 cm in front of P1 [DISTRACTOR]</x:v>
      </x:c>
      <x:c r="E15" s="8" t="n">
        <x:f>IF(ISBLANK('Evaluation Plan'!E15),"",'Evaluation Plan'!E15)</x:f>
        <x:v>12</x:v>
      </x:c>
      <x:c r="F15" s="8" t="str">
        <x:f>'Evaluation Plan'!F15</x:f>
        <x:v>red block → 2–8 cm edge gap to the left of green pen; centroid direction within ±45°</x:v>
      </x:c>
      <x:c r="G15" s="7"/>
      <x:c r="H15" s="8" t="str">
        <x:f>'Evaluation Plan'!H15</x:f>
        <x:v>Exact-scene opposite-direction contrast</x:v>
      </x:c>
      <x:c r="I15" s="8" t="str">
        <x:f>'Evaluation Plan'!I15</x:f>
        <x:v>RP-F04</x:v>
      </x:c>
      <x:c r="J15" s="8" t="str">
        <x:f>'Evaluation Plan'!J15</x:f>
        <x:v>left</x:v>
      </x:c>
      <x:c r="K15" s="8" t="n">
        <x:f>'Evaluation Plan'!K15</x:f>
        <x:v>3</x:v>
      </x:c>
      <x:c r="L15" s="8" t="str">
        <x:f>'Evaluation Plan'!L15</x:f>
        <x:v>2 — Exact-scene opposite-direction contrast — Direction-word counterfactual (right→left)</x:v>
      </x:c>
      <x:c r="M15" s="8" t="n">
        <x:f>'Evaluation Plan'!M15</x:f>
        <x:v>4</x:v>
      </x:c>
      <x:c r="N15" s="7" t="str">
        <x:f>'Evaluation Plan'!N15</x:f>
        <x:v>Reset only P2 to its marked start. Preserve the exact scene; change only the directional word and expected goal sector.</x:v>
      </x:c>
      <x:c r="O15" s="7" t="str">
        <x:f>'Evaluation Plan'!O15</x:f>
        <x:v>Exact-scene semantic counterfactual. Target and reference identities stay fixed while the requested endpoint reverses front↔behind or left↔right.</x:v>
      </x:c>
      <x:c r="P15" s="7" t="str">
        <x:f>IF(ISBLANK('Evaluation Plan'!P15),"",'Evaluation Plan'!P15)</x:f>
      </x:c>
    </x:row>
    <x:row r="16" ht="64" customHeight="1">
      <x:c r="A16" s="8" t="str">
        <x:v>Not collected</x:v>
      </x:c>
      <x:c r="B16" s="8" t="n">
        <x:f>'Evaluation Plan'!B16</x:f>
        <x:v>14</x:v>
      </x:c>
      <x:c r="C16" s="7" t="str">
        <x:f>'Evaluation Plan'!C16</x:f>
        <x:v>Move the red block to the side immediately right of the green pen.</x:v>
      </x:c>
      <x:c r="D16" s="7" t="str">
        <x:f>'Evaluation Plan'!D16</x:f>
        <x:v>P1 green pen at R4 (5 cm toward the robot from center) [REFERENCE]; P2 red block 18 cm to the left of P1 [TARGET START]; P3 pink marker 15 cm in front of P1 [DISTRACTOR]</x:v>
      </x:c>
      <x:c r="E16" s="8" t="n">
        <x:f>IF(ISBLANK('Evaluation Plan'!E16),"",'Evaluation Plan'!E16)</x:f>
        <x:v>12</x:v>
      </x:c>
      <x:c r="F16" s="8" t="str">
        <x:f>'Evaluation Plan'!F16</x:f>
        <x:v>red block → 2–8 cm edge gap to the right of green pen; centroid direction within ±45°</x:v>
      </x:c>
      <x:c r="G16" s="7"/>
      <x:c r="H16" s="8" t="str">
        <x:f>'Evaluation Plan'!H16</x:f>
        <x:v>Language robustness</x:v>
      </x:c>
      <x:c r="I16" s="8" t="str">
        <x:f>'Evaluation Plan'!I16</x:f>
        <x:v>RP-F04</x:v>
      </x:c>
      <x:c r="J16" s="8" t="str">
        <x:f>'Evaluation Plan'!J16</x:f>
        <x:v>right</x:v>
      </x:c>
      <x:c r="K16" s="8" t="n">
        <x:f>'Evaluation Plan'!K16</x:f>
        <x:v>3</x:v>
      </x:c>
      <x:c r="L16" s="8" t="str">
        <x:f>'Evaluation Plan'!L16</x:f>
        <x:v>3 — Exact-scene transfer paraphrase — Paraphrase of concept/compositional-transfer prompt</x:v>
      </x:c>
      <x:c r="M16" s="8" t="n">
        <x:f>'Evaluation Plan'!M16</x:f>
        <x:v>4</x:v>
      </x:c>
      <x:c r="N16" s="7" t="str">
        <x:f>'Evaluation Plan'!N16</x:f>
        <x:v>Reset only P2 to its marked start; change only the prompt wording.</x:v>
      </x:c>
      <x:c r="O16" s="7" t="str">
        <x:f>'Evaluation Plan'!O16</x:f>
        <x:v>Exact-scene language comparison for the held-out pair composition.</x:v>
      </x:c>
      <x:c r="P16" s="7" t="str">
        <x:f>IF(ISBLANK('Evaluation Plan'!P16),"",'Evaluation Plan'!P16)</x:f>
      </x:c>
    </x:row>
    <x:row r="17" ht="64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Move the red block near the green pen.</x:v>
      </x:c>
      <x:c r="D17" s="7" t="str">
        <x:f>'Evaluation Plan'!D17</x:f>
        <x:v>P1 green pen at R4 (5 cm toward the robot from center) [REFERENCE]; P2 red block 18 cm to the left of P1 [TARGET START]; P3 pink marker 15 cm in front of P1 [DISTRACTOR]</x:v>
      </x:c>
      <x:c r="E17" s="8" t="n">
        <x:f>IF(ISBLANK('Evaluation Plan'!E17),"",'Evaluation Plan'!E17)</x:f>
        <x:v>12</x:v>
      </x:c>
      <x:c r="F17" s="8" t="str">
        <x:f>'Evaluation Plan'!F17</x:f>
        <x:v>red block → 2–8 cm edge gap from green pen (any direction)</x:v>
      </x:c>
      <x:c r="G17" s="7"/>
      <x:c r="H17" s="8" t="str">
        <x:f>'Evaluation Plan'!H17</x:f>
        <x:v>Matched manipulation control</x:v>
      </x:c>
      <x:c r="I17" s="8" t="str">
        <x:f>'Evaluation Plan'!I17</x:f>
        <x:v>RP-F04</x:v>
      </x:c>
      <x:c r="J17" s="8" t="str">
        <x:f>'Evaluation Plan'!J17</x:f>
        <x:v>near</x:v>
      </x:c>
      <x:c r="K17" s="8" t="n">
        <x:f>'Evaluation Plan'!K17</x:f>
        <x:v>3</x:v>
      </x:c>
      <x:c r="L17" s="8" t="str">
        <x:f>'Evaluation Plan'!L17</x:f>
        <x:v>4 — Matched control — Seen near/next-to/beside relation on the same ordered pair (3 objects)</x:v>
      </x:c>
      <x:c r="M17" s="8" t="n">
        <x:f>'Evaluation Plan'!M17</x:f>
        <x:v>4</x:v>
      </x:c>
      <x:c r="N17" s="7" t="str">
        <x:f>'Evaluation Plan'!N17</x:f>
        <x:v>Reset only P2 to its marked start. Keep every object, camera setting, and pose fixed; change only the prompt.</x:v>
      </x:c>
      <x:c r="O17" s="7" t="str">
        <x:f>'Evaluation Plan'!O17</x:f>
        <x:v>Controls target/reference recognition and basic pick-place on the exact pair. It is skill-matched but not direction-endpoint-matched, so analyze the paired success delta separately.</x:v>
      </x:c>
      <x:c r="P17" s="7" t="str">
        <x:f>IF(ISBLANK('Evaluation Plan'!P17),"",'Evaluation Plan'!P17)</x:f>
      </x:c>
    </x:row>
    <x:row r="18" ht="64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red block to the front of the green pen.</x:v>
      </x:c>
      <x:c r="D18" s="10" t="str">
        <x:f>'Evaluation Plan'!D18</x:f>
        <x:v>P1 green pen at R5 (5 cm away from the robot from center) [REFERENCE]; P2 red block 21 cm behind P1 [TARGET START]; P3 pink marker 15 cm to the left of P1 [DISTRACTOR]</x:v>
      </x:c>
      <x:c r="E18" s="9" t="str">
        <x:f>IF(ISBLANK('Evaluation Plan'!E18),"",'Evaluation Plan'!E18)</x:f>
      </x:c>
      <x:c r="F18" s="9" t="str">
        <x:f>'Evaluation Plan'!F18</x:f>
        <x:v>red block → 2–8 cm edge gap in front of green pen; centroid direction within ±45°</x:v>
      </x:c>
      <x:c r="G18" s="10"/>
      <x:c r="H18" s="9" t="str">
        <x:f>'Evaluation Plan'!H18</x:f>
        <x:v>Concept/compositional transfer</x:v>
      </x:c>
      <x:c r="I18" s="9" t="str">
        <x:f>'Evaluation Plan'!I18</x:f>
        <x:v>RP-F05</x:v>
      </x:c>
      <x:c r="J18" s="9" t="str">
        <x:f>'Evaluation Plan'!J18</x:f>
        <x:v>front</x:v>
      </x:c>
      <x:c r="K18" s="9" t="n">
        <x:f>'Evaluation Plan'!K18</x:f>
        <x:v>3</x:v>
      </x:c>
      <x:c r="L18" s="9" t="str">
        <x:f>'Evaluation Plan'!L18</x:f>
        <x:v>1 — Canonical transfer — Held-out direction × green-pen/red-block pair (front)</x:v>
      </x:c>
      <x:c r="M18" s="9" t="n">
        <x:f>'Evaluation Plan'!M18</x:f>
        <x:v>5</x:v>
      </x:c>
      <x:c r="N18" s="10" t="str">
        <x:f>'Evaluation Plan'!N18</x:f>
        <x:v>Build the marked scene. Target starts in the opposite sector and outside the success gap; save a first-frame filename.</x:v>
      </x:c>
      <x:c r="O18" s="10" t="str">
        <x:f>'Evaluation Plan'!O18</x:f>
        <x:v>Directional language is trained on other object pairs, but all directional green-pen/red-block demonstrations are withheld in both target/reference directions.</x:v>
      </x:c>
      <x:c r="P18" s="10" t="str">
        <x:f>IF(ISBLANK('Evaluation Plan'!P18),"",'Evaluation Plan'!P18)</x:f>
      </x:c>
    </x:row>
    <x:row r="19" ht="64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Put the red block on the table behind the green pen.</x:v>
      </x:c>
      <x:c r="D19" s="7" t="str">
        <x:f>'Evaluation Plan'!D19</x:f>
        <x:v>P1 green pen at R5 (5 cm away from the robot from center) [REFERENCE]; P2 red block 21 cm behind P1 [TARGET START]; P3 pink marker 15 cm to the left of P1 [DISTRACTOR]</x:v>
      </x:c>
      <x:c r="E19" s="8" t="n">
        <x:f>IF(ISBLANK('Evaluation Plan'!E19),"",'Evaluation Plan'!E19)</x:f>
        <x:v>16</x:v>
      </x:c>
      <x:c r="F19" s="8" t="str">
        <x:f>'Evaluation Plan'!F19</x:f>
        <x:v>red block → 2–8 cm edge gap behind green pen; centroid direction within ±45°</x:v>
      </x:c>
      <x:c r="G19" s="7"/>
      <x:c r="H19" s="8" t="str">
        <x:f>'Evaluation Plan'!H19</x:f>
        <x:v>Exact-scene opposite-direction contrast</x:v>
      </x:c>
      <x:c r="I19" s="8" t="str">
        <x:f>'Evaluation Plan'!I19</x:f>
        <x:v>RP-F05</x:v>
      </x:c>
      <x:c r="J19" s="8" t="str">
        <x:f>'Evaluation Plan'!J19</x:f>
        <x:v>behind</x:v>
      </x:c>
      <x:c r="K19" s="8" t="n">
        <x:f>'Evaluation Plan'!K19</x:f>
        <x:v>3</x:v>
      </x:c>
      <x:c r="L19" s="8" t="str">
        <x:f>'Evaluation Plan'!L19</x:f>
        <x:v>2 — Exact-scene opposite-direction contrast — Direction-word counterfactual (front→behind)</x:v>
      </x:c>
      <x:c r="M19" s="8" t="n">
        <x:f>'Evaluation Plan'!M19</x:f>
        <x:v>5</x:v>
      </x:c>
      <x:c r="N19" s="7" t="str">
        <x:f>'Evaluation Plan'!N19</x:f>
        <x:v>Reset only P2 to its marked start. Preserve the exact scene; change only the directional word and expected goal sector.</x:v>
      </x:c>
      <x:c r="O19" s="7" t="str">
        <x:f>'Evaluation Plan'!O19</x:f>
        <x:v>Exact-scene semantic counterfactual. Target and reference identities stay fixed while the requested endpoint reverses front↔behind or left↔right.</x:v>
      </x:c>
      <x:c r="P19" s="7" t="str">
        <x:f>IF(ISBLANK('Evaluation Plan'!P19),"",'Evaluation Plan'!P19)</x:f>
      </x:c>
    </x:row>
    <x:row r="20" ht="64" customHeight="1">
      <x:c r="A20" s="8" t="str">
        <x:v>Not collected</x:v>
      </x:c>
      <x:c r="B20" s="8" t="n">
        <x:f>'Evaluation Plan'!B20</x:f>
        <x:v>18</x:v>
      </x:c>
      <x:c r="C20" s="7" t="str">
        <x:f>'Evaluation Plan'!C20</x:f>
        <x:v>Move the red block to the robot-facing side of the green pen.</x:v>
      </x:c>
      <x:c r="D20" s="7" t="str">
        <x:f>'Evaluation Plan'!D20</x:f>
        <x:v>P1 green pen at R5 (5 cm away from the robot from center) [REFERENCE]; P2 red block 21 cm behind P1 [TARGET START]; P3 pink marker 15 cm to the left of P1 [DISTRACTOR]</x:v>
      </x:c>
      <x:c r="E20" s="8" t="n">
        <x:f>IF(ISBLANK('Evaluation Plan'!E20),"",'Evaluation Plan'!E20)</x:f>
        <x:v>16</x:v>
      </x:c>
      <x:c r="F20" s="8" t="str">
        <x:f>'Evaluation Plan'!F20</x:f>
        <x:v>red block → 2–8 cm edge gap in front of green pen; centroid direction within ±45°</x:v>
      </x:c>
      <x:c r="G20" s="7"/>
      <x:c r="H20" s="8" t="str">
        <x:f>'Evaluation Plan'!H20</x:f>
        <x:v>Language robustness</x:v>
      </x:c>
      <x:c r="I20" s="8" t="str">
        <x:f>'Evaluation Plan'!I20</x:f>
        <x:v>RP-F05</x:v>
      </x:c>
      <x:c r="J20" s="8" t="str">
        <x:f>'Evaluation Plan'!J20</x:f>
        <x:v>front</x:v>
      </x:c>
      <x:c r="K20" s="8" t="n">
        <x:f>'Evaluation Plan'!K20</x:f>
        <x:v>3</x:v>
      </x:c>
      <x:c r="L20" s="8" t="str">
        <x:f>'Evaluation Plan'!L20</x:f>
        <x:v>3 — Exact-scene transfer paraphrase — Paraphrase of concept/compositional-transfer prompt</x:v>
      </x:c>
      <x:c r="M20" s="8" t="n">
        <x:f>'Evaluation Plan'!M20</x:f>
        <x:v>5</x:v>
      </x:c>
      <x:c r="N20" s="7" t="str">
        <x:f>'Evaluation Plan'!N20</x:f>
        <x:v>Reset only P2 to its marked start; change only the prompt wording.</x:v>
      </x:c>
      <x:c r="O20" s="7" t="str">
        <x:f>'Evaluation Plan'!O20</x:f>
        <x:v>Exact-scene language comparison for the held-out pair composition.</x:v>
      </x:c>
      <x:c r="P20" s="7" t="str">
        <x:f>IF(ISBLANK('Evaluation Plan'!P20),"",'Evaluation Plan'!P20)</x:f>
      </x:c>
    </x:row>
    <x:row r="21" ht="64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Place the red block next to the green pen.</x:v>
      </x:c>
      <x:c r="D21" s="7" t="str">
        <x:f>'Evaluation Plan'!D21</x:f>
        <x:v>P1 green pen at R5 (5 cm away from the robot from center) [REFERENCE]; P2 red block 21 cm behind P1 [TARGET START]; P3 pink marker 15 cm to the left of P1 [DISTRACTOR]</x:v>
      </x:c>
      <x:c r="E21" s="8" t="n">
        <x:f>IF(ISBLANK('Evaluation Plan'!E21),"",'Evaluation Plan'!E21)</x:f>
        <x:v>16</x:v>
      </x:c>
      <x:c r="F21" s="8" t="str">
        <x:f>'Evaluation Plan'!F21</x:f>
        <x:v>red block → 2–8 cm edge gap from green pen (any direction)</x:v>
      </x:c>
      <x:c r="G21" s="7"/>
      <x:c r="H21" s="8" t="str">
        <x:f>'Evaluation Plan'!H21</x:f>
        <x:v>Matched manipulation control</x:v>
      </x:c>
      <x:c r="I21" s="8" t="str">
        <x:f>'Evaluation Plan'!I21</x:f>
        <x:v>RP-F05</x:v>
      </x:c>
      <x:c r="J21" s="8" t="str">
        <x:f>'Evaluation Plan'!J21</x:f>
        <x:v>near</x:v>
      </x:c>
      <x:c r="K21" s="8" t="n">
        <x:f>'Evaluation Plan'!K21</x:f>
        <x:v>3</x:v>
      </x:c>
      <x:c r="L21" s="8" t="str">
        <x:f>'Evaluation Plan'!L21</x:f>
        <x:v>4 — Matched control — Seen near/next-to/beside relation on the same ordered pair (3 objects)</x:v>
      </x:c>
      <x:c r="M21" s="8" t="n">
        <x:f>'Evaluation Plan'!M21</x:f>
        <x:v>5</x:v>
      </x:c>
      <x:c r="N21" s="7" t="str">
        <x:f>'Evaluation Plan'!N21</x:f>
        <x:v>Reset only P2 to its marked start. Keep every object, camera setting, and pose fixed; change only the prompt.</x:v>
      </x:c>
      <x:c r="O21" s="7" t="str">
        <x:f>'Evaluation Plan'!O21</x:f>
        <x:v>Controls target/reference recognition and basic pick-place on the exact pair. It is skill-matched but not direction-endpoint-matched, so analyze the paired success delta separately.</x:v>
      </x:c>
      <x:c r="P21" s="7" t="str">
        <x:f>IF(ISBLANK('Evaluation Plan'!P21),"",'Evaluation Plan'!P21)</x:f>
      </x:c>
    </x:row>
    <x:row r="22" ht="64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Put the green pen on the table behind the red block.</x:v>
      </x:c>
      <x:c r="D22" s="10" t="str">
        <x:f>'Evaluation Plan'!D22</x:f>
        <x:v>P1 red block at R1 (table center) [REFERENCE]; P2 green pen 24 cm in front of P1 [TARGET START]; P3 pink marker 15 cm to the left of P1 [DISTRACTOR]</x:v>
      </x:c>
      <x:c r="E22" s="9" t="str">
        <x:f>IF(ISBLANK('Evaluation Plan'!E22),"",'Evaluation Plan'!E22)</x:f>
      </x:c>
      <x:c r="F22" s="9" t="str">
        <x:f>'Evaluation Plan'!F22</x:f>
        <x:v>green pen → 2–8 cm edge gap behind red block; centroid direction within ±45°</x:v>
      </x:c>
      <x:c r="G22" s="10"/>
      <x:c r="H22" s="9" t="str">
        <x:f>'Evaluation Plan'!H22</x:f>
        <x:v>Concept/compositional transfer</x:v>
      </x:c>
      <x:c r="I22" s="9" t="str">
        <x:f>'Evaluation Plan'!I22</x:f>
        <x:v>RP-F06</x:v>
      </x:c>
      <x:c r="J22" s="9" t="str">
        <x:f>'Evaluation Plan'!J22</x:f>
        <x:v>behind</x:v>
      </x:c>
      <x:c r="K22" s="9" t="n">
        <x:f>'Evaluation Plan'!K22</x:f>
        <x:v>3</x:v>
      </x:c>
      <x:c r="L22" s="9" t="str">
        <x:f>'Evaluation Plan'!L22</x:f>
        <x:v>1 — Canonical transfer — Held-out direction × green-pen/red-block pair (behind)</x:v>
      </x:c>
      <x:c r="M22" s="9" t="n">
        <x:f>'Evaluation Plan'!M22</x:f>
        <x:v>6</x:v>
      </x:c>
      <x:c r="N22" s="10" t="str">
        <x:f>'Evaluation Plan'!N22</x:f>
        <x:v>Build the marked scene. Target starts in the opposite sector and outside the success gap; save a first-frame filename.</x:v>
      </x:c>
      <x:c r="O22" s="10" t="str">
        <x:f>'Evaluation Plan'!O22</x:f>
        <x:v>Directional language is trained on other object pairs, but all directional green-pen/red-block demonstrations are withheld in both target/reference directions.</x:v>
      </x:c>
      <x:c r="P22" s="10" t="str">
        <x:f>IF(ISBLANK('Evaluation Plan'!P22),"",'Evaluation Plan'!P22)</x:f>
      </x:c>
    </x:row>
    <x:row r="23" ht="64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Place the green pen in front of the red block.</x:v>
      </x:c>
      <x:c r="D23" s="7" t="str">
        <x:f>'Evaluation Plan'!D23</x:f>
        <x:v>P1 red block at R1 (table center) [REFERENCE]; P2 green pen 24 cm in front of P1 [TARGET START]; P3 pink marker 15 cm to the left of P1 [DISTRACTOR]</x:v>
      </x:c>
      <x:c r="E23" s="8" t="n">
        <x:f>IF(ISBLANK('Evaluation Plan'!E23),"",'Evaluation Plan'!E23)</x:f>
        <x:v>20</x:v>
      </x:c>
      <x:c r="F23" s="8" t="str">
        <x:f>'Evaluation Plan'!F23</x:f>
        <x:v>green pen → 2–8 cm edge gap in front of red block; centroid direction within ±45°</x:v>
      </x:c>
      <x:c r="G23" s="7"/>
      <x:c r="H23" s="8" t="str">
        <x:f>'Evaluation Plan'!H23</x:f>
        <x:v>Exact-scene opposite-direction contrast</x:v>
      </x:c>
      <x:c r="I23" s="8" t="str">
        <x:f>'Evaluation Plan'!I23</x:f>
        <x:v>RP-F06</x:v>
      </x:c>
      <x:c r="J23" s="8" t="str">
        <x:f>'Evaluation Plan'!J23</x:f>
        <x:v>front</x:v>
      </x:c>
      <x:c r="K23" s="8" t="n">
        <x:f>'Evaluation Plan'!K23</x:f>
        <x:v>3</x:v>
      </x:c>
      <x:c r="L23" s="8" t="str">
        <x:f>'Evaluation Plan'!L23</x:f>
        <x:v>2 — Exact-scene opposite-direction contrast — Direction-word counterfactual (behind→front)</x:v>
      </x:c>
      <x:c r="M23" s="8" t="n">
        <x:f>'Evaluation Plan'!M23</x:f>
        <x:v>6</x:v>
      </x:c>
      <x:c r="N23" s="7" t="str">
        <x:f>'Evaluation Plan'!N23</x:f>
        <x:v>Reset only P2 to its marked start. Preserve the exact scene; change only the directional word and expected goal sector.</x:v>
      </x:c>
      <x:c r="O23" s="7" t="str">
        <x:f>'Evaluation Plan'!O23</x:f>
        <x:v>Exact-scene semantic counterfactual. Target and reference identities stay fixed while the requested endpoint reverses front↔behind or left↔right.</x:v>
      </x:c>
      <x:c r="P23" s="7" t="str">
        <x:f>IF(ISBLANK('Evaluation Plan'!P23),"",'Evaluation Plan'!P23)</x:f>
      </x:c>
    </x:row>
    <x:row r="24" ht="64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Move the green pen to the rear side of the red block.</x:v>
      </x:c>
      <x:c r="D24" s="7" t="str">
        <x:f>'Evaluation Plan'!D24</x:f>
        <x:v>P1 red block at R1 (table center) [REFERENCE]; P2 green pen 24 cm in front of P1 [TARGET START]; P3 pink marker 15 cm to the left of P1 [DISTRACTOR]</x:v>
      </x:c>
      <x:c r="E24" s="8" t="n">
        <x:f>IF(ISBLANK('Evaluation Plan'!E24),"",'Evaluation Plan'!E24)</x:f>
        <x:v>20</x:v>
      </x:c>
      <x:c r="F24" s="8" t="str">
        <x:f>'Evaluation Plan'!F24</x:f>
        <x:v>green pen → 2–8 cm edge gap behind red block; centroid direction within ±45°</x:v>
      </x:c>
      <x:c r="G24" s="7"/>
      <x:c r="H24" s="8" t="str">
        <x:f>'Evaluation Plan'!H24</x:f>
        <x:v>Language robustness</x:v>
      </x:c>
      <x:c r="I24" s="8" t="str">
        <x:f>'Evaluation Plan'!I24</x:f>
        <x:v>RP-F06</x:v>
      </x:c>
      <x:c r="J24" s="8" t="str">
        <x:f>'Evaluation Plan'!J24</x:f>
        <x:v>behind</x:v>
      </x:c>
      <x:c r="K24" s="8" t="n">
        <x:f>'Evaluation Plan'!K24</x:f>
        <x:v>3</x:v>
      </x:c>
      <x:c r="L24" s="8" t="str">
        <x:f>'Evaluation Plan'!L24</x:f>
        <x:v>3 — Exact-scene transfer paraphrase — Paraphrase of concept/compositional-transfer prompt</x:v>
      </x:c>
      <x:c r="M24" s="8" t="n">
        <x:f>'Evaluation Plan'!M24</x:f>
        <x:v>6</x:v>
      </x:c>
      <x:c r="N24" s="7" t="str">
        <x:f>'Evaluation Plan'!N24</x:f>
        <x:v>Reset only P2 to its marked start; change only the prompt wording.</x:v>
      </x:c>
      <x:c r="O24" s="7" t="str">
        <x:f>'Evaluation Plan'!O24</x:f>
        <x:v>Exact-scene language comparison for the held-out pair composition.</x:v>
      </x:c>
      <x:c r="P24" s="7" t="str">
        <x:f>IF(ISBLANK('Evaluation Plan'!P24),"",'Evaluation Plan'!P24)</x:f>
      </x:c>
    </x:row>
    <x:row r="25" ht="64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Put the green pen beside the red block.</x:v>
      </x:c>
      <x:c r="D25" s="7" t="str">
        <x:f>'Evaluation Plan'!D25</x:f>
        <x:v>P1 red block at R1 (table center) [REFERENCE]; P2 green pen 24 cm in front of P1 [TARGET START]; P3 pink marker 15 cm to the left of P1 [DISTRACTOR]</x:v>
      </x:c>
      <x:c r="E25" s="8" t="n">
        <x:f>IF(ISBLANK('Evaluation Plan'!E25),"",'Evaluation Plan'!E25)</x:f>
        <x:v>20</x:v>
      </x:c>
      <x:c r="F25" s="8" t="str">
        <x:f>'Evaluation Plan'!F25</x:f>
        <x:v>green pen → 2–8 cm edge gap from red block (any direction)</x:v>
      </x:c>
      <x:c r="G25" s="7"/>
      <x:c r="H25" s="8" t="str">
        <x:f>'Evaluation Plan'!H25</x:f>
        <x:v>Matched manipulation control</x:v>
      </x:c>
      <x:c r="I25" s="8" t="str">
        <x:f>'Evaluation Plan'!I25</x:f>
        <x:v>RP-F06</x:v>
      </x:c>
      <x:c r="J25" s="8" t="str">
        <x:f>'Evaluation Plan'!J25</x:f>
        <x:v>near</x:v>
      </x:c>
      <x:c r="K25" s="8" t="n">
        <x:f>'Evaluation Plan'!K25</x:f>
        <x:v>3</x:v>
      </x:c>
      <x:c r="L25" s="8" t="str">
        <x:f>'Evaluation Plan'!L25</x:f>
        <x:v>4 — Matched control — Seen near/next-to/beside relation on the same ordered pair (3 objects)</x:v>
      </x:c>
      <x:c r="M25" s="8" t="n">
        <x:f>'Evaluation Plan'!M25</x:f>
        <x:v>6</x:v>
      </x:c>
      <x:c r="N25" s="7" t="str">
        <x:f>'Evaluation Plan'!N25</x:f>
        <x:v>Reset only P2 to its marked start. Keep every object, camera setting, and pose fixed; change only the prompt.</x:v>
      </x:c>
      <x:c r="O25" s="7" t="str">
        <x:f>'Evaluation Plan'!O25</x:f>
        <x:v>Controls target/reference recognition and basic pick-place on the exact pair. It is skill-matched but not direction-endpoint-matched, so analyze the paired success delta separately.</x:v>
      </x:c>
      <x:c r="P25" s="7" t="str">
        <x:f>IF(ISBLANK('Evaluation Plan'!P25),"",'Evaluation Plan'!P25)</x:f>
      </x:c>
    </x:row>
    <x:row r="26" ht="64" customHeight="1">
      <x:c r="A26" s="9" t="str">
        <x:v>Not collected</x:v>
      </x:c>
      <x:c r="B26" s="9" t="n">
        <x:f>'Evaluation Plan'!B26</x:f>
        <x:v>24</x:v>
      </x:c>
      <x:c r="C26" s="10" t="str">
        <x:f>'Evaluation Plan'!C26</x:f>
        <x:v>Place the red block to the left of the green pen.</x:v>
      </x:c>
      <x:c r="D26" s="10" t="str">
        <x:f>'Evaluation Plan'!D26</x:f>
        <x:v>P1 green pen at R2 (5 cm left of center) [REFERENCE]; P2 red block 18 cm to the right of P1 [TARGET START]; P3 pink marker 15 cm in front of P1 [DISTRACTOR]</x:v>
      </x:c>
      <x:c r="E26" s="9" t="str">
        <x:f>IF(ISBLANK('Evaluation Plan'!E26),"",'Evaluation Plan'!E26)</x:f>
      </x:c>
      <x:c r="F26" s="9" t="str">
        <x:f>'Evaluation Plan'!F26</x:f>
        <x:v>red block → 2–8 cm edge gap to the left of green pen; centroid direction within ±45°</x:v>
      </x:c>
      <x:c r="G26" s="10"/>
      <x:c r="H26" s="9" t="str">
        <x:f>'Evaluation Plan'!H26</x:f>
        <x:v>Concept/compositional transfer</x:v>
      </x:c>
      <x:c r="I26" s="9" t="str">
        <x:f>'Evaluation Plan'!I26</x:f>
        <x:v>RP-F07</x:v>
      </x:c>
      <x:c r="J26" s="9" t="str">
        <x:f>'Evaluation Plan'!J26</x:f>
        <x:v>left</x:v>
      </x:c>
      <x:c r="K26" s="9" t="n">
        <x:f>'Evaluation Plan'!K26</x:f>
        <x:v>3</x:v>
      </x:c>
      <x:c r="L26" s="9" t="str">
        <x:f>'Evaluation Plan'!L26</x:f>
        <x:v>1 — Canonical transfer — Held-out direction × green-pen/red-block pair (left)</x:v>
      </x:c>
      <x:c r="M26" s="9" t="n">
        <x:f>'Evaluation Plan'!M26</x:f>
        <x:v>7</x:v>
      </x:c>
      <x:c r="N26" s="10" t="str">
        <x:f>'Evaluation Plan'!N26</x:f>
        <x:v>Build the marked scene. Target starts in the opposite sector and outside the success gap; save a first-frame filename.</x:v>
      </x:c>
      <x:c r="O26" s="10" t="str">
        <x:f>'Evaluation Plan'!O26</x:f>
        <x:v>Directional language is trained on other object pairs, but all directional green-pen/red-block demonstrations are withheld in both target/reference directions.</x:v>
      </x:c>
      <x:c r="P26" s="10" t="str">
        <x:f>IF(ISBLANK('Evaluation Plan'!P26),"",'Evaluation Plan'!P26)</x:f>
      </x:c>
    </x:row>
    <x:row r="27" ht="64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Place the red block to the right of the green pen.</x:v>
      </x:c>
      <x:c r="D27" s="7" t="str">
        <x:f>'Evaluation Plan'!D27</x:f>
        <x:v>P1 green pen at R2 (5 cm left of center) [REFERENCE]; P2 red block 18 cm to the right of P1 [TARGET START]; P3 pink marker 15 cm in front of P1 [DISTRACTOR]</x:v>
      </x:c>
      <x:c r="E27" s="8" t="n">
        <x:f>IF(ISBLANK('Evaluation Plan'!E27),"",'Evaluation Plan'!E27)</x:f>
        <x:v>24</x:v>
      </x:c>
      <x:c r="F27" s="8" t="str">
        <x:f>'Evaluation Plan'!F27</x:f>
        <x:v>red block → 2–8 cm edge gap to the right of green pen; centroid direction within ±45°</x:v>
      </x:c>
      <x:c r="G27" s="7"/>
      <x:c r="H27" s="8" t="str">
        <x:f>'Evaluation Plan'!H27</x:f>
        <x:v>Exact-scene opposite-direction contrast</x:v>
      </x:c>
      <x:c r="I27" s="8" t="str">
        <x:f>'Evaluation Plan'!I27</x:f>
        <x:v>RP-F07</x:v>
      </x:c>
      <x:c r="J27" s="8" t="str">
        <x:f>'Evaluation Plan'!J27</x:f>
        <x:v>right</x:v>
      </x:c>
      <x:c r="K27" s="8" t="n">
        <x:f>'Evaluation Plan'!K27</x:f>
        <x:v>3</x:v>
      </x:c>
      <x:c r="L27" s="8" t="str">
        <x:f>'Evaluation Plan'!L27</x:f>
        <x:v>2 — Exact-scene opposite-direction contrast — Direction-word counterfactual (left→right)</x:v>
      </x:c>
      <x:c r="M27" s="8" t="n">
        <x:f>'Evaluation Plan'!M27</x:f>
        <x:v>7</x:v>
      </x:c>
      <x:c r="N27" s="7" t="str">
        <x:f>'Evaluation Plan'!N27</x:f>
        <x:v>Reset only P2 to its marked start. Preserve the exact scene; change only the directional word and expected goal sector.</x:v>
      </x:c>
      <x:c r="O27" s="7" t="str">
        <x:f>'Evaluation Plan'!O27</x:f>
        <x:v>Exact-scene semantic counterfactual. Target and reference identities stay fixed while the requested endpoint reverses front↔behind or left↔right.</x:v>
      </x:c>
      <x:c r="P27" s="7" t="str">
        <x:f>IF(ISBLANK('Evaluation Plan'!P27),"",'Evaluation Plan'!P27)</x:f>
      </x:c>
    </x:row>
    <x:row r="28" ht="64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Set the red block on the left-hand side of the green pen.</x:v>
      </x:c>
      <x:c r="D28" s="7" t="str">
        <x:f>'Evaluation Plan'!D28</x:f>
        <x:v>P1 green pen at R2 (5 cm left of center) [REFERENCE]; P2 red block 18 cm to the right of P1 [TARGET START]; P3 pink marker 15 cm in front of P1 [DISTRACTOR]</x:v>
      </x:c>
      <x:c r="E28" s="8" t="n">
        <x:f>IF(ISBLANK('Evaluation Plan'!E28),"",'Evaluation Plan'!E28)</x:f>
        <x:v>24</x:v>
      </x:c>
      <x:c r="F28" s="8" t="str">
        <x:f>'Evaluation Plan'!F28</x:f>
        <x:v>red block → 2–8 cm edge gap to the left of green pen; centroid direction within ±45°</x:v>
      </x:c>
      <x:c r="G28" s="7"/>
      <x:c r="H28" s="8" t="str">
        <x:f>'Evaluation Plan'!H28</x:f>
        <x:v>Language robustness</x:v>
      </x:c>
      <x:c r="I28" s="8" t="str">
        <x:f>'Evaluation Plan'!I28</x:f>
        <x:v>RP-F07</x:v>
      </x:c>
      <x:c r="J28" s="8" t="str">
        <x:f>'Evaluation Plan'!J28</x:f>
        <x:v>left</x:v>
      </x:c>
      <x:c r="K28" s="8" t="n">
        <x:f>'Evaluation Plan'!K28</x:f>
        <x:v>3</x:v>
      </x:c>
      <x:c r="L28" s="8" t="str">
        <x:f>'Evaluation Plan'!L28</x:f>
        <x:v>3 — Exact-scene transfer paraphrase — Paraphrase of concept/compositional-transfer prompt</x:v>
      </x:c>
      <x:c r="M28" s="8" t="n">
        <x:f>'Evaluation Plan'!M28</x:f>
        <x:v>7</x:v>
      </x:c>
      <x:c r="N28" s="7" t="str">
        <x:f>'Evaluation Plan'!N28</x:f>
        <x:v>Reset only P2 to its marked start; change only the prompt wording.</x:v>
      </x:c>
      <x:c r="O28" s="7" t="str">
        <x:f>'Evaluation Plan'!O28</x:f>
        <x:v>Exact-scene language comparison for the held-out pair composition.</x:v>
      </x:c>
      <x:c r="P28" s="7" t="str">
        <x:f>IF(ISBLANK('Evaluation Plan'!P28),"",'Evaluation Plan'!P28)</x:f>
      </x:c>
    </x:row>
    <x:row r="29" ht="64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Move the red block near the green pen.</x:v>
      </x:c>
      <x:c r="D29" s="7" t="str">
        <x:f>'Evaluation Plan'!D29</x:f>
        <x:v>P1 green pen at R2 (5 cm left of center) [REFERENCE]; P2 red block 18 cm to the right of P1 [TARGET START]; P3 pink marker 15 cm in front of P1 [DISTRACTOR]</x:v>
      </x:c>
      <x:c r="E29" s="8" t="n">
        <x:f>IF(ISBLANK('Evaluation Plan'!E29),"",'Evaluation Plan'!E29)</x:f>
        <x:v>24</x:v>
      </x:c>
      <x:c r="F29" s="8" t="str">
        <x:f>'Evaluation Plan'!F29</x:f>
        <x:v>red block → 2–8 cm edge gap from green pen (any direction)</x:v>
      </x:c>
      <x:c r="G29" s="7"/>
      <x:c r="H29" s="8" t="str">
        <x:f>'Evaluation Plan'!H29</x:f>
        <x:v>Matched manipulation control</x:v>
      </x:c>
      <x:c r="I29" s="8" t="str">
        <x:f>'Evaluation Plan'!I29</x:f>
        <x:v>RP-F07</x:v>
      </x:c>
      <x:c r="J29" s="8" t="str">
        <x:f>'Evaluation Plan'!J29</x:f>
        <x:v>near</x:v>
      </x:c>
      <x:c r="K29" s="8" t="n">
        <x:f>'Evaluation Plan'!K29</x:f>
        <x:v>3</x:v>
      </x:c>
      <x:c r="L29" s="8" t="str">
        <x:f>'Evaluation Plan'!L29</x:f>
        <x:v>4 — Matched control — Seen near/next-to/beside relation on the same ordered pair (3 objects)</x:v>
      </x:c>
      <x:c r="M29" s="8" t="n">
        <x:f>'Evaluation Plan'!M29</x:f>
        <x:v>7</x:v>
      </x:c>
      <x:c r="N29" s="7" t="str">
        <x:f>'Evaluation Plan'!N29</x:f>
        <x:v>Reset only P2 to its marked start. Keep every object, camera setting, and pose fixed; change only the prompt.</x:v>
      </x:c>
      <x:c r="O29" s="7" t="str">
        <x:f>'Evaluation Plan'!O29</x:f>
        <x:v>Controls target/reference recognition and basic pick-place on the exact pair. It is skill-matched but not direction-endpoint-matched, so analyze the paired success delta separately.</x:v>
      </x:c>
      <x:c r="P29" s="7" t="str">
        <x:f>IF(ISBLANK('Evaluation Plan'!P29),"",'Evaluation Plan'!P29)</x:f>
      </x:c>
    </x:row>
    <x:row r="30" ht="64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Place the green pen to the right of the red block.</x:v>
      </x:c>
      <x:c r="D30" s="10" t="str">
        <x:f>'Evaluation Plan'!D30</x:f>
        <x:v>P1 red block at R3 (5 cm right of center) [REFERENCE]; P2 green pen 21 cm to the left of P1 [TARGET START]; P3 pink marker 15 cm in front of P1 [DISTRACTOR]</x:v>
      </x:c>
      <x:c r="E30" s="9" t="str">
        <x:f>IF(ISBLANK('Evaluation Plan'!E30),"",'Evaluation Plan'!E30)</x:f>
      </x:c>
      <x:c r="F30" s="9" t="str">
        <x:f>'Evaluation Plan'!F30</x:f>
        <x:v>green pen → 2–8 cm edge gap to the right of red block; centroid direction within ±45°</x:v>
      </x:c>
      <x:c r="G30" s="10"/>
      <x:c r="H30" s="9" t="str">
        <x:f>'Evaluation Plan'!H30</x:f>
        <x:v>Concept/compositional transfer</x:v>
      </x:c>
      <x:c r="I30" s="9" t="str">
        <x:f>'Evaluation Plan'!I30</x:f>
        <x:v>RP-F08</x:v>
      </x:c>
      <x:c r="J30" s="9" t="str">
        <x:f>'Evaluation Plan'!J30</x:f>
        <x:v>right</x:v>
      </x:c>
      <x:c r="K30" s="9" t="n">
        <x:f>'Evaluation Plan'!K30</x:f>
        <x:v>3</x:v>
      </x:c>
      <x:c r="L30" s="9" t="str">
        <x:f>'Evaluation Plan'!L30</x:f>
        <x:v>1 — Canonical transfer — Held-out direction × green-pen/red-block pair (right)</x:v>
      </x:c>
      <x:c r="M30" s="9" t="n">
        <x:f>'Evaluation Plan'!M30</x:f>
        <x:v>8</x:v>
      </x:c>
      <x:c r="N30" s="10" t="str">
        <x:f>'Evaluation Plan'!N30</x:f>
        <x:v>Build the marked scene. Target starts in the opposite sector and outside the success gap; save a first-frame filename.</x:v>
      </x:c>
      <x:c r="O30" s="10" t="str">
        <x:f>'Evaluation Plan'!O30</x:f>
        <x:v>Directional language is trained on other object pairs, but all directional green-pen/red-block demonstrations are withheld in both target/reference directions.</x:v>
      </x:c>
      <x:c r="P30" s="10" t="str">
        <x:f>IF(ISBLANK('Evaluation Plan'!P30),"",'Evaluation Plan'!P30)</x:f>
      </x:c>
    </x:row>
    <x:row r="31" ht="64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Place the green pen to the left of the red block.</x:v>
      </x:c>
      <x:c r="D31" s="7" t="str">
        <x:f>'Evaluation Plan'!D31</x:f>
        <x:v>P1 red block at R3 (5 cm right of center) [REFERENCE]; P2 green pen 21 cm to the left of P1 [TARGET START]; P3 pink marker 15 cm in front of P1 [DISTRACTOR]</x:v>
      </x:c>
      <x:c r="E31" s="8" t="n">
        <x:f>IF(ISBLANK('Evaluation Plan'!E31),"",'Evaluation Plan'!E31)</x:f>
        <x:v>28</x:v>
      </x:c>
      <x:c r="F31" s="8" t="str">
        <x:f>'Evaluation Plan'!F31</x:f>
        <x:v>green pen → 2–8 cm edge gap to the left of red block; centroid direction within ±45°</x:v>
      </x:c>
      <x:c r="G31" s="7"/>
      <x:c r="H31" s="8" t="str">
        <x:f>'Evaluation Plan'!H31</x:f>
        <x:v>Exact-scene opposite-direction contrast</x:v>
      </x:c>
      <x:c r="I31" s="8" t="str">
        <x:f>'Evaluation Plan'!I31</x:f>
        <x:v>RP-F08</x:v>
      </x:c>
      <x:c r="J31" s="8" t="str">
        <x:f>'Evaluation Plan'!J31</x:f>
        <x:v>left</x:v>
      </x:c>
      <x:c r="K31" s="8" t="n">
        <x:f>'Evaluation Plan'!K31</x:f>
        <x:v>3</x:v>
      </x:c>
      <x:c r="L31" s="8" t="str">
        <x:f>'Evaluation Plan'!L31</x:f>
        <x:v>2 — Exact-scene opposite-direction contrast — Direction-word counterfactual (right→left)</x:v>
      </x:c>
      <x:c r="M31" s="8" t="n">
        <x:f>'Evaluation Plan'!M31</x:f>
        <x:v>8</x:v>
      </x:c>
      <x:c r="N31" s="7" t="str">
        <x:f>'Evaluation Plan'!N31</x:f>
        <x:v>Reset only P2 to its marked start. Preserve the exact scene; change only the directional word and expected goal sector.</x:v>
      </x:c>
      <x:c r="O31" s="7" t="str">
        <x:f>'Evaluation Plan'!O31</x:f>
        <x:v>Exact-scene semantic counterfactual. Target and reference identities stay fixed while the requested endpoint reverses front↔behind or left↔right.</x:v>
      </x:c>
      <x:c r="P31" s="7" t="str">
        <x:f>IF(ISBLANK('Evaluation Plan'!P31),"",'Evaluation Plan'!P31)</x:f>
      </x:c>
    </x:row>
    <x:row r="32" ht="64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the green pen to the side immediately right of the red block.</x:v>
      </x:c>
      <x:c r="D32" s="7" t="str">
        <x:f>'Evaluation Plan'!D32</x:f>
        <x:v>P1 red block at R3 (5 cm right of center) [REFERENCE]; P2 green pen 21 cm to the left of P1 [TARGET START]; P3 pink marker 15 cm in front of P1 [DISTRACTOR]</x:v>
      </x:c>
      <x:c r="E32" s="8" t="n">
        <x:f>IF(ISBLANK('Evaluation Plan'!E32),"",'Evaluation Plan'!E32)</x:f>
        <x:v>28</x:v>
      </x:c>
      <x:c r="F32" s="8" t="str">
        <x:f>'Evaluation Plan'!F32</x:f>
        <x:v>green pen → 2–8 cm edge gap to the right of red block; centroid direction within ±45°</x:v>
      </x:c>
      <x:c r="G32" s="7"/>
      <x:c r="H32" s="8" t="str">
        <x:f>'Evaluation Plan'!H32</x:f>
        <x:v>Language robustness</x:v>
      </x:c>
      <x:c r="I32" s="8" t="str">
        <x:f>'Evaluation Plan'!I32</x:f>
        <x:v>RP-F08</x:v>
      </x:c>
      <x:c r="J32" s="8" t="str">
        <x:f>'Evaluation Plan'!J32</x:f>
        <x:v>right</x:v>
      </x:c>
      <x:c r="K32" s="8" t="n">
        <x:f>'Evaluation Plan'!K32</x:f>
        <x:v>3</x:v>
      </x:c>
      <x:c r="L32" s="8" t="str">
        <x:f>'Evaluation Plan'!L32</x:f>
        <x:v>3 — Exact-scene transfer paraphrase — Paraphrase of concept/compositional-transfer prompt</x:v>
      </x:c>
      <x:c r="M32" s="8" t="n">
        <x:f>'Evaluation Plan'!M32</x:f>
        <x:v>8</x:v>
      </x:c>
      <x:c r="N32" s="7" t="str">
        <x:f>'Evaluation Plan'!N32</x:f>
        <x:v>Reset only P2 to its marked start; change only the prompt wording.</x:v>
      </x:c>
      <x:c r="O32" s="7" t="str">
        <x:f>'Evaluation Plan'!O32</x:f>
        <x:v>Exact-scene language comparison for the held-out pair composition.</x:v>
      </x:c>
      <x:c r="P32" s="7" t="str">
        <x:f>IF(ISBLANK('Evaluation Plan'!P32),"",'Evaluation Plan'!P32)</x:f>
      </x:c>
    </x:row>
    <x:row r="33" ht="64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Place the green pen next to the red block.</x:v>
      </x:c>
      <x:c r="D33" s="7" t="str">
        <x:f>'Evaluation Plan'!D33</x:f>
        <x:v>P1 red block at R3 (5 cm right of center) [REFERENCE]; P2 green pen 21 cm to the left of P1 [TARGET START]; P3 pink marker 15 cm in front of P1 [DISTRACTOR]</x:v>
      </x:c>
      <x:c r="E33" s="8" t="n">
        <x:f>IF(ISBLANK('Evaluation Plan'!E33),"",'Evaluation Plan'!E33)</x:f>
        <x:v>28</x:v>
      </x:c>
      <x:c r="F33" s="8" t="str">
        <x:f>'Evaluation Plan'!F33</x:f>
        <x:v>green pen → 2–8 cm edge gap from red block (any direction)</x:v>
      </x:c>
      <x:c r="G33" s="7"/>
      <x:c r="H33" s="8" t="str">
        <x:f>'Evaluation Plan'!H33</x:f>
        <x:v>Matched manipulation control</x:v>
      </x:c>
      <x:c r="I33" s="8" t="str">
        <x:f>'Evaluation Plan'!I33</x:f>
        <x:v>RP-F08</x:v>
      </x:c>
      <x:c r="J33" s="8" t="str">
        <x:f>'Evaluation Plan'!J33</x:f>
        <x:v>near</x:v>
      </x:c>
      <x:c r="K33" s="8" t="n">
        <x:f>'Evaluation Plan'!K33</x:f>
        <x:v>3</x:v>
      </x:c>
      <x:c r="L33" s="8" t="str">
        <x:f>'Evaluation Plan'!L33</x:f>
        <x:v>4 — Matched control — Seen near/next-to/beside relation on the same ordered pair (3 objects)</x:v>
      </x:c>
      <x:c r="M33" s="8" t="n">
        <x:f>'Evaluation Plan'!M33</x:f>
        <x:v>8</x:v>
      </x:c>
      <x:c r="N33" s="7" t="str">
        <x:f>'Evaluation Plan'!N33</x:f>
        <x:v>Reset only P2 to its marked start. Keep every object, camera setting, and pose fixed; change only the prompt.</x:v>
      </x:c>
      <x:c r="O33" s="7" t="str">
        <x:f>'Evaluation Plan'!O33</x:f>
        <x:v>Controls target/reference recognition and basic pick-place on the exact pair. It is skill-matched but not direction-endpoint-matched, so analyze the paired success delta separately.</x:v>
      </x:c>
      <x:c r="P33" s="7" t="str">
        <x:f>IF(ISBLANK('Evaluation Plan'!P33),"",'Evaluation Plan'!P33)</x:f>
      </x:c>
    </x:row>
    <x:row r="34" ht="64" customHeight="1">
      <x:c r="A34" s="9" t="str">
        <x:v>Not collected</x:v>
      </x:c>
      <x:c r="B34" s="9" t="n">
        <x:f>'Evaluation Plan'!B34</x:f>
        <x:v>32</x:v>
      </x:c>
      <x:c r="C34" s="10" t="str">
        <x:f>'Evaluation Plan'!C34</x:f>
        <x:v>Put the green pen on the table in front of the red block.</x:v>
      </x:c>
      <x:c r="D34" s="10" t="str">
        <x:f>'Evaluation Plan'!D34</x:f>
        <x:v>P1 red block at R4 (5 cm toward the robot from center) [REFERENCE]; P2 green pen 24 cm behind P1 [TARGET START]; P3 pink marker 15 cm to the left of P1 [DISTRACTOR]</x:v>
      </x:c>
      <x:c r="E34" s="9" t="str">
        <x:f>IF(ISBLANK('Evaluation Plan'!E34),"",'Evaluation Plan'!E34)</x:f>
      </x:c>
      <x:c r="F34" s="9" t="str">
        <x:f>'Evaluation Plan'!F34</x:f>
        <x:v>green pen → 2–8 cm edge gap in front of red block; centroid direction within ±45°</x:v>
      </x:c>
      <x:c r="G34" s="10"/>
      <x:c r="H34" s="9" t="str">
        <x:f>'Evaluation Plan'!H34</x:f>
        <x:v>Concept/compositional transfer</x:v>
      </x:c>
      <x:c r="I34" s="9" t="str">
        <x:f>'Evaluation Plan'!I34</x:f>
        <x:v>RP-F09</x:v>
      </x:c>
      <x:c r="J34" s="9" t="str">
        <x:f>'Evaluation Plan'!J34</x:f>
        <x:v>front</x:v>
      </x:c>
      <x:c r="K34" s="9" t="n">
        <x:f>'Evaluation Plan'!K34</x:f>
        <x:v>3</x:v>
      </x:c>
      <x:c r="L34" s="9" t="str">
        <x:f>'Evaluation Plan'!L34</x:f>
        <x:v>1 — Canonical transfer — Held-out direction × green-pen/red-block pair (front)</x:v>
      </x:c>
      <x:c r="M34" s="9" t="n">
        <x:f>'Evaluation Plan'!M34</x:f>
        <x:v>9</x:v>
      </x:c>
      <x:c r="N34" s="10" t="str">
        <x:f>'Evaluation Plan'!N34</x:f>
        <x:v>Build the marked scene. Target starts in the opposite sector and outside the success gap; save a first-frame filename.</x:v>
      </x:c>
      <x:c r="O34" s="10" t="str">
        <x:f>'Evaluation Plan'!O34</x:f>
        <x:v>Directional language is trained on other object pairs, but all directional green-pen/red-block demonstrations are withheld in both target/reference directions.</x:v>
      </x:c>
      <x:c r="P34" s="10" t="str">
        <x:f>IF(ISBLANK('Evaluation Plan'!P34),"",'Evaluation Plan'!P34)</x:f>
      </x:c>
    </x:row>
    <x:row r="35" ht="64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Place the green pen behind the red block.</x:v>
      </x:c>
      <x:c r="D35" s="7" t="str">
        <x:f>'Evaluation Plan'!D35</x:f>
        <x:v>P1 red block at R4 (5 cm toward the robot from center) [REFERENCE]; P2 green pen 24 cm behind P1 [TARGET START]; P3 pink marker 15 cm to the left of P1 [DISTRACTOR]</x:v>
      </x:c>
      <x:c r="E35" s="8" t="n">
        <x:f>IF(ISBLANK('Evaluation Plan'!E35),"",'Evaluation Plan'!E35)</x:f>
        <x:v>32</x:v>
      </x:c>
      <x:c r="F35" s="8" t="str">
        <x:f>'Evaluation Plan'!F35</x:f>
        <x:v>green pen → 2–8 cm edge gap behind red block; centroid direction within ±45°</x:v>
      </x:c>
      <x:c r="G35" s="7"/>
      <x:c r="H35" s="8" t="str">
        <x:f>'Evaluation Plan'!H35</x:f>
        <x:v>Exact-scene opposite-direction contrast</x:v>
      </x:c>
      <x:c r="I35" s="8" t="str">
        <x:f>'Evaluation Plan'!I35</x:f>
        <x:v>RP-F09</x:v>
      </x:c>
      <x:c r="J35" s="8" t="str">
        <x:f>'Evaluation Plan'!J35</x:f>
        <x:v>behind</x:v>
      </x:c>
      <x:c r="K35" s="8" t="n">
        <x:f>'Evaluation Plan'!K35</x:f>
        <x:v>3</x:v>
      </x:c>
      <x:c r="L35" s="8" t="str">
        <x:f>'Evaluation Plan'!L35</x:f>
        <x:v>2 — Exact-scene opposite-direction contrast — Direction-word counterfactual (front→behind)</x:v>
      </x:c>
      <x:c r="M35" s="8" t="n">
        <x:f>'Evaluation Plan'!M35</x:f>
        <x:v>9</x:v>
      </x:c>
      <x:c r="N35" s="7" t="str">
        <x:f>'Evaluation Plan'!N35</x:f>
        <x:v>Reset only P2 to its marked start. Preserve the exact scene; change only the directional word and expected goal sector.</x:v>
      </x:c>
      <x:c r="O35" s="7" t="str">
        <x:f>'Evaluation Plan'!O35</x:f>
        <x:v>Exact-scene semantic counterfactual. Target and reference identities stay fixed while the requested endpoint reverses front↔behind or left↔right.</x:v>
      </x:c>
      <x:c r="P35" s="7" t="str">
        <x:f>IF(ISBLANK('Evaluation Plan'!P35),"",'Evaluation Plan'!P35)</x:f>
      </x:c>
    </x:row>
    <x:row r="36" ht="64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Move the green pen to the robot-facing side of the red block.</x:v>
      </x:c>
      <x:c r="D36" s="7" t="str">
        <x:f>'Evaluation Plan'!D36</x:f>
        <x:v>P1 red block at R4 (5 cm toward the robot from center) [REFERENCE]; P2 green pen 24 cm behind P1 [TARGET START]; P3 pink marker 15 cm to the left of P1 [DISTRACTOR]</x:v>
      </x:c>
      <x:c r="E36" s="8" t="n">
        <x:f>IF(ISBLANK('Evaluation Plan'!E36),"",'Evaluation Plan'!E36)</x:f>
        <x:v>32</x:v>
      </x:c>
      <x:c r="F36" s="8" t="str">
        <x:f>'Evaluation Plan'!F36</x:f>
        <x:v>green pen → 2–8 cm edge gap in front of red block; centroid direction within ±45°</x:v>
      </x:c>
      <x:c r="G36" s="7"/>
      <x:c r="H36" s="8" t="str">
        <x:f>'Evaluation Plan'!H36</x:f>
        <x:v>Language robustness</x:v>
      </x:c>
      <x:c r="I36" s="8" t="str">
        <x:f>'Evaluation Plan'!I36</x:f>
        <x:v>RP-F09</x:v>
      </x:c>
      <x:c r="J36" s="8" t="str">
        <x:f>'Evaluation Plan'!J36</x:f>
        <x:v>front</x:v>
      </x:c>
      <x:c r="K36" s="8" t="n">
        <x:f>'Evaluation Plan'!K36</x:f>
        <x:v>3</x:v>
      </x:c>
      <x:c r="L36" s="8" t="str">
        <x:f>'Evaluation Plan'!L36</x:f>
        <x:v>3 — Exact-scene transfer paraphrase — Paraphrase of concept/compositional-transfer prompt</x:v>
      </x:c>
      <x:c r="M36" s="8" t="n">
        <x:f>'Evaluation Plan'!M36</x:f>
        <x:v>9</x:v>
      </x:c>
      <x:c r="N36" s="7" t="str">
        <x:f>'Evaluation Plan'!N36</x:f>
        <x:v>Reset only P2 to its marked start; change only the prompt wording.</x:v>
      </x:c>
      <x:c r="O36" s="7" t="str">
        <x:f>'Evaluation Plan'!O36</x:f>
        <x:v>Exact-scene language comparison for the held-out pair composition.</x:v>
      </x:c>
      <x:c r="P36" s="7" t="str">
        <x:f>IF(ISBLANK('Evaluation Plan'!P36),"",'Evaluation Plan'!P36)</x:f>
      </x:c>
    </x:row>
    <x:row r="37" ht="64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Put the green pen beside the red block.</x:v>
      </x:c>
      <x:c r="D37" s="7" t="str">
        <x:f>'Evaluation Plan'!D37</x:f>
        <x:v>P1 red block at R4 (5 cm toward the robot from center) [REFERENCE]; P2 green pen 24 cm behind P1 [TARGET START]; P3 pink marker 15 cm to the left of P1 [DISTRACTOR]</x:v>
      </x:c>
      <x:c r="E37" s="8" t="n">
        <x:f>IF(ISBLANK('Evaluation Plan'!E37),"",'Evaluation Plan'!E37)</x:f>
        <x:v>32</x:v>
      </x:c>
      <x:c r="F37" s="8" t="str">
        <x:f>'Evaluation Plan'!F37</x:f>
        <x:v>green pen → 2–8 cm edge gap from red block (any direction)</x:v>
      </x:c>
      <x:c r="G37" s="7"/>
      <x:c r="H37" s="8" t="str">
        <x:f>'Evaluation Plan'!H37</x:f>
        <x:v>Matched manipulation control</x:v>
      </x:c>
      <x:c r="I37" s="8" t="str">
        <x:f>'Evaluation Plan'!I37</x:f>
        <x:v>RP-F09</x:v>
      </x:c>
      <x:c r="J37" s="8" t="str">
        <x:f>'Evaluation Plan'!J37</x:f>
        <x:v>near</x:v>
      </x:c>
      <x:c r="K37" s="8" t="n">
        <x:f>'Evaluation Plan'!K37</x:f>
        <x:v>3</x:v>
      </x:c>
      <x:c r="L37" s="8" t="str">
        <x:f>'Evaluation Plan'!L37</x:f>
        <x:v>4 — Matched control — Seen near/next-to/beside relation on the same ordered pair (3 objects)</x:v>
      </x:c>
      <x:c r="M37" s="8" t="n">
        <x:f>'Evaluation Plan'!M37</x:f>
        <x:v>9</x:v>
      </x:c>
      <x:c r="N37" s="7" t="str">
        <x:f>'Evaluation Plan'!N37</x:f>
        <x:v>Reset only P2 to its marked start. Keep every object, camera setting, and pose fixed; change only the prompt.</x:v>
      </x:c>
      <x:c r="O37" s="7" t="str">
        <x:f>'Evaluation Plan'!O37</x:f>
        <x:v>Controls target/reference recognition and basic pick-place on the exact pair. It is skill-matched but not direction-endpoint-matched, so analyze the paired success delta separately.</x:v>
      </x:c>
      <x:c r="P37" s="7" t="str">
        <x:f>IF(ISBLANK('Evaluation Plan'!P37),"",'Evaluation Plan'!P37)</x:f>
      </x:c>
    </x:row>
    <x:row r="38" ht="64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Place the red block behind the green pen.</x:v>
      </x:c>
      <x:c r="D38" s="10" t="str">
        <x:f>'Evaluation Plan'!D38</x:f>
        <x:v>P1 green pen at R5 (5 cm away from the robot from center) [REFERENCE]; P2 red block 18 cm in front of P1 [TARGET START]; P3 pink marker 15 cm to the left of P1 [DISTRACTOR]</x:v>
      </x:c>
      <x:c r="E38" s="9" t="str">
        <x:f>IF(ISBLANK('Evaluation Plan'!E38),"",'Evaluation Plan'!E38)</x:f>
      </x:c>
      <x:c r="F38" s="9" t="str">
        <x:f>'Evaluation Plan'!F38</x:f>
        <x:v>red block → 2–8 cm edge gap behind green pen; centroid direction within ±45°</x:v>
      </x:c>
      <x:c r="G38" s="10"/>
      <x:c r="H38" s="9" t="str">
        <x:f>'Evaluation Plan'!H38</x:f>
        <x:v>Concept/compositional transfer</x:v>
      </x:c>
      <x:c r="I38" s="9" t="str">
        <x:f>'Evaluation Plan'!I38</x:f>
        <x:v>RP-F10</x:v>
      </x:c>
      <x:c r="J38" s="9" t="str">
        <x:f>'Evaluation Plan'!J38</x:f>
        <x:v>behind</x:v>
      </x:c>
      <x:c r="K38" s="9" t="n">
        <x:f>'Evaluation Plan'!K38</x:f>
        <x:v>3</x:v>
      </x:c>
      <x:c r="L38" s="9" t="str">
        <x:f>'Evaluation Plan'!L38</x:f>
        <x:v>1 — Canonical transfer — Held-out direction × green-pen/red-block pair (behind)</x:v>
      </x:c>
      <x:c r="M38" s="9" t="n">
        <x:f>'Evaluation Plan'!M38</x:f>
        <x:v>10</x:v>
      </x:c>
      <x:c r="N38" s="10" t="str">
        <x:f>'Evaluation Plan'!N38</x:f>
        <x:v>Build the marked scene. Target starts in the opposite sector and outside the success gap; save a first-frame filename.</x:v>
      </x:c>
      <x:c r="O38" s="10" t="str">
        <x:f>'Evaluation Plan'!O38</x:f>
        <x:v>Directional language is trained on other object pairs, but all directional green-pen/red-block demonstrations are withheld in both target/reference directions.</x:v>
      </x:c>
      <x:c r="P38" s="10" t="str">
        <x:f>IF(ISBLANK('Evaluation Plan'!P38),"",'Evaluation Plan'!P38)</x:f>
      </x:c>
    </x:row>
    <x:row r="39" ht="64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Move the red block to the front of the green pen.</x:v>
      </x:c>
      <x:c r="D39" s="7" t="str">
        <x:f>'Evaluation Plan'!D39</x:f>
        <x:v>P1 green pen at R5 (5 cm away from the robot from center) [REFERENCE]; P2 red block 18 cm in front of P1 [TARGET START]; P3 pink marker 15 cm to the left of P1 [DISTRACTOR]</x:v>
      </x:c>
      <x:c r="E39" s="8" t="n">
        <x:f>IF(ISBLANK('Evaluation Plan'!E39),"",'Evaluation Plan'!E39)</x:f>
        <x:v>36</x:v>
      </x:c>
      <x:c r="F39" s="8" t="str">
        <x:f>'Evaluation Plan'!F39</x:f>
        <x:v>red block → 2–8 cm edge gap in front of green pen; centroid direction within ±45°</x:v>
      </x:c>
      <x:c r="G39" s="7"/>
      <x:c r="H39" s="8" t="str">
        <x:f>'Evaluation Plan'!H39</x:f>
        <x:v>Exact-scene opposite-direction contrast</x:v>
      </x:c>
      <x:c r="I39" s="8" t="str">
        <x:f>'Evaluation Plan'!I39</x:f>
        <x:v>RP-F10</x:v>
      </x:c>
      <x:c r="J39" s="8" t="str">
        <x:f>'Evaluation Plan'!J39</x:f>
        <x:v>front</x:v>
      </x:c>
      <x:c r="K39" s="8" t="n">
        <x:f>'Evaluation Plan'!K39</x:f>
        <x:v>3</x:v>
      </x:c>
      <x:c r="L39" s="8" t="str">
        <x:f>'Evaluation Plan'!L39</x:f>
        <x:v>2 — Exact-scene opposite-direction contrast — Direction-word counterfactual (behind→front)</x:v>
      </x:c>
      <x:c r="M39" s="8" t="n">
        <x:f>'Evaluation Plan'!M39</x:f>
        <x:v>10</x:v>
      </x:c>
      <x:c r="N39" s="7" t="str">
        <x:f>'Evaluation Plan'!N39</x:f>
        <x:v>Reset only P2 to its marked start. Preserve the exact scene; change only the directional word and expected goal sector.</x:v>
      </x:c>
      <x:c r="O39" s="7" t="str">
        <x:f>'Evaluation Plan'!O39</x:f>
        <x:v>Exact-scene semantic counterfactual. Target and reference identities stay fixed while the requested endpoint reverses front↔behind or left↔right.</x:v>
      </x:c>
      <x:c r="P39" s="7" t="str">
        <x:f>IF(ISBLANK('Evaluation Plan'!P39),"",'Evaluation Plan'!P39)</x:f>
      </x:c>
    </x:row>
    <x:row r="40" ht="64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the red block to the rear side of the green pen.</x:v>
      </x:c>
      <x:c r="D40" s="7" t="str">
        <x:f>'Evaluation Plan'!D40</x:f>
        <x:v>P1 green pen at R5 (5 cm away from the robot from center) [REFERENCE]; P2 red block 18 cm in front of P1 [TARGET START]; P3 pink marker 15 cm to the left of P1 [DISTRACTOR]</x:v>
      </x:c>
      <x:c r="E40" s="8" t="n">
        <x:f>IF(ISBLANK('Evaluation Plan'!E40),"",'Evaluation Plan'!E40)</x:f>
        <x:v>36</x:v>
      </x:c>
      <x:c r="F40" s="8" t="str">
        <x:f>'Evaluation Plan'!F40</x:f>
        <x:v>red block → 2–8 cm edge gap behind green pen; centroid direction within ±45°</x:v>
      </x:c>
      <x:c r="G40" s="7"/>
      <x:c r="H40" s="8" t="str">
        <x:f>'Evaluation Plan'!H40</x:f>
        <x:v>Language robustness</x:v>
      </x:c>
      <x:c r="I40" s="8" t="str">
        <x:f>'Evaluation Plan'!I40</x:f>
        <x:v>RP-F10</x:v>
      </x:c>
      <x:c r="J40" s="8" t="str">
        <x:f>'Evaluation Plan'!J40</x:f>
        <x:v>behind</x:v>
      </x:c>
      <x:c r="K40" s="8" t="n">
        <x:f>'Evaluation Plan'!K40</x:f>
        <x:v>3</x:v>
      </x:c>
      <x:c r="L40" s="8" t="str">
        <x:f>'Evaluation Plan'!L40</x:f>
        <x:v>3 — Exact-scene transfer paraphrase — Paraphrase of concept/compositional-transfer prompt</x:v>
      </x:c>
      <x:c r="M40" s="8" t="n">
        <x:f>'Evaluation Plan'!M40</x:f>
        <x:v>10</x:v>
      </x:c>
      <x:c r="N40" s="7" t="str">
        <x:f>'Evaluation Plan'!N40</x:f>
        <x:v>Reset only P2 to its marked start; change only the prompt wording.</x:v>
      </x:c>
      <x:c r="O40" s="7" t="str">
        <x:f>'Evaluation Plan'!O40</x:f>
        <x:v>Exact-scene language comparison for the held-out pair composition.</x:v>
      </x:c>
      <x:c r="P40" s="7" t="str">
        <x:f>IF(ISBLANK('Evaluation Plan'!P40),"",'Evaluation Plan'!P40)</x:f>
      </x:c>
    </x:row>
    <x:row r="41" ht="64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Move the red block near the green pen.</x:v>
      </x:c>
      <x:c r="D41" s="7" t="str">
        <x:f>'Evaluation Plan'!D41</x:f>
        <x:v>P1 green pen at R5 (5 cm away from the robot from center) [REFERENCE]; P2 red block 18 cm in front of P1 [TARGET START]; P3 pink marker 15 cm to the left of P1 [DISTRACTOR]</x:v>
      </x:c>
      <x:c r="E41" s="8" t="n">
        <x:f>IF(ISBLANK('Evaluation Plan'!E41),"",'Evaluation Plan'!E41)</x:f>
        <x:v>36</x:v>
      </x:c>
      <x:c r="F41" s="8" t="str">
        <x:f>'Evaluation Plan'!F41</x:f>
        <x:v>red block → 2–8 cm edge gap from green pen (any direction)</x:v>
      </x:c>
      <x:c r="G41" s="7"/>
      <x:c r="H41" s="8" t="str">
        <x:f>'Evaluation Plan'!H41</x:f>
        <x:v>Matched manipulation control</x:v>
      </x:c>
      <x:c r="I41" s="8" t="str">
        <x:f>'Evaluation Plan'!I41</x:f>
        <x:v>RP-F10</x:v>
      </x:c>
      <x:c r="J41" s="8" t="str">
        <x:f>'Evaluation Plan'!J41</x:f>
        <x:v>near</x:v>
      </x:c>
      <x:c r="K41" s="8" t="n">
        <x:f>'Evaluation Plan'!K41</x:f>
        <x:v>3</x:v>
      </x:c>
      <x:c r="L41" s="8" t="str">
        <x:f>'Evaluation Plan'!L41</x:f>
        <x:v>4 — Matched control — Seen near/next-to/beside relation on the same ordered pair (3 objects)</x:v>
      </x:c>
      <x:c r="M41" s="8" t="n">
        <x:f>'Evaluation Plan'!M41</x:f>
        <x:v>10</x:v>
      </x:c>
      <x:c r="N41" s="7" t="str">
        <x:f>'Evaluation Plan'!N41</x:f>
        <x:v>Reset only P2 to its marked start. Keep every object, camera setting, and pose fixed; change only the prompt.</x:v>
      </x:c>
      <x:c r="O41" s="7" t="str">
        <x:f>'Evaluation Plan'!O41</x:f>
        <x:v>Controls target/reference recognition and basic pick-place on the exact pair. It is skill-matched but not direction-endpoint-matched, so analyze the paired success delta separately.</x:v>
      </x:c>
      <x:c r="P41" s="7" t="str">
        <x:f>IF(ISBLANK('Evaluation Plan'!P41),"",'Evaluation Plan'!P41)</x:f>
      </x:c>
    </x:row>
    <x:row r="42" ht="64" customHeight="1">
      <x:c r="A42" s="9" t="str">
        <x:v>Not collected</x:v>
      </x:c>
      <x:c r="B42" s="9" t="n">
        <x:f>'Evaluation Plan'!B42</x:f>
        <x:v>40</x:v>
      </x:c>
      <x:c r="C42" s="10" t="str">
        <x:f>'Evaluation Plan'!C42</x:f>
        <x:v>Place the green pen to the left of the red block.</x:v>
      </x:c>
      <x:c r="D42" s="10" t="str">
        <x:f>'Evaluation Plan'!D42</x:f>
        <x:v>P1 red block at R1 (table center) [REFERENCE]; P2 green pen 21 cm to the right of P1 [TARGET START]; P3 pink marker 15 cm in front of P1 [DISTRACTOR]; P4 blue block 15 cm behind P1 [DISTRACTOR]</x:v>
      </x:c>
      <x:c r="E42" s="9" t="str">
        <x:f>IF(ISBLANK('Evaluation Plan'!E42),"",'Evaluation Plan'!E42)</x:f>
      </x:c>
      <x:c r="F42" s="9" t="str">
        <x:f>'Evaluation Plan'!F42</x:f>
        <x:v>green pen → 2–8 cm edge gap to the left of red block; centroid direction within ±45°</x:v>
      </x:c>
      <x:c r="G42" s="10"/>
      <x:c r="H42" s="9" t="str">
        <x:f>'Evaluation Plan'!H42</x:f>
        <x:v>Concept/compositional transfer</x:v>
      </x:c>
      <x:c r="I42" s="9" t="str">
        <x:f>'Evaluation Plan'!I42</x:f>
        <x:v>RP-F11</x:v>
      </x:c>
      <x:c r="J42" s="9" t="str">
        <x:f>'Evaluation Plan'!J42</x:f>
        <x:v>left</x:v>
      </x:c>
      <x:c r="K42" s="9" t="n">
        <x:f>'Evaluation Plan'!K42</x:f>
        <x:v>4</x:v>
      </x:c>
      <x:c r="L42" s="9" t="str">
        <x:f>'Evaluation Plan'!L42</x:f>
        <x:v>1 — Canonical transfer — Held-out direction × green-pen/red-block pair (left)</x:v>
      </x:c>
      <x:c r="M42" s="9" t="n">
        <x:f>'Evaluation Plan'!M42</x:f>
        <x:v>11</x:v>
      </x:c>
      <x:c r="N42" s="10" t="str">
        <x:f>'Evaluation Plan'!N42</x:f>
        <x:v>Build the marked scene. Target starts in the opposite sector and outside the success gap; save a first-frame filename.</x:v>
      </x:c>
      <x:c r="O42" s="10" t="str">
        <x:f>'Evaluation Plan'!O42</x:f>
        <x:v>Directional language is trained on other object pairs, but all directional green-pen/red-block demonstrations are withheld in both target/reference directions.</x:v>
      </x:c>
      <x:c r="P42" s="10" t="str">
        <x:f>IF(ISBLANK('Evaluation Plan'!P42),"",'Evaluation Plan'!P42)</x:f>
      </x:c>
    </x:row>
    <x:row r="43" ht="64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Place the green pen to the right of the red block.</x:v>
      </x:c>
      <x:c r="D43" s="7" t="str">
        <x:f>'Evaluation Plan'!D43</x:f>
        <x:v>P1 red block at R1 (table center) [REFERENCE]; P2 green pen 21 cm to the right of P1 [TARGET START]; P3 pink marker 15 cm in front of P1 [DISTRACTOR]; P4 blue block 15 cm behind P1 [DISTRACTOR]</x:v>
      </x:c>
      <x:c r="E43" s="8" t="n">
        <x:f>IF(ISBLANK('Evaluation Plan'!E43),"",'Evaluation Plan'!E43)</x:f>
        <x:v>40</x:v>
      </x:c>
      <x:c r="F43" s="8" t="str">
        <x:f>'Evaluation Plan'!F43</x:f>
        <x:v>green pen → 2–8 cm edge gap to the right of red block; centroid direction within ±45°</x:v>
      </x:c>
      <x:c r="G43" s="7"/>
      <x:c r="H43" s="8" t="str">
        <x:f>'Evaluation Plan'!H43</x:f>
        <x:v>Exact-scene opposite-direction contrast</x:v>
      </x:c>
      <x:c r="I43" s="8" t="str">
        <x:f>'Evaluation Plan'!I43</x:f>
        <x:v>RP-F11</x:v>
      </x:c>
      <x:c r="J43" s="8" t="str">
        <x:f>'Evaluation Plan'!J43</x:f>
        <x:v>right</x:v>
      </x:c>
      <x:c r="K43" s="8" t="n">
        <x:f>'Evaluation Plan'!K43</x:f>
        <x:v>4</x:v>
      </x:c>
      <x:c r="L43" s="8" t="str">
        <x:f>'Evaluation Plan'!L43</x:f>
        <x:v>2 — Exact-scene opposite-direction contrast — Direction-word counterfactual (left→right)</x:v>
      </x:c>
      <x:c r="M43" s="8" t="n">
        <x:f>'Evaluation Plan'!M43</x:f>
        <x:v>11</x:v>
      </x:c>
      <x:c r="N43" s="7" t="str">
        <x:f>'Evaluation Plan'!N43</x:f>
        <x:v>Reset only P2 to its marked start. Preserve the exact scene; change only the directional word and expected goal sector.</x:v>
      </x:c>
      <x:c r="O43" s="7" t="str">
        <x:f>'Evaluation Plan'!O43</x:f>
        <x:v>Exact-scene semantic counterfactual. Target and reference identities stay fixed while the requested endpoint reverses front↔behind or left↔right.</x:v>
      </x:c>
      <x:c r="P43" s="7" t="str">
        <x:f>IF(ISBLANK('Evaluation Plan'!P43),"",'Evaluation Plan'!P43)</x:f>
      </x:c>
    </x:row>
    <x:row r="44" ht="64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Place the green pen next to the red block.</x:v>
      </x:c>
      <x:c r="D44" s="7" t="str">
        <x:f>'Evaluation Plan'!D44</x:f>
        <x:v>P1 red block at R1 (table center) [REFERENCE]; P2 green pen 21 cm to the right of P1 [TARGET START]; P3 pink marker 15 cm in front of P1 [DISTRACTOR]; P4 blue block 15 cm behind P1 [DISTRACTOR]</x:v>
      </x:c>
      <x:c r="E44" s="8" t="n">
        <x:f>IF(ISBLANK('Evaluation Plan'!E44),"",'Evaluation Plan'!E44)</x:f>
        <x:v>40</x:v>
      </x:c>
      <x:c r="F44" s="8" t="str">
        <x:f>'Evaluation Plan'!F44</x:f>
        <x:v>green pen → 2–8 cm edge gap from red block (any direction)</x:v>
      </x:c>
      <x:c r="G44" s="7"/>
      <x:c r="H44" s="8" t="str">
        <x:f>'Evaluation Plan'!H44</x:f>
        <x:v>Matched manipulation control</x:v>
      </x:c>
      <x:c r="I44" s="8" t="str">
        <x:f>'Evaluation Plan'!I44</x:f>
        <x:v>RP-F11</x:v>
      </x:c>
      <x:c r="J44" s="8" t="str">
        <x:f>'Evaluation Plan'!J44</x:f>
        <x:v>near</x:v>
      </x:c>
      <x:c r="K44" s="8" t="n">
        <x:f>'Evaluation Plan'!K44</x:f>
        <x:v>4</x:v>
      </x:c>
      <x:c r="L44" s="8" t="str">
        <x:f>'Evaluation Plan'!L44</x:f>
        <x:v>3 — Matched control — Seen near/next-to/beside relation on the same ordered pair (4 objects)</x:v>
      </x:c>
      <x:c r="M44" s="8" t="n">
        <x:f>'Evaluation Plan'!M44</x:f>
        <x:v>11</x:v>
      </x:c>
      <x:c r="N44" s="7" t="str">
        <x:f>'Evaluation Plan'!N44</x:f>
        <x:v>Reset only P2 to its marked start. Keep every object, camera setting, and pose fixed; change only the prompt.</x:v>
      </x:c>
      <x:c r="O44" s="7" t="str">
        <x:f>'Evaluation Plan'!O44</x:f>
        <x:v>Controls target/reference recognition and basic pick-place on the exact pair. It is skill-matched but not direction-endpoint-matched, so analyze the paired success delta separately.</x:v>
      </x:c>
      <x:c r="P44" s="7" t="str">
        <x:f>IF(ISBLANK('Evaluation Plan'!P44),"",'Evaluation Plan'!P44)</x:f>
      </x:c>
    </x:row>
    <x:row r="45" ht="64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Position the green pen adjacent to the red block.</x:v>
      </x:c>
      <x:c r="D45" s="7" t="str">
        <x:f>'Evaluation Plan'!D45</x:f>
        <x:v>P1 red block at R1 (table center) [REFERENCE]; P2 green pen 21 cm to the right of P1 [TARGET START]; P3 pink marker 15 cm in front of P1 [DISTRACTOR]; P4 blue block 15 cm behind P1 [DISTRACTOR]</x:v>
      </x:c>
      <x:c r="E45" s="8" t="n">
        <x:f>IF(ISBLANK('Evaluation Plan'!E45),"",'Evaluation Plan'!E45)</x:f>
        <x:v>42</x:v>
      </x:c>
      <x:c r="F45" s="8" t="str">
        <x:f>'Evaluation Plan'!F45</x:f>
        <x:v>green pen → 2–8 cm edge gap from red block (any direction)</x:v>
      </x:c>
      <x:c r="G45" s="7"/>
      <x:c r="H45" s="8" t="str">
        <x:f>'Evaluation Plan'!H45</x:f>
        <x:v>Language robustness</x:v>
      </x:c>
      <x:c r="I45" s="8" t="str">
        <x:f>'Evaluation Plan'!I45</x:f>
        <x:v>RP-F11</x:v>
      </x:c>
      <x:c r="J45" s="8" t="str">
        <x:f>'Evaluation Plan'!J45</x:f>
        <x:v>near</x:v>
      </x:c>
      <x:c r="K45" s="8" t="n">
        <x:f>'Evaluation Plan'!K45</x:f>
        <x:v>4</x:v>
      </x:c>
      <x:c r="L45" s="8" t="str">
        <x:f>'Evaluation Plan'!L45</x:f>
        <x:v>4 — Exact-scene control paraphrase — Paraphrase of matched-control prompt</x:v>
      </x:c>
      <x:c r="M45" s="8" t="n">
        <x:f>'Evaluation Plan'!M45</x:f>
        <x:v>11</x:v>
      </x:c>
      <x:c r="N45" s="7" t="str">
        <x:f>'Evaluation Plan'!N45</x:f>
        <x:v>Reset only P2 to its marked start; change only the prompt wording.</x:v>
      </x:c>
      <x:c r="O45" s="7" t="str">
        <x:f>'Evaluation Plan'!O45</x:f>
        <x:v>Exact-scene language comparison for the seen near relation.</x:v>
      </x:c>
      <x:c r="P45" s="7" t="str">
        <x:f>IF(ISBLANK('Evaluation Plan'!P45),"",'Evaluation Plan'!P45)</x:f>
      </x:c>
    </x:row>
    <x:row r="46" ht="64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Place the red block to the right of the green pen.</x:v>
      </x:c>
      <x:c r="D46" s="10" t="str">
        <x:f>'Evaluation Plan'!D46</x:f>
        <x:v>P1 green pen at R2 (5 cm left of center) [REFERENCE]; P2 red block 24 cm to the left of P1 [TARGET START]; P3 pink marker 15 cm in front of P1 [DISTRACTOR]; P4 blue block 15 cm behind P1 [DISTRACTOR]</x:v>
      </x:c>
      <x:c r="E46" s="9" t="str">
        <x:f>IF(ISBLANK('Evaluation Plan'!E46),"",'Evaluation Plan'!E46)</x:f>
      </x:c>
      <x:c r="F46" s="9" t="str">
        <x:f>'Evaluation Plan'!F46</x:f>
        <x:v>red block → 2–8 cm edge gap to the right of green pen; centroid direction within ±45°</x:v>
      </x:c>
      <x:c r="G46" s="10"/>
      <x:c r="H46" s="9" t="str">
        <x:f>'Evaluation Plan'!H46</x:f>
        <x:v>Concept/compositional transfer</x:v>
      </x:c>
      <x:c r="I46" s="9" t="str">
        <x:f>'Evaluation Plan'!I46</x:f>
        <x:v>RP-F12</x:v>
      </x:c>
      <x:c r="J46" s="9" t="str">
        <x:f>'Evaluation Plan'!J46</x:f>
        <x:v>right</x:v>
      </x:c>
      <x:c r="K46" s="9" t="n">
        <x:f>'Evaluation Plan'!K46</x:f>
        <x:v>4</x:v>
      </x:c>
      <x:c r="L46" s="9" t="str">
        <x:f>'Evaluation Plan'!L46</x:f>
        <x:v>1 — Canonical transfer — Held-out direction × green-pen/red-block pair (right)</x:v>
      </x:c>
      <x:c r="M46" s="9" t="n">
        <x:f>'Evaluation Plan'!M46</x:f>
        <x:v>12</x:v>
      </x:c>
      <x:c r="N46" s="10" t="str">
        <x:f>'Evaluation Plan'!N46</x:f>
        <x:v>Build the marked scene. Target starts in the opposite sector and outside the success gap; save a first-frame filename.</x:v>
      </x:c>
      <x:c r="O46" s="10" t="str">
        <x:f>'Evaluation Plan'!O46</x:f>
        <x:v>Directional language is trained on other object pairs, but all directional green-pen/red-block demonstrations are withheld in both target/reference directions.</x:v>
      </x:c>
      <x:c r="P46" s="10" t="str">
        <x:f>IF(ISBLANK('Evaluation Plan'!P46),"",'Evaluation Plan'!P46)</x:f>
      </x:c>
    </x:row>
    <x:row r="47" ht="64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Place the red block to the left of the green pen.</x:v>
      </x:c>
      <x:c r="D47" s="7" t="str">
        <x:f>'Evaluation Plan'!D47</x:f>
        <x:v>P1 green pen at R2 (5 cm left of center) [REFERENCE]; P2 red block 24 cm to the left of P1 [TARGET START]; P3 pink marker 15 cm in front of P1 [DISTRACTOR]; P4 blue block 15 cm behind P1 [DISTRACTOR]</x:v>
      </x:c>
      <x:c r="E47" s="8" t="n">
        <x:f>IF(ISBLANK('Evaluation Plan'!E47),"",'Evaluation Plan'!E47)</x:f>
        <x:v>44</x:v>
      </x:c>
      <x:c r="F47" s="8" t="str">
        <x:f>'Evaluation Plan'!F47</x:f>
        <x:v>red block → 2–8 cm edge gap to the left of green pen; centroid direction within ±45°</x:v>
      </x:c>
      <x:c r="G47" s="7"/>
      <x:c r="H47" s="8" t="str">
        <x:f>'Evaluation Plan'!H47</x:f>
        <x:v>Exact-scene opposite-direction contrast</x:v>
      </x:c>
      <x:c r="I47" s="8" t="str">
        <x:f>'Evaluation Plan'!I47</x:f>
        <x:v>RP-F12</x:v>
      </x:c>
      <x:c r="J47" s="8" t="str">
        <x:f>'Evaluation Plan'!J47</x:f>
        <x:v>left</x:v>
      </x:c>
      <x:c r="K47" s="8" t="n">
        <x:f>'Evaluation Plan'!K47</x:f>
        <x:v>4</x:v>
      </x:c>
      <x:c r="L47" s="8" t="str">
        <x:f>'Evaluation Plan'!L47</x:f>
        <x:v>2 — Exact-scene opposite-direction contrast — Direction-word counterfactual (right→left)</x:v>
      </x:c>
      <x:c r="M47" s="8" t="n">
        <x:f>'Evaluation Plan'!M47</x:f>
        <x:v>12</x:v>
      </x:c>
      <x:c r="N47" s="7" t="str">
        <x:f>'Evaluation Plan'!N47</x:f>
        <x:v>Reset only P2 to its marked start. Preserve the exact scene; change only the directional word and expected goal sector.</x:v>
      </x:c>
      <x:c r="O47" s="7" t="str">
        <x:f>'Evaluation Plan'!O47</x:f>
        <x:v>Exact-scene semantic counterfactual. Target and reference identities stay fixed while the requested endpoint reverses front↔behind or left↔right.</x:v>
      </x:c>
      <x:c r="P47" s="7" t="str">
        <x:f>IF(ISBLANK('Evaluation Plan'!P47),"",'Evaluation Plan'!P47)</x:f>
      </x:c>
    </x:row>
    <x:row r="48" ht="64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red block beside the green pen.</x:v>
      </x:c>
      <x:c r="D48" s="7" t="str">
        <x:f>'Evaluation Plan'!D48</x:f>
        <x:v>P1 green pen at R2 (5 cm left of center) [REFERENCE]; P2 red block 24 cm to the left of P1 [TARGET START]; P3 pink marker 15 cm in front of P1 [DISTRACTOR]; P4 blue block 15 cm behind P1 [DISTRACTOR]</x:v>
      </x:c>
      <x:c r="E48" s="8" t="n">
        <x:f>IF(ISBLANK('Evaluation Plan'!E48),"",'Evaluation Plan'!E48)</x:f>
        <x:v>44</x:v>
      </x:c>
      <x:c r="F48" s="8" t="str">
        <x:f>'Evaluation Plan'!F48</x:f>
        <x:v>red block → 2–8 cm edge gap from green pen (any direction)</x:v>
      </x:c>
      <x:c r="G48" s="7"/>
      <x:c r="H48" s="8" t="str">
        <x:f>'Evaluation Plan'!H48</x:f>
        <x:v>Matched manipulation control</x:v>
      </x:c>
      <x:c r="I48" s="8" t="str">
        <x:f>'Evaluation Plan'!I48</x:f>
        <x:v>RP-F12</x:v>
      </x:c>
      <x:c r="J48" s="8" t="str">
        <x:f>'Evaluation Plan'!J48</x:f>
        <x:v>near</x:v>
      </x:c>
      <x:c r="K48" s="8" t="n">
        <x:f>'Evaluation Plan'!K48</x:f>
        <x:v>4</x:v>
      </x:c>
      <x:c r="L48" s="8" t="str">
        <x:f>'Evaluation Plan'!L48</x:f>
        <x:v>3 — Matched control — Seen near/next-to/beside relation on the same ordered pair (4 objects)</x:v>
      </x:c>
      <x:c r="M48" s="8" t="n">
        <x:f>'Evaluation Plan'!M48</x:f>
        <x:v>12</x:v>
      </x:c>
      <x:c r="N48" s="7" t="str">
        <x:f>'Evaluation Plan'!N48</x:f>
        <x:v>Reset only P2 to its marked start. Keep every object, camera setting, and pose fixed; change only the prompt.</x:v>
      </x:c>
      <x:c r="O48" s="7" t="str">
        <x:f>'Evaluation Plan'!O48</x:f>
        <x:v>Controls target/reference recognition and basic pick-place on the exact pair. It is skill-matched but not direction-endpoint-matched, so analyze the paired success delta separately.</x:v>
      </x:c>
      <x:c r="P48" s="7" t="str">
        <x:f>IF(ISBLANK('Evaluation Plan'!P48),"",'Evaluation Plan'!P48)</x:f>
      </x:c>
    </x:row>
    <x:row r="49" ht="64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Put the red block close to the green pen.</x:v>
      </x:c>
      <x:c r="D49" s="7" t="str">
        <x:f>'Evaluation Plan'!D49</x:f>
        <x:v>P1 green pen at R2 (5 cm left of center) [REFERENCE]; P2 red block 24 cm to the left of P1 [TARGET START]; P3 pink marker 15 cm in front of P1 [DISTRACTOR]; P4 blue block 15 cm behind P1 [DISTRACTOR]</x:v>
      </x:c>
      <x:c r="E49" s="8" t="n">
        <x:f>IF(ISBLANK('Evaluation Plan'!E49),"",'Evaluation Plan'!E49)</x:f>
        <x:v>46</x:v>
      </x:c>
      <x:c r="F49" s="8" t="str">
        <x:f>'Evaluation Plan'!F49</x:f>
        <x:v>red block → 2–8 cm edge gap from green pen (any direction)</x:v>
      </x:c>
      <x:c r="G49" s="7"/>
      <x:c r="H49" s="8" t="str">
        <x:f>'Evaluation Plan'!H49</x:f>
        <x:v>Language robustness</x:v>
      </x:c>
      <x:c r="I49" s="8" t="str">
        <x:f>'Evaluation Plan'!I49</x:f>
        <x:v>RP-F12</x:v>
      </x:c>
      <x:c r="J49" s="8" t="str">
        <x:f>'Evaluation Plan'!J49</x:f>
        <x:v>near</x:v>
      </x:c>
      <x:c r="K49" s="8" t="n">
        <x:f>'Evaluation Plan'!K49</x:f>
        <x:v>4</x:v>
      </x:c>
      <x:c r="L49" s="8" t="str">
        <x:f>'Evaluation Plan'!L49</x:f>
        <x:v>4 — Exact-scene control paraphrase — Paraphrase of matched-control prompt</x:v>
      </x:c>
      <x:c r="M49" s="8" t="n">
        <x:f>'Evaluation Plan'!M49</x:f>
        <x:v>12</x:v>
      </x:c>
      <x:c r="N49" s="7" t="str">
        <x:f>'Evaluation Plan'!N49</x:f>
        <x:v>Reset only P2 to its marked start; change only the prompt wording.</x:v>
      </x:c>
      <x:c r="O49" s="7" t="str">
        <x:f>'Evaluation Plan'!O49</x:f>
        <x:v>Exact-scene language comparison for the seen near relation.</x:v>
      </x:c>
      <x:c r="P49" s="7" t="str">
        <x:f>IF(ISBLANK('Evaluation Plan'!P49),"",'Evaluation Plan'!P49)</x:f>
      </x:c>
    </x:row>
    <x:row r="50" ht="64" customHeight="1">
      <x:c r="A50" s="9" t="str">
        <x:v>Not collected</x:v>
      </x:c>
      <x:c r="B50" s="9" t="n">
        <x:f>'Evaluation Plan'!B50</x:f>
        <x:v>48</x:v>
      </x:c>
      <x:c r="C50" s="10" t="str">
        <x:f>'Evaluation Plan'!C50</x:f>
        <x:v>Place the red block in front of the green pen.</x:v>
      </x:c>
      <x:c r="D50" s="10" t="str">
        <x:f>'Evaluation Plan'!D50</x:f>
        <x:v>P1 green pen at R3 (5 cm right of center) [REFERENCE]; P2 red block 18 cm behind P1 [TARGET START]; P3 pink marker 15 cm to the left of P1 [DISTRACTOR]; P4 blue block 15 cm to the right of P1 [DISTRACTOR]</x:v>
      </x:c>
      <x:c r="E50" s="9" t="str">
        <x:f>IF(ISBLANK('Evaluation Plan'!E50),"",'Evaluation Plan'!E50)</x:f>
      </x:c>
      <x:c r="F50" s="9" t="str">
        <x:f>'Evaluation Plan'!F50</x:f>
        <x:v>red block → 2–8 cm edge gap in front of green pen; centroid direction within ±45°</x:v>
      </x:c>
      <x:c r="G50" s="10"/>
      <x:c r="H50" s="9" t="str">
        <x:f>'Evaluation Plan'!H50</x:f>
        <x:v>Concept/compositional transfer</x:v>
      </x:c>
      <x:c r="I50" s="9" t="str">
        <x:f>'Evaluation Plan'!I50</x:f>
        <x:v>RP-F13</x:v>
      </x:c>
      <x:c r="J50" s="9" t="str">
        <x:f>'Evaluation Plan'!J50</x:f>
        <x:v>front</x:v>
      </x:c>
      <x:c r="K50" s="9" t="n">
        <x:f>'Evaluation Plan'!K50</x:f>
        <x:v>4</x:v>
      </x:c>
      <x:c r="L50" s="9" t="str">
        <x:f>'Evaluation Plan'!L50</x:f>
        <x:v>1 — Canonical transfer — Held-out direction × green-pen/red-block pair (front)</x:v>
      </x:c>
      <x:c r="M50" s="9" t="n">
        <x:f>'Evaluation Plan'!M50</x:f>
        <x:v>13</x:v>
      </x:c>
      <x:c r="N50" s="10" t="str">
        <x:f>'Evaluation Plan'!N50</x:f>
        <x:v>Build the marked scene. Target starts in the opposite sector and outside the success gap; save a first-frame filename.</x:v>
      </x:c>
      <x:c r="O50" s="10" t="str">
        <x:f>'Evaluation Plan'!O50</x:f>
        <x:v>Directional language is trained on other object pairs, but all directional green-pen/red-block demonstrations are withheld in both target/reference directions.</x:v>
      </x:c>
      <x:c r="P50" s="10" t="str">
        <x:f>IF(ISBLANK('Evaluation Plan'!P50),"",'Evaluation Plan'!P50)</x:f>
      </x:c>
    </x:row>
    <x:row r="51" ht="64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Move the red block to the back of the green pen.</x:v>
      </x:c>
      <x:c r="D51" s="7" t="str">
        <x:f>'Evaluation Plan'!D51</x:f>
        <x:v>P1 green pen at R3 (5 cm right of center) [REFERENCE]; P2 red block 18 cm behind P1 [TARGET START]; P3 pink marker 15 cm to the left of P1 [DISTRACTOR]; P4 blue block 15 cm to the right of P1 [DISTRACTOR]</x:v>
      </x:c>
      <x:c r="E51" s="8" t="n">
        <x:f>IF(ISBLANK('Evaluation Plan'!E51),"",'Evaluation Plan'!E51)</x:f>
        <x:v>48</x:v>
      </x:c>
      <x:c r="F51" s="8" t="str">
        <x:f>'Evaluation Plan'!F51</x:f>
        <x:v>red block → 2–8 cm edge gap behind green pen; centroid direction within ±45°</x:v>
      </x:c>
      <x:c r="G51" s="7"/>
      <x:c r="H51" s="8" t="str">
        <x:f>'Evaluation Plan'!H51</x:f>
        <x:v>Exact-scene opposite-direction contrast</x:v>
      </x:c>
      <x:c r="I51" s="8" t="str">
        <x:f>'Evaluation Plan'!I51</x:f>
        <x:v>RP-F13</x:v>
      </x:c>
      <x:c r="J51" s="8" t="str">
        <x:f>'Evaluation Plan'!J51</x:f>
        <x:v>behind</x:v>
      </x:c>
      <x:c r="K51" s="8" t="n">
        <x:f>'Evaluation Plan'!K51</x:f>
        <x:v>4</x:v>
      </x:c>
      <x:c r="L51" s="8" t="str">
        <x:f>'Evaluation Plan'!L51</x:f>
        <x:v>2 — Exact-scene opposite-direction contrast — Direction-word counterfactual (front→behind)</x:v>
      </x:c>
      <x:c r="M51" s="8" t="n">
        <x:f>'Evaluation Plan'!M51</x:f>
        <x:v>13</x:v>
      </x:c>
      <x:c r="N51" s="7" t="str">
        <x:f>'Evaluation Plan'!N51</x:f>
        <x:v>Reset only P2 to its marked start. Preserve the exact scene; change only the directional word and expected goal sector.</x:v>
      </x:c>
      <x:c r="O51" s="7" t="str">
        <x:f>'Evaluation Plan'!O51</x:f>
        <x:v>Exact-scene semantic counterfactual. Target and reference identities stay fixed while the requested endpoint reverses front↔behind or left↔right.</x:v>
      </x:c>
      <x:c r="P51" s="7" t="str">
        <x:f>IF(ISBLANK('Evaluation Plan'!P51),"",'Evaluation Plan'!P51)</x:f>
      </x:c>
    </x:row>
    <x:row r="52" ht="64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Move the red block near the green pen.</x:v>
      </x:c>
      <x:c r="D52" s="7" t="str">
        <x:f>'Evaluation Plan'!D52</x:f>
        <x:v>P1 green pen at R3 (5 cm right of center) [REFERENCE]; P2 red block 18 cm behind P1 [TARGET START]; P3 pink marker 15 cm to the left of P1 [DISTRACTOR]; P4 blue block 15 cm to the right of P1 [DISTRACTOR]</x:v>
      </x:c>
      <x:c r="E52" s="8" t="n">
        <x:f>IF(ISBLANK('Evaluation Plan'!E52),"",'Evaluation Plan'!E52)</x:f>
        <x:v>48</x:v>
      </x:c>
      <x:c r="F52" s="8" t="str">
        <x:f>'Evaluation Plan'!F52</x:f>
        <x:v>red block → 2–8 cm edge gap from green pen (any direction)</x:v>
      </x:c>
      <x:c r="G52" s="7"/>
      <x:c r="H52" s="8" t="str">
        <x:f>'Evaluation Plan'!H52</x:f>
        <x:v>Matched manipulation control</x:v>
      </x:c>
      <x:c r="I52" s="8" t="str">
        <x:f>'Evaluation Plan'!I52</x:f>
        <x:v>RP-F13</x:v>
      </x:c>
      <x:c r="J52" s="8" t="str">
        <x:f>'Evaluation Plan'!J52</x:f>
        <x:v>near</x:v>
      </x:c>
      <x:c r="K52" s="8" t="n">
        <x:f>'Evaluation Plan'!K52</x:f>
        <x:v>4</x:v>
      </x:c>
      <x:c r="L52" s="8" t="str">
        <x:f>'Evaluation Plan'!L52</x:f>
        <x:v>3 — Matched control — Seen near/next-to/beside relation on the same ordered pair (4 objects)</x:v>
      </x:c>
      <x:c r="M52" s="8" t="n">
        <x:f>'Evaluation Plan'!M52</x:f>
        <x:v>13</x:v>
      </x:c>
      <x:c r="N52" s="7" t="str">
        <x:f>'Evaluation Plan'!N52</x:f>
        <x:v>Reset only P2 to its marked start. Keep every object, camera setting, and pose fixed; change only the prompt.</x:v>
      </x:c>
      <x:c r="O52" s="7" t="str">
        <x:f>'Evaluation Plan'!O52</x:f>
        <x:v>Controls target/reference recognition and basic pick-place on the exact pair. It is skill-matched but not direction-endpoint-matched, so analyze the paired success delta separately.</x:v>
      </x:c>
      <x:c r="P52" s="7" t="str">
        <x:f>IF(ISBLANK('Evaluation Plan'!P52),"",'Evaluation Plan'!P52)</x:f>
      </x:c>
    </x:row>
    <x:row r="53" ht="64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Set the red block alongside the green pen.</x:v>
      </x:c>
      <x:c r="D53" s="7" t="str">
        <x:f>'Evaluation Plan'!D53</x:f>
        <x:v>P1 green pen at R3 (5 cm right of center) [REFERENCE]; P2 red block 18 cm behind P1 [TARGET START]; P3 pink marker 15 cm to the left of P1 [DISTRACTOR]; P4 blue block 15 cm to the right of P1 [DISTRACTOR]</x:v>
      </x:c>
      <x:c r="E53" s="8" t="n">
        <x:f>IF(ISBLANK('Evaluation Plan'!E53),"",'Evaluation Plan'!E53)</x:f>
        <x:v>50</x:v>
      </x:c>
      <x:c r="F53" s="8" t="str">
        <x:f>'Evaluation Plan'!F53</x:f>
        <x:v>red block → 2–8 cm edge gap from green pen (any direction)</x:v>
      </x:c>
      <x:c r="G53" s="7"/>
      <x:c r="H53" s="8" t="str">
        <x:f>'Evaluation Plan'!H53</x:f>
        <x:v>Language robustness</x:v>
      </x:c>
      <x:c r="I53" s="8" t="str">
        <x:f>'Evaluation Plan'!I53</x:f>
        <x:v>RP-F13</x:v>
      </x:c>
      <x:c r="J53" s="8" t="str">
        <x:f>'Evaluation Plan'!J53</x:f>
        <x:v>near</x:v>
      </x:c>
      <x:c r="K53" s="8" t="n">
        <x:f>'Evaluation Plan'!K53</x:f>
        <x:v>4</x:v>
      </x:c>
      <x:c r="L53" s="8" t="str">
        <x:f>'Evaluation Plan'!L53</x:f>
        <x:v>4 — Exact-scene control paraphrase — Paraphrase of matched-control prompt</x:v>
      </x:c>
      <x:c r="M53" s="8" t="n">
        <x:f>'Evaluation Plan'!M53</x:f>
        <x:v>13</x:v>
      </x:c>
      <x:c r="N53" s="7" t="str">
        <x:f>'Evaluation Plan'!N53</x:f>
        <x:v>Reset only P2 to its marked start; change only the prompt wording.</x:v>
      </x:c>
      <x:c r="O53" s="7" t="str">
        <x:f>'Evaluation Plan'!O53</x:f>
        <x:v>Exact-scene language comparison for the seen near relation.</x:v>
      </x:c>
      <x:c r="P53" s="7" t="str">
        <x:f>IF(ISBLANK('Evaluation Plan'!P53),"",'Evaluation Plan'!P53)</x:f>
      </x:c>
    </x:row>
    <x:row r="54" ht="64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Move the green pen to the back of the red block.</x:v>
      </x:c>
      <x:c r="D54" s="10" t="str">
        <x:f>'Evaluation Plan'!D54</x:f>
        <x:v>P1 red block at R4 (5 cm toward the robot from center) [REFERENCE]; P2 green pen 21 cm in front of P1 [TARGET START]; P3 pink marker 15 cm to the left of P1 [DISTRACTOR]; P4 blue block 15 cm to the right of P1 [DISTRACTOR]</x:v>
      </x:c>
      <x:c r="E54" s="9" t="str">
        <x:f>IF(ISBLANK('Evaluation Plan'!E54),"",'Evaluation Plan'!E54)</x:f>
      </x:c>
      <x:c r="F54" s="9" t="str">
        <x:f>'Evaluation Plan'!F54</x:f>
        <x:v>green pen → 2–8 cm edge gap behind red block; centroid direction within ±45°</x:v>
      </x:c>
      <x:c r="G54" s="10"/>
      <x:c r="H54" s="9" t="str">
        <x:f>'Evaluation Plan'!H54</x:f>
        <x:v>Concept/compositional transfer</x:v>
      </x:c>
      <x:c r="I54" s="9" t="str">
        <x:f>'Evaluation Plan'!I54</x:f>
        <x:v>RP-F14</x:v>
      </x:c>
      <x:c r="J54" s="9" t="str">
        <x:f>'Evaluation Plan'!J54</x:f>
        <x:v>behind</x:v>
      </x:c>
      <x:c r="K54" s="9" t="n">
        <x:f>'Evaluation Plan'!K54</x:f>
        <x:v>4</x:v>
      </x:c>
      <x:c r="L54" s="9" t="str">
        <x:f>'Evaluation Plan'!L54</x:f>
        <x:v>1 — Canonical transfer — Held-out direction × green-pen/red-block pair (behind)</x:v>
      </x:c>
      <x:c r="M54" s="9" t="n">
        <x:f>'Evaluation Plan'!M54</x:f>
        <x:v>14</x:v>
      </x:c>
      <x:c r="N54" s="10" t="str">
        <x:f>'Evaluation Plan'!N54</x:f>
        <x:v>Build the marked scene. Target starts in the opposite sector and outside the success gap; save a first-frame filename.</x:v>
      </x:c>
      <x:c r="O54" s="10" t="str">
        <x:f>'Evaluation Plan'!O54</x:f>
        <x:v>Directional language is trained on other object pairs, but all directional green-pen/red-block demonstrations are withheld in both target/reference directions.</x:v>
      </x:c>
      <x:c r="P54" s="10" t="str">
        <x:f>IF(ISBLANK('Evaluation Plan'!P54),"",'Evaluation Plan'!P54)</x:f>
      </x:c>
    </x:row>
    <x:row r="55" ht="64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Put the green pen on the table in front of the red block.</x:v>
      </x:c>
      <x:c r="D55" s="7" t="str">
        <x:f>'Evaluation Plan'!D55</x:f>
        <x:v>P1 red block at R4 (5 cm toward the robot from center) [REFERENCE]; P2 green pen 21 cm in front of P1 [TARGET START]; P3 pink marker 15 cm to the left of P1 [DISTRACTOR]; P4 blue block 15 cm to the right of P1 [DISTRACTOR]</x:v>
      </x:c>
      <x:c r="E55" s="8" t="n">
        <x:f>IF(ISBLANK('Evaluation Plan'!E55),"",'Evaluation Plan'!E55)</x:f>
        <x:v>52</x:v>
      </x:c>
      <x:c r="F55" s="8" t="str">
        <x:f>'Evaluation Plan'!F55</x:f>
        <x:v>green pen → 2–8 cm edge gap in front of red block; centroid direction within ±45°</x:v>
      </x:c>
      <x:c r="G55" s="7"/>
      <x:c r="H55" s="8" t="str">
        <x:f>'Evaluation Plan'!H55</x:f>
        <x:v>Exact-scene opposite-direction contrast</x:v>
      </x:c>
      <x:c r="I55" s="8" t="str">
        <x:f>'Evaluation Plan'!I55</x:f>
        <x:v>RP-F14</x:v>
      </x:c>
      <x:c r="J55" s="8" t="str">
        <x:f>'Evaluation Plan'!J55</x:f>
        <x:v>front</x:v>
      </x:c>
      <x:c r="K55" s="8" t="n">
        <x:f>'Evaluation Plan'!K55</x:f>
        <x:v>4</x:v>
      </x:c>
      <x:c r="L55" s="8" t="str">
        <x:f>'Evaluation Plan'!L55</x:f>
        <x:v>2 — Exact-scene opposite-direction contrast — Direction-word counterfactual (behind→front)</x:v>
      </x:c>
      <x:c r="M55" s="8" t="n">
        <x:f>'Evaluation Plan'!M55</x:f>
        <x:v>14</x:v>
      </x:c>
      <x:c r="N55" s="7" t="str">
        <x:f>'Evaluation Plan'!N55</x:f>
        <x:v>Reset only P2 to its marked start. Preserve the exact scene; change only the directional word and expected goal sector.</x:v>
      </x:c>
      <x:c r="O55" s="7" t="str">
        <x:f>'Evaluation Plan'!O55</x:f>
        <x:v>Exact-scene semantic counterfactual. Target and reference identities stay fixed while the requested endpoint reverses front↔behind or left↔right.</x:v>
      </x:c>
      <x:c r="P55" s="7" t="str">
        <x:f>IF(ISBLANK('Evaluation Plan'!P55),"",'Evaluation Plan'!P55)</x:f>
      </x:c>
    </x:row>
    <x:row r="56" ht="64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Place the green pen next to the red block.</x:v>
      </x:c>
      <x:c r="D56" s="7" t="str">
        <x:f>'Evaluation Plan'!D56</x:f>
        <x:v>P1 red block at R4 (5 cm toward the robot from center) [REFERENCE]; P2 green pen 21 cm in front of P1 [TARGET START]; P3 pink marker 15 cm to the left of P1 [DISTRACTOR]; P4 blue block 15 cm to the right of P1 [DISTRACTOR]</x:v>
      </x:c>
      <x:c r="E56" s="8" t="n">
        <x:f>IF(ISBLANK('Evaluation Plan'!E56),"",'Evaluation Plan'!E56)</x:f>
        <x:v>52</x:v>
      </x:c>
      <x:c r="F56" s="8" t="str">
        <x:f>'Evaluation Plan'!F56</x:f>
        <x:v>green pen → 2–8 cm edge gap from red block (any direction)</x:v>
      </x:c>
      <x:c r="G56" s="7"/>
      <x:c r="H56" s="8" t="str">
        <x:f>'Evaluation Plan'!H56</x:f>
        <x:v>Matched manipulation control</x:v>
      </x:c>
      <x:c r="I56" s="8" t="str">
        <x:f>'Evaluation Plan'!I56</x:f>
        <x:v>RP-F14</x:v>
      </x:c>
      <x:c r="J56" s="8" t="str">
        <x:f>'Evaluation Plan'!J56</x:f>
        <x:v>near</x:v>
      </x:c>
      <x:c r="K56" s="8" t="n">
        <x:f>'Evaluation Plan'!K56</x:f>
        <x:v>4</x:v>
      </x:c>
      <x:c r="L56" s="8" t="str">
        <x:f>'Evaluation Plan'!L56</x:f>
        <x:v>3 — Matched control — Seen near/next-to/beside relation on the same ordered pair (4 objects)</x:v>
      </x:c>
      <x:c r="M56" s="8" t="n">
        <x:f>'Evaluation Plan'!M56</x:f>
        <x:v>14</x:v>
      </x:c>
      <x:c r="N56" s="7" t="str">
        <x:f>'Evaluation Plan'!N56</x:f>
        <x:v>Reset only P2 to its marked start. Keep every object, camera setting, and pose fixed; change only the prompt.</x:v>
      </x:c>
      <x:c r="O56" s="7" t="str">
        <x:f>'Evaluation Plan'!O56</x:f>
        <x:v>Controls target/reference recognition and basic pick-place on the exact pair. It is skill-matched but not direction-endpoint-matched, so analyze the paired success delta separately.</x:v>
      </x:c>
      <x:c r="P56" s="7" t="str">
        <x:f>IF(ISBLANK('Evaluation Plan'!P56),"",'Evaluation Plan'!P56)</x:f>
      </x:c>
    </x:row>
    <x:row r="57" ht="64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green pen within a short distance of the red block.</x:v>
      </x:c>
      <x:c r="D57" s="7" t="str">
        <x:f>'Evaluation Plan'!D57</x:f>
        <x:v>P1 red block at R4 (5 cm toward the robot from center) [REFERENCE]; P2 green pen 21 cm in front of P1 [TARGET START]; P3 pink marker 15 cm to the left of P1 [DISTRACTOR]; P4 blue block 15 cm to the right of P1 [DISTRACTOR]</x:v>
      </x:c>
      <x:c r="E57" s="8" t="n">
        <x:f>IF(ISBLANK('Evaluation Plan'!E57),"",'Evaluation Plan'!E57)</x:f>
        <x:v>54</x:v>
      </x:c>
      <x:c r="F57" s="8" t="str">
        <x:f>'Evaluation Plan'!F57</x:f>
        <x:v>green pen → 2–8 cm edge gap from red block (any direction)</x:v>
      </x:c>
      <x:c r="G57" s="7"/>
      <x:c r="H57" s="8" t="str">
        <x:f>'Evaluation Plan'!H57</x:f>
        <x:v>Language robustness</x:v>
      </x:c>
      <x:c r="I57" s="8" t="str">
        <x:f>'Evaluation Plan'!I57</x:f>
        <x:v>RP-F14</x:v>
      </x:c>
      <x:c r="J57" s="8" t="str">
        <x:f>'Evaluation Plan'!J57</x:f>
        <x:v>near</x:v>
      </x:c>
      <x:c r="K57" s="8" t="n">
        <x:f>'Evaluation Plan'!K57</x:f>
        <x:v>4</x:v>
      </x:c>
      <x:c r="L57" s="8" t="str">
        <x:f>'Evaluation Plan'!L57</x:f>
        <x:v>4 — Exact-scene control paraphrase — Paraphrase of matched-control prompt</x:v>
      </x:c>
      <x:c r="M57" s="8" t="n">
        <x:f>'Evaluation Plan'!M57</x:f>
        <x:v>14</x:v>
      </x:c>
      <x:c r="N57" s="7" t="str">
        <x:f>'Evaluation Plan'!N57</x:f>
        <x:v>Reset only P2 to its marked start; change only the prompt wording.</x:v>
      </x:c>
      <x:c r="O57" s="7" t="str">
        <x:f>'Evaluation Plan'!O57</x:f>
        <x:v>Exact-scene language comparison for the seen near relation.</x:v>
      </x:c>
      <x:c r="P57" s="7" t="str">
        <x:f>IF(ISBLANK('Evaluation Plan'!P57),"",'Evaluation Plan'!P57)</x:f>
      </x:c>
    </x:row>
    <x:row r="58" ht="64" customHeight="1">
      <x:c r="A58" s="9" t="str">
        <x:v>Not collected</x:v>
      </x:c>
      <x:c r="B58" s="9" t="n">
        <x:f>'Evaluation Plan'!B58</x:f>
        <x:v>56</x:v>
      </x:c>
      <x:c r="C58" s="10" t="str">
        <x:f>'Evaluation Plan'!C58</x:f>
        <x:v>Place the red block to the left of the green pen.</x:v>
      </x:c>
      <x:c r="D58" s="10" t="str">
        <x:f>'Evaluation Plan'!D58</x:f>
        <x:v>P1 green pen at R5 (5 cm away from the robot from center) [REFERENCE]; P2 red block 24 cm to the right of P1 [TARGET START]; P3 pink marker 15 cm in front of P1 [DISTRACTOR]; P4 blue block 15 cm behind P1 [DISTRACTOR]</x:v>
      </x:c>
      <x:c r="E58" s="9" t="str">
        <x:f>IF(ISBLANK('Evaluation Plan'!E58),"",'Evaluation Plan'!E58)</x:f>
      </x:c>
      <x:c r="F58" s="9" t="str">
        <x:f>'Evaluation Plan'!F58</x:f>
        <x:v>red block → 2–8 cm edge gap to the left of green pen; centroid direction within ±45°</x:v>
      </x:c>
      <x:c r="G58" s="10"/>
      <x:c r="H58" s="9" t="str">
        <x:f>'Evaluation Plan'!H58</x:f>
        <x:v>Concept/compositional transfer</x:v>
      </x:c>
      <x:c r="I58" s="9" t="str">
        <x:f>'Evaluation Plan'!I58</x:f>
        <x:v>RP-F15</x:v>
      </x:c>
      <x:c r="J58" s="9" t="str">
        <x:f>'Evaluation Plan'!J58</x:f>
        <x:v>left</x:v>
      </x:c>
      <x:c r="K58" s="9" t="n">
        <x:f>'Evaluation Plan'!K58</x:f>
        <x:v>4</x:v>
      </x:c>
      <x:c r="L58" s="9" t="str">
        <x:f>'Evaluation Plan'!L58</x:f>
        <x:v>1 — Canonical transfer — Held-out direction × green-pen/red-block pair (left)</x:v>
      </x:c>
      <x:c r="M58" s="9" t="n">
        <x:f>'Evaluation Plan'!M58</x:f>
        <x:v>15</x:v>
      </x:c>
      <x:c r="N58" s="10" t="str">
        <x:f>'Evaluation Plan'!N58</x:f>
        <x:v>Build the marked scene. Target starts in the opposite sector and outside the success gap; save a first-frame filename.</x:v>
      </x:c>
      <x:c r="O58" s="10" t="str">
        <x:f>'Evaluation Plan'!O58</x:f>
        <x:v>Directional language is trained on other object pairs, but all directional green-pen/red-block demonstrations are withheld in both target/reference directions.</x:v>
      </x:c>
      <x:c r="P58" s="10" t="str">
        <x:f>IF(ISBLANK('Evaluation Plan'!P58),"",'Evaluation Plan'!P58)</x:f>
      </x:c>
    </x:row>
    <x:row r="59" ht="64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red block to the right of the green pen.</x:v>
      </x:c>
      <x:c r="D59" s="7" t="str">
        <x:f>'Evaluation Plan'!D59</x:f>
        <x:v>P1 green pen at R5 (5 cm away from the robot from center) [REFERENCE]; P2 red block 24 cm to the right of P1 [TARGET START]; P3 pink marker 15 cm in front of P1 [DISTRACTOR]; P4 blue block 15 cm behind P1 [DISTRACTOR]</x:v>
      </x:c>
      <x:c r="E59" s="8" t="n">
        <x:f>IF(ISBLANK('Evaluation Plan'!E59),"",'Evaluation Plan'!E59)</x:f>
        <x:v>56</x:v>
      </x:c>
      <x:c r="F59" s="8" t="str">
        <x:f>'Evaluation Plan'!F59</x:f>
        <x:v>red block → 2–8 cm edge gap to the right of green pen; centroid direction within ±45°</x:v>
      </x:c>
      <x:c r="G59" s="7"/>
      <x:c r="H59" s="8" t="str">
        <x:f>'Evaluation Plan'!H59</x:f>
        <x:v>Exact-scene opposite-direction contrast</x:v>
      </x:c>
      <x:c r="I59" s="8" t="str">
        <x:f>'Evaluation Plan'!I59</x:f>
        <x:v>RP-F15</x:v>
      </x:c>
      <x:c r="J59" s="8" t="str">
        <x:f>'Evaluation Plan'!J59</x:f>
        <x:v>right</x:v>
      </x:c>
      <x:c r="K59" s="8" t="n">
        <x:f>'Evaluation Plan'!K59</x:f>
        <x:v>4</x:v>
      </x:c>
      <x:c r="L59" s="8" t="str">
        <x:f>'Evaluation Plan'!L59</x:f>
        <x:v>2 — Exact-scene opposite-direction contrast — Direction-word counterfactual (left→right)</x:v>
      </x:c>
      <x:c r="M59" s="8" t="n">
        <x:f>'Evaluation Plan'!M59</x:f>
        <x:v>15</x:v>
      </x:c>
      <x:c r="N59" s="7" t="str">
        <x:f>'Evaluation Plan'!N59</x:f>
        <x:v>Reset only P2 to its marked start. Preserve the exact scene; change only the directional word and expected goal sector.</x:v>
      </x:c>
      <x:c r="O59" s="7" t="str">
        <x:f>'Evaluation Plan'!O59</x:f>
        <x:v>Exact-scene semantic counterfactual. Target and reference identities stay fixed while the requested endpoint reverses front↔behind or left↔right.</x:v>
      </x:c>
      <x:c r="P59" s="7" t="str">
        <x:f>IF(ISBLANK('Evaluation Plan'!P59),"",'Evaluation Plan'!P59)</x:f>
      </x:c>
    </x:row>
    <x:row r="60" ht="64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red block beside the green pen.</x:v>
      </x:c>
      <x:c r="D60" s="7" t="str">
        <x:f>'Evaluation Plan'!D60</x:f>
        <x:v>P1 green pen at R5 (5 cm away from the robot from center) [REFERENCE]; P2 red block 24 cm to the right of P1 [TARGET START]; P3 pink marker 15 cm in front of P1 [DISTRACTOR]; P4 blue block 15 cm behind P1 [DISTRACTOR]</x:v>
      </x:c>
      <x:c r="E60" s="8" t="n">
        <x:f>IF(ISBLANK('Evaluation Plan'!E60),"",'Evaluation Plan'!E60)</x:f>
        <x:v>56</x:v>
      </x:c>
      <x:c r="F60" s="8" t="str">
        <x:f>'Evaluation Plan'!F60</x:f>
        <x:v>red block → 2–8 cm edge gap from green pen (any direction)</x:v>
      </x:c>
      <x:c r="G60" s="7"/>
      <x:c r="H60" s="8" t="str">
        <x:f>'Evaluation Plan'!H60</x:f>
        <x:v>Matched manipulation control</x:v>
      </x:c>
      <x:c r="I60" s="8" t="str">
        <x:f>'Evaluation Plan'!I60</x:f>
        <x:v>RP-F15</x:v>
      </x:c>
      <x:c r="J60" s="8" t="str">
        <x:f>'Evaluation Plan'!J60</x:f>
        <x:v>near</x:v>
      </x:c>
      <x:c r="K60" s="8" t="n">
        <x:f>'Evaluation Plan'!K60</x:f>
        <x:v>4</x:v>
      </x:c>
      <x:c r="L60" s="8" t="str">
        <x:f>'Evaluation Plan'!L60</x:f>
        <x:v>3 — Matched control — Seen near/next-to/beside relation on the same ordered pair (4 objects)</x:v>
      </x:c>
      <x:c r="M60" s="8" t="n">
        <x:f>'Evaluation Plan'!M60</x:f>
        <x:v>15</x:v>
      </x:c>
      <x:c r="N60" s="7" t="str">
        <x:f>'Evaluation Plan'!N60</x:f>
        <x:v>Reset only P2 to its marked start. Keep every object, camera setting, and pose fixed; change only the prompt.</x:v>
      </x:c>
      <x:c r="O60" s="7" t="str">
        <x:f>'Evaluation Plan'!O60</x:f>
        <x:v>Controls target/reference recognition and basic pick-place on the exact pair. It is skill-matched but not direction-endpoint-matched, so analyze the paired success delta separately.</x:v>
      </x:c>
      <x:c r="P60" s="7" t="str">
        <x:f>IF(ISBLANK('Evaluation Plan'!P60),"",'Evaluation Plan'!P60)</x:f>
      </x:c>
    </x:row>
    <x:row r="61" ht="64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Place the red block near enough to sit beside the green pen.</x:v>
      </x:c>
      <x:c r="D61" s="7" t="str">
        <x:f>'Evaluation Plan'!D61</x:f>
        <x:v>P1 green pen at R5 (5 cm away from the robot from center) [REFERENCE]; P2 red block 24 cm to the right of P1 [TARGET START]; P3 pink marker 15 cm in front of P1 [DISTRACTOR]; P4 blue block 15 cm behind P1 [DISTRACTOR]</x:v>
      </x:c>
      <x:c r="E61" s="8" t="n">
        <x:f>IF(ISBLANK('Evaluation Plan'!E61),"",'Evaluation Plan'!E61)</x:f>
        <x:v>58</x:v>
      </x:c>
      <x:c r="F61" s="8" t="str">
        <x:f>'Evaluation Plan'!F61</x:f>
        <x:v>red block → 2–8 cm edge gap from green pen (any direction)</x:v>
      </x:c>
      <x:c r="G61" s="7"/>
      <x:c r="H61" s="8" t="str">
        <x:f>'Evaluation Plan'!H61</x:f>
        <x:v>Language robustness</x:v>
      </x:c>
      <x:c r="I61" s="8" t="str">
        <x:f>'Evaluation Plan'!I61</x:f>
        <x:v>RP-F15</x:v>
      </x:c>
      <x:c r="J61" s="8" t="str">
        <x:f>'Evaluation Plan'!J61</x:f>
        <x:v>near</x:v>
      </x:c>
      <x:c r="K61" s="8" t="n">
        <x:f>'Evaluation Plan'!K61</x:f>
        <x:v>4</x:v>
      </x:c>
      <x:c r="L61" s="8" t="str">
        <x:f>'Evaluation Plan'!L61</x:f>
        <x:v>4 — Exact-scene control paraphrase — Paraphrase of matched-control prompt</x:v>
      </x:c>
      <x:c r="M61" s="8" t="n">
        <x:f>'Evaluation Plan'!M61</x:f>
        <x:v>15</x:v>
      </x:c>
      <x:c r="N61" s="7" t="str">
        <x:f>'Evaluation Plan'!N61</x:f>
        <x:v>Reset only P2 to its marked start; change only the prompt wording.</x:v>
      </x:c>
      <x:c r="O61" s="7" t="str">
        <x:f>'Evaluation Plan'!O61</x:f>
        <x:v>Exact-scene language comparison for the seen near relation.</x:v>
      </x:c>
      <x:c r="P61" s="7" t="str">
        <x:f>IF(ISBLANK('Evaluation Plan'!P61),"",'Evaluation Plan'!P61)</x:f>
      </x:c>
    </x:row>
    <x:row r="62" ht="64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Place the green pen to the right of the red block.</x:v>
      </x:c>
      <x:c r="D62" s="10" t="str">
        <x:f>'Evaluation Plan'!D62</x:f>
        <x:v>P1 red block at R1 (table center) [REFERENCE]; P2 green pen 18 cm to the left of P1 [TARGET START]; P3 pink marker 15 cm in front of P1 [DISTRACTOR]; P4 blue block 15 cm behind P1 [DISTRACTOR]</x:v>
      </x:c>
      <x:c r="E62" s="9" t="str">
        <x:f>IF(ISBLANK('Evaluation Plan'!E62),"",'Evaluation Plan'!E62)</x:f>
      </x:c>
      <x:c r="F62" s="9" t="str">
        <x:f>'Evaluation Plan'!F62</x:f>
        <x:v>green pen → 2–8 cm edge gap to the right of red block; centroid direction within ±45°</x:v>
      </x:c>
      <x:c r="G62" s="10"/>
      <x:c r="H62" s="9" t="str">
        <x:f>'Evaluation Plan'!H62</x:f>
        <x:v>Concept/compositional transfer</x:v>
      </x:c>
      <x:c r="I62" s="9" t="str">
        <x:f>'Evaluation Plan'!I62</x:f>
        <x:v>RP-F16</x:v>
      </x:c>
      <x:c r="J62" s="9" t="str">
        <x:f>'Evaluation Plan'!J62</x:f>
        <x:v>right</x:v>
      </x:c>
      <x:c r="K62" s="9" t="n">
        <x:f>'Evaluation Plan'!K62</x:f>
        <x:v>4</x:v>
      </x:c>
      <x:c r="L62" s="9" t="str">
        <x:f>'Evaluation Plan'!L62</x:f>
        <x:v>1 — Canonical transfer — Held-out direction × green-pen/red-block pair (right)</x:v>
      </x:c>
      <x:c r="M62" s="9" t="n">
        <x:f>'Evaluation Plan'!M62</x:f>
        <x:v>16</x:v>
      </x:c>
      <x:c r="N62" s="10" t="str">
        <x:f>'Evaluation Plan'!N62</x:f>
        <x:v>Build the marked scene. Target starts in the opposite sector and outside the success gap; save a first-frame filename.</x:v>
      </x:c>
      <x:c r="O62" s="10" t="str">
        <x:f>'Evaluation Plan'!O62</x:f>
        <x:v>Directional language is trained on other object pairs, but all directional green-pen/red-block demonstrations are withheld in both target/reference directions.</x:v>
      </x:c>
      <x:c r="P62" s="10" t="str">
        <x:f>IF(ISBLANK('Evaluation Plan'!P62),"",'Evaluation Plan'!P62)</x:f>
      </x:c>
    </x:row>
    <x:row r="63" ht="64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Place the green pen to the left of the red block.</x:v>
      </x:c>
      <x:c r="D63" s="7" t="str">
        <x:f>'Evaluation Plan'!D63</x:f>
        <x:v>P1 red block at R1 (table center) [REFERENCE]; P2 green pen 18 cm to the left of P1 [TARGET START]; P3 pink marker 15 cm in front of P1 [DISTRACTOR]; P4 blue block 15 cm behind P1 [DISTRACTOR]</x:v>
      </x:c>
      <x:c r="E63" s="8" t="n">
        <x:f>IF(ISBLANK('Evaluation Plan'!E63),"",'Evaluation Plan'!E63)</x:f>
        <x:v>60</x:v>
      </x:c>
      <x:c r="F63" s="8" t="str">
        <x:f>'Evaluation Plan'!F63</x:f>
        <x:v>green pen → 2–8 cm edge gap to the left of red block; centroid direction within ±45°</x:v>
      </x:c>
      <x:c r="G63" s="7"/>
      <x:c r="H63" s="8" t="str">
        <x:f>'Evaluation Plan'!H63</x:f>
        <x:v>Exact-scene opposite-direction contrast</x:v>
      </x:c>
      <x:c r="I63" s="8" t="str">
        <x:f>'Evaluation Plan'!I63</x:f>
        <x:v>RP-F16</x:v>
      </x:c>
      <x:c r="J63" s="8" t="str">
        <x:f>'Evaluation Plan'!J63</x:f>
        <x:v>left</x:v>
      </x:c>
      <x:c r="K63" s="8" t="n">
        <x:f>'Evaluation Plan'!K63</x:f>
        <x:v>4</x:v>
      </x:c>
      <x:c r="L63" s="8" t="str">
        <x:f>'Evaluation Plan'!L63</x:f>
        <x:v>2 — Exact-scene opposite-direction contrast — Direction-word counterfactual (right→left)</x:v>
      </x:c>
      <x:c r="M63" s="8" t="n">
        <x:f>'Evaluation Plan'!M63</x:f>
        <x:v>16</x:v>
      </x:c>
      <x:c r="N63" s="7" t="str">
        <x:f>'Evaluation Plan'!N63</x:f>
        <x:v>Reset only P2 to its marked start. Preserve the exact scene; change only the directional word and expected goal sector.</x:v>
      </x:c>
      <x:c r="O63" s="7" t="str">
        <x:f>'Evaluation Plan'!O63</x:f>
        <x:v>Exact-scene semantic counterfactual. Target and reference identities stay fixed while the requested endpoint reverses front↔behind or left↔right.</x:v>
      </x:c>
      <x:c r="P63" s="7" t="str">
        <x:f>IF(ISBLANK('Evaluation Plan'!P63),"",'Evaluation Plan'!P63)</x:f>
      </x:c>
    </x:row>
    <x:row r="64" ht="64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pen near the red block.</x:v>
      </x:c>
      <x:c r="D64" s="7" t="str">
        <x:f>'Evaluation Plan'!D64</x:f>
        <x:v>P1 red block at R1 (table center) [REFERENCE]; P2 green pen 18 cm to the left of P1 [TARGET START]; P3 pink marker 15 cm in front of P1 [DISTRACTOR]; P4 blue block 15 cm behind P1 [DISTRACTOR]</x:v>
      </x:c>
      <x:c r="E64" s="8" t="n">
        <x:f>IF(ISBLANK('Evaluation Plan'!E64),"",'Evaluation Plan'!E64)</x:f>
        <x:v>60</x:v>
      </x:c>
      <x:c r="F64" s="8" t="str">
        <x:f>'Evaluation Plan'!F64</x:f>
        <x:v>green pen → 2–8 cm edge gap from red block (any direction)</x:v>
      </x:c>
      <x:c r="G64" s="7"/>
      <x:c r="H64" s="8" t="str">
        <x:f>'Evaluation Plan'!H64</x:f>
        <x:v>Matched manipulation control</x:v>
      </x:c>
      <x:c r="I64" s="8" t="str">
        <x:f>'Evaluation Plan'!I64</x:f>
        <x:v>RP-F16</x:v>
      </x:c>
      <x:c r="J64" s="8" t="str">
        <x:f>'Evaluation Plan'!J64</x:f>
        <x:v>near</x:v>
      </x:c>
      <x:c r="K64" s="8" t="n">
        <x:f>'Evaluation Plan'!K64</x:f>
        <x:v>4</x:v>
      </x:c>
      <x:c r="L64" s="8" t="str">
        <x:f>'Evaluation Plan'!L64</x:f>
        <x:v>3 — Matched control — Seen near/next-to/beside relation on the same ordered pair (4 objects)</x:v>
      </x:c>
      <x:c r="M64" s="8" t="n">
        <x:f>'Evaluation Plan'!M64</x:f>
        <x:v>16</x:v>
      </x:c>
      <x:c r="N64" s="7" t="str">
        <x:f>'Evaluation Plan'!N64</x:f>
        <x:v>Reset only P2 to its marked start. Keep every object, camera setting, and pose fixed; change only the prompt.</x:v>
      </x:c>
      <x:c r="O64" s="7" t="str">
        <x:f>'Evaluation Plan'!O64</x:f>
        <x:v>Controls target/reference recognition and basic pick-place on the exact pair. It is skill-matched but not direction-endpoint-matched, so analyze the paired success delta separately.</x:v>
      </x:c>
      <x:c r="P64" s="7" t="str">
        <x:f>IF(ISBLANK('Evaluation Plan'!P64),"",'Evaluation Plan'!P64)</x:f>
      </x:c>
    </x:row>
    <x:row r="65" ht="64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Position the green pen adjacent to the red block.</x:v>
      </x:c>
      <x:c r="D65" s="7" t="str">
        <x:f>'Evaluation Plan'!D65</x:f>
        <x:v>P1 red block at R1 (table center) [REFERENCE]; P2 green pen 18 cm to the left of P1 [TARGET START]; P3 pink marker 15 cm in front of P1 [DISTRACTOR]; P4 blue block 15 cm behind P1 [DISTRACTOR]</x:v>
      </x:c>
      <x:c r="E65" s="8" t="n">
        <x:f>IF(ISBLANK('Evaluation Plan'!E65),"",'Evaluation Plan'!E65)</x:f>
        <x:v>62</x:v>
      </x:c>
      <x:c r="F65" s="8" t="str">
        <x:f>'Evaluation Plan'!F65</x:f>
        <x:v>green pen → 2–8 cm edge gap from red block (any direction)</x:v>
      </x:c>
      <x:c r="G65" s="7"/>
      <x:c r="H65" s="8" t="str">
        <x:f>'Evaluation Plan'!H65</x:f>
        <x:v>Language robustness</x:v>
      </x:c>
      <x:c r="I65" s="8" t="str">
        <x:f>'Evaluation Plan'!I65</x:f>
        <x:v>RP-F16</x:v>
      </x:c>
      <x:c r="J65" s="8" t="str">
        <x:f>'Evaluation Plan'!J65</x:f>
        <x:v>near</x:v>
      </x:c>
      <x:c r="K65" s="8" t="n">
        <x:f>'Evaluation Plan'!K65</x:f>
        <x:v>4</x:v>
      </x:c>
      <x:c r="L65" s="8" t="str">
        <x:f>'Evaluation Plan'!L65</x:f>
        <x:v>4 — Exact-scene control paraphrase — Paraphrase of matched-control prompt</x:v>
      </x:c>
      <x:c r="M65" s="8" t="n">
        <x:f>'Evaluation Plan'!M65</x:f>
        <x:v>16</x:v>
      </x:c>
      <x:c r="N65" s="7" t="str">
        <x:f>'Evaluation Plan'!N65</x:f>
        <x:v>Reset only P2 to its marked start; change only the prompt wording.</x:v>
      </x:c>
      <x:c r="O65" s="7" t="str">
        <x:f>'Evaluation Plan'!O65</x:f>
        <x:v>Exact-scene language comparison for the seen near relation.</x:v>
      </x:c>
      <x:c r="P65" s="7" t="str">
        <x:f>IF(ISBLANK('Evaluation Plan'!P65),"",'Evaluation Plan'!P65)</x:f>
      </x:c>
    </x:row>
    <x:row r="66" ht="64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Move the green pen to the front of the red block.</x:v>
      </x:c>
      <x:c r="D66" s="10" t="str">
        <x:f>'Evaluation Plan'!D66</x:f>
        <x:v>P1 red block at R2 (5 cm left of center) [REFERENCE]; P2 green pen 21 cm behind P1 [TARGET START]; P3 pink marker 15 cm to the left of P1 [DISTRACTOR]; P4 blue block 15 cm to the right of P1 [DISTRACTOR]</x:v>
      </x:c>
      <x:c r="E66" s="9" t="str">
        <x:f>IF(ISBLANK('Evaluation Plan'!E66),"",'Evaluation Plan'!E66)</x:f>
      </x:c>
      <x:c r="F66" s="9" t="str">
        <x:f>'Evaluation Plan'!F66</x:f>
        <x:v>green pen → 2–8 cm edge gap in front of red block; centroid direction within ±45°</x:v>
      </x:c>
      <x:c r="G66" s="10"/>
      <x:c r="H66" s="9" t="str">
        <x:f>'Evaluation Plan'!H66</x:f>
        <x:v>Concept/compositional transfer</x:v>
      </x:c>
      <x:c r="I66" s="9" t="str">
        <x:f>'Evaluation Plan'!I66</x:f>
        <x:v>RP-F17</x:v>
      </x:c>
      <x:c r="J66" s="9" t="str">
        <x:f>'Evaluation Plan'!J66</x:f>
        <x:v>front</x:v>
      </x:c>
      <x:c r="K66" s="9" t="n">
        <x:f>'Evaluation Plan'!K66</x:f>
        <x:v>4</x:v>
      </x:c>
      <x:c r="L66" s="9" t="str">
        <x:f>'Evaluation Plan'!L66</x:f>
        <x:v>1 — Canonical transfer — Held-out direction × green-pen/red-block pair (front)</x:v>
      </x:c>
      <x:c r="M66" s="9" t="n">
        <x:f>'Evaluation Plan'!M66</x:f>
        <x:v>17</x:v>
      </x:c>
      <x:c r="N66" s="10" t="str">
        <x:f>'Evaluation Plan'!N66</x:f>
        <x:v>Build the marked scene. Target starts in the opposite sector and outside the success gap; save a first-frame filename.</x:v>
      </x:c>
      <x:c r="O66" s="10" t="str">
        <x:f>'Evaluation Plan'!O66</x:f>
        <x:v>Directional language is trained on other object pairs, but all directional green-pen/red-block demonstrations are withheld in both target/reference directions.</x:v>
      </x:c>
      <x:c r="P66" s="10" t="str">
        <x:f>IF(ISBLANK('Evaluation Plan'!P66),"",'Evaluation Plan'!P66)</x:f>
      </x:c>
    </x:row>
    <x:row r="67" ht="64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Put the green pen on the table behind the red block.</x:v>
      </x:c>
      <x:c r="D67" s="7" t="str">
        <x:f>'Evaluation Plan'!D67</x:f>
        <x:v>P1 red block at R2 (5 cm left of center) [REFERENCE]; P2 green pen 21 cm behind P1 [TARGET START]; P3 pink marker 15 cm to the left of P1 [DISTRACTOR]; P4 blue block 15 cm to the right of P1 [DISTRACTOR]</x:v>
      </x:c>
      <x:c r="E67" s="8" t="n">
        <x:f>IF(ISBLANK('Evaluation Plan'!E67),"",'Evaluation Plan'!E67)</x:f>
        <x:v>64</x:v>
      </x:c>
      <x:c r="F67" s="8" t="str">
        <x:f>'Evaluation Plan'!F67</x:f>
        <x:v>green pen → 2–8 cm edge gap behind red block; centroid direction within ±45°</x:v>
      </x:c>
      <x:c r="G67" s="7"/>
      <x:c r="H67" s="8" t="str">
        <x:f>'Evaluation Plan'!H67</x:f>
        <x:v>Exact-scene opposite-direction contrast</x:v>
      </x:c>
      <x:c r="I67" s="8" t="str">
        <x:f>'Evaluation Plan'!I67</x:f>
        <x:v>RP-F17</x:v>
      </x:c>
      <x:c r="J67" s="8" t="str">
        <x:f>'Evaluation Plan'!J67</x:f>
        <x:v>behind</x:v>
      </x:c>
      <x:c r="K67" s="8" t="n">
        <x:f>'Evaluation Plan'!K67</x:f>
        <x:v>4</x:v>
      </x:c>
      <x:c r="L67" s="8" t="str">
        <x:f>'Evaluation Plan'!L67</x:f>
        <x:v>2 — Exact-scene opposite-direction contrast — Direction-word counterfactual (front→behind)</x:v>
      </x:c>
      <x:c r="M67" s="8" t="n">
        <x:f>'Evaluation Plan'!M67</x:f>
        <x:v>17</x:v>
      </x:c>
      <x:c r="N67" s="7" t="str">
        <x:f>'Evaluation Plan'!N67</x:f>
        <x:v>Reset only P2 to its marked start. Preserve the exact scene; change only the directional word and expected goal sector.</x:v>
      </x:c>
      <x:c r="O67" s="7" t="str">
        <x:f>'Evaluation Plan'!O67</x:f>
        <x:v>Exact-scene semantic counterfactual. Target and reference identities stay fixed while the requested endpoint reverses front↔behind or left↔right.</x:v>
      </x:c>
      <x:c r="P67" s="7" t="str">
        <x:f>IF(ISBLANK('Evaluation Plan'!P67),"",'Evaluation Plan'!P67)</x:f>
      </x:c>
    </x:row>
    <x:row r="68" ht="64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Place the green pen next to the red block.</x:v>
      </x:c>
      <x:c r="D68" s="7" t="str">
        <x:f>'Evaluation Plan'!D68</x:f>
        <x:v>P1 red block at R2 (5 cm left of center) [REFERENCE]; P2 green pen 21 cm behind P1 [TARGET START]; P3 pink marker 15 cm to the left of P1 [DISTRACTOR]; P4 blue block 15 cm to the right of P1 [DISTRACTOR]</x:v>
      </x:c>
      <x:c r="E68" s="8" t="n">
        <x:f>IF(ISBLANK('Evaluation Plan'!E68),"",'Evaluation Plan'!E68)</x:f>
        <x:v>64</x:v>
      </x:c>
      <x:c r="F68" s="8" t="str">
        <x:f>'Evaluation Plan'!F68</x:f>
        <x:v>green pen → 2–8 cm edge gap from red block (any direction)</x:v>
      </x:c>
      <x:c r="G68" s="7"/>
      <x:c r="H68" s="8" t="str">
        <x:f>'Evaluation Plan'!H68</x:f>
        <x:v>Matched manipulation control</x:v>
      </x:c>
      <x:c r="I68" s="8" t="str">
        <x:f>'Evaluation Plan'!I68</x:f>
        <x:v>RP-F17</x:v>
      </x:c>
      <x:c r="J68" s="8" t="str">
        <x:f>'Evaluation Plan'!J68</x:f>
        <x:v>near</x:v>
      </x:c>
      <x:c r="K68" s="8" t="n">
        <x:f>'Evaluation Plan'!K68</x:f>
        <x:v>4</x:v>
      </x:c>
      <x:c r="L68" s="8" t="str">
        <x:f>'Evaluation Plan'!L68</x:f>
        <x:v>3 — Matched control — Seen near/next-to/beside relation on the same ordered pair (4 objects)</x:v>
      </x:c>
      <x:c r="M68" s="8" t="n">
        <x:f>'Evaluation Plan'!M68</x:f>
        <x:v>17</x:v>
      </x:c>
      <x:c r="N68" s="7" t="str">
        <x:f>'Evaluation Plan'!N68</x:f>
        <x:v>Reset only P2 to its marked start. Keep every object, camera setting, and pose fixed; change only the prompt.</x:v>
      </x:c>
      <x:c r="O68" s="7" t="str">
        <x:f>'Evaluation Plan'!O68</x:f>
        <x:v>Controls target/reference recognition and basic pick-place on the exact pair. It is skill-matched but not direction-endpoint-matched, so analyze the paired success delta separately.</x:v>
      </x:c>
      <x:c r="P68" s="7" t="str">
        <x:f>IF(ISBLANK('Evaluation Plan'!P68),"",'Evaluation Plan'!P68)</x:f>
      </x:c>
    </x:row>
    <x:row r="69" ht="64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Put the green pen close to the red block.</x:v>
      </x:c>
      <x:c r="D69" s="7" t="str">
        <x:f>'Evaluation Plan'!D69</x:f>
        <x:v>P1 red block at R2 (5 cm left of center) [REFERENCE]; P2 green pen 21 cm behind P1 [TARGET START]; P3 pink marker 15 cm to the left of P1 [DISTRACTOR]; P4 blue block 15 cm to the right of P1 [DISTRACTOR]</x:v>
      </x:c>
      <x:c r="E69" s="8" t="n">
        <x:f>IF(ISBLANK('Evaluation Plan'!E69),"",'Evaluation Plan'!E69)</x:f>
        <x:v>66</x:v>
      </x:c>
      <x:c r="F69" s="8" t="str">
        <x:f>'Evaluation Plan'!F69</x:f>
        <x:v>green pen → 2–8 cm edge gap from red block (any direction)</x:v>
      </x:c>
      <x:c r="G69" s="7"/>
      <x:c r="H69" s="8" t="str">
        <x:f>'Evaluation Plan'!H69</x:f>
        <x:v>Language robustness</x:v>
      </x:c>
      <x:c r="I69" s="8" t="str">
        <x:f>'Evaluation Plan'!I69</x:f>
        <x:v>RP-F17</x:v>
      </x:c>
      <x:c r="J69" s="8" t="str">
        <x:f>'Evaluation Plan'!J69</x:f>
        <x:v>near</x:v>
      </x:c>
      <x:c r="K69" s="8" t="n">
        <x:f>'Evaluation Plan'!K69</x:f>
        <x:v>4</x:v>
      </x:c>
      <x:c r="L69" s="8" t="str">
        <x:f>'Evaluation Plan'!L69</x:f>
        <x:v>4 — Exact-scene control paraphrase — Paraphrase of matched-control prompt</x:v>
      </x:c>
      <x:c r="M69" s="8" t="n">
        <x:f>'Evaluation Plan'!M69</x:f>
        <x:v>17</x:v>
      </x:c>
      <x:c r="N69" s="7" t="str">
        <x:f>'Evaluation Plan'!N69</x:f>
        <x:v>Reset only P2 to its marked start; change only the prompt wording.</x:v>
      </x:c>
      <x:c r="O69" s="7" t="str">
        <x:f>'Evaluation Plan'!O69</x:f>
        <x:v>Exact-scene language comparison for the seen near relation.</x:v>
      </x:c>
      <x:c r="P69" s="7" t="str">
        <x:f>IF(ISBLANK('Evaluation Plan'!P69),"",'Evaluation Plan'!P69)</x:f>
      </x:c>
    </x:row>
    <x:row r="70" ht="64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Put the red block on the table behind the green pen.</x:v>
      </x:c>
      <x:c r="D70" s="10" t="str">
        <x:f>'Evaluation Plan'!D70</x:f>
        <x:v>P1 green pen at R3 (5 cm right of center) [REFERENCE]; P2 red block 24 cm in front of P1 [TARGET START]; P3 pink marker 15 cm to the left of P1 [DISTRACTOR]; P4 blue block 15 cm to the right of P1 [DISTRACTOR]</x:v>
      </x:c>
      <x:c r="E70" s="9" t="str">
        <x:f>IF(ISBLANK('Evaluation Plan'!E70),"",'Evaluation Plan'!E70)</x:f>
      </x:c>
      <x:c r="F70" s="9" t="str">
        <x:f>'Evaluation Plan'!F70</x:f>
        <x:v>red block → 2–8 cm edge gap behind green pen; centroid direction within ±45°</x:v>
      </x:c>
      <x:c r="G70" s="10"/>
      <x:c r="H70" s="9" t="str">
        <x:f>'Evaluation Plan'!H70</x:f>
        <x:v>Concept/compositional transfer</x:v>
      </x:c>
      <x:c r="I70" s="9" t="str">
        <x:f>'Evaluation Plan'!I70</x:f>
        <x:v>RP-F18</x:v>
      </x:c>
      <x:c r="J70" s="9" t="str">
        <x:f>'Evaluation Plan'!J70</x:f>
        <x:v>behind</x:v>
      </x:c>
      <x:c r="K70" s="9" t="n">
        <x:f>'Evaluation Plan'!K70</x:f>
        <x:v>4</x:v>
      </x:c>
      <x:c r="L70" s="9" t="str">
        <x:f>'Evaluation Plan'!L70</x:f>
        <x:v>1 — Canonical transfer — Held-out direction × green-pen/red-block pair (behind)</x:v>
      </x:c>
      <x:c r="M70" s="9" t="n">
        <x:f>'Evaluation Plan'!M70</x:f>
        <x:v>18</x:v>
      </x:c>
      <x:c r="N70" s="10" t="str">
        <x:f>'Evaluation Plan'!N70</x:f>
        <x:v>Build the marked scene. Target starts in the opposite sector and outside the success gap; save a first-frame filename.</x:v>
      </x:c>
      <x:c r="O70" s="10" t="str">
        <x:f>'Evaluation Plan'!O70</x:f>
        <x:v>Directional language is trained on other object pairs, but all directional green-pen/red-block demonstrations are withheld in both target/reference directions.</x:v>
      </x:c>
      <x:c r="P70" s="10" t="str">
        <x:f>IF(ISBLANK('Evaluation Plan'!P70),"",'Evaluation Plan'!P70)</x:f>
      </x:c>
    </x:row>
    <x:row r="71" ht="64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Place the red block in front of the green pen.</x:v>
      </x:c>
      <x:c r="D71" s="7" t="str">
        <x:f>'Evaluation Plan'!D71</x:f>
        <x:v>P1 green pen at R3 (5 cm right of center) [REFERENCE]; P2 red block 24 cm in front of P1 [TARGET START]; P3 pink marker 15 cm to the left of P1 [DISTRACTOR]; P4 blue block 15 cm to the right of P1 [DISTRACTOR]</x:v>
      </x:c>
      <x:c r="E71" s="8" t="n">
        <x:f>IF(ISBLANK('Evaluation Plan'!E71),"",'Evaluation Plan'!E71)</x:f>
        <x:v>68</x:v>
      </x:c>
      <x:c r="F71" s="8" t="str">
        <x:f>'Evaluation Plan'!F71</x:f>
        <x:v>red block → 2–8 cm edge gap in front of green pen; centroid direction within ±45°</x:v>
      </x:c>
      <x:c r="G71" s="7"/>
      <x:c r="H71" s="8" t="str">
        <x:f>'Evaluation Plan'!H71</x:f>
        <x:v>Exact-scene opposite-direction contrast</x:v>
      </x:c>
      <x:c r="I71" s="8" t="str">
        <x:f>'Evaluation Plan'!I71</x:f>
        <x:v>RP-F18</x:v>
      </x:c>
      <x:c r="J71" s="8" t="str">
        <x:f>'Evaluation Plan'!J71</x:f>
        <x:v>front</x:v>
      </x:c>
      <x:c r="K71" s="8" t="n">
        <x:f>'Evaluation Plan'!K71</x:f>
        <x:v>4</x:v>
      </x:c>
      <x:c r="L71" s="8" t="str">
        <x:f>'Evaluation Plan'!L71</x:f>
        <x:v>2 — Exact-scene opposite-direction contrast — Direction-word counterfactual (behind→front)</x:v>
      </x:c>
      <x:c r="M71" s="8" t="n">
        <x:f>'Evaluation Plan'!M71</x:f>
        <x:v>18</x:v>
      </x:c>
      <x:c r="N71" s="7" t="str">
        <x:f>'Evaluation Plan'!N71</x:f>
        <x:v>Reset only P2 to its marked start. Preserve the exact scene; change only the directional word and expected goal sector.</x:v>
      </x:c>
      <x:c r="O71" s="7" t="str">
        <x:f>'Evaluation Plan'!O71</x:f>
        <x:v>Exact-scene semantic counterfactual. Target and reference identities stay fixed while the requested endpoint reverses front↔behind or left↔right.</x:v>
      </x:c>
      <x:c r="P71" s="7" t="str">
        <x:f>IF(ISBLANK('Evaluation Plan'!P71),"",'Evaluation Plan'!P71)</x:f>
      </x:c>
    </x:row>
    <x:row r="72" ht="64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red block beside the green pen.</x:v>
      </x:c>
      <x:c r="D72" s="7" t="str">
        <x:f>'Evaluation Plan'!D72</x:f>
        <x:v>P1 green pen at R3 (5 cm right of center) [REFERENCE]; P2 red block 24 cm in front of P1 [TARGET START]; P3 pink marker 15 cm to the left of P1 [DISTRACTOR]; P4 blue block 15 cm to the right of P1 [DISTRACTOR]</x:v>
      </x:c>
      <x:c r="E72" s="8" t="n">
        <x:f>IF(ISBLANK('Evaluation Plan'!E72),"",'Evaluation Plan'!E72)</x:f>
        <x:v>68</x:v>
      </x:c>
      <x:c r="F72" s="8" t="str">
        <x:f>'Evaluation Plan'!F72</x:f>
        <x:v>red block → 2–8 cm edge gap from green pen (any direction)</x:v>
      </x:c>
      <x:c r="G72" s="7"/>
      <x:c r="H72" s="8" t="str">
        <x:f>'Evaluation Plan'!H72</x:f>
        <x:v>Matched manipulation control</x:v>
      </x:c>
      <x:c r="I72" s="8" t="str">
        <x:f>'Evaluation Plan'!I72</x:f>
        <x:v>RP-F18</x:v>
      </x:c>
      <x:c r="J72" s="8" t="str">
        <x:f>'Evaluation Plan'!J72</x:f>
        <x:v>near</x:v>
      </x:c>
      <x:c r="K72" s="8" t="n">
        <x:f>'Evaluation Plan'!K72</x:f>
        <x:v>4</x:v>
      </x:c>
      <x:c r="L72" s="8" t="str">
        <x:f>'Evaluation Plan'!L72</x:f>
        <x:v>3 — Matched control — Seen near/next-to/beside relation on the same ordered pair (4 objects)</x:v>
      </x:c>
      <x:c r="M72" s="8" t="n">
        <x:f>'Evaluation Plan'!M72</x:f>
        <x:v>18</x:v>
      </x:c>
      <x:c r="N72" s="7" t="str">
        <x:f>'Evaluation Plan'!N72</x:f>
        <x:v>Reset only P2 to its marked start. Keep every object, camera setting, and pose fixed; change only the prompt.</x:v>
      </x:c>
      <x:c r="O72" s="7" t="str">
        <x:f>'Evaluation Plan'!O72</x:f>
        <x:v>Controls target/reference recognition and basic pick-place on the exact pair. It is skill-matched but not direction-endpoint-matched, so analyze the paired success delta separately.</x:v>
      </x:c>
      <x:c r="P72" s="7" t="str">
        <x:f>IF(ISBLANK('Evaluation Plan'!P72),"",'Evaluation Plan'!P72)</x:f>
      </x:c>
    </x:row>
    <x:row r="73" ht="64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Set the red block alongside the green pen.</x:v>
      </x:c>
      <x:c r="D73" s="7" t="str">
        <x:f>'Evaluation Plan'!D73</x:f>
        <x:v>P1 green pen at R3 (5 cm right of center) [REFERENCE]; P2 red block 24 cm in front of P1 [TARGET START]; P3 pink marker 15 cm to the left of P1 [DISTRACTOR]; P4 blue block 15 cm to the right of P1 [DISTRACTOR]</x:v>
      </x:c>
      <x:c r="E73" s="8" t="n">
        <x:f>IF(ISBLANK('Evaluation Plan'!E73),"",'Evaluation Plan'!E73)</x:f>
        <x:v>70</x:v>
      </x:c>
      <x:c r="F73" s="8" t="str">
        <x:f>'Evaluation Plan'!F73</x:f>
        <x:v>red block → 2–8 cm edge gap from green pen (any direction)</x:v>
      </x:c>
      <x:c r="G73" s="7"/>
      <x:c r="H73" s="8" t="str">
        <x:f>'Evaluation Plan'!H73</x:f>
        <x:v>Language robustness</x:v>
      </x:c>
      <x:c r="I73" s="8" t="str">
        <x:f>'Evaluation Plan'!I73</x:f>
        <x:v>RP-F18</x:v>
      </x:c>
      <x:c r="J73" s="8" t="str">
        <x:f>'Evaluation Plan'!J73</x:f>
        <x:v>near</x:v>
      </x:c>
      <x:c r="K73" s="8" t="n">
        <x:f>'Evaluation Plan'!K73</x:f>
        <x:v>4</x:v>
      </x:c>
      <x:c r="L73" s="8" t="str">
        <x:f>'Evaluation Plan'!L73</x:f>
        <x:v>4 — Exact-scene control paraphrase — Paraphrase of matched-control prompt</x:v>
      </x:c>
      <x:c r="M73" s="8" t="n">
        <x:f>'Evaluation Plan'!M73</x:f>
        <x:v>18</x:v>
      </x:c>
      <x:c r="N73" s="7" t="str">
        <x:f>'Evaluation Plan'!N73</x:f>
        <x:v>Reset only P2 to its marked start; change only the prompt wording.</x:v>
      </x:c>
      <x:c r="O73" s="7" t="str">
        <x:f>'Evaluation Plan'!O73</x:f>
        <x:v>Exact-scene language comparison for the seen near relation.</x:v>
      </x:c>
      <x:c r="P73" s="7" t="str">
        <x:f>IF(ISBLANK('Evaluation Plan'!P73),"",'Evaluation Plan'!P73)</x:f>
      </x:c>
    </x:row>
    <x:row r="74" ht="64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Place the green pen to the left of the red block.</x:v>
      </x:c>
      <x:c r="D74" s="10" t="str">
        <x:f>'Evaluation Plan'!D74</x:f>
        <x:v>P1 red block at R4 (5 cm toward the robot from center) [REFERENCE]; P2 green pen 18 cm to the right of P1 [TARGET START]; P3 pink marker 15 cm in front of P1 [DISTRACTOR]; P4 blue block 15 cm behind P1 [DISTRACTOR]</x:v>
      </x:c>
      <x:c r="E74" s="9" t="str">
        <x:f>IF(ISBLANK('Evaluation Plan'!E74),"",'Evaluation Plan'!E74)</x:f>
      </x:c>
      <x:c r="F74" s="9" t="str">
        <x:f>'Evaluation Plan'!F74</x:f>
        <x:v>green pen → 2–8 cm edge gap to the left of red block; centroid direction within ±45°</x:v>
      </x:c>
      <x:c r="G74" s="10"/>
      <x:c r="H74" s="9" t="str">
        <x:f>'Evaluation Plan'!H74</x:f>
        <x:v>Concept/compositional transfer</x:v>
      </x:c>
      <x:c r="I74" s="9" t="str">
        <x:f>'Evaluation Plan'!I74</x:f>
        <x:v>RP-F19</x:v>
      </x:c>
      <x:c r="J74" s="9" t="str">
        <x:f>'Evaluation Plan'!J74</x:f>
        <x:v>left</x:v>
      </x:c>
      <x:c r="K74" s="9" t="n">
        <x:f>'Evaluation Plan'!K74</x:f>
        <x:v>4</x:v>
      </x:c>
      <x:c r="L74" s="9" t="str">
        <x:f>'Evaluation Plan'!L74</x:f>
        <x:v>1 — Canonical transfer — Held-out direction × green-pen/red-block pair (left)</x:v>
      </x:c>
      <x:c r="M74" s="9" t="n">
        <x:f>'Evaluation Plan'!M74</x:f>
        <x:v>19</x:v>
      </x:c>
      <x:c r="N74" s="10" t="str">
        <x:f>'Evaluation Plan'!N74</x:f>
        <x:v>Build the marked scene. Target starts in the opposite sector and outside the success gap; save a first-frame filename.</x:v>
      </x:c>
      <x:c r="O74" s="10" t="str">
        <x:f>'Evaluation Plan'!O74</x:f>
        <x:v>Directional language is trained on other object pairs, but all directional green-pen/red-block demonstrations are withheld in both target/reference directions.</x:v>
      </x:c>
      <x:c r="P74" s="10" t="str">
        <x:f>IF(ISBLANK('Evaluation Plan'!P74),"",'Evaluation Plan'!P74)</x:f>
      </x:c>
    </x:row>
    <x:row r="75" ht="64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Place the green pen to the right of the red block.</x:v>
      </x:c>
      <x:c r="D75" s="7" t="str">
        <x:f>'Evaluation Plan'!D75</x:f>
        <x:v>P1 red block at R4 (5 cm toward the robot from center) [REFERENCE]; P2 green pen 18 cm to the right of P1 [TARGET START]; P3 pink marker 15 cm in front of P1 [DISTRACTOR]; P4 blue block 15 cm behind P1 [DISTRACTOR]</x:v>
      </x:c>
      <x:c r="E75" s="8" t="n">
        <x:f>IF(ISBLANK('Evaluation Plan'!E75),"",'Evaluation Plan'!E75)</x:f>
        <x:v>72</x:v>
      </x:c>
      <x:c r="F75" s="8" t="str">
        <x:f>'Evaluation Plan'!F75</x:f>
        <x:v>green pen → 2–8 cm edge gap to the right of red block; centroid direction within ±45°</x:v>
      </x:c>
      <x:c r="G75" s="7"/>
      <x:c r="H75" s="8" t="str">
        <x:f>'Evaluation Plan'!H75</x:f>
        <x:v>Exact-scene opposite-direction contrast</x:v>
      </x:c>
      <x:c r="I75" s="8" t="str">
        <x:f>'Evaluation Plan'!I75</x:f>
        <x:v>RP-F19</x:v>
      </x:c>
      <x:c r="J75" s="8" t="str">
        <x:f>'Evaluation Plan'!J75</x:f>
        <x:v>right</x:v>
      </x:c>
      <x:c r="K75" s="8" t="n">
        <x:f>'Evaluation Plan'!K75</x:f>
        <x:v>4</x:v>
      </x:c>
      <x:c r="L75" s="8" t="str">
        <x:f>'Evaluation Plan'!L75</x:f>
        <x:v>2 — Exact-scene opposite-direction contrast — Direction-word counterfactual (left→right)</x:v>
      </x:c>
      <x:c r="M75" s="8" t="n">
        <x:f>'Evaluation Plan'!M75</x:f>
        <x:v>19</x:v>
      </x:c>
      <x:c r="N75" s="7" t="str">
        <x:f>'Evaluation Plan'!N75</x:f>
        <x:v>Reset only P2 to its marked start. Preserve the exact scene; change only the directional word and expected goal sector.</x:v>
      </x:c>
      <x:c r="O75" s="7" t="str">
        <x:f>'Evaluation Plan'!O75</x:f>
        <x:v>Exact-scene semantic counterfactual. Target and reference identities stay fixed while the requested endpoint reverses front↔behind or left↔right.</x:v>
      </x:c>
      <x:c r="P75" s="7" t="str">
        <x:f>IF(ISBLANK('Evaluation Plan'!P75),"",'Evaluation Plan'!P75)</x:f>
      </x:c>
    </x:row>
    <x:row r="76" ht="64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green pen near the red block.</x:v>
      </x:c>
      <x:c r="D76" s="7" t="str">
        <x:f>'Evaluation Plan'!D76</x:f>
        <x:v>P1 red block at R4 (5 cm toward the robot from center) [REFERENCE]; P2 green pen 18 cm to the right of P1 [TARGET START]; P3 pink marker 15 cm in front of P1 [DISTRACTOR]; P4 blue block 15 cm behind P1 [DISTRACTOR]</x:v>
      </x:c>
      <x:c r="E76" s="8" t="n">
        <x:f>IF(ISBLANK('Evaluation Plan'!E76),"",'Evaluation Plan'!E76)</x:f>
        <x:v>72</x:v>
      </x:c>
      <x:c r="F76" s="8" t="str">
        <x:f>'Evaluation Plan'!F76</x:f>
        <x:v>green pen → 2–8 cm edge gap from red block (any direction)</x:v>
      </x:c>
      <x:c r="G76" s="7"/>
      <x:c r="H76" s="8" t="str">
        <x:f>'Evaluation Plan'!H76</x:f>
        <x:v>Matched manipulation control</x:v>
      </x:c>
      <x:c r="I76" s="8" t="str">
        <x:f>'Evaluation Plan'!I76</x:f>
        <x:v>RP-F19</x:v>
      </x:c>
      <x:c r="J76" s="8" t="str">
        <x:f>'Evaluation Plan'!J76</x:f>
        <x:v>near</x:v>
      </x:c>
      <x:c r="K76" s="8" t="n">
        <x:f>'Evaluation Plan'!K76</x:f>
        <x:v>4</x:v>
      </x:c>
      <x:c r="L76" s="8" t="str">
        <x:f>'Evaluation Plan'!L76</x:f>
        <x:v>3 — Matched control — Seen near/next-to/beside relation on the same ordered pair (4 objects)</x:v>
      </x:c>
      <x:c r="M76" s="8" t="n">
        <x:f>'Evaluation Plan'!M76</x:f>
        <x:v>19</x:v>
      </x:c>
      <x:c r="N76" s="7" t="str">
        <x:f>'Evaluation Plan'!N76</x:f>
        <x:v>Reset only P2 to its marked start. Keep every object, camera setting, and pose fixed; change only the prompt.</x:v>
      </x:c>
      <x:c r="O76" s="7" t="str">
        <x:f>'Evaluation Plan'!O76</x:f>
        <x:v>Controls target/reference recognition and basic pick-place on the exact pair. It is skill-matched but not direction-endpoint-matched, so analyze the paired success delta separately.</x:v>
      </x:c>
      <x:c r="P76" s="7" t="str">
        <x:f>IF(ISBLANK('Evaluation Plan'!P76),"",'Evaluation Plan'!P76)</x:f>
      </x:c>
    </x:row>
    <x:row r="77" ht="64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Move the green pen within a short distance of the red block.</x:v>
      </x:c>
      <x:c r="D77" s="7" t="str">
        <x:f>'Evaluation Plan'!D77</x:f>
        <x:v>P1 red block at R4 (5 cm toward the robot from center) [REFERENCE]; P2 green pen 18 cm to the right of P1 [TARGET START]; P3 pink marker 15 cm in front of P1 [DISTRACTOR]; P4 blue block 15 cm behind P1 [DISTRACTOR]</x:v>
      </x:c>
      <x:c r="E77" s="8" t="n">
        <x:f>IF(ISBLANK('Evaluation Plan'!E77),"",'Evaluation Plan'!E77)</x:f>
        <x:v>74</x:v>
      </x:c>
      <x:c r="F77" s="8" t="str">
        <x:f>'Evaluation Plan'!F77</x:f>
        <x:v>green pen → 2–8 cm edge gap from red block (any direction)</x:v>
      </x:c>
      <x:c r="G77" s="7"/>
      <x:c r="H77" s="8" t="str">
        <x:f>'Evaluation Plan'!H77</x:f>
        <x:v>Language robustness</x:v>
      </x:c>
      <x:c r="I77" s="8" t="str">
        <x:f>'Evaluation Plan'!I77</x:f>
        <x:v>RP-F19</x:v>
      </x:c>
      <x:c r="J77" s="8" t="str">
        <x:f>'Evaluation Plan'!J77</x:f>
        <x:v>near</x:v>
      </x:c>
      <x:c r="K77" s="8" t="n">
        <x:f>'Evaluation Plan'!K77</x:f>
        <x:v>4</x:v>
      </x:c>
      <x:c r="L77" s="8" t="str">
        <x:f>'Evaluation Plan'!L77</x:f>
        <x:v>4 — Exact-scene control paraphrase — Paraphrase of matched-control prompt</x:v>
      </x:c>
      <x:c r="M77" s="8" t="n">
        <x:f>'Evaluation Plan'!M77</x:f>
        <x:v>19</x:v>
      </x:c>
      <x:c r="N77" s="7" t="str">
        <x:f>'Evaluation Plan'!N77</x:f>
        <x:v>Reset only P2 to its marked start; change only the prompt wording.</x:v>
      </x:c>
      <x:c r="O77" s="7" t="str">
        <x:f>'Evaluation Plan'!O77</x:f>
        <x:v>Exact-scene language comparison for the seen near relation.</x:v>
      </x:c>
      <x:c r="P77" s="7" t="str">
        <x:f>IF(ISBLANK('Evaluation Plan'!P77),"",'Evaluation Plan'!P77)</x:f>
      </x:c>
    </x:row>
    <x:row r="78" ht="64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Place the red block to the right of the green pen.</x:v>
      </x:c>
      <x:c r="D78" s="10" t="str">
        <x:f>'Evaluation Plan'!D78</x:f>
        <x:v>P1 green pen at R5 (5 cm away from the robot from center) [REFERENCE]; P2 red block 21 cm to the left of P1 [TARGET START]; P3 pink marker 15 cm in front of P1 [DISTRACTOR]; P4 blue block 15 cm behind P1 [DISTRACTOR]</x:v>
      </x:c>
      <x:c r="E78" s="9" t="str">
        <x:f>IF(ISBLANK('Evaluation Plan'!E78),"",'Evaluation Plan'!E78)</x:f>
      </x:c>
      <x:c r="F78" s="9" t="str">
        <x:f>'Evaluation Plan'!F78</x:f>
        <x:v>red block → 2–8 cm edge gap to the right of green pen; centroid direction within ±45°</x:v>
      </x:c>
      <x:c r="G78" s="10"/>
      <x:c r="H78" s="9" t="str">
        <x:f>'Evaluation Plan'!H78</x:f>
        <x:v>Concept/compositional transfer</x:v>
      </x:c>
      <x:c r="I78" s="9" t="str">
        <x:f>'Evaluation Plan'!I78</x:f>
        <x:v>RP-F20</x:v>
      </x:c>
      <x:c r="J78" s="9" t="str">
        <x:f>'Evaluation Plan'!J78</x:f>
        <x:v>right</x:v>
      </x:c>
      <x:c r="K78" s="9" t="n">
        <x:f>'Evaluation Plan'!K78</x:f>
        <x:v>4</x:v>
      </x:c>
      <x:c r="L78" s="9" t="str">
        <x:f>'Evaluation Plan'!L78</x:f>
        <x:v>1 — Canonical transfer — Held-out direction × green-pen/red-block pair (right)</x:v>
      </x:c>
      <x:c r="M78" s="9" t="n">
        <x:f>'Evaluation Plan'!M78</x:f>
        <x:v>20</x:v>
      </x:c>
      <x:c r="N78" s="10" t="str">
        <x:f>'Evaluation Plan'!N78</x:f>
        <x:v>Build the marked scene. Target starts in the opposite sector and outside the success gap; save a first-frame filename.</x:v>
      </x:c>
      <x:c r="O78" s="10" t="str">
        <x:f>'Evaluation Plan'!O78</x:f>
        <x:v>Directional language is trained on other object pairs, but all directional green-pen/red-block demonstrations are withheld in both target/reference directions.</x:v>
      </x:c>
      <x:c r="P78" s="10" t="str">
        <x:f>IF(ISBLANK('Evaluation Plan'!P78),"",'Evaluation Plan'!P78)</x:f>
      </x:c>
    </x:row>
    <x:row r="79" ht="64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Place the red block to the left of the green pen.</x:v>
      </x:c>
      <x:c r="D79" s="7" t="str">
        <x:f>'Evaluation Plan'!D79</x:f>
        <x:v>P1 green pen at R5 (5 cm away from the robot from center) [REFERENCE]; P2 red block 21 cm to the left of P1 [TARGET START]; P3 pink marker 15 cm in front of P1 [DISTRACTOR]; P4 blue block 15 cm behind P1 [DISTRACTOR]</x:v>
      </x:c>
      <x:c r="E79" s="8" t="n">
        <x:f>IF(ISBLANK('Evaluation Plan'!E79),"",'Evaluation Plan'!E79)</x:f>
        <x:v>76</x:v>
      </x:c>
      <x:c r="F79" s="8" t="str">
        <x:f>'Evaluation Plan'!F79</x:f>
        <x:v>red block → 2–8 cm edge gap to the left of green pen; centroid direction within ±45°</x:v>
      </x:c>
      <x:c r="G79" s="7"/>
      <x:c r="H79" s="8" t="str">
        <x:f>'Evaluation Plan'!H79</x:f>
        <x:v>Exact-scene opposite-direction contrast</x:v>
      </x:c>
      <x:c r="I79" s="8" t="str">
        <x:f>'Evaluation Plan'!I79</x:f>
        <x:v>RP-F20</x:v>
      </x:c>
      <x:c r="J79" s="8" t="str">
        <x:f>'Evaluation Plan'!J79</x:f>
        <x:v>left</x:v>
      </x:c>
      <x:c r="K79" s="8" t="n">
        <x:f>'Evaluation Plan'!K79</x:f>
        <x:v>4</x:v>
      </x:c>
      <x:c r="L79" s="8" t="str">
        <x:f>'Evaluation Plan'!L79</x:f>
        <x:v>2 — Exact-scene opposite-direction contrast — Direction-word counterfactual (right→left)</x:v>
      </x:c>
      <x:c r="M79" s="8" t="n">
        <x:f>'Evaluation Plan'!M79</x:f>
        <x:v>20</x:v>
      </x:c>
      <x:c r="N79" s="7" t="str">
        <x:f>'Evaluation Plan'!N79</x:f>
        <x:v>Reset only P2 to its marked start. Preserve the exact scene; change only the directional word and expected goal sector.</x:v>
      </x:c>
      <x:c r="O79" s="7" t="str">
        <x:f>'Evaluation Plan'!O79</x:f>
        <x:v>Exact-scene semantic counterfactual. Target and reference identities stay fixed while the requested endpoint reverses front↔behind or left↔right.</x:v>
      </x:c>
      <x:c r="P79" s="7" t="str">
        <x:f>IF(ISBLANK('Evaluation Plan'!P79),"",'Evaluation Plan'!P79)</x:f>
      </x:c>
    </x:row>
    <x:row r="80" ht="64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Place the red block next to the green pen.</x:v>
      </x:c>
      <x:c r="D80" s="7" t="str">
        <x:f>'Evaluation Plan'!D80</x:f>
        <x:v>P1 green pen at R5 (5 cm away from the robot from center) [REFERENCE]; P2 red block 21 cm to the left of P1 [TARGET START]; P3 pink marker 15 cm in front of P1 [DISTRACTOR]; P4 blue block 15 cm behind P1 [DISTRACTOR]</x:v>
      </x:c>
      <x:c r="E80" s="8" t="n">
        <x:f>IF(ISBLANK('Evaluation Plan'!E80),"",'Evaluation Plan'!E80)</x:f>
        <x:v>76</x:v>
      </x:c>
      <x:c r="F80" s="8" t="str">
        <x:f>'Evaluation Plan'!F80</x:f>
        <x:v>red block → 2–8 cm edge gap from green pen (any direction)</x:v>
      </x:c>
      <x:c r="G80" s="7"/>
      <x:c r="H80" s="8" t="str">
        <x:f>'Evaluation Plan'!H80</x:f>
        <x:v>Matched manipulation control</x:v>
      </x:c>
      <x:c r="I80" s="8" t="str">
        <x:f>'Evaluation Plan'!I80</x:f>
        <x:v>RP-F20</x:v>
      </x:c>
      <x:c r="J80" s="8" t="str">
        <x:f>'Evaluation Plan'!J80</x:f>
        <x:v>near</x:v>
      </x:c>
      <x:c r="K80" s="8" t="n">
        <x:f>'Evaluation Plan'!K80</x:f>
        <x:v>4</x:v>
      </x:c>
      <x:c r="L80" s="8" t="str">
        <x:f>'Evaluation Plan'!L80</x:f>
        <x:v>3 — Matched control — Seen near/next-to/beside relation on the same ordered pair (4 objects)</x:v>
      </x:c>
      <x:c r="M80" s="8" t="n">
        <x:f>'Evaluation Plan'!M80</x:f>
        <x:v>20</x:v>
      </x:c>
      <x:c r="N80" s="7" t="str">
        <x:f>'Evaluation Plan'!N80</x:f>
        <x:v>Reset only P2 to its marked start. Keep every object, camera setting, and pose fixed; change only the prompt.</x:v>
      </x:c>
      <x:c r="O80" s="7" t="str">
        <x:f>'Evaluation Plan'!O80</x:f>
        <x:v>Controls target/reference recognition and basic pick-place on the exact pair. It is skill-matched but not direction-endpoint-matched, so analyze the paired success delta separately.</x:v>
      </x:c>
      <x:c r="P80" s="7" t="str">
        <x:f>IF(ISBLANK('Evaluation Plan'!P80),"",'Evaluation Plan'!P80)</x:f>
      </x:c>
    </x:row>
    <x:row r="81" ht="64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Place the red block near enough to sit beside the green pen.</x:v>
      </x:c>
      <x:c r="D81" s="7" t="str">
        <x:f>'Evaluation Plan'!D81</x:f>
        <x:v>P1 green pen at R5 (5 cm away from the robot from center) [REFERENCE]; P2 red block 21 cm to the left of P1 [TARGET START]; P3 pink marker 15 cm in front of P1 [DISTRACTOR]; P4 blue block 15 cm behind P1 [DISTRACTOR]</x:v>
      </x:c>
      <x:c r="E81" s="8" t="n">
        <x:f>IF(ISBLANK('Evaluation Plan'!E81),"",'Evaluation Plan'!E81)</x:f>
        <x:v>78</x:v>
      </x:c>
      <x:c r="F81" s="8" t="str">
        <x:f>'Evaluation Plan'!F81</x:f>
        <x:v>red block → 2–8 cm edge gap from green pen (any direction)</x:v>
      </x:c>
      <x:c r="G81" s="7"/>
      <x:c r="H81" s="8" t="str">
        <x:f>'Evaluation Plan'!H81</x:f>
        <x:v>Language robustness</x:v>
      </x:c>
      <x:c r="I81" s="8" t="str">
        <x:f>'Evaluation Plan'!I81</x:f>
        <x:v>RP-F20</x:v>
      </x:c>
      <x:c r="J81" s="8" t="str">
        <x:f>'Evaluation Plan'!J81</x:f>
        <x:v>near</x:v>
      </x:c>
      <x:c r="K81" s="8" t="n">
        <x:f>'Evaluation Plan'!K81</x:f>
        <x:v>4</x:v>
      </x:c>
      <x:c r="L81" s="8" t="str">
        <x:f>'Evaluation Plan'!L81</x:f>
        <x:v>4 — Exact-scene control paraphrase — Paraphrase of matched-control prompt</x:v>
      </x:c>
      <x:c r="M81" s="8" t="n">
        <x:f>'Evaluation Plan'!M81</x:f>
        <x:v>20</x:v>
      </x:c>
      <x:c r="N81" s="7" t="str">
        <x:f>'Evaluation Plan'!N81</x:f>
        <x:v>Reset only P2 to its marked start; change only the prompt wording.</x:v>
      </x:c>
      <x:c r="O81" s="7" t="str">
        <x:f>'Evaluation Plan'!O81</x:f>
        <x:v>Exact-scene language comparison for the seen near relation.</x:v>
      </x:c>
      <x:c r="P81" s="7" t="str">
        <x:f>IF(ISBLANK('Evaluation Plan'!P81),"",'Evaluation Plan'!P81)</x:f>
      </x:c>
    </x:row>
    <x:row r="82" ht="64" customHeight="1">
      <x:c r="A82" s="8" t="str">
        <x:v>Not collected</x:v>
      </x:c>
      <x:c r="B82" s="8" t="n">
        <x:f>'Evaluation Plan'!B82</x:f>
        <x:v>80</x:v>
      </x:c>
      <x:c r="C82" s="7" t="str">
        <x:f>'Evaluation Plan'!C82</x:f>
        <x:v>Put the green pen on the table in front of the red block.</x:v>
      </x:c>
      <x:c r="D82" s="7" t="str">
        <x:f>'Evaluation Plan'!D82</x:f>
        <x:v>P1 red block at R1 (table center) [REFERENCE]; P2 green pen 24 cm behind P1 [TARGET START]; P3 pink marker 15 cm to the left of P1 [DISTRACTOR]</x:v>
      </x:c>
      <x:c r="E82" s="8" t="str">
        <x:f>IF(ISBLANK('Evaluation Plan'!E82),"",'Evaluation Plan'!E82)</x:f>
      </x:c>
      <x:c r="F82" s="8" t="str">
        <x:f>'Evaluation Plan'!F82</x:f>
        <x:v>green pen → 2–8 cm edge gap in front of red block; centroid direction within ±45°</x:v>
      </x:c>
      <x:c r="G82" s="7"/>
      <x:c r="H82" s="8" t="str">
        <x:f>'Evaluation Plan'!H82</x:f>
        <x:v>Concept/compositional transfer</x:v>
      </x:c>
      <x:c r="I82" s="8" t="str">
        <x:f>'Evaluation Plan'!I82</x:f>
        <x:v>RP-X01</x:v>
      </x:c>
      <x:c r="J82" s="8" t="str">
        <x:f>'Evaluation Plan'!J82</x:f>
        <x:v>front</x:v>
      </x:c>
      <x:c r="K82" s="8" t="n">
        <x:f>'Evaluation Plan'!K82</x:f>
        <x:v>3</x:v>
      </x:c>
      <x:c r="L82" s="8" t="str">
        <x:f>'Evaluation Plan'!L82</x:f>
        <x:v>Additional transfer — Additional held-out direction × green-pen/red-block pair (front)</x:v>
      </x:c>
      <x:c r="M82" s="8" t="n">
        <x:f>'Evaluation Plan'!M82</x:f>
        <x:v>21</x:v>
      </x:c>
      <x:c r="N82" s="7" t="str">
        <x:f>'Evaluation Plan'!N82</x:f>
        <x:v>Build the listed scene; target starts in the opposite sector. Save a first-frame filename.</x:v>
      </x:c>
      <x:c r="O82" s="7" t="str">
        <x:f>'Evaluation Plan'!O82</x:f>
        <x:v>Unpaired primary-transfer coverage. Canonical wording is seen with other pairs; only the object-pair composition is held out.</x:v>
      </x:c>
      <x:c r="P82" s="7" t="str">
        <x:f>IF(ISBLANK('Evaluation Plan'!P82),"",'Evaluation Plan'!P82)</x:f>
      </x:c>
    </x:row>
    <x:row r="83" ht="64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Place the red block behind the green pen.</x:v>
      </x:c>
      <x:c r="D83" s="7" t="str">
        <x:f>'Evaluation Plan'!D83</x:f>
        <x:v>P1 green pen at R2 (5 cm left of center) [REFERENCE]; P2 red block 18 cm in front of P1 [TARGET START]; P3 pink marker 15 cm to the left of P1 [DISTRACTOR]</x:v>
      </x:c>
      <x:c r="E83" s="8" t="str">
        <x:f>IF(ISBLANK('Evaluation Plan'!E83),"",'Evaluation Plan'!E83)</x:f>
      </x:c>
      <x:c r="F83" s="8" t="str">
        <x:f>'Evaluation Plan'!F83</x:f>
        <x:v>red block → 2–8 cm edge gap behind green pen; centroid direction within ±45°</x:v>
      </x:c>
      <x:c r="G83" s="7"/>
      <x:c r="H83" s="8" t="str">
        <x:f>'Evaluation Plan'!H83</x:f>
        <x:v>Concept/compositional transfer</x:v>
      </x:c>
      <x:c r="I83" s="8" t="str">
        <x:f>'Evaluation Plan'!I83</x:f>
        <x:v>RP-X02</x:v>
      </x:c>
      <x:c r="J83" s="8" t="str">
        <x:f>'Evaluation Plan'!J83</x:f>
        <x:v>behind</x:v>
      </x:c>
      <x:c r="K83" s="8" t="n">
        <x:f>'Evaluation Plan'!K83</x:f>
        <x:v>3</x:v>
      </x:c>
      <x:c r="L83" s="8" t="str">
        <x:f>'Evaluation Plan'!L83</x:f>
        <x:v>Additional transfer — Additional held-out direction × green-pen/red-block pair (behind)</x:v>
      </x:c>
      <x:c r="M83" s="8" t="n">
        <x:f>'Evaluation Plan'!M83</x:f>
        <x:v>22</x:v>
      </x:c>
      <x:c r="N83" s="7" t="str">
        <x:f>'Evaluation Plan'!N83</x:f>
        <x:v>Build the listed scene; target starts in the opposite sector. Save a first-frame filename.</x:v>
      </x:c>
      <x:c r="O83" s="7" t="str">
        <x:f>'Evaluation Plan'!O83</x:f>
        <x:v>Unpaired primary-transfer coverage. Canonical wording is seen with other pairs; only the object-pair composition is held out.</x:v>
      </x:c>
      <x:c r="P83" s="7" t="str">
        <x:f>IF(ISBLANK('Evaluation Plan'!P83),"",'Evaluation Plan'!P83)</x:f>
      </x:c>
    </x:row>
    <x:row r="84" ht="64" customHeight="1">
      <x:c r="A84" s="8" t="str">
        <x:v>Not collected</x:v>
      </x:c>
      <x:c r="B84" s="8" t="n">
        <x:f>'Evaluation Plan'!B84</x:f>
        <x:v>82</x:v>
      </x:c>
      <x:c r="C84" s="7" t="str">
        <x:f>'Evaluation Plan'!C84</x:f>
        <x:v>Place the green pen to the left of the red block.</x:v>
      </x:c>
      <x:c r="D84" s="7" t="str">
        <x:f>'Evaluation Plan'!D84</x:f>
        <x:v>P1 red block at R3 (5 cm right of center) [REFERENCE]; P2 green pen 21 cm to the right of P1 [TARGET START]; P3 pink marker 15 cm in front of P1 [DISTRACTOR]</x:v>
      </x:c>
      <x:c r="E84" s="8" t="str">
        <x:f>IF(ISBLANK('Evaluation Plan'!E84),"",'Evaluation Plan'!E84)</x:f>
      </x:c>
      <x:c r="F84" s="8" t="str">
        <x:f>'Evaluation Plan'!F84</x:f>
        <x:v>green pen → 2–8 cm edge gap to the left of red block; centroid direction within ±45°</x:v>
      </x:c>
      <x:c r="G84" s="7"/>
      <x:c r="H84" s="8" t="str">
        <x:f>'Evaluation Plan'!H84</x:f>
        <x:v>Concept/compositional transfer</x:v>
      </x:c>
      <x:c r="I84" s="8" t="str">
        <x:f>'Evaluation Plan'!I84</x:f>
        <x:v>RP-X03</x:v>
      </x:c>
      <x:c r="J84" s="8" t="str">
        <x:f>'Evaluation Plan'!J84</x:f>
        <x:v>left</x:v>
      </x:c>
      <x:c r="K84" s="8" t="n">
        <x:f>'Evaluation Plan'!K84</x:f>
        <x:v>3</x:v>
      </x:c>
      <x:c r="L84" s="8" t="str">
        <x:f>'Evaluation Plan'!L84</x:f>
        <x:v>Additional transfer — Additional held-out direction × green-pen/red-block pair (left)</x:v>
      </x:c>
      <x:c r="M84" s="8" t="n">
        <x:f>'Evaluation Plan'!M84</x:f>
        <x:v>23</x:v>
      </x:c>
      <x:c r="N84" s="7" t="str">
        <x:f>'Evaluation Plan'!N84</x:f>
        <x:v>Build the listed scene; target starts in the opposite sector. Save a first-frame filename.</x:v>
      </x:c>
      <x:c r="O84" s="7" t="str">
        <x:f>'Evaluation Plan'!O84</x:f>
        <x:v>Unpaired primary-transfer coverage. Canonical wording is seen with other pairs; only the object-pair composition is held out.</x:v>
      </x:c>
      <x:c r="P84" s="7" t="str">
        <x:f>IF(ISBLANK('Evaluation Plan'!P84),"",'Evaluation Plan'!P84)</x:f>
      </x:c>
    </x:row>
    <x:row r="85" ht="64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Place the red block to the right of the green pen.</x:v>
      </x:c>
      <x:c r="D85" s="7" t="str">
        <x:f>'Evaluation Plan'!D85</x:f>
        <x:v>P1 green pen at R4 (5 cm toward the robot from center) [REFERENCE]; P2 red block 24 cm to the left of P1 [TARGET START]; P3 pink marker 15 cm in front of P1 [DISTRACTOR]</x:v>
      </x:c>
      <x:c r="E85" s="8" t="str">
        <x:f>IF(ISBLANK('Evaluation Plan'!E85),"",'Evaluation Plan'!E85)</x:f>
      </x:c>
      <x:c r="F85" s="8" t="str">
        <x:f>'Evaluation Plan'!F85</x:f>
        <x:v>red block → 2–8 cm edge gap to the right of green pen; centroid direction within ±45°</x:v>
      </x:c>
      <x:c r="G85" s="7"/>
      <x:c r="H85" s="8" t="str">
        <x:f>'Evaluation Plan'!H85</x:f>
        <x:v>Concept/compositional transfer</x:v>
      </x:c>
      <x:c r="I85" s="8" t="str">
        <x:f>'Evaluation Plan'!I85</x:f>
        <x:v>RP-X04</x:v>
      </x:c>
      <x:c r="J85" s="8" t="str">
        <x:f>'Evaluation Plan'!J85</x:f>
        <x:v>right</x:v>
      </x:c>
      <x:c r="K85" s="8" t="n">
        <x:f>'Evaluation Plan'!K85</x:f>
        <x:v>3</x:v>
      </x:c>
      <x:c r="L85" s="8" t="str">
        <x:f>'Evaluation Plan'!L85</x:f>
        <x:v>Additional transfer — Additional held-out direction × green-pen/red-block pair (right)</x:v>
      </x:c>
      <x:c r="M85" s="8" t="n">
        <x:f>'Evaluation Plan'!M85</x:f>
        <x:v>24</x:v>
      </x:c>
      <x:c r="N85" s="7" t="str">
        <x:f>'Evaluation Plan'!N85</x:f>
        <x:v>Build the listed scene; target starts in the opposite sector. Save a first-frame filename.</x:v>
      </x:c>
      <x:c r="O85" s="7" t="str">
        <x:f>'Evaluation Plan'!O85</x:f>
        <x:v>Unpaired primary-transfer coverage. Canonical wording is seen with other pairs; only the object-pair composition is held out.</x:v>
      </x:c>
      <x:c r="P85" s="7" t="str">
        <x:f>IF(ISBLANK('Evaluation Plan'!P85),"",'Evaluation Plan'!P85)</x:f>
      </x:c>
    </x:row>
    <x:row r="86" ht="64" customHeight="1">
      <x:c r="A86" s="8" t="str">
        <x:v>Not collected</x:v>
      </x:c>
      <x:c r="B86" s="8" t="n">
        <x:f>'Evaluation Plan'!B86</x:f>
        <x:v>84</x:v>
      </x:c>
      <x:c r="C86" s="7" t="str">
        <x:f>'Evaluation Plan'!C86</x:f>
        <x:v>Place the red block in front of the green pen.</x:v>
      </x:c>
      <x:c r="D86" s="7" t="str">
        <x:f>'Evaluation Plan'!D86</x:f>
        <x:v>P1 green pen at R5 (5 cm away from the robot from center) [REFERENCE]; P2 red block 18 cm behind P1 [TARGET START]; P3 pink marker 15 cm to the left of P1 [DISTRACTOR]</x:v>
      </x:c>
      <x:c r="E86" s="8" t="str">
        <x:f>IF(ISBLANK('Evaluation Plan'!E86),"",'Evaluation Plan'!E86)</x:f>
      </x:c>
      <x:c r="F86" s="8" t="str">
        <x:f>'Evaluation Plan'!F86</x:f>
        <x:v>red block → 2–8 cm edge gap in front of green pen; centroid direction within ±45°</x:v>
      </x:c>
      <x:c r="G86" s="7"/>
      <x:c r="H86" s="8" t="str">
        <x:f>'Evaluation Plan'!H86</x:f>
        <x:v>Concept/compositional transfer</x:v>
      </x:c>
      <x:c r="I86" s="8" t="str">
        <x:f>'Evaluation Plan'!I86</x:f>
        <x:v>RP-X05</x:v>
      </x:c>
      <x:c r="J86" s="8" t="str">
        <x:f>'Evaluation Plan'!J86</x:f>
        <x:v>front</x:v>
      </x:c>
      <x:c r="K86" s="8" t="n">
        <x:f>'Evaluation Plan'!K86</x:f>
        <x:v>3</x:v>
      </x:c>
      <x:c r="L86" s="8" t="str">
        <x:f>'Evaluation Plan'!L86</x:f>
        <x:v>Additional transfer — Additional held-out direction × green-pen/red-block pair (front)</x:v>
      </x:c>
      <x:c r="M86" s="8" t="n">
        <x:f>'Evaluation Plan'!M86</x:f>
        <x:v>25</x:v>
      </x:c>
      <x:c r="N86" s="7" t="str">
        <x:f>'Evaluation Plan'!N86</x:f>
        <x:v>Build the listed scene; target starts in the opposite sector. Save a first-frame filename.</x:v>
      </x:c>
      <x:c r="O86" s="7" t="str">
        <x:f>'Evaluation Plan'!O86</x:f>
        <x:v>Unpaired primary-transfer coverage. Canonical wording is seen with other pairs; only the object-pair composition is held out.</x:v>
      </x:c>
      <x:c r="P86" s="7" t="str">
        <x:f>IF(ISBLANK('Evaluation Plan'!P86),"",'Evaluation Plan'!P86)</x:f>
      </x:c>
    </x:row>
    <x:row r="87" ht="64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Move the green pen to the back of the red block.</x:v>
      </x:c>
      <x:c r="D87" s="7" t="str">
        <x:f>'Evaluation Plan'!D87</x:f>
        <x:v>P1 red block at R1 (table center) [REFERENCE]; P2 green pen 21 cm in front of P1 [TARGET START]; P3 pink marker 15 cm to the left of P1 [DISTRACTOR]</x:v>
      </x:c>
      <x:c r="E87" s="8" t="str">
        <x:f>IF(ISBLANK('Evaluation Plan'!E87),"",'Evaluation Plan'!E87)</x:f>
      </x:c>
      <x:c r="F87" s="8" t="str">
        <x:f>'Evaluation Plan'!F87</x:f>
        <x:v>green pen → 2–8 cm edge gap behind red block; centroid direction within ±45°</x:v>
      </x:c>
      <x:c r="G87" s="7"/>
      <x:c r="H87" s="8" t="str">
        <x:f>'Evaluation Plan'!H87</x:f>
        <x:v>Concept/compositional transfer</x:v>
      </x:c>
      <x:c r="I87" s="8" t="str">
        <x:f>'Evaluation Plan'!I87</x:f>
        <x:v>RP-X06</x:v>
      </x:c>
      <x:c r="J87" s="8" t="str">
        <x:f>'Evaluation Plan'!J87</x:f>
        <x:v>behind</x:v>
      </x:c>
      <x:c r="K87" s="8" t="n">
        <x:f>'Evaluation Plan'!K87</x:f>
        <x:v>3</x:v>
      </x:c>
      <x:c r="L87" s="8" t="str">
        <x:f>'Evaluation Plan'!L87</x:f>
        <x:v>Additional transfer — Additional held-out direction × green-pen/red-block pair (behind)</x:v>
      </x:c>
      <x:c r="M87" s="8" t="n">
        <x:f>'Evaluation Plan'!M87</x:f>
        <x:v>26</x:v>
      </x:c>
      <x:c r="N87" s="7" t="str">
        <x:f>'Evaluation Plan'!N87</x:f>
        <x:v>Build the listed scene; target starts in the opposite sector. Save a first-frame filename.</x:v>
      </x:c>
      <x:c r="O87" s="7" t="str">
        <x:f>'Evaluation Plan'!O87</x:f>
        <x:v>Unpaired primary-transfer coverage. Canonical wording is seen with other pairs; only the object-pair composition is held out.</x:v>
      </x:c>
      <x:c r="P87" s="7" t="str">
        <x:f>IF(ISBLANK('Evaluation Plan'!P87),"",'Evaluation Plan'!P87)</x:f>
      </x:c>
    </x:row>
    <x:row r="88" ht="64" customHeight="1">
      <x:c r="A88" s="8" t="str">
        <x:v>Not collected</x:v>
      </x:c>
      <x:c r="B88" s="8" t="n">
        <x:f>'Evaluation Plan'!B88</x:f>
        <x:v>86</x:v>
      </x:c>
      <x:c r="C88" s="7" t="str">
        <x:f>'Evaluation Plan'!C88</x:f>
        <x:v>Place the red block to the left of the green pen.</x:v>
      </x:c>
      <x:c r="D88" s="7" t="str">
        <x:f>'Evaluation Plan'!D88</x:f>
        <x:v>P1 green pen at R2 (5 cm left of center) [REFERENCE]; P2 red block 24 cm to the right of P1 [TARGET START]; P3 pink marker 15 cm in front of P1 [DISTRACTOR]</x:v>
      </x:c>
      <x:c r="E88" s="8" t="str">
        <x:f>IF(ISBLANK('Evaluation Plan'!E88),"",'Evaluation Plan'!E88)</x:f>
      </x:c>
      <x:c r="F88" s="8" t="str">
        <x:f>'Evaluation Plan'!F88</x:f>
        <x:v>red block → 2–8 cm edge gap to the left of green pen; centroid direction within ±45°</x:v>
      </x:c>
      <x:c r="G88" s="7"/>
      <x:c r="H88" s="8" t="str">
        <x:f>'Evaluation Plan'!H88</x:f>
        <x:v>Concept/compositional transfer</x:v>
      </x:c>
      <x:c r="I88" s="8" t="str">
        <x:f>'Evaluation Plan'!I88</x:f>
        <x:v>RP-X07</x:v>
      </x:c>
      <x:c r="J88" s="8" t="str">
        <x:f>'Evaluation Plan'!J88</x:f>
        <x:v>left</x:v>
      </x:c>
      <x:c r="K88" s="8" t="n">
        <x:f>'Evaluation Plan'!K88</x:f>
        <x:v>3</x:v>
      </x:c>
      <x:c r="L88" s="8" t="str">
        <x:f>'Evaluation Plan'!L88</x:f>
        <x:v>Additional transfer — Additional held-out direction × green-pen/red-block pair (left)</x:v>
      </x:c>
      <x:c r="M88" s="8" t="n">
        <x:f>'Evaluation Plan'!M88</x:f>
        <x:v>27</x:v>
      </x:c>
      <x:c r="N88" s="7" t="str">
        <x:f>'Evaluation Plan'!N88</x:f>
        <x:v>Build the listed scene; target starts in the opposite sector. Save a first-frame filename.</x:v>
      </x:c>
      <x:c r="O88" s="7" t="str">
        <x:f>'Evaluation Plan'!O88</x:f>
        <x:v>Unpaired primary-transfer coverage. Canonical wording is seen with other pairs; only the object-pair composition is held out.</x:v>
      </x:c>
      <x:c r="P88" s="7" t="str">
        <x:f>IF(ISBLANK('Evaluation Plan'!P88),"",'Evaluation Plan'!P88)</x:f>
      </x:c>
    </x:row>
    <x:row r="89" ht="64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Place the green pen to the right of the red block.</x:v>
      </x:c>
      <x:c r="D89" s="7" t="str">
        <x:f>'Evaluation Plan'!D89</x:f>
        <x:v>P1 red block at R3 (5 cm right of center) [REFERENCE]; P2 green pen 18 cm to the left of P1 [TARGET START]; P3 pink marker 15 cm in front of P1 [DISTRACTOR]</x:v>
      </x:c>
      <x:c r="E89" s="8" t="str">
        <x:f>IF(ISBLANK('Evaluation Plan'!E89),"",'Evaluation Plan'!E89)</x:f>
      </x:c>
      <x:c r="F89" s="8" t="str">
        <x:f>'Evaluation Plan'!F89</x:f>
        <x:v>green pen → 2–8 cm edge gap to the right of red block; centroid direction within ±45°</x:v>
      </x:c>
      <x:c r="G89" s="7"/>
      <x:c r="H89" s="8" t="str">
        <x:f>'Evaluation Plan'!H89</x:f>
        <x:v>Concept/compositional transfer</x:v>
      </x:c>
      <x:c r="I89" s="8" t="str">
        <x:f>'Evaluation Plan'!I89</x:f>
        <x:v>RP-X08</x:v>
      </x:c>
      <x:c r="J89" s="8" t="str">
        <x:f>'Evaluation Plan'!J89</x:f>
        <x:v>right</x:v>
      </x:c>
      <x:c r="K89" s="8" t="n">
        <x:f>'Evaluation Plan'!K89</x:f>
        <x:v>3</x:v>
      </x:c>
      <x:c r="L89" s="8" t="str">
        <x:f>'Evaluation Plan'!L89</x:f>
        <x:v>Additional transfer — Additional held-out direction × green-pen/red-block pair (right)</x:v>
      </x:c>
      <x:c r="M89" s="8" t="n">
        <x:f>'Evaluation Plan'!M89</x:f>
        <x:v>28</x:v>
      </x:c>
      <x:c r="N89" s="7" t="str">
        <x:f>'Evaluation Plan'!N89</x:f>
        <x:v>Build the listed scene; target starts in the opposite sector. Save a first-frame filename.</x:v>
      </x:c>
      <x:c r="O89" s="7" t="str">
        <x:f>'Evaluation Plan'!O89</x:f>
        <x:v>Unpaired primary-transfer coverage. Canonical wording is seen with other pairs; only the object-pair composition is held out.</x:v>
      </x:c>
      <x:c r="P89" s="7" t="str">
        <x:f>IF(ISBLANK('Evaluation Plan'!P89),"",'Evaluation Plan'!P89)</x:f>
      </x:c>
    </x:row>
    <x:row r="90" ht="64" customHeight="1">
      <x:c r="A90" s="8" t="str">
        <x:v>Not collected</x:v>
      </x:c>
      <x:c r="B90" s="8" t="n">
        <x:f>'Evaluation Plan'!B90</x:f>
        <x:v>88</x:v>
      </x:c>
      <x:c r="C90" s="7" t="str">
        <x:f>'Evaluation Plan'!C90</x:f>
        <x:v>Move the green pen to the front of the red block.</x:v>
      </x:c>
      <x:c r="D90" s="7" t="str">
        <x:f>'Evaluation Plan'!D90</x:f>
        <x:v>P1 red block at R4 (5 cm toward the robot from center) [REFERENCE]; P2 green pen 21 cm behind P1 [TARGET START]; P3 pink marker 15 cm to the left of P1 [DISTRACTOR]</x:v>
      </x:c>
      <x:c r="E90" s="8" t="str">
        <x:f>IF(ISBLANK('Evaluation Plan'!E90),"",'Evaluation Plan'!E90)</x:f>
      </x:c>
      <x:c r="F90" s="8" t="str">
        <x:f>'Evaluation Plan'!F90</x:f>
        <x:v>green pen → 2–8 cm edge gap in front of red block; centroid direction within ±45°</x:v>
      </x:c>
      <x:c r="G90" s="7"/>
      <x:c r="H90" s="8" t="str">
        <x:f>'Evaluation Plan'!H90</x:f>
        <x:v>Concept/compositional transfer</x:v>
      </x:c>
      <x:c r="I90" s="8" t="str">
        <x:f>'Evaluation Plan'!I90</x:f>
        <x:v>RP-X09</x:v>
      </x:c>
      <x:c r="J90" s="8" t="str">
        <x:f>'Evaluation Plan'!J90</x:f>
        <x:v>front</x:v>
      </x:c>
      <x:c r="K90" s="8" t="n">
        <x:f>'Evaluation Plan'!K90</x:f>
        <x:v>3</x:v>
      </x:c>
      <x:c r="L90" s="8" t="str">
        <x:f>'Evaluation Plan'!L90</x:f>
        <x:v>Additional transfer — Additional held-out direction × green-pen/red-block pair (front)</x:v>
      </x:c>
      <x:c r="M90" s="8" t="n">
        <x:f>'Evaluation Plan'!M90</x:f>
        <x:v>29</x:v>
      </x:c>
      <x:c r="N90" s="7" t="str">
        <x:f>'Evaluation Plan'!N90</x:f>
        <x:v>Build the listed scene; target starts in the opposite sector. Save a first-frame filename.</x:v>
      </x:c>
      <x:c r="O90" s="7" t="str">
        <x:f>'Evaluation Plan'!O90</x:f>
        <x:v>Unpaired primary-transfer coverage. Canonical wording is seen with other pairs; only the object-pair composition is held out.</x:v>
      </x:c>
      <x:c r="P90" s="7" t="str">
        <x:f>IF(ISBLANK('Evaluation Plan'!P90),"",'Evaluation Plan'!P90)</x:f>
      </x:c>
    </x:row>
    <x:row r="91" ht="64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Put the red block on the table behind the green pen.</x:v>
      </x:c>
      <x:c r="D91" s="7" t="str">
        <x:f>'Evaluation Plan'!D91</x:f>
        <x:v>P1 green pen at R5 (5 cm away from the robot from center) [REFERENCE]; P2 red block 24 cm in front of P1 [TARGET START]; P3 pink marker 15 cm to the left of P1 [DISTRACTOR]</x:v>
      </x:c>
      <x:c r="E91" s="8" t="str">
        <x:f>IF(ISBLANK('Evaluation Plan'!E91),"",'Evaluation Plan'!E91)</x:f>
      </x:c>
      <x:c r="F91" s="8" t="str">
        <x:f>'Evaluation Plan'!F91</x:f>
        <x:v>red block → 2–8 cm edge gap behind green pen; centroid direction within ±45°</x:v>
      </x:c>
      <x:c r="G91" s="7"/>
      <x:c r="H91" s="8" t="str">
        <x:f>'Evaluation Plan'!H91</x:f>
        <x:v>Concept/compositional transfer</x:v>
      </x:c>
      <x:c r="I91" s="8" t="str">
        <x:f>'Evaluation Plan'!I91</x:f>
        <x:v>RP-X10</x:v>
      </x:c>
      <x:c r="J91" s="8" t="str">
        <x:f>'Evaluation Plan'!J91</x:f>
        <x:v>behind</x:v>
      </x:c>
      <x:c r="K91" s="8" t="n">
        <x:f>'Evaluation Plan'!K91</x:f>
        <x:v>3</x:v>
      </x:c>
      <x:c r="L91" s="8" t="str">
        <x:f>'Evaluation Plan'!L91</x:f>
        <x:v>Additional transfer — Additional held-out direction × green-pen/red-block pair (behind)</x:v>
      </x:c>
      <x:c r="M91" s="8" t="n">
        <x:f>'Evaluation Plan'!M91</x:f>
        <x:v>30</x:v>
      </x:c>
      <x:c r="N91" s="7" t="str">
        <x:f>'Evaluation Plan'!N91</x:f>
        <x:v>Build the listed scene; target starts in the opposite sector. Save a first-frame filename.</x:v>
      </x:c>
      <x:c r="O91" s="7" t="str">
        <x:f>'Evaluation Plan'!O91</x:f>
        <x:v>Unpaired primary-transfer coverage. Canonical wording is seen with other pairs; only the object-pair composition is held out.</x:v>
      </x:c>
      <x:c r="P91" s="7" t="str">
        <x:f>IF(ISBLANK('Evaluation Plan'!P91),"",'Evaluation Plan'!P91)</x:f>
      </x:c>
    </x:row>
    <x:row r="92" ht="64" customHeight="1">
      <x:c r="A92" s="8" t="str">
        <x:v>Not collected</x:v>
      </x:c>
      <x:c r="B92" s="8" t="n">
        <x:f>'Evaluation Plan'!B92</x:f>
        <x:v>90</x:v>
      </x:c>
      <x:c r="C92" s="7" t="str">
        <x:f>'Evaluation Plan'!C92</x:f>
        <x:v>Place the green pen to the left of the red block.</x:v>
      </x:c>
      <x:c r="D92" s="7" t="str">
        <x:f>'Evaluation Plan'!D92</x:f>
        <x:v>P1 red block at R1 (table center) [REFERENCE]; P2 green pen 18 cm to the right of P1 [TARGET START]; P3 pink marker 15 cm in front of P1 [DISTRACTOR]</x:v>
      </x:c>
      <x:c r="E92" s="8" t="str">
        <x:f>IF(ISBLANK('Evaluation Plan'!E92),"",'Evaluation Plan'!E92)</x:f>
      </x:c>
      <x:c r="F92" s="8" t="str">
        <x:f>'Evaluation Plan'!F92</x:f>
        <x:v>green pen → 2–8 cm edge gap to the left of red block; centroid direction within ±45°</x:v>
      </x:c>
      <x:c r="G92" s="7"/>
      <x:c r="H92" s="8" t="str">
        <x:f>'Evaluation Plan'!H92</x:f>
        <x:v>Concept/compositional transfer</x:v>
      </x:c>
      <x:c r="I92" s="8" t="str">
        <x:f>'Evaluation Plan'!I92</x:f>
        <x:v>RP-X11</x:v>
      </x:c>
      <x:c r="J92" s="8" t="str">
        <x:f>'Evaluation Plan'!J92</x:f>
        <x:v>left</x:v>
      </x:c>
      <x:c r="K92" s="8" t="n">
        <x:f>'Evaluation Plan'!K92</x:f>
        <x:v>3</x:v>
      </x:c>
      <x:c r="L92" s="8" t="str">
        <x:f>'Evaluation Plan'!L92</x:f>
        <x:v>Additional transfer — Additional held-out direction × green-pen/red-block pair (left)</x:v>
      </x:c>
      <x:c r="M92" s="8" t="n">
        <x:f>'Evaluation Plan'!M92</x:f>
        <x:v>31</x:v>
      </x:c>
      <x:c r="N92" s="7" t="str">
        <x:f>'Evaluation Plan'!N92</x:f>
        <x:v>Build the listed scene; target starts in the opposite sector. Save a first-frame filename.</x:v>
      </x:c>
      <x:c r="O92" s="7" t="str">
        <x:f>'Evaluation Plan'!O92</x:f>
        <x:v>Unpaired primary-transfer coverage. Canonical wording is seen with other pairs; only the object-pair composition is held out.</x:v>
      </x:c>
      <x:c r="P92" s="7" t="str">
        <x:f>IF(ISBLANK('Evaluation Plan'!P92),"",'Evaluation Plan'!P92)</x:f>
      </x:c>
    </x:row>
    <x:row r="93" ht="64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Place the red block to the right of the green pen.</x:v>
      </x:c>
      <x:c r="D93" s="7" t="str">
        <x:f>'Evaluation Plan'!D93</x:f>
        <x:v>P1 green pen at R2 (5 cm left of center) [REFERENCE]; P2 red block 21 cm to the left of P1 [TARGET START]; P3 pink marker 15 cm in front of P1 [DISTRACTOR]</x:v>
      </x:c>
      <x:c r="E93" s="8" t="str">
        <x:f>IF(ISBLANK('Evaluation Plan'!E93),"",'Evaluation Plan'!E93)</x:f>
      </x:c>
      <x:c r="F93" s="8" t="str">
        <x:f>'Evaluation Plan'!F93</x:f>
        <x:v>red block → 2–8 cm edge gap to the right of green pen; centroid direction within ±45°</x:v>
      </x:c>
      <x:c r="G93" s="7"/>
      <x:c r="H93" s="8" t="str">
        <x:f>'Evaluation Plan'!H93</x:f>
        <x:v>Concept/compositional transfer</x:v>
      </x:c>
      <x:c r="I93" s="8" t="str">
        <x:f>'Evaluation Plan'!I93</x:f>
        <x:v>RP-X12</x:v>
      </x:c>
      <x:c r="J93" s="8" t="str">
        <x:f>'Evaluation Plan'!J93</x:f>
        <x:v>right</x:v>
      </x:c>
      <x:c r="K93" s="8" t="n">
        <x:f>'Evaluation Plan'!K93</x:f>
        <x:v>3</x:v>
      </x:c>
      <x:c r="L93" s="8" t="str">
        <x:f>'Evaluation Plan'!L93</x:f>
        <x:v>Additional transfer — Additional held-out direction × green-pen/red-block pair (right)</x:v>
      </x:c>
      <x:c r="M93" s="8" t="n">
        <x:f>'Evaluation Plan'!M93</x:f>
        <x:v>32</x:v>
      </x:c>
      <x:c r="N93" s="7" t="str">
        <x:f>'Evaluation Plan'!N93</x:f>
        <x:v>Build the listed scene; target starts in the opposite sector. Save a first-frame filename.</x:v>
      </x:c>
      <x:c r="O93" s="7" t="str">
        <x:f>'Evaluation Plan'!O93</x:f>
        <x:v>Unpaired primary-transfer coverage. Canonical wording is seen with other pairs; only the object-pair composition is held out.</x:v>
      </x:c>
      <x:c r="P93" s="7" t="str">
        <x:f>IF(ISBLANK('Evaluation Plan'!P93),"",'Evaluation Plan'!P93)</x:f>
      </x:c>
    </x:row>
    <x:row r="94" ht="64" customHeight="1">
      <x:c r="A94" s="8" t="str">
        <x:v>Not collected</x:v>
      </x:c>
      <x:c r="B94" s="8" t="n">
        <x:f>'Evaluation Plan'!B94</x:f>
        <x:v>92</x:v>
      </x:c>
      <x:c r="C94" s="7" t="str">
        <x:f>'Evaluation Plan'!C94</x:f>
        <x:v>Put the red block on the table in front of the green pen.</x:v>
      </x:c>
      <x:c r="D94" s="7" t="str">
        <x:f>'Evaluation Plan'!D94</x:f>
        <x:v>P1 green pen at R3 (5 cm right of center) [REFERENCE]; P2 red block 24 cm behind P1 [TARGET START]; P3 pink marker 15 cm to the left of P1 [DISTRACTOR]</x:v>
      </x:c>
      <x:c r="E94" s="8" t="str">
        <x:f>IF(ISBLANK('Evaluation Plan'!E94),"",'Evaluation Plan'!E94)</x:f>
      </x:c>
      <x:c r="F94" s="8" t="str">
        <x:f>'Evaluation Plan'!F94</x:f>
        <x:v>red block → 2–8 cm edge gap in front of green pen; centroid direction within ±45°</x:v>
      </x:c>
      <x:c r="G94" s="7"/>
      <x:c r="H94" s="8" t="str">
        <x:f>'Evaluation Plan'!H94</x:f>
        <x:v>Concept/compositional transfer</x:v>
      </x:c>
      <x:c r="I94" s="8" t="str">
        <x:f>'Evaluation Plan'!I94</x:f>
        <x:v>RP-X13</x:v>
      </x:c>
      <x:c r="J94" s="8" t="str">
        <x:f>'Evaluation Plan'!J94</x:f>
        <x:v>front</x:v>
      </x:c>
      <x:c r="K94" s="8" t="n">
        <x:f>'Evaluation Plan'!K94</x:f>
        <x:v>3</x:v>
      </x:c>
      <x:c r="L94" s="8" t="str">
        <x:f>'Evaluation Plan'!L94</x:f>
        <x:v>Additional transfer — Additional held-out direction × green-pen/red-block pair (front)</x:v>
      </x:c>
      <x:c r="M94" s="8" t="n">
        <x:f>'Evaluation Plan'!M94</x:f>
        <x:v>33</x:v>
      </x:c>
      <x:c r="N94" s="7" t="str">
        <x:f>'Evaluation Plan'!N94</x:f>
        <x:v>Build the listed scene; target starts in the opposite sector. Save a first-frame filename.</x:v>
      </x:c>
      <x:c r="O94" s="7" t="str">
        <x:f>'Evaluation Plan'!O94</x:f>
        <x:v>Unpaired primary-transfer coverage. Canonical wording is seen with other pairs; only the object-pair composition is held out.</x:v>
      </x:c>
      <x:c r="P94" s="7" t="str">
        <x:f>IF(ISBLANK('Evaluation Plan'!P94),"",'Evaluation Plan'!P94)</x:f>
      </x:c>
    </x:row>
    <x:row r="95" ht="64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Place the green pen behind the red block.</x:v>
      </x:c>
      <x:c r="D95" s="7" t="str">
        <x:f>'Evaluation Plan'!D95</x:f>
        <x:v>P1 red block at R4 (5 cm toward the robot from center) [REFERENCE]; P2 green pen 18 cm in front of P1 [TARGET START]; P3 pink marker 15 cm to the left of P1 [DISTRACTOR]</x:v>
      </x:c>
      <x:c r="E95" s="8" t="str">
        <x:f>IF(ISBLANK('Evaluation Plan'!E95),"",'Evaluation Plan'!E95)</x:f>
      </x:c>
      <x:c r="F95" s="8" t="str">
        <x:f>'Evaluation Plan'!F95</x:f>
        <x:v>green pen → 2–8 cm edge gap behind red block; centroid direction within ±45°</x:v>
      </x:c>
      <x:c r="G95" s="7"/>
      <x:c r="H95" s="8" t="str">
        <x:f>'Evaluation Plan'!H95</x:f>
        <x:v>Concept/compositional transfer</x:v>
      </x:c>
      <x:c r="I95" s="8" t="str">
        <x:f>'Evaluation Plan'!I95</x:f>
        <x:v>RP-X14</x:v>
      </x:c>
      <x:c r="J95" s="8" t="str">
        <x:f>'Evaluation Plan'!J95</x:f>
        <x:v>behind</x:v>
      </x:c>
      <x:c r="K95" s="8" t="n">
        <x:f>'Evaluation Plan'!K95</x:f>
        <x:v>3</x:v>
      </x:c>
      <x:c r="L95" s="8" t="str">
        <x:f>'Evaluation Plan'!L95</x:f>
        <x:v>Additional transfer — Additional held-out direction × green-pen/red-block pair (behind)</x:v>
      </x:c>
      <x:c r="M95" s="8" t="n">
        <x:f>'Evaluation Plan'!M95</x:f>
        <x:v>34</x:v>
      </x:c>
      <x:c r="N95" s="7" t="str">
        <x:f>'Evaluation Plan'!N95</x:f>
        <x:v>Build the listed scene; target starts in the opposite sector. Save a first-frame filename.</x:v>
      </x:c>
      <x:c r="O95" s="7" t="str">
        <x:f>'Evaluation Plan'!O95</x:f>
        <x:v>Unpaired primary-transfer coverage. Canonical wording is seen with other pairs; only the object-pair composition is held out.</x:v>
      </x:c>
      <x:c r="P95" s="7" t="str">
        <x:f>IF(ISBLANK('Evaluation Plan'!P95),"",'Evaluation Plan'!P95)</x:f>
      </x:c>
    </x:row>
    <x:row r="96" ht="64" customHeight="1">
      <x:c r="A96" s="8" t="str">
        <x:v>Not collected</x:v>
      </x:c>
      <x:c r="B96" s="8" t="n">
        <x:f>'Evaluation Plan'!B96</x:f>
        <x:v>94</x:v>
      </x:c>
      <x:c r="C96" s="7" t="str">
        <x:f>'Evaluation Plan'!C96</x:f>
        <x:v>Place the red block to the left of the green pen.</x:v>
      </x:c>
      <x:c r="D96" s="7" t="str">
        <x:f>'Evaluation Plan'!D96</x:f>
        <x:v>P1 green pen at R5 (5 cm away from the robot from center) [REFERENCE]; P2 red block 21 cm to the right of P1 [TARGET START]; P3 pink marker 15 cm in front of P1 [DISTRACTOR]</x:v>
      </x:c>
      <x:c r="E96" s="8" t="str">
        <x:f>IF(ISBLANK('Evaluation Plan'!E96),"",'Evaluation Plan'!E96)</x:f>
      </x:c>
      <x:c r="F96" s="8" t="str">
        <x:f>'Evaluation Plan'!F96</x:f>
        <x:v>red block → 2–8 cm edge gap to the left of green pen; centroid direction within ±45°</x:v>
      </x:c>
      <x:c r="G96" s="7"/>
      <x:c r="H96" s="8" t="str">
        <x:f>'Evaluation Plan'!H96</x:f>
        <x:v>Concept/compositional transfer</x:v>
      </x:c>
      <x:c r="I96" s="8" t="str">
        <x:f>'Evaluation Plan'!I96</x:f>
        <x:v>RP-X15</x:v>
      </x:c>
      <x:c r="J96" s="8" t="str">
        <x:f>'Evaluation Plan'!J96</x:f>
        <x:v>left</x:v>
      </x:c>
      <x:c r="K96" s="8" t="n">
        <x:f>'Evaluation Plan'!K96</x:f>
        <x:v>3</x:v>
      </x:c>
      <x:c r="L96" s="8" t="str">
        <x:f>'Evaluation Plan'!L96</x:f>
        <x:v>Additional transfer — Additional held-out direction × green-pen/red-block pair (left)</x:v>
      </x:c>
      <x:c r="M96" s="8" t="n">
        <x:f>'Evaluation Plan'!M96</x:f>
        <x:v>35</x:v>
      </x:c>
      <x:c r="N96" s="7" t="str">
        <x:f>'Evaluation Plan'!N96</x:f>
        <x:v>Build the listed scene; target starts in the opposite sector. Save a first-frame filename.</x:v>
      </x:c>
      <x:c r="O96" s="7" t="str">
        <x:f>'Evaluation Plan'!O96</x:f>
        <x:v>Unpaired primary-transfer coverage. Canonical wording is seen with other pairs; only the object-pair composition is held out.</x:v>
      </x:c>
      <x:c r="P96" s="7" t="str">
        <x:f>IF(ISBLANK('Evaluation Plan'!P96),"",'Evaluation Plan'!P96)</x:f>
      </x:c>
    </x:row>
    <x:row r="97" ht="64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Place the green pen to the right of the red block.</x:v>
      </x:c>
      <x:c r="D97" s="7" t="str">
        <x:f>'Evaluation Plan'!D97</x:f>
        <x:v>P1 red block at R1 (table center) [REFERENCE]; P2 green pen 24 cm to the left of P1 [TARGET START]; P3 pink marker 15 cm in front of P1 [DISTRACTOR]; P4 blue block 15 cm behind P1 [DISTRACTOR]</x:v>
      </x:c>
      <x:c r="E97" s="8" t="str">
        <x:f>IF(ISBLANK('Evaluation Plan'!E97),"",'Evaluation Plan'!E97)</x:f>
      </x:c>
      <x:c r="F97" s="8" t="str">
        <x:f>'Evaluation Plan'!F97</x:f>
        <x:v>green pen → 2–8 cm edge gap to the right of red block; centroid direction within ±45°</x:v>
      </x:c>
      <x:c r="G97" s="7"/>
      <x:c r="H97" s="8" t="str">
        <x:f>'Evaluation Plan'!H97</x:f>
        <x:v>Concept/compositional transfer</x:v>
      </x:c>
      <x:c r="I97" s="8" t="str">
        <x:f>'Evaluation Plan'!I97</x:f>
        <x:v>RP-X16</x:v>
      </x:c>
      <x:c r="J97" s="8" t="str">
        <x:f>'Evaluation Plan'!J97</x:f>
        <x:v>right</x:v>
      </x:c>
      <x:c r="K97" s="8" t="n">
        <x:f>'Evaluation Plan'!K97</x:f>
        <x:v>4</x:v>
      </x:c>
      <x:c r="L97" s="8" t="str">
        <x:f>'Evaluation Plan'!L97</x:f>
        <x:v>Additional transfer — Additional held-out direction × green-pen/red-block pair (right)</x:v>
      </x:c>
      <x:c r="M97" s="8" t="n">
        <x:f>'Evaluation Plan'!M97</x:f>
        <x:v>36</x:v>
      </x:c>
      <x:c r="N97" s="7" t="str">
        <x:f>'Evaluation Plan'!N97</x:f>
        <x:v>Build the listed scene; target starts in the opposite sector. Save a first-frame filename.</x:v>
      </x:c>
      <x:c r="O97" s="7" t="str">
        <x:f>'Evaluation Plan'!O97</x:f>
        <x:v>Unpaired primary-transfer coverage. Canonical wording is seen with other pairs; only the object-pair composition is held out.</x:v>
      </x:c>
      <x:c r="P97" s="7" t="str">
        <x:f>IF(ISBLANK('Evaluation Plan'!P97),"",'Evaluation Plan'!P97)</x:f>
      </x:c>
    </x:row>
    <x:row r="98" ht="64" customHeight="1">
      <x:c r="A98" s="8" t="str">
        <x:v>Not collected</x:v>
      </x:c>
      <x:c r="B98" s="8" t="n">
        <x:f>'Evaluation Plan'!B98</x:f>
        <x:v>96</x:v>
      </x:c>
      <x:c r="C98" s="7" t="str">
        <x:f>'Evaluation Plan'!C98</x:f>
        <x:v>Place the green pen in front of the red block.</x:v>
      </x:c>
      <x:c r="D98" s="7" t="str">
        <x:f>'Evaluation Plan'!D98</x:f>
        <x:v>P1 red block at R2 (5 cm left of center) [REFERENCE]; P2 green pen 18 cm behind P1 [TARGET START]; P3 pink marker 15 cm to the left of P1 [DISTRACTOR]; P4 blue block 15 cm to the right of P1 [DISTRACTOR]</x:v>
      </x:c>
      <x:c r="E98" s="8" t="str">
        <x:f>IF(ISBLANK('Evaluation Plan'!E98),"",'Evaluation Plan'!E98)</x:f>
      </x:c>
      <x:c r="F98" s="8" t="str">
        <x:f>'Evaluation Plan'!F98</x:f>
        <x:v>green pen → 2–8 cm edge gap in front of red block; centroid direction within ±45°</x:v>
      </x:c>
      <x:c r="G98" s="7"/>
      <x:c r="H98" s="8" t="str">
        <x:f>'Evaluation Plan'!H98</x:f>
        <x:v>Concept/compositional transfer</x:v>
      </x:c>
      <x:c r="I98" s="8" t="str">
        <x:f>'Evaluation Plan'!I98</x:f>
        <x:v>RP-X17</x:v>
      </x:c>
      <x:c r="J98" s="8" t="str">
        <x:f>'Evaluation Plan'!J98</x:f>
        <x:v>front</x:v>
      </x:c>
      <x:c r="K98" s="8" t="n">
        <x:f>'Evaluation Plan'!K98</x:f>
        <x:v>4</x:v>
      </x:c>
      <x:c r="L98" s="8" t="str">
        <x:f>'Evaluation Plan'!L98</x:f>
        <x:v>Additional transfer — Additional held-out direction × green-pen/red-block pair (front)</x:v>
      </x:c>
      <x:c r="M98" s="8" t="n">
        <x:f>'Evaluation Plan'!M98</x:f>
        <x:v>37</x:v>
      </x:c>
      <x:c r="N98" s="7" t="str">
        <x:f>'Evaluation Plan'!N98</x:f>
        <x:v>Build the listed scene; target starts in the opposite sector. Save a first-frame filename.</x:v>
      </x:c>
      <x:c r="O98" s="7" t="str">
        <x:f>'Evaluation Plan'!O98</x:f>
        <x:v>Unpaired primary-transfer coverage. Canonical wording is seen with other pairs; only the object-pair composition is held out.</x:v>
      </x:c>
      <x:c r="P98" s="7" t="str">
        <x:f>IF(ISBLANK('Evaluation Plan'!P98),"",'Evaluation Plan'!P98)</x:f>
      </x:c>
    </x:row>
    <x:row r="99" ht="64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Move the red block to the back of the green pen.</x:v>
      </x:c>
      <x:c r="D99" s="7" t="str">
        <x:f>'Evaluation Plan'!D99</x:f>
        <x:v>P1 green pen at R3 (5 cm right of center) [REFERENCE]; P2 red block 21 cm in front of P1 [TARGET START]; P3 pink marker 15 cm to the left of P1 [DISTRACTOR]; P4 blue block 15 cm to the right of P1 [DISTRACTOR]</x:v>
      </x:c>
      <x:c r="E99" s="8" t="str">
        <x:f>IF(ISBLANK('Evaluation Plan'!E99),"",'Evaluation Plan'!E99)</x:f>
      </x:c>
      <x:c r="F99" s="8" t="str">
        <x:f>'Evaluation Plan'!F99</x:f>
        <x:v>red block → 2–8 cm edge gap behind green pen; centroid direction within ±45°</x:v>
      </x:c>
      <x:c r="G99" s="7"/>
      <x:c r="H99" s="8" t="str">
        <x:f>'Evaluation Plan'!H99</x:f>
        <x:v>Concept/compositional transfer</x:v>
      </x:c>
      <x:c r="I99" s="8" t="str">
        <x:f>'Evaluation Plan'!I99</x:f>
        <x:v>RP-X18</x:v>
      </x:c>
      <x:c r="J99" s="8" t="str">
        <x:f>'Evaluation Plan'!J99</x:f>
        <x:v>behind</x:v>
      </x:c>
      <x:c r="K99" s="8" t="n">
        <x:f>'Evaluation Plan'!K99</x:f>
        <x:v>4</x:v>
      </x:c>
      <x:c r="L99" s="8" t="str">
        <x:f>'Evaluation Plan'!L99</x:f>
        <x:v>Additional transfer — Additional held-out direction × green-pen/red-block pair (behind)</x:v>
      </x:c>
      <x:c r="M99" s="8" t="n">
        <x:f>'Evaluation Plan'!M99</x:f>
        <x:v>38</x:v>
      </x:c>
      <x:c r="N99" s="7" t="str">
        <x:f>'Evaluation Plan'!N99</x:f>
        <x:v>Build the listed scene; target starts in the opposite sector. Save a first-frame filename.</x:v>
      </x:c>
      <x:c r="O99" s="7" t="str">
        <x:f>'Evaluation Plan'!O99</x:f>
        <x:v>Unpaired primary-transfer coverage. Canonical wording is seen with other pairs; only the object-pair composition is held out.</x:v>
      </x:c>
      <x:c r="P99" s="7" t="str">
        <x:f>IF(ISBLANK('Evaluation Plan'!P99),"",'Evaluation Plan'!P99)</x:f>
      </x:c>
    </x:row>
    <x:row r="100" ht="64" customHeight="1">
      <x:c r="A100" s="8" t="str">
        <x:v>Not collected</x:v>
      </x:c>
      <x:c r="B100" s="8" t="n">
        <x:f>'Evaluation Plan'!B100</x:f>
        <x:v>98</x:v>
      </x:c>
      <x:c r="C100" s="7" t="str">
        <x:f>'Evaluation Plan'!C100</x:f>
        <x:v>Place the green pen to the left of the red block.</x:v>
      </x:c>
      <x:c r="D100" s="7" t="str">
        <x:f>'Evaluation Plan'!D100</x:f>
        <x:v>P1 red block at R4 (5 cm toward the robot from center) [REFERENCE]; P2 green pen 24 cm to the right of P1 [TARGET START]; P3 pink marker 15 cm in front of P1 [DISTRACTOR]; P4 blue block 15 cm behind P1 [DISTRACTOR]</x:v>
      </x:c>
      <x:c r="E100" s="8" t="str">
        <x:f>IF(ISBLANK('Evaluation Plan'!E100),"",'Evaluation Plan'!E100)</x:f>
      </x:c>
      <x:c r="F100" s="8" t="str">
        <x:f>'Evaluation Plan'!F100</x:f>
        <x:v>green pen → 2–8 cm edge gap to the left of red block; centroid direction within ±45°</x:v>
      </x:c>
      <x:c r="G100" s="7"/>
      <x:c r="H100" s="8" t="str">
        <x:f>'Evaluation Plan'!H100</x:f>
        <x:v>Concept/compositional transfer</x:v>
      </x:c>
      <x:c r="I100" s="8" t="str">
        <x:f>'Evaluation Plan'!I100</x:f>
        <x:v>RP-X19</x:v>
      </x:c>
      <x:c r="J100" s="8" t="str">
        <x:f>'Evaluation Plan'!J100</x:f>
        <x:v>left</x:v>
      </x:c>
      <x:c r="K100" s="8" t="n">
        <x:f>'Evaluation Plan'!K100</x:f>
        <x:v>4</x:v>
      </x:c>
      <x:c r="L100" s="8" t="str">
        <x:f>'Evaluation Plan'!L100</x:f>
        <x:v>Additional transfer — Additional held-out direction × green-pen/red-block pair (left)</x:v>
      </x:c>
      <x:c r="M100" s="8" t="n">
        <x:f>'Evaluation Plan'!M100</x:f>
        <x:v>39</x:v>
      </x:c>
      <x:c r="N100" s="7" t="str">
        <x:f>'Evaluation Plan'!N100</x:f>
        <x:v>Build the listed scene; target starts in the opposite sector. Save a first-frame filename.</x:v>
      </x:c>
      <x:c r="O100" s="7" t="str">
        <x:f>'Evaluation Plan'!O100</x:f>
        <x:v>Unpaired primary-transfer coverage. Canonical wording is seen with other pairs; only the object-pair composition is held out.</x:v>
      </x:c>
      <x:c r="P100" s="7" t="str">
        <x:f>IF(ISBLANK('Evaluation Plan'!P100),"",'Evaluation Plan'!P100)</x:f>
      </x:c>
    </x:row>
    <x:row r="101" ht="64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Place the red block to the right of the green pen.</x:v>
      </x:c>
      <x:c r="D101" s="7" t="str">
        <x:f>'Evaluation Plan'!D101</x:f>
        <x:v>P1 green pen at R5 (5 cm away from the robot from center) [REFERENCE]; P2 red block 18 cm to the left of P1 [TARGET START]; P3 pink marker 15 cm in front of P1 [DISTRACTOR]; P4 blue block 15 cm behind P1 [DISTRACTOR]</x:v>
      </x:c>
      <x:c r="E101" s="8" t="str">
        <x:f>IF(ISBLANK('Evaluation Plan'!E101),"",'Evaluation Plan'!E101)</x:f>
      </x:c>
      <x:c r="F101" s="8" t="str">
        <x:f>'Evaluation Plan'!F101</x:f>
        <x:v>red block → 2–8 cm edge gap to the right of green pen; centroid direction within ±45°</x:v>
      </x:c>
      <x:c r="G101" s="7"/>
      <x:c r="H101" s="8" t="str">
        <x:f>'Evaluation Plan'!H101</x:f>
        <x:v>Concept/compositional transfer</x:v>
      </x:c>
      <x:c r="I101" s="8" t="str">
        <x:f>'Evaluation Plan'!I101</x:f>
        <x:v>RP-X20</x:v>
      </x:c>
      <x:c r="J101" s="8" t="str">
        <x:f>'Evaluation Plan'!J101</x:f>
        <x:v>right</x:v>
      </x:c>
      <x:c r="K101" s="8" t="n">
        <x:f>'Evaluation Plan'!K101</x:f>
        <x:v>4</x:v>
      </x:c>
      <x:c r="L101" s="8" t="str">
        <x:f>'Evaluation Plan'!L101</x:f>
        <x:v>Additional transfer — Additional held-out direction × green-pen/red-block pair (right)</x:v>
      </x:c>
      <x:c r="M101" s="8" t="n">
        <x:f>'Evaluation Plan'!M101</x:f>
        <x:v>40</x:v>
      </x:c>
      <x:c r="N101" s="7" t="str">
        <x:f>'Evaluation Plan'!N101</x:f>
        <x:v>Build the listed scene; target starts in the opposite sector. Save a first-frame filename.</x:v>
      </x:c>
      <x:c r="O101" s="7" t="str">
        <x:f>'Evaluation Plan'!O101</x:f>
        <x:v>Unpaired primary-transfer coverage. Canonical wording is seen with other pairs; only the object-pair composition is held out.</x:v>
      </x:c>
      <x:c r="P101" s="7" t="str">
        <x:f>IF(ISBLANK('Evaluation Plan'!P101),"",'Evaluation Plan'!P101)</x:f>
      </x:c>
    </x:row>
    <x:row r="102" ht="64" customHeight="1">
      <x:c r="A102" s="8" t="str">
        <x:v>Not collected</x:v>
      </x:c>
      <x:c r="B102" s="8" t="n">
        <x:f>'Evaluation Plan'!B102</x:f>
        <x:v>100</x:v>
      </x:c>
      <x:c r="C102" s="7" t="str">
        <x:f>'Evaluation Plan'!C102</x:f>
        <x:v>Move the red block to the front of the green pen.</x:v>
      </x:c>
      <x:c r="D102" s="7" t="str">
        <x:f>'Evaluation Plan'!D102</x:f>
        <x:v>P1 green pen at R1 (table center) [REFERENCE]; P2 red block 21 cm behind P1 [TARGET START]; P3 pink marker 15 cm to the left of P1 [DISTRACTOR]; P4 blue block 15 cm to the right of P1 [DISTRACTOR]</x:v>
      </x:c>
      <x:c r="E102" s="8" t="str">
        <x:f>IF(ISBLANK('Evaluation Plan'!E102),"",'Evaluation Plan'!E102)</x:f>
      </x:c>
      <x:c r="F102" s="8" t="str">
        <x:f>'Evaluation Plan'!F102</x:f>
        <x:v>red block → 2–8 cm edge gap in front of green pen; centroid direction within ±45°</x:v>
      </x:c>
      <x:c r="G102" s="7"/>
      <x:c r="H102" s="8" t="str">
        <x:f>'Evaluation Plan'!H102</x:f>
        <x:v>Concept/compositional transfer</x:v>
      </x:c>
      <x:c r="I102" s="8" t="str">
        <x:f>'Evaluation Plan'!I102</x:f>
        <x:v>RP-X21</x:v>
      </x:c>
      <x:c r="J102" s="8" t="str">
        <x:f>'Evaluation Plan'!J102</x:f>
        <x:v>front</x:v>
      </x:c>
      <x:c r="K102" s="8" t="n">
        <x:f>'Evaluation Plan'!K102</x:f>
        <x:v>4</x:v>
      </x:c>
      <x:c r="L102" s="8" t="str">
        <x:f>'Evaluation Plan'!L102</x:f>
        <x:v>Additional transfer — Additional held-out direction × green-pen/red-block pair (front)</x:v>
      </x:c>
      <x:c r="M102" s="8" t="n">
        <x:f>'Evaluation Plan'!M102</x:f>
        <x:v>41</x:v>
      </x:c>
      <x:c r="N102" s="7" t="str">
        <x:f>'Evaluation Plan'!N102</x:f>
        <x:v>Build the listed scene; target starts in the opposite sector. Save a first-frame filename.</x:v>
      </x:c>
      <x:c r="O102" s="7" t="str">
        <x:f>'Evaluation Plan'!O102</x:f>
        <x:v>Unpaired primary-transfer coverage. Canonical wording is seen with other pairs; only the object-pair composition is held out.</x:v>
      </x:c>
      <x:c r="P102" s="7" t="str">
        <x:f>IF(ISBLANK('Evaluation Plan'!P102),"",'Evaluation Plan'!P102)</x:f>
      </x:c>
    </x:row>
    <x:row r="103" ht="64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Put the green pen on the table behind the red block.</x:v>
      </x:c>
      <x:c r="D103" s="7" t="str">
        <x:f>'Evaluation Plan'!D103</x:f>
        <x:v>P1 red block at R2 (5 cm left of center) [REFERENCE]; P2 green pen 24 cm in front of P1 [TARGET START]; P3 pink marker 15 cm to the left of P1 [DISTRACTOR]; P4 blue block 15 cm to the right of P1 [DISTRACTOR]</x:v>
      </x:c>
      <x:c r="E103" s="8" t="str">
        <x:f>IF(ISBLANK('Evaluation Plan'!E103),"",'Evaluation Plan'!E103)</x:f>
      </x:c>
      <x:c r="F103" s="8" t="str">
        <x:f>'Evaluation Plan'!F103</x:f>
        <x:v>green pen → 2–8 cm edge gap behind red block; centroid direction within ±45°</x:v>
      </x:c>
      <x:c r="G103" s="7"/>
      <x:c r="H103" s="8" t="str">
        <x:f>'Evaluation Plan'!H103</x:f>
        <x:v>Concept/compositional transfer</x:v>
      </x:c>
      <x:c r="I103" s="8" t="str">
        <x:f>'Evaluation Plan'!I103</x:f>
        <x:v>RP-X22</x:v>
      </x:c>
      <x:c r="J103" s="8" t="str">
        <x:f>'Evaluation Plan'!J103</x:f>
        <x:v>behind</x:v>
      </x:c>
      <x:c r="K103" s="8" t="n">
        <x:f>'Evaluation Plan'!K103</x:f>
        <x:v>4</x:v>
      </x:c>
      <x:c r="L103" s="8" t="str">
        <x:f>'Evaluation Plan'!L103</x:f>
        <x:v>Additional transfer — Additional held-out direction × green-pen/red-block pair (behind)</x:v>
      </x:c>
      <x:c r="M103" s="8" t="n">
        <x:f>'Evaluation Plan'!M103</x:f>
        <x:v>42</x:v>
      </x:c>
      <x:c r="N103" s="7" t="str">
        <x:f>'Evaluation Plan'!N103</x:f>
        <x:v>Build the listed scene; target starts in the opposite sector. Save a first-frame filename.</x:v>
      </x:c>
      <x:c r="O103" s="7" t="str">
        <x:f>'Evaluation Plan'!O103</x:f>
        <x:v>Unpaired primary-transfer coverage. Canonical wording is seen with other pairs; only the object-pair composition is held out.</x:v>
      </x:c>
      <x:c r="P103" s="7" t="str">
        <x:f>IF(ISBLANK('Evaluation Plan'!P103),"",'Evaluation Plan'!P103)</x:f>
      </x:c>
    </x:row>
    <x:row r="104" ht="64" customHeight="1">
      <x:c r="A104" s="8" t="str">
        <x:v>Not collected</x:v>
      </x:c>
      <x:c r="B104" s="8" t="n">
        <x:f>'Evaluation Plan'!B104</x:f>
        <x:v>102</x:v>
      </x:c>
      <x:c r="C104" s="7" t="str">
        <x:f>'Evaluation Plan'!C104</x:f>
        <x:v>Place the red block to the left of the green pen.</x:v>
      </x:c>
      <x:c r="D104" s="7" t="str">
        <x:f>'Evaluation Plan'!D104</x:f>
        <x:v>P1 green pen at R3 (5 cm right of center) [REFERENCE]; P2 red block 18 cm to the right of P1 [TARGET START]; P3 pink marker 15 cm in front of P1 [DISTRACTOR]; P4 blue block 15 cm behind P1 [DISTRACTOR]</x:v>
      </x:c>
      <x:c r="E104" s="8" t="str">
        <x:f>IF(ISBLANK('Evaluation Plan'!E104),"",'Evaluation Plan'!E104)</x:f>
      </x:c>
      <x:c r="F104" s="8" t="str">
        <x:f>'Evaluation Plan'!F104</x:f>
        <x:v>red block → 2–8 cm edge gap to the left of green pen; centroid direction within ±45°</x:v>
      </x:c>
      <x:c r="G104" s="7"/>
      <x:c r="H104" s="8" t="str">
        <x:f>'Evaluation Plan'!H104</x:f>
        <x:v>Concept/compositional transfer</x:v>
      </x:c>
      <x:c r="I104" s="8" t="str">
        <x:f>'Evaluation Plan'!I104</x:f>
        <x:v>RP-X23</x:v>
      </x:c>
      <x:c r="J104" s="8" t="str">
        <x:f>'Evaluation Plan'!J104</x:f>
        <x:v>left</x:v>
      </x:c>
      <x:c r="K104" s="8" t="n">
        <x:f>'Evaluation Plan'!K104</x:f>
        <x:v>4</x:v>
      </x:c>
      <x:c r="L104" s="8" t="str">
        <x:f>'Evaluation Plan'!L104</x:f>
        <x:v>Additional transfer — Additional held-out direction × green-pen/red-block pair (left)</x:v>
      </x:c>
      <x:c r="M104" s="8" t="n">
        <x:f>'Evaluation Plan'!M104</x:f>
        <x:v>43</x:v>
      </x:c>
      <x:c r="N104" s="7" t="str">
        <x:f>'Evaluation Plan'!N104</x:f>
        <x:v>Build the listed scene; target starts in the opposite sector. Save a first-frame filename.</x:v>
      </x:c>
      <x:c r="O104" s="7" t="str">
        <x:f>'Evaluation Plan'!O104</x:f>
        <x:v>Unpaired primary-transfer coverage. Canonical wording is seen with other pairs; only the object-pair composition is held out.</x:v>
      </x:c>
      <x:c r="P104" s="7" t="str">
        <x:f>IF(ISBLANK('Evaluation Plan'!P104),"",'Evaluation Plan'!P104)</x:f>
      </x:c>
    </x:row>
    <x:row r="105" ht="64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Place the green pen to the right of the red block.</x:v>
      </x:c>
      <x:c r="D105" s="7" t="str">
        <x:f>'Evaluation Plan'!D105</x:f>
        <x:v>P1 red block at R4 (5 cm toward the robot from center) [REFERENCE]; P2 green pen 21 cm to the left of P1 [TARGET START]; P3 pink marker 15 cm in front of P1 [DISTRACTOR]; P4 blue block 15 cm behind P1 [DISTRACTOR]</x:v>
      </x:c>
      <x:c r="E105" s="8" t="str">
        <x:f>IF(ISBLANK('Evaluation Plan'!E105),"",'Evaluation Plan'!E105)</x:f>
      </x:c>
      <x:c r="F105" s="8" t="str">
        <x:f>'Evaluation Plan'!F105</x:f>
        <x:v>green pen → 2–8 cm edge gap to the right of red block; centroid direction within ±45°</x:v>
      </x:c>
      <x:c r="G105" s="7"/>
      <x:c r="H105" s="8" t="str">
        <x:f>'Evaluation Plan'!H105</x:f>
        <x:v>Concept/compositional transfer</x:v>
      </x:c>
      <x:c r="I105" s="8" t="str">
        <x:f>'Evaluation Plan'!I105</x:f>
        <x:v>RP-X24</x:v>
      </x:c>
      <x:c r="J105" s="8" t="str">
        <x:f>'Evaluation Plan'!J105</x:f>
        <x:v>right</x:v>
      </x:c>
      <x:c r="K105" s="8" t="n">
        <x:f>'Evaluation Plan'!K105</x:f>
        <x:v>4</x:v>
      </x:c>
      <x:c r="L105" s="8" t="str">
        <x:f>'Evaluation Plan'!L105</x:f>
        <x:v>Additional transfer — Additional held-out direction × green-pen/red-block pair (right)</x:v>
      </x:c>
      <x:c r="M105" s="8" t="n">
        <x:f>'Evaluation Plan'!M105</x:f>
        <x:v>44</x:v>
      </x:c>
      <x:c r="N105" s="7" t="str">
        <x:f>'Evaluation Plan'!N105</x:f>
        <x:v>Build the listed scene; target starts in the opposite sector. Save a first-frame filename.</x:v>
      </x:c>
      <x:c r="O105" s="7" t="str">
        <x:f>'Evaluation Plan'!O105</x:f>
        <x:v>Unpaired primary-transfer coverage. Canonical wording is seen with other pairs; only the object-pair composition is held out.</x:v>
      </x:c>
      <x:c r="P105" s="7" t="str">
        <x:f>IF(ISBLANK('Evaluation Plan'!P105),"",'Evaluation Plan'!P105)</x:f>
      </x:c>
    </x:row>
    <x:row r="106" ht="64" customHeight="1">
      <x:c r="A106" s="8" t="str">
        <x:v>Not collected</x:v>
      </x:c>
      <x:c r="B106" s="8" t="n">
        <x:f>'Evaluation Plan'!B106</x:f>
        <x:v>104</x:v>
      </x:c>
      <x:c r="C106" s="7" t="str">
        <x:f>'Evaluation Plan'!C106</x:f>
        <x:v>Put the green pen on the table in front of the red block.</x:v>
      </x:c>
      <x:c r="D106" s="7" t="str">
        <x:f>'Evaluation Plan'!D106</x:f>
        <x:v>P1 red block at R5 (5 cm away from the robot from center) [REFERENCE]; P2 green pen 24 cm behind P1 [TARGET START]; P3 pink marker 15 cm to the left of P1 [DISTRACTOR]; P4 blue block 15 cm to the right of P1 [DISTRACTOR]</x:v>
      </x:c>
      <x:c r="E106" s="8" t="str">
        <x:f>IF(ISBLANK('Evaluation Plan'!E106),"",'Evaluation Plan'!E106)</x:f>
      </x:c>
      <x:c r="F106" s="8" t="str">
        <x:f>'Evaluation Plan'!F106</x:f>
        <x:v>green pen → 2–8 cm edge gap in front of red block; centroid direction within ±45°</x:v>
      </x:c>
      <x:c r="G106" s="7"/>
      <x:c r="H106" s="8" t="str">
        <x:f>'Evaluation Plan'!H106</x:f>
        <x:v>Concept/compositional transfer</x:v>
      </x:c>
      <x:c r="I106" s="8" t="str">
        <x:f>'Evaluation Plan'!I106</x:f>
        <x:v>RP-X25</x:v>
      </x:c>
      <x:c r="J106" s="8" t="str">
        <x:f>'Evaluation Plan'!J106</x:f>
        <x:v>front</x:v>
      </x:c>
      <x:c r="K106" s="8" t="n">
        <x:f>'Evaluation Plan'!K106</x:f>
        <x:v>4</x:v>
      </x:c>
      <x:c r="L106" s="8" t="str">
        <x:f>'Evaluation Plan'!L106</x:f>
        <x:v>Additional transfer — Additional held-out direction × green-pen/red-block pair (front)</x:v>
      </x:c>
      <x:c r="M106" s="8" t="n">
        <x:f>'Evaluation Plan'!M106</x:f>
        <x:v>45</x:v>
      </x:c>
      <x:c r="N106" s="7" t="str">
        <x:f>'Evaluation Plan'!N106</x:f>
        <x:v>Build the listed scene; target starts in the opposite sector. Save a first-frame filename.</x:v>
      </x:c>
      <x:c r="O106" s="7" t="str">
        <x:f>'Evaluation Plan'!O106</x:f>
        <x:v>Unpaired primary-transfer coverage. Canonical wording is seen with other pairs; only the object-pair composition is held out.</x:v>
      </x:c>
      <x:c r="P106" s="7" t="str">
        <x:f>IF(ISBLANK('Evaluation Plan'!P106),"",'Evaluation Plan'!P106)</x:f>
      </x:c>
    </x:row>
    <x:row r="107" ht="64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Place the red block behind the green pen.</x:v>
      </x:c>
      <x:c r="D107" s="7" t="str">
        <x:f>'Evaluation Plan'!D107</x:f>
        <x:v>P1 green pen at R1 (table center) [REFERENCE]; P2 red block 18 cm in front of P1 [TARGET START]; P3 pink marker 15 cm to the left of P1 [DISTRACTOR]; P4 blue block 15 cm to the right of P1 [DISTRACTOR]</x:v>
      </x:c>
      <x:c r="E107" s="8" t="str">
        <x:f>IF(ISBLANK('Evaluation Plan'!E107),"",'Evaluation Plan'!E107)</x:f>
      </x:c>
      <x:c r="F107" s="8" t="str">
        <x:f>'Evaluation Plan'!F107</x:f>
        <x:v>red block → 2–8 cm edge gap behind green pen; centroid direction within ±45°</x:v>
      </x:c>
      <x:c r="G107" s="7"/>
      <x:c r="H107" s="8" t="str">
        <x:f>'Evaluation Plan'!H107</x:f>
        <x:v>Concept/compositional transfer</x:v>
      </x:c>
      <x:c r="I107" s="8" t="str">
        <x:f>'Evaluation Plan'!I107</x:f>
        <x:v>RP-X26</x:v>
      </x:c>
      <x:c r="J107" s="8" t="str">
        <x:f>'Evaluation Plan'!J107</x:f>
        <x:v>behind</x:v>
      </x:c>
      <x:c r="K107" s="8" t="n">
        <x:f>'Evaluation Plan'!K107</x:f>
        <x:v>4</x:v>
      </x:c>
      <x:c r="L107" s="8" t="str">
        <x:f>'Evaluation Plan'!L107</x:f>
        <x:v>Additional transfer — Additional held-out direction × green-pen/red-block pair (behind)</x:v>
      </x:c>
      <x:c r="M107" s="8" t="n">
        <x:f>'Evaluation Plan'!M107</x:f>
        <x:v>46</x:v>
      </x:c>
      <x:c r="N107" s="7" t="str">
        <x:f>'Evaluation Plan'!N107</x:f>
        <x:v>Build the listed scene; target starts in the opposite sector. Save a first-frame filename.</x:v>
      </x:c>
      <x:c r="O107" s="7" t="str">
        <x:f>'Evaluation Plan'!O107</x:f>
        <x:v>Unpaired primary-transfer coverage. Canonical wording is seen with other pairs; only the object-pair composition is held out.</x:v>
      </x:c>
      <x:c r="P107" s="7" t="str">
        <x:f>IF(ISBLANK('Evaluation Plan'!P107),"",'Evaluation Plan'!P107)</x:f>
      </x:c>
    </x:row>
    <x:row r="108" ht="64" customHeight="1">
      <x:c r="A108" s="8" t="str">
        <x:v>Not collected</x:v>
      </x:c>
      <x:c r="B108" s="8" t="n">
        <x:f>'Evaluation Plan'!B108</x:f>
        <x:v>106</x:v>
      </x:c>
      <x:c r="C108" s="7" t="str">
        <x:f>'Evaluation Plan'!C108</x:f>
        <x:v>Place the green pen to the left of the red block.</x:v>
      </x:c>
      <x:c r="D108" s="7" t="str">
        <x:f>'Evaluation Plan'!D108</x:f>
        <x:v>P1 red block at R2 (5 cm left of center) [REFERENCE]; P2 green pen 21 cm to the right of P1 [TARGET START]; P3 pink marker 15 cm in front of P1 [DISTRACTOR]; P4 blue block 15 cm behind P1 [DISTRACTOR]</x:v>
      </x:c>
      <x:c r="E108" s="8" t="str">
        <x:f>IF(ISBLANK('Evaluation Plan'!E108),"",'Evaluation Plan'!E108)</x:f>
      </x:c>
      <x:c r="F108" s="8" t="str">
        <x:f>'Evaluation Plan'!F108</x:f>
        <x:v>green pen → 2–8 cm edge gap to the left of red block; centroid direction within ±45°</x:v>
      </x:c>
      <x:c r="G108" s="7"/>
      <x:c r="H108" s="8" t="str">
        <x:f>'Evaluation Plan'!H108</x:f>
        <x:v>Concept/compositional transfer</x:v>
      </x:c>
      <x:c r="I108" s="8" t="str">
        <x:f>'Evaluation Plan'!I108</x:f>
        <x:v>RP-X27</x:v>
      </x:c>
      <x:c r="J108" s="8" t="str">
        <x:f>'Evaluation Plan'!J108</x:f>
        <x:v>left</x:v>
      </x:c>
      <x:c r="K108" s="8" t="n">
        <x:f>'Evaluation Plan'!K108</x:f>
        <x:v>4</x:v>
      </x:c>
      <x:c r="L108" s="8" t="str">
        <x:f>'Evaluation Plan'!L108</x:f>
        <x:v>Additional transfer — Additional held-out direction × green-pen/red-block pair (left)</x:v>
      </x:c>
      <x:c r="M108" s="8" t="n">
        <x:f>'Evaluation Plan'!M108</x:f>
        <x:v>47</x:v>
      </x:c>
      <x:c r="N108" s="7" t="str">
        <x:f>'Evaluation Plan'!N108</x:f>
        <x:v>Build the listed scene; target starts in the opposite sector. Save a first-frame filename.</x:v>
      </x:c>
      <x:c r="O108" s="7" t="str">
        <x:f>'Evaluation Plan'!O108</x:f>
        <x:v>Unpaired primary-transfer coverage. Canonical wording is seen with other pairs; only the object-pair composition is held out.</x:v>
      </x:c>
      <x:c r="P108" s="7" t="str">
        <x:f>IF(ISBLANK('Evaluation Plan'!P108),"",'Evaluation Plan'!P108)</x:f>
      </x:c>
    </x:row>
    <x:row r="109" ht="64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Place the red block to the right of the green pen.</x:v>
      </x:c>
      <x:c r="D109" s="7" t="str">
        <x:f>'Evaluation Plan'!D109</x:f>
        <x:v>P1 green pen at R3 (5 cm right of center) [REFERENCE]; P2 red block 24 cm to the left of P1 [TARGET START]; P3 pink marker 15 cm in front of P1 [DISTRACTOR]; P4 blue block 15 cm behind P1 [DISTRACTOR]</x:v>
      </x:c>
      <x:c r="E109" s="8" t="str">
        <x:f>IF(ISBLANK('Evaluation Plan'!E109),"",'Evaluation Plan'!E109)</x:f>
      </x:c>
      <x:c r="F109" s="8" t="str">
        <x:f>'Evaluation Plan'!F109</x:f>
        <x:v>red block → 2–8 cm edge gap to the right of green pen; centroid direction within ±45°</x:v>
      </x:c>
      <x:c r="G109" s="7"/>
      <x:c r="H109" s="8" t="str">
        <x:f>'Evaluation Plan'!H109</x:f>
        <x:v>Concept/compositional transfer</x:v>
      </x:c>
      <x:c r="I109" s="8" t="str">
        <x:f>'Evaluation Plan'!I109</x:f>
        <x:v>RP-X28</x:v>
      </x:c>
      <x:c r="J109" s="8" t="str">
        <x:f>'Evaluation Plan'!J109</x:f>
        <x:v>right</x:v>
      </x:c>
      <x:c r="K109" s="8" t="n">
        <x:f>'Evaluation Plan'!K109</x:f>
        <x:v>4</x:v>
      </x:c>
      <x:c r="L109" s="8" t="str">
        <x:f>'Evaluation Plan'!L109</x:f>
        <x:v>Additional transfer — Additional held-out direction × green-pen/red-block pair (right)</x:v>
      </x:c>
      <x:c r="M109" s="8" t="n">
        <x:f>'Evaluation Plan'!M109</x:f>
        <x:v>48</x:v>
      </x:c>
      <x:c r="N109" s="7" t="str">
        <x:f>'Evaluation Plan'!N109</x:f>
        <x:v>Build the listed scene; target starts in the opposite sector. Save a first-frame filename.</x:v>
      </x:c>
      <x:c r="O109" s="7" t="str">
        <x:f>'Evaluation Plan'!O109</x:f>
        <x:v>Unpaired primary-transfer coverage. Canonical wording is seen with other pairs; only the object-pair composition is held out.</x:v>
      </x:c>
      <x:c r="P109" s="7" t="str">
        <x:f>IF(ISBLANK('Evaluation Plan'!P109),"",'Evaluation Plan'!P109)</x:f>
      </x:c>
    </x:row>
    <x:row r="110" ht="64" customHeight="1">
      <x:c r="A110" s="8" t="str">
        <x:v>Not collected</x:v>
      </x:c>
      <x:c r="B110" s="8" t="n">
        <x:f>'Evaluation Plan'!B110</x:f>
        <x:v>108</x:v>
      </x:c>
      <x:c r="C110" s="7" t="str">
        <x:f>'Evaluation Plan'!C110</x:f>
        <x:v>Place the red block in front of the green pen.</x:v>
      </x:c>
      <x:c r="D110" s="7" t="str">
        <x:f>'Evaluation Plan'!D110</x:f>
        <x:v>P1 green pen at R4 (5 cm toward the robot from center) [REFERENCE]; P2 red block 18 cm behind P1 [TARGET START]; P3 pink marker 15 cm to the left of P1 [DISTRACTOR]; P4 blue block 15 cm to the right of P1 [DISTRACTOR]</x:v>
      </x:c>
      <x:c r="E110" s="8" t="str">
        <x:f>IF(ISBLANK('Evaluation Plan'!E110),"",'Evaluation Plan'!E110)</x:f>
      </x:c>
      <x:c r="F110" s="8" t="str">
        <x:f>'Evaluation Plan'!F110</x:f>
        <x:v>red block → 2–8 cm edge gap in front of green pen; centroid direction within ±45°</x:v>
      </x:c>
      <x:c r="G110" s="7"/>
      <x:c r="H110" s="8" t="str">
        <x:f>'Evaluation Plan'!H110</x:f>
        <x:v>Concept/compositional transfer</x:v>
      </x:c>
      <x:c r="I110" s="8" t="str">
        <x:f>'Evaluation Plan'!I110</x:f>
        <x:v>RP-X29</x:v>
      </x:c>
      <x:c r="J110" s="8" t="str">
        <x:f>'Evaluation Plan'!J110</x:f>
        <x:v>front</x:v>
      </x:c>
      <x:c r="K110" s="8" t="n">
        <x:f>'Evaluation Plan'!K110</x:f>
        <x:v>4</x:v>
      </x:c>
      <x:c r="L110" s="8" t="str">
        <x:f>'Evaluation Plan'!L110</x:f>
        <x:v>Additional transfer — Additional held-out direction × green-pen/red-block pair (front)</x:v>
      </x:c>
      <x:c r="M110" s="8" t="n">
        <x:f>'Evaluation Plan'!M110</x:f>
        <x:v>49</x:v>
      </x:c>
      <x:c r="N110" s="7" t="str">
        <x:f>'Evaluation Plan'!N110</x:f>
        <x:v>Build the listed scene; target starts in the opposite sector. Save a first-frame filename.</x:v>
      </x:c>
      <x:c r="O110" s="7" t="str">
        <x:f>'Evaluation Plan'!O110</x:f>
        <x:v>Unpaired primary-transfer coverage. Canonical wording is seen with other pairs; only the object-pair composition is held out.</x:v>
      </x:c>
      <x:c r="P110" s="7" t="str">
        <x:f>IF(ISBLANK('Evaluation Plan'!P110),"",'Evaluation Plan'!P110)</x:f>
      </x:c>
    </x:row>
    <x:row r="111" ht="64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Move the green pen to the back of the red block.</x:v>
      </x:c>
      <x:c r="D111" s="7" t="str">
        <x:f>'Evaluation Plan'!D111</x:f>
        <x:v>P1 red block at R5 (5 cm away from the robot from center) [REFERENCE]; P2 green pen 21 cm in front of P1 [TARGET START]; P3 pink marker 15 cm to the left of P1 [DISTRACTOR]; P4 blue block 15 cm to the right of P1 [DISTRACTOR]</x:v>
      </x:c>
      <x:c r="E111" s="8" t="str">
        <x:f>IF(ISBLANK('Evaluation Plan'!E111),"",'Evaluation Plan'!E111)</x:f>
      </x:c>
      <x:c r="F111" s="8" t="str">
        <x:f>'Evaluation Plan'!F111</x:f>
        <x:v>green pen → 2–8 cm edge gap behind red block; centroid direction within ±45°</x:v>
      </x:c>
      <x:c r="G111" s="7"/>
      <x:c r="H111" s="8" t="str">
        <x:f>'Evaluation Plan'!H111</x:f>
        <x:v>Concept/compositional transfer</x:v>
      </x:c>
      <x:c r="I111" s="8" t="str">
        <x:f>'Evaluation Plan'!I111</x:f>
        <x:v>RP-X30</x:v>
      </x:c>
      <x:c r="J111" s="8" t="str">
        <x:f>'Evaluation Plan'!J111</x:f>
        <x:v>behind</x:v>
      </x:c>
      <x:c r="K111" s="8" t="n">
        <x:f>'Evaluation Plan'!K111</x:f>
        <x:v>4</x:v>
      </x:c>
      <x:c r="L111" s="8" t="str">
        <x:f>'Evaluation Plan'!L111</x:f>
        <x:v>Additional transfer — Additional held-out direction × green-pen/red-block pair (behind)</x:v>
      </x:c>
      <x:c r="M111" s="8" t="n">
        <x:f>'Evaluation Plan'!M111</x:f>
        <x:v>50</x:v>
      </x:c>
      <x:c r="N111" s="7" t="str">
        <x:f>'Evaluation Plan'!N111</x:f>
        <x:v>Build the listed scene; target starts in the opposite sector. Save a first-frame filename.</x:v>
      </x:c>
      <x:c r="O111" s="7" t="str">
        <x:f>'Evaluation Plan'!O111</x:f>
        <x:v>Unpaired primary-transfer coverage. Canonical wording is seen with other pairs; only the object-pair composition is held out.</x:v>
      </x:c>
      <x:c r="P111" s="7" t="str">
        <x:f>IF(ISBLANK('Evaluation Plan'!P111),"",'Evaluation Plan'!P111)</x:f>
      </x:c>
    </x:row>
    <x:row r="112" ht="64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Put the airplane toy with propellers beside the pink marker.</x:v>
      </x:c>
      <x:c r="D112" s="10" t="str">
        <x:f>'Evaluation Plan'!D112</x:f>
        <x:v>P1 pink marker at R1 (table center) [REFERENCE]; P2 airplane toy with propellers 21 cm behind P1 [TARGET START]; P3 airplane toy without propellers 15 cm to the left of P1 [VISUAL COMPETITOR]</x:v>
      </x:c>
      <x:c r="E112" s="9" t="str">
        <x:f>IF(ISBLANK('Evaluation Plan'!E112),"",'Evaluation Plan'!E112)</x:f>
      </x:c>
      <x:c r="F112" s="9" t="str">
        <x:f>'Evaluation Plan'!F112</x:f>
        <x:v>airplane toy with propellers → 2–8 cm edge gap from pink marker (any direction)</x:v>
      </x:c>
      <x:c r="G112" s="10"/>
      <x:c r="H112" s="9" t="str">
        <x:f>'Evaluation Plan'!H112</x:f>
        <x:v>Airplane seen-relation baseline</x:v>
      </x:c>
      <x:c r="I112" s="9" t="str">
        <x:f>'Evaluation Plan'!I112</x:f>
        <x:v>RP-AIR01</x:v>
      </x:c>
      <x:c r="J112" s="9" t="str">
        <x:f>'Evaluation Plan'!J112</x:f>
        <x:v>near</x:v>
      </x:c>
      <x:c r="K112" s="9" t="n">
        <x:f>'Evaluation Plan'!K112</x:f>
        <x:v>3</x:v>
      </x:c>
      <x:c r="L112" s="9" t="str">
        <x:f>'Evaluation Plan'!L112</x:f>
        <x:v>1 — Airplane seen-relation baseline — Cross-task airplane as target; seen near relation</x:v>
      </x:c>
      <x:c r="M112" s="9" t="n">
        <x:f>'Evaluation Plan'!M112</x:f>
        <x:v>51</x:v>
      </x:c>
      <x:c r="N112" s="10" t="str">
        <x:f>'Evaluation Plan'!N112</x:f>
        <x:v>Build the listed scene with both airplane variants present. Save a first-frame filename before running the baseline.</x:v>
      </x:c>
      <x:c r="O112" s="10" t="str">
        <x:f>'Evaluation Plan'!O112</x:f>
        <x:v>The airplanes are seen elsewhere in fine-tuning but absent from Relational Placement. The near baseline checks role-specific visual grounding and basic manipulation before directional composition.</x:v>
      </x:c>
      <x:c r="P112" s="10" t="str">
        <x:f>IF(ISBLANK('Evaluation Plan'!P112),"",'Evaluation Plan'!P112)</x:f>
      </x:c>
    </x:row>
    <x:row r="113" ht="64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Move the airplane toy with propellers to the front of the pink marker.</x:v>
      </x:c>
      <x:c r="D113" s="7" t="str">
        <x:f>'Evaluation Plan'!D113</x:f>
        <x:v>P1 pink marker at R1 (table center) [REFERENCE]; P2 airplane toy with propellers 21 cm behind P1 [TARGET START]; P3 airplane toy without propellers 15 cm to the left of P1 [VISUAL COMPETITOR]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 → 2–8 cm edge gap in front of pink marker; centroid direction within ±45°</x:v>
      </x:c>
      <x:c r="G113" s="7"/>
      <x:c r="H113" s="8" t="str">
        <x:f>'Evaluation Plan'!H113</x:f>
        <x:v>Airplane directional transfer</x:v>
      </x:c>
      <x:c r="I113" s="8" t="str">
        <x:f>'Evaluation Plan'!I113</x:f>
        <x:v>RP-AIR01</x:v>
      </x:c>
      <x:c r="J113" s="8" t="str">
        <x:f>'Evaluation Plan'!J113</x:f>
        <x:v>front</x:v>
      </x:c>
      <x:c r="K113" s="8" t="n">
        <x:f>'Evaluation Plan'!K113</x:f>
        <x:v>3</x:v>
      </x:c>
      <x:c r="L113" s="8" t="str">
        <x:f>'Evaluation Plan'!L113</x:f>
        <x:v>2 — Airplane directional transfer — Cross-task airplane as target; directional relation (front)</x:v>
      </x:c>
      <x:c r="M113" s="8" t="n">
        <x:f>'Evaluation Plan'!M113</x:f>
        <x:v>51</x:v>
      </x:c>
      <x:c r="N113" s="7" t="str">
        <x:f>'Evaluation Plan'!N113</x:f>
        <x:v>Reset only P2 to its marked start. Keep the scene exact; change only the prompt and expected placement.</x:v>
      </x:c>
      <x:c r="O113" s="7" t="str">
        <x:f>'Evaluation Plan'!O113</x:f>
        <x:v>Cross-task visual-role composition. Analyze airplane-as-target and airplane-as-reference families separately; do not call this globally unseen-object generalization.</x:v>
      </x:c>
      <x:c r="P113" s="7" t="str">
        <x:f>IF(ISBLANK('Evaluation Plan'!P113),"",'Evaluation Plan'!P113)</x:f>
      </x:c>
    </x:row>
    <x:row r="114" ht="64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Move the airplane toy without propellers near the blue block.</x:v>
      </x:c>
      <x:c r="D114" s="10" t="str">
        <x:f>'Evaluation Plan'!D114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4" s="9" t="str">
        <x:f>IF(ISBLANK('Evaluation Plan'!E114),"",'Evaluation Plan'!E114)</x:f>
      </x:c>
      <x:c r="F114" s="9" t="str">
        <x:f>'Evaluation Plan'!F114</x:f>
        <x:v>airplane toy without propellers → 2–8 cm edge gap from blue block (any direction)</x:v>
      </x:c>
      <x:c r="G114" s="10"/>
      <x:c r="H114" s="9" t="str">
        <x:f>'Evaluation Plan'!H114</x:f>
        <x:v>Airplane seen-relation baseline</x:v>
      </x:c>
      <x:c r="I114" s="9" t="str">
        <x:f>'Evaluation Plan'!I114</x:f>
        <x:v>RP-AIR02</x:v>
      </x:c>
      <x:c r="J114" s="9" t="str">
        <x:f>'Evaluation Plan'!J114</x:f>
        <x:v>near</x:v>
      </x:c>
      <x:c r="K114" s="9" t="n">
        <x:f>'Evaluation Plan'!K114</x:f>
        <x:v>4</x:v>
      </x:c>
      <x:c r="L114" s="9" t="str">
        <x:f>'Evaluation Plan'!L114</x:f>
        <x:v>1 — Airplane seen-relation baseline — Cross-task airplane as target; seen near relation</x:v>
      </x:c>
      <x:c r="M114" s="9" t="n">
        <x:f>'Evaluation Plan'!M114</x:f>
        <x:v>52</x:v>
      </x:c>
      <x:c r="N114" s="10" t="str">
        <x:f>'Evaluation Plan'!N114</x:f>
        <x:v>Build the listed scene with both airplane variants present. Save a first-frame filename before running the baseline.</x:v>
      </x:c>
      <x:c r="O114" s="10" t="str">
        <x:f>'Evaluation Plan'!O114</x:f>
        <x:v>The airplanes are seen elsewhere in fine-tuning but absent from Relational Placement. The near baseline checks role-specific visual grounding and basic manipulation before directional composition.</x:v>
      </x:c>
      <x:c r="P114" s="10" t="str">
        <x:f>IF(ISBLANK('Evaluation Plan'!P114),"",'Evaluation Plan'!P114)</x:f>
      </x:c>
    </x:row>
    <x:row r="115" ht="64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Put the airplane toy without propellers on the table behind the blue block.</x:v>
      </x:c>
      <x:c r="D115" s="7" t="str">
        <x:f>'Evaluation Plan'!D115</x:f>
        <x:v>P1 blue block at R2 (5 cm left of center) [REFERENCE]; P2 airplane toy without propellers 24 cm in front of P1 [TARGET START]; P3 airplane toy with propellers 15 cm to the left of P1 [VISUAL COMPETITOR]; P4 green pen 15 cm to the right of P1 [DISTRACTOR]</x:v>
      </x:c>
      <x:c r="E115" s="8" t="n">
        <x:f>IF(ISBLANK('Evaluation Plan'!E115),"",'Evaluation Plan'!E115)</x:f>
        <x:v>112</x:v>
      </x:c>
      <x:c r="F115" s="8" t="str">
        <x:f>'Evaluation Plan'!F115</x:f>
        <x:v>airplane toy without propellers → 2–8 cm edge gap behind blue block; centroid direction within ±45°</x:v>
      </x:c>
      <x:c r="G115" s="7"/>
      <x:c r="H115" s="8" t="str">
        <x:f>'Evaluation Plan'!H115</x:f>
        <x:v>Airplane directional transfer</x:v>
      </x:c>
      <x:c r="I115" s="8" t="str">
        <x:f>'Evaluation Plan'!I115</x:f>
        <x:v>RP-AIR02</x:v>
      </x:c>
      <x:c r="J115" s="8" t="str">
        <x:f>'Evaluation Plan'!J115</x:f>
        <x:v>behind</x:v>
      </x:c>
      <x:c r="K115" s="8" t="n">
        <x:f>'Evaluation Plan'!K115</x:f>
        <x:v>4</x:v>
      </x:c>
      <x:c r="L115" s="8" t="str">
        <x:f>'Evaluation Plan'!L115</x:f>
        <x:v>2 — Airplane directional transfer — Cross-task airplane as target; directional relation (behind)</x:v>
      </x:c>
      <x:c r="M115" s="8" t="n">
        <x:f>'Evaluation Plan'!M115</x:f>
        <x:v>52</x:v>
      </x:c>
      <x:c r="N115" s="7" t="str">
        <x:f>'Evaluation Plan'!N115</x:f>
        <x:v>Reset only P2 to its marked start. Keep the scene exact; change only the prompt and expected placement.</x:v>
      </x:c>
      <x:c r="O115" s="7" t="str">
        <x:f>'Evaluation Plan'!O115</x:f>
        <x:v>Cross-task visual-role composition. Analyze airplane-as-target and airplane-as-reference families separately; do not call this globally unseen-object generalization.</x:v>
      </x:c>
      <x:c r="P115" s="7" t="str">
        <x:f>IF(ISBLANK('Evaluation Plan'!P115),"",'Evaluation Plan'!P115)</x:f>
      </x:c>
    </x:row>
    <x:row r="116" ht="64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Place the airplane toy with propellers next to the green pen.</x:v>
      </x:c>
      <x:c r="D116" s="10" t="str">
        <x:f>'Evaluation Plan'!D116</x:f>
        <x:v>P1 green pen at R3 (5 cm right of center) [REFERENCE]; P2 airplane toy with propellers 18 cm to the right of P1 [TARGET START]; P3 airplane toy without propellers 15 cm in front of P1 [VISUAL COMPETITOR]</x:v>
      </x:c>
      <x:c r="E116" s="9" t="str">
        <x:f>IF(ISBLANK('Evaluation Plan'!E116),"",'Evaluation Plan'!E116)</x:f>
      </x:c>
      <x:c r="F116" s="9" t="str">
        <x:f>'Evaluation Plan'!F116</x:f>
        <x:v>airplane toy with propellers → 2–8 cm edge gap from green pen (any direction)</x:v>
      </x:c>
      <x:c r="G116" s="10"/>
      <x:c r="H116" s="9" t="str">
        <x:f>'Evaluation Plan'!H116</x:f>
        <x:v>Airplane seen-relation baseline</x:v>
      </x:c>
      <x:c r="I116" s="9" t="str">
        <x:f>'Evaluation Plan'!I116</x:f>
        <x:v>RP-AIR03</x:v>
      </x:c>
      <x:c r="J116" s="9" t="str">
        <x:f>'Evaluation Plan'!J116</x:f>
        <x:v>near</x:v>
      </x:c>
      <x:c r="K116" s="9" t="n">
        <x:f>'Evaluation Plan'!K116</x:f>
        <x:v>3</x:v>
      </x:c>
      <x:c r="L116" s="9" t="str">
        <x:f>'Evaluation Plan'!L116</x:f>
        <x:v>1 — Airplane seen-relation baseline — Cross-task airplane as target; seen near relation</x:v>
      </x:c>
      <x:c r="M116" s="9" t="n">
        <x:f>'Evaluation Plan'!M116</x:f>
        <x:v>53</x:v>
      </x:c>
      <x:c r="N116" s="10" t="str">
        <x:f>'Evaluation Plan'!N116</x:f>
        <x:v>Build the listed scene with both airplane variants present. Save a first-frame filename before running the baseline.</x:v>
      </x:c>
      <x:c r="O116" s="10" t="str">
        <x:f>'Evaluation Plan'!O116</x:f>
        <x:v>The airplanes are seen elsewhere in fine-tuning but absent from Relational Placement. The near baseline checks role-specific visual grounding and basic manipulation before directional composition.</x:v>
      </x:c>
      <x:c r="P116" s="10" t="str">
        <x:f>IF(ISBLANK('Evaluation Plan'!P116),"",'Evaluation Plan'!P116)</x:f>
      </x:c>
    </x:row>
    <x:row r="117" ht="64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Place the airplane toy with propellers to the left of the green pen.</x:v>
      </x:c>
      <x:c r="D117" s="7" t="str">
        <x:f>'Evaluation Plan'!D117</x:f>
        <x:v>P1 green pen at R3 (5 cm right of center) [REFERENCE]; P2 airplane toy with propellers 18 cm to the right of P1 [TARGET START]; P3 airplane toy without propellers 15 cm in front of P1 [VISUAL COMPETITOR]</x:v>
      </x:c>
      <x:c r="E117" s="8" t="n">
        <x:f>IF(ISBLANK('Evaluation Plan'!E117),"",'Evaluation Plan'!E117)</x:f>
        <x:v>114</x:v>
      </x:c>
      <x:c r="F117" s="8" t="str">
        <x:f>'Evaluation Plan'!F117</x:f>
        <x:v>airplane toy with propellers → 2–8 cm edge gap to the left of green pen; centroid direction within ±45°</x:v>
      </x:c>
      <x:c r="G117" s="7"/>
      <x:c r="H117" s="8" t="str">
        <x:f>'Evaluation Plan'!H117</x:f>
        <x:v>Airplane directional transfer</x:v>
      </x:c>
      <x:c r="I117" s="8" t="str">
        <x:f>'Evaluation Plan'!I117</x:f>
        <x:v>RP-AIR03</x:v>
      </x:c>
      <x:c r="J117" s="8" t="str">
        <x:f>'Evaluation Plan'!J117</x:f>
        <x:v>left</x:v>
      </x:c>
      <x:c r="K117" s="8" t="n">
        <x:f>'Evaluation Plan'!K117</x:f>
        <x:v>3</x:v>
      </x:c>
      <x:c r="L117" s="8" t="str">
        <x:f>'Evaluation Plan'!L117</x:f>
        <x:v>2 — Airplane directional transfer — Cross-task airplane as target; directional relation (left)</x:v>
      </x:c>
      <x:c r="M117" s="8" t="n">
        <x:f>'Evaluation Plan'!M117</x:f>
        <x:v>53</x:v>
      </x:c>
      <x:c r="N117" s="7" t="str">
        <x:f>'Evaluation Plan'!N117</x:f>
        <x:v>Reset only P2 to its marked start. Keep the scene exact; change only the prompt and expected placement.</x:v>
      </x:c>
      <x:c r="O117" s="7" t="str">
        <x:f>'Evaluation Plan'!O117</x:f>
        <x:v>Cross-task visual-role composition. Analyze airplane-as-target and airplane-as-reference families separately; do not call this globally unseen-object generalization.</x:v>
      </x:c>
      <x:c r="P117" s="7" t="str">
        <x:f>IF(ISBLANK('Evaluation Plan'!P117),"",'Evaluation Plan'!P117)</x:f>
      </x:c>
    </x:row>
    <x:row r="118" ht="64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Put the airplane toy without propellers beside the pink marker.</x:v>
      </x:c>
      <x:c r="D118" s="10" t="str">
        <x:f>'Evaluation Plan'!D118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8" s="9" t="str">
        <x:f>IF(ISBLANK('Evaluation Plan'!E118),"",'Evaluation Plan'!E118)</x:f>
      </x:c>
      <x:c r="F118" s="9" t="str">
        <x:f>'Evaluation Plan'!F118</x:f>
        <x:v>airplane toy without propellers → 2–8 cm edge gap from pink marker (any direction)</x:v>
      </x:c>
      <x:c r="G118" s="10"/>
      <x:c r="H118" s="9" t="str">
        <x:f>'Evaluation Plan'!H118</x:f>
        <x:v>Airplane seen-relation baseline</x:v>
      </x:c>
      <x:c r="I118" s="9" t="str">
        <x:f>'Evaluation Plan'!I118</x:f>
        <x:v>RP-AIR04</x:v>
      </x:c>
      <x:c r="J118" s="9" t="str">
        <x:f>'Evaluation Plan'!J118</x:f>
        <x:v>near</x:v>
      </x:c>
      <x:c r="K118" s="9" t="n">
        <x:f>'Evaluation Plan'!K118</x:f>
        <x:v>4</x:v>
      </x:c>
      <x:c r="L118" s="9" t="str">
        <x:f>'Evaluation Plan'!L118</x:f>
        <x:v>1 — Airplane seen-relation baseline — Cross-task airplane as target; seen near relation</x:v>
      </x:c>
      <x:c r="M118" s="9" t="n">
        <x:f>'Evaluation Plan'!M118</x:f>
        <x:v>54</x:v>
      </x:c>
      <x:c r="N118" s="10" t="str">
        <x:f>'Evaluation Plan'!N118</x:f>
        <x:v>Build the listed scene with both airplane variants present. Save a first-frame filename before running the baseline.</x:v>
      </x:c>
      <x:c r="O118" s="10" t="str">
        <x:f>'Evaluation Plan'!O118</x:f>
        <x:v>The airplanes are seen elsewhere in fine-tuning but absent from Relational Placement. The near baseline checks role-specific visual grounding and basic manipulation before directional composition.</x:v>
      </x:c>
      <x:c r="P118" s="10" t="str">
        <x:f>IF(ISBLANK('Evaluation Plan'!P118),"",'Evaluation Plan'!P118)</x:f>
      </x:c>
    </x:row>
    <x:row r="119" ht="64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Place the airplane toy without propellers to the right of the pink marker.</x:v>
      </x:c>
      <x:c r="D119" s="7" t="str">
        <x:f>'Evaluation Plan'!D119</x:f>
        <x:v>P1 pink marker at R4 (5 cm toward the robot from center) [REFERENCE]; P2 airplane toy without propellers 21 cm to the left of P1 [TARGET START]; P3 airplane toy with propellers 15 cm in front of P1 [VISUAL COMPETITOR]; P4 green pen 15 cm behind P1 [DISTRACTOR]</x:v>
      </x:c>
      <x:c r="E119" s="8" t="n">
        <x:f>IF(ISBLANK('Evaluation Plan'!E119),"",'Evaluation Plan'!E119)</x:f>
        <x:v>116</x:v>
      </x:c>
      <x:c r="F119" s="8" t="str">
        <x:f>'Evaluation Plan'!F119</x:f>
        <x:v>airplane toy without propellers → 2–8 cm edge gap to the right of pink marker; centroid direction within ±45°</x:v>
      </x:c>
      <x:c r="G119" s="7"/>
      <x:c r="H119" s="8" t="str">
        <x:f>'Evaluation Plan'!H119</x:f>
        <x:v>Airplane directional transfer</x:v>
      </x:c>
      <x:c r="I119" s="8" t="str">
        <x:f>'Evaluation Plan'!I119</x:f>
        <x:v>RP-AIR04</x:v>
      </x:c>
      <x:c r="J119" s="8" t="str">
        <x:f>'Evaluation Plan'!J119</x:f>
        <x:v>right</x:v>
      </x:c>
      <x:c r="K119" s="8" t="n">
        <x:f>'Evaluation Plan'!K119</x:f>
        <x:v>4</x:v>
      </x:c>
      <x:c r="L119" s="8" t="str">
        <x:f>'Evaluation Plan'!L119</x:f>
        <x:v>2 — Airplane directional transfer — Cross-task airplane as target; directional relation (right)</x:v>
      </x:c>
      <x:c r="M119" s="8" t="n">
        <x:f>'Evaluation Plan'!M119</x:f>
        <x:v>54</x:v>
      </x:c>
      <x:c r="N119" s="7" t="str">
        <x:f>'Evaluation Plan'!N119</x:f>
        <x:v>Reset only P2 to its marked start. Keep the scene exact; change only the prompt and expected placement.</x:v>
      </x:c>
      <x:c r="O119" s="7" t="str">
        <x:f>'Evaluation Plan'!O119</x:f>
        <x:v>Cross-task visual-role composition. Analyze airplane-as-target and airplane-as-reference families separately; do not call this globally unseen-object generalization.</x:v>
      </x:c>
      <x:c r="P119" s="7" t="str">
        <x:f>IF(ISBLANK('Evaluation Plan'!P119),"",'Evaluation Plan'!P119)</x:f>
      </x:c>
    </x:row>
    <x:row r="120" ht="64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Move the airplane toy with propellers near the blue block.</x:v>
      </x:c>
      <x:c r="D120" s="10" t="str">
        <x:f>'Evaluation Plan'!D120</x:f>
        <x:v>P1 blue block at R5 (5 cm away from the robot from center) [REFERENCE]; P2 airplane toy with propellers 24 cm behind P1 [TARGET START]; P3 airplane toy without propellers 15 cm to the left of P1 [VISUAL COMPETITOR]</x:v>
      </x:c>
      <x:c r="E120" s="9" t="str">
        <x:f>IF(ISBLANK('Evaluation Plan'!E120),"",'Evaluation Plan'!E120)</x:f>
      </x:c>
      <x:c r="F120" s="9" t="str">
        <x:f>'Evaluation Plan'!F120</x:f>
        <x:v>airplane toy with propellers → 2–8 cm edge gap from blue block (any direction)</x:v>
      </x:c>
      <x:c r="G120" s="10"/>
      <x:c r="H120" s="9" t="str">
        <x:f>'Evaluation Plan'!H120</x:f>
        <x:v>Airplane seen-relation baseline</x:v>
      </x:c>
      <x:c r="I120" s="9" t="str">
        <x:f>'Evaluation Plan'!I120</x:f>
        <x:v>RP-AIR05</x:v>
      </x:c>
      <x:c r="J120" s="9" t="str">
        <x:f>'Evaluation Plan'!J120</x:f>
        <x:v>near</x:v>
      </x:c>
      <x:c r="K120" s="9" t="n">
        <x:f>'Evaluation Plan'!K120</x:f>
        <x:v>3</x:v>
      </x:c>
      <x:c r="L120" s="9" t="str">
        <x:f>'Evaluation Plan'!L120</x:f>
        <x:v>1 — Airplane seen-relation baseline — Cross-task airplane as target; seen near relation</x:v>
      </x:c>
      <x:c r="M120" s="9" t="n">
        <x:f>'Evaluation Plan'!M120</x:f>
        <x:v>55</x:v>
      </x:c>
      <x:c r="N120" s="10" t="str">
        <x:f>'Evaluation Plan'!N120</x:f>
        <x:v>Build the listed scene with both airplane variants present. Save a first-frame filename before running the baseline.</x:v>
      </x:c>
      <x:c r="O120" s="10" t="str">
        <x:f>'Evaluation Plan'!O120</x:f>
        <x:v>The airplanes are seen elsewhere in fine-tuning but absent from Relational Placement. The near baseline checks role-specific visual grounding and basic manipulation before directional composition.</x:v>
      </x:c>
      <x:c r="P120" s="10" t="str">
        <x:f>IF(ISBLANK('Evaluation Plan'!P120),"",'Evaluation Plan'!P120)</x:f>
      </x:c>
    </x:row>
    <x:row r="121" ht="64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Put the airplane toy with propellers on the table in front of the blue block.</x:v>
      </x:c>
      <x:c r="D121" s="7" t="str">
        <x:f>'Evaluation Plan'!D121</x:f>
        <x:v>P1 blue block at R5 (5 cm away from the robot from center) [REFERENCE]; P2 airplane toy with propellers 24 cm behind P1 [TARGET START]; P3 airplane toy without propellers 15 cm to the left of P1 [VISUAL COMPETITOR]</x:v>
      </x:c>
      <x:c r="E121" s="8" t="n">
        <x:f>IF(ISBLANK('Evaluation Plan'!E121),"",'Evaluation Plan'!E121)</x:f>
        <x:v>118</x:v>
      </x:c>
      <x:c r="F121" s="8" t="str">
        <x:f>'Evaluation Plan'!F121</x:f>
        <x:v>airplane toy with propellers → 2–8 cm edge gap in front of blue block; centroid direction within ±45°</x:v>
      </x:c>
      <x:c r="G121" s="7"/>
      <x:c r="H121" s="8" t="str">
        <x:f>'Evaluation Plan'!H121</x:f>
        <x:v>Airplane directional transfer</x:v>
      </x:c>
      <x:c r="I121" s="8" t="str">
        <x:f>'Evaluation Plan'!I121</x:f>
        <x:v>RP-AIR05</x:v>
      </x:c>
      <x:c r="J121" s="8" t="str">
        <x:f>'Evaluation Plan'!J121</x:f>
        <x:v>front</x:v>
      </x:c>
      <x:c r="K121" s="8" t="n">
        <x:f>'Evaluation Plan'!K121</x:f>
        <x:v>3</x:v>
      </x:c>
      <x:c r="L121" s="8" t="str">
        <x:f>'Evaluation Plan'!L121</x:f>
        <x:v>2 — Airplane directional transfer — Cross-task airplane as target; directional relation (front)</x:v>
      </x:c>
      <x:c r="M121" s="8" t="n">
        <x:f>'Evaluation Plan'!M121</x:f>
        <x:v>55</x:v>
      </x:c>
      <x:c r="N121" s="7" t="str">
        <x:f>'Evaluation Plan'!N121</x:f>
        <x:v>Reset only P2 to its marked start. Keep the scene exact; change only the prompt and expected placement.</x:v>
      </x:c>
      <x:c r="O121" s="7" t="str">
        <x:f>'Evaluation Plan'!O121</x:f>
        <x:v>Cross-task visual-role composition. Analyze airplane-as-target and airplane-as-reference families separately; do not call this globally unseen-object generalization.</x:v>
      </x:c>
      <x:c r="P121" s="7" t="str">
        <x:f>IF(ISBLANK('Evaluation Plan'!P121),"",'Evaluation Plan'!P121)</x:f>
      </x:c>
    </x:row>
    <x:row r="122" ht="64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Place the pink marker next to the airplane toy without propellers.</x:v>
      </x:c>
      <x:c r="D122" s="10" t="str">
        <x:f>'Evaluation Plan'!D122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2" s="9" t="str">
        <x:f>IF(ISBLANK('Evaluation Plan'!E122),"",'Evaluation Plan'!E122)</x:f>
      </x:c>
      <x:c r="F122" s="9" t="str">
        <x:f>'Evaluation Plan'!F122</x:f>
        <x:v>pink marker → 2–8 cm edge gap from airplane toy without propellers (any direction)</x:v>
      </x:c>
      <x:c r="G122" s="10"/>
      <x:c r="H122" s="9" t="str">
        <x:f>'Evaluation Plan'!H122</x:f>
        <x:v>Airplane seen-relation baseline</x:v>
      </x:c>
      <x:c r="I122" s="9" t="str">
        <x:f>'Evaluation Plan'!I122</x:f>
        <x:v>RP-AIR06</x:v>
      </x:c>
      <x:c r="J122" s="9" t="str">
        <x:f>'Evaluation Plan'!J122</x:f>
        <x:v>near</x:v>
      </x:c>
      <x:c r="K122" s="9" t="n">
        <x:f>'Evaluation Plan'!K122</x:f>
        <x:v>4</x:v>
      </x:c>
      <x:c r="L122" s="9" t="str">
        <x:f>'Evaluation Plan'!L122</x:f>
        <x:v>1 — Airplane seen-relation baseline — Cross-task airplane as reference; seen near relation</x:v>
      </x:c>
      <x:c r="M122" s="9" t="n">
        <x:f>'Evaluation Plan'!M122</x:f>
        <x:v>56</x:v>
      </x:c>
      <x:c r="N122" s="10" t="str">
        <x:f>'Evaluation Plan'!N122</x:f>
        <x:v>Build the listed scene with both airplane variants present. Save a first-frame filename before running the baseline.</x:v>
      </x:c>
      <x:c r="O122" s="10" t="str">
        <x:f>'Evaluation Plan'!O122</x:f>
        <x:v>The airplanes are seen elsewhere in fine-tuning but absent from Relational Placement. The near baseline checks role-specific visual grounding and basic manipulation before directional composition.</x:v>
      </x:c>
      <x:c r="P122" s="10" t="str">
        <x:f>IF(ISBLANK('Evaluation Plan'!P122),"",'Evaluation Plan'!P122)</x:f>
      </x:c>
    </x:row>
    <x:row r="123" ht="64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Place the pink marker behind the airplane toy without propellers.</x:v>
      </x:c>
      <x:c r="D123" s="7" t="str">
        <x:f>'Evaluation Plan'!D123</x:f>
        <x:v>P1 airplane toy without propellers at R1 (table center) [REFERENCE]; P2 pink marker 18 cm in front of P1 [TARGET START]; P3 airplane toy with propellers 15 cm to the left of P1 [VISUAL COMPETITOR]; P4 green pen 15 cm to the right of P1 [DISTRACTOR]</x:v>
      </x:c>
      <x:c r="E123" s="8" t="n">
        <x:f>IF(ISBLANK('Evaluation Plan'!E123),"",'Evaluation Plan'!E123)</x:f>
        <x:v>120</x:v>
      </x:c>
      <x:c r="F123" s="8" t="str">
        <x:f>'Evaluation Plan'!F123</x:f>
        <x:v>pink marker → 2–8 cm edge gap behind airplane toy without propellers; centroid direction within ±45°</x:v>
      </x:c>
      <x:c r="G123" s="7"/>
      <x:c r="H123" s="8" t="str">
        <x:f>'Evaluation Plan'!H123</x:f>
        <x:v>Airplane directional transfer</x:v>
      </x:c>
      <x:c r="I123" s="8" t="str">
        <x:f>'Evaluation Plan'!I123</x:f>
        <x:v>RP-AIR06</x:v>
      </x:c>
      <x:c r="J123" s="8" t="str">
        <x:f>'Evaluation Plan'!J123</x:f>
        <x:v>behind</x:v>
      </x:c>
      <x:c r="K123" s="8" t="n">
        <x:f>'Evaluation Plan'!K123</x:f>
        <x:v>4</x:v>
      </x:c>
      <x:c r="L123" s="8" t="str">
        <x:f>'Evaluation Plan'!L123</x:f>
        <x:v>2 — Airplane directional transfer — Cross-task airplane as reference; directional relation (behind)</x:v>
      </x:c>
      <x:c r="M123" s="8" t="n">
        <x:f>'Evaluation Plan'!M123</x:f>
        <x:v>56</x:v>
      </x:c>
      <x:c r="N123" s="7" t="str">
        <x:f>'Evaluation Plan'!N123</x:f>
        <x:v>Reset only P2 to its marked start. Keep the scene exact; change only the prompt and expected placement.</x:v>
      </x:c>
      <x:c r="O123" s="7" t="str">
        <x:f>'Evaluation Plan'!O123</x:f>
        <x:v>Cross-task visual-role composition. Analyze airplane-as-target and airplane-as-reference families separately; do not call this globally unseen-object generalization.</x:v>
      </x:c>
      <x:c r="P123" s="7" t="str">
        <x:f>IF(ISBLANK('Evaluation Plan'!P123),"",'Evaluation Plan'!P123)</x:f>
      </x:c>
    </x:row>
    <x:row r="124" ht="64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Put the blue block beside the airplane toy with propellers.</x:v>
      </x:c>
      <x:c r="D124" s="10" t="str">
        <x:f>'Evaluation Plan'!D124</x:f>
        <x:v>P1 airplane toy with propellers at R2 (5 cm left of center) [REFERENCE]; P2 blue block 21 cm to the right of P1 [TARGET START]; P3 airplane toy without propellers 15 cm in front of P1 [VISUAL COMPETITOR]</x:v>
      </x:c>
      <x:c r="E124" s="9" t="str">
        <x:f>IF(ISBLANK('Evaluation Plan'!E124),"",'Evaluation Plan'!E124)</x:f>
      </x:c>
      <x:c r="F124" s="9" t="str">
        <x:f>'Evaluation Plan'!F124</x:f>
        <x:v>blue block → 2–8 cm edge gap from airplane toy with propellers (any direction)</x:v>
      </x:c>
      <x:c r="G124" s="10"/>
      <x:c r="H124" s="9" t="str">
        <x:f>'Evaluation Plan'!H124</x:f>
        <x:v>Airplane seen-relation baseline</x:v>
      </x:c>
      <x:c r="I124" s="9" t="str">
        <x:f>'Evaluation Plan'!I124</x:f>
        <x:v>RP-AIR07</x:v>
      </x:c>
      <x:c r="J124" s="9" t="str">
        <x:f>'Evaluation Plan'!J124</x:f>
        <x:v>near</x:v>
      </x:c>
      <x:c r="K124" s="9" t="n">
        <x:f>'Evaluation Plan'!K124</x:f>
        <x:v>3</x:v>
      </x:c>
      <x:c r="L124" s="9" t="str">
        <x:f>'Evaluation Plan'!L124</x:f>
        <x:v>1 — Airplane seen-relation baseline — Cross-task airplane as reference; seen near relation</x:v>
      </x:c>
      <x:c r="M124" s="9" t="n">
        <x:f>'Evaluation Plan'!M124</x:f>
        <x:v>57</x:v>
      </x:c>
      <x:c r="N124" s="10" t="str">
        <x:f>'Evaluation Plan'!N124</x:f>
        <x:v>Build the listed scene with both airplane variants present. Save a first-frame filename before running the baseline.</x:v>
      </x:c>
      <x:c r="O124" s="10" t="str">
        <x:f>'Evaluation Plan'!O124</x:f>
        <x:v>The airplanes are seen elsewhere in fine-tuning but absent from Relational Placement. The near baseline checks role-specific visual grounding and basic manipulation before directional composition.</x:v>
      </x:c>
      <x:c r="P124" s="10" t="str">
        <x:f>IF(ISBLANK('Evaluation Plan'!P124),"",'Evaluation Plan'!P124)</x:f>
      </x:c>
    </x:row>
    <x:row r="125" ht="64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Place the blue block to the left of the airplane toy with propellers.</x:v>
      </x:c>
      <x:c r="D125" s="7" t="str">
        <x:f>'Evaluation Plan'!D125</x:f>
        <x:v>P1 airplane toy with propellers at R2 (5 cm left of center) [REFERENCE]; P2 blue block 21 cm to the right of P1 [TARGET START]; P3 airplane toy without propellers 15 cm in front of P1 [VISUAL COMPETITOR]</x:v>
      </x:c>
      <x:c r="E125" s="8" t="n">
        <x:f>IF(ISBLANK('Evaluation Plan'!E125),"",'Evaluation Plan'!E125)</x:f>
        <x:v>122</x:v>
      </x:c>
      <x:c r="F125" s="8" t="str">
        <x:f>'Evaluation Plan'!F125</x:f>
        <x:v>blue block → 2–8 cm edge gap to the left of airplane toy with propellers; centroid direction within ±45°</x:v>
      </x:c>
      <x:c r="G125" s="7"/>
      <x:c r="H125" s="8" t="str">
        <x:f>'Evaluation Plan'!H125</x:f>
        <x:v>Airplane directional transfer</x:v>
      </x:c>
      <x:c r="I125" s="8" t="str">
        <x:f>'Evaluation Plan'!I125</x:f>
        <x:v>RP-AIR07</x:v>
      </x:c>
      <x:c r="J125" s="8" t="str">
        <x:f>'Evaluation Plan'!J125</x:f>
        <x:v>left</x:v>
      </x:c>
      <x:c r="K125" s="8" t="n">
        <x:f>'Evaluation Plan'!K125</x:f>
        <x:v>3</x:v>
      </x:c>
      <x:c r="L125" s="8" t="str">
        <x:f>'Evaluation Plan'!L125</x:f>
        <x:v>2 — Airplane directional transfer — Cross-task airplane as reference; directional relation (left)</x:v>
      </x:c>
      <x:c r="M125" s="8" t="n">
        <x:f>'Evaluation Plan'!M125</x:f>
        <x:v>57</x:v>
      </x:c>
      <x:c r="N125" s="7" t="str">
        <x:f>'Evaluation Plan'!N125</x:f>
        <x:v>Reset only P2 to its marked start. Keep the scene exact; change only the prompt and expected placement.</x:v>
      </x:c>
      <x:c r="O125" s="7" t="str">
        <x:f>'Evaluation Plan'!O125</x:f>
        <x:v>Cross-task visual-role composition. Analyze airplane-as-target and airplane-as-reference families separately; do not call this globally unseen-object generalization.</x:v>
      </x:c>
      <x:c r="P125" s="7" t="str">
        <x:f>IF(ISBLANK('Evaluation Plan'!P125),"",'Evaluation Plan'!P125)</x:f>
      </x:c>
    </x:row>
    <x:row r="126" ht="64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Move the green pen near the airplane toy without propellers.</x:v>
      </x:c>
      <x:c r="D126" s="10" t="str">
        <x:f>'Evaluation Plan'!D126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6" s="9" t="str">
        <x:f>IF(ISBLANK('Evaluation Plan'!E126),"",'Evaluation Plan'!E126)</x:f>
      </x:c>
      <x:c r="F126" s="9" t="str">
        <x:f>'Evaluation Plan'!F126</x:f>
        <x:v>green pen → 2–8 cm edge gap from airplane toy without propellers (any direction)</x:v>
      </x:c>
      <x:c r="G126" s="10"/>
      <x:c r="H126" s="9" t="str">
        <x:f>'Evaluation Plan'!H126</x:f>
        <x:v>Airplane seen-relation baseline</x:v>
      </x:c>
      <x:c r="I126" s="9" t="str">
        <x:f>'Evaluation Plan'!I126</x:f>
        <x:v>RP-AIR08</x:v>
      </x:c>
      <x:c r="J126" s="9" t="str">
        <x:f>'Evaluation Plan'!J126</x:f>
        <x:v>near</x:v>
      </x:c>
      <x:c r="K126" s="9" t="n">
        <x:f>'Evaluation Plan'!K126</x:f>
        <x:v>4</x:v>
      </x:c>
      <x:c r="L126" s="9" t="str">
        <x:f>'Evaluation Plan'!L126</x:f>
        <x:v>1 — Airplane seen-relation baseline — Cross-task airplane as reference; seen near relation</x:v>
      </x:c>
      <x:c r="M126" s="9" t="n">
        <x:f>'Evaluation Plan'!M126</x:f>
        <x:v>58</x:v>
      </x:c>
      <x:c r="N126" s="10" t="str">
        <x:f>'Evaluation Plan'!N126</x:f>
        <x:v>Build the listed scene with both airplane variants present. Save a first-frame filename before running the baseline.</x:v>
      </x:c>
      <x:c r="O126" s="10" t="str">
        <x:f>'Evaluation Plan'!O126</x:f>
        <x:v>The airplanes are seen elsewhere in fine-tuning but absent from Relational Placement. The near baseline checks role-specific visual grounding and basic manipulation before directional composition.</x:v>
      </x:c>
      <x:c r="P126" s="10" t="str">
        <x:f>IF(ISBLANK('Evaluation Plan'!P126),"",'Evaluation Plan'!P126)</x:f>
      </x:c>
    </x:row>
    <x:row r="127" ht="64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Place the green pen to the right of the airplane toy without propellers.</x:v>
      </x:c>
      <x:c r="D127" s="7" t="str">
        <x:f>'Evaluation Plan'!D127</x:f>
        <x:v>P1 airplane toy without propellers at R3 (5 cm right of center) [REFERENCE]; P2 green pen 24 cm to the left of P1 [TARGET START]; P3 airplane toy with propellers 15 cm in front of P1 [VISUAL COMPETITOR]; P4 red block 15 cm behind P1 [DISTRACTOR]</x:v>
      </x:c>
      <x:c r="E127" s="8" t="n">
        <x:f>IF(ISBLANK('Evaluation Plan'!E127),"",'Evaluation Plan'!E127)</x:f>
        <x:v>124</x:v>
      </x:c>
      <x:c r="F127" s="8" t="str">
        <x:f>'Evaluation Plan'!F127</x:f>
        <x:v>green pen → 2–8 cm edge gap to the right of airplane toy without propellers; centroid direction within ±45°</x:v>
      </x:c>
      <x:c r="G127" s="7"/>
      <x:c r="H127" s="8" t="str">
        <x:f>'Evaluation Plan'!H127</x:f>
        <x:v>Airplane directional transfer</x:v>
      </x:c>
      <x:c r="I127" s="8" t="str">
        <x:f>'Evaluation Plan'!I127</x:f>
        <x:v>RP-AIR08</x:v>
      </x:c>
      <x:c r="J127" s="8" t="str">
        <x:f>'Evaluation Plan'!J127</x:f>
        <x:v>right</x:v>
      </x:c>
      <x:c r="K127" s="8" t="n">
        <x:f>'Evaluation Plan'!K127</x:f>
        <x:v>4</x:v>
      </x:c>
      <x:c r="L127" s="8" t="str">
        <x:f>'Evaluation Plan'!L127</x:f>
        <x:v>2 — Airplane directional transfer — Cross-task airplane as reference; directional relation (right)</x:v>
      </x:c>
      <x:c r="M127" s="8" t="n">
        <x:f>'Evaluation Plan'!M127</x:f>
        <x:v>58</x:v>
      </x:c>
      <x:c r="N127" s="7" t="str">
        <x:f>'Evaluation Plan'!N127</x:f>
        <x:v>Reset only P2 to its marked start. Keep the scene exact; change only the prompt and expected placement.</x:v>
      </x:c>
      <x:c r="O127" s="7" t="str">
        <x:f>'Evaluation Plan'!O127</x:f>
        <x:v>Cross-task visual-role composition. Analyze airplane-as-target and airplane-as-reference families separately; do not call this globally unseen-object generalization.</x:v>
      </x:c>
      <x:c r="P127" s="7" t="str">
        <x:f>IF(ISBLANK('Evaluation Plan'!P127),"",'Evaluation Plan'!P127)</x:f>
      </x:c>
    </x:row>
    <x:row r="128" ht="64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Place the pink marker next to the airplane toy with propellers.</x:v>
      </x:c>
      <x:c r="D128" s="10" t="str">
        <x:f>'Evaluation Plan'!D128</x:f>
        <x:v>P1 airplane toy with propellers at R4 (5 cm toward the robot from center) [REFERENCE]; P2 pink marker 18 cm behind P1 [TARGET START]; P3 airplane toy without propellers 15 cm to the left of P1 [VISUAL COMPETITOR]</x:v>
      </x:c>
      <x:c r="E128" s="9" t="str">
        <x:f>IF(ISBLANK('Evaluation Plan'!E128),"",'Evaluation Plan'!E128)</x:f>
      </x:c>
      <x:c r="F128" s="9" t="str">
        <x:f>'Evaluation Plan'!F128</x:f>
        <x:v>pink marker → 2–8 cm edge gap from airplane toy with propellers (any direction)</x:v>
      </x:c>
      <x:c r="G128" s="10"/>
      <x:c r="H128" s="9" t="str">
        <x:f>'Evaluation Plan'!H128</x:f>
        <x:v>Airplane seen-relation baseline</x:v>
      </x:c>
      <x:c r="I128" s="9" t="str">
        <x:f>'Evaluation Plan'!I128</x:f>
        <x:v>RP-AIR09</x:v>
      </x:c>
      <x:c r="J128" s="9" t="str">
        <x:f>'Evaluation Plan'!J128</x:f>
        <x:v>near</x:v>
      </x:c>
      <x:c r="K128" s="9" t="n">
        <x:f>'Evaluation Plan'!K128</x:f>
        <x:v>3</x:v>
      </x:c>
      <x:c r="L128" s="9" t="str">
        <x:f>'Evaluation Plan'!L128</x:f>
        <x:v>1 — Airplane seen-relation baseline — Cross-task airplane as reference; seen near relation</x:v>
      </x:c>
      <x:c r="M128" s="9" t="n">
        <x:f>'Evaluation Plan'!M128</x:f>
        <x:v>59</x:v>
      </x:c>
      <x:c r="N128" s="10" t="str">
        <x:f>'Evaluation Plan'!N128</x:f>
        <x:v>Build the listed scene with both airplane variants present. Save a first-frame filename before running the baseline.</x:v>
      </x:c>
      <x:c r="O128" s="10" t="str">
        <x:f>'Evaluation Plan'!O128</x:f>
        <x:v>The airplanes are seen elsewhere in fine-tuning but absent from Relational Placement. The near baseline checks role-specific visual grounding and basic manipulation before directional composition.</x:v>
      </x:c>
      <x:c r="P128" s="10" t="str">
        <x:f>IF(ISBLANK('Evaluation Plan'!P128),"",'Evaluation Plan'!P128)</x:f>
      </x:c>
    </x:row>
    <x:row r="129" ht="64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Place the pink marker in front of the airplane toy with propellers.</x:v>
      </x:c>
      <x:c r="D129" s="7" t="str">
        <x:f>'Evaluation Plan'!D129</x:f>
        <x:v>P1 airplane toy with propellers at R4 (5 cm toward the robot from center) [REFERENCE]; P2 pink marker 18 cm behind P1 [TARGET START]; P3 airplane toy without propellers 15 cm to the left of P1 [VISUAL COMPETITOR]</x:v>
      </x:c>
      <x:c r="E129" s="8" t="n">
        <x:f>IF(ISBLANK('Evaluation Plan'!E129),"",'Evaluation Plan'!E129)</x:f>
        <x:v>126</x:v>
      </x:c>
      <x:c r="F129" s="8" t="str">
        <x:f>'Evaluation Plan'!F129</x:f>
        <x:v>pink marker → 2–8 cm edge gap in front of airplane toy with propellers; centroid direction within ±45°</x:v>
      </x:c>
      <x:c r="G129" s="7"/>
      <x:c r="H129" s="8" t="str">
        <x:f>'Evaluation Plan'!H129</x:f>
        <x:v>Airplane directional transfer</x:v>
      </x:c>
      <x:c r="I129" s="8" t="str">
        <x:f>'Evaluation Plan'!I129</x:f>
        <x:v>RP-AIR09</x:v>
      </x:c>
      <x:c r="J129" s="8" t="str">
        <x:f>'Evaluation Plan'!J129</x:f>
        <x:v>front</x:v>
      </x:c>
      <x:c r="K129" s="8" t="n">
        <x:f>'Evaluation Plan'!K129</x:f>
        <x:v>3</x:v>
      </x:c>
      <x:c r="L129" s="8" t="str">
        <x:f>'Evaluation Plan'!L129</x:f>
        <x:v>2 — Airplane directional transfer — Cross-task airplane as reference; directional relation (front)</x:v>
      </x:c>
      <x:c r="M129" s="8" t="n">
        <x:f>'Evaluation Plan'!M129</x:f>
        <x:v>59</x:v>
      </x:c>
      <x:c r="N129" s="7" t="str">
        <x:f>'Evaluation Plan'!N129</x:f>
        <x:v>Reset only P2 to its marked start. Keep the scene exact; change only the prompt and expected placement.</x:v>
      </x:c>
      <x:c r="O129" s="7" t="str">
        <x:f>'Evaluation Plan'!O129</x:f>
        <x:v>Cross-task visual-role composition. Analyze airplane-as-target and airplane-as-reference families separately; do not call this globally unseen-object generalization.</x:v>
      </x:c>
      <x:c r="P129" s="7" t="str">
        <x:f>IF(ISBLANK('Evaluation Plan'!P129),"",'Evaluation Plan'!P129)</x:f>
      </x:c>
    </x:row>
    <x:row r="130" ht="64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Put the blue block beside the airplane toy without propellers.</x:v>
      </x:c>
      <x:c r="D130" s="10" t="str">
        <x:f>'Evaluation Plan'!D130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0" s="9" t="str">
        <x:f>IF(ISBLANK('Evaluation Plan'!E130),"",'Evaluation Plan'!E130)</x:f>
      </x:c>
      <x:c r="F130" s="9" t="str">
        <x:f>'Evaluation Plan'!F130</x:f>
        <x:v>blue block → 2–8 cm edge gap from airplane toy without propellers (any direction)</x:v>
      </x:c>
      <x:c r="G130" s="10"/>
      <x:c r="H130" s="9" t="str">
        <x:f>'Evaluation Plan'!H130</x:f>
        <x:v>Airplane seen-relation baseline</x:v>
      </x:c>
      <x:c r="I130" s="9" t="str">
        <x:f>'Evaluation Plan'!I130</x:f>
        <x:v>RP-AIR10</x:v>
      </x:c>
      <x:c r="J130" s="9" t="str">
        <x:f>'Evaluation Plan'!J130</x:f>
        <x:v>near</x:v>
      </x:c>
      <x:c r="K130" s="9" t="n">
        <x:f>'Evaluation Plan'!K130</x:f>
        <x:v>4</x:v>
      </x:c>
      <x:c r="L130" s="9" t="str">
        <x:f>'Evaluation Plan'!L130</x:f>
        <x:v>1 — Airplane seen-relation baseline — Cross-task airplane as reference; seen near relation</x:v>
      </x:c>
      <x:c r="M130" s="9" t="n">
        <x:f>'Evaluation Plan'!M130</x:f>
        <x:v>60</x:v>
      </x:c>
      <x:c r="N130" s="10" t="str">
        <x:f>'Evaluation Plan'!N130</x:f>
        <x:v>Build the listed scene with both airplane variants present. Save a first-frame filename before running the baseline.</x:v>
      </x:c>
      <x:c r="O130" s="10" t="str">
        <x:f>'Evaluation Plan'!O130</x:f>
        <x:v>The airplanes are seen elsewhere in fine-tuning but absent from Relational Placement. The near baseline checks role-specific visual grounding and basic manipulation before directional composition.</x:v>
      </x:c>
      <x:c r="P130" s="10" t="str">
        <x:f>IF(ISBLANK('Evaluation Plan'!P130),"",'Evaluation Plan'!P130)</x:f>
      </x:c>
    </x:row>
    <x:row r="131" ht="64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Move the blue block to the back of the airplane toy without propellers.</x:v>
      </x:c>
      <x:c r="D131" s="7" t="str">
        <x:f>'Evaluation Plan'!D131</x:f>
        <x:v>P1 airplane toy without propellers at R5 (5 cm away from the robot from center) [REFERENCE]; P2 blue block 21 cm in front of P1 [TARGET START]; P3 airplane toy with propellers 15 cm to the left of P1 [VISUAL COMPETITOR]; P4 green pen 15 cm to the right of P1 [DISTRACTOR]</x:v>
      </x:c>
      <x:c r="E131" s="8" t="n">
        <x:f>IF(ISBLANK('Evaluation Plan'!E131),"",'Evaluation Plan'!E131)</x:f>
        <x:v>128</x:v>
      </x:c>
      <x:c r="F131" s="8" t="str">
        <x:f>'Evaluation Plan'!F131</x:f>
        <x:v>blue block → 2–8 cm edge gap behind airplane toy without propellers; centroid direction within ±45°</x:v>
      </x:c>
      <x:c r="G131" s="7"/>
      <x:c r="H131" s="8" t="str">
        <x:f>'Evaluation Plan'!H131</x:f>
        <x:v>Airplane directional transfer</x:v>
      </x:c>
      <x:c r="I131" s="8" t="str">
        <x:f>'Evaluation Plan'!I131</x:f>
        <x:v>RP-AIR10</x:v>
      </x:c>
      <x:c r="J131" s="8" t="str">
        <x:f>'Evaluation Plan'!J131</x:f>
        <x:v>behind</x:v>
      </x:c>
      <x:c r="K131" s="8" t="n">
        <x:f>'Evaluation Plan'!K131</x:f>
        <x:v>4</x:v>
      </x:c>
      <x:c r="L131" s="8" t="str">
        <x:f>'Evaluation Plan'!L131</x:f>
        <x:v>2 — Airplane directional transfer — Cross-task airplane as reference; directional relation (behind)</x:v>
      </x:c>
      <x:c r="M131" s="8" t="n">
        <x:f>'Evaluation Plan'!M131</x:f>
        <x:v>60</x:v>
      </x:c>
      <x:c r="N131" s="7" t="str">
        <x:f>'Evaluation Plan'!N131</x:f>
        <x:v>Reset only P2 to its marked start. Keep the scene exact; change only the prompt and expected placement.</x:v>
      </x:c>
      <x:c r="O131" s="7" t="str">
        <x:f>'Evaluation Plan'!O131</x:f>
        <x:v>Cross-task visual-role composition. Analyze airplane-as-target and airplane-as-reference families separately; do not call this globally unseen-object generalization.</x:v>
      </x:c>
      <x:c r="P131" s="7" t="str">
        <x:f>IF(ISBLANK('Evaluation Plan'!P131),"",'Evaluation Plan'!P131)</x:f>
      </x:c>
    </x:row>
  </x:sheetData>
  <x:conditionalFormatting sqref="A2:P131">
    <x:cfRule type="expression" dxfId="23" priority="1">
      <x:formula>$A2="Success"</x:formula>
    </x:cfRule>
    <x:cfRule type="expression" dxfId="24" priority="2">
      <x:formula>$A2="Failure"</x:formula>
    </x:cfRule>
  </x:conditionalFormatting>
  <x:conditionalFormatting sqref="H2:H131">
    <x:cfRule type="containsText" dxfId="25" priority="3" operator="containsText" text="Concept/compositional transfer"/>
    <x:cfRule type="containsText" dxfId="26" priority="4" operator="containsText" text="Exact-scene opposite-direction contrast"/>
    <x:cfRule type="containsText" dxfId="27" priority="5" operator="containsText" text="Matched manipulation control"/>
    <x:cfRule type="containsText" dxfId="28" priority="6" operator="containsText" text="Airplane"/>
    <x:cfRule type="containsText" dxfId="29" priority="7" operator="containsText" text="Language robustness"/>
  </x:conditionalFormatting>
  <x:dataValidations count="1">
    <x:dataValidation type="list" sqref="A2:A13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3d5ee5b71c4489"/>
  </x:tableParts>
</x:worksheet>
</file>