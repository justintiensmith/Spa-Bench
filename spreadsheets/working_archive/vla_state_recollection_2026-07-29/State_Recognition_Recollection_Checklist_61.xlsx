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28202ed0e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59332a00264e4e2e"/>
    <x:sheet xmlns:r="http://schemas.openxmlformats.org/officeDocument/2006/relationships" name="QA Summary" sheetId="2" r:id="R4e07d7588334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664D0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3CD"/>
      </x:patternFill>
    </x:fill>
    <x:fill>
      <x:patternFill patternType="solid">
        <x:fgColor rgb="FFFFFDF5"/>
      </x:patternFill>
    </x:fill>
  </x:fills>
  <x:borders count="6">
    <x:border/>
    <x:border/>
    <x:border>
      <x:left style="thin">
        <x:color rgb="FF7DD3FC"/>
      </x:left>
      <x:right style="thin">
        <x:color rgb="FFD7EAF4"/>
      </x:right>
      <x:top style="thin">
        <x:color rgb="FF7DD3FC"/>
      </x:top>
      <x:bottom style="thin">
        <x:color rgb="FF7DD3FC"/>
      </x:bottom>
    </x:border>
    <x:border>
      <x:left style="thin">
        <x:color rgb="FFD7EAF4"/>
      </x:left>
      <x:right style="thin">
        <x:color rgb="FFD7EAF4"/>
      </x:right>
      <x:top style="thin">
        <x:color rgb="FF7DD3FC"/>
      </x:top>
      <x:bottom style="thin">
        <x:color rgb="FF7DD3FC"/>
      </x:bottom>
    </x:border>
    <x:border>
      <x:left style="thin">
        <x:color rgb="FFD7EAF4"/>
      </x:left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/>
    <x:xf numFmtId="0" fontId="0" fillId="4" borderId="5" xfId="0" applyNumberFormat="1" applyFont="1" applyFill="1" applyBorder="1"/>
    <x:xf numFmtId="0" fontId="2" fillId="4" borderId="5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D9EAD3"/>
        </x:patternFill>
      </x:fill>
    </x:dxf>
    <x:dxf>
      <x:font>
        <x:b/>
        <x:color rgb="FFFFFFFF"/>
      </x:font>
      <x:fill>
        <x:patternFill patternType="solid">
          <x:bgColor rgb="FF1B4332"/>
        </x:patternFill>
      </x:fill>
      <x:border>
        <x:bottom style="thin">
          <x:color rgb="FF0B2E1A"/>
        </x:bottom>
      </x:border>
    </x:dxf>
    <x:dxf>
      <x:font>
        <x:b/>
        <x:color rgb="FF7A4E00"/>
      </x:font>
      <x:fill>
        <x:patternFill patternType="solid">
          <x:bgColor rgb="FFFFF3BF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2056a462f423b" /><Relationship Type="http://schemas.openxmlformats.org/officeDocument/2006/relationships/theme" Target="/xl/theme/theme1.xml" Id="R533bb6aae9354a2b" /><Relationship Type="http://schemas.openxmlformats.org/officeDocument/2006/relationships/sharedStrings" Target="/xl/sharedStrings.xml" Id="R95e40a5b05e84bce" /><Relationship Type="http://schemas.openxmlformats.org/officeDocument/2006/relationships/worksheet" Target="/xl/worksheets/sheet1.xml" Id="R59332a00264e4e2e" /><Relationship Type="http://schemas.openxmlformats.org/officeDocument/2006/relationships/worksheet" Target="/xl/worksheets/sheet2.xml" Id="R4e07d75883344c55" /></Relationships>
</file>

<file path=xl/tables/table1.xml><?xml version="1.0" encoding="utf-8"?>
<x:table xmlns:x="http://schemas.openxmlformats.org/spreadsheetml/2006/main" id="1" name="StateRecollectionChecklistTable" displayName="StateRecollectionChecklistTable" ref="A1:I62" headerRowCount="1" totalsRowCount="0" totalsRowShown="0">
  <x:autoFilter ref="A1:I62"/>
  <x:tableColumns count="9">
    <x:tableColumn id="1" name="Recording Episode"/>
    <x:tableColumn id="2" name="Status"/>
    <x:tableColumn id="3" name="Dataset Episode to Replace"/>
    <x:tableColumn id="4" name="Target Instance"/>
    <x:tableColumn id="5" name="Target State (O/C, UR/UD)"/>
    <x:tableColumn id="6" name="Target Position"/>
    <x:tableColumn id="7" name="Start"/>
    <x:tableColumn id="8" name="Distractors (state and position)"/>
    <x:tableColumn id="9" name="Final Training Prom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24eff0f5a24d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6" hidden="0" customWidth="1"/>
    <x:col min="4" max="4" width="28" hidden="0" customWidth="1"/>
    <x:col min="5" max="5" width="16" hidden="0" customWidth="1"/>
    <x:col min="6" max="6" width="13" hidden="0" customWidth="1"/>
    <x:col min="7" max="7" width="12" hidden="0" customWidth="1"/>
    <x:col min="8" max="8" width="64" hidden="0" customWidth="1"/>
    <x:col min="9" max="9" width="44" hidden="0" customWidth="1"/>
  </x:cols>
  <x:sheetData>
    <x:row r="1" ht="38" customHeight="1">
      <x:c r="A1" s="31" t="str">
        <x:v>Recording Episode</x:v>
      </x:c>
      <x:c r="B1" s="32" t="str">
        <x:v>Status</x:v>
      </x:c>
      <x:c r="C1" s="32" t="str">
        <x:v>Dataset Episode to Replace</x:v>
      </x:c>
      <x:c r="D1" s="32" t="str">
        <x:v>Target Instance</x:v>
      </x:c>
      <x:c r="E1" s="32" t="str">
        <x:v>Target State (O/C, UR/UD)</x:v>
      </x:c>
      <x:c r="F1" s="32" t="str">
        <x:v>Target Position</x:v>
      </x:c>
      <x:c r="G1" s="32" t="str">
        <x:v>Start</x:v>
      </x:c>
      <x:c r="H1" s="32" t="str">
        <x:v>Distractors (state and position)</x:v>
      </x:c>
      <x:c r="I1" s="33" t="str">
        <x:v>Final Training Prompt</x:v>
      </x:c>
    </x:row>
    <x:row r="2" ht="34" customHeight="1">
      <x:c r="A2" s="36" t="n">
        <x:v>0</x:v>
      </x:c>
      <x:c r="B2" s="37" t="str">
        <x:v>Not Started</x:v>
      </x:c>
      <x:c r="C2" s="37" t="n">
        <x:v>1</x:v>
      </x:c>
      <x:c r="D2" s="38" t="str">
        <x:v>white cup B</x:v>
      </x:c>
      <x:c r="E2" s="37" t="str">
        <x:v>O, UR</x:v>
      </x:c>
      <x:c r="F2" s="37" t="str">
        <x:v>P1</x:v>
      </x:c>
      <x:c r="G2" s="37" t="str">
        <x:v>Home</x:v>
      </x:c>
      <x:c r="H2" s="38" t="str">
        <x:v>yellow-white striped cup B (O, UD) — P2; brown cup A (C, UR) — P3; glass spice container B (O, UR) — P4</x:v>
      </x:c>
      <x:c r="I2" s="39" t="str">
        <x:v>Put a white cup in the bowl.</x:v>
      </x:c>
    </x:row>
    <x:row r="3" ht="34" customHeight="1">
      <x:c r="A3" s="36" t="n">
        <x:v>1</x:v>
      </x:c>
      <x:c r="B3" s="37" t="str">
        <x:v>Not Started</x:v>
      </x:c>
      <x:c r="C3" s="37" t="n">
        <x:v>6</x:v>
      </x:c>
      <x:c r="D3" s="38" t="str">
        <x:v>white cup B</x:v>
      </x:c>
      <x:c r="E3" s="37" t="str">
        <x:v>C, UD</x:v>
      </x:c>
      <x:c r="F3" s="37" t="str">
        <x:v>P2</x:v>
      </x:c>
      <x:c r="G3" s="37" t="str">
        <x:v>Home</x:v>
      </x:c>
      <x:c r="H3" s="38" t="str">
        <x:v>yellow-white striped cup A (C, UD) — P3; brown cup B (O, UD) — P4; glass spice container A (C, UR) — P1</x:v>
      </x:c>
      <x:c r="I3" s="39" t="str">
        <x:v>Place a white cup in the bowl.</x:v>
      </x:c>
    </x:row>
    <x:row r="4" ht="34" customHeight="1">
      <x:c r="A4" s="36" t="n">
        <x:v>2</x:v>
      </x:c>
      <x:c r="B4" s="37" t="str">
        <x:v>Not Started</x:v>
      </x:c>
      <x:c r="C4" s="37" t="n">
        <x:v>7</x:v>
      </x:c>
      <x:c r="D4" s="38" t="str">
        <x:v>white cup A</x:v>
      </x:c>
      <x:c r="E4" s="37" t="str">
        <x:v>O, UD</x:v>
      </x:c>
      <x:c r="F4" s="37" t="str">
        <x:v>P3</x:v>
      </x:c>
      <x:c r="G4" s="37" t="str">
        <x:v>Recovery</x:v>
      </x:c>
      <x:c r="H4" s="38" t="str">
        <x:v>yellow-white striped cup B (O, UR) — P4; brown cup A (C, UD) — P1; glass spice container B (O, UD) — P2</x:v>
      </x:c>
      <x:c r="I4" s="39" t="str">
        <x:v>Put a white cup in the bowl.</x:v>
      </x:c>
    </x:row>
    <x:row r="5" ht="34" customHeight="1">
      <x:c r="A5" s="36" t="n">
        <x:v>3</x:v>
      </x:c>
      <x:c r="B5" s="37" t="str">
        <x:v>Not Started</x:v>
      </x:c>
      <x:c r="C5" s="37" t="n">
        <x:v>10</x:v>
      </x:c>
      <x:c r="D5" s="38" t="str">
        <x:v>white cup A</x:v>
      </x:c>
      <x:c r="E5" s="37" t="str">
        <x:v>C, UR</x:v>
      </x:c>
      <x:c r="F5" s="37" t="str">
        <x:v>P4</x:v>
      </x:c>
      <x:c r="G5" s="37" t="str">
        <x:v>Home</x:v>
      </x:c>
      <x:c r="H5" s="38" t="str">
        <x:v>yellow-white striped cup A (C, UR) — P1; brown cup B (O, UR) — P2; glass spice container A (C, UD) — P3</x:v>
      </x:c>
      <x:c r="I5" s="39" t="str">
        <x:v>Put a white cup in the bowl.</x:v>
      </x:c>
    </x:row>
    <x:row r="6" ht="34" customHeight="1">
      <x:c r="A6" s="36" t="n">
        <x:v>4</x:v>
      </x:c>
      <x:c r="B6" s="37" t="str">
        <x:v>Not Started</x:v>
      </x:c>
      <x:c r="C6" s="37" t="n">
        <x:v>12</x:v>
      </x:c>
      <x:c r="D6" s="38" t="str">
        <x:v>white cup A</x:v>
      </x:c>
      <x:c r="E6" s="37" t="str">
        <x:v>O, UR</x:v>
      </x:c>
      <x:c r="F6" s="37" t="str">
        <x:v>P1</x:v>
      </x:c>
      <x:c r="G6" s="37" t="str">
        <x:v>Home</x:v>
      </x:c>
      <x:c r="H6" s="38" t="str">
        <x:v>yellow-white striped cup B (O, UD) — P3; brown cup A (C, UR) — P4; glass spice container B (O, UR) — P2</x:v>
      </x:c>
      <x:c r="I6" s="39" t="str">
        <x:v>Place a white cup in the bowl.</x:v>
      </x:c>
    </x:row>
    <x:row r="7" ht="34" customHeight="1">
      <x:c r="A7" s="36" t="n">
        <x:v>5</x:v>
      </x:c>
      <x:c r="B7" s="37" t="str">
        <x:v>Not Started</x:v>
      </x:c>
      <x:c r="C7" s="37" t="n">
        <x:v>15</x:v>
      </x:c>
      <x:c r="D7" s="38" t="str">
        <x:v>white cup A</x:v>
      </x:c>
      <x:c r="E7" s="37" t="str">
        <x:v>C, UD</x:v>
      </x:c>
      <x:c r="F7" s="37" t="str">
        <x:v>P2</x:v>
      </x:c>
      <x:c r="G7" s="37" t="str">
        <x:v>Home</x:v>
      </x:c>
      <x:c r="H7" s="38" t="str">
        <x:v>yellow-white striped cup A (C, UD) — P4; brown cup B (O, UD) — P1; glass spice container A (C, UR) — P3</x:v>
      </x:c>
      <x:c r="I7" s="39" t="str">
        <x:v>Place a white cup in the bowl.</x:v>
      </x:c>
    </x:row>
    <x:row r="8" ht="34" customHeight="1">
      <x:c r="A8" s="36" t="n">
        <x:v>6</x:v>
      </x:c>
      <x:c r="B8" s="37" t="str">
        <x:v>Not Started</x:v>
      </x:c>
      <x:c r="C8" s="37" t="n">
        <x:v>16</x:v>
      </x:c>
      <x:c r="D8" s="38" t="str">
        <x:v>white cup A</x:v>
      </x:c>
      <x:c r="E8" s="37" t="str">
        <x:v>O, UD</x:v>
      </x:c>
      <x:c r="F8" s="37" t="str">
        <x:v>P3</x:v>
      </x:c>
      <x:c r="G8" s="37" t="str">
        <x:v>Home</x:v>
      </x:c>
      <x:c r="H8" s="38" t="str">
        <x:v>yellow-white striped cup B (O, UR) — P1; brown cup A (C, UD) — P2; glass spice container B (O, UD) — P4</x:v>
      </x:c>
      <x:c r="I8" s="39" t="str">
        <x:v>Put a white cup in the bowl.</x:v>
      </x:c>
    </x:row>
    <x:row r="9" ht="34" customHeight="1">
      <x:c r="A9" s="36" t="n">
        <x:v>7</x:v>
      </x:c>
      <x:c r="B9" s="37" t="str">
        <x:v>Not Started</x:v>
      </x:c>
      <x:c r="C9" s="37" t="n">
        <x:v>24</x:v>
      </x:c>
      <x:c r="D9" s="38" t="str">
        <x:v>white cup A</x:v>
      </x:c>
      <x:c r="E9" s="37" t="str">
        <x:v>C, UR</x:v>
      </x:c>
      <x:c r="F9" s="37" t="str">
        <x:v>P4</x:v>
      </x:c>
      <x:c r="G9" s="37" t="str">
        <x:v>Home</x:v>
      </x:c>
      <x:c r="H9" s="38" t="str">
        <x:v>yellow-white striped cup A (C, UR) — P2; brown cup B (O, UR) — P3; glass spice container A (C, UD) — P1</x:v>
      </x:c>
      <x:c r="I9" s="39" t="str">
        <x:v>Place a white cup in the bowl.</x:v>
      </x:c>
    </x:row>
    <x:row r="10" ht="34" customHeight="1">
      <x:c r="A10" s="36" t="n">
        <x:v>8</x:v>
      </x:c>
      <x:c r="B10" s="37" t="str">
        <x:v>Not Started</x:v>
      </x:c>
      <x:c r="C10" s="37" t="n">
        <x:v>27</x:v>
      </x:c>
      <x:c r="D10" s="38" t="str">
        <x:v>white cup B</x:v>
      </x:c>
      <x:c r="E10" s="37" t="str">
        <x:v>O, UR</x:v>
      </x:c>
      <x:c r="F10" s="37" t="str">
        <x:v>P1</x:v>
      </x:c>
      <x:c r="G10" s="37" t="str">
        <x:v>Home</x:v>
      </x:c>
      <x:c r="H10" s="38" t="str">
        <x:v>yellow-white striped cup B (O, UD) — P4; brown cup A (C, UR) — P2; glass spice container B (O, UR) — P3</x:v>
      </x:c>
      <x:c r="I10" s="39" t="str">
        <x:v>Place a white cup in the bowl.</x:v>
      </x:c>
    </x:row>
    <x:row r="11" ht="34" customHeight="1">
      <x:c r="A11" s="36" t="n">
        <x:v>9</x:v>
      </x:c>
      <x:c r="B11" s="37" t="str">
        <x:v>Not Started</x:v>
      </x:c>
      <x:c r="C11" s="37" t="n">
        <x:v>28</x:v>
      </x:c>
      <x:c r="D11" s="38" t="str">
        <x:v>white cup B</x:v>
      </x:c>
      <x:c r="E11" s="37" t="str">
        <x:v>C, UD</x:v>
      </x:c>
      <x:c r="F11" s="37" t="str">
        <x:v>P2</x:v>
      </x:c>
      <x:c r="G11" s="37" t="str">
        <x:v>Recovery</x:v>
      </x:c>
      <x:c r="H11" s="38" t="str">
        <x:v>yellow-white striped cup A (C, UD) — P1; brown cup B (O, UD) — P3; glass spice container A (C, UR) — P4</x:v>
      </x:c>
      <x:c r="I11" s="39" t="str">
        <x:v>Put a white cup in the bowl.</x:v>
      </x:c>
    </x:row>
    <x:row r="12" ht="34" customHeight="1">
      <x:c r="A12" s="36" t="n">
        <x:v>10</x:v>
      </x:c>
      <x:c r="B12" s="37" t="str">
        <x:v>Not Started</x:v>
      </x:c>
      <x:c r="C12" s="37" t="n">
        <x:v>32</x:v>
      </x:c>
      <x:c r="D12" s="38" t="str">
        <x:v>white cup A</x:v>
      </x:c>
      <x:c r="E12" s="37" t="str">
        <x:v>O, UD</x:v>
      </x:c>
      <x:c r="F12" s="37" t="str">
        <x:v>P3</x:v>
      </x:c>
      <x:c r="G12" s="37" t="str">
        <x:v>Home</x:v>
      </x:c>
      <x:c r="H12" s="38" t="str">
        <x:v>yellow-white striped cup B (O, UR) — P2; brown cup A (C, UD) — P4; glass spice container B (O, UD) — P1</x:v>
      </x:c>
      <x:c r="I12" s="39" t="str">
        <x:v>Move a white cup into the bowl.</x:v>
      </x:c>
    </x:row>
    <x:row r="13" ht="34" customHeight="1">
      <x:c r="A13" s="36" t="n">
        <x:v>11</x:v>
      </x:c>
      <x:c r="B13" s="37" t="str">
        <x:v>Not Started</x:v>
      </x:c>
      <x:c r="C13" s="37" t="n">
        <x:v>33</x:v>
      </x:c>
      <x:c r="D13" s="38" t="str">
        <x:v>white cup A</x:v>
      </x:c>
      <x:c r="E13" s="37" t="str">
        <x:v>C, UR</x:v>
      </x:c>
      <x:c r="F13" s="37" t="str">
        <x:v>P4</x:v>
      </x:c>
      <x:c r="G13" s="37" t="str">
        <x:v>Home</x:v>
      </x:c>
      <x:c r="H13" s="38" t="str">
        <x:v>yellow-white striped cup A (C, UR) — P3; brown cup B (O, UR) — P1; glass spice container A (C, UD) — P2</x:v>
      </x:c>
      <x:c r="I13" s="39" t="str">
        <x:v>Place a white cup in the bowl.</x:v>
      </x:c>
    </x:row>
    <x:row r="14" ht="34" customHeight="1">
      <x:c r="A14" s="36" t="n">
        <x:v>12</x:v>
      </x:c>
      <x:c r="B14" s="37" t="str">
        <x:v>Not Started</x:v>
      </x:c>
      <x:c r="C14" s="37" t="n">
        <x:v>38</x:v>
      </x:c>
      <x:c r="D14" s="38" t="str">
        <x:v>white cup B</x:v>
      </x:c>
      <x:c r="E14" s="37" t="str">
        <x:v>O, UR</x:v>
      </x:c>
      <x:c r="F14" s="37" t="str">
        <x:v>P1</x:v>
      </x:c>
      <x:c r="G14" s="37" t="str">
        <x:v>Home</x:v>
      </x:c>
      <x:c r="H14" s="38" t="str">
        <x:v>yellow-white striped cup B (O, UD) — P2; brown cup A (C, UR) — P3; glass spice container B (O, UR) — P4</x:v>
      </x:c>
      <x:c r="I14" s="39" t="str">
        <x:v>Move a white cup into the bowl.</x:v>
      </x:c>
    </x:row>
    <x:row r="15" ht="34" customHeight="1">
      <x:c r="A15" s="36" t="n">
        <x:v>13</x:v>
      </x:c>
      <x:c r="B15" s="37" t="str">
        <x:v>Not Started</x:v>
      </x:c>
      <x:c r="C15" s="37" t="n">
        <x:v>41</x:v>
      </x:c>
      <x:c r="D15" s="38" t="str">
        <x:v>white cup B</x:v>
      </x:c>
      <x:c r="E15" s="37" t="str">
        <x:v>C, UD</x:v>
      </x:c>
      <x:c r="F15" s="37" t="str">
        <x:v>P2</x:v>
      </x:c>
      <x:c r="G15" s="37" t="str">
        <x:v>Home</x:v>
      </x:c>
      <x:c r="H15" s="38" t="str">
        <x:v>yellow-white striped cup A (C, UD) — P3; brown cup B (O, UD) — P4; glass spice container A (C, UR) — P1</x:v>
      </x:c>
      <x:c r="I15" s="39" t="str">
        <x:v>Move a white cup into the bowl.</x:v>
      </x:c>
    </x:row>
    <x:row r="16" ht="34" customHeight="1">
      <x:c r="A16" s="36" t="n">
        <x:v>14</x:v>
      </x:c>
      <x:c r="B16" s="37" t="str">
        <x:v>Not Started</x:v>
      </x:c>
      <x:c r="C16" s="37" t="n">
        <x:v>44</x:v>
      </x:c>
      <x:c r="D16" s="38" t="str">
        <x:v>white cup B</x:v>
      </x:c>
      <x:c r="E16" s="37" t="str">
        <x:v>O, UD</x:v>
      </x:c>
      <x:c r="F16" s="37" t="str">
        <x:v>P3</x:v>
      </x:c>
      <x:c r="G16" s="37" t="str">
        <x:v>Home</x:v>
      </x:c>
      <x:c r="H16" s="38" t="str">
        <x:v>yellow-white striped cup B (O, UR) — P4; brown cup A (C, UD) — P1; glass spice container B (O, UD) — P2</x:v>
      </x:c>
      <x:c r="I16" s="39" t="str">
        <x:v>Move a white cup into the bowl.</x:v>
      </x:c>
    </x:row>
    <x:row r="17" ht="34" customHeight="1">
      <x:c r="A17" s="36" t="n">
        <x:v>15</x:v>
      </x:c>
      <x:c r="B17" s="37" t="str">
        <x:v>Not Started</x:v>
      </x:c>
      <x:c r="C17" s="37" t="n">
        <x:v>46</x:v>
      </x:c>
      <x:c r="D17" s="38" t="str">
        <x:v>white cup B</x:v>
      </x:c>
      <x:c r="E17" s="37" t="str">
        <x:v>C, UR</x:v>
      </x:c>
      <x:c r="F17" s="37" t="str">
        <x:v>P4</x:v>
      </x:c>
      <x:c r="G17" s="37" t="str">
        <x:v>Home</x:v>
      </x:c>
      <x:c r="H17" s="38" t="str">
        <x:v>yellow-white striped cup A (C, UR) — P1; brown cup B (O, UR) — P2; glass spice container A (C, UD) — P3</x:v>
      </x:c>
      <x:c r="I17" s="39" t="str">
        <x:v>Put a white cup in the bowl.</x:v>
      </x:c>
    </x:row>
    <x:row r="18" ht="34" customHeight="1">
      <x:c r="A18" s="36" t="n">
        <x:v>16</x:v>
      </x:c>
      <x:c r="B18" s="37" t="str">
        <x:v>Not Started</x:v>
      </x:c>
      <x:c r="C18" s="37" t="n">
        <x:v>49</x:v>
      </x:c>
      <x:c r="D18" s="38" t="str">
        <x:v>white cup B</x:v>
      </x:c>
      <x:c r="E18" s="37" t="str">
        <x:v>O, UR</x:v>
      </x:c>
      <x:c r="F18" s="37" t="str">
        <x:v>P1</x:v>
      </x:c>
      <x:c r="G18" s="37" t="str">
        <x:v>Home</x:v>
      </x:c>
      <x:c r="H18" s="38" t="str">
        <x:v>yellow-white striped cup B (O, UD) — P3; brown cup A (C, UR) — P4; glass spice container B (O, UR) — P2</x:v>
      </x:c>
      <x:c r="I18" s="39" t="str">
        <x:v>Put a white cup in the bowl.</x:v>
      </x:c>
    </x:row>
    <x:row r="19" ht="34" customHeight="1">
      <x:c r="A19" s="36" t="n">
        <x:v>17</x:v>
      </x:c>
      <x:c r="B19" s="37" t="str">
        <x:v>Not Started</x:v>
      </x:c>
      <x:c r="C19" s="37" t="n">
        <x:v>53</x:v>
      </x:c>
      <x:c r="D19" s="38" t="str">
        <x:v>yellow-white striped cup B</x:v>
      </x:c>
      <x:c r="E19" s="37" t="str">
        <x:v>C, UD</x:v>
      </x:c>
      <x:c r="F19" s="37" t="str">
        <x:v>P2</x:v>
      </x:c>
      <x:c r="G19" s="37" t="str">
        <x:v>Recovery</x:v>
      </x:c>
      <x:c r="H19" s="38" t="str">
        <x:v>white cup B (O, UR) — P4; brown cup B (O, UD) — P1; glass spice container A (C, UR) — P3</x:v>
      </x:c>
      <x:c r="I19" s="39" t="str">
        <x:v>Move a yellow-white striped cup into the bowl.</x:v>
      </x:c>
    </x:row>
    <x:row r="20" ht="34" customHeight="1">
      <x:c r="A20" s="36" t="n">
        <x:v>18</x:v>
      </x:c>
      <x:c r="B20" s="37" t="str">
        <x:v>Not Started</x:v>
      </x:c>
      <x:c r="C20" s="37" t="n">
        <x:v>55</x:v>
      </x:c>
      <x:c r="D20" s="38" t="str">
        <x:v>yellow-white striped cup A</x:v>
      </x:c>
      <x:c r="E20" s="37" t="str">
        <x:v>O, UD</x:v>
      </x:c>
      <x:c r="F20" s="37" t="str">
        <x:v>P3</x:v>
      </x:c>
      <x:c r="G20" s="37" t="str">
        <x:v>Home</x:v>
      </x:c>
      <x:c r="H20" s="38" t="str">
        <x:v>white cup A (C, UR) — P1; brown cup A (C, UD) — P2; glass spice container B (O, UD) — P4</x:v>
      </x:c>
      <x:c r="I20" s="39" t="str">
        <x:v>Put a yellow-white striped cup in the bowl.</x:v>
      </x:c>
    </x:row>
    <x:row r="21" ht="34" customHeight="1">
      <x:c r="A21" s="36" t="n">
        <x:v>19</x:v>
      </x:c>
      <x:c r="B21" s="37" t="str">
        <x:v>Not Started</x:v>
      </x:c>
      <x:c r="C21" s="37" t="n">
        <x:v>56</x:v>
      </x:c>
      <x:c r="D21" s="38" t="str">
        <x:v>yellow-white striped cup B</x:v>
      </x:c>
      <x:c r="E21" s="37" t="str">
        <x:v>C, UR</x:v>
      </x:c>
      <x:c r="F21" s="37" t="str">
        <x:v>P4</x:v>
      </x:c>
      <x:c r="G21" s="37" t="str">
        <x:v>Recovery</x:v>
      </x:c>
      <x:c r="H21" s="38" t="str">
        <x:v>white cup B (O, UD) — P2; brown cup B (O, UR) — P3; glass spice container A (C, UD) — P1</x:v>
      </x:c>
      <x:c r="I21" s="39" t="str">
        <x:v>Move a yellow-white striped cup into the bowl.</x:v>
      </x:c>
    </x:row>
    <x:row r="22" ht="34" customHeight="1">
      <x:c r="A22" s="36" t="n">
        <x:v>20</x:v>
      </x:c>
      <x:c r="B22" s="37" t="str">
        <x:v>Not Started</x:v>
      </x:c>
      <x:c r="C22" s="37" t="n">
        <x:v>60</x:v>
      </x:c>
      <x:c r="D22" s="38" t="str">
        <x:v>yellow-white striped cup B</x:v>
      </x:c>
      <x:c r="E22" s="37" t="str">
        <x:v>O, UR</x:v>
      </x:c>
      <x:c r="F22" s="37" t="str">
        <x:v>P1</x:v>
      </x:c>
      <x:c r="G22" s="37" t="str">
        <x:v>Home</x:v>
      </x:c>
      <x:c r="H22" s="38" t="str">
        <x:v>white cup A (C, UD) — P4; brown cup A (C, UR) — P2; glass spice container B (O, UR) — P3</x:v>
      </x:c>
      <x:c r="I22" s="39" t="str">
        <x:v>Place a yellow-white striped cup in the bowl.</x:v>
      </x:c>
    </x:row>
    <x:row r="23" ht="34" customHeight="1">
      <x:c r="A23" s="36" t="n">
        <x:v>21</x:v>
      </x:c>
      <x:c r="B23" s="37" t="str">
        <x:v>Not Started</x:v>
      </x:c>
      <x:c r="C23" s="37" t="n">
        <x:v>61</x:v>
      </x:c>
      <x:c r="D23" s="38" t="str">
        <x:v>yellow-white striped cup A</x:v>
      </x:c>
      <x:c r="E23" s="37" t="str">
        <x:v>C, UD</x:v>
      </x:c>
      <x:c r="F23" s="37" t="str">
        <x:v>P2</x:v>
      </x:c>
      <x:c r="G23" s="37" t="str">
        <x:v>Recovery</x:v>
      </x:c>
      <x:c r="H23" s="38" t="str">
        <x:v>white cup B (O, UR) — P1; brown cup B (O, UD) — P3; glass spice container A (C, UR) — P4</x:v>
      </x:c>
      <x:c r="I23" s="39" t="str">
        <x:v>Put a yellow-white striped cup in the bowl.</x:v>
      </x:c>
    </x:row>
    <x:row r="24" ht="34" customHeight="1">
      <x:c r="A24" s="36" t="n">
        <x:v>22</x:v>
      </x:c>
      <x:c r="B24" s="37" t="str">
        <x:v>Not Started</x:v>
      </x:c>
      <x:c r="C24" s="37" t="n">
        <x:v>65</x:v>
      </x:c>
      <x:c r="D24" s="38" t="str">
        <x:v>yellow-white striped cup B</x:v>
      </x:c>
      <x:c r="E24" s="37" t="str">
        <x:v>O, UD</x:v>
      </x:c>
      <x:c r="F24" s="37" t="str">
        <x:v>P3</x:v>
      </x:c>
      <x:c r="G24" s="37" t="str">
        <x:v>Home</x:v>
      </x:c>
      <x:c r="H24" s="38" t="str">
        <x:v>white cup A (C, UR) — P2; brown cup A (C, UD) — P4; glass spice container B (O, UD) — P1</x:v>
      </x:c>
      <x:c r="I24" s="39" t="str">
        <x:v>Move a yellow-white striped cup into the bowl.</x:v>
      </x:c>
    </x:row>
    <x:row r="25" ht="34" customHeight="1">
      <x:c r="A25" s="36" t="n">
        <x:v>23</x:v>
      </x:c>
      <x:c r="B25" s="37" t="str">
        <x:v>Not Started</x:v>
      </x:c>
      <x:c r="C25" s="37" t="n">
        <x:v>67</x:v>
      </x:c>
      <x:c r="D25" s="38" t="str">
        <x:v>yellow-white striped cup A</x:v>
      </x:c>
      <x:c r="E25" s="37" t="str">
        <x:v>C, UR</x:v>
      </x:c>
      <x:c r="F25" s="37" t="str">
        <x:v>P4</x:v>
      </x:c>
      <x:c r="G25" s="37" t="str">
        <x:v>Home</x:v>
      </x:c>
      <x:c r="H25" s="38" t="str">
        <x:v>white cup B (O, UD) — P3; brown cup B (O, UR) — P1; glass spice container A (C, UD) — P2</x:v>
      </x:c>
      <x:c r="I25" s="39" t="str">
        <x:v>Put a yellow-white striped cup in the bowl.</x:v>
      </x:c>
    </x:row>
    <x:row r="26" ht="34" customHeight="1">
      <x:c r="A26" s="36" t="n">
        <x:v>24</x:v>
      </x:c>
      <x:c r="B26" s="37" t="str">
        <x:v>Not Started</x:v>
      </x:c>
      <x:c r="C26" s="37" t="n">
        <x:v>71</x:v>
      </x:c>
      <x:c r="D26" s="38" t="str">
        <x:v>yellow-white striped cup B</x:v>
      </x:c>
      <x:c r="E26" s="37" t="str">
        <x:v>O, UR</x:v>
      </x:c>
      <x:c r="F26" s="37" t="str">
        <x:v>P1</x:v>
      </x:c>
      <x:c r="G26" s="37" t="str">
        <x:v>Home</x:v>
      </x:c>
      <x:c r="H26" s="38" t="str">
        <x:v>white cup A (C, UD) — P2; brown cup A (C, UR) — P3; glass spice container B (O, UR) — P4</x:v>
      </x:c>
      <x:c r="I26" s="39" t="str">
        <x:v>Move a yellow-white striped cup into the bowl.</x:v>
      </x:c>
    </x:row>
    <x:row r="27" ht="34" customHeight="1">
      <x:c r="A27" s="36" t="n">
        <x:v>25</x:v>
      </x:c>
      <x:c r="B27" s="37" t="str">
        <x:v>Not Started</x:v>
      </x:c>
      <x:c r="C27" s="37" t="n">
        <x:v>75</x:v>
      </x:c>
      <x:c r="D27" s="38" t="str">
        <x:v>yellow-white striped cup B</x:v>
      </x:c>
      <x:c r="E27" s="37" t="str">
        <x:v>C, UD</x:v>
      </x:c>
      <x:c r="F27" s="37" t="str">
        <x:v>P2</x:v>
      </x:c>
      <x:c r="G27" s="37" t="str">
        <x:v>Recovery</x:v>
      </x:c>
      <x:c r="H27" s="38" t="str">
        <x:v>white cup B (O, UR) — P3; brown cup B (O, UD) — P4; glass spice container A (C, UR) — P1</x:v>
      </x:c>
      <x:c r="I27" s="39" t="str">
        <x:v>Place a yellow-white striped cup in the bowl.</x:v>
      </x:c>
    </x:row>
    <x:row r="28" ht="34" customHeight="1">
      <x:c r="A28" s="36" t="n">
        <x:v>26</x:v>
      </x:c>
      <x:c r="B28" s="37" t="str">
        <x:v>Not Started</x:v>
      </x:c>
      <x:c r="C28" s="37" t="n">
        <x:v>78</x:v>
      </x:c>
      <x:c r="D28" s="38" t="str">
        <x:v>yellow-white striped cup B</x:v>
      </x:c>
      <x:c r="E28" s="37" t="str">
        <x:v>O, UD</x:v>
      </x:c>
      <x:c r="F28" s="37" t="str">
        <x:v>P3</x:v>
      </x:c>
      <x:c r="G28" s="37" t="str">
        <x:v>Home</x:v>
      </x:c>
      <x:c r="H28" s="38" t="str">
        <x:v>white cup A (C, UR) — P4; brown cup A (C, UD) — P1; glass spice container B (O, UD) — P2</x:v>
      </x:c>
      <x:c r="I28" s="39" t="str">
        <x:v>Place a yellow-white striped cup in the bowl.</x:v>
      </x:c>
    </x:row>
    <x:row r="29" ht="34" customHeight="1">
      <x:c r="A29" s="36" t="n">
        <x:v>27</x:v>
      </x:c>
      <x:c r="B29" s="37" t="str">
        <x:v>Not Started</x:v>
      </x:c>
      <x:c r="C29" s="37" t="n">
        <x:v>82</x:v>
      </x:c>
      <x:c r="D29" s="38" t="str">
        <x:v>yellow-white striped cup B</x:v>
      </x:c>
      <x:c r="E29" s="37" t="str">
        <x:v>C, UR</x:v>
      </x:c>
      <x:c r="F29" s="37" t="str">
        <x:v>P4</x:v>
      </x:c>
      <x:c r="G29" s="37" t="str">
        <x:v>Home</x:v>
      </x:c>
      <x:c r="H29" s="38" t="str">
        <x:v>white cup B (O, UD) — P1; brown cup B (O, UR) — P2; glass spice container A (C, UD) — P3</x:v>
      </x:c>
      <x:c r="I29" s="39" t="str">
        <x:v>Put a yellow-white striped cup in the bowl.</x:v>
      </x:c>
    </x:row>
    <x:row r="30" ht="34" customHeight="1">
      <x:c r="A30" s="36" t="n">
        <x:v>28</x:v>
      </x:c>
      <x:c r="B30" s="37" t="str">
        <x:v>Not Started</x:v>
      </x:c>
      <x:c r="C30" s="37" t="n">
        <x:v>89</x:v>
      </x:c>
      <x:c r="D30" s="38" t="str">
        <x:v>yellow-white striped cup B</x:v>
      </x:c>
      <x:c r="E30" s="37" t="str">
        <x:v>O, UR</x:v>
      </x:c>
      <x:c r="F30" s="37" t="str">
        <x:v>P1</x:v>
      </x:c>
      <x:c r="G30" s="37" t="str">
        <x:v>Home</x:v>
      </x:c>
      <x:c r="H30" s="38" t="str">
        <x:v>white cup A (C, UD) — P3; brown cup A (C, UR) — P4; glass spice container B (O, UR) — P2</x:v>
      </x:c>
      <x:c r="I30" s="39" t="str">
        <x:v>Move a yellow-white striped cup into the bowl.</x:v>
      </x:c>
    </x:row>
    <x:row r="31" ht="34" customHeight="1">
      <x:c r="A31" s="36" t="n">
        <x:v>29</x:v>
      </x:c>
      <x:c r="B31" s="37" t="str">
        <x:v>Not Started</x:v>
      </x:c>
      <x:c r="C31" s="37" t="n">
        <x:v>90</x:v>
      </x:c>
      <x:c r="D31" s="38" t="str">
        <x:v>yellow-white striped cup A</x:v>
      </x:c>
      <x:c r="E31" s="37" t="str">
        <x:v>C, UD</x:v>
      </x:c>
      <x:c r="F31" s="37" t="str">
        <x:v>P2</x:v>
      </x:c>
      <x:c r="G31" s="37" t="str">
        <x:v>Home</x:v>
      </x:c>
      <x:c r="H31" s="38" t="str">
        <x:v>white cup B (O, UR) — P4; brown cup B (O, UD) — P1; glass spice container A (C, UR) — P3</x:v>
      </x:c>
      <x:c r="I31" s="39" t="str">
        <x:v>Place a yellow-white striped cup in the bowl.</x:v>
      </x:c>
    </x:row>
    <x:row r="32" ht="34" customHeight="1">
      <x:c r="A32" s="36" t="n">
        <x:v>30</x:v>
      </x:c>
      <x:c r="B32" s="37" t="str">
        <x:v>Not Started</x:v>
      </x:c>
      <x:c r="C32" s="37" t="n">
        <x:v>96</x:v>
      </x:c>
      <x:c r="D32" s="38" t="str">
        <x:v>yellow-white striped cup A</x:v>
      </x:c>
      <x:c r="E32" s="37" t="str">
        <x:v>O, UD</x:v>
      </x:c>
      <x:c r="F32" s="37" t="str">
        <x:v>P3</x:v>
      </x:c>
      <x:c r="G32" s="37" t="str">
        <x:v>Recovery</x:v>
      </x:c>
      <x:c r="H32" s="38" t="str">
        <x:v>white cup A (C, UR) — P1; brown cup A (C, UD) — P2; glass spice container B (O, UD) — P4</x:v>
      </x:c>
      <x:c r="I32" s="39" t="str">
        <x:v>Place a yellow-white striped cup in the bowl.</x:v>
      </x:c>
    </x:row>
    <x:row r="33" ht="34" customHeight="1">
      <x:c r="A33" s="36" t="n">
        <x:v>31</x:v>
      </x:c>
      <x:c r="B33" s="37" t="str">
        <x:v>Not Started</x:v>
      </x:c>
      <x:c r="C33" s="37" t="n">
        <x:v>97</x:v>
      </x:c>
      <x:c r="D33" s="38" t="str">
        <x:v>yellow-white striped cup B</x:v>
      </x:c>
      <x:c r="E33" s="37" t="str">
        <x:v>C, UR</x:v>
      </x:c>
      <x:c r="F33" s="37" t="str">
        <x:v>P4</x:v>
      </x:c>
      <x:c r="G33" s="37" t="str">
        <x:v>Home</x:v>
      </x:c>
      <x:c r="H33" s="38" t="str">
        <x:v>white cup B (O, UD) — P2; brown cup B (O, UR) — P3; glass spice container A (C, UD) — P1</x:v>
      </x:c>
      <x:c r="I33" s="39" t="str">
        <x:v>Put a yellow-white striped cup in the bowl.</x:v>
      </x:c>
    </x:row>
    <x:row r="34" ht="34" customHeight="1">
      <x:c r="A34" s="36" t="n">
        <x:v>32</x:v>
      </x:c>
      <x:c r="B34" s="37" t="str">
        <x:v>Not Started</x:v>
      </x:c>
      <x:c r="C34" s="37" t="n">
        <x:v>113</x:v>
      </x:c>
      <x:c r="D34" s="38" t="str">
        <x:v>brown cup A</x:v>
      </x:c>
      <x:c r="E34" s="37" t="str">
        <x:v>O, UR</x:v>
      </x:c>
      <x:c r="F34" s="37" t="str">
        <x:v>P1</x:v>
      </x:c>
      <x:c r="G34" s="37" t="str">
        <x:v>Home</x:v>
      </x:c>
      <x:c r="H34" s="38" t="str">
        <x:v>white cup A (C, UD) — P4; yellow-white striped cup B (O, UD) — P2; glass spice container B (O, UR) — P3</x:v>
      </x:c>
      <x:c r="I34" s="39" t="str">
        <x:v>Move a brown cup into the bowl.</x:v>
      </x:c>
    </x:row>
    <x:row r="35" ht="34" customHeight="1">
      <x:c r="A35" s="36" t="n">
        <x:v>33</x:v>
      </x:c>
      <x:c r="B35" s="37" t="str">
        <x:v>Not Started</x:v>
      </x:c>
      <x:c r="C35" s="37" t="n">
        <x:v>115</x:v>
      </x:c>
      <x:c r="D35" s="38" t="str">
        <x:v>brown cup A</x:v>
      </x:c>
      <x:c r="E35" s="37" t="str">
        <x:v>C, UD</x:v>
      </x:c>
      <x:c r="F35" s="37" t="str">
        <x:v>P2</x:v>
      </x:c>
      <x:c r="G35" s="37" t="str">
        <x:v>Home</x:v>
      </x:c>
      <x:c r="H35" s="38" t="str">
        <x:v>white cup B (O, UR) — P1; yellow-white striped cup A (C, UD) — P3; glass spice container A (C, UR) — P4</x:v>
      </x:c>
      <x:c r="I35" s="39" t="str">
        <x:v>Put a brown cup in the bowl.</x:v>
      </x:c>
    </x:row>
    <x:row r="36" ht="34" customHeight="1">
      <x:c r="A36" s="36" t="n">
        <x:v>34</x:v>
      </x:c>
      <x:c r="B36" s="37" t="str">
        <x:v>Not Started</x:v>
      </x:c>
      <x:c r="C36" s="37" t="n">
        <x:v>116</x:v>
      </x:c>
      <x:c r="D36" s="38" t="str">
        <x:v>brown cup A</x:v>
      </x:c>
      <x:c r="E36" s="37" t="str">
        <x:v>O, UD</x:v>
      </x:c>
      <x:c r="F36" s="37" t="str">
        <x:v>P3</x:v>
      </x:c>
      <x:c r="G36" s="37" t="str">
        <x:v>Home</x:v>
      </x:c>
      <x:c r="H36" s="38" t="str">
        <x:v>white cup A (C, UR) — P2; yellow-white striped cup B (O, UR) — P4; glass spice container B (O, UD) — P1</x:v>
      </x:c>
      <x:c r="I36" s="39" t="str">
        <x:v>Move a brown cup into the bowl.</x:v>
      </x:c>
    </x:row>
    <x:row r="37" ht="34" customHeight="1">
      <x:c r="A37" s="36" t="n">
        <x:v>35</x:v>
      </x:c>
      <x:c r="B37" s="37" t="str">
        <x:v>Not Started</x:v>
      </x:c>
      <x:c r="C37" s="37" t="n">
        <x:v>118</x:v>
      </x:c>
      <x:c r="D37" s="38" t="str">
        <x:v>brown cup B</x:v>
      </x:c>
      <x:c r="E37" s="37" t="str">
        <x:v>C, UR</x:v>
      </x:c>
      <x:c r="F37" s="37" t="str">
        <x:v>P4</x:v>
      </x:c>
      <x:c r="G37" s="37" t="str">
        <x:v>Home</x:v>
      </x:c>
      <x:c r="H37" s="38" t="str">
        <x:v>white cup B (O, UD) — P3; yellow-white striped cup A (C, UR) — P1; glass spice container A (C, UD) — P2</x:v>
      </x:c>
      <x:c r="I37" s="39" t="str">
        <x:v>Put a brown cup in the bowl.</x:v>
      </x:c>
    </x:row>
    <x:row r="38" ht="34" customHeight="1">
      <x:c r="A38" s="36" t="n">
        <x:v>36</x:v>
      </x:c>
      <x:c r="B38" s="37" t="str">
        <x:v>Not Started</x:v>
      </x:c>
      <x:c r="C38" s="37" t="n">
        <x:v>122</x:v>
      </x:c>
      <x:c r="D38" s="38" t="str">
        <x:v>brown cup A</x:v>
      </x:c>
      <x:c r="E38" s="37" t="str">
        <x:v>O, UR</x:v>
      </x:c>
      <x:c r="F38" s="37" t="str">
        <x:v>P1</x:v>
      </x:c>
      <x:c r="G38" s="37" t="str">
        <x:v>Home</x:v>
      </x:c>
      <x:c r="H38" s="38" t="str">
        <x:v>white cup A (C, UD) — P2; yellow-white striped cup B (O, UD) — P3; glass spice container B (O, UR) — P4</x:v>
      </x:c>
      <x:c r="I38" s="39" t="str">
        <x:v>Move a brown cup into the bowl.</x:v>
      </x:c>
    </x:row>
    <x:row r="39" ht="34" customHeight="1">
      <x:c r="A39" s="36" t="n">
        <x:v>37</x:v>
      </x:c>
      <x:c r="B39" s="37" t="str">
        <x:v>Not Started</x:v>
      </x:c>
      <x:c r="C39" s="37" t="n">
        <x:v>126</x:v>
      </x:c>
      <x:c r="D39" s="38" t="str">
        <x:v>brown cup B</x:v>
      </x:c>
      <x:c r="E39" s="37" t="str">
        <x:v>C, UD</x:v>
      </x:c>
      <x:c r="F39" s="37" t="str">
        <x:v>P2</x:v>
      </x:c>
      <x:c r="G39" s="37" t="str">
        <x:v>Home</x:v>
      </x:c>
      <x:c r="H39" s="38" t="str">
        <x:v>white cup B (O, UR) — P3; yellow-white striped cup A (C, UD) — P4; glass spice container A (C, UR) — P1</x:v>
      </x:c>
      <x:c r="I39" s="39" t="str">
        <x:v>Place a brown cup in the bowl.</x:v>
      </x:c>
    </x:row>
    <x:row r="40" ht="34" customHeight="1">
      <x:c r="A40" s="36" t="n">
        <x:v>38</x:v>
      </x:c>
      <x:c r="B40" s="37" t="str">
        <x:v>Not Started</x:v>
      </x:c>
      <x:c r="C40" s="37" t="n">
        <x:v>130</x:v>
      </x:c>
      <x:c r="D40" s="38" t="str">
        <x:v>brown cup B</x:v>
      </x:c>
      <x:c r="E40" s="37" t="str">
        <x:v>O, UD</x:v>
      </x:c>
      <x:c r="F40" s="37" t="str">
        <x:v>P3</x:v>
      </x:c>
      <x:c r="G40" s="37" t="str">
        <x:v>Home</x:v>
      </x:c>
      <x:c r="H40" s="38" t="str">
        <x:v>white cup A (C, UR) — P4; yellow-white striped cup B (O, UR) — P1; glass spice container B (O, UD) — P2</x:v>
      </x:c>
      <x:c r="I40" s="39" t="str">
        <x:v>Put a brown cup in the bowl.</x:v>
      </x:c>
    </x:row>
    <x:row r="41" ht="34" customHeight="1">
      <x:c r="A41" s="36" t="n">
        <x:v>39</x:v>
      </x:c>
      <x:c r="B41" s="37" t="str">
        <x:v>Not Started</x:v>
      </x:c>
      <x:c r="C41" s="37" t="n">
        <x:v>131</x:v>
      </x:c>
      <x:c r="D41" s="38" t="str">
        <x:v>brown cup A</x:v>
      </x:c>
      <x:c r="E41" s="37" t="str">
        <x:v>C, UR</x:v>
      </x:c>
      <x:c r="F41" s="37" t="str">
        <x:v>P4</x:v>
      </x:c>
      <x:c r="G41" s="37" t="str">
        <x:v>Home</x:v>
      </x:c>
      <x:c r="H41" s="38" t="str">
        <x:v>white cup B (O, UD) — P1; yellow-white striped cup A (C, UR) — P2; glass spice container A (C, UD) — P3</x:v>
      </x:c>
      <x:c r="I41" s="39" t="str">
        <x:v>Move a brown cup into the bowl.</x:v>
      </x:c>
    </x:row>
    <x:row r="42" ht="34" customHeight="1">
      <x:c r="A42" s="36" t="n">
        <x:v>40</x:v>
      </x:c>
      <x:c r="B42" s="37" t="str">
        <x:v>Not Started</x:v>
      </x:c>
      <x:c r="C42" s="37" t="n">
        <x:v>135</x:v>
      </x:c>
      <x:c r="D42" s="38" t="str">
        <x:v>brown cup A</x:v>
      </x:c>
      <x:c r="E42" s="37" t="str">
        <x:v>O, UR</x:v>
      </x:c>
      <x:c r="F42" s="37" t="str">
        <x:v>P1</x:v>
      </x:c>
      <x:c r="G42" s="37" t="str">
        <x:v>Home</x:v>
      </x:c>
      <x:c r="H42" s="38" t="str">
        <x:v>white cup A (C, UD) — P3; yellow-white striped cup B (O, UD) — P4; glass spice container B (O, UR) — P2</x:v>
      </x:c>
      <x:c r="I42" s="39" t="str">
        <x:v>Place a brown cup in the bowl.</x:v>
      </x:c>
    </x:row>
    <x:row r="43" ht="34" customHeight="1">
      <x:c r="A43" s="36" t="n">
        <x:v>41</x:v>
      </x:c>
      <x:c r="B43" s="37" t="str">
        <x:v>Not Started</x:v>
      </x:c>
      <x:c r="C43" s="37" t="n">
        <x:v>139</x:v>
      </x:c>
      <x:c r="D43" s="38" t="str">
        <x:v>brown cup A</x:v>
      </x:c>
      <x:c r="E43" s="37" t="str">
        <x:v>C, UD</x:v>
      </x:c>
      <x:c r="F43" s="37" t="str">
        <x:v>P2</x:v>
      </x:c>
      <x:c r="G43" s="37" t="str">
        <x:v>Home</x:v>
      </x:c>
      <x:c r="H43" s="38" t="str">
        <x:v>white cup B (O, UR) — P4; yellow-white striped cup A (C, UD) — P1; glass spice container A (C, UR) — P3</x:v>
      </x:c>
      <x:c r="I43" s="39" t="str">
        <x:v>Put a brown cup in the bowl.</x:v>
      </x:c>
    </x:row>
    <x:row r="44" ht="34" customHeight="1">
      <x:c r="A44" s="36" t="n">
        <x:v>42</x:v>
      </x:c>
      <x:c r="B44" s="37" t="str">
        <x:v>Not Started</x:v>
      </x:c>
      <x:c r="C44" s="37" t="n">
        <x:v>140</x:v>
      </x:c>
      <x:c r="D44" s="38" t="str">
        <x:v>brown cup A</x:v>
      </x:c>
      <x:c r="E44" s="37" t="str">
        <x:v>O, UD</x:v>
      </x:c>
      <x:c r="F44" s="37" t="str">
        <x:v>P3</x:v>
      </x:c>
      <x:c r="G44" s="37" t="str">
        <x:v>Home</x:v>
      </x:c>
      <x:c r="H44" s="38" t="str">
        <x:v>white cup A (C, UR) — P1; yellow-white striped cup B (O, UR) — P2; glass spice container B (O, UD) — P4</x:v>
      </x:c>
      <x:c r="I44" s="39" t="str">
        <x:v>Move a brown cup into the bowl.</x:v>
      </x:c>
    </x:row>
    <x:row r="45" ht="34" customHeight="1">
      <x:c r="A45" s="36" t="n">
        <x:v>43</x:v>
      </x:c>
      <x:c r="B45" s="37" t="str">
        <x:v>Not Started</x:v>
      </x:c>
      <x:c r="C45" s="37" t="n">
        <x:v>144</x:v>
      </x:c>
      <x:c r="D45" s="38" t="str">
        <x:v>brown cup B</x:v>
      </x:c>
      <x:c r="E45" s="37" t="str">
        <x:v>C, UR</x:v>
      </x:c>
      <x:c r="F45" s="37" t="str">
        <x:v>P4</x:v>
      </x:c>
      <x:c r="G45" s="37" t="str">
        <x:v>Home</x:v>
      </x:c>
      <x:c r="H45" s="38" t="str">
        <x:v>white cup B (O, UD) — P2; yellow-white striped cup A (C, UR) — P3; glass spice container A (C, UD) — P1</x:v>
      </x:c>
      <x:c r="I45" s="39" t="str">
        <x:v>Place a brown cup in the bowl.</x:v>
      </x:c>
    </x:row>
    <x:row r="46" ht="34" customHeight="1">
      <x:c r="A46" s="36" t="n">
        <x:v>44</x:v>
      </x:c>
      <x:c r="B46" s="37" t="str">
        <x:v>Not Started</x:v>
      </x:c>
      <x:c r="C46" s="37" t="n">
        <x:v>145</x:v>
      </x:c>
      <x:c r="D46" s="38" t="str">
        <x:v>brown cup A</x:v>
      </x:c>
      <x:c r="E46" s="37" t="str">
        <x:v>O, UR</x:v>
      </x:c>
      <x:c r="F46" s="37" t="str">
        <x:v>P1</x:v>
      </x:c>
      <x:c r="G46" s="37" t="str">
        <x:v>Home</x:v>
      </x:c>
      <x:c r="H46" s="38" t="str">
        <x:v>white cup A (C, UD) — P4; yellow-white striped cup B (O, UD) — P2; glass spice container B (O, UR) — P3</x:v>
      </x:c>
      <x:c r="I46" s="39" t="str">
        <x:v>Put a brown cup in the bowl.</x:v>
      </x:c>
    </x:row>
    <x:row r="47" ht="34" customHeight="1">
      <x:c r="A47" s="36" t="n">
        <x:v>45</x:v>
      </x:c>
      <x:c r="B47" s="37" t="str">
        <x:v>Not Started</x:v>
      </x:c>
      <x:c r="C47" s="37" t="n">
        <x:v>149</x:v>
      </x:c>
      <x:c r="D47" s="38" t="str">
        <x:v>brown cup B</x:v>
      </x:c>
      <x:c r="E47" s="37" t="str">
        <x:v>C, UD</x:v>
      </x:c>
      <x:c r="F47" s="37" t="str">
        <x:v>P2</x:v>
      </x:c>
      <x:c r="G47" s="37" t="str">
        <x:v>Home</x:v>
      </x:c>
      <x:c r="H47" s="38" t="str">
        <x:v>white cup B (O, UR) — P1; yellow-white striped cup A (C, UD) — P3; glass spice container A (C, UR) — P4</x:v>
      </x:c>
      <x:c r="I47" s="39" t="str">
        <x:v>Move a brown cup into the bowl.</x:v>
      </x:c>
    </x:row>
    <x:row r="48" ht="34" customHeight="1">
      <x:c r="A48" s="36" t="n">
        <x:v>46</x:v>
      </x:c>
      <x:c r="B48" s="37" t="str">
        <x:v>Not Started</x:v>
      </x:c>
      <x:c r="C48" s="37" t="n">
        <x:v>152</x:v>
      </x:c>
      <x:c r="D48" s="38" t="str">
        <x:v>glass spice container B</x:v>
      </x:c>
      <x:c r="E48" s="37" t="str">
        <x:v>O, UD</x:v>
      </x:c>
      <x:c r="F48" s="37" t="str">
        <x:v>P3</x:v>
      </x:c>
      <x:c r="G48" s="37" t="str">
        <x:v>Home</x:v>
      </x:c>
      <x:c r="H48" s="38" t="str">
        <x:v>white cup A (C, UR) — P2; yellow-white striped cup B (O, UR) — P4; brown cup A (C, UD) — P1</x:v>
      </x:c>
      <x:c r="I48" s="39" t="str">
        <x:v>Move a glass spice container into the bowl.</x:v>
      </x:c>
    </x:row>
    <x:row r="49" ht="34" customHeight="1">
      <x:c r="A49" s="36" t="n">
        <x:v>47</x:v>
      </x:c>
      <x:c r="B49" s="37" t="str">
        <x:v>Not Started</x:v>
      </x:c>
      <x:c r="C49" s="37" t="n">
        <x:v>154</x:v>
      </x:c>
      <x:c r="D49" s="38" t="str">
        <x:v>glass spice container A</x:v>
      </x:c>
      <x:c r="E49" s="37" t="str">
        <x:v>C, UR</x:v>
      </x:c>
      <x:c r="F49" s="37" t="str">
        <x:v>P4</x:v>
      </x:c>
      <x:c r="G49" s="37" t="str">
        <x:v>Home</x:v>
      </x:c>
      <x:c r="H49" s="38" t="str">
        <x:v>white cup B (O, UD) — P3; yellow-white striped cup A (C, UR) — P1; brown cup B (O, UR) — P2</x:v>
      </x:c>
      <x:c r="I49" s="39" t="str">
        <x:v>Put a glass spice container in the bowl.</x:v>
      </x:c>
    </x:row>
    <x:row r="50" ht="34" customHeight="1">
      <x:c r="A50" s="36" t="n">
        <x:v>48</x:v>
      </x:c>
      <x:c r="B50" s="37" t="str">
        <x:v>Not Started</x:v>
      </x:c>
      <x:c r="C50" s="37" t="n">
        <x:v>155</x:v>
      </x:c>
      <x:c r="D50" s="38" t="str">
        <x:v>glass spice container A</x:v>
      </x:c>
      <x:c r="E50" s="37" t="str">
        <x:v>O, UR</x:v>
      </x:c>
      <x:c r="F50" s="37" t="str">
        <x:v>P1</x:v>
      </x:c>
      <x:c r="G50" s="37" t="str">
        <x:v>Home</x:v>
      </x:c>
      <x:c r="H50" s="38" t="str">
        <x:v>white cup A (C, UD) — P2; yellow-white striped cup B (O, UD) — P3; brown cup A (C, UR) — P4</x:v>
      </x:c>
      <x:c r="I50" s="39" t="str">
        <x:v>Move a glass spice container into the bowl.</x:v>
      </x:c>
    </x:row>
    <x:row r="51" ht="34" customHeight="1">
      <x:c r="A51" s="36" t="n">
        <x:v>49</x:v>
      </x:c>
      <x:c r="B51" s="37" t="str">
        <x:v>Not Started</x:v>
      </x:c>
      <x:c r="C51" s="37" t="n">
        <x:v>158</x:v>
      </x:c>
      <x:c r="D51" s="38" t="str">
        <x:v>glass spice container B</x:v>
      </x:c>
      <x:c r="E51" s="37" t="str">
        <x:v>C, UD</x:v>
      </x:c>
      <x:c r="F51" s="37" t="str">
        <x:v>P2</x:v>
      </x:c>
      <x:c r="G51" s="37" t="str">
        <x:v>Home</x:v>
      </x:c>
      <x:c r="H51" s="38" t="str">
        <x:v>white cup B (O, UR) — P3; yellow-white striped cup A (C, UD) — P4; brown cup B (O, UD) — P1</x:v>
      </x:c>
      <x:c r="I51" s="39" t="str">
        <x:v>Move a glass spice container into the bowl.</x:v>
      </x:c>
    </x:row>
    <x:row r="52" ht="34" customHeight="1">
      <x:c r="A52" s="36" t="n">
        <x:v>50</x:v>
      </x:c>
      <x:c r="B52" s="37" t="str">
        <x:v>Not Started</x:v>
      </x:c>
      <x:c r="C52" s="37" t="n">
        <x:v>159</x:v>
      </x:c>
      <x:c r="D52" s="38" t="str">
        <x:v>glass spice container A</x:v>
      </x:c>
      <x:c r="E52" s="37" t="str">
        <x:v>O, UD</x:v>
      </x:c>
      <x:c r="F52" s="37" t="str">
        <x:v>P3</x:v>
      </x:c>
      <x:c r="G52" s="37" t="str">
        <x:v>Home</x:v>
      </x:c>
      <x:c r="H52" s="38" t="str">
        <x:v>white cup A (C, UR) — P4; yellow-white striped cup B (O, UR) — P1; brown cup A (C, UD) — P2</x:v>
      </x:c>
      <x:c r="I52" s="39" t="str">
        <x:v>Place a glass spice container in the bowl.</x:v>
      </x:c>
    </x:row>
    <x:row r="53" ht="34" customHeight="1">
      <x:c r="A53" s="36" t="n">
        <x:v>51</x:v>
      </x:c>
      <x:c r="B53" s="37" t="str">
        <x:v>Not Started</x:v>
      </x:c>
      <x:c r="C53" s="37" t="n">
        <x:v>163</x:v>
      </x:c>
      <x:c r="D53" s="38" t="str">
        <x:v>glass spice container A</x:v>
      </x:c>
      <x:c r="E53" s="37" t="str">
        <x:v>C, UR</x:v>
      </x:c>
      <x:c r="F53" s="37" t="str">
        <x:v>P4</x:v>
      </x:c>
      <x:c r="G53" s="37" t="str">
        <x:v>Home</x:v>
      </x:c>
      <x:c r="H53" s="38" t="str">
        <x:v>white cup B (O, UD) — P1; yellow-white striped cup A (C, UR) — P2; brown cup B (O, UR) — P3</x:v>
      </x:c>
      <x:c r="I53" s="39" t="str">
        <x:v>Put a glass spice container in the bowl.</x:v>
      </x:c>
    </x:row>
    <x:row r="54" ht="34" customHeight="1">
      <x:c r="A54" s="36" t="n">
        <x:v>52</x:v>
      </x:c>
      <x:c r="B54" s="37" t="str">
        <x:v>Not Started</x:v>
      </x:c>
      <x:c r="C54" s="37" t="n">
        <x:v>167</x:v>
      </x:c>
      <x:c r="D54" s="38" t="str">
        <x:v>glass spice container A</x:v>
      </x:c>
      <x:c r="E54" s="37" t="str">
        <x:v>O, UR</x:v>
      </x:c>
      <x:c r="F54" s="37" t="str">
        <x:v>P1</x:v>
      </x:c>
      <x:c r="G54" s="37" t="str">
        <x:v>Home</x:v>
      </x:c>
      <x:c r="H54" s="38" t="str">
        <x:v>white cup A (C, UD) — P3; yellow-white striped cup B (O, UD) — P4; brown cup A (C, UR) — P2</x:v>
      </x:c>
      <x:c r="I54" s="39" t="str">
        <x:v>Move a glass spice container into the bowl.</x:v>
      </x:c>
    </x:row>
    <x:row r="55" ht="34" customHeight="1">
      <x:c r="A55" s="36" t="n">
        <x:v>53</x:v>
      </x:c>
      <x:c r="B55" s="37" t="str">
        <x:v>Not Started</x:v>
      </x:c>
      <x:c r="C55" s="37" t="n">
        <x:v>170</x:v>
      </x:c>
      <x:c r="D55" s="38" t="str">
        <x:v>glass spice container A</x:v>
      </x:c>
      <x:c r="E55" s="37" t="str">
        <x:v>C, UD</x:v>
      </x:c>
      <x:c r="F55" s="37" t="str">
        <x:v>P2</x:v>
      </x:c>
      <x:c r="G55" s="37" t="str">
        <x:v>Home</x:v>
      </x:c>
      <x:c r="H55" s="38" t="str">
        <x:v>white cup B (O, UR) — P4; yellow-white striped cup A (C, UD) — P1; brown cup B (O, UD) — P3</x:v>
      </x:c>
      <x:c r="I55" s="39" t="str">
        <x:v>Move a glass spice container into the bowl.</x:v>
      </x:c>
    </x:row>
    <x:row r="56" ht="34" customHeight="1">
      <x:c r="A56" s="36" t="n">
        <x:v>54</x:v>
      </x:c>
      <x:c r="B56" s="37" t="str">
        <x:v>Not Started</x:v>
      </x:c>
      <x:c r="C56" s="37" t="n">
        <x:v>181</x:v>
      </x:c>
      <x:c r="D56" s="38" t="str">
        <x:v>glass spice container A</x:v>
      </x:c>
      <x:c r="E56" s="37" t="str">
        <x:v>O, UD</x:v>
      </x:c>
      <x:c r="F56" s="37" t="str">
        <x:v>P3</x:v>
      </x:c>
      <x:c r="G56" s="37" t="str">
        <x:v>Home</x:v>
      </x:c>
      <x:c r="H56" s="38" t="str">
        <x:v>white cup A (C, UR) — P1; yellow-white striped cup B (O, UR) — P2; brown cup A (C, UD) — P4</x:v>
      </x:c>
      <x:c r="I56" s="39" t="str">
        <x:v>Put a glass spice container in the bowl.</x:v>
      </x:c>
    </x:row>
    <x:row r="57" ht="34" customHeight="1">
      <x:c r="A57" s="36" t="n">
        <x:v>55</x:v>
      </x:c>
      <x:c r="B57" s="37" t="str">
        <x:v>Not Started</x:v>
      </x:c>
      <x:c r="C57" s="37" t="n">
        <x:v>182</x:v>
      </x:c>
      <x:c r="D57" s="38" t="str">
        <x:v>glass spice container B</x:v>
      </x:c>
      <x:c r="E57" s="37" t="str">
        <x:v>C, UR</x:v>
      </x:c>
      <x:c r="F57" s="37" t="str">
        <x:v>P4</x:v>
      </x:c>
      <x:c r="G57" s="37" t="str">
        <x:v>Recovery</x:v>
      </x:c>
      <x:c r="H57" s="38" t="str">
        <x:v>white cup B (O, UD) — P2; yellow-white striped cup A (C, UR) — P3; brown cup B (O, UR) — P1</x:v>
      </x:c>
      <x:c r="I57" s="39" t="str">
        <x:v>Move a glass spice container into the bowl.</x:v>
      </x:c>
    </x:row>
    <x:row r="58" ht="34" customHeight="1">
      <x:c r="A58" s="36" t="n">
        <x:v>56</x:v>
      </x:c>
      <x:c r="B58" s="37" t="str">
        <x:v>Not Started</x:v>
      </x:c>
      <x:c r="C58" s="37" t="n">
        <x:v>183</x:v>
      </x:c>
      <x:c r="D58" s="38" t="str">
        <x:v>glass spice container A</x:v>
      </x:c>
      <x:c r="E58" s="37" t="str">
        <x:v>O, UR</x:v>
      </x:c>
      <x:c r="F58" s="37" t="str">
        <x:v>P1</x:v>
      </x:c>
      <x:c r="G58" s="37" t="str">
        <x:v>Home</x:v>
      </x:c>
      <x:c r="H58" s="38" t="str">
        <x:v>white cup A (C, UD) — P4; yellow-white striped cup B (O, UD) — P2; brown cup A (C, UR) — P3</x:v>
      </x:c>
      <x:c r="I58" s="39" t="str">
        <x:v>Place a glass spice container in the bowl.</x:v>
      </x:c>
    </x:row>
    <x:row r="59" ht="34" customHeight="1">
      <x:c r="A59" s="36" t="n">
        <x:v>57</x:v>
      </x:c>
      <x:c r="B59" s="37" t="str">
        <x:v>Not Started</x:v>
      </x:c>
      <x:c r="C59" s="37" t="n">
        <x:v>185</x:v>
      </x:c>
      <x:c r="D59" s="38" t="str">
        <x:v>glass spice container A</x:v>
      </x:c>
      <x:c r="E59" s="37" t="str">
        <x:v>C, UD</x:v>
      </x:c>
      <x:c r="F59" s="37" t="str">
        <x:v>P2</x:v>
      </x:c>
      <x:c r="G59" s="37" t="str">
        <x:v>Home</x:v>
      </x:c>
      <x:c r="H59" s="38" t="str">
        <x:v>white cup B (O, UR) — P1; yellow-white striped cup A (C, UD) — P3; brown cup B (O, UD) — P4</x:v>
      </x:c>
      <x:c r="I59" s="39" t="str">
        <x:v>Move a glass spice container into the bowl.</x:v>
      </x:c>
    </x:row>
    <x:row r="60" ht="34" customHeight="1">
      <x:c r="A60" s="36" t="n">
        <x:v>58</x:v>
      </x:c>
      <x:c r="B60" s="37" t="str">
        <x:v>Not Started</x:v>
      </x:c>
      <x:c r="C60" s="37" t="n">
        <x:v>186</x:v>
      </x:c>
      <x:c r="D60" s="38" t="str">
        <x:v>glass spice container A</x:v>
      </x:c>
      <x:c r="E60" s="37" t="str">
        <x:v>O, UD</x:v>
      </x:c>
      <x:c r="F60" s="37" t="str">
        <x:v>P3</x:v>
      </x:c>
      <x:c r="G60" s="37" t="str">
        <x:v>Home</x:v>
      </x:c>
      <x:c r="H60" s="38" t="str">
        <x:v>white cup A (C, UR) — P2; yellow-white striped cup B (O, UR) — P4; brown cup A (C, UD) — P1</x:v>
      </x:c>
      <x:c r="I60" s="39" t="str">
        <x:v>Place a glass spice container in the bowl.</x:v>
      </x:c>
    </x:row>
    <x:row r="61" ht="34" customHeight="1">
      <x:c r="A61" s="36" t="n">
        <x:v>59</x:v>
      </x:c>
      <x:c r="B61" s="37" t="str">
        <x:v>Not Started</x:v>
      </x:c>
      <x:c r="C61" s="37" t="n">
        <x:v>192</x:v>
      </x:c>
      <x:c r="D61" s="38" t="str">
        <x:v>glass spice container B</x:v>
      </x:c>
      <x:c r="E61" s="37" t="str">
        <x:v>C, UR</x:v>
      </x:c>
      <x:c r="F61" s="37" t="str">
        <x:v>P4</x:v>
      </x:c>
      <x:c r="G61" s="37" t="str">
        <x:v>Home</x:v>
      </x:c>
      <x:c r="H61" s="38" t="str">
        <x:v>white cup B (O, UD) — P3; yellow-white striped cup A (C, UR) — P1; brown cup B (O, UR) — P2</x:v>
      </x:c>
      <x:c r="I61" s="39" t="str">
        <x:v>Place a glass spice container in the bowl.</x:v>
      </x:c>
    </x:row>
    <x:row r="62" ht="34" customHeight="1">
      <x:c r="A62" s="36" t="n">
        <x:v>60</x:v>
      </x:c>
      <x:c r="B62" s="37" t="str">
        <x:v>Not Started</x:v>
      </x:c>
      <x:c r="C62" s="37" t="n">
        <x:v>197</x:v>
      </x:c>
      <x:c r="D62" s="38" t="str">
        <x:v>glass spice container B</x:v>
      </x:c>
      <x:c r="E62" s="37" t="str">
        <x:v>O, UR</x:v>
      </x:c>
      <x:c r="F62" s="37" t="str">
        <x:v>P1</x:v>
      </x:c>
      <x:c r="G62" s="37" t="str">
        <x:v>Home</x:v>
      </x:c>
      <x:c r="H62" s="38" t="str">
        <x:v>white cup A (C, UD) — P2; yellow-white striped cup B (O, UD) — P3; brown cup A (C, UR) — P4</x:v>
      </x:c>
      <x:c r="I62" s="39" t="str">
        <x:v>Move a glass spice container into the bowl.</x:v>
      </x:c>
    </x:row>
  </x:sheetData>
  <x:conditionalFormatting sqref="A2:A41">
    <x:cfRule type="expression" dxfId="0" priority="1">
      <x:formula>A2="Collected"</x:formula>
    </x:cfRule>
  </x:conditionalFormatting>
  <x:conditionalFormatting sqref="A2:I62">
    <x:cfRule type="expression" dxfId="1" priority="2">
      <x:formula>$B2="Complete"</x:formula>
    </x:cfRule>
    <x:cfRule type="expression" dxfId="2" priority="3">
      <x:formula>$B2="In Progress"</x:formula>
    </x:cfRule>
    <x:cfRule type="expression" dxfId="3" priority="4">
      <x:formula>$B2="Needs Redo"</x:formula>
    </x:cfRule>
  </x:conditionalFormatting>
  <x:dataValidations count="2">
    <x:dataValidation type="list" sqref="A2:A41">
      <x:formula1>"Not collected,Collected"</x:formula1>
    </x:dataValidation>
    <x:dataValidation type="list" sqref="B2:B62">
      <x:formula1>"Not Started,In Progress,Complete,Needs Redo"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24eff0f5a24d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" hidden="0" customWidth="1"/>
    <x:col min="4" max="4" width="20" hidden="0" customWidth="1"/>
    <x:col min="5" max="5" width="28" hidden="0" customWidth="1"/>
  </x:cols>
  <x:sheetData>
    <x:row r="1" ht="30" customHeight="1">
      <x:c r="A1" s="43" t="str">
        <x:v>Recollection QA Summary</x:v>
      </x:c>
      <x:c r="B1" s="43"/>
      <x:c r="C1" s="43"/>
      <x:c r="D1" s="43"/>
      <x:c r="E1" s="51"/>
    </x:row>
    <x:row r="2">
      <x:c r="A2" s="51"/>
      <x:c r="B2" s="51"/>
      <x:c r="C2" s="51"/>
      <x:c r="D2" s="51"/>
      <x:c r="E2" s="51"/>
    </x:row>
    <x:row r="3">
      <x:c r="A3" s="52" t="str">
        <x:v>Progress</x:v>
      </x:c>
      <x:c r="B3" s="52" t="str">
        <x:v>Count</x:v>
      </x:c>
      <x:c r="C3" s="51"/>
      <x:c r="D3" s="52" t="str">
        <x:v>Target position</x:v>
      </x:c>
      <x:c r="E3" s="52" t="str">
        <x:v>Planned count</x:v>
      </x:c>
    </x:row>
    <x:row r="4">
      <x:c r="A4" s="53" t="str">
        <x:v>Total planned</x:v>
      </x:c>
      <x:c r="B4" s="53" t="n">
        <x:f>COUNTA('Checklist'!A2:A62)</x:f>
        <x:v>61</x:v>
      </x:c>
      <x:c r="C4" s="51"/>
      <x:c r="D4" s="53" t="str">
        <x:v>P1</x:v>
      </x:c>
      <x:c r="E4" s="53" t="n">
        <x:f>COUNTIF('Checklist'!F2:F62,D4)</x:f>
        <x:v>16</x:v>
      </x:c>
    </x:row>
    <x:row r="5">
      <x:c r="A5" s="53" t="str">
        <x:v>Complete</x:v>
      </x:c>
      <x:c r="B5" s="53" t="n">
        <x:f>COUNTIF('Checklist'!B2:B62,"Complete")</x:f>
        <x:v>0</x:v>
      </x:c>
      <x:c r="C5" s="51"/>
      <x:c r="D5" s="53" t="str">
        <x:v>P2</x:v>
      </x:c>
      <x:c r="E5" s="53" t="n">
        <x:f>COUNTIF('Checklist'!F2:F62,D5)</x:f>
        <x:v>15</x:v>
      </x:c>
    </x:row>
    <x:row r="6">
      <x:c r="A6" s="53" t="str">
        <x:v>In progress</x:v>
      </x:c>
      <x:c r="B6" s="53" t="n">
        <x:f>COUNTIF('Checklist'!B2:B62,"In Progress")</x:f>
        <x:v>0</x:v>
      </x:c>
      <x:c r="C6" s="51"/>
      <x:c r="D6" s="53" t="str">
        <x:v>P3</x:v>
      </x:c>
      <x:c r="E6" s="53" t="n">
        <x:f>COUNTIF('Checklist'!F2:F62,D6)</x:f>
        <x:v>15</x:v>
      </x:c>
    </x:row>
    <x:row r="7">
      <x:c r="A7" s="53" t="str">
        <x:v>Remaining / redo</x:v>
      </x:c>
      <x:c r="B7" s="53" t="n">
        <x:f>COUNTIF('Checklist'!B2:B62,"Not Started")+COUNTIF('Checklist'!B2:B62,"Needs Redo")</x:f>
        <x:v>61</x:v>
      </x:c>
      <x:c r="C7" s="51"/>
      <x:c r="D7" s="53" t="str">
        <x:v>P4</x:v>
      </x:c>
      <x:c r="E7" s="53" t="n">
        <x:f>COUNTIF('Checklist'!F2:F62,D7)</x:f>
        <x:v>15</x:v>
      </x:c>
    </x:row>
    <x:row r="8">
      <x:c r="A8" s="51"/>
      <x:c r="B8" s="51"/>
      <x:c r="C8" s="51"/>
      <x:c r="D8" s="53" t="str">
        <x:v>Position check</x:v>
      </x:c>
      <x:c r="E8" s="53" t="n">
        <x:f>SUM(E4:E7)</x:f>
        <x:v>61</x:v>
      </x:c>
    </x:row>
    <x:row r="9">
      <x:c r="A9" s="52" t="str">
        <x:v>Target state</x:v>
      </x:c>
      <x:c r="B9" s="52" t="str">
        <x:v>Planned count</x:v>
      </x:c>
      <x:c r="C9" s="51"/>
      <x:c r="D9" s="51"/>
      <x:c r="E9" s="51"/>
    </x:row>
    <x:row r="10">
      <x:c r="A10" s="53" t="str">
        <x:v>O, UR</x:v>
      </x:c>
      <x:c r="B10" s="53" t="n">
        <x:f>COUNTIF('Checklist'!E2:E62,A10)</x:f>
        <x:v>16</x:v>
      </x:c>
      <x:c r="C10" s="51"/>
      <x:c r="D10" s="52" t="str">
        <x:v>Start</x:v>
      </x:c>
      <x:c r="E10" s="52" t="str">
        <x:v>Planned count</x:v>
      </x:c>
    </x:row>
    <x:row r="11">
      <x:c r="A11" s="53" t="str">
        <x:v>O, UD</x:v>
      </x:c>
      <x:c r="B11" s="53" t="n">
        <x:f>COUNTIF('Checklist'!E2:E62,A11)</x:f>
        <x:v>15</x:v>
      </x:c>
      <x:c r="C11" s="51"/>
      <x:c r="D11" s="53" t="str">
        <x:v>Home</x:v>
      </x:c>
      <x:c r="E11" s="53" t="n">
        <x:f>COUNTIF('Checklist'!G2:G62,"Home")</x:f>
        <x:v>53</x:v>
      </x:c>
    </x:row>
    <x:row r="12">
      <x:c r="A12" s="53" t="str">
        <x:v>C, UR</x:v>
      </x:c>
      <x:c r="B12" s="53" t="n">
        <x:f>COUNTIF('Checklist'!E2:E62,A12)</x:f>
        <x:v>15</x:v>
      </x:c>
      <x:c r="C12" s="51"/>
      <x:c r="D12" s="53" t="str">
        <x:v>Recovery</x:v>
      </x:c>
      <x:c r="E12" s="53" t="n">
        <x:f>COUNTIF('Checklist'!G2:G62,"Recovery")</x:f>
        <x:v>8</x:v>
      </x:c>
    </x:row>
    <x:row r="13">
      <x:c r="A13" s="53" t="str">
        <x:v>C, UD</x:v>
      </x:c>
      <x:c r="B13" s="53" t="n">
        <x:f>COUNTIF('Checklist'!E2:E62,A13)</x:f>
        <x:v>15</x:v>
      </x:c>
      <x:c r="C13" s="51"/>
      <x:c r="D13" s="53" t="str">
        <x:v>Total</x:v>
      </x:c>
      <x:c r="E13" s="53" t="n">
        <x:f>SUM(E11:E12)</x:f>
        <x:v>61</x:v>
      </x:c>
    </x:row>
    <x:row r="14">
      <x:c r="A14" s="53" t="str">
        <x:v>State-axis check</x:v>
      </x:c>
      <x:c r="B14" s="53" t="str">
        <x:f>"O="&amp;(B10+B11)&amp;", C="&amp;(B12+B13)&amp;"; UR="&amp;(B10+B12)&amp;", UD="&amp;(B11+B13)</x:f>
        <x:v>O=31, C=30; UR=31, UD=30</x:v>
      </x:c>
      <x:c r="C14" s="51"/>
      <x:c r="D14" s="51"/>
      <x:c r="E14" s="51"/>
    </x:row>
    <x:row r="15">
      <x:c r="A15" s="51"/>
      <x:c r="B15" s="51"/>
      <x:c r="C15" s="51"/>
      <x:c r="D15" s="51"/>
      <x:c r="E15" s="51"/>
    </x:row>
    <x:row r="16" ht="38" customHeight="1">
      <x:c r="A16" s="54" t="str">
        <x:v>Collection rule</x:v>
      </x:c>
      <x:c r="B16" s="55" t="str">
        <x:v>Use exactly one target-category object per scene; every distractor belongs to another category.</x:v>
      </x:c>
      <x:c r="C16" s="55"/>
      <x:c r="D16" s="55"/>
      <x:c r="E16" s="55"/>
    </x:row>
    <x:row r="17" ht="38" customHeight="1">
      <x:c r="A17" s="54" t="str">
        <x:v>Prompt rule</x:v>
      </x:c>
      <x:c r="B17" s="55" t="str">
        <x:v>Do not use closed, upright, or either. Use the generic category prompt shown in the checklist.</x:v>
      </x:c>
      <x:c r="C17" s="55"/>
      <x:c r="D17" s="55"/>
      <x:c r="E17" s="55"/>
    </x:row>
    <x:row r="18" ht="38" customHeight="1">
      <x:c r="A18" s="54" t="str">
        <x:v>Completion rule</x:v>
      </x:c>
      <x:c r="B18" s="55" t="str">
        <x:v>Mark Complete only after the episode is recorded, visually checked, and mapped to the listed dataset episode.</x:v>
      </x:c>
      <x:c r="C18" s="55"/>
      <x:c r="D18" s="55"/>
      <x:c r="E18" s="55"/>
    </x:row>
  </x:sheetData>
  <x:mergeCells>
    <x:mergeCell ref="A1:D1"/>
    <x:mergeCell ref="B16:E16"/>
    <x:mergeCell ref="B17:E17"/>
    <x:mergeCell ref="B18:E18"/>
  </x:mergeCells>
  <x:pageMargins left="0.7" right="0.7" top="0.75" bottom="0.75" header="0.3" footer="0.3"/>
</x:worksheet>
</file>