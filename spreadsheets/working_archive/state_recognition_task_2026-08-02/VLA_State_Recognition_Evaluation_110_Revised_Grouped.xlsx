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4120ade9a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a106c68a13ed413c"/>
    <x:sheet xmlns:r="http://schemas.openxmlformats.org/officeDocument/2006/relationships" name="Object Inventory" sheetId="2" r:id="R3c2f92da23cc4bc3"/>
    <x:sheet xmlns:r="http://schemas.openxmlformats.org/officeDocument/2006/relationships" name="Training Alignment" sheetId="3" r:id="Rb8e3d61c84444f35"/>
    <x:sheet xmlns:r="http://schemas.openxmlformats.org/officeDocument/2006/relationships" name="Protocol" sheetId="4" r:id="Ra427292af99e457b"/>
    <x:sheet xmlns:r="http://schemas.openxmlformats.org/officeDocument/2006/relationships" name="Design QA" sheetId="5" r:id="R0d2c972a27d64efc"/>
    <x:sheet xmlns:r="http://schemas.openxmlformats.org/officeDocument/2006/relationships" name="pi0.5 Results" sheetId="6" r:id="R50843f26ef6045bd"/>
    <x:sheet xmlns:r="http://schemas.openxmlformats.org/officeDocument/2006/relationships" name="VLA0 Results" sheetId="7" r:id="R971d0986f1f44fe0"/>
    <x:sheet xmlns:r="http://schemas.openxmlformats.org/officeDocument/2006/relationships" name="MolmoAct2 Results" sheetId="8" r:id="R4876464f9666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378ac591a44a3d" /><Relationship Type="http://schemas.openxmlformats.org/officeDocument/2006/relationships/theme" Target="/xl/theme/theme1.xml" Id="Ra82368dad5da4090" /><Relationship Type="http://schemas.openxmlformats.org/officeDocument/2006/relationships/sharedStrings" Target="/xl/sharedStrings.xml" Id="Redc05e498db24af0" /><Relationship Type="http://schemas.openxmlformats.org/officeDocument/2006/relationships/worksheet" Target="/xl/worksheets/sheet1.xml" Id="Ra106c68a13ed413c" /><Relationship Type="http://schemas.openxmlformats.org/officeDocument/2006/relationships/worksheet" Target="/xl/worksheets/sheet2.xml" Id="R3c2f92da23cc4bc3" /><Relationship Type="http://schemas.openxmlformats.org/officeDocument/2006/relationships/worksheet" Target="/xl/worksheets/sheet3.xml" Id="Rb8e3d61c84444f35" /><Relationship Type="http://schemas.openxmlformats.org/officeDocument/2006/relationships/worksheet" Target="/xl/worksheets/sheet4.xml" Id="Ra427292af99e457b" /><Relationship Type="http://schemas.openxmlformats.org/officeDocument/2006/relationships/worksheet" Target="/xl/worksheets/sheet5.xml" Id="R0d2c972a27d64efc" /><Relationship Type="http://schemas.openxmlformats.org/officeDocument/2006/relationships/worksheet" Target="/xl/worksheets/sheet6.xml" Id="R50843f26ef6045bd" /><Relationship Type="http://schemas.openxmlformats.org/officeDocument/2006/relationships/worksheet" Target="/xl/worksheets/sheet7.xml" Id="R971d0986f1f44fe0" /><Relationship Type="http://schemas.openxmlformats.org/officeDocument/2006/relationships/worksheet" Target="/xl/worksheets/sheet8.xml" Id="R4876464f966649c5" /></Relationships>
</file>

<file path=xl/tables/table1.xml><?xml version="1.0" encoding="utf-8"?>
<x:table xmlns:x="http://schemas.openxmlformats.org/spreadsheetml/2006/main" id="1" name="StateRecognitionPlanRevised" displayName="StateRecognitionPlanRevised" ref="A1:P111" headerRowCount="1" totalsRowCount="0" totalsRowShown="0">
  <x:autoFilter ref="A1:P111"/>
  <x:tableColumns count="16">
    <x:tableColumn id="1" name="Episode"/>
    <x:tableColumn id="2" name="Collection Block"/>
    <x:tableColumn id="3" name="Within-Block Step"/>
    <x:tableColumn id="4" name="Condition"/>
    <x:tableColumn id="5" name="Transfer / Robustness Subtype"/>
    <x:tableColumn id="6" name="Scene Family"/>
    <x:tableColumn id="7" name="Reference Episode"/>
    <x:tableColumn id="8" name="Prompt"/>
    <x:tableColumn id="9" name="Scene Setup (P1-P4)"/>
    <x:tableColumn id="10" name="Expected Target"/>
    <x:tableColumn id="11" name="Queried State"/>
    <x:tableColumn id="12" name="Prompt Category / Noun"/>
    <x:tableColumn id="13" name="Object Familiarity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sedObjectInventory" displayName="RevisedObjectInventory" ref="A1:H12" headerRowCount="1" totalsRowCount="0" totalsRowShown="0">
  <x:tableColumns count="8">
    <x:tableColumn id="1" name="Slot / Object"/>
    <x:tableColumn id="2" name="Prompt Category Phrase"/>
    <x:tableColumn id="3" name="Instance A"/>
    <x:tableColumn id="4" name="Instance B"/>
    <x:tableColumn id="5" name="Valid States"/>
    <x:tableColumn id="6" name="Training Exposure"/>
    <x:tableColumn id="7" name="Visual Tier"/>
    <x:tableColumn id="8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AlignmentTable" displayName="TrainingAlignmentTable" ref="A1:C10" headerRowCount="1" totalsRowCount="0" totalsRowShown="0">
  <x:tableColumns count="3">
    <x:tableColumn id="1" name="Training / Evaluation Feature"/>
    <x:tableColumn id="2" name="Observed in planned State Recognition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sedDesignQA" displayName="RevisedDesignQA" ref="A1:E21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StateResultsRevised" displayName="Pi05StateResultsRevised" ref="A1:M111" headerRowCount="1" totalsRowCount="0" totalsRowShown="0">
  <x:autoFilter ref="A1:M111"/>
  <x:tableColumns count="13">
    <x:tableColumn id="1" name="Episode"/>
    <x:tableColumn id="2" name="Collection Block"/>
    <x:tableColumn id="3" name="Within-Block Step"/>
    <x:tableColumn id="4" name="Condition"/>
    <x:tableColumn id="5" name="Scene Family"/>
    <x:tableColumn id="6" name="Reference Episode"/>
    <x:tableColumn id="7" name="Prompt"/>
    <x:tableColumn id="8" name="Scene Setup"/>
    <x:tableColumn id="9" name="Expected Target"/>
    <x:tableColumn id="10" name="Status"/>
    <x:tableColumn id="11" name="Outcome"/>
    <x:tableColumn id="12" name="Failure Mode"/>
    <x:tableColumn id="1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StateResultsRevised" displayName="VLA0StateResultsRevised" ref="A1:M111" headerRowCount="1" totalsRowCount="0" totalsRowShown="0">
  <x:autoFilter ref="A1:M111"/>
  <x:tableColumns count="13">
    <x:tableColumn id="1" name="Episode"/>
    <x:tableColumn id="2" name="Collection Block"/>
    <x:tableColumn id="3" name="Within-Block Step"/>
    <x:tableColumn id="4" name="Condition"/>
    <x:tableColumn id="5" name="Scene Family"/>
    <x:tableColumn id="6" name="Reference Episode"/>
    <x:tableColumn id="7" name="Prompt"/>
    <x:tableColumn id="8" name="Scene Setup"/>
    <x:tableColumn id="9" name="Expected Target"/>
    <x:tableColumn id="10" name="Status"/>
    <x:tableColumn id="11" name="Outcome"/>
    <x:tableColumn id="12" name="Failure Mode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StateResultsRevised" displayName="MolmoAct2StateResultsRevised" ref="A1:M111" headerRowCount="1" totalsRowCount="0" totalsRowShown="0">
  <x:autoFilter ref="A1:M111"/>
  <x:tableColumns count="13">
    <x:tableColumn id="1" name="Episode"/>
    <x:tableColumn id="2" name="Collection Block"/>
    <x:tableColumn id="3" name="Within-Block Step"/>
    <x:tableColumn id="4" name="Condition"/>
    <x:tableColumn id="5" name="Scene Family"/>
    <x:tableColumn id="6" name="Reference Episode"/>
    <x:tableColumn id="7" name="Prompt"/>
    <x:tableColumn id="8" name="Scene Setup"/>
    <x:tableColumn id="9" name="Expected Target"/>
    <x:tableColumn id="10" name="Status"/>
    <x:tableColumn id="11" name="Outcome"/>
    <x:tableColumn id="12" name="Failure Mod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ced4dab84449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2dd6618d2c41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45bdc518664d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2ba3ca4a4d4c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e055d99b584c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9f63362d4943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02a5d9560e4e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9" hidden="0" customWidth="1"/>
    <x:col min="4" max="4" width="29" hidden="0" customWidth="1"/>
    <x:col min="5" max="5" width="42" hidden="0" customWidth="1"/>
    <x:col min="6" max="6" width="13" hidden="0" customWidth="1"/>
    <x:col min="7" max="7" width="12" hidden="0" customWidth="1"/>
    <x:col min="8" max="8" width="42" hidden="0" customWidth="1"/>
    <x:col min="9" max="9" width="82" hidden="0" customWidth="1"/>
    <x:col min="10" max="10" width="25" hidden="0" customWidth="1"/>
    <x:col min="11" max="11" width="14" hidden="0" customWidth="1"/>
    <x:col min="12" max="12" width="28" hidden="0" customWidth="1"/>
    <x:col min="13" max="13" width="30" hidden="0" customWidth="1"/>
    <x:col min="14" max="14" width="64" hidden="0" customWidth="1"/>
    <x:col min="15" max="15" width="66" hidden="0" customWidth="1"/>
    <x:col min="16" max="16" width="28" hidden="0" customWidth="1"/>
  </x:cols>
  <x:sheetData>
    <x:row r="1" ht="36" customHeight="1">
      <x:c r="A1" s="5" t="str">
        <x:v>Episode</x:v>
      </x:c>
      <x:c r="B1" s="5" t="str">
        <x:v>Collection Block</x:v>
      </x:c>
      <x:c r="C1" s="5" t="str">
        <x:v>Within-Block Step</x:v>
      </x:c>
      <x:c r="D1" s="5" t="str">
        <x:v>Condition</x:v>
      </x:c>
      <x:c r="E1" s="5" t="str">
        <x:v>Transfer / Robustness Subtype</x:v>
      </x:c>
      <x:c r="F1" s="5" t="str">
        <x:v>Scene Family</x:v>
      </x:c>
      <x:c r="G1" s="5" t="str">
        <x:v>Reference Episode</x:v>
      </x:c>
      <x:c r="H1" s="5" t="str">
        <x:v>Prompt</x:v>
      </x:c>
      <x:c r="I1" s="5" t="str">
        <x:v>Scene Setup (P1-P4)</x:v>
      </x:c>
      <x:c r="J1" s="5" t="str">
        <x:v>Expected Target</x:v>
      </x:c>
      <x:c r="K1" s="5" t="str">
        <x:v>Queried State</x:v>
      </x:c>
      <x:c r="L1" s="5" t="str">
        <x:v>Prompt Category / Noun</x:v>
      </x:c>
      <x:c r="M1" s="5" t="str">
        <x:v>Object Familiarity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0" customHeight="1">
      <x:c r="A2" s="9" t="n">
        <x:v>0</x:v>
      </x:c>
      <x:c r="B2" s="9" t="n">
        <x:v>1</x:v>
      </x:c>
      <x:c r="C2" s="9" t="str">
        <x:v>1 — Canonical transfer</x:v>
      </x:c>
      <x:c r="D2" s="9" t="str">
        <x:v>Concept/compositional transfer</x:v>
      </x:c>
      <x:c r="E2" s="10" t="str">
        <x:v>Held-out state word + known category (closed)</x:v>
      </x:c>
      <x:c r="F2" s="9" t="str">
        <x:v>SR-F01</x:v>
      </x:c>
      <x:c r="G2" s="9"/>
      <x:c r="H2" s="10" t="str">
        <x:v>Place the closed white cup in the bowl.</x:v>
      </x:c>
      <x:c r="I2" s="10" t="str">
        <x:v>P1 white cup A (C, UR) [TARGET]; P2 white cup B (O, UR) [STATE COMPETITOR]; P3 yellow-white striped cup A (O, UR); P4 brown cup B (C, UD)</x:v>
      </x:c>
      <x:c r="J2" s="9" t="str">
        <x:v>white cup A</x:v>
      </x:c>
      <x:c r="K2" s="9" t="str">
        <x:v>closed</x:v>
      </x:c>
      <x:c r="L2" s="9" t="str">
        <x:v>white cup</x:v>
      </x:c>
      <x:c r="M2" s="9" t="str">
        <x:v>Same-task seen category</x:v>
      </x:c>
      <x:c r="N2" s="10" t="str">
        <x:v>Build the marked same-category discrimination scene. Save a first-frame image or filename.</x:v>
      </x:c>
      <x:c r="O2" s="10" t="str">
        <x:v>Two objects match the named category; only the state word selects the target. Target and competitor differ only on the queried state axis.</x:v>
      </x:c>
      <x:c r="P2" s="10"/>
    </x:row>
    <x:row r="3" ht="60" customHeight="1">
      <x:c r="A3" s="8" t="n">
        <x:v>1</x:v>
      </x:c>
      <x:c r="B3" s="8" t="n">
        <x:v>1</x:v>
      </x:c>
      <x:c r="C3" s="8" t="str">
        <x:v>2 — Matched control</x:v>
      </x:c>
      <x:c r="D3" s="8" t="str">
        <x:v>Matched manipulation control</x:v>
      </x:c>
      <x:c r="E3" s="7" t="str">
        <x:v>Category-only control after removing state competitor</x:v>
      </x:c>
      <x:c r="F3" s="8" t="str">
        <x:v>SR-F01</x:v>
      </x:c>
      <x:c r="G3" s="8" t="n">
        <x:v>0</x:v>
      </x:c>
      <x:c r="H3" s="7" t="str">
        <x:v>Place the white cup in the bowl.</x:v>
      </x:c>
      <x:c r="I3" s="7" t="str">
        <x:v>P1 white cup A (C, UR) [TARGET]; P3 yellow-white striped cup A (O, UR); P4 brown cup B (C, UD)</x:v>
      </x:c>
      <x:c r="J3" s="8" t="str">
        <x:v>white cup A</x:v>
      </x:c>
      <x:c r="K3" s="8" t="str">
        <x:v>closed</x:v>
      </x:c>
      <x:c r="L3" s="8" t="str">
        <x:v>white cup</x:v>
      </x:c>
      <x:c r="M3" s="8" t="str">
        <x:v>Same-task seen category</x:v>
      </x:c>
      <x:c r="N3" s="7" t="str">
        <x:v>Reset the target, then remove only the same-category state competitor. Keep target, distractors, camera, and bowl fixed.</x:v>
      </x:c>
      <x:c r="O3" s="7" t="str">
        <x:v>This one-object removal is required because A/B labels are not grounded language. A prompt-only control is valid only if a stable visible descriptor is available and counterbalanced.</x:v>
      </x:c>
      <x:c r="P3" s="7"/>
    </x:row>
    <x:row r="4" ht="60" customHeight="1">
      <x:c r="A4" s="8" t="n">
        <x:v>2</x:v>
      </x:c>
      <x:c r="B4" s="8" t="n">
        <x:v>1</x:v>
      </x:c>
      <x:c r="C4" s="8" t="str">
        <x:v>3 — Novel-object canonical</x:v>
      </x:c>
      <x:c r="D4" s="8" t="str">
        <x:v>Visual generalization</x:v>
      </x:c>
      <x:c r="E4" s="7" t="str">
        <x:v>Globally unseen paired-category substitution</x:v>
      </x:c>
      <x:c r="F4" s="8" t="str">
        <x:v>SR-F01</x:v>
      </x:c>
      <x:c r="G4" s="8" t="n">
        <x:v>0</x:v>
      </x:c>
      <x:c r="H4" s="7" t="str">
        <x:f>"Place the closed "&amp;'Object Inventory'!$B$8&amp;" in the bowl."</x:f>
        <x:v>Place the closed black cup in the bowl.</x:v>
      </x:c>
      <x:c r="I4" s="7" t="str">
        <x:v>P1 U1-A (C, UR) [TARGET]; P2 U1-B (O, UR) [STATE COMPETITOR]; P3 yellow-white striped cup A (O, UR); P4 brown cup B (C, UD)</x:v>
      </x:c>
      <x:c r="J4" s="8" t="str">
        <x:v>U1-A</x:v>
      </x:c>
      <x:c r="K4" s="8" t="str">
        <x:v>closed</x:v>
      </x:c>
      <x:c r="L4" s="8" t="str">
        <x:f>'Object Inventory'!$B$8</x:f>
        <x:v>black cup</x:v>
      </x:c>
      <x:c r="M4" s="8" t="str">
        <x:v>Globally unseen — inventory confirmation required</x:v>
      </x:c>
      <x:c r="N4" s="7" t="str">
        <x:v>Remove the known target; replace the target/competitor positions with U1-A and U1-B. Keep the other two distractors, camera, and bowl fixed.</x:v>
      </x:c>
      <x:c r="O4" s="7" t="str">
        <x:v>The novel category appears twice in opposite states, so the model cannot ignore the state adjective and select by category alone.</x:v>
      </x:c>
      <x:c r="P4" s="7"/>
    </x:row>
    <x:row r="5" ht="60" customHeight="1">
      <x:c r="A5" s="8" t="n">
        <x:v>3</x:v>
      </x:c>
      <x:c r="B5" s="8" t="n">
        <x:v>1</x:v>
      </x:c>
      <x:c r="C5" s="8" t="str">
        <x:v>4 — Novel-object paraphrase</x:v>
      </x:c>
      <x:c r="D5" s="8" t="str">
        <x:v>Language robustness</x:v>
      </x:c>
      <x:c r="E5" s="7" t="str">
        <x:v>Meaning-preserving paraphrase on exact novel-object scene</x:v>
      </x:c>
      <x:c r="F5" s="8" t="str">
        <x:v>SR-F01</x:v>
      </x:c>
      <x:c r="G5" s="8" t="n">
        <x:v>2</x:v>
      </x:c>
      <x:c r="H5" s="7" t="str">
        <x:f>"Move the "&amp;'Object Inventory'!$B$8&amp;" that is closed into the bowl."</x:f>
        <x:v>Move the black cup that is closed into the bowl.</x:v>
      </x:c>
      <x:c r="I5" s="7" t="str">
        <x:v>P1 U1-A (C, UR) [TARGET]; P2 U1-B (O, UR) [STATE COMPETITOR]; P3 yellow-white striped cup A (O, UR); P4 brown cup B (C, UD)</x:v>
      </x:c>
      <x:c r="J5" s="8" t="str">
        <x:v>U1-A</x:v>
      </x:c>
      <x:c r="K5" s="8" t="str">
        <x:v>closed</x:v>
      </x:c>
      <x:c r="L5" s="8" t="str">
        <x:f>'Object Inventory'!$B$8</x:f>
        <x:v>black cup</x:v>
      </x:c>
      <x:c r="M5" s="8" t="str">
        <x:v>Globally unseen — same scene as preceding row</x:v>
      </x:c>
      <x:c r="N5" s="7" t="str">
        <x:v>Reset only the moved target. Do not change any object, state, position, camera, or lighting; only the prompt wording changes.</x:v>
      </x:c>
      <x:c r="O5" s="7" t="str">
        <x:v>Compare directly with the preceding visual-generalization row. This isolates wording on the same novel-object scene.</x:v>
      </x:c>
      <x:c r="P5" s="7"/>
    </x:row>
    <x:row r="6" ht="60" customHeight="1">
      <x:c r="A6" s="9" t="n">
        <x:v>4</x:v>
      </x:c>
      <x:c r="B6" s="9" t="n">
        <x:v>2</x:v>
      </x:c>
      <x:c r="C6" s="9" t="str">
        <x:v>1 — Canonical transfer</x:v>
      </x:c>
      <x:c r="D6" s="9" t="str">
        <x:v>Concept/compositional transfer</x:v>
      </x:c>
      <x:c r="E6" s="10" t="str">
        <x:v>Seen state word in a new scene (open)</x:v>
      </x:c>
      <x:c r="F6" s="9" t="str">
        <x:v>SR-F02</x:v>
      </x:c>
      <x:c r="G6" s="9"/>
      <x:c r="H6" s="10" t="str">
        <x:v>Put the open yellow-white striped cup in the bowl.</x:v>
      </x:c>
      <x:c r="I6" s="10" t="str">
        <x:v>P1 white cup B (C, UD); P2 yellow-white striped cup B (O, UD) [TARGET]; P3 yellow-white striped cup A (C, UD) [STATE COMPETITOR]; P4 brown cup A (O, UR)</x:v>
      </x:c>
      <x:c r="J6" s="9" t="str">
        <x:v>yellow-white striped cup B</x:v>
      </x:c>
      <x:c r="K6" s="9" t="str">
        <x:v>open</x:v>
      </x:c>
      <x:c r="L6" s="9" t="str">
        <x:v>yellow-white striped cup</x:v>
      </x:c>
      <x:c r="M6" s="9" t="str">
        <x:v>Same-task seen category</x:v>
      </x:c>
      <x:c r="N6" s="10" t="str">
        <x:v>Build the marked same-category discrimination scene. Save a first-frame image or filename.</x:v>
      </x:c>
      <x:c r="O6" s="10" t="str">
        <x:v>Two objects match the named category; only the state word selects the target. Target and competitor differ only on the queried state axis.</x:v>
      </x:c>
      <x:c r="P6" s="10"/>
    </x:row>
    <x:row r="7" ht="60" customHeight="1">
      <x:c r="A7" s="8" t="n">
        <x:v>5</x:v>
      </x:c>
      <x:c r="B7" s="8" t="n">
        <x:v>2</x:v>
      </x:c>
      <x:c r="C7" s="8" t="str">
        <x:v>2 — Matched control</x:v>
      </x:c>
      <x:c r="D7" s="8" t="str">
        <x:v>Matched manipulation control</x:v>
      </x:c>
      <x:c r="E7" s="7" t="str">
        <x:v>Category-only control after removing state competitor</x:v>
      </x:c>
      <x:c r="F7" s="8" t="str">
        <x:v>SR-F02</x:v>
      </x:c>
      <x:c r="G7" s="8" t="n">
        <x:v>4</x:v>
      </x:c>
      <x:c r="H7" s="7" t="str">
        <x:v>Put the yellow-white striped cup in the bowl.</x:v>
      </x:c>
      <x:c r="I7" s="7" t="str">
        <x:v>P1 white cup B (C, UD); P2 yellow-white striped cup B (O, UD) [TARGET]; P4 brown cup A (O, UR)</x:v>
      </x:c>
      <x:c r="J7" s="8" t="str">
        <x:v>yellow-white striped cup B</x:v>
      </x:c>
      <x:c r="K7" s="8" t="str">
        <x:v>open</x:v>
      </x:c>
      <x:c r="L7" s="8" t="str">
        <x:v>yellow-white striped cup</x:v>
      </x:c>
      <x:c r="M7" s="8" t="str">
        <x:v>Same-task seen category</x:v>
      </x:c>
      <x:c r="N7" s="7" t="str">
        <x:v>Reset the target, then remove only the same-category state competitor. Keep target, distractors, camera, and bowl fixed.</x:v>
      </x:c>
      <x:c r="O7" s="7" t="str">
        <x:v>This one-object removal is required because A/B labels are not grounded language. A prompt-only control is valid only if a stable visible descriptor is available and counterbalanced.</x:v>
      </x:c>
      <x:c r="P7" s="7"/>
    </x:row>
    <x:row r="8" ht="60" customHeight="1">
      <x:c r="A8" s="8" t="n">
        <x:v>6</x:v>
      </x:c>
      <x:c r="B8" s="8" t="n">
        <x:v>2</x:v>
      </x:c>
      <x:c r="C8" s="8" t="str">
        <x:v>3 — Novel-object canonical</x:v>
      </x:c>
      <x:c r="D8" s="8" t="str">
        <x:v>Visual generalization</x:v>
      </x:c>
      <x:c r="E8" s="7" t="str">
        <x:v>Globally unseen paired-category substitution</x:v>
      </x:c>
      <x:c r="F8" s="8" t="str">
        <x:v>SR-F02</x:v>
      </x:c>
      <x:c r="G8" s="8" t="n">
        <x:v>4</x:v>
      </x:c>
      <x:c r="H8" s="7" t="str">
        <x:f>"Put the open "&amp;'Object Inventory'!$B$9&amp;" in the bowl."</x:f>
        <x:v>Put the open new lidded container in the bowl.</x:v>
      </x:c>
      <x:c r="I8" s="7" t="str">
        <x:v>P1 white cup B (C, UD); P2 U2-B (O, UD) [TARGET]; P3 U2-A (C, UD) [STATE COMPETITOR]; P4 brown cup A (O, UR)</x:v>
      </x:c>
      <x:c r="J8" s="8" t="str">
        <x:v>U2-B</x:v>
      </x:c>
      <x:c r="K8" s="8" t="str">
        <x:v>open</x:v>
      </x:c>
      <x:c r="L8" s="8" t="str">
        <x:f>'Object Inventory'!$B$9</x:f>
        <x:v>new lidded container</x:v>
      </x:c>
      <x:c r="M8" s="8" t="str">
        <x:v>Globally unseen — inventory confirmation required</x:v>
      </x:c>
      <x:c r="N8" s="7" t="str">
        <x:v>Remove the known target; replace the target/competitor positions with U2-A and U2-B. Keep the other two distractors, camera, and bowl fixed.</x:v>
      </x:c>
      <x:c r="O8" s="7" t="str">
        <x:v>The novel category appears twice in opposite states, so the model cannot ignore the state adjective and select by category alone.</x:v>
      </x:c>
      <x:c r="P8" s="7"/>
    </x:row>
    <x:row r="9" ht="60" customHeight="1">
      <x:c r="A9" s="8" t="n">
        <x:v>7</x:v>
      </x:c>
      <x:c r="B9" s="8" t="n">
        <x:v>2</x:v>
      </x:c>
      <x:c r="C9" s="8" t="str">
        <x:v>4 — Novel-object paraphrase</x:v>
      </x:c>
      <x:c r="D9" s="8" t="str">
        <x:v>Language robustness</x:v>
      </x:c>
      <x:c r="E9" s="7" t="str">
        <x:v>Meaning-preserving paraphrase on exact novel-object scene</x:v>
      </x:c>
      <x:c r="F9" s="8" t="str">
        <x:v>SR-F02</x:v>
      </x:c>
      <x:c r="G9" s="8" t="n">
        <x:v>6</x:v>
      </x:c>
      <x:c r="H9" s="7" t="str">
        <x:f>"Move the "&amp;'Object Inventory'!$B$9&amp;" that is open into the bowl."</x:f>
        <x:v>Move the new lidded container that is open into the bowl.</x:v>
      </x:c>
      <x:c r="I9" s="7" t="str">
        <x:v>P1 white cup B (C, UD); P2 U2-B (O, UD) [TARGET]; P3 U2-A (C, UD) [STATE COMPETITOR]; P4 brown cup A (O, UR)</x:v>
      </x:c>
      <x:c r="J9" s="8" t="str">
        <x:v>U2-B</x:v>
      </x:c>
      <x:c r="K9" s="8" t="str">
        <x:v>open</x:v>
      </x:c>
      <x:c r="L9" s="8" t="str">
        <x:f>'Object Inventory'!$B$9</x:f>
        <x:v>new lidded container</x:v>
      </x:c>
      <x:c r="M9" s="8" t="str">
        <x:v>Globally unseen — same scene as preceding row</x:v>
      </x:c>
      <x:c r="N9" s="7" t="str">
        <x:v>Reset only the moved target. Do not change any object, state, position, camera, or lighting; only the prompt wording changes.</x:v>
      </x:c>
      <x:c r="O9" s="7" t="str">
        <x:v>Compare directly with the preceding visual-generalization row. This isolates wording on the same novel-object scene.</x:v>
      </x:c>
      <x:c r="P9" s="7"/>
    </x:row>
    <x:row r="10" ht="60" customHeight="1">
      <x:c r="A10" s="9" t="n">
        <x:v>8</x:v>
      </x:c>
      <x:c r="B10" s="9" t="n">
        <x:v>3</x:v>
      </x:c>
      <x:c r="C10" s="9" t="str">
        <x:v>1 — Canonical transfer</x:v>
      </x:c>
      <x:c r="D10" s="9" t="str">
        <x:v>Concept/compositional transfer</x:v>
      </x:c>
      <x:c r="E10" s="10" t="str">
        <x:v>Held-out state word + known category (upright)</x:v>
      </x:c>
      <x:c r="F10" s="9" t="str">
        <x:v>SR-F03</x:v>
      </x:c>
      <x:c r="G10" s="9"/>
      <x:c r="H10" s="10" t="str">
        <x:v>Move the upright brown cup into the bowl.</x:v>
      </x:c>
      <x:c r="I10" s="10" t="str">
        <x:v>P1 white cup A (O, UR); P2 yellow-white striped cup B (C, UD); P3 brown cup A (O, UR) [TARGET]; P4 brown cup B (O, UD) [STATE COMPETITOR]</x:v>
      </x:c>
      <x:c r="J10" s="9" t="str">
        <x:v>brown cup A</x:v>
      </x:c>
      <x:c r="K10" s="9" t="str">
        <x:v>upright</x:v>
      </x:c>
      <x:c r="L10" s="9" t="str">
        <x:v>brown cup</x:v>
      </x:c>
      <x:c r="M10" s="9" t="str">
        <x:v>Same-task seen category</x:v>
      </x:c>
      <x:c r="N10" s="10" t="str">
        <x:v>Build the marked same-category discrimination scene. Save a first-frame image or filename.</x:v>
      </x:c>
      <x:c r="O10" s="10" t="str">
        <x:v>Two objects match the named category; only the state word selects the target. Target and competitor differ only on the queried state axis.</x:v>
      </x:c>
      <x:c r="P10" s="10"/>
    </x:row>
    <x:row r="11" ht="60" customHeight="1">
      <x:c r="A11" s="8" t="n">
        <x:v>9</x:v>
      </x:c>
      <x:c r="B11" s="8" t="n">
        <x:v>3</x:v>
      </x:c>
      <x:c r="C11" s="8" t="str">
        <x:v>2 — Matched control</x:v>
      </x:c>
      <x:c r="D11" s="8" t="str">
        <x:v>Matched manipulation control</x:v>
      </x:c>
      <x:c r="E11" s="7" t="str">
        <x:v>Category-only control after removing state competitor</x:v>
      </x:c>
      <x:c r="F11" s="8" t="str">
        <x:v>SR-F03</x:v>
      </x:c>
      <x:c r="G11" s="8" t="n">
        <x:v>8</x:v>
      </x:c>
      <x:c r="H11" s="7" t="str">
        <x:v>Move the brown cup into the bowl.</x:v>
      </x:c>
      <x:c r="I11" s="7" t="str">
        <x:v>P1 white cup A (O, UR); P2 yellow-white striped cup B (C, UD); P3 brown cup A (O, UR) [TARGET]</x:v>
      </x:c>
      <x:c r="J11" s="8" t="str">
        <x:v>brown cup A</x:v>
      </x:c>
      <x:c r="K11" s="8" t="str">
        <x:v>upright</x:v>
      </x:c>
      <x:c r="L11" s="8" t="str">
        <x:v>brown cup</x:v>
      </x:c>
      <x:c r="M11" s="8" t="str">
        <x:v>Same-task seen category</x:v>
      </x:c>
      <x:c r="N11" s="7" t="str">
        <x:v>Reset the target, then remove only the same-category state competitor. Keep target, distractors, camera, and bowl fixed.</x:v>
      </x:c>
      <x:c r="O11" s="7" t="str">
        <x:v>This one-object removal is required because A/B labels are not grounded language. A prompt-only control is valid only if a stable visible descriptor is available and counterbalanced.</x:v>
      </x:c>
      <x:c r="P11" s="7"/>
    </x:row>
    <x:row r="12" ht="60" customHeight="1">
      <x:c r="A12" s="8" t="n">
        <x:v>10</x:v>
      </x:c>
      <x:c r="B12" s="8" t="n">
        <x:v>3</x:v>
      </x:c>
      <x:c r="C12" s="8" t="str">
        <x:v>3 — Novel-object canonical</x:v>
      </x:c>
      <x:c r="D12" s="8" t="str">
        <x:v>Visual generalization</x:v>
      </x:c>
      <x:c r="E12" s="7" t="str">
        <x:v>Globally unseen paired-category substitution</x:v>
      </x:c>
      <x:c r="F12" s="8" t="str">
        <x:v>SR-F03</x:v>
      </x:c>
      <x:c r="G12" s="8" t="n">
        <x:v>8</x:v>
      </x:c>
      <x:c r="H12" s="7" t="str">
        <x:f>"Move the upright "&amp;'Object Inventory'!$B$10&amp;" into the bowl."</x:f>
        <x:v>Move the upright new bottle into the bowl.</x:v>
      </x:c>
      <x:c r="I12" s="7" t="str">
        <x:v>P1 white cup A (O, UR); P2 yellow-white striped cup B (C, UD); P3 U3-A (O, UR) [TARGET]; P4 U3-B (O, UD) [STATE COMPETITOR]</x:v>
      </x:c>
      <x:c r="J12" s="8" t="str">
        <x:v>U3-A</x:v>
      </x:c>
      <x:c r="K12" s="8" t="str">
        <x:v>upright</x:v>
      </x:c>
      <x:c r="L12" s="8" t="str">
        <x:f>'Object Inventory'!$B$10</x:f>
        <x:v>new bottle</x:v>
      </x:c>
      <x:c r="M12" s="8" t="str">
        <x:v>Globally unseen — inventory confirmation required</x:v>
      </x:c>
      <x:c r="N12" s="7" t="str">
        <x:v>Remove the known target; replace the target/competitor positions with U3-A and U3-B. Keep the other two distractors, camera, and bowl fixed.</x:v>
      </x:c>
      <x:c r="O12" s="7" t="str">
        <x:v>The novel category appears twice in opposite states, so the model cannot ignore the state adjective and select by category alone.</x:v>
      </x:c>
      <x:c r="P12" s="7"/>
    </x:row>
    <x:row r="13" ht="60" customHeight="1">
      <x:c r="A13" s="8" t="n">
        <x:v>11</x:v>
      </x:c>
      <x:c r="B13" s="8" t="n">
        <x:v>3</x:v>
      </x:c>
      <x:c r="C13" s="8" t="str">
        <x:v>4 — Novel-object paraphrase</x:v>
      </x:c>
      <x:c r="D13" s="8" t="str">
        <x:v>Language robustness</x:v>
      </x:c>
      <x:c r="E13" s="7" t="str">
        <x:v>Meaning-preserving paraphrase on exact novel-object scene</x:v>
      </x:c>
      <x:c r="F13" s="8" t="str">
        <x:v>SR-F03</x:v>
      </x:c>
      <x:c r="G13" s="8" t="n">
        <x:v>10</x:v>
      </x:c>
      <x:c r="H13" s="7" t="str">
        <x:f>"Move the "&amp;'Object Inventory'!$B$10&amp;" that is standing upright into the bowl."</x:f>
        <x:v>Move the new bottle that is standing upright into the bowl.</x:v>
      </x:c>
      <x:c r="I13" s="7" t="str">
        <x:v>P1 white cup A (O, UR); P2 yellow-white striped cup B (C, UD); P3 U3-A (O, UR) [TARGET]; P4 U3-B (O, UD) [STATE COMPETITOR]</x:v>
      </x:c>
      <x:c r="J13" s="8" t="str">
        <x:v>U3-A</x:v>
      </x:c>
      <x:c r="K13" s="8" t="str">
        <x:v>upright</x:v>
      </x:c>
      <x:c r="L13" s="8" t="str">
        <x:f>'Object Inventory'!$B$10</x:f>
        <x:v>new bottle</x:v>
      </x:c>
      <x:c r="M13" s="8" t="str">
        <x:v>Globally unseen — same scene as preceding row</x:v>
      </x:c>
      <x:c r="N13" s="7" t="str">
        <x:v>Reset only the moved target. Do not change any object, state, position, camera, or lighting; only the prompt wording changes.</x:v>
      </x:c>
      <x:c r="O13" s="7" t="str">
        <x:v>Compare directly with the preceding visual-generalization row. This isolates wording on the same novel-object scene.</x:v>
      </x:c>
      <x:c r="P13" s="7"/>
    </x:row>
    <x:row r="14" ht="60" customHeight="1">
      <x:c r="A14" s="9" t="n">
        <x:v>12</x:v>
      </x:c>
      <x:c r="B14" s="9" t="n">
        <x:v>4</x:v>
      </x:c>
      <x:c r="C14" s="9" t="str">
        <x:v>1 — Canonical transfer</x:v>
      </x:c>
      <x:c r="D14" s="9" t="str">
        <x:v>Concept/compositional transfer</x:v>
      </x:c>
      <x:c r="E14" s="10" t="str">
        <x:v>Seen state word in a new scene (upside-down)</x:v>
      </x:c>
      <x:c r="F14" s="9" t="str">
        <x:v>SR-F04</x:v>
      </x:c>
      <x:c r="G14" s="9"/>
      <x:c r="H14" s="10" t="str">
        <x:v>Place the upside-down glass spice container in the bowl.</x:v>
      </x:c>
      <x:c r="I14" s="10" t="str">
        <x:v>P1 glass spice container A (C, UR) [STATE COMPETITOR]; P2 white cup A (O, UR); P3 yellow-white striped cup B (C, UD); P4 glass spice container B (C, UD) [TARGET]</x:v>
      </x:c>
      <x:c r="J14" s="9" t="str">
        <x:v>glass spice container B</x:v>
      </x:c>
      <x:c r="K14" s="9" t="str">
        <x:v>upside-down</x:v>
      </x:c>
      <x:c r="L14" s="9" t="str">
        <x:v>glass spice container</x:v>
      </x:c>
      <x:c r="M14" s="9" t="str">
        <x:v>Same-task seen category</x:v>
      </x:c>
      <x:c r="N14" s="10" t="str">
        <x:v>Build the marked same-category discrimination scene. Save a first-frame image or filename.</x:v>
      </x:c>
      <x:c r="O14" s="10" t="str">
        <x:v>Two objects match the named category; only the state word selects the target. Target and competitor differ only on the queried state axis.</x:v>
      </x:c>
      <x:c r="P14" s="10"/>
    </x:row>
    <x:row r="15" ht="60" customHeight="1">
      <x:c r="A15" s="8" t="n">
        <x:v>13</x:v>
      </x:c>
      <x:c r="B15" s="8" t="n">
        <x:v>4</x:v>
      </x:c>
      <x:c r="C15" s="8" t="str">
        <x:v>2 — Matched control</x:v>
      </x:c>
      <x:c r="D15" s="8" t="str">
        <x:v>Matched manipulation control</x:v>
      </x:c>
      <x:c r="E15" s="7" t="str">
        <x:v>Category-only control after removing state competitor</x:v>
      </x:c>
      <x:c r="F15" s="8" t="str">
        <x:v>SR-F04</x:v>
      </x:c>
      <x:c r="G15" s="8" t="n">
        <x:v>12</x:v>
      </x:c>
      <x:c r="H15" s="7" t="str">
        <x:v>Place the glass spice container in the bowl.</x:v>
      </x:c>
      <x:c r="I15" s="7" t="str">
        <x:v>P2 white cup A (O, UR); P3 yellow-white striped cup B (C, UD); P4 glass spice container B (C, UD) [TARGET]</x:v>
      </x:c>
      <x:c r="J15" s="8" t="str">
        <x:v>glass spice container B</x:v>
      </x:c>
      <x:c r="K15" s="8" t="str">
        <x:v>upside-down</x:v>
      </x:c>
      <x:c r="L15" s="8" t="str">
        <x:v>glass spice container</x:v>
      </x:c>
      <x:c r="M15" s="8" t="str">
        <x:v>Same-task seen category</x:v>
      </x:c>
      <x:c r="N15" s="7" t="str">
        <x:v>Reset the target, then remove only the same-category state competitor. Keep target, distractors, camera, and bowl fixed.</x:v>
      </x:c>
      <x:c r="O15" s="7" t="str">
        <x:v>This one-object removal is required because A/B labels are not grounded language. A prompt-only control is valid only if a stable visible descriptor is available and counterbalanced.</x:v>
      </x:c>
      <x:c r="P15" s="7"/>
    </x:row>
    <x:row r="16" ht="60" customHeight="1">
      <x:c r="A16" s="8" t="n">
        <x:v>14</x:v>
      </x:c>
      <x:c r="B16" s="8" t="n">
        <x:v>4</x:v>
      </x:c>
      <x:c r="C16" s="8" t="str">
        <x:v>3 — Novel-object canonical</x:v>
      </x:c>
      <x:c r="D16" s="8" t="str">
        <x:v>Visual generalization</x:v>
      </x:c>
      <x:c r="E16" s="7" t="str">
        <x:v>Globally unseen paired-category substitution</x:v>
      </x:c>
      <x:c r="F16" s="8" t="str">
        <x:v>SR-F04</x:v>
      </x:c>
      <x:c r="G16" s="8" t="n">
        <x:v>12</x:v>
      </x:c>
      <x:c r="H16" s="7" t="str">
        <x:f>"Place the upside-down "&amp;'Object Inventory'!$B$11&amp;" in the bowl."</x:f>
        <x:v>Place the upside-down new asymmetric container in the bowl.</x:v>
      </x:c>
      <x:c r="I16" s="7" t="str">
        <x:v>P1 U4-A (C, UR) [STATE COMPETITOR]; P2 white cup A (O, UR); P3 yellow-white striped cup B (C, UD); P4 U4-B (C, UD) [TARGET]</x:v>
      </x:c>
      <x:c r="J16" s="8" t="str">
        <x:v>U4-B</x:v>
      </x:c>
      <x:c r="K16" s="8" t="str">
        <x:v>upside-down</x:v>
      </x:c>
      <x:c r="L16" s="8" t="str">
        <x:f>'Object Inventory'!$B$11</x:f>
        <x:v>new asymmetric container</x:v>
      </x:c>
      <x:c r="M16" s="8" t="str">
        <x:v>Globally unseen — inventory confirmation required</x:v>
      </x:c>
      <x:c r="N16" s="7" t="str">
        <x:v>Remove the known target; replace the target/competitor positions with U4-A and U4-B. Keep the other two distractors, camera, and bowl fixed.</x:v>
      </x:c>
      <x:c r="O16" s="7" t="str">
        <x:v>The novel category appears twice in opposite states, so the model cannot ignore the state adjective and select by category alone.</x:v>
      </x:c>
      <x:c r="P16" s="7"/>
    </x:row>
    <x:row r="17" ht="60" customHeight="1">
      <x:c r="A17" s="8" t="n">
        <x:v>15</x:v>
      </x:c>
      <x:c r="B17" s="8" t="n">
        <x:v>4</x:v>
      </x:c>
      <x:c r="C17" s="8" t="str">
        <x:v>4 — Novel-object paraphrase</x:v>
      </x:c>
      <x:c r="D17" s="8" t="str">
        <x:v>Language robustness</x:v>
      </x:c>
      <x:c r="E17" s="7" t="str">
        <x:v>Meaning-preserving paraphrase on exact novel-object scene</x:v>
      </x:c>
      <x:c r="F17" s="8" t="str">
        <x:v>SR-F04</x:v>
      </x:c>
      <x:c r="G17" s="8" t="n">
        <x:v>14</x:v>
      </x:c>
      <x:c r="H17" s="7" t="str">
        <x:f>"Move the "&amp;'Object Inventory'!$B$11&amp;" that is turned upside down into the bowl."</x:f>
        <x:v>Move the new asymmetric container that is turned upside down into the bowl.</x:v>
      </x:c>
      <x:c r="I17" s="7" t="str">
        <x:v>P1 U4-A (C, UR) [STATE COMPETITOR]; P2 white cup A (O, UR); P3 yellow-white striped cup B (C, UD); P4 U4-B (C, UD) [TARGET]</x:v>
      </x:c>
      <x:c r="J17" s="8" t="str">
        <x:v>U4-B</x:v>
      </x:c>
      <x:c r="K17" s="8" t="str">
        <x:v>upside-down</x:v>
      </x:c>
      <x:c r="L17" s="8" t="str">
        <x:f>'Object Inventory'!$B$11</x:f>
        <x:v>new asymmetric container</x:v>
      </x:c>
      <x:c r="M17" s="8" t="str">
        <x:v>Globally unseen — same scene as preceding row</x:v>
      </x:c>
      <x:c r="N17" s="7" t="str">
        <x:v>Reset only the moved target. Do not change any object, state, position, camera, or lighting; only the prompt wording changes.</x:v>
      </x:c>
      <x:c r="O17" s="7" t="str">
        <x:v>Compare directly with the preceding visual-generalization row. This isolates wording on the same novel-object scene.</x:v>
      </x:c>
      <x:c r="P17" s="7"/>
    </x:row>
    <x:row r="18" ht="60" customHeight="1">
      <x:c r="A18" s="9" t="n">
        <x:v>16</x:v>
      </x:c>
      <x:c r="B18" s="9" t="n">
        <x:v>5</x:v>
      </x:c>
      <x:c r="C18" s="9" t="str">
        <x:v>1 — Canonical transfer</x:v>
      </x:c>
      <x:c r="D18" s="9" t="str">
        <x:v>Concept/compositional transfer</x:v>
      </x:c>
      <x:c r="E18" s="10" t="str">
        <x:v>Held-out state word + known category (closed)</x:v>
      </x:c>
      <x:c r="F18" s="9" t="str">
        <x:v>SR-F05</x:v>
      </x:c>
      <x:c r="G18" s="9"/>
      <x:c r="H18" s="10" t="str">
        <x:v>Put the closed yellow-white striped cup in the bowl.</x:v>
      </x:c>
      <x:c r="I18" s="10" t="str">
        <x:v>P1 yellow-white striped cup A (C, UR) [TARGET]; P2 yellow-white striped cup B (O, UR) [STATE COMPETITOR]; P3 white cup A (O, UR); P4 brown cup B (C, UD)</x:v>
      </x:c>
      <x:c r="J18" s="9" t="str">
        <x:v>yellow-white striped cup A</x:v>
      </x:c>
      <x:c r="K18" s="9" t="str">
        <x:v>closed</x:v>
      </x:c>
      <x:c r="L18" s="9" t="str">
        <x:v>yellow-white striped cup</x:v>
      </x:c>
      <x:c r="M18" s="9" t="str">
        <x:v>Same-task seen category</x:v>
      </x:c>
      <x:c r="N18" s="10" t="str">
        <x:v>Build the marked same-category discrimination scene. Save a first-frame image or filename.</x:v>
      </x:c>
      <x:c r="O18" s="10" t="str">
        <x:v>Two objects match the named category; only the state word selects the target. Target and competitor differ only on the queried state axis.</x:v>
      </x:c>
      <x:c r="P18" s="10"/>
    </x:row>
    <x:row r="19" ht="60" customHeight="1">
      <x:c r="A19" s="8" t="n">
        <x:v>17</x:v>
      </x:c>
      <x:c r="B19" s="8" t="n">
        <x:v>5</x:v>
      </x:c>
      <x:c r="C19" s="8" t="str">
        <x:v>2 — Matched control</x:v>
      </x:c>
      <x:c r="D19" s="8" t="str">
        <x:v>Matched manipulation control</x:v>
      </x:c>
      <x:c r="E19" s="7" t="str">
        <x:v>Category-only control after removing state competitor</x:v>
      </x:c>
      <x:c r="F19" s="8" t="str">
        <x:v>SR-F05</x:v>
      </x:c>
      <x:c r="G19" s="8" t="n">
        <x:v>16</x:v>
      </x:c>
      <x:c r="H19" s="7" t="str">
        <x:v>Put the yellow-white striped cup in the bowl.</x:v>
      </x:c>
      <x:c r="I19" s="7" t="str">
        <x:v>P1 yellow-white striped cup A (C, UR) [TARGET]; P3 white cup A (O, UR); P4 brown cup B (C, UD)</x:v>
      </x:c>
      <x:c r="J19" s="8" t="str">
        <x:v>yellow-white striped cup A</x:v>
      </x:c>
      <x:c r="K19" s="8" t="str">
        <x:v>closed</x:v>
      </x:c>
      <x:c r="L19" s="8" t="str">
        <x:v>yellow-white striped cup</x:v>
      </x:c>
      <x:c r="M19" s="8" t="str">
        <x:v>Same-task seen category</x:v>
      </x:c>
      <x:c r="N19" s="7" t="str">
        <x:v>Reset the target, then remove only the same-category state competitor. Keep target, distractors, camera, and bowl fixed.</x:v>
      </x:c>
      <x:c r="O19" s="7" t="str">
        <x:v>This one-object removal is required because A/B labels are not grounded language. A prompt-only control is valid only if a stable visible descriptor is available and counterbalanced.</x:v>
      </x:c>
      <x:c r="P19" s="7"/>
    </x:row>
    <x:row r="20" ht="60" customHeight="1">
      <x:c r="A20" s="8" t="n">
        <x:v>18</x:v>
      </x:c>
      <x:c r="B20" s="8" t="n">
        <x:v>5</x:v>
      </x:c>
      <x:c r="C20" s="8" t="str">
        <x:v>3 — Novel-object canonical</x:v>
      </x:c>
      <x:c r="D20" s="8" t="str">
        <x:v>Visual generalization</x:v>
      </x:c>
      <x:c r="E20" s="7" t="str">
        <x:v>Globally unseen paired-category substitution</x:v>
      </x:c>
      <x:c r="F20" s="8" t="str">
        <x:v>SR-F05</x:v>
      </x:c>
      <x:c r="G20" s="8" t="n">
        <x:v>16</x:v>
      </x:c>
      <x:c r="H20" s="7" t="str">
        <x:f>"Put the closed "&amp;'Object Inventory'!$B$8&amp;" in the bowl."</x:f>
        <x:v>Put the closed black cup in the bowl.</x:v>
      </x:c>
      <x:c r="I20" s="7" t="str">
        <x:v>P1 U1-A (C, UR) [TARGET]; P2 U1-B (O, UR) [STATE COMPETITOR]; P3 white cup A (O, UR); P4 brown cup B (C, UD)</x:v>
      </x:c>
      <x:c r="J20" s="8" t="str">
        <x:v>U1-A</x:v>
      </x:c>
      <x:c r="K20" s="8" t="str">
        <x:v>closed</x:v>
      </x:c>
      <x:c r="L20" s="8" t="str">
        <x:f>'Object Inventory'!$B$8</x:f>
        <x:v>black cup</x:v>
      </x:c>
      <x:c r="M20" s="8" t="str">
        <x:v>Globally unseen — inventory confirmation required</x:v>
      </x:c>
      <x:c r="N20" s="7" t="str">
        <x:v>Remove the known target; replace the target/competitor positions with U1-A and U1-B. Keep the other two distractors, camera, and bowl fixed.</x:v>
      </x:c>
      <x:c r="O20" s="7" t="str">
        <x:v>The novel category appears twice in opposite states, so the model cannot ignore the state adjective and select by category alone.</x:v>
      </x:c>
      <x:c r="P20" s="7"/>
    </x:row>
    <x:row r="21" ht="60" customHeight="1">
      <x:c r="A21" s="8" t="n">
        <x:v>19</x:v>
      </x:c>
      <x:c r="B21" s="8" t="n">
        <x:v>5</x:v>
      </x:c>
      <x:c r="C21" s="8" t="str">
        <x:v>4 — Novel-object paraphrase</x:v>
      </x:c>
      <x:c r="D21" s="8" t="str">
        <x:v>Language robustness</x:v>
      </x:c>
      <x:c r="E21" s="7" t="str">
        <x:v>Meaning-preserving paraphrase on exact novel-object scene</x:v>
      </x:c>
      <x:c r="F21" s="8" t="str">
        <x:v>SR-F05</x:v>
      </x:c>
      <x:c r="G21" s="8" t="n">
        <x:v>18</x:v>
      </x:c>
      <x:c r="H21" s="7" t="str">
        <x:f>"Put the "&amp;'Object Inventory'!$B$8&amp;" with its opening covered in the bowl."</x:f>
        <x:v>Put the black cup with its opening covered in the bowl.</x:v>
      </x:c>
      <x:c r="I21" s="7" t="str">
        <x:v>P1 U1-A (C, UR) [TARGET]; P2 U1-B (O, UR) [STATE COMPETITOR]; P3 white cup A (O, UR); P4 brown cup B (C, UD)</x:v>
      </x:c>
      <x:c r="J21" s="8" t="str">
        <x:v>U1-A</x:v>
      </x:c>
      <x:c r="K21" s="8" t="str">
        <x:v>closed</x:v>
      </x:c>
      <x:c r="L21" s="8" t="str">
        <x:f>'Object Inventory'!$B$8</x:f>
        <x:v>black cup</x:v>
      </x:c>
      <x:c r="M21" s="8" t="str">
        <x:v>Globally unseen — same scene as preceding row</x:v>
      </x:c>
      <x:c r="N21" s="7" t="str">
        <x:v>Reset only the moved target. Do not change any object, state, position, camera, or lighting; only the prompt wording changes.</x:v>
      </x:c>
      <x:c r="O21" s="7" t="str">
        <x:v>Compare directly with the preceding visual-generalization row. This isolates wording on the same novel-object scene.</x:v>
      </x:c>
      <x:c r="P21" s="7"/>
    </x:row>
    <x:row r="22" ht="60" customHeight="1">
      <x:c r="A22" s="9" t="n">
        <x:v>20</x:v>
      </x:c>
      <x:c r="B22" s="9" t="n">
        <x:v>6</x:v>
      </x:c>
      <x:c r="C22" s="9" t="str">
        <x:v>1 — Canonical transfer</x:v>
      </x:c>
      <x:c r="D22" s="9" t="str">
        <x:v>Concept/compositional transfer</x:v>
      </x:c>
      <x:c r="E22" s="10" t="str">
        <x:v>Seen state word in a new scene (open)</x:v>
      </x:c>
      <x:c r="F22" s="9" t="str">
        <x:v>SR-F06</x:v>
      </x:c>
      <x:c r="G22" s="9"/>
      <x:c r="H22" s="10" t="str">
        <x:v>Move the open brown cup into the bowl.</x:v>
      </x:c>
      <x:c r="I22" s="10" t="str">
        <x:v>P1 white cup B (C, UD); P2 brown cup B (O, UD) [TARGET]; P3 brown cup A (C, UD) [STATE COMPETITOR]; P4 yellow-white striped cup A (O, UR)</x:v>
      </x:c>
      <x:c r="J22" s="9" t="str">
        <x:v>brown cup B</x:v>
      </x:c>
      <x:c r="K22" s="9" t="str">
        <x:v>open</x:v>
      </x:c>
      <x:c r="L22" s="9" t="str">
        <x:v>brown cup</x:v>
      </x:c>
      <x:c r="M22" s="9" t="str">
        <x:v>Same-task seen category</x:v>
      </x:c>
      <x:c r="N22" s="10" t="str">
        <x:v>Build the marked same-category discrimination scene. Save a first-frame image or filename.</x:v>
      </x:c>
      <x:c r="O22" s="10" t="str">
        <x:v>Two objects match the named category; only the state word selects the target. Target and competitor differ only on the queried state axis.</x:v>
      </x:c>
      <x:c r="P22" s="10"/>
    </x:row>
    <x:row r="23" ht="60" customHeight="1">
      <x:c r="A23" s="8" t="n">
        <x:v>21</x:v>
      </x:c>
      <x:c r="B23" s="8" t="n">
        <x:v>6</x:v>
      </x:c>
      <x:c r="C23" s="8" t="str">
        <x:v>2 — Matched control</x:v>
      </x:c>
      <x:c r="D23" s="8" t="str">
        <x:v>Matched manipulation control</x:v>
      </x:c>
      <x:c r="E23" s="7" t="str">
        <x:v>Category-only control after removing state competitor</x:v>
      </x:c>
      <x:c r="F23" s="8" t="str">
        <x:v>SR-F06</x:v>
      </x:c>
      <x:c r="G23" s="8" t="n">
        <x:v>20</x:v>
      </x:c>
      <x:c r="H23" s="7" t="str">
        <x:v>Move the brown cup into the bowl.</x:v>
      </x:c>
      <x:c r="I23" s="7" t="str">
        <x:v>P1 white cup B (C, UD); P2 brown cup B (O, UD) [TARGET]; P4 yellow-white striped cup A (O, UR)</x:v>
      </x:c>
      <x:c r="J23" s="8" t="str">
        <x:v>brown cup B</x:v>
      </x:c>
      <x:c r="K23" s="8" t="str">
        <x:v>open</x:v>
      </x:c>
      <x:c r="L23" s="8" t="str">
        <x:v>brown cup</x:v>
      </x:c>
      <x:c r="M23" s="8" t="str">
        <x:v>Same-task seen category</x:v>
      </x:c>
      <x:c r="N23" s="7" t="str">
        <x:v>Reset the target, then remove only the same-category state competitor. Keep target, distractors, camera, and bowl fixed.</x:v>
      </x:c>
      <x:c r="O23" s="7" t="str">
        <x:v>This one-object removal is required because A/B labels are not grounded language. A prompt-only control is valid only if a stable visible descriptor is available and counterbalanced.</x:v>
      </x:c>
      <x:c r="P23" s="7"/>
    </x:row>
    <x:row r="24" ht="60" customHeight="1">
      <x:c r="A24" s="8" t="n">
        <x:v>22</x:v>
      </x:c>
      <x:c r="B24" s="8" t="n">
        <x:v>6</x:v>
      </x:c>
      <x:c r="C24" s="8" t="str">
        <x:v>3 — Novel-object canonical</x:v>
      </x:c>
      <x:c r="D24" s="8" t="str">
        <x:v>Visual generalization</x:v>
      </x:c>
      <x:c r="E24" s="7" t="str">
        <x:v>Globally unseen paired-category substitution</x:v>
      </x:c>
      <x:c r="F24" s="8" t="str">
        <x:v>SR-F06</x:v>
      </x:c>
      <x:c r="G24" s="8" t="n">
        <x:v>20</x:v>
      </x:c>
      <x:c r="H24" s="7" t="str">
        <x:f>"Move the open "&amp;'Object Inventory'!$B$9&amp;" into the bowl."</x:f>
        <x:v>Move the open new lidded container into the bowl.</x:v>
      </x:c>
      <x:c r="I24" s="7" t="str">
        <x:v>P1 white cup B (C, UD); P2 U2-B (O, UD) [TARGET]; P3 U2-A (C, UD) [STATE COMPETITOR]; P4 yellow-white striped cup A (O, UR)</x:v>
      </x:c>
      <x:c r="J24" s="8" t="str">
        <x:v>U2-B</x:v>
      </x:c>
      <x:c r="K24" s="8" t="str">
        <x:v>open</x:v>
      </x:c>
      <x:c r="L24" s="8" t="str">
        <x:f>'Object Inventory'!$B$9</x:f>
        <x:v>new lidded container</x:v>
      </x:c>
      <x:c r="M24" s="8" t="str">
        <x:v>Globally unseen — inventory confirmation required</x:v>
      </x:c>
      <x:c r="N24" s="7" t="str">
        <x:v>Remove the known target; replace the target/competitor positions with U2-A and U2-B. Keep the other two distractors, camera, and bowl fixed.</x:v>
      </x:c>
      <x:c r="O24" s="7" t="str">
        <x:v>The novel category appears twice in opposite states, so the model cannot ignore the state adjective and select by category alone.</x:v>
      </x:c>
      <x:c r="P24" s="7"/>
    </x:row>
    <x:row r="25" ht="60" customHeight="1">
      <x:c r="A25" s="8" t="n">
        <x:v>23</x:v>
      </x:c>
      <x:c r="B25" s="8" t="n">
        <x:v>6</x:v>
      </x:c>
      <x:c r="C25" s="8" t="str">
        <x:v>4 — Novel-object paraphrase</x:v>
      </x:c>
      <x:c r="D25" s="8" t="str">
        <x:v>Language robustness</x:v>
      </x:c>
      <x:c r="E25" s="7" t="str">
        <x:v>Meaning-preserving paraphrase on exact novel-object scene</x:v>
      </x:c>
      <x:c r="F25" s="8" t="str">
        <x:v>SR-F06</x:v>
      </x:c>
      <x:c r="G25" s="8" t="n">
        <x:v>22</x:v>
      </x:c>
      <x:c r="H25" s="7" t="str">
        <x:f>"Put the "&amp;'Object Inventory'!$B$9&amp;" with its opening uncovered in the bowl."</x:f>
        <x:v>Put the new lidded container with its opening uncovered in the bowl.</x:v>
      </x:c>
      <x:c r="I25" s="7" t="str">
        <x:v>P1 white cup B (C, UD); P2 U2-B (O, UD) [TARGET]; P3 U2-A (C, UD) [STATE COMPETITOR]; P4 yellow-white striped cup A (O, UR)</x:v>
      </x:c>
      <x:c r="J25" s="8" t="str">
        <x:v>U2-B</x:v>
      </x:c>
      <x:c r="K25" s="8" t="str">
        <x:v>open</x:v>
      </x:c>
      <x:c r="L25" s="8" t="str">
        <x:f>'Object Inventory'!$B$9</x:f>
        <x:v>new lidded container</x:v>
      </x:c>
      <x:c r="M25" s="8" t="str">
        <x:v>Globally unseen — same scene as preceding row</x:v>
      </x:c>
      <x:c r="N25" s="7" t="str">
        <x:v>Reset only the moved target. Do not change any object, state, position, camera, or lighting; only the prompt wording changes.</x:v>
      </x:c>
      <x:c r="O25" s="7" t="str">
        <x:v>Compare directly with the preceding visual-generalization row. This isolates wording on the same novel-object scene.</x:v>
      </x:c>
      <x:c r="P25" s="7"/>
    </x:row>
    <x:row r="26" ht="60" customHeight="1">
      <x:c r="A26" s="9" t="n">
        <x:v>24</x:v>
      </x:c>
      <x:c r="B26" s="9" t="n">
        <x:v>7</x:v>
      </x:c>
      <x:c r="C26" s="9" t="str">
        <x:v>1 — Canonical transfer</x:v>
      </x:c>
      <x:c r="D26" s="9" t="str">
        <x:v>Concept/compositional transfer</x:v>
      </x:c>
      <x:c r="E26" s="10" t="str">
        <x:v>Held-out state word + known category (upright)</x:v>
      </x:c>
      <x:c r="F26" s="9" t="str">
        <x:v>SR-F07</x:v>
      </x:c>
      <x:c r="G26" s="9"/>
      <x:c r="H26" s="10" t="str">
        <x:v>Place the upright glass spice container in the bowl.</x:v>
      </x:c>
      <x:c r="I26" s="10" t="str">
        <x:v>P1 white cup A (O, UR); P2 yellow-white striped cup B (C, UD); P3 glass spice container A (O, UR) [TARGET]; P4 glass spice container B (O, UD) [STATE COMPETITOR]</x:v>
      </x:c>
      <x:c r="J26" s="9" t="str">
        <x:v>glass spice container A</x:v>
      </x:c>
      <x:c r="K26" s="9" t="str">
        <x:v>upright</x:v>
      </x:c>
      <x:c r="L26" s="9" t="str">
        <x:v>glass spice container</x:v>
      </x:c>
      <x:c r="M26" s="9" t="str">
        <x:v>Same-task seen category</x:v>
      </x:c>
      <x:c r="N26" s="10" t="str">
        <x:v>Build the marked same-category discrimination scene. Save a first-frame image or filename.</x:v>
      </x:c>
      <x:c r="O26" s="10" t="str">
        <x:v>Two objects match the named category; only the state word selects the target. Target and competitor differ only on the queried state axis.</x:v>
      </x:c>
      <x:c r="P26" s="10"/>
    </x:row>
    <x:row r="27" ht="60" customHeight="1">
      <x:c r="A27" s="8" t="n">
        <x:v>25</x:v>
      </x:c>
      <x:c r="B27" s="8" t="n">
        <x:v>7</x:v>
      </x:c>
      <x:c r="C27" s="8" t="str">
        <x:v>2 — Matched control</x:v>
      </x:c>
      <x:c r="D27" s="8" t="str">
        <x:v>Matched manipulation control</x:v>
      </x:c>
      <x:c r="E27" s="7" t="str">
        <x:v>Category-only control after removing state competitor</x:v>
      </x:c>
      <x:c r="F27" s="8" t="str">
        <x:v>SR-F07</x:v>
      </x:c>
      <x:c r="G27" s="8" t="n">
        <x:v>24</x:v>
      </x:c>
      <x:c r="H27" s="7" t="str">
        <x:v>Place the glass spice container in the bowl.</x:v>
      </x:c>
      <x:c r="I27" s="7" t="str">
        <x:v>P1 white cup A (O, UR); P2 yellow-white striped cup B (C, UD); P3 glass spice container A (O, UR) [TARGET]</x:v>
      </x:c>
      <x:c r="J27" s="8" t="str">
        <x:v>glass spice container A</x:v>
      </x:c>
      <x:c r="K27" s="8" t="str">
        <x:v>upright</x:v>
      </x:c>
      <x:c r="L27" s="8" t="str">
        <x:v>glass spice container</x:v>
      </x:c>
      <x:c r="M27" s="8" t="str">
        <x:v>Same-task seen category</x:v>
      </x:c>
      <x:c r="N27" s="7" t="str">
        <x:v>Reset the target, then remove only the same-category state competitor. Keep target, distractors, camera, and bowl fixed.</x:v>
      </x:c>
      <x:c r="O27" s="7" t="str">
        <x:v>This one-object removal is required because A/B labels are not grounded language. A prompt-only control is valid only if a stable visible descriptor is available and counterbalanced.</x:v>
      </x:c>
      <x:c r="P27" s="7"/>
    </x:row>
    <x:row r="28" ht="60" customHeight="1">
      <x:c r="A28" s="8" t="n">
        <x:v>26</x:v>
      </x:c>
      <x:c r="B28" s="8" t="n">
        <x:v>7</x:v>
      </x:c>
      <x:c r="C28" s="8" t="str">
        <x:v>3 — Novel-object canonical</x:v>
      </x:c>
      <x:c r="D28" s="8" t="str">
        <x:v>Visual generalization</x:v>
      </x:c>
      <x:c r="E28" s="7" t="str">
        <x:v>Globally unseen paired-category substitution</x:v>
      </x:c>
      <x:c r="F28" s="8" t="str">
        <x:v>SR-F07</x:v>
      </x:c>
      <x:c r="G28" s="8" t="n">
        <x:v>24</x:v>
      </x:c>
      <x:c r="H28" s="7" t="str">
        <x:f>"Place the upright "&amp;'Object Inventory'!$B$10&amp;" in the bowl."</x:f>
        <x:v>Place the upright new bottle in the bowl.</x:v>
      </x:c>
      <x:c r="I28" s="7" t="str">
        <x:v>P1 white cup A (O, UR); P2 yellow-white striped cup B (C, UD); P3 U3-A (O, UR) [TARGET]; P4 U3-B (O, UD) [STATE COMPETITOR]</x:v>
      </x:c>
      <x:c r="J28" s="8" t="str">
        <x:v>U3-A</x:v>
      </x:c>
      <x:c r="K28" s="8" t="str">
        <x:v>upright</x:v>
      </x:c>
      <x:c r="L28" s="8" t="str">
        <x:f>'Object Inventory'!$B$10</x:f>
        <x:v>new bottle</x:v>
      </x:c>
      <x:c r="M28" s="8" t="str">
        <x:v>Globally unseen — inventory confirmation required</x:v>
      </x:c>
      <x:c r="N28" s="7" t="str">
        <x:v>Remove the known target; replace the target/competitor positions with U3-A and U3-B. Keep the other two distractors, camera, and bowl fixed.</x:v>
      </x:c>
      <x:c r="O28" s="7" t="str">
        <x:v>The novel category appears twice in opposite states, so the model cannot ignore the state adjective and select by category alone.</x:v>
      </x:c>
      <x:c r="P28" s="7"/>
    </x:row>
    <x:row r="29" ht="60" customHeight="1">
      <x:c r="A29" s="8" t="n">
        <x:v>27</x:v>
      </x:c>
      <x:c r="B29" s="8" t="n">
        <x:v>7</x:v>
      </x:c>
      <x:c r="C29" s="8" t="str">
        <x:v>4 — Novel-object paraphrase</x:v>
      </x:c>
      <x:c r="D29" s="8" t="str">
        <x:v>Language robustness</x:v>
      </x:c>
      <x:c r="E29" s="7" t="str">
        <x:v>Meaning-preserving paraphrase on exact novel-object scene</x:v>
      </x:c>
      <x:c r="F29" s="8" t="str">
        <x:v>SR-F07</x:v>
      </x:c>
      <x:c r="G29" s="8" t="n">
        <x:v>26</x:v>
      </x:c>
      <x:c r="H29" s="7" t="str">
        <x:f>"Put the right-side-up "&amp;'Object Inventory'!$B$10&amp;" in the bowl."</x:f>
        <x:v>Put the right-side-up new bottle in the bowl.</x:v>
      </x:c>
      <x:c r="I29" s="7" t="str">
        <x:v>P1 white cup A (O, UR); P2 yellow-white striped cup B (C, UD); P3 U3-A (O, UR) [TARGET]; P4 U3-B (O, UD) [STATE COMPETITOR]</x:v>
      </x:c>
      <x:c r="J29" s="8" t="str">
        <x:v>U3-A</x:v>
      </x:c>
      <x:c r="K29" s="8" t="str">
        <x:v>upright</x:v>
      </x:c>
      <x:c r="L29" s="8" t="str">
        <x:f>'Object Inventory'!$B$10</x:f>
        <x:v>new bottle</x:v>
      </x:c>
      <x:c r="M29" s="8" t="str">
        <x:v>Globally unseen — same scene as preceding row</x:v>
      </x:c>
      <x:c r="N29" s="7" t="str">
        <x:v>Reset only the moved target. Do not change any object, state, position, camera, or lighting; only the prompt wording changes.</x:v>
      </x:c>
      <x:c r="O29" s="7" t="str">
        <x:v>Compare directly with the preceding visual-generalization row. This isolates wording on the same novel-object scene.</x:v>
      </x:c>
      <x:c r="P29" s="7"/>
    </x:row>
    <x:row r="30" ht="60" customHeight="1">
      <x:c r="A30" s="9" t="n">
        <x:v>28</x:v>
      </x:c>
      <x:c r="B30" s="9" t="n">
        <x:v>8</x:v>
      </x:c>
      <x:c r="C30" s="9" t="str">
        <x:v>1 — Canonical transfer</x:v>
      </x:c>
      <x:c r="D30" s="9" t="str">
        <x:v>Concept/compositional transfer</x:v>
      </x:c>
      <x:c r="E30" s="10" t="str">
        <x:v>Seen state word in a new scene (upside-down)</x:v>
      </x:c>
      <x:c r="F30" s="9" t="str">
        <x:v>SR-F08</x:v>
      </x:c>
      <x:c r="G30" s="9"/>
      <x:c r="H30" s="10" t="str">
        <x:v>Put the upside-down white cup in the bowl.</x:v>
      </x:c>
      <x:c r="I30" s="10" t="str">
        <x:v>P1 white cup A (C, UR) [STATE COMPETITOR]; P2 yellow-white striped cup A (O, UR); P3 brown cup B (C, UD); P4 white cup B (C, UD) [TARGET]</x:v>
      </x:c>
      <x:c r="J30" s="9" t="str">
        <x:v>white cup B</x:v>
      </x:c>
      <x:c r="K30" s="9" t="str">
        <x:v>upside-down</x:v>
      </x:c>
      <x:c r="L30" s="9" t="str">
        <x:v>white cup</x:v>
      </x:c>
      <x:c r="M30" s="9" t="str">
        <x:v>Same-task seen category</x:v>
      </x:c>
      <x:c r="N30" s="10" t="str">
        <x:v>Build the marked same-category discrimination scene. Save a first-frame image or filename.</x:v>
      </x:c>
      <x:c r="O30" s="10" t="str">
        <x:v>Two objects match the named category; only the state word selects the target. Target and competitor differ only on the queried state axis.</x:v>
      </x:c>
      <x:c r="P30" s="10"/>
    </x:row>
    <x:row r="31" ht="60" customHeight="1">
      <x:c r="A31" s="8" t="n">
        <x:v>29</x:v>
      </x:c>
      <x:c r="B31" s="8" t="n">
        <x:v>8</x:v>
      </x:c>
      <x:c r="C31" s="8" t="str">
        <x:v>2 — Matched control</x:v>
      </x:c>
      <x:c r="D31" s="8" t="str">
        <x:v>Matched manipulation control</x:v>
      </x:c>
      <x:c r="E31" s="7" t="str">
        <x:v>Category-only control after removing state competitor</x:v>
      </x:c>
      <x:c r="F31" s="8" t="str">
        <x:v>SR-F08</x:v>
      </x:c>
      <x:c r="G31" s="8" t="n">
        <x:v>28</x:v>
      </x:c>
      <x:c r="H31" s="7" t="str">
        <x:v>Put the white cup in the bowl.</x:v>
      </x:c>
      <x:c r="I31" s="7" t="str">
        <x:v>P2 yellow-white striped cup A (O, UR); P3 brown cup B (C, UD); P4 white cup B (C, UD) [TARGET]</x:v>
      </x:c>
      <x:c r="J31" s="8" t="str">
        <x:v>white cup B</x:v>
      </x:c>
      <x:c r="K31" s="8" t="str">
        <x:v>upside-down</x:v>
      </x:c>
      <x:c r="L31" s="8" t="str">
        <x:v>white cup</x:v>
      </x:c>
      <x:c r="M31" s="8" t="str">
        <x:v>Same-task seen category</x:v>
      </x:c>
      <x:c r="N31" s="7" t="str">
        <x:v>Reset the target, then remove only the same-category state competitor. Keep target, distractors, camera, and bowl fixed.</x:v>
      </x:c>
      <x:c r="O31" s="7" t="str">
        <x:v>This one-object removal is required because A/B labels are not grounded language. A prompt-only control is valid only if a stable visible descriptor is available and counterbalanced.</x:v>
      </x:c>
      <x:c r="P31" s="7"/>
    </x:row>
    <x:row r="32" ht="60" customHeight="1">
      <x:c r="A32" s="8" t="n">
        <x:v>30</x:v>
      </x:c>
      <x:c r="B32" s="8" t="n">
        <x:v>8</x:v>
      </x:c>
      <x:c r="C32" s="8" t="str">
        <x:v>3 — Novel-object canonical</x:v>
      </x:c>
      <x:c r="D32" s="8" t="str">
        <x:v>Visual generalization</x:v>
      </x:c>
      <x:c r="E32" s="7" t="str">
        <x:v>Globally unseen paired-category substitution</x:v>
      </x:c>
      <x:c r="F32" s="8" t="str">
        <x:v>SR-F08</x:v>
      </x:c>
      <x:c r="G32" s="8" t="n">
        <x:v>28</x:v>
      </x:c>
      <x:c r="H32" s="7" t="str">
        <x:f>"Put the upside-down "&amp;'Object Inventory'!$B$11&amp;" in the bowl."</x:f>
        <x:v>Put the upside-down new asymmetric container in the bowl.</x:v>
      </x:c>
      <x:c r="I32" s="7" t="str">
        <x:v>P1 U4-A (C, UR) [STATE COMPETITOR]; P2 yellow-white striped cup A (O, UR); P3 brown cup B (C, UD); P4 U4-B (C, UD) [TARGET]</x:v>
      </x:c>
      <x:c r="J32" s="8" t="str">
        <x:v>U4-B</x:v>
      </x:c>
      <x:c r="K32" s="8" t="str">
        <x:v>upside-down</x:v>
      </x:c>
      <x:c r="L32" s="8" t="str">
        <x:f>'Object Inventory'!$B$11</x:f>
        <x:v>new asymmetric container</x:v>
      </x:c>
      <x:c r="M32" s="8" t="str">
        <x:v>Globally unseen — inventory confirmation required</x:v>
      </x:c>
      <x:c r="N32" s="7" t="str">
        <x:v>Remove the known target; replace the target/competitor positions with U4-A and U4-B. Keep the other two distractors, camera, and bowl fixed.</x:v>
      </x:c>
      <x:c r="O32" s="7" t="str">
        <x:v>The novel category appears twice in opposite states, so the model cannot ignore the state adjective and select by category alone.</x:v>
      </x:c>
      <x:c r="P32" s="7"/>
    </x:row>
    <x:row r="33" ht="60" customHeight="1">
      <x:c r="A33" s="8" t="n">
        <x:v>31</x:v>
      </x:c>
      <x:c r="B33" s="8" t="n">
        <x:v>8</x:v>
      </x:c>
      <x:c r="C33" s="8" t="str">
        <x:v>4 — Novel-object paraphrase</x:v>
      </x:c>
      <x:c r="D33" s="8" t="str">
        <x:v>Language robustness</x:v>
      </x:c>
      <x:c r="E33" s="7" t="str">
        <x:v>Meaning-preserving paraphrase on exact novel-object scene</x:v>
      </x:c>
      <x:c r="F33" s="8" t="str">
        <x:v>SR-F08</x:v>
      </x:c>
      <x:c r="G33" s="8" t="n">
        <x:v>30</x:v>
      </x:c>
      <x:c r="H33" s="7" t="str">
        <x:f>"Put the inverted "&amp;'Object Inventory'!$B$11&amp;" in the bowl."</x:f>
        <x:v>Put the inverted new asymmetric container in the bowl.</x:v>
      </x:c>
      <x:c r="I33" s="7" t="str">
        <x:v>P1 U4-A (C, UR) [STATE COMPETITOR]; P2 yellow-white striped cup A (O, UR); P3 brown cup B (C, UD); P4 U4-B (C, UD) [TARGET]</x:v>
      </x:c>
      <x:c r="J33" s="8" t="str">
        <x:v>U4-B</x:v>
      </x:c>
      <x:c r="K33" s="8" t="str">
        <x:v>upside-down</x:v>
      </x:c>
      <x:c r="L33" s="8" t="str">
        <x:f>'Object Inventory'!$B$11</x:f>
        <x:v>new asymmetric container</x:v>
      </x:c>
      <x:c r="M33" s="8" t="str">
        <x:v>Globally unseen — same scene as preceding row</x:v>
      </x:c>
      <x:c r="N33" s="7" t="str">
        <x:v>Reset only the moved target. Do not change any object, state, position, camera, or lighting; only the prompt wording changes.</x:v>
      </x:c>
      <x:c r="O33" s="7" t="str">
        <x:v>Compare directly with the preceding visual-generalization row. This isolates wording on the same novel-object scene.</x:v>
      </x:c>
      <x:c r="P33" s="7"/>
    </x:row>
    <x:row r="34" ht="60" customHeight="1">
      <x:c r="A34" s="9" t="n">
        <x:v>32</x:v>
      </x:c>
      <x:c r="B34" s="9" t="n">
        <x:v>9</x:v>
      </x:c>
      <x:c r="C34" s="9" t="str">
        <x:v>1 — Canonical transfer</x:v>
      </x:c>
      <x:c r="D34" s="9" t="str">
        <x:v>Concept/compositional transfer</x:v>
      </x:c>
      <x:c r="E34" s="10" t="str">
        <x:v>Held-out state word + known category (closed)</x:v>
      </x:c>
      <x:c r="F34" s="9" t="str">
        <x:v>SR-F09</x:v>
      </x:c>
      <x:c r="G34" s="9"/>
      <x:c r="H34" s="10" t="str">
        <x:v>Move the closed brown cup into the bowl.</x:v>
      </x:c>
      <x:c r="I34" s="10" t="str">
        <x:v>P1 brown cup A (C, UR) [TARGET]; P2 brown cup B (O, UR) [STATE COMPETITOR]; P3 white cup A (O, UR); P4 yellow-white striped cup B (C, UD)</x:v>
      </x:c>
      <x:c r="J34" s="9" t="str">
        <x:v>brown cup A</x:v>
      </x:c>
      <x:c r="K34" s="9" t="str">
        <x:v>closed</x:v>
      </x:c>
      <x:c r="L34" s="9" t="str">
        <x:v>brown cup</x:v>
      </x:c>
      <x:c r="M34" s="9" t="str">
        <x:v>Same-task seen category</x:v>
      </x:c>
      <x:c r="N34" s="10" t="str">
        <x:v>Build the marked same-category discrimination scene. Save a first-frame image or filename.</x:v>
      </x:c>
      <x:c r="O34" s="10" t="str">
        <x:v>Two objects match the named category; only the state word selects the target. Target and competitor differ only on the queried state axis.</x:v>
      </x:c>
      <x:c r="P34" s="10"/>
    </x:row>
    <x:row r="35" ht="60" customHeight="1">
      <x:c r="A35" s="8" t="n">
        <x:v>33</x:v>
      </x:c>
      <x:c r="B35" s="8" t="n">
        <x:v>9</x:v>
      </x:c>
      <x:c r="C35" s="8" t="str">
        <x:v>2 — Matched control</x:v>
      </x:c>
      <x:c r="D35" s="8" t="str">
        <x:v>Matched manipulation control</x:v>
      </x:c>
      <x:c r="E35" s="7" t="str">
        <x:v>Category-only control after removing state competitor</x:v>
      </x:c>
      <x:c r="F35" s="8" t="str">
        <x:v>SR-F09</x:v>
      </x:c>
      <x:c r="G35" s="8" t="n">
        <x:v>32</x:v>
      </x:c>
      <x:c r="H35" s="7" t="str">
        <x:v>Move the brown cup into the bowl.</x:v>
      </x:c>
      <x:c r="I35" s="7" t="str">
        <x:v>P1 brown cup A (C, UR) [TARGET]; P3 white cup A (O, UR); P4 yellow-white striped cup B (C, UD)</x:v>
      </x:c>
      <x:c r="J35" s="8" t="str">
        <x:v>brown cup A</x:v>
      </x:c>
      <x:c r="K35" s="8" t="str">
        <x:v>closed</x:v>
      </x:c>
      <x:c r="L35" s="8" t="str">
        <x:v>brown cup</x:v>
      </x:c>
      <x:c r="M35" s="8" t="str">
        <x:v>Same-task seen category</x:v>
      </x:c>
      <x:c r="N35" s="7" t="str">
        <x:v>Reset the target, then remove only the same-category state competitor. Keep target, distractors, camera, and bowl fixed.</x:v>
      </x:c>
      <x:c r="O35" s="7" t="str">
        <x:v>This one-object removal is required because A/B labels are not grounded language. A prompt-only control is valid only if a stable visible descriptor is available and counterbalanced.</x:v>
      </x:c>
      <x:c r="P35" s="7"/>
    </x:row>
    <x:row r="36" ht="60" customHeight="1">
      <x:c r="A36" s="8" t="n">
        <x:v>34</x:v>
      </x:c>
      <x:c r="B36" s="8" t="n">
        <x:v>9</x:v>
      </x:c>
      <x:c r="C36" s="8" t="str">
        <x:v>3 — Novel-object canonical</x:v>
      </x:c>
      <x:c r="D36" s="8" t="str">
        <x:v>Visual generalization</x:v>
      </x:c>
      <x:c r="E36" s="7" t="str">
        <x:v>Globally unseen paired-category substitution</x:v>
      </x:c>
      <x:c r="F36" s="8" t="str">
        <x:v>SR-F09</x:v>
      </x:c>
      <x:c r="G36" s="8" t="n">
        <x:v>32</x:v>
      </x:c>
      <x:c r="H36" s="7" t="str">
        <x:f>"Move the closed "&amp;'Object Inventory'!$B$8&amp;" into the bowl."</x:f>
        <x:v>Move the closed black cup into the bowl.</x:v>
      </x:c>
      <x:c r="I36" s="7" t="str">
        <x:v>P1 U1-A (C, UR) [TARGET]; P2 U1-B (O, UR) [STATE COMPETITOR]; P3 white cup A (O, UR); P4 yellow-white striped cup B (C, UD)</x:v>
      </x:c>
      <x:c r="J36" s="8" t="str">
        <x:v>U1-A</x:v>
      </x:c>
      <x:c r="K36" s="8" t="str">
        <x:v>closed</x:v>
      </x:c>
      <x:c r="L36" s="8" t="str">
        <x:f>'Object Inventory'!$B$8</x:f>
        <x:v>black cup</x:v>
      </x:c>
      <x:c r="M36" s="8" t="str">
        <x:v>Globally unseen — inventory confirmation required</x:v>
      </x:c>
      <x:c r="N36" s="7" t="str">
        <x:v>Remove the known target; replace the target/competitor positions with U1-A and U1-B. Keep the other two distractors, camera, and bowl fixed.</x:v>
      </x:c>
      <x:c r="O36" s="7" t="str">
        <x:v>The novel category appears twice in opposite states, so the model cannot ignore the state adjective and select by category alone.</x:v>
      </x:c>
      <x:c r="P36" s="7"/>
    </x:row>
    <x:row r="37" ht="60" customHeight="1">
      <x:c r="A37" s="8" t="n">
        <x:v>35</x:v>
      </x:c>
      <x:c r="B37" s="8" t="n">
        <x:v>9</x:v>
      </x:c>
      <x:c r="C37" s="8" t="str">
        <x:v>4 — Novel-object paraphrase</x:v>
      </x:c>
      <x:c r="D37" s="8" t="str">
        <x:v>Language robustness</x:v>
      </x:c>
      <x:c r="E37" s="7" t="str">
        <x:v>Meaning-preserving paraphrase on exact novel-object scene</x:v>
      </x:c>
      <x:c r="F37" s="8" t="str">
        <x:v>SR-F09</x:v>
      </x:c>
      <x:c r="G37" s="8" t="n">
        <x:v>34</x:v>
      </x:c>
      <x:c r="H37" s="7" t="str">
        <x:f>"Find the closed "&amp;'Object Inventory'!$B$8&amp;" and place it in the bowl."</x:f>
        <x:v>Find the closed black cup and place it in the bowl.</x:v>
      </x:c>
      <x:c r="I37" s="7" t="str">
        <x:v>P1 U1-A (C, UR) [TARGET]; P2 U1-B (O, UR) [STATE COMPETITOR]; P3 white cup A (O, UR); P4 yellow-white striped cup B (C, UD)</x:v>
      </x:c>
      <x:c r="J37" s="8" t="str">
        <x:v>U1-A</x:v>
      </x:c>
      <x:c r="K37" s="8" t="str">
        <x:v>closed</x:v>
      </x:c>
      <x:c r="L37" s="8" t="str">
        <x:f>'Object Inventory'!$B$8</x:f>
        <x:v>black cup</x:v>
      </x:c>
      <x:c r="M37" s="8" t="str">
        <x:v>Globally unseen — same scene as preceding row</x:v>
      </x:c>
      <x:c r="N37" s="7" t="str">
        <x:v>Reset only the moved target. Do not change any object, state, position, camera, or lighting; only the prompt wording changes.</x:v>
      </x:c>
      <x:c r="O37" s="7" t="str">
        <x:v>Compare directly with the preceding visual-generalization row. This isolates wording on the same novel-object scene.</x:v>
      </x:c>
      <x:c r="P37" s="7"/>
    </x:row>
    <x:row r="38" ht="60" customHeight="1">
      <x:c r="A38" s="9" t="n">
        <x:v>36</x:v>
      </x:c>
      <x:c r="B38" s="9" t="n">
        <x:v>10</x:v>
      </x:c>
      <x:c r="C38" s="9" t="str">
        <x:v>1 — Canonical transfer</x:v>
      </x:c>
      <x:c r="D38" s="9" t="str">
        <x:v>Concept/compositional transfer</x:v>
      </x:c>
      <x:c r="E38" s="10" t="str">
        <x:v>Seen state word in a new scene (open)</x:v>
      </x:c>
      <x:c r="F38" s="9" t="str">
        <x:v>SR-F10</x:v>
      </x:c>
      <x:c r="G38" s="9"/>
      <x:c r="H38" s="10" t="str">
        <x:v>Place the open glass spice container in the bowl.</x:v>
      </x:c>
      <x:c r="I38" s="10" t="str">
        <x:v>P1 white cup B (C, UD); P2 glass spice container B (O, UD) [TARGET]; P3 glass spice container A (C, UD) [STATE COMPETITOR]; P4 yellow-white striped cup A (O, UR)</x:v>
      </x:c>
      <x:c r="J38" s="9" t="str">
        <x:v>glass spice container B</x:v>
      </x:c>
      <x:c r="K38" s="9" t="str">
        <x:v>open</x:v>
      </x:c>
      <x:c r="L38" s="9" t="str">
        <x:v>glass spice container</x:v>
      </x:c>
      <x:c r="M38" s="9" t="str">
        <x:v>Same-task seen category</x:v>
      </x:c>
      <x:c r="N38" s="10" t="str">
        <x:v>Build the marked same-category discrimination scene. Save a first-frame image or filename.</x:v>
      </x:c>
      <x:c r="O38" s="10" t="str">
        <x:v>Two objects match the named category; only the state word selects the target. Target and competitor differ only on the queried state axis.</x:v>
      </x:c>
      <x:c r="P38" s="10"/>
    </x:row>
    <x:row r="39" ht="60" customHeight="1">
      <x:c r="A39" s="8" t="n">
        <x:v>37</x:v>
      </x:c>
      <x:c r="B39" s="8" t="n">
        <x:v>10</x:v>
      </x:c>
      <x:c r="C39" s="8" t="str">
        <x:v>2 — Matched control</x:v>
      </x:c>
      <x:c r="D39" s="8" t="str">
        <x:v>Matched manipulation control</x:v>
      </x:c>
      <x:c r="E39" s="7" t="str">
        <x:v>Category-only control after removing state competitor</x:v>
      </x:c>
      <x:c r="F39" s="8" t="str">
        <x:v>SR-F10</x:v>
      </x:c>
      <x:c r="G39" s="8" t="n">
        <x:v>36</x:v>
      </x:c>
      <x:c r="H39" s="7" t="str">
        <x:v>Place the glass spice container in the bowl.</x:v>
      </x:c>
      <x:c r="I39" s="7" t="str">
        <x:v>P1 white cup B (C, UD); P2 glass spice container B (O, UD) [TARGET]; P4 yellow-white striped cup A (O, UR)</x:v>
      </x:c>
      <x:c r="J39" s="8" t="str">
        <x:v>glass spice container B</x:v>
      </x:c>
      <x:c r="K39" s="8" t="str">
        <x:v>open</x:v>
      </x:c>
      <x:c r="L39" s="8" t="str">
        <x:v>glass spice container</x:v>
      </x:c>
      <x:c r="M39" s="8" t="str">
        <x:v>Same-task seen category</x:v>
      </x:c>
      <x:c r="N39" s="7" t="str">
        <x:v>Reset the target, then remove only the same-category state competitor. Keep target, distractors, camera, and bowl fixed.</x:v>
      </x:c>
      <x:c r="O39" s="7" t="str">
        <x:v>This one-object removal is required because A/B labels are not grounded language. A prompt-only control is valid only if a stable visible descriptor is available and counterbalanced.</x:v>
      </x:c>
      <x:c r="P39" s="7"/>
    </x:row>
    <x:row r="40" ht="60" customHeight="1">
      <x:c r="A40" s="8" t="n">
        <x:v>38</x:v>
      </x:c>
      <x:c r="B40" s="8" t="n">
        <x:v>10</x:v>
      </x:c>
      <x:c r="C40" s="8" t="str">
        <x:v>3 — Novel-object canonical</x:v>
      </x:c>
      <x:c r="D40" s="8" t="str">
        <x:v>Visual generalization</x:v>
      </x:c>
      <x:c r="E40" s="7" t="str">
        <x:v>Globally unseen paired-category substitution</x:v>
      </x:c>
      <x:c r="F40" s="8" t="str">
        <x:v>SR-F10</x:v>
      </x:c>
      <x:c r="G40" s="8" t="n">
        <x:v>36</x:v>
      </x:c>
      <x:c r="H40" s="7" t="str">
        <x:f>"Place the open "&amp;'Object Inventory'!$B$9&amp;" in the bowl."</x:f>
        <x:v>Place the open new lidded container in the bowl.</x:v>
      </x:c>
      <x:c r="I40" s="7" t="str">
        <x:v>P1 white cup B (C, UD); P2 U2-B (O, UD) [TARGET]; P3 U2-A (C, UD) [STATE COMPETITOR]; P4 yellow-white striped cup A (O, UR)</x:v>
      </x:c>
      <x:c r="J40" s="8" t="str">
        <x:v>U2-B</x:v>
      </x:c>
      <x:c r="K40" s="8" t="str">
        <x:v>open</x:v>
      </x:c>
      <x:c r="L40" s="8" t="str">
        <x:f>'Object Inventory'!$B$9</x:f>
        <x:v>new lidded container</x:v>
      </x:c>
      <x:c r="M40" s="8" t="str">
        <x:v>Globally unseen — inventory confirmation required</x:v>
      </x:c>
      <x:c r="N40" s="7" t="str">
        <x:v>Remove the known target; replace the target/competitor positions with U2-A and U2-B. Keep the other two distractors, camera, and bowl fixed.</x:v>
      </x:c>
      <x:c r="O40" s="7" t="str">
        <x:v>The novel category appears twice in opposite states, so the model cannot ignore the state adjective and select by category alone.</x:v>
      </x:c>
      <x:c r="P40" s="7"/>
    </x:row>
    <x:row r="41" ht="60" customHeight="1">
      <x:c r="A41" s="8" t="n">
        <x:v>39</x:v>
      </x:c>
      <x:c r="B41" s="8" t="n">
        <x:v>10</x:v>
      </x:c>
      <x:c r="C41" s="8" t="str">
        <x:v>4 — Novel-object paraphrase</x:v>
      </x:c>
      <x:c r="D41" s="8" t="str">
        <x:v>Language robustness</x:v>
      </x:c>
      <x:c r="E41" s="7" t="str">
        <x:v>Meaning-preserving paraphrase on exact novel-object scene</x:v>
      </x:c>
      <x:c r="F41" s="8" t="str">
        <x:v>SR-F10</x:v>
      </x:c>
      <x:c r="G41" s="8" t="n">
        <x:v>38</x:v>
      </x:c>
      <x:c r="H41" s="7" t="str">
        <x:f>"Find the open "&amp;'Object Inventory'!$B$9&amp;" and place it in the bowl."</x:f>
        <x:v>Find the open new lidded container and place it in the bowl.</x:v>
      </x:c>
      <x:c r="I41" s="7" t="str">
        <x:v>P1 white cup B (C, UD); P2 U2-B (O, UD) [TARGET]; P3 U2-A (C, UD) [STATE COMPETITOR]; P4 yellow-white striped cup A (O, UR)</x:v>
      </x:c>
      <x:c r="J41" s="8" t="str">
        <x:v>U2-B</x:v>
      </x:c>
      <x:c r="K41" s="8" t="str">
        <x:v>open</x:v>
      </x:c>
      <x:c r="L41" s="8" t="str">
        <x:f>'Object Inventory'!$B$9</x:f>
        <x:v>new lidded container</x:v>
      </x:c>
      <x:c r="M41" s="8" t="str">
        <x:v>Globally unseen — same scene as preceding row</x:v>
      </x:c>
      <x:c r="N41" s="7" t="str">
        <x:v>Reset only the moved target. Do not change any object, state, position, camera, or lighting; only the prompt wording changes.</x:v>
      </x:c>
      <x:c r="O41" s="7" t="str">
        <x:v>Compare directly with the preceding visual-generalization row. This isolates wording on the same novel-object scene.</x:v>
      </x:c>
      <x:c r="P41" s="7"/>
    </x:row>
    <x:row r="42" ht="60" customHeight="1">
      <x:c r="A42" s="9" t="n">
        <x:v>40</x:v>
      </x:c>
      <x:c r="B42" s="9" t="n">
        <x:v>11</x:v>
      </x:c>
      <x:c r="C42" s="9" t="str">
        <x:v>1 — Canonical transfer</x:v>
      </x:c>
      <x:c r="D42" s="9" t="str">
        <x:v>Concept/compositional transfer</x:v>
      </x:c>
      <x:c r="E42" s="10" t="str">
        <x:v>Held-out state word + known category (upright)</x:v>
      </x:c>
      <x:c r="F42" s="9" t="str">
        <x:v>SR-F11</x:v>
      </x:c>
      <x:c r="G42" s="9"/>
      <x:c r="H42" s="10" t="str">
        <x:v>Put the upright white cup in the bowl.</x:v>
      </x:c>
      <x:c r="I42" s="10" t="str">
        <x:v>P1 yellow-white striped cup A (O, UR); P2 brown cup B (C, UD); P3 white cup A (O, UR) [TARGET]; P4 white cup B (O, UD) [STATE COMPETITOR]</x:v>
      </x:c>
      <x:c r="J42" s="9" t="str">
        <x:v>white cup A</x:v>
      </x:c>
      <x:c r="K42" s="9" t="str">
        <x:v>upright</x:v>
      </x:c>
      <x:c r="L42" s="9" t="str">
        <x:v>white cup</x:v>
      </x:c>
      <x:c r="M42" s="9" t="str">
        <x:v>Same-task seen category</x:v>
      </x:c>
      <x:c r="N42" s="10" t="str">
        <x:v>Build the marked same-category discrimination scene. Save a first-frame image or filename.</x:v>
      </x:c>
      <x:c r="O42" s="10" t="str">
        <x:v>Two objects match the named category; only the state word selects the target. Target and competitor differ only on the queried state axis.</x:v>
      </x:c>
      <x:c r="P42" s="10"/>
    </x:row>
    <x:row r="43" ht="60" customHeight="1">
      <x:c r="A43" s="8" t="n">
        <x:v>41</x:v>
      </x:c>
      <x:c r="B43" s="8" t="n">
        <x:v>11</x:v>
      </x:c>
      <x:c r="C43" s="8" t="str">
        <x:v>2 — Matched control</x:v>
      </x:c>
      <x:c r="D43" s="8" t="str">
        <x:v>Matched manipulation control</x:v>
      </x:c>
      <x:c r="E43" s="7" t="str">
        <x:v>Category-only control after removing state competitor</x:v>
      </x:c>
      <x:c r="F43" s="8" t="str">
        <x:v>SR-F11</x:v>
      </x:c>
      <x:c r="G43" s="8" t="n">
        <x:v>40</x:v>
      </x:c>
      <x:c r="H43" s="7" t="str">
        <x:v>Put the white cup in the bowl.</x:v>
      </x:c>
      <x:c r="I43" s="7" t="str">
        <x:v>P1 yellow-white striped cup A (O, UR); P2 brown cup B (C, UD); P3 white cup A (O, UR) [TARGET]</x:v>
      </x:c>
      <x:c r="J43" s="8" t="str">
        <x:v>white cup A</x:v>
      </x:c>
      <x:c r="K43" s="8" t="str">
        <x:v>upright</x:v>
      </x:c>
      <x:c r="L43" s="8" t="str">
        <x:v>white cup</x:v>
      </x:c>
      <x:c r="M43" s="8" t="str">
        <x:v>Same-task seen category</x:v>
      </x:c>
      <x:c r="N43" s="7" t="str">
        <x:v>Reset the target, then remove only the same-category state competitor. Keep target, distractors, camera, and bowl fixed.</x:v>
      </x:c>
      <x:c r="O43" s="7" t="str">
        <x:v>This one-object removal is required because A/B labels are not grounded language. A prompt-only control is valid only if a stable visible descriptor is available and counterbalanced.</x:v>
      </x:c>
      <x:c r="P43" s="7"/>
    </x:row>
    <x:row r="44" ht="60" customHeight="1">
      <x:c r="A44" s="8" t="n">
        <x:v>42</x:v>
      </x:c>
      <x:c r="B44" s="8" t="n">
        <x:v>11</x:v>
      </x:c>
      <x:c r="C44" s="8" t="str">
        <x:v>3 — Novel-object canonical</x:v>
      </x:c>
      <x:c r="D44" s="8" t="str">
        <x:v>Visual generalization</x:v>
      </x:c>
      <x:c r="E44" s="7" t="str">
        <x:v>Globally unseen paired-category substitution</x:v>
      </x:c>
      <x:c r="F44" s="8" t="str">
        <x:v>SR-F11</x:v>
      </x:c>
      <x:c r="G44" s="8" t="n">
        <x:v>40</x:v>
      </x:c>
      <x:c r="H44" s="7" t="str">
        <x:f>"Put the upright "&amp;'Object Inventory'!$B$10&amp;" in the bowl."</x:f>
        <x:v>Put the upright new bottle in the bowl.</x:v>
      </x:c>
      <x:c r="I44" s="7" t="str">
        <x:v>P1 yellow-white striped cup A (O, UR); P2 brown cup B (C, UD); P3 U3-A (O, UR) [TARGET]; P4 U3-B (O, UD) [STATE COMPETITOR]</x:v>
      </x:c>
      <x:c r="J44" s="8" t="str">
        <x:v>U3-A</x:v>
      </x:c>
      <x:c r="K44" s="8" t="str">
        <x:v>upright</x:v>
      </x:c>
      <x:c r="L44" s="8" t="str">
        <x:f>'Object Inventory'!$B$10</x:f>
        <x:v>new bottle</x:v>
      </x:c>
      <x:c r="M44" s="8" t="str">
        <x:v>Globally unseen — inventory confirmation required</x:v>
      </x:c>
      <x:c r="N44" s="7" t="str">
        <x:v>Remove the known target; replace the target/competitor positions with U3-A and U3-B. Keep the other two distractors, camera, and bowl fixed.</x:v>
      </x:c>
      <x:c r="O44" s="7" t="str">
        <x:v>The novel category appears twice in opposite states, so the model cannot ignore the state adjective and select by category alone.</x:v>
      </x:c>
      <x:c r="P44" s="7"/>
    </x:row>
    <x:row r="45" ht="60" customHeight="1">
      <x:c r="A45" s="8" t="n">
        <x:v>43</x:v>
      </x:c>
      <x:c r="B45" s="8" t="n">
        <x:v>11</x:v>
      </x:c>
      <x:c r="C45" s="8" t="str">
        <x:v>4 — Novel-object paraphrase</x:v>
      </x:c>
      <x:c r="D45" s="8" t="str">
        <x:v>Language robustness</x:v>
      </x:c>
      <x:c r="E45" s="7" t="str">
        <x:v>Meaning-preserving paraphrase on exact novel-object scene</x:v>
      </x:c>
      <x:c r="F45" s="8" t="str">
        <x:v>SR-F11</x:v>
      </x:c>
      <x:c r="G45" s="8" t="n">
        <x:v>42</x:v>
      </x:c>
      <x:c r="H45" s="7" t="str">
        <x:f>"Find the upright "&amp;'Object Inventory'!$B$10&amp;" and place it in the bowl."</x:f>
        <x:v>Find the upright new bottle and place it in the bowl.</x:v>
      </x:c>
      <x:c r="I45" s="7" t="str">
        <x:v>P1 yellow-white striped cup A (O, UR); P2 brown cup B (C, UD); P3 U3-A (O, UR) [TARGET]; P4 U3-B (O, UD) [STATE COMPETITOR]</x:v>
      </x:c>
      <x:c r="J45" s="8" t="str">
        <x:v>U3-A</x:v>
      </x:c>
      <x:c r="K45" s="8" t="str">
        <x:v>upright</x:v>
      </x:c>
      <x:c r="L45" s="8" t="str">
        <x:f>'Object Inventory'!$B$10</x:f>
        <x:v>new bottle</x:v>
      </x:c>
      <x:c r="M45" s="8" t="str">
        <x:v>Globally unseen — same scene as preceding row</x:v>
      </x:c>
      <x:c r="N45" s="7" t="str">
        <x:v>Reset only the moved target. Do not change any object, state, position, camera, or lighting; only the prompt wording changes.</x:v>
      </x:c>
      <x:c r="O45" s="7" t="str">
        <x:v>Compare directly with the preceding visual-generalization row. This isolates wording on the same novel-object scene.</x:v>
      </x:c>
      <x:c r="P45" s="7"/>
    </x:row>
    <x:row r="46" ht="60" customHeight="1">
      <x:c r="A46" s="9" t="n">
        <x:v>44</x:v>
      </x:c>
      <x:c r="B46" s="9" t="n">
        <x:v>12</x:v>
      </x:c>
      <x:c r="C46" s="9" t="str">
        <x:v>1 — Canonical transfer</x:v>
      </x:c>
      <x:c r="D46" s="9" t="str">
        <x:v>Concept/compositional transfer</x:v>
      </x:c>
      <x:c r="E46" s="10" t="str">
        <x:v>Seen state word in a new scene (upside-down)</x:v>
      </x:c>
      <x:c r="F46" s="9" t="str">
        <x:v>SR-F12</x:v>
      </x:c>
      <x:c r="G46" s="9"/>
      <x:c r="H46" s="10" t="str">
        <x:v>Move the upside-down yellow-white striped cup into the bowl.</x:v>
      </x:c>
      <x:c r="I46" s="10" t="str">
        <x:v>P1 yellow-white striped cup A (C, UR) [STATE COMPETITOR]; P2 white cup A (O, UR); P3 brown cup B (C, UD); P4 yellow-white striped cup B (C, UD) [TARGET]</x:v>
      </x:c>
      <x:c r="J46" s="9" t="str">
        <x:v>yellow-white striped cup B</x:v>
      </x:c>
      <x:c r="K46" s="9" t="str">
        <x:v>upside-down</x:v>
      </x:c>
      <x:c r="L46" s="9" t="str">
        <x:v>yellow-white striped cup</x:v>
      </x:c>
      <x:c r="M46" s="9" t="str">
        <x:v>Same-task seen category</x:v>
      </x:c>
      <x:c r="N46" s="10" t="str">
        <x:v>Build the marked same-category discrimination scene. Save a first-frame image or filename.</x:v>
      </x:c>
      <x:c r="O46" s="10" t="str">
        <x:v>Two objects match the named category; only the state word selects the target. Target and competitor differ only on the queried state axis.</x:v>
      </x:c>
      <x:c r="P46" s="10"/>
    </x:row>
    <x:row r="47" ht="60" customHeight="1">
      <x:c r="A47" s="8" t="n">
        <x:v>45</x:v>
      </x:c>
      <x:c r="B47" s="8" t="n">
        <x:v>12</x:v>
      </x:c>
      <x:c r="C47" s="8" t="str">
        <x:v>2 — Matched control</x:v>
      </x:c>
      <x:c r="D47" s="8" t="str">
        <x:v>Matched manipulation control</x:v>
      </x:c>
      <x:c r="E47" s="7" t="str">
        <x:v>Category-only control after removing state competitor</x:v>
      </x:c>
      <x:c r="F47" s="8" t="str">
        <x:v>SR-F12</x:v>
      </x:c>
      <x:c r="G47" s="8" t="n">
        <x:v>44</x:v>
      </x:c>
      <x:c r="H47" s="7" t="str">
        <x:v>Move the yellow-white striped cup into the bowl.</x:v>
      </x:c>
      <x:c r="I47" s="7" t="str">
        <x:v>P2 white cup A (O, UR); P3 brown cup B (C, UD); P4 yellow-white striped cup B (C, UD) [TARGET]</x:v>
      </x:c>
      <x:c r="J47" s="8" t="str">
        <x:v>yellow-white striped cup B</x:v>
      </x:c>
      <x:c r="K47" s="8" t="str">
        <x:v>upside-down</x:v>
      </x:c>
      <x:c r="L47" s="8" t="str">
        <x:v>yellow-white striped cup</x:v>
      </x:c>
      <x:c r="M47" s="8" t="str">
        <x:v>Same-task seen category</x:v>
      </x:c>
      <x:c r="N47" s="7" t="str">
        <x:v>Reset the target, then remove only the same-category state competitor. Keep target, distractors, camera, and bowl fixed.</x:v>
      </x:c>
      <x:c r="O47" s="7" t="str">
        <x:v>This one-object removal is required because A/B labels are not grounded language. A prompt-only control is valid only if a stable visible descriptor is available and counterbalanced.</x:v>
      </x:c>
      <x:c r="P47" s="7"/>
    </x:row>
    <x:row r="48" ht="60" customHeight="1">
      <x:c r="A48" s="8" t="n">
        <x:v>46</x:v>
      </x:c>
      <x:c r="B48" s="8" t="n">
        <x:v>12</x:v>
      </x:c>
      <x:c r="C48" s="8" t="str">
        <x:v>3 — Novel-object canonical</x:v>
      </x:c>
      <x:c r="D48" s="8" t="str">
        <x:v>Visual generalization</x:v>
      </x:c>
      <x:c r="E48" s="7" t="str">
        <x:v>Globally unseen paired-category substitution</x:v>
      </x:c>
      <x:c r="F48" s="8" t="str">
        <x:v>SR-F12</x:v>
      </x:c>
      <x:c r="G48" s="8" t="n">
        <x:v>44</x:v>
      </x:c>
      <x:c r="H48" s="7" t="str">
        <x:f>"Move the upside-down "&amp;'Object Inventory'!$B$11&amp;" into the bowl."</x:f>
        <x:v>Move the upside-down new asymmetric container into the bowl.</x:v>
      </x:c>
      <x:c r="I48" s="7" t="str">
        <x:v>P1 U4-A (C, UR) [STATE COMPETITOR]; P2 white cup A (O, UR); P3 brown cup B (C, UD); P4 U4-B (C, UD) [TARGET]</x:v>
      </x:c>
      <x:c r="J48" s="8" t="str">
        <x:v>U4-B</x:v>
      </x:c>
      <x:c r="K48" s="8" t="str">
        <x:v>upside-down</x:v>
      </x:c>
      <x:c r="L48" s="8" t="str">
        <x:f>'Object Inventory'!$B$11</x:f>
        <x:v>new asymmetric container</x:v>
      </x:c>
      <x:c r="M48" s="8" t="str">
        <x:v>Globally unseen — inventory confirmation required</x:v>
      </x:c>
      <x:c r="N48" s="7" t="str">
        <x:v>Remove the known target; replace the target/competitor positions with U4-A and U4-B. Keep the other two distractors, camera, and bowl fixed.</x:v>
      </x:c>
      <x:c r="O48" s="7" t="str">
        <x:v>The novel category appears twice in opposite states, so the model cannot ignore the state adjective and select by category alone.</x:v>
      </x:c>
      <x:c r="P48" s="7"/>
    </x:row>
    <x:row r="49" ht="60" customHeight="1">
      <x:c r="A49" s="8" t="n">
        <x:v>47</x:v>
      </x:c>
      <x:c r="B49" s="8" t="n">
        <x:v>12</x:v>
      </x:c>
      <x:c r="C49" s="8" t="str">
        <x:v>4 — Novel-object paraphrase</x:v>
      </x:c>
      <x:c r="D49" s="8" t="str">
        <x:v>Language robustness</x:v>
      </x:c>
      <x:c r="E49" s="7" t="str">
        <x:v>Meaning-preserving paraphrase on exact novel-object scene</x:v>
      </x:c>
      <x:c r="F49" s="8" t="str">
        <x:v>SR-F12</x:v>
      </x:c>
      <x:c r="G49" s="8" t="n">
        <x:v>46</x:v>
      </x:c>
      <x:c r="H49" s="7" t="str">
        <x:f>"Find the upside-down "&amp;'Object Inventory'!$B$11&amp;" and place it in the bowl."</x:f>
        <x:v>Find the upside-down new asymmetric container and place it in the bowl.</x:v>
      </x:c>
      <x:c r="I49" s="7" t="str">
        <x:v>P1 U4-A (C, UR) [STATE COMPETITOR]; P2 white cup A (O, UR); P3 brown cup B (C, UD); P4 U4-B (C, UD) [TARGET]</x:v>
      </x:c>
      <x:c r="J49" s="8" t="str">
        <x:v>U4-B</x:v>
      </x:c>
      <x:c r="K49" s="8" t="str">
        <x:v>upside-down</x:v>
      </x:c>
      <x:c r="L49" s="8" t="str">
        <x:f>'Object Inventory'!$B$11</x:f>
        <x:v>new asymmetric container</x:v>
      </x:c>
      <x:c r="M49" s="8" t="str">
        <x:v>Globally unseen — same scene as preceding row</x:v>
      </x:c>
      <x:c r="N49" s="7" t="str">
        <x:v>Reset only the moved target. Do not change any object, state, position, camera, or lighting; only the prompt wording changes.</x:v>
      </x:c>
      <x:c r="O49" s="7" t="str">
        <x:v>Compare directly with the preceding visual-generalization row. This isolates wording on the same novel-object scene.</x:v>
      </x:c>
      <x:c r="P49" s="7"/>
    </x:row>
    <x:row r="50" ht="60" customHeight="1">
      <x:c r="A50" s="9" t="n">
        <x:v>48</x:v>
      </x:c>
      <x:c r="B50" s="9" t="n">
        <x:v>13</x:v>
      </x:c>
      <x:c r="C50" s="9" t="str">
        <x:v>1 — Canonical transfer</x:v>
      </x:c>
      <x:c r="D50" s="9" t="str">
        <x:v>Concept/compositional transfer</x:v>
      </x:c>
      <x:c r="E50" s="10" t="str">
        <x:v>Held-out state word + known category (closed)</x:v>
      </x:c>
      <x:c r="F50" s="9" t="str">
        <x:v>SR-F13</x:v>
      </x:c>
      <x:c r="G50" s="9"/>
      <x:c r="H50" s="10" t="str">
        <x:v>Place the closed glass spice container in the bowl.</x:v>
      </x:c>
      <x:c r="I50" s="10" t="str">
        <x:v>P1 glass spice container A (C, UR) [TARGET]; P2 glass spice container B (O, UR) [STATE COMPETITOR]; P3 white cup A (O, UR); P4 yellow-white striped cup B (C, UD)</x:v>
      </x:c>
      <x:c r="J50" s="9" t="str">
        <x:v>glass spice container A</x:v>
      </x:c>
      <x:c r="K50" s="9" t="str">
        <x:v>closed</x:v>
      </x:c>
      <x:c r="L50" s="9" t="str">
        <x:v>glass spice container</x:v>
      </x:c>
      <x:c r="M50" s="9" t="str">
        <x:v>Same-task seen category</x:v>
      </x:c>
      <x:c r="N50" s="10" t="str">
        <x:v>Build the marked same-category discrimination scene. Save a first-frame image or filename.</x:v>
      </x:c>
      <x:c r="O50" s="10" t="str">
        <x:v>Two objects match the named category; only the state word selects the target. Target and competitor differ only on the queried state axis.</x:v>
      </x:c>
      <x:c r="P50" s="10"/>
    </x:row>
    <x:row r="51" ht="60" customHeight="1">
      <x:c r="A51" s="8" t="n">
        <x:v>49</x:v>
      </x:c>
      <x:c r="B51" s="8" t="n">
        <x:v>13</x:v>
      </x:c>
      <x:c r="C51" s="8" t="str">
        <x:v>2 — Matched control</x:v>
      </x:c>
      <x:c r="D51" s="8" t="str">
        <x:v>Matched manipulation control</x:v>
      </x:c>
      <x:c r="E51" s="7" t="str">
        <x:v>Category-only control after removing state competitor</x:v>
      </x:c>
      <x:c r="F51" s="8" t="str">
        <x:v>SR-F13</x:v>
      </x:c>
      <x:c r="G51" s="8" t="n">
        <x:v>48</x:v>
      </x:c>
      <x:c r="H51" s="7" t="str">
        <x:v>Place the glass spice container in the bowl.</x:v>
      </x:c>
      <x:c r="I51" s="7" t="str">
        <x:v>P1 glass spice container A (C, UR) [TARGET]; P3 white cup A (O, UR); P4 yellow-white striped cup B (C, UD)</x:v>
      </x:c>
      <x:c r="J51" s="8" t="str">
        <x:v>glass spice container A</x:v>
      </x:c>
      <x:c r="K51" s="8" t="str">
        <x:v>closed</x:v>
      </x:c>
      <x:c r="L51" s="8" t="str">
        <x:v>glass spice container</x:v>
      </x:c>
      <x:c r="M51" s="8" t="str">
        <x:v>Same-task seen category</x:v>
      </x:c>
      <x:c r="N51" s="7" t="str">
        <x:v>Reset the target, then remove only the same-category state competitor. Keep target, distractors, camera, and bowl fixed.</x:v>
      </x:c>
      <x:c r="O51" s="7" t="str">
        <x:v>This one-object removal is required because A/B labels are not grounded language. A prompt-only control is valid only if a stable visible descriptor is available and counterbalanced.</x:v>
      </x:c>
      <x:c r="P51" s="7"/>
    </x:row>
    <x:row r="52" ht="60" customHeight="1">
      <x:c r="A52" s="8" t="n">
        <x:v>50</x:v>
      </x:c>
      <x:c r="B52" s="8" t="n">
        <x:v>13</x:v>
      </x:c>
      <x:c r="C52" s="8" t="str">
        <x:v>3 — Novel-object canonical</x:v>
      </x:c>
      <x:c r="D52" s="8" t="str">
        <x:v>Visual generalization</x:v>
      </x:c>
      <x:c r="E52" s="7" t="str">
        <x:v>Globally unseen paired-category substitution</x:v>
      </x:c>
      <x:c r="F52" s="8" t="str">
        <x:v>SR-F13</x:v>
      </x:c>
      <x:c r="G52" s="8" t="n">
        <x:v>48</x:v>
      </x:c>
      <x:c r="H52" s="7" t="str">
        <x:f>"Place the closed "&amp;'Object Inventory'!$B$8&amp;" in the bowl."</x:f>
        <x:v>Place the closed black cup in the bowl.</x:v>
      </x:c>
      <x:c r="I52" s="7" t="str">
        <x:v>P1 U1-A (C, UR) [TARGET]; P2 U1-B (O, UR) [STATE COMPETITOR]; P3 white cup A (O, UR); P4 yellow-white striped cup B (C, UD)</x:v>
      </x:c>
      <x:c r="J52" s="8" t="str">
        <x:v>U1-A</x:v>
      </x:c>
      <x:c r="K52" s="8" t="str">
        <x:v>closed</x:v>
      </x:c>
      <x:c r="L52" s="8" t="str">
        <x:f>'Object Inventory'!$B$8</x:f>
        <x:v>black cup</x:v>
      </x:c>
      <x:c r="M52" s="8" t="str">
        <x:v>Globally unseen — inventory confirmation required</x:v>
      </x:c>
      <x:c r="N52" s="7" t="str">
        <x:v>Remove the known target; replace the target/competitor positions with U1-A and U1-B. Keep the other two distractors, camera, and bowl fixed.</x:v>
      </x:c>
      <x:c r="O52" s="7" t="str">
        <x:v>The novel category appears twice in opposite states, so the model cannot ignore the state adjective and select by category alone.</x:v>
      </x:c>
      <x:c r="P52" s="7"/>
    </x:row>
    <x:row r="53" ht="60" customHeight="1">
      <x:c r="A53" s="8" t="n">
        <x:v>51</x:v>
      </x:c>
      <x:c r="B53" s="8" t="n">
        <x:v>13</x:v>
      </x:c>
      <x:c r="C53" s="8" t="str">
        <x:v>4 — Novel-object paraphrase</x:v>
      </x:c>
      <x:c r="D53" s="8" t="str">
        <x:v>Language robustness</x:v>
      </x:c>
      <x:c r="E53" s="7" t="str">
        <x:v>Meaning-preserving paraphrase on exact novel-object scene</x:v>
      </x:c>
      <x:c r="F53" s="8" t="str">
        <x:v>SR-F13</x:v>
      </x:c>
      <x:c r="G53" s="8" t="n">
        <x:v>50</x:v>
      </x:c>
      <x:c r="H53" s="7" t="str">
        <x:f>"Place the "&amp;'Object Inventory'!$B$8&amp;" that is not open in the bowl."</x:f>
        <x:v>Place the black cup that is not open in the bowl.</x:v>
      </x:c>
      <x:c r="I53" s="7" t="str">
        <x:v>P1 U1-A (C, UR) [TARGET]; P2 U1-B (O, UR) [STATE COMPETITOR]; P3 white cup A (O, UR); P4 yellow-white striped cup B (C, UD)</x:v>
      </x:c>
      <x:c r="J53" s="8" t="str">
        <x:v>U1-A</x:v>
      </x:c>
      <x:c r="K53" s="8" t="str">
        <x:v>closed</x:v>
      </x:c>
      <x:c r="L53" s="8" t="str">
        <x:f>'Object Inventory'!$B$8</x:f>
        <x:v>black cup</x:v>
      </x:c>
      <x:c r="M53" s="8" t="str">
        <x:v>Globally unseen — same scene as preceding row</x:v>
      </x:c>
      <x:c r="N53" s="7" t="str">
        <x:v>Reset only the moved target. Do not change any object, state, position, camera, or lighting; only the prompt wording changes.</x:v>
      </x:c>
      <x:c r="O53" s="7" t="str">
        <x:v>Compare directly with the preceding visual-generalization row. This isolates wording on the same novel-object scene.</x:v>
      </x:c>
      <x:c r="P53" s="7"/>
    </x:row>
    <x:row r="54" ht="60" customHeight="1">
      <x:c r="A54" s="9" t="n">
        <x:v>52</x:v>
      </x:c>
      <x:c r="B54" s="9" t="n">
        <x:v>14</x:v>
      </x:c>
      <x:c r="C54" s="9" t="str">
        <x:v>1 — Canonical transfer</x:v>
      </x:c>
      <x:c r="D54" s="9" t="str">
        <x:v>Concept/compositional transfer</x:v>
      </x:c>
      <x:c r="E54" s="10" t="str">
        <x:v>Seen state word in a new scene (open)</x:v>
      </x:c>
      <x:c r="F54" s="9" t="str">
        <x:v>SR-F14</x:v>
      </x:c>
      <x:c r="G54" s="9"/>
      <x:c r="H54" s="10" t="str">
        <x:v>Put the open white cup in the bowl.</x:v>
      </x:c>
      <x:c r="I54" s="10" t="str">
        <x:v>P1 yellow-white striped cup B (C, UD); P2 white cup B (O, UD) [TARGET]; P3 white cup A (C, UD) [STATE COMPETITOR]; P4 brown cup A (O, UR)</x:v>
      </x:c>
      <x:c r="J54" s="9" t="str">
        <x:v>white cup B</x:v>
      </x:c>
      <x:c r="K54" s="9" t="str">
        <x:v>open</x:v>
      </x:c>
      <x:c r="L54" s="9" t="str">
        <x:v>white cup</x:v>
      </x:c>
      <x:c r="M54" s="9" t="str">
        <x:v>Same-task seen category</x:v>
      </x:c>
      <x:c r="N54" s="10" t="str">
        <x:v>Build the marked same-category discrimination scene. Save a first-frame image or filename.</x:v>
      </x:c>
      <x:c r="O54" s="10" t="str">
        <x:v>Two objects match the named category; only the state word selects the target. Target and competitor differ only on the queried state axis.</x:v>
      </x:c>
      <x:c r="P54" s="10"/>
    </x:row>
    <x:row r="55" ht="60" customHeight="1">
      <x:c r="A55" s="8" t="n">
        <x:v>53</x:v>
      </x:c>
      <x:c r="B55" s="8" t="n">
        <x:v>14</x:v>
      </x:c>
      <x:c r="C55" s="8" t="str">
        <x:v>2 — Matched control</x:v>
      </x:c>
      <x:c r="D55" s="8" t="str">
        <x:v>Matched manipulation control</x:v>
      </x:c>
      <x:c r="E55" s="7" t="str">
        <x:v>Category-only control after removing state competitor</x:v>
      </x:c>
      <x:c r="F55" s="8" t="str">
        <x:v>SR-F14</x:v>
      </x:c>
      <x:c r="G55" s="8" t="n">
        <x:v>52</x:v>
      </x:c>
      <x:c r="H55" s="7" t="str">
        <x:v>Put the white cup in the bowl.</x:v>
      </x:c>
      <x:c r="I55" s="7" t="str">
        <x:v>P1 yellow-white striped cup B (C, UD); P2 white cup B (O, UD) [TARGET]; P4 brown cup A (O, UR)</x:v>
      </x:c>
      <x:c r="J55" s="8" t="str">
        <x:v>white cup B</x:v>
      </x:c>
      <x:c r="K55" s="8" t="str">
        <x:v>open</x:v>
      </x:c>
      <x:c r="L55" s="8" t="str">
        <x:v>white cup</x:v>
      </x:c>
      <x:c r="M55" s="8" t="str">
        <x:v>Same-task seen category</x:v>
      </x:c>
      <x:c r="N55" s="7" t="str">
        <x:v>Reset the target, then remove only the same-category state competitor. Keep target, distractors, camera, and bowl fixed.</x:v>
      </x:c>
      <x:c r="O55" s="7" t="str">
        <x:v>This one-object removal is required because A/B labels are not grounded language. A prompt-only control is valid only if a stable visible descriptor is available and counterbalanced.</x:v>
      </x:c>
      <x:c r="P55" s="7"/>
    </x:row>
    <x:row r="56" ht="60" customHeight="1">
      <x:c r="A56" s="8" t="n">
        <x:v>54</x:v>
      </x:c>
      <x:c r="B56" s="8" t="n">
        <x:v>14</x:v>
      </x:c>
      <x:c r="C56" s="8" t="str">
        <x:v>3 — Novel-object canonical</x:v>
      </x:c>
      <x:c r="D56" s="8" t="str">
        <x:v>Visual generalization</x:v>
      </x:c>
      <x:c r="E56" s="7" t="str">
        <x:v>Globally unseen paired-category substitution</x:v>
      </x:c>
      <x:c r="F56" s="8" t="str">
        <x:v>SR-F14</x:v>
      </x:c>
      <x:c r="G56" s="8" t="n">
        <x:v>52</x:v>
      </x:c>
      <x:c r="H56" s="7" t="str">
        <x:f>"Put the open "&amp;'Object Inventory'!$B$9&amp;" in the bowl."</x:f>
        <x:v>Put the open new lidded container in the bowl.</x:v>
      </x:c>
      <x:c r="I56" s="7" t="str">
        <x:v>P1 yellow-white striped cup B (C, UD); P2 U2-B (O, UD) [TARGET]; P3 U2-A (C, UD) [STATE COMPETITOR]; P4 brown cup A (O, UR)</x:v>
      </x:c>
      <x:c r="J56" s="8" t="str">
        <x:v>U2-B</x:v>
      </x:c>
      <x:c r="K56" s="8" t="str">
        <x:v>open</x:v>
      </x:c>
      <x:c r="L56" s="8" t="str">
        <x:f>'Object Inventory'!$B$9</x:f>
        <x:v>new lidded container</x:v>
      </x:c>
      <x:c r="M56" s="8" t="str">
        <x:v>Globally unseen — inventory confirmation required</x:v>
      </x:c>
      <x:c r="N56" s="7" t="str">
        <x:v>Remove the known target; replace the target/competitor positions with U2-A and U2-B. Keep the other two distractors, camera, and bowl fixed.</x:v>
      </x:c>
      <x:c r="O56" s="7" t="str">
        <x:v>The novel category appears twice in opposite states, so the model cannot ignore the state adjective and select by category alone.</x:v>
      </x:c>
      <x:c r="P56" s="7"/>
    </x:row>
    <x:row r="57" ht="60" customHeight="1">
      <x:c r="A57" s="8" t="n">
        <x:v>55</x:v>
      </x:c>
      <x:c r="B57" s="8" t="n">
        <x:v>14</x:v>
      </x:c>
      <x:c r="C57" s="8" t="str">
        <x:v>4 — Novel-object paraphrase</x:v>
      </x:c>
      <x:c r="D57" s="8" t="str">
        <x:v>Language robustness</x:v>
      </x:c>
      <x:c r="E57" s="7" t="str">
        <x:v>Meaning-preserving paraphrase on exact novel-object scene</x:v>
      </x:c>
      <x:c r="F57" s="8" t="str">
        <x:v>SR-F14</x:v>
      </x:c>
      <x:c r="G57" s="8" t="n">
        <x:v>54</x:v>
      </x:c>
      <x:c r="H57" s="7" t="str">
        <x:f>"Place the "&amp;'Object Inventory'!$B$9&amp;" that is not closed in the bowl."</x:f>
        <x:v>Place the new lidded container that is not closed in the bowl.</x:v>
      </x:c>
      <x:c r="I57" s="7" t="str">
        <x:v>P1 yellow-white striped cup B (C, UD); P2 U2-B (O, UD) [TARGET]; P3 U2-A (C, UD) [STATE COMPETITOR]; P4 brown cup A (O, UR)</x:v>
      </x:c>
      <x:c r="J57" s="8" t="str">
        <x:v>U2-B</x:v>
      </x:c>
      <x:c r="K57" s="8" t="str">
        <x:v>open</x:v>
      </x:c>
      <x:c r="L57" s="8" t="str">
        <x:f>'Object Inventory'!$B$9</x:f>
        <x:v>new lidded container</x:v>
      </x:c>
      <x:c r="M57" s="8" t="str">
        <x:v>Globally unseen — same scene as preceding row</x:v>
      </x:c>
      <x:c r="N57" s="7" t="str">
        <x:v>Reset only the moved target. Do not change any object, state, position, camera, or lighting; only the prompt wording changes.</x:v>
      </x:c>
      <x:c r="O57" s="7" t="str">
        <x:v>Compare directly with the preceding visual-generalization row. This isolates wording on the same novel-object scene.</x:v>
      </x:c>
      <x:c r="P57" s="7"/>
    </x:row>
    <x:row r="58" ht="60" customHeight="1">
      <x:c r="A58" s="9" t="n">
        <x:v>56</x:v>
      </x:c>
      <x:c r="B58" s="9" t="n">
        <x:v>15</x:v>
      </x:c>
      <x:c r="C58" s="9" t="str">
        <x:v>1 — Canonical transfer</x:v>
      </x:c>
      <x:c r="D58" s="9" t="str">
        <x:v>Concept/compositional transfer</x:v>
      </x:c>
      <x:c r="E58" s="10" t="str">
        <x:v>Held-out state word + known category (upright)</x:v>
      </x:c>
      <x:c r="F58" s="9" t="str">
        <x:v>SR-F15</x:v>
      </x:c>
      <x:c r="G58" s="9"/>
      <x:c r="H58" s="10" t="str">
        <x:v>Move the upright yellow-white striped cup into the bowl.</x:v>
      </x:c>
      <x:c r="I58" s="10" t="str">
        <x:v>P1 white cup A (O, UR); P2 brown cup B (C, UD); P3 yellow-white striped cup A (O, UR) [TARGET]; P4 yellow-white striped cup B (O, UD) [STATE COMPETITOR]</x:v>
      </x:c>
      <x:c r="J58" s="9" t="str">
        <x:v>yellow-white striped cup A</x:v>
      </x:c>
      <x:c r="K58" s="9" t="str">
        <x:v>upright</x:v>
      </x:c>
      <x:c r="L58" s="9" t="str">
        <x:v>yellow-white striped cup</x:v>
      </x:c>
      <x:c r="M58" s="9" t="str">
        <x:v>Same-task seen category</x:v>
      </x:c>
      <x:c r="N58" s="10" t="str">
        <x:v>Build the marked same-category discrimination scene. Save a first-frame image or filename.</x:v>
      </x:c>
      <x:c r="O58" s="10" t="str">
        <x:v>Two objects match the named category; only the state word selects the target. Target and competitor differ only on the queried state axis.</x:v>
      </x:c>
      <x:c r="P58" s="10"/>
    </x:row>
    <x:row r="59" ht="60" customHeight="1">
      <x:c r="A59" s="8" t="n">
        <x:v>57</x:v>
      </x:c>
      <x:c r="B59" s="8" t="n">
        <x:v>15</x:v>
      </x:c>
      <x:c r="C59" s="8" t="str">
        <x:v>2 — Matched control</x:v>
      </x:c>
      <x:c r="D59" s="8" t="str">
        <x:v>Matched manipulation control</x:v>
      </x:c>
      <x:c r="E59" s="7" t="str">
        <x:v>Category-only control after removing state competitor</x:v>
      </x:c>
      <x:c r="F59" s="8" t="str">
        <x:v>SR-F15</x:v>
      </x:c>
      <x:c r="G59" s="8" t="n">
        <x:v>56</x:v>
      </x:c>
      <x:c r="H59" s="7" t="str">
        <x:v>Move the yellow-white striped cup into the bowl.</x:v>
      </x:c>
      <x:c r="I59" s="7" t="str">
        <x:v>P1 white cup A (O, UR); P2 brown cup B (C, UD); P3 yellow-white striped cup A (O, UR) [TARGET]</x:v>
      </x:c>
      <x:c r="J59" s="8" t="str">
        <x:v>yellow-white striped cup A</x:v>
      </x:c>
      <x:c r="K59" s="8" t="str">
        <x:v>upright</x:v>
      </x:c>
      <x:c r="L59" s="8" t="str">
        <x:v>yellow-white striped cup</x:v>
      </x:c>
      <x:c r="M59" s="8" t="str">
        <x:v>Same-task seen category</x:v>
      </x:c>
      <x:c r="N59" s="7" t="str">
        <x:v>Reset the target, then remove only the same-category state competitor. Keep target, distractors, camera, and bowl fixed.</x:v>
      </x:c>
      <x:c r="O59" s="7" t="str">
        <x:v>This one-object removal is required because A/B labels are not grounded language. A prompt-only control is valid only if a stable visible descriptor is available and counterbalanced.</x:v>
      </x:c>
      <x:c r="P59" s="7"/>
    </x:row>
    <x:row r="60" ht="60" customHeight="1">
      <x:c r="A60" s="8" t="n">
        <x:v>58</x:v>
      </x:c>
      <x:c r="B60" s="8" t="n">
        <x:v>15</x:v>
      </x:c>
      <x:c r="C60" s="8" t="str">
        <x:v>3 — Novel-object canonical</x:v>
      </x:c>
      <x:c r="D60" s="8" t="str">
        <x:v>Visual generalization</x:v>
      </x:c>
      <x:c r="E60" s="7" t="str">
        <x:v>Globally unseen paired-category substitution</x:v>
      </x:c>
      <x:c r="F60" s="8" t="str">
        <x:v>SR-F15</x:v>
      </x:c>
      <x:c r="G60" s="8" t="n">
        <x:v>56</x:v>
      </x:c>
      <x:c r="H60" s="7" t="str">
        <x:f>"Move the upright "&amp;'Object Inventory'!$B$10&amp;" into the bowl."</x:f>
        <x:v>Move the upright new bottle into the bowl.</x:v>
      </x:c>
      <x:c r="I60" s="7" t="str">
        <x:v>P1 white cup A (O, UR); P2 brown cup B (C, UD); P3 U3-A (O, UR) [TARGET]; P4 U3-B (O, UD) [STATE COMPETITOR]</x:v>
      </x:c>
      <x:c r="J60" s="8" t="str">
        <x:v>U3-A</x:v>
      </x:c>
      <x:c r="K60" s="8" t="str">
        <x:v>upright</x:v>
      </x:c>
      <x:c r="L60" s="8" t="str">
        <x:f>'Object Inventory'!$B$10</x:f>
        <x:v>new bottle</x:v>
      </x:c>
      <x:c r="M60" s="8" t="str">
        <x:v>Globally unseen — inventory confirmation required</x:v>
      </x:c>
      <x:c r="N60" s="7" t="str">
        <x:v>Remove the known target; replace the target/competitor positions with U3-A and U3-B. Keep the other two distractors, camera, and bowl fixed.</x:v>
      </x:c>
      <x:c r="O60" s="7" t="str">
        <x:v>The novel category appears twice in opposite states, so the model cannot ignore the state adjective and select by category alone.</x:v>
      </x:c>
      <x:c r="P60" s="7"/>
    </x:row>
    <x:row r="61" ht="60" customHeight="1">
      <x:c r="A61" s="8" t="n">
        <x:v>59</x:v>
      </x:c>
      <x:c r="B61" s="8" t="n">
        <x:v>15</x:v>
      </x:c>
      <x:c r="C61" s="8" t="str">
        <x:v>4 — Novel-object paraphrase</x:v>
      </x:c>
      <x:c r="D61" s="8" t="str">
        <x:v>Language robustness</x:v>
      </x:c>
      <x:c r="E61" s="7" t="str">
        <x:v>Meaning-preserving paraphrase on exact novel-object scene</x:v>
      </x:c>
      <x:c r="F61" s="8" t="str">
        <x:v>SR-F15</x:v>
      </x:c>
      <x:c r="G61" s="8" t="n">
        <x:v>58</x:v>
      </x:c>
      <x:c r="H61" s="7" t="str">
        <x:f>"Place the "&amp;'Object Inventory'!$B$10&amp;" that is not overturned in the bowl."</x:f>
        <x:v>Place the new bottle that is not overturned in the bowl.</x:v>
      </x:c>
      <x:c r="I61" s="7" t="str">
        <x:v>P1 white cup A (O, UR); P2 brown cup B (C, UD); P3 U3-A (O, UR) [TARGET]; P4 U3-B (O, UD) [STATE COMPETITOR]</x:v>
      </x:c>
      <x:c r="J61" s="8" t="str">
        <x:v>U3-A</x:v>
      </x:c>
      <x:c r="K61" s="8" t="str">
        <x:v>upright</x:v>
      </x:c>
      <x:c r="L61" s="8" t="str">
        <x:f>'Object Inventory'!$B$10</x:f>
        <x:v>new bottle</x:v>
      </x:c>
      <x:c r="M61" s="8" t="str">
        <x:v>Globally unseen — same scene as preceding row</x:v>
      </x:c>
      <x:c r="N61" s="7" t="str">
        <x:v>Reset only the moved target. Do not change any object, state, position, camera, or lighting; only the prompt wording changes.</x:v>
      </x:c>
      <x:c r="O61" s="7" t="str">
        <x:v>Compare directly with the preceding visual-generalization row. This isolates wording on the same novel-object scene.</x:v>
      </x:c>
      <x:c r="P61" s="7"/>
    </x:row>
    <x:row r="62" ht="60" customHeight="1">
      <x:c r="A62" s="9" t="n">
        <x:v>60</x:v>
      </x:c>
      <x:c r="B62" s="9" t="n">
        <x:v>16</x:v>
      </x:c>
      <x:c r="C62" s="9" t="str">
        <x:v>1 — Canonical transfer</x:v>
      </x:c>
      <x:c r="D62" s="9" t="str">
        <x:v>Concept/compositional transfer</x:v>
      </x:c>
      <x:c r="E62" s="10" t="str">
        <x:v>Seen state word in a new scene (upside-down)</x:v>
      </x:c>
      <x:c r="F62" s="9" t="str">
        <x:v>SR-F16</x:v>
      </x:c>
      <x:c r="G62" s="9"/>
      <x:c r="H62" s="10" t="str">
        <x:v>Place the upside-down brown cup in the bowl.</x:v>
      </x:c>
      <x:c r="I62" s="10" t="str">
        <x:v>P1 brown cup A (C, UR) [STATE COMPETITOR]; P2 white cup A (O, UR); P3 yellow-white striped cup B (C, UD); P4 brown cup B (C, UD) [TARGET]</x:v>
      </x:c>
      <x:c r="J62" s="9" t="str">
        <x:v>brown cup B</x:v>
      </x:c>
      <x:c r="K62" s="9" t="str">
        <x:v>upside-down</x:v>
      </x:c>
      <x:c r="L62" s="9" t="str">
        <x:v>brown cup</x:v>
      </x:c>
      <x:c r="M62" s="9" t="str">
        <x:v>Same-task seen category</x:v>
      </x:c>
      <x:c r="N62" s="10" t="str">
        <x:v>Build the marked same-category discrimination scene. Save a first-frame image or filename.</x:v>
      </x:c>
      <x:c r="O62" s="10" t="str">
        <x:v>Two objects match the named category; only the state word selects the target. Target and competitor differ only on the queried state axis.</x:v>
      </x:c>
      <x:c r="P62" s="10"/>
    </x:row>
    <x:row r="63" ht="60" customHeight="1">
      <x:c r="A63" s="8" t="n">
        <x:v>61</x:v>
      </x:c>
      <x:c r="B63" s="8" t="n">
        <x:v>16</x:v>
      </x:c>
      <x:c r="C63" s="8" t="str">
        <x:v>2 — Matched control</x:v>
      </x:c>
      <x:c r="D63" s="8" t="str">
        <x:v>Matched manipulation control</x:v>
      </x:c>
      <x:c r="E63" s="7" t="str">
        <x:v>Category-only control after removing state competitor</x:v>
      </x:c>
      <x:c r="F63" s="8" t="str">
        <x:v>SR-F16</x:v>
      </x:c>
      <x:c r="G63" s="8" t="n">
        <x:v>60</x:v>
      </x:c>
      <x:c r="H63" s="7" t="str">
        <x:v>Place the brown cup in the bowl.</x:v>
      </x:c>
      <x:c r="I63" s="7" t="str">
        <x:v>P2 white cup A (O, UR); P3 yellow-white striped cup B (C, UD); P4 brown cup B (C, UD) [TARGET]</x:v>
      </x:c>
      <x:c r="J63" s="8" t="str">
        <x:v>brown cup B</x:v>
      </x:c>
      <x:c r="K63" s="8" t="str">
        <x:v>upside-down</x:v>
      </x:c>
      <x:c r="L63" s="8" t="str">
        <x:v>brown cup</x:v>
      </x:c>
      <x:c r="M63" s="8" t="str">
        <x:v>Same-task seen category</x:v>
      </x:c>
      <x:c r="N63" s="7" t="str">
        <x:v>Reset the target, then remove only the same-category state competitor. Keep target, distractors, camera, and bowl fixed.</x:v>
      </x:c>
      <x:c r="O63" s="7" t="str">
        <x:v>This one-object removal is required because A/B labels are not grounded language. A prompt-only control is valid only if a stable visible descriptor is available and counterbalanced.</x:v>
      </x:c>
      <x:c r="P63" s="7"/>
    </x:row>
    <x:row r="64" ht="60" customHeight="1">
      <x:c r="A64" s="8" t="n">
        <x:v>62</x:v>
      </x:c>
      <x:c r="B64" s="8" t="n">
        <x:v>16</x:v>
      </x:c>
      <x:c r="C64" s="8" t="str">
        <x:v>3 — Novel-object canonical</x:v>
      </x:c>
      <x:c r="D64" s="8" t="str">
        <x:v>Visual generalization</x:v>
      </x:c>
      <x:c r="E64" s="7" t="str">
        <x:v>Globally unseen paired-category substitution</x:v>
      </x:c>
      <x:c r="F64" s="8" t="str">
        <x:v>SR-F16</x:v>
      </x:c>
      <x:c r="G64" s="8" t="n">
        <x:v>60</x:v>
      </x:c>
      <x:c r="H64" s="7" t="str">
        <x:f>"Place the upside-down "&amp;'Object Inventory'!$B$11&amp;" in the bowl."</x:f>
        <x:v>Place the upside-down new asymmetric container in the bowl.</x:v>
      </x:c>
      <x:c r="I64" s="7" t="str">
        <x:v>P1 U4-A (C, UR) [STATE COMPETITOR]; P2 white cup A (O, UR); P3 yellow-white striped cup B (C, UD); P4 U4-B (C, UD) [TARGET]</x:v>
      </x:c>
      <x:c r="J64" s="8" t="str">
        <x:v>U4-B</x:v>
      </x:c>
      <x:c r="K64" s="8" t="str">
        <x:v>upside-down</x:v>
      </x:c>
      <x:c r="L64" s="8" t="str">
        <x:f>'Object Inventory'!$B$11</x:f>
        <x:v>new asymmetric container</x:v>
      </x:c>
      <x:c r="M64" s="8" t="str">
        <x:v>Globally unseen — inventory confirmation required</x:v>
      </x:c>
      <x:c r="N64" s="7" t="str">
        <x:v>Remove the known target; replace the target/competitor positions with U4-A and U4-B. Keep the other two distractors, camera, and bowl fixed.</x:v>
      </x:c>
      <x:c r="O64" s="7" t="str">
        <x:v>The novel category appears twice in opposite states, so the model cannot ignore the state adjective and select by category alone.</x:v>
      </x:c>
      <x:c r="P64" s="7"/>
    </x:row>
    <x:row r="65" ht="60" customHeight="1">
      <x:c r="A65" s="8" t="n">
        <x:v>63</x:v>
      </x:c>
      <x:c r="B65" s="8" t="n">
        <x:v>16</x:v>
      </x:c>
      <x:c r="C65" s="8" t="str">
        <x:v>4 — Novel-object paraphrase</x:v>
      </x:c>
      <x:c r="D65" s="8" t="str">
        <x:v>Language robustness</x:v>
      </x:c>
      <x:c r="E65" s="7" t="str">
        <x:v>Meaning-preserving paraphrase on exact novel-object scene</x:v>
      </x:c>
      <x:c r="F65" s="8" t="str">
        <x:v>SR-F16</x:v>
      </x:c>
      <x:c r="G65" s="8" t="n">
        <x:v>62</x:v>
      </x:c>
      <x:c r="H65" s="7" t="str">
        <x:f>"Place the overturned "&amp;'Object Inventory'!$B$11&amp;" in the bowl."</x:f>
        <x:v>Place the overturned new asymmetric container in the bowl.</x:v>
      </x:c>
      <x:c r="I65" s="7" t="str">
        <x:v>P1 U4-A (C, UR) [STATE COMPETITOR]; P2 white cup A (O, UR); P3 yellow-white striped cup B (C, UD); P4 U4-B (C, UD) [TARGET]</x:v>
      </x:c>
      <x:c r="J65" s="8" t="str">
        <x:v>U4-B</x:v>
      </x:c>
      <x:c r="K65" s="8" t="str">
        <x:v>upside-down</x:v>
      </x:c>
      <x:c r="L65" s="8" t="str">
        <x:f>'Object Inventory'!$B$11</x:f>
        <x:v>new asymmetric container</x:v>
      </x:c>
      <x:c r="M65" s="8" t="str">
        <x:v>Globally unseen — same scene as preceding row</x:v>
      </x:c>
      <x:c r="N65" s="7" t="str">
        <x:v>Reset only the moved target. Do not change any object, state, position, camera, or lighting; only the prompt wording changes.</x:v>
      </x:c>
      <x:c r="O65" s="7" t="str">
        <x:v>Compare directly with the preceding visual-generalization row. This isolates wording on the same novel-object scene.</x:v>
      </x:c>
      <x:c r="P65" s="7"/>
    </x:row>
    <x:row r="66" ht="60" customHeight="1">
      <x:c r="A66" s="9" t="n">
        <x:v>64</x:v>
      </x:c>
      <x:c r="B66" s="9" t="n">
        <x:v>17</x:v>
      </x:c>
      <x:c r="C66" s="9" t="str">
        <x:v>1 — Canonical transfer</x:v>
      </x:c>
      <x:c r="D66" s="9" t="str">
        <x:v>Concept/compositional transfer</x:v>
      </x:c>
      <x:c r="E66" s="10" t="str">
        <x:v>Held-out state word + known category (closed)</x:v>
      </x:c>
      <x:c r="F66" s="9" t="str">
        <x:v>SR-F17</x:v>
      </x:c>
      <x:c r="G66" s="9"/>
      <x:c r="H66" s="10" t="str">
        <x:v>Put the closed white cup in the bowl.</x:v>
      </x:c>
      <x:c r="I66" s="10" t="str">
        <x:v>P1 white cup A (C, UR) [TARGET]; P2 white cup B (O, UR) [STATE COMPETITOR]; P3 yellow-white striped cup A (O, UR); P4 brown cup B (C, UD)</x:v>
      </x:c>
      <x:c r="J66" s="9" t="str">
        <x:v>white cup A</x:v>
      </x:c>
      <x:c r="K66" s="9" t="str">
        <x:v>closed</x:v>
      </x:c>
      <x:c r="L66" s="9" t="str">
        <x:v>white cup</x:v>
      </x:c>
      <x:c r="M66" s="9" t="str">
        <x:v>Same-task seen category</x:v>
      </x:c>
      <x:c r="N66" s="10" t="str">
        <x:v>Build the marked same-category discrimination scene. Save a first-frame image or filename.</x:v>
      </x:c>
      <x:c r="O66" s="10" t="str">
        <x:v>Two objects match the named category; only the state word selects the target. Target and competitor differ only on the queried state axis.</x:v>
      </x:c>
      <x:c r="P66" s="10"/>
    </x:row>
    <x:row r="67" ht="60" customHeight="1">
      <x:c r="A67" s="8" t="n">
        <x:v>65</x:v>
      </x:c>
      <x:c r="B67" s="8" t="n">
        <x:v>17</x:v>
      </x:c>
      <x:c r="C67" s="8" t="str">
        <x:v>2 — Matched control</x:v>
      </x:c>
      <x:c r="D67" s="8" t="str">
        <x:v>Matched manipulation control</x:v>
      </x:c>
      <x:c r="E67" s="7" t="str">
        <x:v>Category-only control after removing state competitor</x:v>
      </x:c>
      <x:c r="F67" s="8" t="str">
        <x:v>SR-F17</x:v>
      </x:c>
      <x:c r="G67" s="8" t="n">
        <x:v>64</x:v>
      </x:c>
      <x:c r="H67" s="7" t="str">
        <x:v>Put the white cup in the bowl.</x:v>
      </x:c>
      <x:c r="I67" s="7" t="str">
        <x:v>P1 white cup A (C, UR) [TARGET]; P3 yellow-white striped cup A (O, UR); P4 brown cup B (C, UD)</x:v>
      </x:c>
      <x:c r="J67" s="8" t="str">
        <x:v>white cup A</x:v>
      </x:c>
      <x:c r="K67" s="8" t="str">
        <x:v>closed</x:v>
      </x:c>
      <x:c r="L67" s="8" t="str">
        <x:v>white cup</x:v>
      </x:c>
      <x:c r="M67" s="8" t="str">
        <x:v>Same-task seen category</x:v>
      </x:c>
      <x:c r="N67" s="7" t="str">
        <x:v>Reset the target, then remove only the same-category state competitor. Keep target, distractors, camera, and bowl fixed.</x:v>
      </x:c>
      <x:c r="O67" s="7" t="str">
        <x:v>This one-object removal is required because A/B labels are not grounded language. A prompt-only control is valid only if a stable visible descriptor is available and counterbalanced.</x:v>
      </x:c>
      <x:c r="P67" s="7"/>
    </x:row>
    <x:row r="68" ht="60" customHeight="1">
      <x:c r="A68" s="8" t="n">
        <x:v>66</x:v>
      </x:c>
      <x:c r="B68" s="8" t="n">
        <x:v>17</x:v>
      </x:c>
      <x:c r="C68" s="8" t="str">
        <x:v>3 — Novel-object canonical</x:v>
      </x:c>
      <x:c r="D68" s="8" t="str">
        <x:v>Visual generalization</x:v>
      </x:c>
      <x:c r="E68" s="7" t="str">
        <x:v>Globally unseen paired-category substitution</x:v>
      </x:c>
      <x:c r="F68" s="8" t="str">
        <x:v>SR-F17</x:v>
      </x:c>
      <x:c r="G68" s="8" t="n">
        <x:v>64</x:v>
      </x:c>
      <x:c r="H68" s="7" t="str">
        <x:f>"Put the closed "&amp;'Object Inventory'!$B$8&amp;" in the bowl."</x:f>
        <x:v>Put the closed black cup in the bowl.</x:v>
      </x:c>
      <x:c r="I68" s="7" t="str">
        <x:v>P1 U1-A (C, UR) [TARGET]; P2 U1-B (O, UR) [STATE COMPETITOR]; P3 yellow-white striped cup A (O, UR); P4 brown cup B (C, UD)</x:v>
      </x:c>
      <x:c r="J68" s="8" t="str">
        <x:v>U1-A</x:v>
      </x:c>
      <x:c r="K68" s="8" t="str">
        <x:v>closed</x:v>
      </x:c>
      <x:c r="L68" s="8" t="str">
        <x:f>'Object Inventory'!$B$8</x:f>
        <x:v>black cup</x:v>
      </x:c>
      <x:c r="M68" s="8" t="str">
        <x:v>Globally unseen — inventory confirmation required</x:v>
      </x:c>
      <x:c r="N68" s="7" t="str">
        <x:v>Remove the known target; replace the target/competitor positions with U1-A and U1-B. Keep the other two distractors, camera, and bowl fixed.</x:v>
      </x:c>
      <x:c r="O68" s="7" t="str">
        <x:v>The novel category appears twice in opposite states, so the model cannot ignore the state adjective and select by category alone.</x:v>
      </x:c>
      <x:c r="P68" s="7"/>
    </x:row>
    <x:row r="69" ht="60" customHeight="1">
      <x:c r="A69" s="8" t="n">
        <x:v>67</x:v>
      </x:c>
      <x:c r="B69" s="8" t="n">
        <x:v>17</x:v>
      </x:c>
      <x:c r="C69" s="8" t="str">
        <x:v>4 — Novel-object paraphrase</x:v>
      </x:c>
      <x:c r="D69" s="8" t="str">
        <x:v>Language robustness</x:v>
      </x:c>
      <x:c r="E69" s="7" t="str">
        <x:v>Meaning-preserving paraphrase on exact novel-object scene</x:v>
      </x:c>
      <x:c r="F69" s="8" t="str">
        <x:v>SR-F17</x:v>
      </x:c>
      <x:c r="G69" s="8" t="n">
        <x:v>66</x:v>
      </x:c>
      <x:c r="H69" s="7" t="str">
        <x:f>"Move the closed "&amp;'Object Inventory'!$B$8&amp;" into the bowl."</x:f>
        <x:v>Move the closed black cup into the bowl.</x:v>
      </x:c>
      <x:c r="I69" s="7" t="str">
        <x:v>P1 U1-A (C, UR) [TARGET]; P2 U1-B (O, UR) [STATE COMPETITOR]; P3 yellow-white striped cup A (O, UR); P4 brown cup B (C, UD)</x:v>
      </x:c>
      <x:c r="J69" s="8" t="str">
        <x:v>U1-A</x:v>
      </x:c>
      <x:c r="K69" s="8" t="str">
        <x:v>closed</x:v>
      </x:c>
      <x:c r="L69" s="8" t="str">
        <x:f>'Object Inventory'!$B$8</x:f>
        <x:v>black cup</x:v>
      </x:c>
      <x:c r="M69" s="8" t="str">
        <x:v>Globally unseen — same scene as preceding row</x:v>
      </x:c>
      <x:c r="N69" s="7" t="str">
        <x:v>Reset only the moved target. Do not change any object, state, position, camera, or lighting; only the prompt wording changes.</x:v>
      </x:c>
      <x:c r="O69" s="7" t="str">
        <x:v>Compare directly with the preceding visual-generalization row. This isolates wording on the same novel-object scene.</x:v>
      </x:c>
      <x:c r="P69" s="7"/>
    </x:row>
    <x:row r="70" ht="60" customHeight="1">
      <x:c r="A70" s="9" t="n">
        <x:v>68</x:v>
      </x:c>
      <x:c r="B70" s="9" t="n">
        <x:v>18</x:v>
      </x:c>
      <x:c r="C70" s="9" t="str">
        <x:v>1 — Canonical transfer</x:v>
      </x:c>
      <x:c r="D70" s="9" t="str">
        <x:v>Concept/compositional transfer</x:v>
      </x:c>
      <x:c r="E70" s="10" t="str">
        <x:v>Seen state word in a new scene (open)</x:v>
      </x:c>
      <x:c r="F70" s="9" t="str">
        <x:v>SR-F18</x:v>
      </x:c>
      <x:c r="G70" s="9"/>
      <x:c r="H70" s="10" t="str">
        <x:v>Move the open yellow-white striped cup into the bowl.</x:v>
      </x:c>
      <x:c r="I70" s="10" t="str">
        <x:v>P1 white cup B (C, UD); P2 yellow-white striped cup B (O, UD) [TARGET]; P3 yellow-white striped cup A (C, UD) [STATE COMPETITOR]; P4 brown cup A (O, UR)</x:v>
      </x:c>
      <x:c r="J70" s="9" t="str">
        <x:v>yellow-white striped cup B</x:v>
      </x:c>
      <x:c r="K70" s="9" t="str">
        <x:v>open</x:v>
      </x:c>
      <x:c r="L70" s="9" t="str">
        <x:v>yellow-white striped cup</x:v>
      </x:c>
      <x:c r="M70" s="9" t="str">
        <x:v>Same-task seen category</x:v>
      </x:c>
      <x:c r="N70" s="10" t="str">
        <x:v>Build the marked same-category discrimination scene. Save a first-frame image or filename.</x:v>
      </x:c>
      <x:c r="O70" s="10" t="str">
        <x:v>Two objects match the named category; only the state word selects the target. Target and competitor differ only on the queried state axis.</x:v>
      </x:c>
      <x:c r="P70" s="10"/>
    </x:row>
    <x:row r="71" ht="60" customHeight="1">
      <x:c r="A71" s="8" t="n">
        <x:v>69</x:v>
      </x:c>
      <x:c r="B71" s="8" t="n">
        <x:v>18</x:v>
      </x:c>
      <x:c r="C71" s="8" t="str">
        <x:v>2 — Matched control</x:v>
      </x:c>
      <x:c r="D71" s="8" t="str">
        <x:v>Matched manipulation control</x:v>
      </x:c>
      <x:c r="E71" s="7" t="str">
        <x:v>Category-only control after removing state competitor</x:v>
      </x:c>
      <x:c r="F71" s="8" t="str">
        <x:v>SR-F18</x:v>
      </x:c>
      <x:c r="G71" s="8" t="n">
        <x:v>68</x:v>
      </x:c>
      <x:c r="H71" s="7" t="str">
        <x:v>Move the yellow-white striped cup into the bowl.</x:v>
      </x:c>
      <x:c r="I71" s="7" t="str">
        <x:v>P1 white cup B (C, UD); P2 yellow-white striped cup B (O, UD) [TARGET]; P4 brown cup A (O, UR)</x:v>
      </x:c>
      <x:c r="J71" s="8" t="str">
        <x:v>yellow-white striped cup B</x:v>
      </x:c>
      <x:c r="K71" s="8" t="str">
        <x:v>open</x:v>
      </x:c>
      <x:c r="L71" s="8" t="str">
        <x:v>yellow-white striped cup</x:v>
      </x:c>
      <x:c r="M71" s="8" t="str">
        <x:v>Same-task seen category</x:v>
      </x:c>
      <x:c r="N71" s="7" t="str">
        <x:v>Reset the target, then remove only the same-category state competitor. Keep target, distractors, camera, and bowl fixed.</x:v>
      </x:c>
      <x:c r="O71" s="7" t="str">
        <x:v>This one-object removal is required because A/B labels are not grounded language. A prompt-only control is valid only if a stable visible descriptor is available and counterbalanced.</x:v>
      </x:c>
      <x:c r="P71" s="7"/>
    </x:row>
    <x:row r="72" ht="60" customHeight="1">
      <x:c r="A72" s="8" t="n">
        <x:v>70</x:v>
      </x:c>
      <x:c r="B72" s="8" t="n">
        <x:v>18</x:v>
      </x:c>
      <x:c r="C72" s="8" t="str">
        <x:v>3 — Novel-object canonical</x:v>
      </x:c>
      <x:c r="D72" s="8" t="str">
        <x:v>Visual generalization</x:v>
      </x:c>
      <x:c r="E72" s="7" t="str">
        <x:v>Globally unseen paired-category substitution</x:v>
      </x:c>
      <x:c r="F72" s="8" t="str">
        <x:v>SR-F18</x:v>
      </x:c>
      <x:c r="G72" s="8" t="n">
        <x:v>68</x:v>
      </x:c>
      <x:c r="H72" s="7" t="str">
        <x:f>"Move the open "&amp;'Object Inventory'!$B$9&amp;" into the bowl."</x:f>
        <x:v>Move the open new lidded container into the bowl.</x:v>
      </x:c>
      <x:c r="I72" s="7" t="str">
        <x:v>P1 white cup B (C, UD); P2 U2-B (O, UD) [TARGET]; P3 U2-A (C, UD) [STATE COMPETITOR]; P4 brown cup A (O, UR)</x:v>
      </x:c>
      <x:c r="J72" s="8" t="str">
        <x:v>U2-B</x:v>
      </x:c>
      <x:c r="K72" s="8" t="str">
        <x:v>open</x:v>
      </x:c>
      <x:c r="L72" s="8" t="str">
        <x:f>'Object Inventory'!$B$9</x:f>
        <x:v>new lidded container</x:v>
      </x:c>
      <x:c r="M72" s="8" t="str">
        <x:v>Globally unseen — inventory confirmation required</x:v>
      </x:c>
      <x:c r="N72" s="7" t="str">
        <x:v>Remove the known target; replace the target/competitor positions with U2-A and U2-B. Keep the other two distractors, camera, and bowl fixed.</x:v>
      </x:c>
      <x:c r="O72" s="7" t="str">
        <x:v>The novel category appears twice in opposite states, so the model cannot ignore the state adjective and select by category alone.</x:v>
      </x:c>
      <x:c r="P72" s="7"/>
    </x:row>
    <x:row r="73" ht="60" customHeight="1">
      <x:c r="A73" s="8" t="n">
        <x:v>71</x:v>
      </x:c>
      <x:c r="B73" s="8" t="n">
        <x:v>18</x:v>
      </x:c>
      <x:c r="C73" s="8" t="str">
        <x:v>4 — Novel-object paraphrase</x:v>
      </x:c>
      <x:c r="D73" s="8" t="str">
        <x:v>Language robustness</x:v>
      </x:c>
      <x:c r="E73" s="7" t="str">
        <x:v>Meaning-preserving paraphrase on exact novel-object scene</x:v>
      </x:c>
      <x:c r="F73" s="8" t="str">
        <x:v>SR-F18</x:v>
      </x:c>
      <x:c r="G73" s="8" t="n">
        <x:v>70</x:v>
      </x:c>
      <x:c r="H73" s="7" t="str">
        <x:f>"Move the open "&amp;'Object Inventory'!$B$9&amp;" into the bowl."</x:f>
        <x:v>Move the open new lidded container into the bowl.</x:v>
      </x:c>
      <x:c r="I73" s="7" t="str">
        <x:v>P1 white cup B (C, UD); P2 U2-B (O, UD) [TARGET]; P3 U2-A (C, UD) [STATE COMPETITOR]; P4 brown cup A (O, UR)</x:v>
      </x:c>
      <x:c r="J73" s="8" t="str">
        <x:v>U2-B</x:v>
      </x:c>
      <x:c r="K73" s="8" t="str">
        <x:v>open</x:v>
      </x:c>
      <x:c r="L73" s="8" t="str">
        <x:f>'Object Inventory'!$B$9</x:f>
        <x:v>new lidded container</x:v>
      </x:c>
      <x:c r="M73" s="8" t="str">
        <x:v>Globally unseen — same scene as preceding row</x:v>
      </x:c>
      <x:c r="N73" s="7" t="str">
        <x:v>Reset only the moved target. Do not change any object, state, position, camera, or lighting; only the prompt wording changes.</x:v>
      </x:c>
      <x:c r="O73" s="7" t="str">
        <x:v>Compare directly with the preceding visual-generalization row. This isolates wording on the same novel-object scene.</x:v>
      </x:c>
      <x:c r="P73" s="7"/>
    </x:row>
    <x:row r="74" ht="60" customHeight="1">
      <x:c r="A74" s="9" t="n">
        <x:v>72</x:v>
      </x:c>
      <x:c r="B74" s="9" t="n">
        <x:v>19</x:v>
      </x:c>
      <x:c r="C74" s="9" t="str">
        <x:v>1 — Canonical transfer</x:v>
      </x:c>
      <x:c r="D74" s="9" t="str">
        <x:v>Concept/compositional transfer</x:v>
      </x:c>
      <x:c r="E74" s="10" t="str">
        <x:v>Held-out state word + known category (upright)</x:v>
      </x:c>
      <x:c r="F74" s="9" t="str">
        <x:v>SR-F19</x:v>
      </x:c>
      <x:c r="G74" s="9"/>
      <x:c r="H74" s="10" t="str">
        <x:v>Place the upright brown cup in the bowl.</x:v>
      </x:c>
      <x:c r="I74" s="10" t="str">
        <x:v>P1 white cup A (O, UR); P2 yellow-white striped cup B (C, UD); P3 brown cup A (O, UR) [TARGET]; P4 brown cup B (O, UD) [STATE COMPETITOR]</x:v>
      </x:c>
      <x:c r="J74" s="9" t="str">
        <x:v>brown cup A</x:v>
      </x:c>
      <x:c r="K74" s="9" t="str">
        <x:v>upright</x:v>
      </x:c>
      <x:c r="L74" s="9" t="str">
        <x:v>brown cup</x:v>
      </x:c>
      <x:c r="M74" s="9" t="str">
        <x:v>Same-task seen category</x:v>
      </x:c>
      <x:c r="N74" s="10" t="str">
        <x:v>Build the marked same-category discrimination scene. Save a first-frame image or filename.</x:v>
      </x:c>
      <x:c r="O74" s="10" t="str">
        <x:v>Two objects match the named category; only the state word selects the target. Target and competitor differ only on the queried state axis.</x:v>
      </x:c>
      <x:c r="P74" s="10"/>
    </x:row>
    <x:row r="75" ht="60" customHeight="1">
      <x:c r="A75" s="8" t="n">
        <x:v>73</x:v>
      </x:c>
      <x:c r="B75" s="8" t="n">
        <x:v>19</x:v>
      </x:c>
      <x:c r="C75" s="8" t="str">
        <x:v>2 — Matched control</x:v>
      </x:c>
      <x:c r="D75" s="8" t="str">
        <x:v>Matched manipulation control</x:v>
      </x:c>
      <x:c r="E75" s="7" t="str">
        <x:v>Category-only control after removing state competitor</x:v>
      </x:c>
      <x:c r="F75" s="8" t="str">
        <x:v>SR-F19</x:v>
      </x:c>
      <x:c r="G75" s="8" t="n">
        <x:v>72</x:v>
      </x:c>
      <x:c r="H75" s="7" t="str">
        <x:v>Place the brown cup in the bowl.</x:v>
      </x:c>
      <x:c r="I75" s="7" t="str">
        <x:v>P1 white cup A (O, UR); P2 yellow-white striped cup B (C, UD); P3 brown cup A (O, UR) [TARGET]</x:v>
      </x:c>
      <x:c r="J75" s="8" t="str">
        <x:v>brown cup A</x:v>
      </x:c>
      <x:c r="K75" s="8" t="str">
        <x:v>upright</x:v>
      </x:c>
      <x:c r="L75" s="8" t="str">
        <x:v>brown cup</x:v>
      </x:c>
      <x:c r="M75" s="8" t="str">
        <x:v>Same-task seen category</x:v>
      </x:c>
      <x:c r="N75" s="7" t="str">
        <x:v>Reset the target, then remove only the same-category state competitor. Keep target, distractors, camera, and bowl fixed.</x:v>
      </x:c>
      <x:c r="O75" s="7" t="str">
        <x:v>This one-object removal is required because A/B labels are not grounded language. A prompt-only control is valid only if a stable visible descriptor is available and counterbalanced.</x:v>
      </x:c>
      <x:c r="P75" s="7"/>
    </x:row>
    <x:row r="76" ht="60" customHeight="1">
      <x:c r="A76" s="8" t="n">
        <x:v>74</x:v>
      </x:c>
      <x:c r="B76" s="8" t="n">
        <x:v>19</x:v>
      </x:c>
      <x:c r="C76" s="8" t="str">
        <x:v>3 — Novel-object canonical</x:v>
      </x:c>
      <x:c r="D76" s="8" t="str">
        <x:v>Visual generalization</x:v>
      </x:c>
      <x:c r="E76" s="7" t="str">
        <x:v>Globally unseen paired-category substitution</x:v>
      </x:c>
      <x:c r="F76" s="8" t="str">
        <x:v>SR-F19</x:v>
      </x:c>
      <x:c r="G76" s="8" t="n">
        <x:v>72</x:v>
      </x:c>
      <x:c r="H76" s="7" t="str">
        <x:f>"Place the upright "&amp;'Object Inventory'!$B$10&amp;" in the bowl."</x:f>
        <x:v>Place the upright new bottle in the bowl.</x:v>
      </x:c>
      <x:c r="I76" s="7" t="str">
        <x:v>P1 white cup A (O, UR); P2 yellow-white striped cup B (C, UD); P3 U3-A (O, UR) [TARGET]; P4 U3-B (O, UD) [STATE COMPETITOR]</x:v>
      </x:c>
      <x:c r="J76" s="8" t="str">
        <x:v>U3-A</x:v>
      </x:c>
      <x:c r="K76" s="8" t="str">
        <x:v>upright</x:v>
      </x:c>
      <x:c r="L76" s="8" t="str">
        <x:f>'Object Inventory'!$B$10</x:f>
        <x:v>new bottle</x:v>
      </x:c>
      <x:c r="M76" s="8" t="str">
        <x:v>Globally unseen — inventory confirmation required</x:v>
      </x:c>
      <x:c r="N76" s="7" t="str">
        <x:v>Remove the known target; replace the target/competitor positions with U3-A and U3-B. Keep the other two distractors, camera, and bowl fixed.</x:v>
      </x:c>
      <x:c r="O76" s="7" t="str">
        <x:v>The novel category appears twice in opposite states, so the model cannot ignore the state adjective and select by category alone.</x:v>
      </x:c>
      <x:c r="P76" s="7"/>
    </x:row>
    <x:row r="77" ht="60" customHeight="1">
      <x:c r="A77" s="8" t="n">
        <x:v>75</x:v>
      </x:c>
      <x:c r="B77" s="8" t="n">
        <x:v>19</x:v>
      </x:c>
      <x:c r="C77" s="8" t="str">
        <x:v>4 — Novel-object paraphrase</x:v>
      </x:c>
      <x:c r="D77" s="8" t="str">
        <x:v>Language robustness</x:v>
      </x:c>
      <x:c r="E77" s="7" t="str">
        <x:v>Meaning-preserving paraphrase on exact novel-object scene</x:v>
      </x:c>
      <x:c r="F77" s="8" t="str">
        <x:v>SR-F19</x:v>
      </x:c>
      <x:c r="G77" s="8" t="n">
        <x:v>74</x:v>
      </x:c>
      <x:c r="H77" s="7" t="str">
        <x:f>"Move the upright "&amp;'Object Inventory'!$B$10&amp;" into the bowl."</x:f>
        <x:v>Move the upright new bottle into the bowl.</x:v>
      </x:c>
      <x:c r="I77" s="7" t="str">
        <x:v>P1 white cup A (O, UR); P2 yellow-white striped cup B (C, UD); P3 U3-A (O, UR) [TARGET]; P4 U3-B (O, UD) [STATE COMPETITOR]</x:v>
      </x:c>
      <x:c r="J77" s="8" t="str">
        <x:v>U3-A</x:v>
      </x:c>
      <x:c r="K77" s="8" t="str">
        <x:v>upright</x:v>
      </x:c>
      <x:c r="L77" s="8" t="str">
        <x:f>'Object Inventory'!$B$10</x:f>
        <x:v>new bottle</x:v>
      </x:c>
      <x:c r="M77" s="8" t="str">
        <x:v>Globally unseen — same scene as preceding row</x:v>
      </x:c>
      <x:c r="N77" s="7" t="str">
        <x:v>Reset only the moved target. Do not change any object, state, position, camera, or lighting; only the prompt wording changes.</x:v>
      </x:c>
      <x:c r="O77" s="7" t="str">
        <x:v>Compare directly with the preceding visual-generalization row. This isolates wording on the same novel-object scene.</x:v>
      </x:c>
      <x:c r="P77" s="7"/>
    </x:row>
    <x:row r="78" ht="60" customHeight="1">
      <x:c r="A78" s="9" t="n">
        <x:v>76</x:v>
      </x:c>
      <x:c r="B78" s="9" t="n">
        <x:v>20</x:v>
      </x:c>
      <x:c r="C78" s="9" t="str">
        <x:v>1 — Canonical transfer</x:v>
      </x:c>
      <x:c r="D78" s="9" t="str">
        <x:v>Concept/compositional transfer</x:v>
      </x:c>
      <x:c r="E78" s="10" t="str">
        <x:v>Seen state word in a new scene (upside-down)</x:v>
      </x:c>
      <x:c r="F78" s="9" t="str">
        <x:v>SR-F20</x:v>
      </x:c>
      <x:c r="G78" s="9"/>
      <x:c r="H78" s="10" t="str">
        <x:v>Put the upside-down glass spice container in the bowl.</x:v>
      </x:c>
      <x:c r="I78" s="10" t="str">
        <x:v>P1 glass spice container A (C, UR) [STATE COMPETITOR]; P2 white cup A (O, UR); P3 yellow-white striped cup B (C, UD); P4 glass spice container B (C, UD) [TARGET]</x:v>
      </x:c>
      <x:c r="J78" s="9" t="str">
        <x:v>glass spice container B</x:v>
      </x:c>
      <x:c r="K78" s="9" t="str">
        <x:v>upside-down</x:v>
      </x:c>
      <x:c r="L78" s="9" t="str">
        <x:v>glass spice container</x:v>
      </x:c>
      <x:c r="M78" s="9" t="str">
        <x:v>Same-task seen category</x:v>
      </x:c>
      <x:c r="N78" s="10" t="str">
        <x:v>Build the marked same-category discrimination scene. Save a first-frame image or filename.</x:v>
      </x:c>
      <x:c r="O78" s="10" t="str">
        <x:v>Two objects match the named category; only the state word selects the target. Target and competitor differ only on the queried state axis.</x:v>
      </x:c>
      <x:c r="P78" s="10"/>
    </x:row>
    <x:row r="79" ht="60" customHeight="1">
      <x:c r="A79" s="8" t="n">
        <x:v>77</x:v>
      </x:c>
      <x:c r="B79" s="8" t="n">
        <x:v>20</x:v>
      </x:c>
      <x:c r="C79" s="8" t="str">
        <x:v>2 — Matched control</x:v>
      </x:c>
      <x:c r="D79" s="8" t="str">
        <x:v>Matched manipulation control</x:v>
      </x:c>
      <x:c r="E79" s="7" t="str">
        <x:v>Category-only control after removing state competitor</x:v>
      </x:c>
      <x:c r="F79" s="8" t="str">
        <x:v>SR-F20</x:v>
      </x:c>
      <x:c r="G79" s="8" t="n">
        <x:v>76</x:v>
      </x:c>
      <x:c r="H79" s="7" t="str">
        <x:v>Put the glass spice container in the bowl.</x:v>
      </x:c>
      <x:c r="I79" s="7" t="str">
        <x:v>P2 white cup A (O, UR); P3 yellow-white striped cup B (C, UD); P4 glass spice container B (C, UD) [TARGET]</x:v>
      </x:c>
      <x:c r="J79" s="8" t="str">
        <x:v>glass spice container B</x:v>
      </x:c>
      <x:c r="K79" s="8" t="str">
        <x:v>upside-down</x:v>
      </x:c>
      <x:c r="L79" s="8" t="str">
        <x:v>glass spice container</x:v>
      </x:c>
      <x:c r="M79" s="8" t="str">
        <x:v>Same-task seen category</x:v>
      </x:c>
      <x:c r="N79" s="7" t="str">
        <x:v>Reset the target, then remove only the same-category state competitor. Keep target, distractors, camera, and bowl fixed.</x:v>
      </x:c>
      <x:c r="O79" s="7" t="str">
        <x:v>This one-object removal is required because A/B labels are not grounded language. A prompt-only control is valid only if a stable visible descriptor is available and counterbalanced.</x:v>
      </x:c>
      <x:c r="P79" s="7"/>
    </x:row>
    <x:row r="80" ht="60" customHeight="1">
      <x:c r="A80" s="8" t="n">
        <x:v>78</x:v>
      </x:c>
      <x:c r="B80" s="8" t="n">
        <x:v>20</x:v>
      </x:c>
      <x:c r="C80" s="8" t="str">
        <x:v>3 — Novel-object canonical</x:v>
      </x:c>
      <x:c r="D80" s="8" t="str">
        <x:v>Visual generalization</x:v>
      </x:c>
      <x:c r="E80" s="7" t="str">
        <x:v>Globally unseen paired-category substitution</x:v>
      </x:c>
      <x:c r="F80" s="8" t="str">
        <x:v>SR-F20</x:v>
      </x:c>
      <x:c r="G80" s="8" t="n">
        <x:v>76</x:v>
      </x:c>
      <x:c r="H80" s="7" t="str">
        <x:f>"Put the upside-down "&amp;'Object Inventory'!$B$11&amp;" in the bowl."</x:f>
        <x:v>Put the upside-down new asymmetric container in the bowl.</x:v>
      </x:c>
      <x:c r="I80" s="7" t="str">
        <x:v>P1 U4-A (C, UR) [STATE COMPETITOR]; P2 white cup A (O, UR); P3 yellow-white striped cup B (C, UD); P4 U4-B (C, UD) [TARGET]</x:v>
      </x:c>
      <x:c r="J80" s="8" t="str">
        <x:v>U4-B</x:v>
      </x:c>
      <x:c r="K80" s="8" t="str">
        <x:v>upside-down</x:v>
      </x:c>
      <x:c r="L80" s="8" t="str">
        <x:f>'Object Inventory'!$B$11</x:f>
        <x:v>new asymmetric container</x:v>
      </x:c>
      <x:c r="M80" s="8" t="str">
        <x:v>Globally unseen — inventory confirmation required</x:v>
      </x:c>
      <x:c r="N80" s="7" t="str">
        <x:v>Remove the known target; replace the target/competitor positions with U4-A and U4-B. Keep the other two distractors, camera, and bowl fixed.</x:v>
      </x:c>
      <x:c r="O80" s="7" t="str">
        <x:v>The novel category appears twice in opposite states, so the model cannot ignore the state adjective and select by category alone.</x:v>
      </x:c>
      <x:c r="P80" s="7"/>
    </x:row>
    <x:row r="81" ht="60" customHeight="1">
      <x:c r="A81" s="8" t="n">
        <x:v>79</x:v>
      </x:c>
      <x:c r="B81" s="8" t="n">
        <x:v>20</x:v>
      </x:c>
      <x:c r="C81" s="8" t="str">
        <x:v>4 — Novel-object paraphrase</x:v>
      </x:c>
      <x:c r="D81" s="8" t="str">
        <x:v>Language robustness</x:v>
      </x:c>
      <x:c r="E81" s="7" t="str">
        <x:v>Meaning-preserving paraphrase on exact novel-object scene</x:v>
      </x:c>
      <x:c r="F81" s="8" t="str">
        <x:v>SR-F20</x:v>
      </x:c>
      <x:c r="G81" s="8" t="n">
        <x:v>78</x:v>
      </x:c>
      <x:c r="H81" s="7" t="str">
        <x:f>"Move the upside-down "&amp;'Object Inventory'!$B$11&amp;" into the bowl."</x:f>
        <x:v>Move the upside-down new asymmetric container into the bowl.</x:v>
      </x:c>
      <x:c r="I81" s="7" t="str">
        <x:v>P1 U4-A (C, UR) [STATE COMPETITOR]; P2 white cup A (O, UR); P3 yellow-white striped cup B (C, UD); P4 U4-B (C, UD) [TARGET]</x:v>
      </x:c>
      <x:c r="J81" s="8" t="str">
        <x:v>U4-B</x:v>
      </x:c>
      <x:c r="K81" s="8" t="str">
        <x:v>upside-down</x:v>
      </x:c>
      <x:c r="L81" s="8" t="str">
        <x:f>'Object Inventory'!$B$11</x:f>
        <x:v>new asymmetric container</x:v>
      </x:c>
      <x:c r="M81" s="8" t="str">
        <x:v>Globally unseen — same scene as preceding row</x:v>
      </x:c>
      <x:c r="N81" s="7" t="str">
        <x:v>Reset only the moved target. Do not change any object, state, position, camera, or lighting; only the prompt wording changes.</x:v>
      </x:c>
      <x:c r="O81" s="7" t="str">
        <x:v>Compare directly with the preceding visual-generalization row. This isolates wording on the same novel-object scene.</x:v>
      </x:c>
      <x:c r="P81" s="7"/>
    </x:row>
    <x:row r="82" ht="60" customHeight="1">
      <x:c r="A82" s="8" t="n">
        <x:v>80</x:v>
      </x:c>
      <x:c r="B82" s="8" t="n">
        <x:v>21</x:v>
      </x:c>
      <x:c r="C82" s="8" t="str">
        <x:v>Additional transfer</x:v>
      </x:c>
      <x:c r="D82" s="8" t="str">
        <x:v>Concept/compositional transfer</x:v>
      </x:c>
      <x:c r="E82" s="7" t="str">
        <x:v>Additional held-out state + category (closed)</x:v>
      </x:c>
      <x:c r="F82" s="8" t="str">
        <x:v>SR-X01</x:v>
      </x:c>
      <x:c r="G82" s="8"/>
      <x:c r="H82" s="7" t="str">
        <x:v>Move the closed yellow-white striped cup into the bowl.</x:v>
      </x:c>
      <x:c r="I82" s="7" t="str">
        <x:v>P1 yellow-white striped cup A (C, UR) [TARGET]; P2 yellow-white striped cup B (O, UR) [STATE COMPETITOR]; P3 white cup A (O, UR); P4 brown cup B (C, UD)</x:v>
      </x:c>
      <x:c r="J82" s="8" t="str">
        <x:v>yellow-white striped cup A</x:v>
      </x:c>
      <x:c r="K82" s="8" t="str">
        <x:v>closed</x:v>
      </x:c>
      <x:c r="L82" s="8" t="str">
        <x:v>yellow-white striped cup</x:v>
      </x:c>
      <x:c r="M82" s="8" t="str">
        <x:v>Same-task seen category</x:v>
      </x:c>
      <x:c r="N82" s="7" t="str">
        <x:v>Build the listed same-category discrimination scene; both category instances must remain present.</x:v>
      </x:c>
      <x:c r="O82" s="7" t="str">
        <x:v>Unpaired primary-transfer coverage. Category and state are both present in the prompt, matching the training prompt structure.</x:v>
      </x:c>
      <x:c r="P82" s="7"/>
    </x:row>
    <x:row r="83" ht="60" customHeight="1">
      <x:c r="A83" s="8" t="n">
        <x:v>81</x:v>
      </x:c>
      <x:c r="B83" s="8" t="n">
        <x:v>22</x:v>
      </x:c>
      <x:c r="C83" s="8" t="str">
        <x:v>Additional transfer</x:v>
      </x:c>
      <x:c r="D83" s="8" t="str">
        <x:v>Concept/compositional transfer</x:v>
      </x:c>
      <x:c r="E83" s="7" t="str">
        <x:v>Additional held-out state + category (closed)</x:v>
      </x:c>
      <x:c r="F83" s="8" t="str">
        <x:v>SR-X02</x:v>
      </x:c>
      <x:c r="G83" s="8"/>
      <x:c r="H83" s="7" t="str">
        <x:v>Place the closed brown cup in the bowl.</x:v>
      </x:c>
      <x:c r="I83" s="7" t="str">
        <x:v>P1 white cup B (C, UD); P2 brown cup B (C, UD) [TARGET]; P3 brown cup A (O, UD) [STATE COMPETITOR]; P4 yellow-white striped cup A (O, UR)</x:v>
      </x:c>
      <x:c r="J83" s="8" t="str">
        <x:v>brown cup B</x:v>
      </x:c>
      <x:c r="K83" s="8" t="str">
        <x:v>closed</x:v>
      </x:c>
      <x:c r="L83" s="8" t="str">
        <x:v>brown cup</x:v>
      </x:c>
      <x:c r="M83" s="8" t="str">
        <x:v>Same-task seen category</x:v>
      </x:c>
      <x:c r="N83" s="7" t="str">
        <x:v>Build the listed same-category discrimination scene; both category instances must remain present.</x:v>
      </x:c>
      <x:c r="O83" s="7" t="str">
        <x:v>Unpaired primary-transfer coverage. Category and state are both present in the prompt, matching the training prompt structure.</x:v>
      </x:c>
      <x:c r="P83" s="7"/>
    </x:row>
    <x:row r="84" ht="60" customHeight="1">
      <x:c r="A84" s="8" t="n">
        <x:v>82</x:v>
      </x:c>
      <x:c r="B84" s="8" t="n">
        <x:v>23</x:v>
      </x:c>
      <x:c r="C84" s="8" t="str">
        <x:v>Additional transfer</x:v>
      </x:c>
      <x:c r="D84" s="8" t="str">
        <x:v>Concept/compositional transfer</x:v>
      </x:c>
      <x:c r="E84" s="7" t="str">
        <x:v>Additional held-out state + category (closed)</x:v>
      </x:c>
      <x:c r="F84" s="8" t="str">
        <x:v>SR-X03</x:v>
      </x:c>
      <x:c r="G84" s="8"/>
      <x:c r="H84" s="7" t="str">
        <x:v>Put the closed glass spice container in the bowl.</x:v>
      </x:c>
      <x:c r="I84" s="7" t="str">
        <x:v>P1 white cup A (O, UR); P2 yellow-white striped cup B (C, UD); P3 glass spice container A (C, UR) [TARGET]; P4 glass spice container B (O, UR) [STATE COMPETITOR]</x:v>
      </x:c>
      <x:c r="J84" s="8" t="str">
        <x:v>glass spice container A</x:v>
      </x:c>
      <x:c r="K84" s="8" t="str">
        <x:v>closed</x:v>
      </x:c>
      <x:c r="L84" s="8" t="str">
        <x:v>glass spice container</x:v>
      </x:c>
      <x:c r="M84" s="8" t="str">
        <x:v>Same-task seen category</x:v>
      </x:c>
      <x:c r="N84" s="7" t="str">
        <x:v>Build the listed same-category discrimination scene; both category instances must remain present.</x:v>
      </x:c>
      <x:c r="O84" s="7" t="str">
        <x:v>Unpaired primary-transfer coverage. Category and state are both present in the prompt, matching the training prompt structure.</x:v>
      </x:c>
      <x:c r="P84" s="7"/>
    </x:row>
    <x:row r="85" ht="60" customHeight="1">
      <x:c r="A85" s="8" t="n">
        <x:v>83</x:v>
      </x:c>
      <x:c r="B85" s="8" t="n">
        <x:v>24</x:v>
      </x:c>
      <x:c r="C85" s="8" t="str">
        <x:v>Additional transfer</x:v>
      </x:c>
      <x:c r="D85" s="8" t="str">
        <x:v>Concept/compositional transfer</x:v>
      </x:c>
      <x:c r="E85" s="7" t="str">
        <x:v>Additional held-out state + category (closed)</x:v>
      </x:c>
      <x:c r="F85" s="8" t="str">
        <x:v>SR-X04</x:v>
      </x:c>
      <x:c r="G85" s="8"/>
      <x:c r="H85" s="7" t="str">
        <x:v>Move the closed white cup into the bowl.</x:v>
      </x:c>
      <x:c r="I85" s="7" t="str">
        <x:v>P1 white cup A (O, UD) [STATE COMPETITOR]; P2 yellow-white striped cup A (O, UR); P3 brown cup B (C, UD); P4 white cup B (C, UD) [TARGET]</x:v>
      </x:c>
      <x:c r="J85" s="8" t="str">
        <x:v>white cup B</x:v>
      </x:c>
      <x:c r="K85" s="8" t="str">
        <x:v>closed</x:v>
      </x:c>
      <x:c r="L85" s="8" t="str">
        <x:v>white cup</x:v>
      </x:c>
      <x:c r="M85" s="8" t="str">
        <x:v>Same-task seen category</x:v>
      </x:c>
      <x:c r="N85" s="7" t="str">
        <x:v>Build the listed same-category discrimination scene; both category instances must remain present.</x:v>
      </x:c>
      <x:c r="O85" s="7" t="str">
        <x:v>Unpaired primary-transfer coverage. Category and state are both present in the prompt, matching the training prompt structure.</x:v>
      </x:c>
      <x:c r="P85" s="7"/>
    </x:row>
    <x:row r="86" ht="60" customHeight="1">
      <x:c r="A86" s="8" t="n">
        <x:v>84</x:v>
      </x:c>
      <x:c r="B86" s="8" t="n">
        <x:v>25</x:v>
      </x:c>
      <x:c r="C86" s="8" t="str">
        <x:v>Additional transfer</x:v>
      </x:c>
      <x:c r="D86" s="8" t="str">
        <x:v>Concept/compositional transfer</x:v>
      </x:c>
      <x:c r="E86" s="7" t="str">
        <x:v>Additional held-out state + category (closed)</x:v>
      </x:c>
      <x:c r="F86" s="8" t="str">
        <x:v>SR-X05</x:v>
      </x:c>
      <x:c r="G86" s="8"/>
      <x:c r="H86" s="7" t="str">
        <x:v>Place the closed yellow-white striped cup in the bowl.</x:v>
      </x:c>
      <x:c r="I86" s="7" t="str">
        <x:v>P1 yellow-white striped cup A (C, UR) [TARGET]; P2 yellow-white striped cup B (O, UR) [STATE COMPETITOR]; P3 white cup A (O, UR); P4 brown cup B (C, UD)</x:v>
      </x:c>
      <x:c r="J86" s="8" t="str">
        <x:v>yellow-white striped cup A</x:v>
      </x:c>
      <x:c r="K86" s="8" t="str">
        <x:v>closed</x:v>
      </x:c>
      <x:c r="L86" s="8" t="str">
        <x:v>yellow-white striped cup</x:v>
      </x:c>
      <x:c r="M86" s="8" t="str">
        <x:v>Same-task seen category</x:v>
      </x:c>
      <x:c r="N86" s="7" t="str">
        <x:v>Build the listed same-category discrimination scene; both category instances must remain present.</x:v>
      </x:c>
      <x:c r="O86" s="7" t="str">
        <x:v>Unpaired primary-transfer coverage. Category and state are both present in the prompt, matching the training prompt structure.</x:v>
      </x:c>
      <x:c r="P86" s="7"/>
    </x:row>
    <x:row r="87" ht="60" customHeight="1">
      <x:c r="A87" s="8" t="n">
        <x:v>85</x:v>
      </x:c>
      <x:c r="B87" s="8" t="n">
        <x:v>26</x:v>
      </x:c>
      <x:c r="C87" s="8" t="str">
        <x:v>Additional transfer</x:v>
      </x:c>
      <x:c r="D87" s="8" t="str">
        <x:v>Concept/compositional transfer</x:v>
      </x:c>
      <x:c r="E87" s="7" t="str">
        <x:v>Additional held-out state + category (closed)</x:v>
      </x:c>
      <x:c r="F87" s="8" t="str">
        <x:v>SR-X06</x:v>
      </x:c>
      <x:c r="G87" s="8"/>
      <x:c r="H87" s="7" t="str">
        <x:v>Put the closed brown cup in the bowl.</x:v>
      </x:c>
      <x:c r="I87" s="7" t="str">
        <x:v>P1 white cup B (C, UD); P2 brown cup B (C, UD) [TARGET]; P3 brown cup A (O, UD) [STATE COMPETITOR]; P4 yellow-white striped cup A (O, UR)</x:v>
      </x:c>
      <x:c r="J87" s="8" t="str">
        <x:v>brown cup B</x:v>
      </x:c>
      <x:c r="K87" s="8" t="str">
        <x:v>closed</x:v>
      </x:c>
      <x:c r="L87" s="8" t="str">
        <x:v>brown cup</x:v>
      </x:c>
      <x:c r="M87" s="8" t="str">
        <x:v>Same-task seen category</x:v>
      </x:c>
      <x:c r="N87" s="7" t="str">
        <x:v>Build the listed same-category discrimination scene; both category instances must remain present.</x:v>
      </x:c>
      <x:c r="O87" s="7" t="str">
        <x:v>Unpaired primary-transfer coverage. Category and state are both present in the prompt, matching the training prompt structure.</x:v>
      </x:c>
      <x:c r="P87" s="7"/>
    </x:row>
    <x:row r="88" ht="60" customHeight="1">
      <x:c r="A88" s="8" t="n">
        <x:v>86</x:v>
      </x:c>
      <x:c r="B88" s="8" t="n">
        <x:v>27</x:v>
      </x:c>
      <x:c r="C88" s="8" t="str">
        <x:v>Additional transfer</x:v>
      </x:c>
      <x:c r="D88" s="8" t="str">
        <x:v>Concept/compositional transfer</x:v>
      </x:c>
      <x:c r="E88" s="7" t="str">
        <x:v>Additional held-out state + category (closed)</x:v>
      </x:c>
      <x:c r="F88" s="8" t="str">
        <x:v>SR-X07</x:v>
      </x:c>
      <x:c r="G88" s="8"/>
      <x:c r="H88" s="7" t="str">
        <x:v>Move the closed glass spice container into the bowl.</x:v>
      </x:c>
      <x:c r="I88" s="7" t="str">
        <x:v>P1 white cup A (O, UR); P2 yellow-white striped cup B (C, UD); P3 glass spice container A (C, UR) [TARGET]; P4 glass spice container B (O, UR) [STATE COMPETITOR]</x:v>
      </x:c>
      <x:c r="J88" s="8" t="str">
        <x:v>glass spice container A</x:v>
      </x:c>
      <x:c r="K88" s="8" t="str">
        <x:v>closed</x:v>
      </x:c>
      <x:c r="L88" s="8" t="str">
        <x:v>glass spice container</x:v>
      </x:c>
      <x:c r="M88" s="8" t="str">
        <x:v>Same-task seen category</x:v>
      </x:c>
      <x:c r="N88" s="7" t="str">
        <x:v>Build the listed same-category discrimination scene; both category instances must remain present.</x:v>
      </x:c>
      <x:c r="O88" s="7" t="str">
        <x:v>Unpaired primary-transfer coverage. Category and state are both present in the prompt, matching the training prompt structure.</x:v>
      </x:c>
      <x:c r="P88" s="7"/>
    </x:row>
    <x:row r="89" ht="60" customHeight="1">
      <x:c r="A89" s="8" t="n">
        <x:v>87</x:v>
      </x:c>
      <x:c r="B89" s="8" t="n">
        <x:v>28</x:v>
      </x:c>
      <x:c r="C89" s="8" t="str">
        <x:v>Additional transfer</x:v>
      </x:c>
      <x:c r="D89" s="8" t="str">
        <x:v>Concept/compositional transfer</x:v>
      </x:c>
      <x:c r="E89" s="7" t="str">
        <x:v>Additional held-out state + category (closed)</x:v>
      </x:c>
      <x:c r="F89" s="8" t="str">
        <x:v>SR-X08</x:v>
      </x:c>
      <x:c r="G89" s="8"/>
      <x:c r="H89" s="7" t="str">
        <x:v>Place the closed white cup in the bowl.</x:v>
      </x:c>
      <x:c r="I89" s="7" t="str">
        <x:v>P1 white cup A (O, UD) [STATE COMPETITOR]; P2 yellow-white striped cup A (O, UR); P3 brown cup B (C, UD); P4 white cup B (C, UD) [TARGET]</x:v>
      </x:c>
      <x:c r="J89" s="8" t="str">
        <x:v>white cup B</x:v>
      </x:c>
      <x:c r="K89" s="8" t="str">
        <x:v>closed</x:v>
      </x:c>
      <x:c r="L89" s="8" t="str">
        <x:v>white cup</x:v>
      </x:c>
      <x:c r="M89" s="8" t="str">
        <x:v>Same-task seen category</x:v>
      </x:c>
      <x:c r="N89" s="7" t="str">
        <x:v>Build the listed same-category discrimination scene; both category instances must remain present.</x:v>
      </x:c>
      <x:c r="O89" s="7" t="str">
        <x:v>Unpaired primary-transfer coverage. Category and state are both present in the prompt, matching the training prompt structure.</x:v>
      </x:c>
      <x:c r="P89" s="7"/>
    </x:row>
    <x:row r="90" ht="60" customHeight="1">
      <x:c r="A90" s="8" t="n">
        <x:v>88</x:v>
      </x:c>
      <x:c r="B90" s="8" t="n">
        <x:v>29</x:v>
      </x:c>
      <x:c r="C90" s="8" t="str">
        <x:v>Additional transfer</x:v>
      </x:c>
      <x:c r="D90" s="8" t="str">
        <x:v>Concept/compositional transfer</x:v>
      </x:c>
      <x:c r="E90" s="7" t="str">
        <x:v>Additional held-out state + category (upright)</x:v>
      </x:c>
      <x:c r="F90" s="8" t="str">
        <x:v>SR-X09</x:v>
      </x:c>
      <x:c r="G90" s="8"/>
      <x:c r="H90" s="7" t="str">
        <x:v>Put the upright yellow-white striped cup in the bowl.</x:v>
      </x:c>
      <x:c r="I90" s="7" t="str">
        <x:v>P1 yellow-white striped cup A (O, UR) [TARGET]; P2 yellow-white striped cup B (O, UD) [STATE COMPETITOR]; P3 white cup A (O, UR); P4 brown cup B (C, UD)</x:v>
      </x:c>
      <x:c r="J90" s="8" t="str">
        <x:v>yellow-white striped cup A</x:v>
      </x:c>
      <x:c r="K90" s="8" t="str">
        <x:v>upright</x:v>
      </x:c>
      <x:c r="L90" s="8" t="str">
        <x:v>yellow-white striped cup</x:v>
      </x:c>
      <x:c r="M90" s="8" t="str">
        <x:v>Same-task seen category</x:v>
      </x:c>
      <x:c r="N90" s="7" t="str">
        <x:v>Build the listed same-category discrimination scene; both category instances must remain present.</x:v>
      </x:c>
      <x:c r="O90" s="7" t="str">
        <x:v>Unpaired primary-transfer coverage. Category and state are both present in the prompt, matching the training prompt structure.</x:v>
      </x:c>
      <x:c r="P90" s="7"/>
    </x:row>
    <x:row r="91" ht="60" customHeight="1">
      <x:c r="A91" s="8" t="n">
        <x:v>89</x:v>
      </x:c>
      <x:c r="B91" s="8" t="n">
        <x:v>30</x:v>
      </x:c>
      <x:c r="C91" s="8" t="str">
        <x:v>Additional transfer</x:v>
      </x:c>
      <x:c r="D91" s="8" t="str">
        <x:v>Concept/compositional transfer</x:v>
      </x:c>
      <x:c r="E91" s="7" t="str">
        <x:v>Additional held-out state + category (upright)</x:v>
      </x:c>
      <x:c r="F91" s="8" t="str">
        <x:v>SR-X10</x:v>
      </x:c>
      <x:c r="G91" s="8"/>
      <x:c r="H91" s="7" t="str">
        <x:v>Move the upright brown cup into the bowl.</x:v>
      </x:c>
      <x:c r="I91" s="7" t="str">
        <x:v>P1 white cup B (C, UD); P2 brown cup B (C, UR) [TARGET]; P3 brown cup A (C, UD) [STATE COMPETITOR]; P4 yellow-white striped cup A (O, UR)</x:v>
      </x:c>
      <x:c r="J91" s="8" t="str">
        <x:v>brown cup B</x:v>
      </x:c>
      <x:c r="K91" s="8" t="str">
        <x:v>upright</x:v>
      </x:c>
      <x:c r="L91" s="8" t="str">
        <x:v>brown cup</x:v>
      </x:c>
      <x:c r="M91" s="8" t="str">
        <x:v>Same-task seen category</x:v>
      </x:c>
      <x:c r="N91" s="7" t="str">
        <x:v>Build the listed same-category discrimination scene; both category instances must remain present.</x:v>
      </x:c>
      <x:c r="O91" s="7" t="str">
        <x:v>Unpaired primary-transfer coverage. Category and state are both present in the prompt, matching the training prompt structure.</x:v>
      </x:c>
      <x:c r="P91" s="7"/>
    </x:row>
    <x:row r="92" ht="60" customHeight="1">
      <x:c r="A92" s="8" t="n">
        <x:v>90</x:v>
      </x:c>
      <x:c r="B92" s="8" t="n">
        <x:v>31</x:v>
      </x:c>
      <x:c r="C92" s="8" t="str">
        <x:v>Additional transfer</x:v>
      </x:c>
      <x:c r="D92" s="8" t="str">
        <x:v>Concept/compositional transfer</x:v>
      </x:c>
      <x:c r="E92" s="7" t="str">
        <x:v>Additional held-out state + category (upright)</x:v>
      </x:c>
      <x:c r="F92" s="8" t="str">
        <x:v>SR-X11</x:v>
      </x:c>
      <x:c r="G92" s="8"/>
      <x:c r="H92" s="7" t="str">
        <x:v>Place the upright glass spice container in the bowl.</x:v>
      </x:c>
      <x:c r="I92" s="7" t="str">
        <x:v>P1 white cup A (O, UR); P2 yellow-white striped cup B (C, UD); P3 glass spice container A (O, UR) [TARGET]; P4 glass spice container B (O, UD) [STATE COMPETITOR]</x:v>
      </x:c>
      <x:c r="J92" s="8" t="str">
        <x:v>glass spice container A</x:v>
      </x:c>
      <x:c r="K92" s="8" t="str">
        <x:v>upright</x:v>
      </x:c>
      <x:c r="L92" s="8" t="str">
        <x:v>glass spice container</x:v>
      </x:c>
      <x:c r="M92" s="8" t="str">
        <x:v>Same-task seen category</x:v>
      </x:c>
      <x:c r="N92" s="7" t="str">
        <x:v>Build the listed same-category discrimination scene; both category instances must remain present.</x:v>
      </x:c>
      <x:c r="O92" s="7" t="str">
        <x:v>Unpaired primary-transfer coverage. Category and state are both present in the prompt, matching the training prompt structure.</x:v>
      </x:c>
      <x:c r="P92" s="7"/>
    </x:row>
    <x:row r="93" ht="60" customHeight="1">
      <x:c r="A93" s="8" t="n">
        <x:v>91</x:v>
      </x:c>
      <x:c r="B93" s="8" t="n">
        <x:v>32</x:v>
      </x:c>
      <x:c r="C93" s="8" t="str">
        <x:v>Additional transfer</x:v>
      </x:c>
      <x:c r="D93" s="8" t="str">
        <x:v>Concept/compositional transfer</x:v>
      </x:c>
      <x:c r="E93" s="7" t="str">
        <x:v>Additional seen-state scene transfer (open)</x:v>
      </x:c>
      <x:c r="F93" s="8" t="str">
        <x:v>SR-X12</x:v>
      </x:c>
      <x:c r="G93" s="8"/>
      <x:c r="H93" s="7" t="str">
        <x:v>Put the open white cup in the bowl.</x:v>
      </x:c>
      <x:c r="I93" s="7" t="str">
        <x:v>P1 white cup A (C, UD) [STATE COMPETITOR]; P2 yellow-white striped cup A (O, UR); P3 brown cup B (C, UD); P4 white cup B (O, UD) [TARGET]</x:v>
      </x:c>
      <x:c r="J93" s="8" t="str">
        <x:v>white cup B</x:v>
      </x:c>
      <x:c r="K93" s="8" t="str">
        <x:v>open</x:v>
      </x:c>
      <x:c r="L93" s="8" t="str">
        <x:v>white cup</x:v>
      </x:c>
      <x:c r="M93" s="8" t="str">
        <x:v>Same-task seen category</x:v>
      </x:c>
      <x:c r="N93" s="7" t="str">
        <x:v>Build the listed same-category discrimination scene; both category instances must remain present.</x:v>
      </x:c>
      <x:c r="O93" s="7" t="str">
        <x:v>Unpaired primary-transfer coverage. Category and state are both present in the prompt, matching the training prompt structure.</x:v>
      </x:c>
      <x:c r="P93" s="7"/>
    </x:row>
    <x:row r="94" ht="60" customHeight="1">
      <x:c r="A94" s="8" t="n">
        <x:v>92</x:v>
      </x:c>
      <x:c r="B94" s="8" t="n">
        <x:v>33</x:v>
      </x:c>
      <x:c r="C94" s="8" t="str">
        <x:v>Additional transfer</x:v>
      </x:c>
      <x:c r="D94" s="8" t="str">
        <x:v>Concept/compositional transfer</x:v>
      </x:c>
      <x:c r="E94" s="7" t="str">
        <x:v>Additional seen-state scene transfer (open)</x:v>
      </x:c>
      <x:c r="F94" s="8" t="str">
        <x:v>SR-X13</x:v>
      </x:c>
      <x:c r="G94" s="8"/>
      <x:c r="H94" s="7" t="str">
        <x:v>Move the open yellow-white striped cup into the bowl.</x:v>
      </x:c>
      <x:c r="I94" s="7" t="str">
        <x:v>P1 yellow-white striped cup A (O, UR) [TARGET]; P2 yellow-white striped cup B (C, UR) [STATE COMPETITOR]; P3 white cup A (O, UR); P4 brown cup B (C, UD)</x:v>
      </x:c>
      <x:c r="J94" s="8" t="str">
        <x:v>yellow-white striped cup A</x:v>
      </x:c>
      <x:c r="K94" s="8" t="str">
        <x:v>open</x:v>
      </x:c>
      <x:c r="L94" s="8" t="str">
        <x:v>yellow-white striped cup</x:v>
      </x:c>
      <x:c r="M94" s="8" t="str">
        <x:v>Same-task seen category</x:v>
      </x:c>
      <x:c r="N94" s="7" t="str">
        <x:v>Build the listed same-category discrimination scene; both category instances must remain present.</x:v>
      </x:c>
      <x:c r="O94" s="7" t="str">
        <x:v>Unpaired primary-transfer coverage. Category and state are both present in the prompt, matching the training prompt structure.</x:v>
      </x:c>
      <x:c r="P94" s="7"/>
    </x:row>
    <x:row r="95" ht="60" customHeight="1">
      <x:c r="A95" s="8" t="n">
        <x:v>93</x:v>
      </x:c>
      <x:c r="B95" s="8" t="n">
        <x:v>34</x:v>
      </x:c>
      <x:c r="C95" s="8" t="str">
        <x:v>Additional transfer</x:v>
      </x:c>
      <x:c r="D95" s="8" t="str">
        <x:v>Concept/compositional transfer</x:v>
      </x:c>
      <x:c r="E95" s="7" t="str">
        <x:v>Additional seen-state scene transfer (open)</x:v>
      </x:c>
      <x:c r="F95" s="8" t="str">
        <x:v>SR-X14</x:v>
      </x:c>
      <x:c r="G95" s="8"/>
      <x:c r="H95" s="7" t="str">
        <x:v>Place the open brown cup in the bowl.</x:v>
      </x:c>
      <x:c r="I95" s="7" t="str">
        <x:v>P1 white cup B (C, UD); P2 brown cup B (O, UD) [TARGET]; P3 brown cup A (C, UD) [STATE COMPETITOR]; P4 yellow-white striped cup A (O, UR)</x:v>
      </x:c>
      <x:c r="J95" s="8" t="str">
        <x:v>brown cup B</x:v>
      </x:c>
      <x:c r="K95" s="8" t="str">
        <x:v>open</x:v>
      </x:c>
      <x:c r="L95" s="8" t="str">
        <x:v>brown cup</x:v>
      </x:c>
      <x:c r="M95" s="8" t="str">
        <x:v>Same-task seen category</x:v>
      </x:c>
      <x:c r="N95" s="7" t="str">
        <x:v>Build the listed same-category discrimination scene; both category instances must remain present.</x:v>
      </x:c>
      <x:c r="O95" s="7" t="str">
        <x:v>Unpaired primary-transfer coverage. Category and state are both present in the prompt, matching the training prompt structure.</x:v>
      </x:c>
      <x:c r="P95" s="7"/>
    </x:row>
    <x:row r="96" ht="60" customHeight="1">
      <x:c r="A96" s="8" t="n">
        <x:v>94</x:v>
      </x:c>
      <x:c r="B96" s="8" t="n">
        <x:v>35</x:v>
      </x:c>
      <x:c r="C96" s="8" t="str">
        <x:v>Additional transfer</x:v>
      </x:c>
      <x:c r="D96" s="8" t="str">
        <x:v>Concept/compositional transfer</x:v>
      </x:c>
      <x:c r="E96" s="7" t="str">
        <x:v>Cross-task object transfer — can orientation</x:v>
      </x:c>
      <x:c r="F96" s="8" t="str">
        <x:v>SR-CAN01</x:v>
      </x:c>
      <x:c r="G96" s="8"/>
      <x:c r="H96" s="7" t="str">
        <x:v>Put the upright can in the bowl.</x:v>
      </x:c>
      <x:c r="I96" s="7" t="str">
        <x:v>P1 crushed Coke can (UR) [TARGET]; P2 crushed Pepsi can (UD) [STATE COMPETITOR]; P3 white cup A (O, UD); P4 yellow-white striped cup B (C, UD)</x:v>
      </x:c>
      <x:c r="J96" s="8" t="str">
        <x:v>crushed Coke can</x:v>
      </x:c>
      <x:c r="K96" s="8" t="str">
        <x:v>upright</x:v>
      </x:c>
      <x:c r="L96" s="8" t="str">
        <x:v>can</x:v>
      </x:c>
      <x:c r="M96" s="8" t="str">
        <x:v>Cross-task seen; unseen in State Recognition</x:v>
      </x:c>
      <x:c r="N96" s="7" t="str">
        <x:v>Use both crushed cans. One must be upright and the other upside-down; the state word, not brand, selects the target.</x:v>
      </x:c>
      <x:c r="O96" s="7" t="str">
        <x:v>Cans were seen elsewhere in training, so these test cross-task composition rather than global visual novelty. Never assign open/closed to cans.</x:v>
      </x:c>
      <x:c r="P96" s="7"/>
    </x:row>
    <x:row r="97" ht="60" customHeight="1">
      <x:c r="A97" s="8" t="n">
        <x:v>95</x:v>
      </x:c>
      <x:c r="B97" s="8" t="n">
        <x:v>36</x:v>
      </x:c>
      <x:c r="C97" s="8" t="str">
        <x:v>Additional transfer</x:v>
      </x:c>
      <x:c r="D97" s="8" t="str">
        <x:v>Concept/compositional transfer</x:v>
      </x:c>
      <x:c r="E97" s="7" t="str">
        <x:v>Cross-task object transfer — can orientation</x:v>
      </x:c>
      <x:c r="F97" s="8" t="str">
        <x:v>SR-CAN02</x:v>
      </x:c>
      <x:c r="G97" s="8"/>
      <x:c r="H97" s="7" t="str">
        <x:v>Move the upright can into the bowl.</x:v>
      </x:c>
      <x:c r="I97" s="7" t="str">
        <x:v>P1 yellow-white striped cup B (C, UD); P2 crushed Pepsi can (UR) [TARGET]; P3 crushed Coke can (UD) [STATE COMPETITOR]; P4 brown cup A (O, UD)</x:v>
      </x:c>
      <x:c r="J97" s="8" t="str">
        <x:v>crushed Pepsi can</x:v>
      </x:c>
      <x:c r="K97" s="8" t="str">
        <x:v>upright</x:v>
      </x:c>
      <x:c r="L97" s="8" t="str">
        <x:v>can</x:v>
      </x:c>
      <x:c r="M97" s="8" t="str">
        <x:v>Cross-task seen; unseen in State Recognition</x:v>
      </x:c>
      <x:c r="N97" s="7" t="str">
        <x:v>Use both crushed cans. One must be upright and the other upside-down; the state word, not brand, selects the target.</x:v>
      </x:c>
      <x:c r="O97" s="7" t="str">
        <x:v>Cans were seen elsewhere in training, so these test cross-task composition rather than global visual novelty. Never assign open/closed to cans.</x:v>
      </x:c>
      <x:c r="P97" s="7"/>
    </x:row>
    <x:row r="98" ht="60" customHeight="1">
      <x:c r="A98" s="8" t="n">
        <x:v>96</x:v>
      </x:c>
      <x:c r="B98" s="8" t="n">
        <x:v>37</x:v>
      </x:c>
      <x:c r="C98" s="8" t="str">
        <x:v>Additional transfer</x:v>
      </x:c>
      <x:c r="D98" s="8" t="str">
        <x:v>Concept/compositional transfer</x:v>
      </x:c>
      <x:c r="E98" s="7" t="str">
        <x:v>Cross-task object transfer — can orientation</x:v>
      </x:c>
      <x:c r="F98" s="8" t="str">
        <x:v>SR-CAN03</x:v>
      </x:c>
      <x:c r="G98" s="8"/>
      <x:c r="H98" s="7" t="str">
        <x:v>Place the upright can in the bowl.</x:v>
      </x:c>
      <x:c r="I98" s="7" t="str">
        <x:v>P1 brown cup A (O, UD); P2 glass spice container B (C, UD); P3 crushed Coke can (UR) [TARGET]; P4 crushed Pepsi can (UD) [STATE COMPETITOR]</x:v>
      </x:c>
      <x:c r="J98" s="8" t="str">
        <x:v>crushed Coke can</x:v>
      </x:c>
      <x:c r="K98" s="8" t="str">
        <x:v>upright</x:v>
      </x:c>
      <x:c r="L98" s="8" t="str">
        <x:v>can</x:v>
      </x:c>
      <x:c r="M98" s="8" t="str">
        <x:v>Cross-task seen; unseen in State Recognition</x:v>
      </x:c>
      <x:c r="N98" s="7" t="str">
        <x:v>Use both crushed cans. One must be upright and the other upside-down; the state word, not brand, selects the target.</x:v>
      </x:c>
      <x:c r="O98" s="7" t="str">
        <x:v>Cans were seen elsewhere in training, so these test cross-task composition rather than global visual novelty. Never assign open/closed to cans.</x:v>
      </x:c>
      <x:c r="P98" s="7"/>
    </x:row>
    <x:row r="99" ht="60" customHeight="1">
      <x:c r="A99" s="8" t="n">
        <x:v>97</x:v>
      </x:c>
      <x:c r="B99" s="8" t="n">
        <x:v>38</x:v>
      </x:c>
      <x:c r="C99" s="8" t="str">
        <x:v>Additional transfer</x:v>
      </x:c>
      <x:c r="D99" s="8" t="str">
        <x:v>Concept/compositional transfer</x:v>
      </x:c>
      <x:c r="E99" s="7" t="str">
        <x:v>Cross-task object transfer — can orientation</x:v>
      </x:c>
      <x:c r="F99" s="8" t="str">
        <x:v>SR-CAN04</x:v>
      </x:c>
      <x:c r="G99" s="8"/>
      <x:c r="H99" s="7" t="str">
        <x:v>Put the upright can in the bowl.</x:v>
      </x:c>
      <x:c r="I99" s="7" t="str">
        <x:v>P1 crushed Coke can (UD) [STATE COMPETITOR]; P2 glass spice container A (O, UD); P3 white cup B (C, UD); P4 crushed Pepsi can (UR) [TARGET]</x:v>
      </x:c>
      <x:c r="J99" s="8" t="str">
        <x:v>crushed Pepsi can</x:v>
      </x:c>
      <x:c r="K99" s="8" t="str">
        <x:v>upright</x:v>
      </x:c>
      <x:c r="L99" s="8" t="str">
        <x:v>can</x:v>
      </x:c>
      <x:c r="M99" s="8" t="str">
        <x:v>Cross-task seen; unseen in State Recognition</x:v>
      </x:c>
      <x:c r="N99" s="7" t="str">
        <x:v>Use both crushed cans. One must be upright and the other upside-down; the state word, not brand, selects the target.</x:v>
      </x:c>
      <x:c r="O99" s="7" t="str">
        <x:v>Cans were seen elsewhere in training, so these test cross-task composition rather than global visual novelty. Never assign open/closed to cans.</x:v>
      </x:c>
      <x:c r="P99" s="7"/>
    </x:row>
    <x:row r="100" ht="60" customHeight="1">
      <x:c r="A100" s="8" t="n">
        <x:v>98</x:v>
      </x:c>
      <x:c r="B100" s="8" t="n">
        <x:v>39</x:v>
      </x:c>
      <x:c r="C100" s="8" t="str">
        <x:v>Additional transfer</x:v>
      </x:c>
      <x:c r="D100" s="8" t="str">
        <x:v>Concept/compositional transfer</x:v>
      </x:c>
      <x:c r="E100" s="7" t="str">
        <x:v>Cross-task object transfer — can orientation</x:v>
      </x:c>
      <x:c r="F100" s="8" t="str">
        <x:v>SR-CAN05</x:v>
      </x:c>
      <x:c r="G100" s="8"/>
      <x:c r="H100" s="7" t="str">
        <x:v>Move the upright can into the bowl.</x:v>
      </x:c>
      <x:c r="I100" s="7" t="str">
        <x:v>P1 crushed Coke can (UR) [TARGET]; P2 crushed Pepsi can (UD) [STATE COMPETITOR]; P3 white cup A (O, UD); P4 yellow-white striped cup B (C, UD)</x:v>
      </x:c>
      <x:c r="J100" s="8" t="str">
        <x:v>crushed Coke can</x:v>
      </x:c>
      <x:c r="K100" s="8" t="str">
        <x:v>upright</x:v>
      </x:c>
      <x:c r="L100" s="8" t="str">
        <x:v>can</x:v>
      </x:c>
      <x:c r="M100" s="8" t="str">
        <x:v>Cross-task seen; unseen in State Recognition</x:v>
      </x:c>
      <x:c r="N100" s="7" t="str">
        <x:v>Use both crushed cans. One must be upright and the other upside-down; the state word, not brand, selects the target.</x:v>
      </x:c>
      <x:c r="O100" s="7" t="str">
        <x:v>Cans were seen elsewhere in training, so these test cross-task composition rather than global visual novelty. Never assign open/closed to cans.</x:v>
      </x:c>
      <x:c r="P100" s="7"/>
    </x:row>
    <x:row r="101" ht="60" customHeight="1">
      <x:c r="A101" s="8" t="n">
        <x:v>99</x:v>
      </x:c>
      <x:c r="B101" s="8" t="n">
        <x:v>40</x:v>
      </x:c>
      <x:c r="C101" s="8" t="str">
        <x:v>Additional transfer</x:v>
      </x:c>
      <x:c r="D101" s="8" t="str">
        <x:v>Concept/compositional transfer</x:v>
      </x:c>
      <x:c r="E101" s="7" t="str">
        <x:v>Cross-task object transfer — can orientation</x:v>
      </x:c>
      <x:c r="F101" s="8" t="str">
        <x:v>SR-CAN06</x:v>
      </x:c>
      <x:c r="G101" s="8"/>
      <x:c r="H101" s="7" t="str">
        <x:v>Place the upside-down can in the bowl.</x:v>
      </x:c>
      <x:c r="I101" s="7" t="str">
        <x:v>P1 yellow-white striped cup B (C, UR); P2 crushed Pepsi can (UD) [TARGET]; P3 crushed Coke can (UR) [STATE COMPETITOR]; P4 brown cup A (O, UR)</x:v>
      </x:c>
      <x:c r="J101" s="8" t="str">
        <x:v>crushed Pepsi can</x:v>
      </x:c>
      <x:c r="K101" s="8" t="str">
        <x:v>upside-down</x:v>
      </x:c>
      <x:c r="L101" s="8" t="str">
        <x:v>can</x:v>
      </x:c>
      <x:c r="M101" s="8" t="str">
        <x:v>Cross-task seen; unseen in State Recognition</x:v>
      </x:c>
      <x:c r="N101" s="7" t="str">
        <x:v>Use both crushed cans. One must be upright and the other upside-down; the state word, not brand, selects the target.</x:v>
      </x:c>
      <x:c r="O101" s="7" t="str">
        <x:v>Cans were seen elsewhere in training, so these test cross-task composition rather than global visual novelty. Never assign open/closed to cans.</x:v>
      </x:c>
      <x:c r="P101" s="7"/>
    </x:row>
    <x:row r="102" ht="60" customHeight="1">
      <x:c r="A102" s="8" t="n">
        <x:v>100</x:v>
      </x:c>
      <x:c r="B102" s="8" t="n">
        <x:v>41</x:v>
      </x:c>
      <x:c r="C102" s="8" t="str">
        <x:v>Additional transfer</x:v>
      </x:c>
      <x:c r="D102" s="8" t="str">
        <x:v>Concept/compositional transfer</x:v>
      </x:c>
      <x:c r="E102" s="7" t="str">
        <x:v>Cross-task object transfer — can orientation</x:v>
      </x:c>
      <x:c r="F102" s="8" t="str">
        <x:v>SR-CAN07</x:v>
      </x:c>
      <x:c r="G102" s="8"/>
      <x:c r="H102" s="7" t="str">
        <x:v>Put the upside-down can in the bowl.</x:v>
      </x:c>
      <x:c r="I102" s="7" t="str">
        <x:v>P1 brown cup A (O, UR); P2 glass spice container B (C, UR); P3 crushed Coke can (UD) [TARGET]; P4 crushed Pepsi can (UR) [STATE COMPETITOR]</x:v>
      </x:c>
      <x:c r="J102" s="8" t="str">
        <x:v>crushed Coke can</x:v>
      </x:c>
      <x:c r="K102" s="8" t="str">
        <x:v>upside-down</x:v>
      </x:c>
      <x:c r="L102" s="8" t="str">
        <x:v>can</x:v>
      </x:c>
      <x:c r="M102" s="8" t="str">
        <x:v>Cross-task seen; unseen in State Recognition</x:v>
      </x:c>
      <x:c r="N102" s="7" t="str">
        <x:v>Use both crushed cans. One must be upright and the other upside-down; the state word, not brand, selects the target.</x:v>
      </x:c>
      <x:c r="O102" s="7" t="str">
        <x:v>Cans were seen elsewhere in training, so these test cross-task composition rather than global visual novelty. Never assign open/closed to cans.</x:v>
      </x:c>
      <x:c r="P102" s="7"/>
    </x:row>
    <x:row r="103" ht="60" customHeight="1">
      <x:c r="A103" s="8" t="n">
        <x:v>101</x:v>
      </x:c>
      <x:c r="B103" s="8" t="n">
        <x:v>42</x:v>
      </x:c>
      <x:c r="C103" s="8" t="str">
        <x:v>Additional transfer</x:v>
      </x:c>
      <x:c r="D103" s="8" t="str">
        <x:v>Concept/compositional transfer</x:v>
      </x:c>
      <x:c r="E103" s="7" t="str">
        <x:v>Cross-task object transfer — can orientation</x:v>
      </x:c>
      <x:c r="F103" s="8" t="str">
        <x:v>SR-CAN08</x:v>
      </x:c>
      <x:c r="G103" s="8"/>
      <x:c r="H103" s="7" t="str">
        <x:v>Move the upside-down can into the bowl.</x:v>
      </x:c>
      <x:c r="I103" s="7" t="str">
        <x:v>P1 crushed Coke can (UR) [STATE COMPETITOR]; P2 glass spice container A (O, UR); P3 white cup B (C, UR); P4 crushed Pepsi can (UD) [TARGET]</x:v>
      </x:c>
      <x:c r="J103" s="8" t="str">
        <x:v>crushed Pepsi can</x:v>
      </x:c>
      <x:c r="K103" s="8" t="str">
        <x:v>upside-down</x:v>
      </x:c>
      <x:c r="L103" s="8" t="str">
        <x:v>can</x:v>
      </x:c>
      <x:c r="M103" s="8" t="str">
        <x:v>Cross-task seen; unseen in State Recognition</x:v>
      </x:c>
      <x:c r="N103" s="7" t="str">
        <x:v>Use both crushed cans. One must be upright and the other upside-down; the state word, not brand, selects the target.</x:v>
      </x:c>
      <x:c r="O103" s="7" t="str">
        <x:v>Cans were seen elsewhere in training, so these test cross-task composition rather than global visual novelty. Never assign open/closed to cans.</x:v>
      </x:c>
      <x:c r="P103" s="7"/>
    </x:row>
    <x:row r="104" ht="60" customHeight="1">
      <x:c r="A104" s="8" t="n">
        <x:v>102</x:v>
      </x:c>
      <x:c r="B104" s="8" t="n">
        <x:v>43</x:v>
      </x:c>
      <x:c r="C104" s="8" t="str">
        <x:v>Exploratory abstraction</x:v>
      </x:c>
      <x:c r="D104" s="8" t="str">
        <x:v>Concept/compositional transfer</x:v>
      </x:c>
      <x:c r="E104" s="7" t="str">
        <x:v>Exploratory category-free state abstraction</x:v>
      </x:c>
      <x:c r="F104" s="8" t="str">
        <x:v>SR-OBJ01</x:v>
      </x:c>
      <x:c r="G104" s="8"/>
      <x:c r="H104" s="7" t="str">
        <x:v>Place the closed object in the bowl.</x:v>
      </x:c>
      <x:c r="I104" s="7" t="str">
        <x:v>P1 white cup A (C, UR) [TARGET]; P2 yellow-white striped cup B (O, UD); P3 brown cup A (O, UR); P4 glass spice container B (O, UD)</x:v>
      </x:c>
      <x:c r="J104" s="8" t="str">
        <x:v>white cup A</x:v>
      </x:c>
      <x:c r="K104" s="8" t="str">
        <x:v>closed</x:v>
      </x:c>
      <x:c r="L104" s="8" t="str">
        <x:v>object</x:v>
      </x:c>
      <x:c r="M104" s="8" t="str">
        <x:v>Mixed known objects; novel prompt structure</x:v>
      </x:c>
      <x:c r="N104" s="7" t="str">
        <x:v>Exactly one object in the entire scene may satisfy the queried state; all three distractors must be opposite on that axis.</x:v>
      </x:c>
      <x:c r="O104" s="7" t="str">
        <x:v>Out-of-training-distribution prompt structure. Report separately; do not let these eight trials drive the main category-bearing State Recognition conclusion.</x:v>
      </x:c>
      <x:c r="P104" s="7"/>
    </x:row>
    <x:row r="105" ht="60" customHeight="1">
      <x:c r="A105" s="8" t="n">
        <x:v>103</x:v>
      </x:c>
      <x:c r="B105" s="8" t="n">
        <x:v>44</x:v>
      </x:c>
      <x:c r="C105" s="8" t="str">
        <x:v>Exploratory abstraction</x:v>
      </x:c>
      <x:c r="D105" s="8" t="str">
        <x:v>Concept/compositional transfer</x:v>
      </x:c>
      <x:c r="E105" s="7" t="str">
        <x:v>Exploratory category-free state abstraction</x:v>
      </x:c>
      <x:c r="F105" s="8" t="str">
        <x:v>SR-OBJ02</x:v>
      </x:c>
      <x:c r="G105" s="8"/>
      <x:c r="H105" s="7" t="str">
        <x:v>Put the closed object in the bowl.</x:v>
      </x:c>
      <x:c r="I105" s="7" t="str">
        <x:v>P1 yellow-white striped cup B (O, UD); P2 brown cup A (C, UR) [TARGET]; P3 glass spice container B (O, UD); P4 white cup A (O, UR)</x:v>
      </x:c>
      <x:c r="J105" s="8" t="str">
        <x:v>brown cup A</x:v>
      </x:c>
      <x:c r="K105" s="8" t="str">
        <x:v>closed</x:v>
      </x:c>
      <x:c r="L105" s="8" t="str">
        <x:v>object</x:v>
      </x:c>
      <x:c r="M105" s="8" t="str">
        <x:v>Mixed known objects; novel prompt structure</x:v>
      </x:c>
      <x:c r="N105" s="7" t="str">
        <x:v>Exactly one object in the entire scene may satisfy the queried state; all three distractors must be opposite on that axis.</x:v>
      </x:c>
      <x:c r="O105" s="7" t="str">
        <x:v>Out-of-training-distribution prompt structure. Report separately; do not let these eight trials drive the main category-bearing State Recognition conclusion.</x:v>
      </x:c>
      <x:c r="P105" s="7"/>
    </x:row>
    <x:row r="106" ht="60" customHeight="1">
      <x:c r="A106" s="8" t="n">
        <x:v>104</x:v>
      </x:c>
      <x:c r="B106" s="8" t="n">
        <x:v>45</x:v>
      </x:c>
      <x:c r="C106" s="8" t="str">
        <x:v>Exploratory abstraction</x:v>
      </x:c>
      <x:c r="D106" s="8" t="str">
        <x:v>Concept/compositional transfer</x:v>
      </x:c>
      <x:c r="E106" s="7" t="str">
        <x:v>Exploratory category-free state abstraction</x:v>
      </x:c>
      <x:c r="F106" s="8" t="str">
        <x:v>SR-OBJ03</x:v>
      </x:c>
      <x:c r="G106" s="8"/>
      <x:c r="H106" s="7" t="str">
        <x:v>Move the open object into the bowl.</x:v>
      </x:c>
      <x:c r="I106" s="7" t="str">
        <x:v>P1 brown cup A (C, UR); P2 glass spice container B (C, UD); P3 white cup A (O, UR) [TARGET]; P4 yellow-white striped cup B (C, UD)</x:v>
      </x:c>
      <x:c r="J106" s="8" t="str">
        <x:v>white cup A</x:v>
      </x:c>
      <x:c r="K106" s="8" t="str">
        <x:v>open</x:v>
      </x:c>
      <x:c r="L106" s="8" t="str">
        <x:v>object</x:v>
      </x:c>
      <x:c r="M106" s="8" t="str">
        <x:v>Mixed known objects; novel prompt structure</x:v>
      </x:c>
      <x:c r="N106" s="7" t="str">
        <x:v>Exactly one object in the entire scene may satisfy the queried state; all three distractors must be opposite on that axis.</x:v>
      </x:c>
      <x:c r="O106" s="7" t="str">
        <x:v>Out-of-training-distribution prompt structure. Report separately; do not let these eight trials drive the main category-bearing State Recognition conclusion.</x:v>
      </x:c>
      <x:c r="P106" s="7"/>
    </x:row>
    <x:row r="107" ht="60" customHeight="1">
      <x:c r="A107" s="8" t="n">
        <x:v>105</x:v>
      </x:c>
      <x:c r="B107" s="8" t="n">
        <x:v>46</x:v>
      </x:c>
      <x:c r="C107" s="8" t="str">
        <x:v>Exploratory abstraction</x:v>
      </x:c>
      <x:c r="D107" s="8" t="str">
        <x:v>Concept/compositional transfer</x:v>
      </x:c>
      <x:c r="E107" s="7" t="str">
        <x:v>Exploratory category-free state abstraction</x:v>
      </x:c>
      <x:c r="F107" s="8" t="str">
        <x:v>SR-OBJ04</x:v>
      </x:c>
      <x:c r="G107" s="8"/>
      <x:c r="H107" s="7" t="str">
        <x:v>Place the open object in the bowl.</x:v>
      </x:c>
      <x:c r="I107" s="7" t="str">
        <x:v>P1 glass spice container B (C, UD); P2 white cup A (C, UR); P3 yellow-white striped cup B (C, UD); P4 brown cup A (O, UR) [TARGET]</x:v>
      </x:c>
      <x:c r="J107" s="8" t="str">
        <x:v>brown cup A</x:v>
      </x:c>
      <x:c r="K107" s="8" t="str">
        <x:v>open</x:v>
      </x:c>
      <x:c r="L107" s="8" t="str">
        <x:v>object</x:v>
      </x:c>
      <x:c r="M107" s="8" t="str">
        <x:v>Mixed known objects; novel prompt structure</x:v>
      </x:c>
      <x:c r="N107" s="7" t="str">
        <x:v>Exactly one object in the entire scene may satisfy the queried state; all three distractors must be opposite on that axis.</x:v>
      </x:c>
      <x:c r="O107" s="7" t="str">
        <x:v>Out-of-training-distribution prompt structure. Report separately; do not let these eight trials drive the main category-bearing State Recognition conclusion.</x:v>
      </x:c>
      <x:c r="P107" s="7"/>
    </x:row>
    <x:row r="108" ht="60" customHeight="1">
      <x:c r="A108" s="8" t="n">
        <x:v>106</x:v>
      </x:c>
      <x:c r="B108" s="8" t="n">
        <x:v>47</x:v>
      </x:c>
      <x:c r="C108" s="8" t="str">
        <x:v>Exploratory abstraction</x:v>
      </x:c>
      <x:c r="D108" s="8" t="str">
        <x:v>Concept/compositional transfer</x:v>
      </x:c>
      <x:c r="E108" s="7" t="str">
        <x:v>Exploratory category-free state abstraction</x:v>
      </x:c>
      <x:c r="F108" s="8" t="str">
        <x:v>SR-OBJ05</x:v>
      </x:c>
      <x:c r="G108" s="8"/>
      <x:c r="H108" s="7" t="str">
        <x:v>Put the upright object in the bowl.</x:v>
      </x:c>
      <x:c r="I108" s="7" t="str">
        <x:v>P1 white cup A (O, UR) [TARGET]; P2 yellow-white striped cup B (C, UD); P3 brown cup A (O, UD); P4 glass spice container B (C, UD)</x:v>
      </x:c>
      <x:c r="J108" s="8" t="str">
        <x:v>white cup A</x:v>
      </x:c>
      <x:c r="K108" s="8" t="str">
        <x:v>upright</x:v>
      </x:c>
      <x:c r="L108" s="8" t="str">
        <x:v>object</x:v>
      </x:c>
      <x:c r="M108" s="8" t="str">
        <x:v>Mixed known objects; novel prompt structure</x:v>
      </x:c>
      <x:c r="N108" s="7" t="str">
        <x:v>Exactly one object in the entire scene may satisfy the queried state; all three distractors must be opposite on that axis.</x:v>
      </x:c>
      <x:c r="O108" s="7" t="str">
        <x:v>Out-of-training-distribution prompt structure. Report separately; do not let these eight trials drive the main category-bearing State Recognition conclusion.</x:v>
      </x:c>
      <x:c r="P108" s="7"/>
    </x:row>
    <x:row r="109" ht="60" customHeight="1">
      <x:c r="A109" s="8" t="n">
        <x:v>107</x:v>
      </x:c>
      <x:c r="B109" s="8" t="n">
        <x:v>48</x:v>
      </x:c>
      <x:c r="C109" s="8" t="str">
        <x:v>Exploratory abstraction</x:v>
      </x:c>
      <x:c r="D109" s="8" t="str">
        <x:v>Concept/compositional transfer</x:v>
      </x:c>
      <x:c r="E109" s="7" t="str">
        <x:v>Exploratory category-free state abstraction</x:v>
      </x:c>
      <x:c r="F109" s="8" t="str">
        <x:v>SR-OBJ06</x:v>
      </x:c>
      <x:c r="G109" s="8"/>
      <x:c r="H109" s="7" t="str">
        <x:v>Move the upright object into the bowl.</x:v>
      </x:c>
      <x:c r="I109" s="7" t="str">
        <x:v>P1 yellow-white striped cup B (C, UD); P2 brown cup A (O, UR) [TARGET]; P3 glass spice container B (C, UD); P4 white cup A (O, UD)</x:v>
      </x:c>
      <x:c r="J109" s="8" t="str">
        <x:v>brown cup A</x:v>
      </x:c>
      <x:c r="K109" s="8" t="str">
        <x:v>upright</x:v>
      </x:c>
      <x:c r="L109" s="8" t="str">
        <x:v>object</x:v>
      </x:c>
      <x:c r="M109" s="8" t="str">
        <x:v>Mixed known objects; novel prompt structure</x:v>
      </x:c>
      <x:c r="N109" s="7" t="str">
        <x:v>Exactly one object in the entire scene may satisfy the queried state; all three distractors must be opposite on that axis.</x:v>
      </x:c>
      <x:c r="O109" s="7" t="str">
        <x:v>Out-of-training-distribution prompt structure. Report separately; do not let these eight trials drive the main category-bearing State Recognition conclusion.</x:v>
      </x:c>
      <x:c r="P109" s="7"/>
    </x:row>
    <x:row r="110" ht="60" customHeight="1">
      <x:c r="A110" s="8" t="n">
        <x:v>108</x:v>
      </x:c>
      <x:c r="B110" s="8" t="n">
        <x:v>49</x:v>
      </x:c>
      <x:c r="C110" s="8" t="str">
        <x:v>Exploratory abstraction</x:v>
      </x:c>
      <x:c r="D110" s="8" t="str">
        <x:v>Concept/compositional transfer</x:v>
      </x:c>
      <x:c r="E110" s="7" t="str">
        <x:v>Exploratory category-free state abstraction</x:v>
      </x:c>
      <x:c r="F110" s="8" t="str">
        <x:v>SR-OBJ07</x:v>
      </x:c>
      <x:c r="G110" s="8"/>
      <x:c r="H110" s="7" t="str">
        <x:v>Place the upside-down object in the bowl.</x:v>
      </x:c>
      <x:c r="I110" s="7" t="str">
        <x:v>P1 brown cup A (O, UR); P2 glass spice container B (C, UR); P3 white cup A (O, UD) [TARGET]; P4 yellow-white striped cup B (C, UR)</x:v>
      </x:c>
      <x:c r="J110" s="8" t="str">
        <x:v>white cup A</x:v>
      </x:c>
      <x:c r="K110" s="8" t="str">
        <x:v>upside-down</x:v>
      </x:c>
      <x:c r="L110" s="8" t="str">
        <x:v>object</x:v>
      </x:c>
      <x:c r="M110" s="8" t="str">
        <x:v>Mixed known objects; novel prompt structure</x:v>
      </x:c>
      <x:c r="N110" s="7" t="str">
        <x:v>Exactly one object in the entire scene may satisfy the queried state; all three distractors must be opposite on that axis.</x:v>
      </x:c>
      <x:c r="O110" s="7" t="str">
        <x:v>Out-of-training-distribution prompt structure. Report separately; do not let these eight trials drive the main category-bearing State Recognition conclusion.</x:v>
      </x:c>
      <x:c r="P110" s="7"/>
    </x:row>
    <x:row r="111" ht="60" customHeight="1">
      <x:c r="A111" s="8" t="n">
        <x:v>109</x:v>
      </x:c>
      <x:c r="B111" s="8" t="n">
        <x:v>50</x:v>
      </x:c>
      <x:c r="C111" s="8" t="str">
        <x:v>Exploratory abstraction</x:v>
      </x:c>
      <x:c r="D111" s="8" t="str">
        <x:v>Concept/compositional transfer</x:v>
      </x:c>
      <x:c r="E111" s="7" t="str">
        <x:v>Exploratory category-free state abstraction</x:v>
      </x:c>
      <x:c r="F111" s="8" t="str">
        <x:v>SR-OBJ08</x:v>
      </x:c>
      <x:c r="G111" s="8"/>
      <x:c r="H111" s="7" t="str">
        <x:v>Put the upside-down object in the bowl.</x:v>
      </x:c>
      <x:c r="I111" s="7" t="str">
        <x:v>P1 glass spice container B (C, UR); P2 white cup A (O, UR); P3 yellow-white striped cup B (C, UR); P4 brown cup A (O, UD) [TARGET]</x:v>
      </x:c>
      <x:c r="J111" s="8" t="str">
        <x:v>brown cup A</x:v>
      </x:c>
      <x:c r="K111" s="8" t="str">
        <x:v>upside-down</x:v>
      </x:c>
      <x:c r="L111" s="8" t="str">
        <x:v>object</x:v>
      </x:c>
      <x:c r="M111" s="8" t="str">
        <x:v>Mixed known objects; novel prompt structure</x:v>
      </x:c>
      <x:c r="N111" s="7" t="str">
        <x:v>Exactly one object in the entire scene may satisfy the queried state; all three distractors must be opposite on that axis.</x:v>
      </x:c>
      <x:c r="O111" s="7" t="str">
        <x:v>Out-of-training-distribution prompt structure. Report separately; do not let these eight trials drive the main category-bearing State Recognition conclusion.</x:v>
      </x:c>
      <x:c r="P111" s="7"/>
    </x:row>
  </x:sheetData>
  <x:conditionalFormatting sqref="D2:D111">
    <x:cfRule type="containsText" dxfId="0" priority="1" operator="containsText" text="Concept/compositional transfer"/>
    <x:cfRule type="containsText" dxfId="1" priority="2" operator="containsText" text="Matched manipulation control"/>
    <x:cfRule type="containsText" dxfId="2" priority="3" operator="containsText" text="Visual generalization"/>
    <x:cfRule type="containsText" dxfId="3" priority="4" operator="containsText" text="Language robustness"/>
  </x:conditionalFormatting>
  <x:conditionalFormatting sqref="M2:M111">
    <x:cfRule type="containsText" dxfId="4" priority="5" operator="containsText" text="confirmation required"/>
  </x:conditionalFormatting>
  <x:pageMargins left="0.7" right="0.7" top="0.75" bottom="0.75" header="0.3" footer="0.3"/>
  <x:tableParts count="1">
    <x:tablePart xmlns:r="http://schemas.openxmlformats.org/officeDocument/2006/relationships" r:id="R0cced4dab84449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30" hidden="0" customWidth="1"/>
    <x:col min="4" max="4" width="32" hidden="0" customWidth="1"/>
    <x:col min="5" max="5" width="31" hidden="0" customWidth="1"/>
    <x:col min="6" max="6" width="42" hidden="0" customWidth="1"/>
    <x:col min="7" max="7" width="28" hidden="0" customWidth="1"/>
    <x:col min="8" max="8" width="62" hidden="0" customWidth="1"/>
  </x:cols>
  <x:sheetData>
    <x:row r="1" ht="34" customHeight="1">
      <x:c r="A1" s="4" t="str">
        <x:v>Slot / Object</x:v>
      </x:c>
      <x:c r="B1" s="4" t="str">
        <x:v>Prompt Category Phrase</x:v>
      </x:c>
      <x:c r="C1" s="4" t="str">
        <x:v>Instance A</x:v>
      </x:c>
      <x:c r="D1" s="4" t="str">
        <x:v>Instance B</x:v>
      </x:c>
      <x:c r="E1" s="4" t="str">
        <x:v>Valid States</x:v>
      </x:c>
      <x:c r="F1" s="4" t="str">
        <x:v>Training Exposure</x:v>
      </x:c>
      <x:c r="G1" s="4" t="str">
        <x:v>Visual Tier</x:v>
      </x:c>
      <x:c r="H1" s="4" t="str">
        <x:v>Rule</x:v>
      </x:c>
    </x:row>
    <x:row r="2" ht="56" customHeight="1">
      <x:c r="A2" s="7" t="str">
        <x:v>white cup A/B</x:v>
      </x:c>
      <x:c r="B2" s="7" t="str">
        <x:v>white cup</x:v>
      </x:c>
      <x:c r="C2" s="7" t="str">
        <x:v>white cup A</x:v>
      </x:c>
      <x:c r="D2" s="7" t="str">
        <x:v>white cup B</x:v>
      </x:c>
      <x:c r="E2" s="7" t="str">
        <x:v>open/closed and upright/upside-down</x:v>
      </x:c>
      <x:c r="F2" s="7" t="str">
        <x:v>Seen in State Recognition</x:v>
      </x:c>
      <x:c r="G2" s="7" t="str">
        <x:v>Known</x:v>
      </x:c>
      <x:c r="H2" s="7" t="str">
        <x:v>Two same-category instances</x:v>
      </x:c>
    </x:row>
    <x:row r="3" ht="56" customHeight="1">
      <x:c r="A3" s="7" t="str">
        <x:v>striped cup A/B</x:v>
      </x:c>
      <x:c r="B3" s="7" t="str">
        <x:v>yellow-white striped cup</x:v>
      </x:c>
      <x:c r="C3" s="7" t="str">
        <x:v>yellow-white striped cup A</x:v>
      </x:c>
      <x:c r="D3" s="7" t="str">
        <x:v>yellow-white striped cup B</x:v>
      </x:c>
      <x:c r="E3" s="7" t="str">
        <x:v>open/closed and upright/upside-down</x:v>
      </x:c>
      <x:c r="F3" s="7" t="str">
        <x:v>Seen in State Recognition</x:v>
      </x:c>
      <x:c r="G3" s="7" t="str">
        <x:v>Known</x:v>
      </x:c>
      <x:c r="H3" s="7" t="str">
        <x:v>Two same-category instances</x:v>
      </x:c>
    </x:row>
    <x:row r="4" ht="56" customHeight="1">
      <x:c r="A4" s="7" t="str">
        <x:v>brown cup A/B</x:v>
      </x:c>
      <x:c r="B4" s="7" t="str">
        <x:v>brown cup</x:v>
      </x:c>
      <x:c r="C4" s="7" t="str">
        <x:v>brown cup A</x:v>
      </x:c>
      <x:c r="D4" s="7" t="str">
        <x:v>brown cup B</x:v>
      </x:c>
      <x:c r="E4" s="7" t="str">
        <x:v>open/closed and upright/upside-down</x:v>
      </x:c>
      <x:c r="F4" s="7" t="str">
        <x:v>Seen in State Recognition</x:v>
      </x:c>
      <x:c r="G4" s="7" t="str">
        <x:v>Known</x:v>
      </x:c>
      <x:c r="H4" s="7" t="str">
        <x:v>Two same-category instances</x:v>
      </x:c>
    </x:row>
    <x:row r="5" ht="56" customHeight="1">
      <x:c r="A5" s="7" t="str">
        <x:v>glass spice container A/B</x:v>
      </x:c>
      <x:c r="B5" s="7" t="str">
        <x:v>glass spice container</x:v>
      </x:c>
      <x:c r="C5" s="7" t="str">
        <x:v>glass spice container A</x:v>
      </x:c>
      <x:c r="D5" s="7" t="str">
        <x:v>glass spice container B</x:v>
      </x:c>
      <x:c r="E5" s="7" t="str">
        <x:v>open/closed and upright/upside-down</x:v>
      </x:c>
      <x:c r="F5" s="7" t="str">
        <x:v>Seen in State Recognition</x:v>
      </x:c>
      <x:c r="G5" s="7" t="str">
        <x:v>Known</x:v>
      </x:c>
      <x:c r="H5" s="7" t="str">
        <x:v>Two same-category instances</x:v>
      </x:c>
    </x:row>
    <x:row r="6" ht="56" customHeight="1">
      <x:c r="A6" s="7" t="str">
        <x:v>crushed Coke can</x:v>
      </x:c>
      <x:c r="B6" s="7" t="str">
        <x:v>can</x:v>
      </x:c>
      <x:c r="C6" s="7" t="str">
        <x:v>crushed Coke can</x:v>
      </x:c>
      <x:c r="D6" s="7"/>
      <x:c r="E6" s="7" t="str">
        <x:v>upright/upside-down only</x:v>
      </x:c>
      <x:c r="F6" s="7" t="str">
        <x:v>Seen in another training task</x:v>
      </x:c>
      <x:c r="G6" s="7" t="str">
        <x:v>Cross-task seen</x:v>
      </x:c>
      <x:c r="H6" s="7" t="str">
        <x:v>Never label open/closed</x:v>
      </x:c>
    </x:row>
    <x:row r="7" ht="56" customHeight="1">
      <x:c r="A7" s="7" t="str">
        <x:v>crushed Pepsi can</x:v>
      </x:c>
      <x:c r="B7" s="7" t="str">
        <x:v>can</x:v>
      </x:c>
      <x:c r="C7" s="7" t="str">
        <x:v>crushed Pepsi can</x:v>
      </x:c>
      <x:c r="D7" s="7"/>
      <x:c r="E7" s="7" t="str">
        <x:v>upright/upside-down only</x:v>
      </x:c>
      <x:c r="F7" s="7" t="str">
        <x:v>Seen in another training task</x:v>
      </x:c>
      <x:c r="G7" s="7" t="str">
        <x:v>Cross-task seen</x:v>
      </x:c>
      <x:c r="H7" s="7" t="str">
        <x:v>Never label open/closed</x:v>
      </x:c>
    </x:row>
    <x:row r="8" ht="56" customHeight="1">
      <x:c r="A8" s="11" t="str">
        <x:v>U1 — edit before collection</x:v>
      </x:c>
      <x:c r="B8" s="11" t="str">
        <x:v>black cup</x:v>
      </x:c>
      <x:c r="C8" s="11" t="str">
        <x:v>U1-A: first black cup</x:v>
      </x:c>
      <x:c r="D8" s="11" t="str">
        <x:v>U1-B: second matched black cup</x:v>
      </x:c>
      <x:c r="E8" s="11" t="str">
        <x:v>open/closed</x:v>
      </x:c>
      <x:c r="F8" s="11" t="str">
        <x:v>Must be absent from all 1,200 training episodes</x:v>
      </x:c>
      <x:c r="G8" s="11" t="str">
        <x:v>Globally unseen candidate</x:v>
      </x:c>
      <x:c r="H8" s="11" t="str">
        <x:v>User example is valid only if two black cups are present in opposite states</x:v>
      </x:c>
    </x:row>
    <x:row r="9" ht="56" customHeight="1">
      <x:c r="A9" s="11" t="str">
        <x:v>U2 — edit before collection</x:v>
      </x:c>
      <x:c r="B9" s="11" t="str">
        <x:v>new lidded container</x:v>
      </x:c>
      <x:c r="C9" s="11" t="str">
        <x:v>U2-A: first matched instance</x:v>
      </x:c>
      <x:c r="D9" s="11" t="str">
        <x:v>U2-B: second matched instance</x:v>
      </x:c>
      <x:c r="E9" s="11" t="str">
        <x:v>open/closed</x:v>
      </x:c>
      <x:c r="F9" s="11" t="str">
        <x:v>Must be absent from all 1,200 training episodes</x:v>
      </x:c>
      <x:c r="G9" s="11" t="str">
        <x:v>Globally unseen candidate</x:v>
      </x:c>
      <x:c r="H9" s="11" t="str">
        <x:v>Use two visually matched instances; both alternate target/competitor roles</x:v>
      </x:c>
    </x:row>
    <x:row r="10" ht="56" customHeight="1">
      <x:c r="A10" s="11" t="str">
        <x:v>U3 — edit before collection</x:v>
      </x:c>
      <x:c r="B10" s="11" t="str">
        <x:v>new bottle</x:v>
      </x:c>
      <x:c r="C10" s="11" t="str">
        <x:v>U3-A: first matched instance</x:v>
      </x:c>
      <x:c r="D10" s="11" t="str">
        <x:v>U3-B: second matched instance</x:v>
      </x:c>
      <x:c r="E10" s="11" t="str">
        <x:v>upright/upside-down</x:v>
      </x:c>
      <x:c r="F10" s="11" t="str">
        <x:v>Must be absent from all 1,200 training episodes</x:v>
      </x:c>
      <x:c r="G10" s="11" t="str">
        <x:v>Globally unseen candidate</x:v>
      </x:c>
      <x:c r="H10" s="11" t="str">
        <x:v>Top and bottom must be unmistakable</x:v>
      </x:c>
    </x:row>
    <x:row r="11" ht="56" customHeight="1">
      <x:c r="A11" s="11" t="str">
        <x:v>U4 — edit before collection</x:v>
      </x:c>
      <x:c r="B11" s="11" t="str">
        <x:v>new asymmetric container</x:v>
      </x:c>
      <x:c r="C11" s="11" t="str">
        <x:v>U4-A: first matched instance</x:v>
      </x:c>
      <x:c r="D11" s="11" t="str">
        <x:v>U4-B: second matched instance</x:v>
      </x:c>
      <x:c r="E11" s="11" t="str">
        <x:v>upright/upside-down</x:v>
      </x:c>
      <x:c r="F11" s="11" t="str">
        <x:v>Must be absent from all 1,200 training episodes</x:v>
      </x:c>
      <x:c r="G11" s="11" t="str">
        <x:v>Globally unseen candidate</x:v>
      </x:c>
      <x:c r="H11" s="11" t="str">
        <x:v>Use a distinct shape/material from U3</x:v>
      </x:c>
    </x:row>
    <x:row r="12" ht="56" customHeight="1">
      <x:c r="A12" s="12" t="str">
        <x:v>Optional orange block</x:v>
      </x:c>
      <x:c r="B12" s="12" t="str">
        <x:v>orange block</x:v>
      </x:c>
      <x:c r="C12" s="12" t="str">
        <x:v>orange block</x:v>
      </x:c>
      <x:c r="D12" s="12"/>
      <x:c r="E12" s="12" t="str">
        <x:v>orientation only if visually asymmetric</x:v>
      </x:c>
      <x:c r="F12" s="12" t="str">
        <x:v>Same shape as a seen block</x:v>
      </x:c>
      <x:c r="G12" s="12" t="str">
        <x:v>Near-OOD color-only</x:v>
      </x:c>
      <x:c r="H12" s="12" t="str">
        <x:v>Not globally unseen; do not use for orientation if rotation looks identical</x:v>
      </x:c>
    </x:row>
  </x:sheetData>
  <x:pageMargins left="0.7" right="0.7" top="0.75" bottom="0.75" header="0.3" footer="0.3"/>
  <x:tableParts count="1">
    <x:tablePart xmlns:r="http://schemas.openxmlformats.org/officeDocument/2006/relationships" r:id="R832dd6618d2c41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5" hidden="0" customWidth="1"/>
    <x:col min="3" max="3" width="78" hidden="0" customWidth="1"/>
  </x:cols>
  <x:sheetData>
    <x:row r="1" ht="34" customHeight="1">
      <x:c r="A1" s="4" t="str">
        <x:v>Training / Evaluation Feature</x:v>
      </x:c>
      <x:c r="B1" s="4" t="str">
        <x:v>Observed in planned State Recognition training</x:v>
      </x:c>
      <x:c r="C1" s="4" t="str">
        <x:v>Evaluation consequence</x:v>
      </x:c>
    </x:row>
    <x:row r="2" ht="50" customHeight="1">
      <x:c r="A2" s="7" t="str">
        <x:v>State Recognition episodes</x:v>
      </x:c>
      <x:c r="B2" s="7" t="n">
        <x:v>200</x:v>
      </x:c>
      <x:c r="C2" s="7" t="str">
        <x:v>Evaluation remains one 110-trial task block.</x:v>
      </x:c>
    </x:row>
    <x:row r="3" ht="50" customHeight="1">
      <x:c r="A3" s="7" t="str">
        <x:v>Explicit open prompts</x:v>
      </x:c>
      <x:c r="B3" s="7" t="n">
        <x:v>33</x:v>
      </x:c>
      <x:c r="C3" s="7" t="str">
        <x:v>Use state + category as the canonical seen-language structure.</x:v>
      </x:c>
    </x:row>
    <x:row r="4" ht="50" customHeight="1">
      <x:c r="A4" s="7" t="str">
        <x:v>Explicit upside-down prompts</x:v>
      </x:c>
      <x:c r="B4" s="7" t="n">
        <x:v>16</x:v>
      </x:c>
      <x:c r="C4" s="7" t="str">
        <x:v>Use state + category as the canonical seen-language structure.</x:v>
      </x:c>
    </x:row>
    <x:row r="5" ht="50" customHeight="1">
      <x:c r="A5" s="7" t="str">
        <x:v>Explicit closed prompts</x:v>
      </x:c>
      <x:c r="B5" s="7" t="n">
        <x:v>0</x:v>
      </x:c>
      <x:c r="C5" s="7" t="str">
        <x:v>Closed remains a fine-tuning-held-out state word.</x:v>
      </x:c>
    </x:row>
    <x:row r="6" ht="50" customHeight="1">
      <x:c r="A6" s="7" t="str">
        <x:v>Explicit upright prompts</x:v>
      </x:c>
      <x:c r="B6" s="7" t="n">
        <x:v>0</x:v>
      </x:c>
      <x:c r="C6" s="7" t="str">
        <x:v>Upright remains a fine-tuning-held-out state word.</x:v>
      </x:c>
    </x:row>
    <x:row r="7" ht="50" customHeight="1">
      <x:c r="A7" s="7" t="str">
        <x:v>State prompts using object/item</x:v>
      </x:c>
      <x:c r="B7" s="7" t="n">
        <x:v>0</x:v>
      </x:c>
      <x:c r="C7" s="7" t="str">
        <x:v>Generic-object prompts are an exploratory abstraction test, not the main endpoint.</x:v>
      </x:c>
    </x:row>
    <x:row r="8" ht="50" customHeight="1">
      <x:c r="A8" s="7" t="str">
        <x:v>Explicit state scene structure</x:v>
      </x:c>
      <x:c r="B8" s="7" t="str">
        <x:v>Same-category discrimination</x:v>
      </x:c>
      <x:c r="C8" s="7" t="str">
        <x:v>Main and visual trials contain two objects matching the prompted category in opposite states.</x:v>
      </x:c>
    </x:row>
    <x:row r="9" ht="50" customHeight="1">
      <x:c r="A9" s="7" t="str">
        <x:v>Planned 61 recollections</x:v>
      </x:c>
      <x:c r="B9" s="7" t="str">
        <x:v>Generic category prompts; one target-category object</x:v>
      </x:c>
      <x:c r="C9" s="7" t="str">
        <x:v>They remove ambiguous supervision but do not create generic state-word training prompts.</x:v>
      </x:c>
    </x:row>
    <x:row r="10" ht="50" customHeight="1">
      <x:c r="A10" s="7" t="str">
        <x:v>Source workbook</x:v>
      </x:c>
      <x:c r="B10" s="7" t="str">
        <x:v>/Users/justintiensmith/Downloads/VLA_Reasoning_Dataset_Info_Planned_After_61_Recollections.xlsx</x:v>
      </x:c>
      <x:c r="C10" s="7" t="str">
        <x:v>Counts and prompt structure checked before this revision.</x:v>
      </x:c>
    </x:row>
  </x:sheetData>
  <x:pageMargins left="0.7" right="0.7" top="0.75" bottom="0.75" header="0.3" footer="0.3"/>
  <x:tableParts count="1">
    <x:tablePart xmlns:r="http://schemas.openxmlformats.org/officeDocument/2006/relationships" r:id="Rb945bdc518664d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0" hidden="0" customWidth="1"/>
  </x:cols>
  <x:sheetData>
    <x:row r="1" ht="36" customHeight="1">
      <x:c r="A1" s="20" t="str">
        <x:v>STATE RECOGNITION EVALUATION — REVISED COLLECTION ORDER</x:v>
      </x:c>
      <x:c r="B1" s="20"/>
    </x:row>
    <x:row r="2" ht="54" customHeight="1">
      <x:c r="A2" s="21" t="str">
        <x:v>Rows 0-79</x:v>
      </x:c>
      <x:c r="B2" s="22" t="str">
        <x:v>Twenty four-row blocks: canonical transfer → matched control → novel-object canonical → novel-object paraphrase.</x:v>
      </x:c>
    </x:row>
    <x:row r="3" ht="54" customHeight="1">
      <x:c r="A3" s="21" t="str">
        <x:v>Step 1</x:v>
      </x:c>
      <x:c r="B3" s="22" t="str">
        <x:v>Two objects match the prompted category and differ only on the queried state axis. Use prompts such as ‘Place the closed white cup in the bowl.’</x:v>
      </x:c>
    </x:row>
    <x:row r="4" ht="54" customHeight="1">
      <x:c r="A4" s="21" t="str">
        <x:v>Step 2</x:v>
      </x:c>
      <x:c r="B4" s="22" t="str">
        <x:v>Reset the target and remove only the same-category state competitor. Use the familiar category-only prompt. A prompt-only control is not valid unless the target has a stable, grounded, counterbalanced visible descriptor.</x:v>
      </x:c>
    </x:row>
    <x:row r="5" ht="54" customHeight="1">
      <x:c r="A5" s="21" t="str">
        <x:v>Step 3</x:v>
      </x:c>
      <x:c r="B5" s="22" t="str">
        <x:v>Swap the known category pair for a matched novel pair. The novel category must still appear twice, in opposite states. ‘Place the open black cup…’ is valid only with two black cups present.</x:v>
      </x:c>
    </x:row>
    <x:row r="6" ht="54" customHeight="1">
      <x:c r="A6" s="21" t="str">
        <x:v>Step 4</x:v>
      </x:c>
      <x:c r="B6" s="22" t="str">
        <x:v>Keep the exact novel scene from Step 3 and reset only the target. Change only the prompt wording; Reference Episode points to Step 3.</x:v>
      </x:c>
    </x:row>
    <x:row r="7" ht="54" customHeight="1">
      <x:c r="A7" s="21" t="str">
        <x:v>Why two novel instances</x:v>
      </x:c>
      <x:c r="B7" s="22" t="str">
        <x:v>With only one black cup, the model can ignore ‘open’ and select by ‘black cup.’ Two category-matched instances make the state word necessary.</x:v>
      </x:c>
    </x:row>
    <x:row r="8" ht="54" customHeight="1">
      <x:c r="A8" s="21" t="str">
        <x:v>Generic-object trials</x:v>
      </x:c>
      <x:c r="B8" s="22" t="str">
        <x:v>Episodes 102-109 use ‘open/closed/upright/upside-down object.’ These are useful abstraction diagnostics but are outside the fine-tuning prompt distribution and must be reported separately.</x:v>
      </x:c>
    </x:row>
    <x:row r="9" ht="54" customHeight="1">
      <x:c r="A9" s="21" t="str">
        <x:v>Cans</x:v>
      </x:c>
      <x:c r="B9" s="22" t="str">
        <x:v>Episodes 94-101 use both crushed cans and only upright/upside-down. They are cross-task seen, not globally unseen.</x:v>
      </x:c>
    </x:row>
    <x:row r="10" ht="54" customHeight="1">
      <x:c r="A10" s="21" t="str">
        <x:v>Orange block</x:v>
      </x:c>
      <x:c r="B10" s="22" t="str">
        <x:v>A color-only duplicate is near-OOD, not globally unseen. It is invalid for orientation if top and bottom are visually symmetric.</x:v>
      </x:c>
    </x:row>
    <x:row r="11" ht="54" customHeight="1">
      <x:c r="A11" s="21" t="str">
        <x:v>Cross-model reproducibility</x:v>
      </x:c>
      <x:c r="B11" s="22" t="str">
        <x:v>Use marked P1-P4 locations, fixed camera/bowl/lighting/horizon, and the same episode order. Save each first-frame reference filename.</x:v>
      </x:c>
    </x:row>
    <x:row r="12" ht="54" customHeight="1">
      <x:c r="A12" s="21" t="str">
        <x:v>Scoring</x:v>
      </x:c>
      <x:c r="B12" s="22" t="str">
        <x:v>Success = specified target in bowl within fixed horizon. Wrong target, timeout, no grasp, or drop outside bowl = Failure. Setup/hardware faults = Invalid / Repeat.</x:v>
      </x:c>
    </x:row>
    <x:row r="13" ht="54" customHeight="1">
      <x:c r="A13" s="21" t="str">
        <x:v>Statistical unit</x:v>
      </x:c>
      <x:c r="B13" s="22" t="str">
        <x:v>Cluster by Scene Family and compare models on identical episode specifications. Language rows pair with visual rows; controls and visual rows pair with canonical transfer.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68" hidden="0" customWidth="1"/>
  </x:cols>
  <x:sheetData>
    <x:row r="1" ht="32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38" customHeight="1">
      <x:c r="A2" s="7" t="str">
        <x:v>Total trials</x:v>
      </x:c>
      <x:c r="B2" s="7" t="n">
        <x:f>COUNTA('Evaluation Plan'!$A$2:$A$111)</x:f>
        <x:v>110</x:v>
      </x:c>
      <x:c r="C2" s="7" t="n">
        <x:v>110</x:v>
      </x:c>
      <x:c r="D2" s="7" t="str">
        <x:f>IF(B2=C2,"PASS","CHECK")</x:f>
        <x:v>PASS</x:v>
      </x:c>
      <x:c r="E2" s="7"/>
    </x:row>
    <x:row r="3" ht="38" customHeight="1">
      <x:c r="A3" s="7" t="str">
        <x:v>Concept/compositional transfer</x:v>
      </x:c>
      <x:c r="B3" s="7" t="n">
        <x:f>COUNTIF('Evaluation Plan'!$D$2:$D$111,"Concept/compositional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total; includes 8 separately reported generic-object diagnostics</x:v>
      </x:c>
    </x:row>
    <x:row r="4" ht="38" customHeight="1">
      <x:c r="A4" s="7" t="str">
        <x:v>Matched manipulation control</x:v>
      </x:c>
      <x:c r="B4" s="7" t="n">
        <x:f>COUNTIF('Evaluation Plan'!$D$2:$D$111,"Matched manipulation control")</x:f>
        <x:v>20</x:v>
      </x:c>
      <x:c r="C4" s="7" t="n">
        <x:v>20</x:v>
      </x:c>
      <x:c r="D4" s="7" t="str">
        <x:f>IF(B4=C4,"PASS","CHECK")</x:f>
        <x:v>PASS</x:v>
      </x:c>
      <x:c r="E4" s="7"/>
    </x:row>
    <x:row r="5" ht="38" customHeight="1">
      <x:c r="A5" s="7" t="str">
        <x:v>Visual generalization</x:v>
      </x:c>
      <x:c r="B5" s="7" t="n">
        <x:f>COUNTIF('Evaluation Plan'!$D$2:$D$111,"Visual generalization")</x:f>
        <x:v>20</x:v>
      </x:c>
      <x:c r="C5" s="7" t="n">
        <x:v>20</x:v>
      </x:c>
      <x:c r="D5" s="7" t="str">
        <x:f>IF(B5=C5,"PASS","CHECK")</x:f>
        <x:v>PASS</x:v>
      </x:c>
      <x:c r="E5" s="7"/>
    </x:row>
    <x:row r="6" ht="38" customHeight="1">
      <x:c r="A6" s="7" t="str">
        <x:v>Language robustness</x:v>
      </x:c>
      <x:c r="B6" s="7" t="n">
        <x:f>COUNTIF('Evaluation Plan'!$D$2:$D$111,"Language robustness")</x:f>
        <x:v>20</x:v>
      </x:c>
      <x:c r="C6" s="7" t="n">
        <x:v>20</x:v>
      </x:c>
      <x:c r="D6" s="7" t="str">
        <x:f>IF(B6=C6,"PASS","CHECK")</x:f>
        <x:v>PASS</x:v>
      </x:c>
      <x:c r="E6" s="7"/>
    </x:row>
    <x:row r="7" ht="38" customHeight="1">
      <x:c r="A7" s="7" t="str">
        <x:v>Canonical transfer steps in episodes 0-79</x:v>
      </x:c>
      <x:c r="B7" s="7" t="n">
        <x:f>COUNTIF('Evaluation Plan'!$C$2:$C$81,"1 — Canonical transfer")</x:f>
        <x:v>20</x:v>
      </x:c>
      <x:c r="C7" s="7" t="n">
        <x:v>20</x:v>
      </x:c>
      <x:c r="D7" s="7" t="str">
        <x:f>IF(B7=C7,"PASS","CHECK")</x:f>
        <x:v>PASS</x:v>
      </x:c>
      <x:c r="E7" s="7" t="str">
        <x:v>First row of each four-row block</x:v>
      </x:c>
    </x:row>
    <x:row r="8" ht="38" customHeight="1">
      <x:c r="A8" s="7" t="str">
        <x:v>Matched control steps in episodes 0-79</x:v>
      </x:c>
      <x:c r="B8" s="7" t="n">
        <x:f>COUNTIF('Evaluation Plan'!$C$2:$C$81,"2 — Matched control")</x:f>
        <x:v>20</x:v>
      </x:c>
      <x:c r="C8" s="7" t="n">
        <x:v>20</x:v>
      </x:c>
      <x:c r="D8" s="7" t="str">
        <x:f>IF(B8=C8,"PASS","CHECK")</x:f>
        <x:v>PASS</x:v>
      </x:c>
      <x:c r="E8" s="7" t="str">
        <x:v>Second row</x:v>
      </x:c>
    </x:row>
    <x:row r="9" ht="38" customHeight="1">
      <x:c r="A9" s="7" t="str">
        <x:v>Novel-object canonical steps in episodes 0-79</x:v>
      </x:c>
      <x:c r="B9" s="7" t="n">
        <x:f>COUNTIF('Evaluation Plan'!$C$2:$C$81,"3 — Novel-object canonical")</x:f>
        <x:v>20</x:v>
      </x:c>
      <x:c r="C9" s="7" t="n">
        <x:v>20</x:v>
      </x:c>
      <x:c r="D9" s="7" t="str">
        <x:f>IF(B9=C9,"PASS","CHECK")</x:f>
        <x:v>PASS</x:v>
      </x:c>
      <x:c r="E9" s="7" t="str">
        <x:v>Third row</x:v>
      </x:c>
    </x:row>
    <x:row r="10" ht="38" customHeight="1">
      <x:c r="A10" s="7" t="str">
        <x:v>Novel-object paraphrase steps in episodes 0-79</x:v>
      </x:c>
      <x:c r="B10" s="7" t="n">
        <x:f>COUNTIF('Evaluation Plan'!$C$2:$C$81,"4 — Novel-object paraphrase")</x:f>
        <x:v>20</x:v>
      </x:c>
      <x:c r="C10" s="7" t="n">
        <x:v>20</x:v>
      </x:c>
      <x:c r="D10" s="7" t="str">
        <x:f>IF(B10=C10,"PASS","CHECK")</x:f>
        <x:v>PASS</x:v>
      </x:c>
      <x:c r="E10" s="7" t="str">
        <x:v>Fourth row</x:v>
      </x:c>
    </x:row>
    <x:row r="11" ht="38" customHeight="1">
      <x:c r="A11" s="7" t="str">
        <x:v>Closed transfer queries</x:v>
      </x:c>
      <x:c r="B11" s="7" t="n">
        <x:f>COUNTIFS('Evaluation Plan'!$D$2:$D$111,"Concept/compositional transfer",'Evaluation Plan'!$K$2:$K$111,"closed")</x:f>
        <x:v>15</x:v>
      </x:c>
      <x:c r="C11" s="7" t="n">
        <x:v>15</x:v>
      </x:c>
      <x:c r="D11" s="7" t="str">
        <x:f>IF(B11=C11,"PASS","CHECK")</x:f>
        <x:v>PASS</x:v>
      </x:c>
      <x:c r="E11" s="7"/>
    </x:row>
    <x:row r="12" ht="38" customHeight="1">
      <x:c r="A12" s="7" t="str">
        <x:v>Upright transfer queries</x:v>
      </x:c>
      <x:c r="B12" s="7" t="n">
        <x:f>COUNTIFS('Evaluation Plan'!$D$2:$D$111,"Concept/compositional transfer",'Evaluation Plan'!$K$2:$K$111,"upright")</x:f>
        <x:v>15</x:v>
      </x:c>
      <x:c r="C12" s="7" t="n">
        <x:v>15</x:v>
      </x:c>
      <x:c r="D12" s="7" t="str">
        <x:f>IF(B12=C12,"PASS","CHECK")</x:f>
        <x:v>PASS</x:v>
      </x:c>
      <x:c r="E12" s="7"/>
    </x:row>
    <x:row r="13" ht="38" customHeight="1">
      <x:c r="A13" s="7" t="str">
        <x:v>Open transfer queries</x:v>
      </x:c>
      <x:c r="B13" s="7" t="n">
        <x:f>COUNTIFS('Evaluation Plan'!$D$2:$D$111,"Concept/compositional transfer",'Evaluation Plan'!$K$2:$K$111,"open")</x:f>
        <x:v>10</x:v>
      </x:c>
      <x:c r="C13" s="7" t="n">
        <x:v>10</x:v>
      </x:c>
      <x:c r="D13" s="7" t="str">
        <x:f>IF(B13=C13,"PASS","CHECK")</x:f>
        <x:v>PASS</x:v>
      </x:c>
      <x:c r="E13" s="7"/>
    </x:row>
    <x:row r="14" ht="38" customHeight="1">
      <x:c r="A14" s="7" t="str">
        <x:v>Upside-down transfer queries</x:v>
      </x:c>
      <x:c r="B14" s="7" t="n">
        <x:f>COUNTIFS('Evaluation Plan'!$D$2:$D$111,"Concept/compositional transfer",'Evaluation Plan'!$K$2:$K$111,"upside-down")</x:f>
        <x:v>10</x:v>
      </x:c>
      <x:c r="C14" s="7" t="n">
        <x:v>10</x:v>
      </x:c>
      <x:c r="D14" s="7" t="str">
        <x:f>IF(B14=C14,"PASS","CHECK")</x:f>
        <x:v>PASS</x:v>
      </x:c>
      <x:c r="E14" s="7"/>
    </x:row>
    <x:row r="15" ht="38" customHeight="1">
      <x:c r="A15" s="7" t="str">
        <x:v>Exploratory generic-object transfer</x:v>
      </x:c>
      <x:c r="B15" s="7" t="n">
        <x:f>COUNTIF('Evaluation Plan'!$E$2:$E$111,"Exploratory category-free state abstraction")</x:f>
        <x:v>8</x:v>
      </x:c>
      <x:c r="C15" s="7" t="n">
        <x:v>8</x:v>
      </x:c>
      <x:c r="D15" s="7" t="str">
        <x:f>IF(B15=C15,"PASS","CHECK")</x:f>
        <x:v>PASS</x:v>
      </x:c>
      <x:c r="E15" s="7" t="str">
        <x:v>Report separately</x:v>
      </x:c>
    </x:row>
    <x:row r="16" ht="38" customHeight="1">
      <x:c r="A16" s="7" t="str">
        <x:v>Category-bearing transfer</x:v>
      </x:c>
      <x:c r="B16" s="7" t="n">
        <x:f>B3-B15</x:f>
        <x:v>42</x:v>
      </x:c>
      <x:c r="C16" s="7" t="n">
        <x:v>42</x:v>
      </x:c>
      <x:c r="D16" s="7" t="str">
        <x:f>IF(B16=C16,"PASS","CHECK")</x:f>
        <x:v>PASS</x:v>
      </x:c>
      <x:c r="E16" s="7" t="str">
        <x:v>Main prompt-aligned transfer endpoint</x:v>
      </x:c>
    </x:row>
    <x:row r="17" ht="38" customHeight="1">
      <x:c r="A17" s="7" t="str">
        <x:v>Cross-task can transfer</x:v>
      </x:c>
      <x:c r="B17" s="7" t="n">
        <x:f>COUNTIF('Evaluation Plan'!$E$2:$E$111,"Cross-task object transfer — can orientation")</x:f>
        <x:v>8</x:v>
      </x:c>
      <x:c r="C17" s="7" t="n">
        <x:v>8</x:v>
      </x:c>
      <x:c r="D17" s="7" t="str">
        <x:f>IF(B17=C17,"PASS","CHECK")</x:f>
        <x:v>PASS</x:v>
      </x:c>
      <x:c r="E17" s="7" t="str">
        <x:v>Orientation only</x:v>
      </x:c>
    </x:row>
    <x:row r="18" ht="38" customHeight="1">
      <x:c r="A18" s="7" t="str">
        <x:v>Globally unseen visual rows</x:v>
      </x:c>
      <x:c r="B18" s="7" t="n">
        <x:f>COUNTIF('Evaluation Plan'!$M$2:$M$111,"Globally unseen — inventory confirmation required")</x:f>
        <x:v>20</x:v>
      </x:c>
      <x:c r="C18" s="7" t="n">
        <x:v>20</x:v>
      </x:c>
      <x:c r="D18" s="7" t="str">
        <x:f>IF(B18=C18,"PASS","CHECK")</x:f>
        <x:v>PASS</x:v>
      </x:c>
      <x:c r="E18" s="7" t="str">
        <x:v>Requires valid paired U1-U4 inventory</x:v>
      </x:c>
    </x:row>
    <x:row r="19" ht="38" customHeight="1">
      <x:c r="A19" s="7" t="str">
        <x:v>Language rows referencing preceding visual row</x:v>
      </x:c>
      <x:c r="B19" s="7" t="n">
        <x:f>COUNTIFS('Evaluation Plan'!$D$2:$D$111,"Language robustness",'Evaluation Plan'!$G$2:$G$111,"&gt;=0")</x:f>
        <x:v>20</x:v>
      </x:c>
      <x:c r="C19" s="7" t="n">
        <x:v>20</x:v>
      </x:c>
      <x:c r="D19" s="7" t="str">
        <x:f>IF(B19=C19,"PASS","CHECK")</x:f>
        <x:v>PASS</x:v>
      </x:c>
      <x:c r="E19" s="7"/>
    </x:row>
    <x:row r="20" ht="38" customHeight="1">
      <x:c r="A20" s="7" t="str">
        <x:v>Control rows referencing canonical transfer</x:v>
      </x:c>
      <x:c r="B20" s="7" t="n">
        <x:f>COUNTIFS('Evaluation Plan'!$D$2:$D$111,"Matched manipulation control",'Evaluation Plan'!$G$2:$G$111,"&gt;=0")</x:f>
        <x:v>20</x:v>
      </x:c>
      <x:c r="C20" s="7" t="n">
        <x:v>20</x:v>
      </x:c>
      <x:c r="D20" s="7" t="str">
        <x:f>IF(B20=C20,"PASS","CHECK")</x:f>
        <x:v>PASS</x:v>
      </x:c>
      <x:c r="E20" s="7"/>
    </x:row>
    <x:row r="21" ht="38" customHeight="1">
      <x:c r="A21" s="7" t="str">
        <x:v>Visual rows referencing canonical transfer</x:v>
      </x:c>
      <x:c r="B21" s="7" t="n">
        <x:f>COUNTIFS('Evaluation Plan'!$D$2:$D$111,"Visual generalization",'Evaluation Plan'!$G$2:$G$111,"&gt;=0")</x:f>
        <x:v>20</x:v>
      </x:c>
      <x:c r="C21" s="7" t="n">
        <x:v>20</x:v>
      </x:c>
      <x:c r="D21" s="7" t="str">
        <x:f>IF(B21=C21,"PASS","CHECK")</x:f>
        <x:v>PASS</x:v>
      </x:c>
      <x:c r="E21" s="7"/>
    </x:row>
  </x:sheetData>
  <x:conditionalFormatting sqref="D2:D21">
    <x:cfRule type="containsText" dxfId="5" priority="1" operator="containsText" text="PASS"/>
    <x:cfRule type="containsText" dxfId="6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302ba3ca4a4d4c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9" hidden="0" customWidth="1"/>
    <x:col min="4" max="4" width="28" hidden="0" customWidth="1"/>
    <x:col min="5" max="5" width="13" hidden="0" customWidth="1"/>
    <x:col min="6" max="6" width="12" hidden="0" customWidth="1"/>
    <x:col min="7" max="7" width="42" hidden="0" customWidth="1"/>
    <x:col min="8" max="8" width="82" hidden="0" customWidth="1"/>
    <x:col min="9" max="9" width="25" hidden="0" customWidth="1"/>
    <x:col min="10" max="10" width="14" hidden="0" customWidth="1"/>
    <x:col min="11" max="11" width="17" hidden="0" customWidth="1"/>
    <x:col min="12" max="12" width="24" hidden="0" customWidth="1"/>
    <x:col min="13" max="13" width="42" hidden="0" customWidth="1"/>
  </x:cols>
  <x:sheetData>
    <x:row r="1" ht="36" customHeight="1">
      <x:c r="A1" s="5" t="str">
        <x:v>Episode</x:v>
      </x:c>
      <x:c r="B1" s="5" t="str">
        <x:v>Collection Block</x:v>
      </x:c>
      <x:c r="C1" s="5" t="str">
        <x:v>Within-Block Step</x:v>
      </x:c>
      <x:c r="D1" s="5" t="str">
        <x:v>Condition</x:v>
      </x:c>
      <x:c r="E1" s="5" t="str">
        <x:v>Scene Family</x:v>
      </x:c>
      <x:c r="F1" s="5" t="str">
        <x:v>Reference Episode</x:v>
      </x:c>
      <x:c r="G1" s="5" t="str">
        <x:v>Prompt</x:v>
      </x:c>
      <x:c r="H1" s="5" t="str">
        <x:v>Scene Setup</x:v>
      </x:c>
      <x:c r="I1" s="5" t="str">
        <x:v>Expected Target</x:v>
      </x:c>
      <x:c r="J1" s="5" t="str">
        <x:v>Status</x:v>
      </x:c>
      <x:c r="K1" s="5" t="str">
        <x:v>Outcome</x:v>
      </x:c>
      <x:c r="L1" s="5" t="str">
        <x:v>Failure Mode</x:v>
      </x:c>
      <x:c r="M1" s="5" t="str">
        <x:v>Notes</x:v>
      </x:c>
    </x:row>
    <x:row r="2" ht="58" customHeight="1">
      <x:c r="A2" s="9" t="n">
        <x:f>'Evaluation Plan'!A2</x:f>
        <x:v>0</x:v>
      </x:c>
      <x:c r="B2" s="9" t="n">
        <x:f>'Evaluation Plan'!B2</x:f>
        <x:v>1</x:v>
      </x:c>
      <x:c r="C2" s="9" t="str">
        <x:f>'Evaluation Plan'!C2</x:f>
        <x:v>1 — Canonical transfer</x:v>
      </x:c>
      <x:c r="D2" s="9" t="str">
        <x:f>'Evaluation Plan'!D2</x:f>
        <x:v>Concept/compositional transfer</x:v>
      </x:c>
      <x:c r="E2" s="9" t="str">
        <x:f>'Evaluation Plan'!F2</x:f>
        <x:v>SR-F01</x:v>
      </x:c>
      <x:c r="F2" s="9" t="str">
        <x:f>IF('Evaluation Plan'!D2="Concept/compositional transfer","",'Evaluation Plan'!G2)</x:f>
      </x:c>
      <x:c r="G2" s="10" t="str">
        <x:f>'Evaluation Plan'!H2</x:f>
        <x:v>Place the closed white cup in the bowl.</x:v>
      </x:c>
      <x:c r="H2" s="10" t="str">
        <x:f>'Evaluation Plan'!I2</x:f>
        <x:v>P1 white cup A (C, UR) [TARGET]; P2 white cup B (O, UR) [STATE COMPETITOR]; P3 yellow-white striped cup A (O, UR); P4 brown cup B (C, UD)</x:v>
      </x:c>
      <x:c r="I2" s="9" t="str">
        <x:f>'Evaluation Plan'!J2</x:f>
        <x:v>white cup A</x:v>
      </x:c>
      <x:c r="J2" s="9" t="str">
        <x:v>Not started</x:v>
      </x:c>
      <x:c r="K2" s="9"/>
      <x:c r="L2" s="9"/>
      <x:c r="M2" s="10"/>
    </x:row>
    <x:row r="3" ht="58" customHeight="1">
      <x:c r="A3" s="8" t="n">
        <x:f>'Evaluation Plan'!A3</x:f>
        <x:v>1</x:v>
      </x:c>
      <x:c r="B3" s="8" t="n">
        <x:f>'Evaluation Plan'!B3</x:f>
        <x:v>1</x:v>
      </x:c>
      <x:c r="C3" s="8" t="str">
        <x:f>'Evaluation Plan'!C3</x:f>
        <x:v>2 — Matched control</x:v>
      </x:c>
      <x:c r="D3" s="8" t="str">
        <x:f>'Evaluation Plan'!D3</x:f>
        <x:v>Matched manipulation control</x:v>
      </x:c>
      <x:c r="E3" s="8" t="str">
        <x:f>'Evaluation Plan'!F3</x:f>
        <x:v>SR-F01</x:v>
      </x:c>
      <x:c r="F3" s="8" t="n">
        <x:f>IF('Evaluation Plan'!D3="Concept/compositional transfer","",'Evaluation Plan'!G3)</x:f>
        <x:v>0</x:v>
      </x:c>
      <x:c r="G3" s="7" t="str">
        <x:f>'Evaluation Plan'!H3</x:f>
        <x:v>Place the white cup in the bowl.</x:v>
      </x:c>
      <x:c r="H3" s="7" t="str">
        <x:f>'Evaluation Plan'!I3</x:f>
        <x:v>P1 white cup A (C, UR) [TARGET]; P3 yellow-white striped cup A (O, UR); P4 brown cup B (C, UD)</x:v>
      </x:c>
      <x:c r="I3" s="8" t="str">
        <x:f>'Evaluation Plan'!J3</x:f>
        <x:v>white cup A</x:v>
      </x:c>
      <x:c r="J3" s="8" t="str">
        <x:v>Not started</x:v>
      </x:c>
      <x:c r="K3" s="8"/>
      <x:c r="L3" s="8"/>
      <x:c r="M3" s="7"/>
    </x:row>
    <x:row r="4" ht="58" customHeight="1">
      <x:c r="A4" s="8" t="n">
        <x:f>'Evaluation Plan'!A4</x:f>
        <x:v>2</x:v>
      </x:c>
      <x:c r="B4" s="8" t="n">
        <x:f>'Evaluation Plan'!B4</x:f>
        <x:v>1</x:v>
      </x:c>
      <x:c r="C4" s="8" t="str">
        <x:f>'Evaluation Plan'!C4</x:f>
        <x:v>3 — Novel-object canonical</x:v>
      </x:c>
      <x:c r="D4" s="8" t="str">
        <x:f>'Evaluation Plan'!D4</x:f>
        <x:v>Visual generalization</x:v>
      </x:c>
      <x:c r="E4" s="8" t="str">
        <x:f>'Evaluation Plan'!F4</x:f>
        <x:v>SR-F01</x:v>
      </x:c>
      <x:c r="F4" s="8" t="n">
        <x:f>IF('Evaluation Plan'!D4="Concept/compositional transfer","",'Evaluation Plan'!G4)</x:f>
        <x:v>0</x:v>
      </x:c>
      <x:c r="G4" s="7" t="str">
        <x:f>'Evaluation Plan'!H4</x:f>
        <x:v>Place the closed black cup in the bowl.</x:v>
      </x:c>
      <x:c r="H4" s="7" t="str">
        <x:f>'Evaluation Plan'!I4</x:f>
        <x:v>P1 U1-A (C, UR) [TARGET]; P2 U1-B (O, UR) [STATE COMPETITOR]; P3 yellow-white striped cup A (O, UR); P4 brown cup B (C, UD)</x:v>
      </x:c>
      <x:c r="I4" s="8" t="str">
        <x:f>'Evaluation Plan'!J4</x:f>
        <x:v>U1-A</x:v>
      </x:c>
      <x:c r="J4" s="8" t="str">
        <x:v>Not started</x:v>
      </x:c>
      <x:c r="K4" s="8"/>
      <x:c r="L4" s="8"/>
      <x:c r="M4" s="7"/>
    </x:row>
    <x:row r="5" ht="58" customHeight="1">
      <x:c r="A5" s="8" t="n">
        <x:f>'Evaluation Plan'!A5</x:f>
        <x:v>3</x:v>
      </x:c>
      <x:c r="B5" s="8" t="n">
        <x:f>'Evaluation Plan'!B5</x:f>
        <x:v>1</x:v>
      </x:c>
      <x:c r="C5" s="8" t="str">
        <x:f>'Evaluation Plan'!C5</x:f>
        <x:v>4 — Novel-object paraphrase</x:v>
      </x:c>
      <x:c r="D5" s="8" t="str">
        <x:f>'Evaluation Plan'!D5</x:f>
        <x:v>Language robustness</x:v>
      </x:c>
      <x:c r="E5" s="8" t="str">
        <x:f>'Evaluation Plan'!F5</x:f>
        <x:v>SR-F01</x:v>
      </x:c>
      <x:c r="F5" s="8" t="n">
        <x:f>IF('Evaluation Plan'!D5="Concept/compositional transfer","",'Evaluation Plan'!G5)</x:f>
        <x:v>2</x:v>
      </x:c>
      <x:c r="G5" s="7" t="str">
        <x:f>'Evaluation Plan'!H5</x:f>
        <x:v>Move the black cup that is closed into the bowl.</x:v>
      </x:c>
      <x:c r="H5" s="7" t="str">
        <x:f>'Evaluation Plan'!I5</x:f>
        <x:v>P1 U1-A (C, UR) [TARGET]; P2 U1-B (O, UR) [STATE COMPETITOR]; P3 yellow-white striped cup A (O, UR); P4 brown cup B (C, UD)</x:v>
      </x:c>
      <x:c r="I5" s="8" t="str">
        <x:f>'Evaluation Plan'!J5</x:f>
        <x:v>U1-A</x:v>
      </x:c>
      <x:c r="J5" s="8" t="str">
        <x:v>Not started</x:v>
      </x:c>
      <x:c r="K5" s="8"/>
      <x:c r="L5" s="8"/>
      <x:c r="M5" s="7"/>
    </x:row>
    <x:row r="6" ht="58" customHeight="1">
      <x:c r="A6" s="9" t="n">
        <x:f>'Evaluation Plan'!A6</x:f>
        <x:v>4</x:v>
      </x:c>
      <x:c r="B6" s="9" t="n">
        <x:f>'Evaluation Plan'!B6</x:f>
        <x:v>2</x:v>
      </x:c>
      <x:c r="C6" s="9" t="str">
        <x:f>'Evaluation Plan'!C6</x:f>
        <x:v>1 — Canonical transfer</x:v>
      </x:c>
      <x:c r="D6" s="9" t="str">
        <x:f>'Evaluation Plan'!D6</x:f>
        <x:v>Concept/compositional transfer</x:v>
      </x:c>
      <x:c r="E6" s="9" t="str">
        <x:f>'Evaluation Plan'!F6</x:f>
        <x:v>SR-F02</x:v>
      </x:c>
      <x:c r="F6" s="9" t="str">
        <x:f>IF('Evaluation Plan'!D6="Concept/compositional transfer","",'Evaluation Plan'!G6)</x:f>
      </x:c>
      <x:c r="G6" s="10" t="str">
        <x:f>'Evaluation Plan'!H6</x:f>
        <x:v>Put the open yellow-white striped cup in the bowl.</x:v>
      </x:c>
      <x:c r="H6" s="10" t="str">
        <x:f>'Evaluation Plan'!I6</x:f>
        <x:v>P1 white cup B (C, UD); P2 yellow-white striped cup B (O, UD) [TARGET]; P3 yellow-white striped cup A (C, UD) [STATE COMPETITOR]; P4 brown cup A (O, UR)</x:v>
      </x:c>
      <x:c r="I6" s="9" t="str">
        <x:f>'Evaluation Plan'!J6</x:f>
        <x:v>yellow-white striped cup B</x:v>
      </x:c>
      <x:c r="J6" s="9" t="str">
        <x:v>Not started</x:v>
      </x:c>
      <x:c r="K6" s="9"/>
      <x:c r="L6" s="9"/>
      <x:c r="M6" s="10"/>
    </x:row>
    <x:row r="7" ht="58" customHeight="1">
      <x:c r="A7" s="8" t="n">
        <x:f>'Evaluation Plan'!A7</x:f>
        <x:v>5</x:v>
      </x:c>
      <x:c r="B7" s="8" t="n">
        <x:f>'Evaluation Plan'!B7</x:f>
        <x:v>2</x:v>
      </x:c>
      <x:c r="C7" s="8" t="str">
        <x:f>'Evaluation Plan'!C7</x:f>
        <x:v>2 — Matched control</x:v>
      </x:c>
      <x:c r="D7" s="8" t="str">
        <x:f>'Evaluation Plan'!D7</x:f>
        <x:v>Matched manipulation control</x:v>
      </x:c>
      <x:c r="E7" s="8" t="str">
        <x:f>'Evaluation Plan'!F7</x:f>
        <x:v>SR-F02</x:v>
      </x:c>
      <x:c r="F7" s="8" t="n">
        <x:f>IF('Evaluation Plan'!D7="Concept/compositional transfer","",'Evaluation Plan'!G7)</x:f>
        <x:v>4</x:v>
      </x:c>
      <x:c r="G7" s="7" t="str">
        <x:f>'Evaluation Plan'!H7</x:f>
        <x:v>Put the yellow-white striped cup in the bowl.</x:v>
      </x:c>
      <x:c r="H7" s="7" t="str">
        <x:f>'Evaluation Plan'!I7</x:f>
        <x:v>P1 white cup B (C, UD); P2 yellow-white striped cup B (O, UD) [TARGET]; P4 brown cup A (O, UR)</x:v>
      </x:c>
      <x:c r="I7" s="8" t="str">
        <x:f>'Evaluation Plan'!J7</x:f>
        <x:v>yellow-white striped cup B</x:v>
      </x:c>
      <x:c r="J7" s="8" t="str">
        <x:v>Not started</x:v>
      </x:c>
      <x:c r="K7" s="8"/>
      <x:c r="L7" s="8"/>
      <x:c r="M7" s="7"/>
    </x:row>
    <x:row r="8" ht="58" customHeight="1">
      <x:c r="A8" s="8" t="n">
        <x:f>'Evaluation Plan'!A8</x:f>
        <x:v>6</x:v>
      </x:c>
      <x:c r="B8" s="8" t="n">
        <x:f>'Evaluation Plan'!B8</x:f>
        <x:v>2</x:v>
      </x:c>
      <x:c r="C8" s="8" t="str">
        <x:f>'Evaluation Plan'!C8</x:f>
        <x:v>3 — Novel-object canonical</x:v>
      </x:c>
      <x:c r="D8" s="8" t="str">
        <x:f>'Evaluation Plan'!D8</x:f>
        <x:v>Visual generalization</x:v>
      </x:c>
      <x:c r="E8" s="8" t="str">
        <x:f>'Evaluation Plan'!F8</x:f>
        <x:v>SR-F02</x:v>
      </x:c>
      <x:c r="F8" s="8" t="n">
        <x:f>IF('Evaluation Plan'!D8="Concept/compositional transfer","",'Evaluation Plan'!G8)</x:f>
        <x:v>4</x:v>
      </x:c>
      <x:c r="G8" s="7" t="str">
        <x:f>'Evaluation Plan'!H8</x:f>
        <x:v>Put the open new lidded container in the bowl.</x:v>
      </x:c>
      <x:c r="H8" s="7" t="str">
        <x:f>'Evaluation Plan'!I8</x:f>
        <x:v>P1 white cup B (C, UD); P2 U2-B (O, UD) [TARGET]; P3 U2-A (C, UD) [STATE COMPETITOR]; P4 brown cup A (O, UR)</x:v>
      </x:c>
      <x:c r="I8" s="8" t="str">
        <x:f>'Evaluation Plan'!J8</x:f>
        <x:v>U2-B</x:v>
      </x:c>
      <x:c r="J8" s="8" t="str">
        <x:v>Not started</x:v>
      </x:c>
      <x:c r="K8" s="8"/>
      <x:c r="L8" s="8"/>
      <x:c r="M8" s="7"/>
    </x:row>
    <x:row r="9" ht="58" customHeight="1">
      <x:c r="A9" s="8" t="n">
        <x:f>'Evaluation Plan'!A9</x:f>
        <x:v>7</x:v>
      </x:c>
      <x:c r="B9" s="8" t="n">
        <x:f>'Evaluation Plan'!B9</x:f>
        <x:v>2</x:v>
      </x:c>
      <x:c r="C9" s="8" t="str">
        <x:f>'Evaluation Plan'!C9</x:f>
        <x:v>4 — Novel-object paraphrase</x:v>
      </x:c>
      <x:c r="D9" s="8" t="str">
        <x:f>'Evaluation Plan'!D9</x:f>
        <x:v>Language robustness</x:v>
      </x:c>
      <x:c r="E9" s="8" t="str">
        <x:f>'Evaluation Plan'!F9</x:f>
        <x:v>SR-F02</x:v>
      </x:c>
      <x:c r="F9" s="8" t="n">
        <x:f>IF('Evaluation Plan'!D9="Concept/compositional transfer","",'Evaluation Plan'!G9)</x:f>
        <x:v>6</x:v>
      </x:c>
      <x:c r="G9" s="7" t="str">
        <x:f>'Evaluation Plan'!H9</x:f>
        <x:v>Move the new lidded container that is open into the bowl.</x:v>
      </x:c>
      <x:c r="H9" s="7" t="str">
        <x:f>'Evaluation Plan'!I9</x:f>
        <x:v>P1 white cup B (C, UD); P2 U2-B (O, UD) [TARGET]; P3 U2-A (C, UD) [STATE COMPETITOR]; P4 brown cup A (O, UR)</x:v>
      </x:c>
      <x:c r="I9" s="8" t="str">
        <x:f>'Evaluation Plan'!J9</x:f>
        <x:v>U2-B</x:v>
      </x:c>
      <x:c r="J9" s="8" t="str">
        <x:v>Not started</x:v>
      </x:c>
      <x:c r="K9" s="8"/>
      <x:c r="L9" s="8"/>
      <x:c r="M9" s="7"/>
    </x:row>
    <x:row r="10" ht="58" customHeight="1">
      <x:c r="A10" s="9" t="n">
        <x:f>'Evaluation Plan'!A10</x:f>
        <x:v>8</x:v>
      </x:c>
      <x:c r="B10" s="9" t="n">
        <x:f>'Evaluation Plan'!B10</x:f>
        <x:v>3</x:v>
      </x:c>
      <x:c r="C10" s="9" t="str">
        <x:f>'Evaluation Plan'!C10</x:f>
        <x:v>1 — Canonical transfer</x:v>
      </x:c>
      <x:c r="D10" s="9" t="str">
        <x:f>'Evaluation Plan'!D10</x:f>
        <x:v>Concept/compositional transfer</x:v>
      </x:c>
      <x:c r="E10" s="9" t="str">
        <x:f>'Evaluation Plan'!F10</x:f>
        <x:v>SR-F03</x:v>
      </x:c>
      <x:c r="F10" s="9" t="str">
        <x:f>IF('Evaluation Plan'!D10="Concept/compositional transfer","",'Evaluation Plan'!G10)</x:f>
      </x:c>
      <x:c r="G10" s="10" t="str">
        <x:f>'Evaluation Plan'!H10</x:f>
        <x:v>Move the upright brown cup into the bowl.</x:v>
      </x:c>
      <x:c r="H10" s="10" t="str">
        <x:f>'Evaluation Plan'!I10</x:f>
        <x:v>P1 white cup A (O, UR); P2 yellow-white striped cup B (C, UD); P3 brown cup A (O, UR) [TARGET]; P4 brown cup B (O, UD) [STATE COMPETITOR]</x:v>
      </x:c>
      <x:c r="I10" s="9" t="str">
        <x:f>'Evaluation Plan'!J10</x:f>
        <x:v>brown cup A</x:v>
      </x:c>
      <x:c r="J10" s="9" t="str">
        <x:v>Not started</x:v>
      </x:c>
      <x:c r="K10" s="9"/>
      <x:c r="L10" s="9"/>
      <x:c r="M10" s="10"/>
    </x:row>
    <x:row r="11" ht="58" customHeight="1">
      <x:c r="A11" s="8" t="n">
        <x:f>'Evaluation Plan'!A11</x:f>
        <x:v>9</x:v>
      </x:c>
      <x:c r="B11" s="8" t="n">
        <x:f>'Evaluation Plan'!B11</x:f>
        <x:v>3</x:v>
      </x:c>
      <x:c r="C11" s="8" t="str">
        <x:f>'Evaluation Plan'!C11</x:f>
        <x:v>2 — Matched control</x:v>
      </x:c>
      <x:c r="D11" s="8" t="str">
        <x:f>'Evaluation Plan'!D11</x:f>
        <x:v>Matched manipulation control</x:v>
      </x:c>
      <x:c r="E11" s="8" t="str">
        <x:f>'Evaluation Plan'!F11</x:f>
        <x:v>SR-F03</x:v>
      </x:c>
      <x:c r="F11" s="8" t="n">
        <x:f>IF('Evaluation Plan'!D11="Concept/compositional transfer","",'Evaluation Plan'!G11)</x:f>
        <x:v>8</x:v>
      </x:c>
      <x:c r="G11" s="7" t="str">
        <x:f>'Evaluation Plan'!H11</x:f>
        <x:v>Move the brown cup into the bowl.</x:v>
      </x:c>
      <x:c r="H11" s="7" t="str">
        <x:f>'Evaluation Plan'!I11</x:f>
        <x:v>P1 white cup A (O, UR); P2 yellow-white striped cup B (C, UD); P3 brown cup A (O, UR) [TARGET]</x:v>
      </x:c>
      <x:c r="I11" s="8" t="str">
        <x:f>'Evaluation Plan'!J11</x:f>
        <x:v>brown cup A</x:v>
      </x:c>
      <x:c r="J11" s="8" t="str">
        <x:v>Not started</x:v>
      </x:c>
      <x:c r="K11" s="8"/>
      <x:c r="L11" s="8"/>
      <x:c r="M11" s="7"/>
    </x:row>
    <x:row r="12" ht="58" customHeight="1">
      <x:c r="A12" s="8" t="n">
        <x:f>'Evaluation Plan'!A12</x:f>
        <x:v>10</x:v>
      </x:c>
      <x:c r="B12" s="8" t="n">
        <x:f>'Evaluation Plan'!B12</x:f>
        <x:v>3</x:v>
      </x:c>
      <x:c r="C12" s="8" t="str">
        <x:f>'Evaluation Plan'!C12</x:f>
        <x:v>3 — Novel-object canonical</x:v>
      </x:c>
      <x:c r="D12" s="8" t="str">
        <x:f>'Evaluation Plan'!D12</x:f>
        <x:v>Visual generalization</x:v>
      </x:c>
      <x:c r="E12" s="8" t="str">
        <x:f>'Evaluation Plan'!F12</x:f>
        <x:v>SR-F03</x:v>
      </x:c>
      <x:c r="F12" s="8" t="n">
        <x:f>IF('Evaluation Plan'!D12="Concept/compositional transfer","",'Evaluation Plan'!G12)</x:f>
        <x:v>8</x:v>
      </x:c>
      <x:c r="G12" s="7" t="str">
        <x:f>'Evaluation Plan'!H12</x:f>
        <x:v>Move the upright new bottle into the bowl.</x:v>
      </x:c>
      <x:c r="H12" s="7" t="str">
        <x:f>'Evaluation Plan'!I12</x:f>
        <x:v>P1 white cup A (O, UR); P2 yellow-white striped cup B (C, UD); P3 U3-A (O, UR) [TARGET]; P4 U3-B (O, UD) [STATE COMPETITOR]</x:v>
      </x:c>
      <x:c r="I12" s="8" t="str">
        <x:f>'Evaluation Plan'!J12</x:f>
        <x:v>U3-A</x:v>
      </x:c>
      <x:c r="J12" s="8" t="str">
        <x:v>Not started</x:v>
      </x:c>
      <x:c r="K12" s="8"/>
      <x:c r="L12" s="8"/>
      <x:c r="M12" s="7"/>
    </x:row>
    <x:row r="13" ht="58" customHeight="1">
      <x:c r="A13" s="8" t="n">
        <x:f>'Evaluation Plan'!A13</x:f>
        <x:v>11</x:v>
      </x:c>
      <x:c r="B13" s="8" t="n">
        <x:f>'Evaluation Plan'!B13</x:f>
        <x:v>3</x:v>
      </x:c>
      <x:c r="C13" s="8" t="str">
        <x:f>'Evaluation Plan'!C13</x:f>
        <x:v>4 — Novel-object paraphrase</x:v>
      </x:c>
      <x:c r="D13" s="8" t="str">
        <x:f>'Evaluation Plan'!D13</x:f>
        <x:v>Language robustness</x:v>
      </x:c>
      <x:c r="E13" s="8" t="str">
        <x:f>'Evaluation Plan'!F13</x:f>
        <x:v>SR-F03</x:v>
      </x:c>
      <x:c r="F13" s="8" t="n">
        <x:f>IF('Evaluation Plan'!D13="Concept/compositional transfer","",'Evaluation Plan'!G13)</x:f>
        <x:v>10</x:v>
      </x:c>
      <x:c r="G13" s="7" t="str">
        <x:f>'Evaluation Plan'!H13</x:f>
        <x:v>Move the new bottle that is standing upright into the bowl.</x:v>
      </x:c>
      <x:c r="H13" s="7" t="str">
        <x:f>'Evaluation Plan'!I13</x:f>
        <x:v>P1 white cup A (O, UR); P2 yellow-white striped cup B (C, UD); P3 U3-A (O, UR) [TARGET]; P4 U3-B (O, UD) [STATE COMPETITOR]</x:v>
      </x:c>
      <x:c r="I13" s="8" t="str">
        <x:f>'Evaluation Plan'!J13</x:f>
        <x:v>U3-A</x:v>
      </x:c>
      <x:c r="J13" s="8" t="str">
        <x:v>Not started</x:v>
      </x:c>
      <x:c r="K13" s="8"/>
      <x:c r="L13" s="8"/>
      <x:c r="M13" s="7"/>
    </x:row>
    <x:row r="14" ht="58" customHeight="1">
      <x:c r="A14" s="9" t="n">
        <x:f>'Evaluation Plan'!A14</x:f>
        <x:v>12</x:v>
      </x:c>
      <x:c r="B14" s="9" t="n">
        <x:f>'Evaluation Plan'!B14</x:f>
        <x:v>4</x:v>
      </x:c>
      <x:c r="C14" s="9" t="str">
        <x:f>'Evaluation Plan'!C14</x:f>
        <x:v>1 — Canonical transfer</x:v>
      </x:c>
      <x:c r="D14" s="9" t="str">
        <x:f>'Evaluation Plan'!D14</x:f>
        <x:v>Concept/compositional transfer</x:v>
      </x:c>
      <x:c r="E14" s="9" t="str">
        <x:f>'Evaluation Plan'!F14</x:f>
        <x:v>SR-F04</x:v>
      </x:c>
      <x:c r="F14" s="9" t="str">
        <x:f>IF('Evaluation Plan'!D14="Concept/compositional transfer","",'Evaluation Plan'!G14)</x:f>
      </x:c>
      <x:c r="G14" s="10" t="str">
        <x:f>'Evaluation Plan'!H14</x:f>
        <x:v>Place the upside-down glass spice container in the bowl.</x:v>
      </x:c>
      <x:c r="H14" s="10" t="str">
        <x:f>'Evaluation Plan'!I14</x:f>
        <x:v>P1 glass spice container A (C, UR) [STATE COMPETITOR]; P2 white cup A (O, UR); P3 yellow-white striped cup B (C, UD); P4 glass spice container B (C, UD) [TARGET]</x:v>
      </x:c>
      <x:c r="I14" s="9" t="str">
        <x:f>'Evaluation Plan'!J14</x:f>
        <x:v>glass spice container B</x:v>
      </x:c>
      <x:c r="J14" s="9" t="str">
        <x:v>Not started</x:v>
      </x:c>
      <x:c r="K14" s="9"/>
      <x:c r="L14" s="9"/>
      <x:c r="M14" s="10"/>
    </x:row>
    <x:row r="15" ht="58" customHeight="1">
      <x:c r="A15" s="8" t="n">
        <x:f>'Evaluation Plan'!A15</x:f>
        <x:v>13</x:v>
      </x:c>
      <x:c r="B15" s="8" t="n">
        <x:f>'Evaluation Plan'!B15</x:f>
        <x:v>4</x:v>
      </x:c>
      <x:c r="C15" s="8" t="str">
        <x:f>'Evaluation Plan'!C15</x:f>
        <x:v>2 — Matched control</x:v>
      </x:c>
      <x:c r="D15" s="8" t="str">
        <x:f>'Evaluation Plan'!D15</x:f>
        <x:v>Matched manipulation control</x:v>
      </x:c>
      <x:c r="E15" s="8" t="str">
        <x:f>'Evaluation Plan'!F15</x:f>
        <x:v>SR-F04</x:v>
      </x:c>
      <x:c r="F15" s="8" t="n">
        <x:f>IF('Evaluation Plan'!D15="Concept/compositional transfer","",'Evaluation Plan'!G15)</x:f>
        <x:v>12</x:v>
      </x:c>
      <x:c r="G15" s="7" t="str">
        <x:f>'Evaluation Plan'!H15</x:f>
        <x:v>Place the glass spice container in the bowl.</x:v>
      </x:c>
      <x:c r="H15" s="7" t="str">
        <x:f>'Evaluation Plan'!I15</x:f>
        <x:v>P2 white cup A (O, UR); P3 yellow-white striped cup B (C, UD); P4 glass spice container B (C, UD) [TARGET]</x:v>
      </x:c>
      <x:c r="I15" s="8" t="str">
        <x:f>'Evaluation Plan'!J15</x:f>
        <x:v>glass spice container B</x:v>
      </x:c>
      <x:c r="J15" s="8" t="str">
        <x:v>Not started</x:v>
      </x:c>
      <x:c r="K15" s="8"/>
      <x:c r="L15" s="8"/>
      <x:c r="M15" s="7"/>
    </x:row>
    <x:row r="16" ht="58" customHeight="1">
      <x:c r="A16" s="8" t="n">
        <x:f>'Evaluation Plan'!A16</x:f>
        <x:v>14</x:v>
      </x:c>
      <x:c r="B16" s="8" t="n">
        <x:f>'Evaluation Plan'!B16</x:f>
        <x:v>4</x:v>
      </x:c>
      <x:c r="C16" s="8" t="str">
        <x:f>'Evaluation Plan'!C16</x:f>
        <x:v>3 — Novel-object canonical</x:v>
      </x:c>
      <x:c r="D16" s="8" t="str">
        <x:f>'Evaluation Plan'!D16</x:f>
        <x:v>Visual generalization</x:v>
      </x:c>
      <x:c r="E16" s="8" t="str">
        <x:f>'Evaluation Plan'!F16</x:f>
        <x:v>SR-F04</x:v>
      </x:c>
      <x:c r="F16" s="8" t="n">
        <x:f>IF('Evaluation Plan'!D16="Concept/compositional transfer","",'Evaluation Plan'!G16)</x:f>
        <x:v>12</x:v>
      </x:c>
      <x:c r="G16" s="7" t="str">
        <x:f>'Evaluation Plan'!H16</x:f>
        <x:v>Place the upside-down new asymmetric container in the bowl.</x:v>
      </x:c>
      <x:c r="H16" s="7" t="str">
        <x:f>'Evaluation Plan'!I16</x:f>
        <x:v>P1 U4-A (C, UR) [STATE COMPETITOR]; P2 white cup A (O, UR); P3 yellow-white striped cup B (C, UD); P4 U4-B (C, UD) [TARGET]</x:v>
      </x:c>
      <x:c r="I16" s="8" t="str">
        <x:f>'Evaluation Plan'!J16</x:f>
        <x:v>U4-B</x:v>
      </x:c>
      <x:c r="J16" s="8" t="str">
        <x:v>Not started</x:v>
      </x:c>
      <x:c r="K16" s="8"/>
      <x:c r="L16" s="8"/>
      <x:c r="M16" s="7"/>
    </x:row>
    <x:row r="17" ht="58" customHeight="1">
      <x:c r="A17" s="8" t="n">
        <x:f>'Evaluation Plan'!A17</x:f>
        <x:v>15</x:v>
      </x:c>
      <x:c r="B17" s="8" t="n">
        <x:f>'Evaluation Plan'!B17</x:f>
        <x:v>4</x:v>
      </x:c>
      <x:c r="C17" s="8" t="str">
        <x:f>'Evaluation Plan'!C17</x:f>
        <x:v>4 — Novel-object paraphrase</x:v>
      </x:c>
      <x:c r="D17" s="8" t="str">
        <x:f>'Evaluation Plan'!D17</x:f>
        <x:v>Language robustness</x:v>
      </x:c>
      <x:c r="E17" s="8" t="str">
        <x:f>'Evaluation Plan'!F17</x:f>
        <x:v>SR-F04</x:v>
      </x:c>
      <x:c r="F17" s="8" t="n">
        <x:f>IF('Evaluation Plan'!D17="Concept/compositional transfer","",'Evaluation Plan'!G17)</x:f>
        <x:v>14</x:v>
      </x:c>
      <x:c r="G17" s="7" t="str">
        <x:f>'Evaluation Plan'!H17</x:f>
        <x:v>Move the new asymmetric container that is turned upside down into the bowl.</x:v>
      </x:c>
      <x:c r="H17" s="7" t="str">
        <x:f>'Evaluation Plan'!I17</x:f>
        <x:v>P1 U4-A (C, UR) [STATE COMPETITOR]; P2 white cup A (O, UR); P3 yellow-white striped cup B (C, UD); P4 U4-B (C, UD) [TARGET]</x:v>
      </x:c>
      <x:c r="I17" s="8" t="str">
        <x:f>'Evaluation Plan'!J17</x:f>
        <x:v>U4-B</x:v>
      </x:c>
      <x:c r="J17" s="8" t="str">
        <x:v>Not started</x:v>
      </x:c>
      <x:c r="K17" s="8"/>
      <x:c r="L17" s="8"/>
      <x:c r="M17" s="7"/>
    </x:row>
    <x:row r="18" ht="58" customHeight="1">
      <x:c r="A18" s="9" t="n">
        <x:f>'Evaluation Plan'!A18</x:f>
        <x:v>16</x:v>
      </x:c>
      <x:c r="B18" s="9" t="n">
        <x:f>'Evaluation Plan'!B18</x:f>
        <x:v>5</x:v>
      </x:c>
      <x:c r="C18" s="9" t="str">
        <x:f>'Evaluation Plan'!C18</x:f>
        <x:v>1 — Canonical transfer</x:v>
      </x:c>
      <x:c r="D18" s="9" t="str">
        <x:f>'Evaluation Plan'!D18</x:f>
        <x:v>Concept/compositional transfer</x:v>
      </x:c>
      <x:c r="E18" s="9" t="str">
        <x:f>'Evaluation Plan'!F18</x:f>
        <x:v>SR-F05</x:v>
      </x:c>
      <x:c r="F18" s="9" t="str">
        <x:f>IF('Evaluation Plan'!D18="Concept/compositional transfer","",'Evaluation Plan'!G18)</x:f>
      </x:c>
      <x:c r="G18" s="10" t="str">
        <x:f>'Evaluation Plan'!H18</x:f>
        <x:v>Put the closed yellow-white striped cup in the bowl.</x:v>
      </x:c>
      <x:c r="H18" s="10" t="str">
        <x:f>'Evaluation Plan'!I18</x:f>
        <x:v>P1 yellow-white striped cup A (C, UR) [TARGET]; P2 yellow-white striped cup B (O, UR) [STATE COMPETITOR]; P3 white cup A (O, UR); P4 brown cup B (C, UD)</x:v>
      </x:c>
      <x:c r="I18" s="9" t="str">
        <x:f>'Evaluation Plan'!J18</x:f>
        <x:v>yellow-white striped cup A</x:v>
      </x:c>
      <x:c r="J18" s="9" t="str">
        <x:v>Not started</x:v>
      </x:c>
      <x:c r="K18" s="9"/>
      <x:c r="L18" s="9"/>
      <x:c r="M18" s="10"/>
    </x:row>
    <x:row r="19" ht="58" customHeight="1">
      <x:c r="A19" s="8" t="n">
        <x:f>'Evaluation Plan'!A19</x:f>
        <x:v>17</x:v>
      </x:c>
      <x:c r="B19" s="8" t="n">
        <x:f>'Evaluation Plan'!B19</x:f>
        <x:v>5</x:v>
      </x:c>
      <x:c r="C19" s="8" t="str">
        <x:f>'Evaluation Plan'!C19</x:f>
        <x:v>2 — Matched control</x:v>
      </x:c>
      <x:c r="D19" s="8" t="str">
        <x:f>'Evaluation Plan'!D19</x:f>
        <x:v>Matched manipulation control</x:v>
      </x:c>
      <x:c r="E19" s="8" t="str">
        <x:f>'Evaluation Plan'!F19</x:f>
        <x:v>SR-F05</x:v>
      </x:c>
      <x:c r="F19" s="8" t="n">
        <x:f>IF('Evaluation Plan'!D19="Concept/compositional transfer","",'Evaluation Plan'!G19)</x:f>
        <x:v>16</x:v>
      </x:c>
      <x:c r="G19" s="7" t="str">
        <x:f>'Evaluation Plan'!H19</x:f>
        <x:v>Put the yellow-white striped cup in the bowl.</x:v>
      </x:c>
      <x:c r="H19" s="7" t="str">
        <x:f>'Evaluation Plan'!I19</x:f>
        <x:v>P1 yellow-white striped cup A (C, UR) [TARGET]; P3 white cup A (O, UR); P4 brown cup B (C, UD)</x:v>
      </x:c>
      <x:c r="I19" s="8" t="str">
        <x:f>'Evaluation Plan'!J19</x:f>
        <x:v>yellow-white striped cup A</x:v>
      </x:c>
      <x:c r="J19" s="8" t="str">
        <x:v>Not started</x:v>
      </x:c>
      <x:c r="K19" s="8"/>
      <x:c r="L19" s="8"/>
      <x:c r="M19" s="7"/>
    </x:row>
    <x:row r="20" ht="58" customHeight="1">
      <x:c r="A20" s="8" t="n">
        <x:f>'Evaluation Plan'!A20</x:f>
        <x:v>18</x:v>
      </x:c>
      <x:c r="B20" s="8" t="n">
        <x:f>'Evaluation Plan'!B20</x:f>
        <x:v>5</x:v>
      </x:c>
      <x:c r="C20" s="8" t="str">
        <x:f>'Evaluation Plan'!C20</x:f>
        <x:v>3 — Novel-object canonical</x:v>
      </x:c>
      <x:c r="D20" s="8" t="str">
        <x:f>'Evaluation Plan'!D20</x:f>
        <x:v>Visual generalization</x:v>
      </x:c>
      <x:c r="E20" s="8" t="str">
        <x:f>'Evaluation Plan'!F20</x:f>
        <x:v>SR-F05</x:v>
      </x:c>
      <x:c r="F20" s="8" t="n">
        <x:f>IF('Evaluation Plan'!D20="Concept/compositional transfer","",'Evaluation Plan'!G20)</x:f>
        <x:v>16</x:v>
      </x:c>
      <x:c r="G20" s="7" t="str">
        <x:f>'Evaluation Plan'!H20</x:f>
        <x:v>Put the closed black cup in the bowl.</x:v>
      </x:c>
      <x:c r="H20" s="7" t="str">
        <x:f>'Evaluation Plan'!I20</x:f>
        <x:v>P1 U1-A (C, UR) [TARGET]; P2 U1-B (O, UR) [STATE COMPETITOR]; P3 white cup A (O, UR); P4 brown cup B (C, UD)</x:v>
      </x:c>
      <x:c r="I20" s="8" t="str">
        <x:f>'Evaluation Plan'!J20</x:f>
        <x:v>U1-A</x:v>
      </x:c>
      <x:c r="J20" s="8" t="str">
        <x:v>Not started</x:v>
      </x:c>
      <x:c r="K20" s="8"/>
      <x:c r="L20" s="8"/>
      <x:c r="M20" s="7"/>
    </x:row>
    <x:row r="21" ht="58" customHeight="1">
      <x:c r="A21" s="8" t="n">
        <x:f>'Evaluation Plan'!A21</x:f>
        <x:v>19</x:v>
      </x:c>
      <x:c r="B21" s="8" t="n">
        <x:f>'Evaluation Plan'!B21</x:f>
        <x:v>5</x:v>
      </x:c>
      <x:c r="C21" s="8" t="str">
        <x:f>'Evaluation Plan'!C21</x:f>
        <x:v>4 — Novel-object paraphrase</x:v>
      </x:c>
      <x:c r="D21" s="8" t="str">
        <x:f>'Evaluation Plan'!D21</x:f>
        <x:v>Language robustness</x:v>
      </x:c>
      <x:c r="E21" s="8" t="str">
        <x:f>'Evaluation Plan'!F21</x:f>
        <x:v>SR-F05</x:v>
      </x:c>
      <x:c r="F21" s="8" t="n">
        <x:f>IF('Evaluation Plan'!D21="Concept/compositional transfer","",'Evaluation Plan'!G21)</x:f>
        <x:v>18</x:v>
      </x:c>
      <x:c r="G21" s="7" t="str">
        <x:f>'Evaluation Plan'!H21</x:f>
        <x:v>Put the black cup with its opening covered in the bowl.</x:v>
      </x:c>
      <x:c r="H21" s="7" t="str">
        <x:f>'Evaluation Plan'!I21</x:f>
        <x:v>P1 U1-A (C, UR) [TARGET]; P2 U1-B (O, UR) [STATE COMPETITOR]; P3 white cup A (O, UR); P4 brown cup B (C, UD)</x:v>
      </x:c>
      <x:c r="I21" s="8" t="str">
        <x:f>'Evaluation Plan'!J21</x:f>
        <x:v>U1-A</x:v>
      </x:c>
      <x:c r="J21" s="8" t="str">
        <x:v>Not started</x:v>
      </x:c>
      <x:c r="K21" s="8"/>
      <x:c r="L21" s="8"/>
      <x:c r="M21" s="7"/>
    </x:row>
    <x:row r="22" ht="58" customHeight="1">
      <x:c r="A22" s="9" t="n">
        <x:f>'Evaluation Plan'!A22</x:f>
        <x:v>20</x:v>
      </x:c>
      <x:c r="B22" s="9" t="n">
        <x:f>'Evaluation Plan'!B22</x:f>
        <x:v>6</x:v>
      </x:c>
      <x:c r="C22" s="9" t="str">
        <x:f>'Evaluation Plan'!C22</x:f>
        <x:v>1 — Canonical transfer</x:v>
      </x:c>
      <x:c r="D22" s="9" t="str">
        <x:f>'Evaluation Plan'!D22</x:f>
        <x:v>Concept/compositional transfer</x:v>
      </x:c>
      <x:c r="E22" s="9" t="str">
        <x:f>'Evaluation Plan'!F22</x:f>
        <x:v>SR-F06</x:v>
      </x:c>
      <x:c r="F22" s="9" t="str">
        <x:f>IF('Evaluation Plan'!D22="Concept/compositional transfer","",'Evaluation Plan'!G22)</x:f>
      </x:c>
      <x:c r="G22" s="10" t="str">
        <x:f>'Evaluation Plan'!H22</x:f>
        <x:v>Move the open brown cup into the bowl.</x:v>
      </x:c>
      <x:c r="H22" s="10" t="str">
        <x:f>'Evaluation Plan'!I22</x:f>
        <x:v>P1 white cup B (C, UD); P2 brown cup B (O, UD) [TARGET]; P3 brown cup A (C, UD) [STATE COMPETITOR]; P4 yellow-white striped cup A (O, UR)</x:v>
      </x:c>
      <x:c r="I22" s="9" t="str">
        <x:f>'Evaluation Plan'!J22</x:f>
        <x:v>brown cup B</x:v>
      </x:c>
      <x:c r="J22" s="9" t="str">
        <x:v>Not started</x:v>
      </x:c>
      <x:c r="K22" s="9"/>
      <x:c r="L22" s="9"/>
      <x:c r="M22" s="10"/>
    </x:row>
    <x:row r="23" ht="58" customHeight="1">
      <x:c r="A23" s="8" t="n">
        <x:f>'Evaluation Plan'!A23</x:f>
        <x:v>21</x:v>
      </x:c>
      <x:c r="B23" s="8" t="n">
        <x:f>'Evaluation Plan'!B23</x:f>
        <x:v>6</x:v>
      </x:c>
      <x:c r="C23" s="8" t="str">
        <x:f>'Evaluation Plan'!C23</x:f>
        <x:v>2 — Matched control</x:v>
      </x:c>
      <x:c r="D23" s="8" t="str">
        <x:f>'Evaluation Plan'!D23</x:f>
        <x:v>Matched manipulation control</x:v>
      </x:c>
      <x:c r="E23" s="8" t="str">
        <x:f>'Evaluation Plan'!F23</x:f>
        <x:v>SR-F06</x:v>
      </x:c>
      <x:c r="F23" s="8" t="n">
        <x:f>IF('Evaluation Plan'!D23="Concept/compositional transfer","",'Evaluation Plan'!G23)</x:f>
        <x:v>20</x:v>
      </x:c>
      <x:c r="G23" s="7" t="str">
        <x:f>'Evaluation Plan'!H23</x:f>
        <x:v>Move the brown cup into the bowl.</x:v>
      </x:c>
      <x:c r="H23" s="7" t="str">
        <x:f>'Evaluation Plan'!I23</x:f>
        <x:v>P1 white cup B (C, UD); P2 brown cup B (O, UD) [TARGET]; P4 yellow-white striped cup A (O, UR)</x:v>
      </x:c>
      <x:c r="I23" s="8" t="str">
        <x:f>'Evaluation Plan'!J23</x:f>
        <x:v>brown cup B</x:v>
      </x:c>
      <x:c r="J23" s="8" t="str">
        <x:v>Not started</x:v>
      </x:c>
      <x:c r="K23" s="8"/>
      <x:c r="L23" s="8"/>
      <x:c r="M23" s="7"/>
    </x:row>
    <x:row r="24" ht="58" customHeight="1">
      <x:c r="A24" s="8" t="n">
        <x:f>'Evaluation Plan'!A24</x:f>
        <x:v>22</x:v>
      </x:c>
      <x:c r="B24" s="8" t="n">
        <x:f>'Evaluation Plan'!B24</x:f>
        <x:v>6</x:v>
      </x:c>
      <x:c r="C24" s="8" t="str">
        <x:f>'Evaluation Plan'!C24</x:f>
        <x:v>3 — Novel-object canonical</x:v>
      </x:c>
      <x:c r="D24" s="8" t="str">
        <x:f>'Evaluation Plan'!D24</x:f>
        <x:v>Visual generalization</x:v>
      </x:c>
      <x:c r="E24" s="8" t="str">
        <x:f>'Evaluation Plan'!F24</x:f>
        <x:v>SR-F06</x:v>
      </x:c>
      <x:c r="F24" s="8" t="n">
        <x:f>IF('Evaluation Plan'!D24="Concept/compositional transfer","",'Evaluation Plan'!G24)</x:f>
        <x:v>20</x:v>
      </x:c>
      <x:c r="G24" s="7" t="str">
        <x:f>'Evaluation Plan'!H24</x:f>
        <x:v>Move the open new lidded container into the bowl.</x:v>
      </x:c>
      <x:c r="H24" s="7" t="str">
        <x:f>'Evaluation Plan'!I24</x:f>
        <x:v>P1 white cup B (C, UD); P2 U2-B (O, UD) [TARGET]; P3 U2-A (C, UD) [STATE COMPETITOR]; P4 yellow-white striped cup A (O, UR)</x:v>
      </x:c>
      <x:c r="I24" s="8" t="str">
        <x:f>'Evaluation Plan'!J24</x:f>
        <x:v>U2-B</x:v>
      </x:c>
      <x:c r="J24" s="8" t="str">
        <x:v>Not started</x:v>
      </x:c>
      <x:c r="K24" s="8"/>
      <x:c r="L24" s="8"/>
      <x:c r="M24" s="7"/>
    </x:row>
    <x:row r="25" ht="58" customHeight="1">
      <x:c r="A25" s="8" t="n">
        <x:f>'Evaluation Plan'!A25</x:f>
        <x:v>23</x:v>
      </x:c>
      <x:c r="B25" s="8" t="n">
        <x:f>'Evaluation Plan'!B25</x:f>
        <x:v>6</x:v>
      </x:c>
      <x:c r="C25" s="8" t="str">
        <x:f>'Evaluation Plan'!C25</x:f>
        <x:v>4 — Novel-object paraphrase</x:v>
      </x:c>
      <x:c r="D25" s="8" t="str">
        <x:f>'Evaluation Plan'!D25</x:f>
        <x:v>Language robustness</x:v>
      </x:c>
      <x:c r="E25" s="8" t="str">
        <x:f>'Evaluation Plan'!F25</x:f>
        <x:v>SR-F06</x:v>
      </x:c>
      <x:c r="F25" s="8" t="n">
        <x:f>IF('Evaluation Plan'!D25="Concept/compositional transfer","",'Evaluation Plan'!G25)</x:f>
        <x:v>22</x:v>
      </x:c>
      <x:c r="G25" s="7" t="str">
        <x:f>'Evaluation Plan'!H25</x:f>
        <x:v>Put the new lidded container with its opening uncovered in the bowl.</x:v>
      </x:c>
      <x:c r="H25" s="7" t="str">
        <x:f>'Evaluation Plan'!I25</x:f>
        <x:v>P1 white cup B (C, UD); P2 U2-B (O, UD) [TARGET]; P3 U2-A (C, UD) [STATE COMPETITOR]; P4 yellow-white striped cup A (O, UR)</x:v>
      </x:c>
      <x:c r="I25" s="8" t="str">
        <x:f>'Evaluation Plan'!J25</x:f>
        <x:v>U2-B</x:v>
      </x:c>
      <x:c r="J25" s="8" t="str">
        <x:v>Not started</x:v>
      </x:c>
      <x:c r="K25" s="8"/>
      <x:c r="L25" s="8"/>
      <x:c r="M25" s="7"/>
    </x:row>
    <x:row r="26" ht="58" customHeight="1">
      <x:c r="A26" s="9" t="n">
        <x:f>'Evaluation Plan'!A26</x:f>
        <x:v>24</x:v>
      </x:c>
      <x:c r="B26" s="9" t="n">
        <x:f>'Evaluation Plan'!B26</x:f>
        <x:v>7</x:v>
      </x:c>
      <x:c r="C26" s="9" t="str">
        <x:f>'Evaluation Plan'!C26</x:f>
        <x:v>1 — Canonical transfer</x:v>
      </x:c>
      <x:c r="D26" s="9" t="str">
        <x:f>'Evaluation Plan'!D26</x:f>
        <x:v>Concept/compositional transfer</x:v>
      </x:c>
      <x:c r="E26" s="9" t="str">
        <x:f>'Evaluation Plan'!F26</x:f>
        <x:v>SR-F07</x:v>
      </x:c>
      <x:c r="F26" s="9" t="str">
        <x:f>IF('Evaluation Plan'!D26="Concept/compositional transfer","",'Evaluation Plan'!G26)</x:f>
      </x:c>
      <x:c r="G26" s="10" t="str">
        <x:f>'Evaluation Plan'!H26</x:f>
        <x:v>Place the upright glass spice container in the bowl.</x:v>
      </x:c>
      <x:c r="H26" s="10" t="str">
        <x:f>'Evaluation Plan'!I26</x:f>
        <x:v>P1 white cup A (O, UR); P2 yellow-white striped cup B (C, UD); P3 glass spice container A (O, UR) [TARGET]; P4 glass spice container B (O, UD) [STATE COMPETITOR]</x:v>
      </x:c>
      <x:c r="I26" s="9" t="str">
        <x:f>'Evaluation Plan'!J26</x:f>
        <x:v>glass spice container A</x:v>
      </x:c>
      <x:c r="J26" s="9" t="str">
        <x:v>Not started</x:v>
      </x:c>
      <x:c r="K26" s="9"/>
      <x:c r="L26" s="9"/>
      <x:c r="M26" s="10"/>
    </x:row>
    <x:row r="27" ht="58" customHeight="1">
      <x:c r="A27" s="8" t="n">
        <x:f>'Evaluation Plan'!A27</x:f>
        <x:v>25</x:v>
      </x:c>
      <x:c r="B27" s="8" t="n">
        <x:f>'Evaluation Plan'!B27</x:f>
        <x:v>7</x:v>
      </x:c>
      <x:c r="C27" s="8" t="str">
        <x:f>'Evaluation Plan'!C27</x:f>
        <x:v>2 — Matched control</x:v>
      </x:c>
      <x:c r="D27" s="8" t="str">
        <x:f>'Evaluation Plan'!D27</x:f>
        <x:v>Matched manipulation control</x:v>
      </x:c>
      <x:c r="E27" s="8" t="str">
        <x:f>'Evaluation Plan'!F27</x:f>
        <x:v>SR-F07</x:v>
      </x:c>
      <x:c r="F27" s="8" t="n">
        <x:f>IF('Evaluation Plan'!D27="Concept/compositional transfer","",'Evaluation Plan'!G27)</x:f>
        <x:v>24</x:v>
      </x:c>
      <x:c r="G27" s="7" t="str">
        <x:f>'Evaluation Plan'!H27</x:f>
        <x:v>Place the glass spice container in the bowl.</x:v>
      </x:c>
      <x:c r="H27" s="7" t="str">
        <x:f>'Evaluation Plan'!I27</x:f>
        <x:v>P1 white cup A (O, UR); P2 yellow-white striped cup B (C, UD); P3 glass spice container A (O, UR) [TARGET]</x:v>
      </x:c>
      <x:c r="I27" s="8" t="str">
        <x:f>'Evaluation Plan'!J27</x:f>
        <x:v>glass spice container A</x:v>
      </x:c>
      <x:c r="J27" s="8" t="str">
        <x:v>Not started</x:v>
      </x:c>
      <x:c r="K27" s="8"/>
      <x:c r="L27" s="8"/>
      <x:c r="M27" s="7"/>
    </x:row>
    <x:row r="28" ht="58" customHeight="1">
      <x:c r="A28" s="8" t="n">
        <x:f>'Evaluation Plan'!A28</x:f>
        <x:v>26</x:v>
      </x:c>
      <x:c r="B28" s="8" t="n">
        <x:f>'Evaluation Plan'!B28</x:f>
        <x:v>7</x:v>
      </x:c>
      <x:c r="C28" s="8" t="str">
        <x:f>'Evaluation Plan'!C28</x:f>
        <x:v>3 — Novel-object canonical</x:v>
      </x:c>
      <x:c r="D28" s="8" t="str">
        <x:f>'Evaluation Plan'!D28</x:f>
        <x:v>Visual generalization</x:v>
      </x:c>
      <x:c r="E28" s="8" t="str">
        <x:f>'Evaluation Plan'!F28</x:f>
        <x:v>SR-F07</x:v>
      </x:c>
      <x:c r="F28" s="8" t="n">
        <x:f>IF('Evaluation Plan'!D28="Concept/compositional transfer","",'Evaluation Plan'!G28)</x:f>
        <x:v>24</x:v>
      </x:c>
      <x:c r="G28" s="7" t="str">
        <x:f>'Evaluation Plan'!H28</x:f>
        <x:v>Place the upright new bottle in the bowl.</x:v>
      </x:c>
      <x:c r="H28" s="7" t="str">
        <x:f>'Evaluation Plan'!I28</x:f>
        <x:v>P1 white cup A (O, UR); P2 yellow-white striped cup B (C, UD); P3 U3-A (O, UR) [TARGET]; P4 U3-B (O, UD) [STATE COMPETITOR]</x:v>
      </x:c>
      <x:c r="I28" s="8" t="str">
        <x:f>'Evaluation Plan'!J28</x:f>
        <x:v>U3-A</x:v>
      </x:c>
      <x:c r="J28" s="8" t="str">
        <x:v>Not started</x:v>
      </x:c>
      <x:c r="K28" s="8"/>
      <x:c r="L28" s="8"/>
      <x:c r="M28" s="7"/>
    </x:row>
    <x:row r="29" ht="58" customHeight="1">
      <x:c r="A29" s="8" t="n">
        <x:f>'Evaluation Plan'!A29</x:f>
        <x:v>27</x:v>
      </x:c>
      <x:c r="B29" s="8" t="n">
        <x:f>'Evaluation Plan'!B29</x:f>
        <x:v>7</x:v>
      </x:c>
      <x:c r="C29" s="8" t="str">
        <x:f>'Evaluation Plan'!C29</x:f>
        <x:v>4 — Novel-object paraphrase</x:v>
      </x:c>
      <x:c r="D29" s="8" t="str">
        <x:f>'Evaluation Plan'!D29</x:f>
        <x:v>Language robustness</x:v>
      </x:c>
      <x:c r="E29" s="8" t="str">
        <x:f>'Evaluation Plan'!F29</x:f>
        <x:v>SR-F07</x:v>
      </x:c>
      <x:c r="F29" s="8" t="n">
        <x:f>IF('Evaluation Plan'!D29="Concept/compositional transfer","",'Evaluation Plan'!G29)</x:f>
        <x:v>26</x:v>
      </x:c>
      <x:c r="G29" s="7" t="str">
        <x:f>'Evaluation Plan'!H29</x:f>
        <x:v>Put the right-side-up new bottle in the bowl.</x:v>
      </x:c>
      <x:c r="H29" s="7" t="str">
        <x:f>'Evaluation Plan'!I29</x:f>
        <x:v>P1 white cup A (O, UR); P2 yellow-white striped cup B (C, UD); P3 U3-A (O, UR) [TARGET]; P4 U3-B (O, UD) [STATE COMPETITOR]</x:v>
      </x:c>
      <x:c r="I29" s="8" t="str">
        <x:f>'Evaluation Plan'!J29</x:f>
        <x:v>U3-A</x:v>
      </x:c>
      <x:c r="J29" s="8" t="str">
        <x:v>Not started</x:v>
      </x:c>
      <x:c r="K29" s="8"/>
      <x:c r="L29" s="8"/>
      <x:c r="M29" s="7"/>
    </x:row>
    <x:row r="30" ht="58" customHeight="1">
      <x:c r="A30" s="9" t="n">
        <x:f>'Evaluation Plan'!A30</x:f>
        <x:v>28</x:v>
      </x:c>
      <x:c r="B30" s="9" t="n">
        <x:f>'Evaluation Plan'!B30</x:f>
        <x:v>8</x:v>
      </x:c>
      <x:c r="C30" s="9" t="str">
        <x:f>'Evaluation Plan'!C30</x:f>
        <x:v>1 — Canonical transfer</x:v>
      </x:c>
      <x:c r="D30" s="9" t="str">
        <x:f>'Evaluation Plan'!D30</x:f>
        <x:v>Concept/compositional transfer</x:v>
      </x:c>
      <x:c r="E30" s="9" t="str">
        <x:f>'Evaluation Plan'!F30</x:f>
        <x:v>SR-F08</x:v>
      </x:c>
      <x:c r="F30" s="9" t="str">
        <x:f>IF('Evaluation Plan'!D30="Concept/compositional transfer","",'Evaluation Plan'!G30)</x:f>
      </x:c>
      <x:c r="G30" s="10" t="str">
        <x:f>'Evaluation Plan'!H30</x:f>
        <x:v>Put the upside-down white cup in the bowl.</x:v>
      </x:c>
      <x:c r="H30" s="10" t="str">
        <x:f>'Evaluation Plan'!I30</x:f>
        <x:v>P1 white cup A (C, UR) [STATE COMPETITOR]; P2 yellow-white striped cup A (O, UR); P3 brown cup B (C, UD); P4 white cup B (C, UD) [TARGET]</x:v>
      </x:c>
      <x:c r="I30" s="9" t="str">
        <x:f>'Evaluation Plan'!J30</x:f>
        <x:v>white cup B</x:v>
      </x:c>
      <x:c r="J30" s="9" t="str">
        <x:v>Not started</x:v>
      </x:c>
      <x:c r="K30" s="9"/>
      <x:c r="L30" s="9"/>
      <x:c r="M30" s="10"/>
    </x:row>
    <x:row r="31" ht="58" customHeight="1">
      <x:c r="A31" s="8" t="n">
        <x:f>'Evaluation Plan'!A31</x:f>
        <x:v>29</x:v>
      </x:c>
      <x:c r="B31" s="8" t="n">
        <x:f>'Evaluation Plan'!B31</x:f>
        <x:v>8</x:v>
      </x:c>
      <x:c r="C31" s="8" t="str">
        <x:f>'Evaluation Plan'!C31</x:f>
        <x:v>2 — Matched control</x:v>
      </x:c>
      <x:c r="D31" s="8" t="str">
        <x:f>'Evaluation Plan'!D31</x:f>
        <x:v>Matched manipulation control</x:v>
      </x:c>
      <x:c r="E31" s="8" t="str">
        <x:f>'Evaluation Plan'!F31</x:f>
        <x:v>SR-F08</x:v>
      </x:c>
      <x:c r="F31" s="8" t="n">
        <x:f>IF('Evaluation Plan'!D31="Concept/compositional transfer","",'Evaluation Plan'!G31)</x:f>
        <x:v>28</x:v>
      </x:c>
      <x:c r="G31" s="7" t="str">
        <x:f>'Evaluation Plan'!H31</x:f>
        <x:v>Put the white cup in the bowl.</x:v>
      </x:c>
      <x:c r="H31" s="7" t="str">
        <x:f>'Evaluation Plan'!I31</x:f>
        <x:v>P2 yellow-white striped cup A (O, UR); P3 brown cup B (C, UD); P4 white cup B (C, UD) [TARGET]</x:v>
      </x:c>
      <x:c r="I31" s="8" t="str">
        <x:f>'Evaluation Plan'!J31</x:f>
        <x:v>white cup B</x:v>
      </x:c>
      <x:c r="J31" s="8" t="str">
        <x:v>Not started</x:v>
      </x:c>
      <x:c r="K31" s="8"/>
      <x:c r="L31" s="8"/>
      <x:c r="M31" s="7"/>
    </x:row>
    <x:row r="32" ht="58" customHeight="1">
      <x:c r="A32" s="8" t="n">
        <x:f>'Evaluation Plan'!A32</x:f>
        <x:v>30</x:v>
      </x:c>
      <x:c r="B32" s="8" t="n">
        <x:f>'Evaluation Plan'!B32</x:f>
        <x:v>8</x:v>
      </x:c>
      <x:c r="C32" s="8" t="str">
        <x:f>'Evaluation Plan'!C32</x:f>
        <x:v>3 — Novel-object canonical</x:v>
      </x:c>
      <x:c r="D32" s="8" t="str">
        <x:f>'Evaluation Plan'!D32</x:f>
        <x:v>Visual generalization</x:v>
      </x:c>
      <x:c r="E32" s="8" t="str">
        <x:f>'Evaluation Plan'!F32</x:f>
        <x:v>SR-F08</x:v>
      </x:c>
      <x:c r="F32" s="8" t="n">
        <x:f>IF('Evaluation Plan'!D32="Concept/compositional transfer","",'Evaluation Plan'!G32)</x:f>
        <x:v>28</x:v>
      </x:c>
      <x:c r="G32" s="7" t="str">
        <x:f>'Evaluation Plan'!H32</x:f>
        <x:v>Put the upside-down new asymmetric container in the bowl.</x:v>
      </x:c>
      <x:c r="H32" s="7" t="str">
        <x:f>'Evaluation Plan'!I32</x:f>
        <x:v>P1 U4-A (C, UR) [STATE COMPETITOR]; P2 yellow-white striped cup A (O, UR); P3 brown cup B (C, UD); P4 U4-B (C, UD) [TARGET]</x:v>
      </x:c>
      <x:c r="I32" s="8" t="str">
        <x:f>'Evaluation Plan'!J32</x:f>
        <x:v>U4-B</x:v>
      </x:c>
      <x:c r="J32" s="8" t="str">
        <x:v>Not started</x:v>
      </x:c>
      <x:c r="K32" s="8"/>
      <x:c r="L32" s="8"/>
      <x:c r="M32" s="7"/>
    </x:row>
    <x:row r="33" ht="58" customHeight="1">
      <x:c r="A33" s="8" t="n">
        <x:f>'Evaluation Plan'!A33</x:f>
        <x:v>31</x:v>
      </x:c>
      <x:c r="B33" s="8" t="n">
        <x:f>'Evaluation Plan'!B33</x:f>
        <x:v>8</x:v>
      </x:c>
      <x:c r="C33" s="8" t="str">
        <x:f>'Evaluation Plan'!C33</x:f>
        <x:v>4 — Novel-object paraphrase</x:v>
      </x:c>
      <x:c r="D33" s="8" t="str">
        <x:f>'Evaluation Plan'!D33</x:f>
        <x:v>Language robustness</x:v>
      </x:c>
      <x:c r="E33" s="8" t="str">
        <x:f>'Evaluation Plan'!F33</x:f>
        <x:v>SR-F08</x:v>
      </x:c>
      <x:c r="F33" s="8" t="n">
        <x:f>IF('Evaluation Plan'!D33="Concept/compositional transfer","",'Evaluation Plan'!G33)</x:f>
        <x:v>30</x:v>
      </x:c>
      <x:c r="G33" s="7" t="str">
        <x:f>'Evaluation Plan'!H33</x:f>
        <x:v>Put the inverted new asymmetric container in the bowl.</x:v>
      </x:c>
      <x:c r="H33" s="7" t="str">
        <x:f>'Evaluation Plan'!I33</x:f>
        <x:v>P1 U4-A (C, UR) [STATE COMPETITOR]; P2 yellow-white striped cup A (O, UR); P3 brown cup B (C, UD); P4 U4-B (C, UD) [TARGET]</x:v>
      </x:c>
      <x:c r="I33" s="8" t="str">
        <x:f>'Evaluation Plan'!J33</x:f>
        <x:v>U4-B</x:v>
      </x:c>
      <x:c r="J33" s="8" t="str">
        <x:v>Not started</x:v>
      </x:c>
      <x:c r="K33" s="8"/>
      <x:c r="L33" s="8"/>
      <x:c r="M33" s="7"/>
    </x:row>
    <x:row r="34" ht="58" customHeight="1">
      <x:c r="A34" s="9" t="n">
        <x:f>'Evaluation Plan'!A34</x:f>
        <x:v>32</x:v>
      </x:c>
      <x:c r="B34" s="9" t="n">
        <x:f>'Evaluation Plan'!B34</x:f>
        <x:v>9</x:v>
      </x:c>
      <x:c r="C34" s="9" t="str">
        <x:f>'Evaluation Plan'!C34</x:f>
        <x:v>1 — Canonical transfer</x:v>
      </x:c>
      <x:c r="D34" s="9" t="str">
        <x:f>'Evaluation Plan'!D34</x:f>
        <x:v>Concept/compositional transfer</x:v>
      </x:c>
      <x:c r="E34" s="9" t="str">
        <x:f>'Evaluation Plan'!F34</x:f>
        <x:v>SR-F09</x:v>
      </x:c>
      <x:c r="F34" s="9" t="str">
        <x:f>IF('Evaluation Plan'!D34="Concept/compositional transfer","",'Evaluation Plan'!G34)</x:f>
      </x:c>
      <x:c r="G34" s="10" t="str">
        <x:f>'Evaluation Plan'!H34</x:f>
        <x:v>Move the closed brown cup into the bowl.</x:v>
      </x:c>
      <x:c r="H34" s="10" t="str">
        <x:f>'Evaluation Plan'!I34</x:f>
        <x:v>P1 brown cup A (C, UR) [TARGET]; P2 brown cup B (O, UR) [STATE COMPETITOR]; P3 white cup A (O, UR); P4 yellow-white striped cup B (C, UD)</x:v>
      </x:c>
      <x:c r="I34" s="9" t="str">
        <x:f>'Evaluation Plan'!J34</x:f>
        <x:v>brown cup A</x:v>
      </x:c>
      <x:c r="J34" s="9" t="str">
        <x:v>Not started</x:v>
      </x:c>
      <x:c r="K34" s="9"/>
      <x:c r="L34" s="9"/>
      <x:c r="M34" s="10"/>
    </x:row>
    <x:row r="35" ht="58" customHeight="1">
      <x:c r="A35" s="8" t="n">
        <x:f>'Evaluation Plan'!A35</x:f>
        <x:v>33</x:v>
      </x:c>
      <x:c r="B35" s="8" t="n">
        <x:f>'Evaluation Plan'!B35</x:f>
        <x:v>9</x:v>
      </x:c>
      <x:c r="C35" s="8" t="str">
        <x:f>'Evaluation Plan'!C35</x:f>
        <x:v>2 — Matched control</x:v>
      </x:c>
      <x:c r="D35" s="8" t="str">
        <x:f>'Evaluation Plan'!D35</x:f>
        <x:v>Matched manipulation control</x:v>
      </x:c>
      <x:c r="E35" s="8" t="str">
        <x:f>'Evaluation Plan'!F35</x:f>
        <x:v>SR-F09</x:v>
      </x:c>
      <x:c r="F35" s="8" t="n">
        <x:f>IF('Evaluation Plan'!D35="Concept/compositional transfer","",'Evaluation Plan'!G35)</x:f>
        <x:v>32</x:v>
      </x:c>
      <x:c r="G35" s="7" t="str">
        <x:f>'Evaluation Plan'!H35</x:f>
        <x:v>Move the brown cup into the bowl.</x:v>
      </x:c>
      <x:c r="H35" s="7" t="str">
        <x:f>'Evaluation Plan'!I35</x:f>
        <x:v>P1 brown cup A (C, UR) [TARGET]; P3 white cup A (O, UR); P4 yellow-white striped cup B (C, UD)</x:v>
      </x:c>
      <x:c r="I35" s="8" t="str">
        <x:f>'Evaluation Plan'!J35</x:f>
        <x:v>brown cup A</x:v>
      </x:c>
      <x:c r="J35" s="8" t="str">
        <x:v>Not started</x:v>
      </x:c>
      <x:c r="K35" s="8"/>
      <x:c r="L35" s="8"/>
      <x:c r="M35" s="7"/>
    </x:row>
    <x:row r="36" ht="58" customHeight="1">
      <x:c r="A36" s="8" t="n">
        <x:f>'Evaluation Plan'!A36</x:f>
        <x:v>34</x:v>
      </x:c>
      <x:c r="B36" s="8" t="n">
        <x:f>'Evaluation Plan'!B36</x:f>
        <x:v>9</x:v>
      </x:c>
      <x:c r="C36" s="8" t="str">
        <x:f>'Evaluation Plan'!C36</x:f>
        <x:v>3 — Novel-object canonical</x:v>
      </x:c>
      <x:c r="D36" s="8" t="str">
        <x:f>'Evaluation Plan'!D36</x:f>
        <x:v>Visual generalization</x:v>
      </x:c>
      <x:c r="E36" s="8" t="str">
        <x:f>'Evaluation Plan'!F36</x:f>
        <x:v>SR-F09</x:v>
      </x:c>
      <x:c r="F36" s="8" t="n">
        <x:f>IF('Evaluation Plan'!D36="Concept/compositional transfer","",'Evaluation Plan'!G36)</x:f>
        <x:v>32</x:v>
      </x:c>
      <x:c r="G36" s="7" t="str">
        <x:f>'Evaluation Plan'!H36</x:f>
        <x:v>Move the closed black cup into the bowl.</x:v>
      </x:c>
      <x:c r="H36" s="7" t="str">
        <x:f>'Evaluation Plan'!I36</x:f>
        <x:v>P1 U1-A (C, UR) [TARGET]; P2 U1-B (O, UR) [STATE COMPETITOR]; P3 white cup A (O, UR); P4 yellow-white striped cup B (C, UD)</x:v>
      </x:c>
      <x:c r="I36" s="8" t="str">
        <x:f>'Evaluation Plan'!J36</x:f>
        <x:v>U1-A</x:v>
      </x:c>
      <x:c r="J36" s="8" t="str">
        <x:v>Not started</x:v>
      </x:c>
      <x:c r="K36" s="8"/>
      <x:c r="L36" s="8"/>
      <x:c r="M36" s="7"/>
    </x:row>
    <x:row r="37" ht="58" customHeight="1">
      <x:c r="A37" s="8" t="n">
        <x:f>'Evaluation Plan'!A37</x:f>
        <x:v>35</x:v>
      </x:c>
      <x:c r="B37" s="8" t="n">
        <x:f>'Evaluation Plan'!B37</x:f>
        <x:v>9</x:v>
      </x:c>
      <x:c r="C37" s="8" t="str">
        <x:f>'Evaluation Plan'!C37</x:f>
        <x:v>4 — Novel-object paraphrase</x:v>
      </x:c>
      <x:c r="D37" s="8" t="str">
        <x:f>'Evaluation Plan'!D37</x:f>
        <x:v>Language robustness</x:v>
      </x:c>
      <x:c r="E37" s="8" t="str">
        <x:f>'Evaluation Plan'!F37</x:f>
        <x:v>SR-F09</x:v>
      </x:c>
      <x:c r="F37" s="8" t="n">
        <x:f>IF('Evaluation Plan'!D37="Concept/compositional transfer","",'Evaluation Plan'!G37)</x:f>
        <x:v>34</x:v>
      </x:c>
      <x:c r="G37" s="7" t="str">
        <x:f>'Evaluation Plan'!H37</x:f>
        <x:v>Find the closed black cup and place it in the bowl.</x:v>
      </x:c>
      <x:c r="H37" s="7" t="str">
        <x:f>'Evaluation Plan'!I37</x:f>
        <x:v>P1 U1-A (C, UR) [TARGET]; P2 U1-B (O, UR) [STATE COMPETITOR]; P3 white cup A (O, UR); P4 yellow-white striped cup B (C, UD)</x:v>
      </x:c>
      <x:c r="I37" s="8" t="str">
        <x:f>'Evaluation Plan'!J37</x:f>
        <x:v>U1-A</x:v>
      </x:c>
      <x:c r="J37" s="8" t="str">
        <x:v>Not started</x:v>
      </x:c>
      <x:c r="K37" s="8"/>
      <x:c r="L37" s="8"/>
      <x:c r="M37" s="7"/>
    </x:row>
    <x:row r="38" ht="58" customHeight="1">
      <x:c r="A38" s="9" t="n">
        <x:f>'Evaluation Plan'!A38</x:f>
        <x:v>36</x:v>
      </x:c>
      <x:c r="B38" s="9" t="n">
        <x:f>'Evaluation Plan'!B38</x:f>
        <x:v>10</x:v>
      </x:c>
      <x:c r="C38" s="9" t="str">
        <x:f>'Evaluation Plan'!C38</x:f>
        <x:v>1 — Canonical transfer</x:v>
      </x:c>
      <x:c r="D38" s="9" t="str">
        <x:f>'Evaluation Plan'!D38</x:f>
        <x:v>Concept/compositional transfer</x:v>
      </x:c>
      <x:c r="E38" s="9" t="str">
        <x:f>'Evaluation Plan'!F38</x:f>
        <x:v>SR-F10</x:v>
      </x:c>
      <x:c r="F38" s="9" t="str">
        <x:f>IF('Evaluation Plan'!D38="Concept/compositional transfer","",'Evaluation Plan'!G38)</x:f>
      </x:c>
      <x:c r="G38" s="10" t="str">
        <x:f>'Evaluation Plan'!H38</x:f>
        <x:v>Place the open glass spice container in the bowl.</x:v>
      </x:c>
      <x:c r="H38" s="10" t="str">
        <x:f>'Evaluation Plan'!I38</x:f>
        <x:v>P1 white cup B (C, UD); P2 glass spice container B (O, UD) [TARGET]; P3 glass spice container A (C, UD) [STATE COMPETITOR]; P4 yellow-white striped cup A (O, UR)</x:v>
      </x:c>
      <x:c r="I38" s="9" t="str">
        <x:f>'Evaluation Plan'!J38</x:f>
        <x:v>glass spice container B</x:v>
      </x:c>
      <x:c r="J38" s="9" t="str">
        <x:v>Not started</x:v>
      </x:c>
      <x:c r="K38" s="9"/>
      <x:c r="L38" s="9"/>
      <x:c r="M38" s="10"/>
    </x:row>
    <x:row r="39" ht="58" customHeight="1">
      <x:c r="A39" s="8" t="n">
        <x:f>'Evaluation Plan'!A39</x:f>
        <x:v>37</x:v>
      </x:c>
      <x:c r="B39" s="8" t="n">
        <x:f>'Evaluation Plan'!B39</x:f>
        <x:v>10</x:v>
      </x:c>
      <x:c r="C39" s="8" t="str">
        <x:f>'Evaluation Plan'!C39</x:f>
        <x:v>2 — Matched control</x:v>
      </x:c>
      <x:c r="D39" s="8" t="str">
        <x:f>'Evaluation Plan'!D39</x:f>
        <x:v>Matched manipulation control</x:v>
      </x:c>
      <x:c r="E39" s="8" t="str">
        <x:f>'Evaluation Plan'!F39</x:f>
        <x:v>SR-F10</x:v>
      </x:c>
      <x:c r="F39" s="8" t="n">
        <x:f>IF('Evaluation Plan'!D39="Concept/compositional transfer","",'Evaluation Plan'!G39)</x:f>
        <x:v>36</x:v>
      </x:c>
      <x:c r="G39" s="7" t="str">
        <x:f>'Evaluation Plan'!H39</x:f>
        <x:v>Place the glass spice container in the bowl.</x:v>
      </x:c>
      <x:c r="H39" s="7" t="str">
        <x:f>'Evaluation Plan'!I39</x:f>
        <x:v>P1 white cup B (C, UD); P2 glass spice container B (O, UD) [TARGET]; P4 yellow-white striped cup A (O, UR)</x:v>
      </x:c>
      <x:c r="I39" s="8" t="str">
        <x:f>'Evaluation Plan'!J39</x:f>
        <x:v>glass spice container B</x:v>
      </x:c>
      <x:c r="J39" s="8" t="str">
        <x:v>Not started</x:v>
      </x:c>
      <x:c r="K39" s="8"/>
      <x:c r="L39" s="8"/>
      <x:c r="M39" s="7"/>
    </x:row>
    <x:row r="40" ht="58" customHeight="1">
      <x:c r="A40" s="8" t="n">
        <x:f>'Evaluation Plan'!A40</x:f>
        <x:v>38</x:v>
      </x:c>
      <x:c r="B40" s="8" t="n">
        <x:f>'Evaluation Plan'!B40</x:f>
        <x:v>10</x:v>
      </x:c>
      <x:c r="C40" s="8" t="str">
        <x:f>'Evaluation Plan'!C40</x:f>
        <x:v>3 — Novel-object canonical</x:v>
      </x:c>
      <x:c r="D40" s="8" t="str">
        <x:f>'Evaluation Plan'!D40</x:f>
        <x:v>Visual generalization</x:v>
      </x:c>
      <x:c r="E40" s="8" t="str">
        <x:f>'Evaluation Plan'!F40</x:f>
        <x:v>SR-F10</x:v>
      </x:c>
      <x:c r="F40" s="8" t="n">
        <x:f>IF('Evaluation Plan'!D40="Concept/compositional transfer","",'Evaluation Plan'!G40)</x:f>
        <x:v>36</x:v>
      </x:c>
      <x:c r="G40" s="7" t="str">
        <x:f>'Evaluation Plan'!H40</x:f>
        <x:v>Place the open new lidded container in the bowl.</x:v>
      </x:c>
      <x:c r="H40" s="7" t="str">
        <x:f>'Evaluation Plan'!I40</x:f>
        <x:v>P1 white cup B (C, UD); P2 U2-B (O, UD) [TARGET]; P3 U2-A (C, UD) [STATE COMPETITOR]; P4 yellow-white striped cup A (O, UR)</x:v>
      </x:c>
      <x:c r="I40" s="8" t="str">
        <x:f>'Evaluation Plan'!J40</x:f>
        <x:v>U2-B</x:v>
      </x:c>
      <x:c r="J40" s="8" t="str">
        <x:v>Not started</x:v>
      </x:c>
      <x:c r="K40" s="8"/>
      <x:c r="L40" s="8"/>
      <x:c r="M40" s="7"/>
    </x:row>
    <x:row r="41" ht="58" customHeight="1">
      <x:c r="A41" s="8" t="n">
        <x:f>'Evaluation Plan'!A41</x:f>
        <x:v>39</x:v>
      </x:c>
      <x:c r="B41" s="8" t="n">
        <x:f>'Evaluation Plan'!B41</x:f>
        <x:v>10</x:v>
      </x:c>
      <x:c r="C41" s="8" t="str">
        <x:f>'Evaluation Plan'!C41</x:f>
        <x:v>4 — Novel-object paraphrase</x:v>
      </x:c>
      <x:c r="D41" s="8" t="str">
        <x:f>'Evaluation Plan'!D41</x:f>
        <x:v>Language robustness</x:v>
      </x:c>
      <x:c r="E41" s="8" t="str">
        <x:f>'Evaluation Plan'!F41</x:f>
        <x:v>SR-F10</x:v>
      </x:c>
      <x:c r="F41" s="8" t="n">
        <x:f>IF('Evaluation Plan'!D41="Concept/compositional transfer","",'Evaluation Plan'!G41)</x:f>
        <x:v>38</x:v>
      </x:c>
      <x:c r="G41" s="7" t="str">
        <x:f>'Evaluation Plan'!H41</x:f>
        <x:v>Find the open new lidded container and place it in the bowl.</x:v>
      </x:c>
      <x:c r="H41" s="7" t="str">
        <x:f>'Evaluation Plan'!I41</x:f>
        <x:v>P1 white cup B (C, UD); P2 U2-B (O, UD) [TARGET]; P3 U2-A (C, UD) [STATE COMPETITOR]; P4 yellow-white striped cup A (O, UR)</x:v>
      </x:c>
      <x:c r="I41" s="8" t="str">
        <x:f>'Evaluation Plan'!J41</x:f>
        <x:v>U2-B</x:v>
      </x:c>
      <x:c r="J41" s="8" t="str">
        <x:v>Not started</x:v>
      </x:c>
      <x:c r="K41" s="8"/>
      <x:c r="L41" s="8"/>
      <x:c r="M41" s="7"/>
    </x:row>
    <x:row r="42" ht="58" customHeight="1">
      <x:c r="A42" s="9" t="n">
        <x:f>'Evaluation Plan'!A42</x:f>
        <x:v>40</x:v>
      </x:c>
      <x:c r="B42" s="9" t="n">
        <x:f>'Evaluation Plan'!B42</x:f>
        <x:v>11</x:v>
      </x:c>
      <x:c r="C42" s="9" t="str">
        <x:f>'Evaluation Plan'!C42</x:f>
        <x:v>1 — Canonical transfer</x:v>
      </x:c>
      <x:c r="D42" s="9" t="str">
        <x:f>'Evaluation Plan'!D42</x:f>
        <x:v>Concept/compositional transfer</x:v>
      </x:c>
      <x:c r="E42" s="9" t="str">
        <x:f>'Evaluation Plan'!F42</x:f>
        <x:v>SR-F11</x:v>
      </x:c>
      <x:c r="F42" s="9" t="str">
        <x:f>IF('Evaluation Plan'!D42="Concept/compositional transfer","",'Evaluation Plan'!G42)</x:f>
      </x:c>
      <x:c r="G42" s="10" t="str">
        <x:f>'Evaluation Plan'!H42</x:f>
        <x:v>Put the upright white cup in the bowl.</x:v>
      </x:c>
      <x:c r="H42" s="10" t="str">
        <x:f>'Evaluation Plan'!I42</x:f>
        <x:v>P1 yellow-white striped cup A (O, UR); P2 brown cup B (C, UD); P3 white cup A (O, UR) [TARGET]; P4 white cup B (O, UD) [STATE COMPETITOR]</x:v>
      </x:c>
      <x:c r="I42" s="9" t="str">
        <x:f>'Evaluation Plan'!J42</x:f>
        <x:v>white cup A</x:v>
      </x:c>
      <x:c r="J42" s="9" t="str">
        <x:v>Not started</x:v>
      </x:c>
      <x:c r="K42" s="9"/>
      <x:c r="L42" s="9"/>
      <x:c r="M42" s="10"/>
    </x:row>
    <x:row r="43" ht="58" customHeight="1">
      <x:c r="A43" s="8" t="n">
        <x:f>'Evaluation Plan'!A43</x:f>
        <x:v>41</x:v>
      </x:c>
      <x:c r="B43" s="8" t="n">
        <x:f>'Evaluation Plan'!B43</x:f>
        <x:v>11</x:v>
      </x:c>
      <x:c r="C43" s="8" t="str">
        <x:f>'Evaluation Plan'!C43</x:f>
        <x:v>2 — Matched control</x:v>
      </x:c>
      <x:c r="D43" s="8" t="str">
        <x:f>'Evaluation Plan'!D43</x:f>
        <x:v>Matched manipulation control</x:v>
      </x:c>
      <x:c r="E43" s="8" t="str">
        <x:f>'Evaluation Plan'!F43</x:f>
        <x:v>SR-F11</x:v>
      </x:c>
      <x:c r="F43" s="8" t="n">
        <x:f>IF('Evaluation Plan'!D43="Concept/compositional transfer","",'Evaluation Plan'!G43)</x:f>
        <x:v>40</x:v>
      </x:c>
      <x:c r="G43" s="7" t="str">
        <x:f>'Evaluation Plan'!H43</x:f>
        <x:v>Put the white cup in the bowl.</x:v>
      </x:c>
      <x:c r="H43" s="7" t="str">
        <x:f>'Evaluation Plan'!I43</x:f>
        <x:v>P1 yellow-white striped cup A (O, UR); P2 brown cup B (C, UD); P3 white cup A (O, UR) [TARGET]</x:v>
      </x:c>
      <x:c r="I43" s="8" t="str">
        <x:f>'Evaluation Plan'!J43</x:f>
        <x:v>white cup A</x:v>
      </x:c>
      <x:c r="J43" s="8" t="str">
        <x:v>Not started</x:v>
      </x:c>
      <x:c r="K43" s="8"/>
      <x:c r="L43" s="8"/>
      <x:c r="M43" s="7"/>
    </x:row>
    <x:row r="44" ht="58" customHeight="1">
      <x:c r="A44" s="8" t="n">
        <x:f>'Evaluation Plan'!A44</x:f>
        <x:v>42</x:v>
      </x:c>
      <x:c r="B44" s="8" t="n">
        <x:f>'Evaluation Plan'!B44</x:f>
        <x:v>11</x:v>
      </x:c>
      <x:c r="C44" s="8" t="str">
        <x:f>'Evaluation Plan'!C44</x:f>
        <x:v>3 — Novel-object canonical</x:v>
      </x:c>
      <x:c r="D44" s="8" t="str">
        <x:f>'Evaluation Plan'!D44</x:f>
        <x:v>Visual generalization</x:v>
      </x:c>
      <x:c r="E44" s="8" t="str">
        <x:f>'Evaluation Plan'!F44</x:f>
        <x:v>SR-F11</x:v>
      </x:c>
      <x:c r="F44" s="8" t="n">
        <x:f>IF('Evaluation Plan'!D44="Concept/compositional transfer","",'Evaluation Plan'!G44)</x:f>
        <x:v>40</x:v>
      </x:c>
      <x:c r="G44" s="7" t="str">
        <x:f>'Evaluation Plan'!H44</x:f>
        <x:v>Put the upright new bottle in the bowl.</x:v>
      </x:c>
      <x:c r="H44" s="7" t="str">
        <x:f>'Evaluation Plan'!I44</x:f>
        <x:v>P1 yellow-white striped cup A (O, UR); P2 brown cup B (C, UD); P3 U3-A (O, UR) [TARGET]; P4 U3-B (O, UD) [STATE COMPETITOR]</x:v>
      </x:c>
      <x:c r="I44" s="8" t="str">
        <x:f>'Evaluation Plan'!J44</x:f>
        <x:v>U3-A</x:v>
      </x:c>
      <x:c r="J44" s="8" t="str">
        <x:v>Not started</x:v>
      </x:c>
      <x:c r="K44" s="8"/>
      <x:c r="L44" s="8"/>
      <x:c r="M44" s="7"/>
    </x:row>
    <x:row r="45" ht="58" customHeight="1">
      <x:c r="A45" s="8" t="n">
        <x:f>'Evaluation Plan'!A45</x:f>
        <x:v>43</x:v>
      </x:c>
      <x:c r="B45" s="8" t="n">
        <x:f>'Evaluation Plan'!B45</x:f>
        <x:v>11</x:v>
      </x:c>
      <x:c r="C45" s="8" t="str">
        <x:f>'Evaluation Plan'!C45</x:f>
        <x:v>4 — Novel-object paraphrase</x:v>
      </x:c>
      <x:c r="D45" s="8" t="str">
        <x:f>'Evaluation Plan'!D45</x:f>
        <x:v>Language robustness</x:v>
      </x:c>
      <x:c r="E45" s="8" t="str">
        <x:f>'Evaluation Plan'!F45</x:f>
        <x:v>SR-F11</x:v>
      </x:c>
      <x:c r="F45" s="8" t="n">
        <x:f>IF('Evaluation Plan'!D45="Concept/compositional transfer","",'Evaluation Plan'!G45)</x:f>
        <x:v>42</x:v>
      </x:c>
      <x:c r="G45" s="7" t="str">
        <x:f>'Evaluation Plan'!H45</x:f>
        <x:v>Find the upright new bottle and place it in the bowl.</x:v>
      </x:c>
      <x:c r="H45" s="7" t="str">
        <x:f>'Evaluation Plan'!I45</x:f>
        <x:v>P1 yellow-white striped cup A (O, UR); P2 brown cup B (C, UD); P3 U3-A (O, UR) [TARGET]; P4 U3-B (O, UD) [STATE COMPETITOR]</x:v>
      </x:c>
      <x:c r="I45" s="8" t="str">
        <x:f>'Evaluation Plan'!J45</x:f>
        <x:v>U3-A</x:v>
      </x:c>
      <x:c r="J45" s="8" t="str">
        <x:v>Not started</x:v>
      </x:c>
      <x:c r="K45" s="8"/>
      <x:c r="L45" s="8"/>
      <x:c r="M45" s="7"/>
    </x:row>
    <x:row r="46" ht="58" customHeight="1">
      <x:c r="A46" s="9" t="n">
        <x:f>'Evaluation Plan'!A46</x:f>
        <x:v>44</x:v>
      </x:c>
      <x:c r="B46" s="9" t="n">
        <x:f>'Evaluation Plan'!B46</x:f>
        <x:v>12</x:v>
      </x:c>
      <x:c r="C46" s="9" t="str">
        <x:f>'Evaluation Plan'!C46</x:f>
        <x:v>1 — Canonical transfer</x:v>
      </x:c>
      <x:c r="D46" s="9" t="str">
        <x:f>'Evaluation Plan'!D46</x:f>
        <x:v>Concept/compositional transfer</x:v>
      </x:c>
      <x:c r="E46" s="9" t="str">
        <x:f>'Evaluation Plan'!F46</x:f>
        <x:v>SR-F12</x:v>
      </x:c>
      <x:c r="F46" s="9" t="str">
        <x:f>IF('Evaluation Plan'!D46="Concept/compositional transfer","",'Evaluation Plan'!G46)</x:f>
      </x:c>
      <x:c r="G46" s="10" t="str">
        <x:f>'Evaluation Plan'!H46</x:f>
        <x:v>Move the upside-down yellow-white striped cup into the bowl.</x:v>
      </x:c>
      <x:c r="H46" s="10" t="str">
        <x:f>'Evaluation Plan'!I46</x:f>
        <x:v>P1 yellow-white striped cup A (C, UR) [STATE COMPETITOR]; P2 white cup A (O, UR); P3 brown cup B (C, UD); P4 yellow-white striped cup B (C, UD) [TARGET]</x:v>
      </x:c>
      <x:c r="I46" s="9" t="str">
        <x:f>'Evaluation Plan'!J46</x:f>
        <x:v>yellow-white striped cup B</x:v>
      </x:c>
      <x:c r="J46" s="9" t="str">
        <x:v>Not started</x:v>
      </x:c>
      <x:c r="K46" s="9"/>
      <x:c r="L46" s="9"/>
      <x:c r="M46" s="10"/>
    </x:row>
    <x:row r="47" ht="58" customHeight="1">
      <x:c r="A47" s="8" t="n">
        <x:f>'Evaluation Plan'!A47</x:f>
        <x:v>45</x:v>
      </x:c>
      <x:c r="B47" s="8" t="n">
        <x:f>'Evaluation Plan'!B47</x:f>
        <x:v>12</x:v>
      </x:c>
      <x:c r="C47" s="8" t="str">
        <x:f>'Evaluation Plan'!C47</x:f>
        <x:v>2 — Matched control</x:v>
      </x:c>
      <x:c r="D47" s="8" t="str">
        <x:f>'Evaluation Plan'!D47</x:f>
        <x:v>Matched manipulation control</x:v>
      </x:c>
      <x:c r="E47" s="8" t="str">
        <x:f>'Evaluation Plan'!F47</x:f>
        <x:v>SR-F12</x:v>
      </x:c>
      <x:c r="F47" s="8" t="n">
        <x:f>IF('Evaluation Plan'!D47="Concept/compositional transfer","",'Evaluation Plan'!G47)</x:f>
        <x:v>44</x:v>
      </x:c>
      <x:c r="G47" s="7" t="str">
        <x:f>'Evaluation Plan'!H47</x:f>
        <x:v>Move the yellow-white striped cup into the bowl.</x:v>
      </x:c>
      <x:c r="H47" s="7" t="str">
        <x:f>'Evaluation Plan'!I47</x:f>
        <x:v>P2 white cup A (O, UR); P3 brown cup B (C, UD); P4 yellow-white striped cup B (C, UD) [TARGET]</x:v>
      </x:c>
      <x:c r="I47" s="8" t="str">
        <x:f>'Evaluation Plan'!J47</x:f>
        <x:v>yellow-white striped cup B</x:v>
      </x:c>
      <x:c r="J47" s="8" t="str">
        <x:v>Not started</x:v>
      </x:c>
      <x:c r="K47" s="8"/>
      <x:c r="L47" s="8"/>
      <x:c r="M47" s="7"/>
    </x:row>
    <x:row r="48" ht="58" customHeight="1">
      <x:c r="A48" s="8" t="n">
        <x:f>'Evaluation Plan'!A48</x:f>
        <x:v>46</x:v>
      </x:c>
      <x:c r="B48" s="8" t="n">
        <x:f>'Evaluation Plan'!B48</x:f>
        <x:v>12</x:v>
      </x:c>
      <x:c r="C48" s="8" t="str">
        <x:f>'Evaluation Plan'!C48</x:f>
        <x:v>3 — Novel-object canonical</x:v>
      </x:c>
      <x:c r="D48" s="8" t="str">
        <x:f>'Evaluation Plan'!D48</x:f>
        <x:v>Visual generalization</x:v>
      </x:c>
      <x:c r="E48" s="8" t="str">
        <x:f>'Evaluation Plan'!F48</x:f>
        <x:v>SR-F12</x:v>
      </x:c>
      <x:c r="F48" s="8" t="n">
        <x:f>IF('Evaluation Plan'!D48="Concept/compositional transfer","",'Evaluation Plan'!G48)</x:f>
        <x:v>44</x:v>
      </x:c>
      <x:c r="G48" s="7" t="str">
        <x:f>'Evaluation Plan'!H48</x:f>
        <x:v>Move the upside-down new asymmetric container into the bowl.</x:v>
      </x:c>
      <x:c r="H48" s="7" t="str">
        <x:f>'Evaluation Plan'!I48</x:f>
        <x:v>P1 U4-A (C, UR) [STATE COMPETITOR]; P2 white cup A (O, UR); P3 brown cup B (C, UD); P4 U4-B (C, UD) [TARGET]</x:v>
      </x:c>
      <x:c r="I48" s="8" t="str">
        <x:f>'Evaluation Plan'!J48</x:f>
        <x:v>U4-B</x:v>
      </x:c>
      <x:c r="J48" s="8" t="str">
        <x:v>Not started</x:v>
      </x:c>
      <x:c r="K48" s="8"/>
      <x:c r="L48" s="8"/>
      <x:c r="M48" s="7"/>
    </x:row>
    <x:row r="49" ht="58" customHeight="1">
      <x:c r="A49" s="8" t="n">
        <x:f>'Evaluation Plan'!A49</x:f>
        <x:v>47</x:v>
      </x:c>
      <x:c r="B49" s="8" t="n">
        <x:f>'Evaluation Plan'!B49</x:f>
        <x:v>12</x:v>
      </x:c>
      <x:c r="C49" s="8" t="str">
        <x:f>'Evaluation Plan'!C49</x:f>
        <x:v>4 — Novel-object paraphrase</x:v>
      </x:c>
      <x:c r="D49" s="8" t="str">
        <x:f>'Evaluation Plan'!D49</x:f>
        <x:v>Language robustness</x:v>
      </x:c>
      <x:c r="E49" s="8" t="str">
        <x:f>'Evaluation Plan'!F49</x:f>
        <x:v>SR-F12</x:v>
      </x:c>
      <x:c r="F49" s="8" t="n">
        <x:f>IF('Evaluation Plan'!D49="Concept/compositional transfer","",'Evaluation Plan'!G49)</x:f>
        <x:v>46</x:v>
      </x:c>
      <x:c r="G49" s="7" t="str">
        <x:f>'Evaluation Plan'!H49</x:f>
        <x:v>Find the upside-down new asymmetric container and place it in the bowl.</x:v>
      </x:c>
      <x:c r="H49" s="7" t="str">
        <x:f>'Evaluation Plan'!I49</x:f>
        <x:v>P1 U4-A (C, UR) [STATE COMPETITOR]; P2 white cup A (O, UR); P3 brown cup B (C, UD); P4 U4-B (C, UD) [TARGET]</x:v>
      </x:c>
      <x:c r="I49" s="8" t="str">
        <x:f>'Evaluation Plan'!J49</x:f>
        <x:v>U4-B</x:v>
      </x:c>
      <x:c r="J49" s="8" t="str">
        <x:v>Not started</x:v>
      </x:c>
      <x:c r="K49" s="8"/>
      <x:c r="L49" s="8"/>
      <x:c r="M49" s="7"/>
    </x:row>
    <x:row r="50" ht="58" customHeight="1">
      <x:c r="A50" s="9" t="n">
        <x:f>'Evaluation Plan'!A50</x:f>
        <x:v>48</x:v>
      </x:c>
      <x:c r="B50" s="9" t="n">
        <x:f>'Evaluation Plan'!B50</x:f>
        <x:v>13</x:v>
      </x:c>
      <x:c r="C50" s="9" t="str">
        <x:f>'Evaluation Plan'!C50</x:f>
        <x:v>1 — Canonical transfer</x:v>
      </x:c>
      <x:c r="D50" s="9" t="str">
        <x:f>'Evaluation Plan'!D50</x:f>
        <x:v>Concept/compositional transfer</x:v>
      </x:c>
      <x:c r="E50" s="9" t="str">
        <x:f>'Evaluation Plan'!F50</x:f>
        <x:v>SR-F13</x:v>
      </x:c>
      <x:c r="F50" s="9" t="str">
        <x:f>IF('Evaluation Plan'!D50="Concept/compositional transfer","",'Evaluation Plan'!G50)</x:f>
      </x:c>
      <x:c r="G50" s="10" t="str">
        <x:f>'Evaluation Plan'!H50</x:f>
        <x:v>Place the closed glass spice container in the bowl.</x:v>
      </x:c>
      <x:c r="H50" s="10" t="str">
        <x:f>'Evaluation Plan'!I50</x:f>
        <x:v>P1 glass spice container A (C, UR) [TARGET]; P2 glass spice container B (O, UR) [STATE COMPETITOR]; P3 white cup A (O, UR); P4 yellow-white striped cup B (C, UD)</x:v>
      </x:c>
      <x:c r="I50" s="9" t="str">
        <x:f>'Evaluation Plan'!J50</x:f>
        <x:v>glass spice container A</x:v>
      </x:c>
      <x:c r="J50" s="9" t="str">
        <x:v>Not started</x:v>
      </x:c>
      <x:c r="K50" s="9"/>
      <x:c r="L50" s="9"/>
      <x:c r="M50" s="10"/>
    </x:row>
    <x:row r="51" ht="58" customHeight="1">
      <x:c r="A51" s="8" t="n">
        <x:f>'Evaluation Plan'!A51</x:f>
        <x:v>49</x:v>
      </x:c>
      <x:c r="B51" s="8" t="n">
        <x:f>'Evaluation Plan'!B51</x:f>
        <x:v>13</x:v>
      </x:c>
      <x:c r="C51" s="8" t="str">
        <x:f>'Evaluation Plan'!C51</x:f>
        <x:v>2 — Matched control</x:v>
      </x:c>
      <x:c r="D51" s="8" t="str">
        <x:f>'Evaluation Plan'!D51</x:f>
        <x:v>Matched manipulation control</x:v>
      </x:c>
      <x:c r="E51" s="8" t="str">
        <x:f>'Evaluation Plan'!F51</x:f>
        <x:v>SR-F13</x:v>
      </x:c>
      <x:c r="F51" s="8" t="n">
        <x:f>IF('Evaluation Plan'!D51="Concept/compositional transfer","",'Evaluation Plan'!G51)</x:f>
        <x:v>48</x:v>
      </x:c>
      <x:c r="G51" s="7" t="str">
        <x:f>'Evaluation Plan'!H51</x:f>
        <x:v>Place the glass spice container in the bowl.</x:v>
      </x:c>
      <x:c r="H51" s="7" t="str">
        <x:f>'Evaluation Plan'!I51</x:f>
        <x:v>P1 glass spice container A (C, UR) [TARGET]; P3 white cup A (O, UR); P4 yellow-white striped cup B (C, UD)</x:v>
      </x:c>
      <x:c r="I51" s="8" t="str">
        <x:f>'Evaluation Plan'!J51</x:f>
        <x:v>glass spice container A</x:v>
      </x:c>
      <x:c r="J51" s="8" t="str">
        <x:v>Not started</x:v>
      </x:c>
      <x:c r="K51" s="8"/>
      <x:c r="L51" s="8"/>
      <x:c r="M51" s="7"/>
    </x:row>
    <x:row r="52" ht="58" customHeight="1">
      <x:c r="A52" s="8" t="n">
        <x:f>'Evaluation Plan'!A52</x:f>
        <x:v>50</x:v>
      </x:c>
      <x:c r="B52" s="8" t="n">
        <x:f>'Evaluation Plan'!B52</x:f>
        <x:v>13</x:v>
      </x:c>
      <x:c r="C52" s="8" t="str">
        <x:f>'Evaluation Plan'!C52</x:f>
        <x:v>3 — Novel-object canonical</x:v>
      </x:c>
      <x:c r="D52" s="8" t="str">
        <x:f>'Evaluation Plan'!D52</x:f>
        <x:v>Visual generalization</x:v>
      </x:c>
      <x:c r="E52" s="8" t="str">
        <x:f>'Evaluation Plan'!F52</x:f>
        <x:v>SR-F13</x:v>
      </x:c>
      <x:c r="F52" s="8" t="n">
        <x:f>IF('Evaluation Plan'!D52="Concept/compositional transfer","",'Evaluation Plan'!G52)</x:f>
        <x:v>48</x:v>
      </x:c>
      <x:c r="G52" s="7" t="str">
        <x:f>'Evaluation Plan'!H52</x:f>
        <x:v>Place the closed black cup in the bowl.</x:v>
      </x:c>
      <x:c r="H52" s="7" t="str">
        <x:f>'Evaluation Plan'!I52</x:f>
        <x:v>P1 U1-A (C, UR) [TARGET]; P2 U1-B (O, UR) [STATE COMPETITOR]; P3 white cup A (O, UR); P4 yellow-white striped cup B (C, UD)</x:v>
      </x:c>
      <x:c r="I52" s="8" t="str">
        <x:f>'Evaluation Plan'!J52</x:f>
        <x:v>U1-A</x:v>
      </x:c>
      <x:c r="J52" s="8" t="str">
        <x:v>Not started</x:v>
      </x:c>
      <x:c r="K52" s="8"/>
      <x:c r="L52" s="8"/>
      <x:c r="M52" s="7"/>
    </x:row>
    <x:row r="53" ht="58" customHeight="1">
      <x:c r="A53" s="8" t="n">
        <x:f>'Evaluation Plan'!A53</x:f>
        <x:v>51</x:v>
      </x:c>
      <x:c r="B53" s="8" t="n">
        <x:f>'Evaluation Plan'!B53</x:f>
        <x:v>13</x:v>
      </x:c>
      <x:c r="C53" s="8" t="str">
        <x:f>'Evaluation Plan'!C53</x:f>
        <x:v>4 — Novel-object paraphrase</x:v>
      </x:c>
      <x:c r="D53" s="8" t="str">
        <x:f>'Evaluation Plan'!D53</x:f>
        <x:v>Language robustness</x:v>
      </x:c>
      <x:c r="E53" s="8" t="str">
        <x:f>'Evaluation Plan'!F53</x:f>
        <x:v>SR-F13</x:v>
      </x:c>
      <x:c r="F53" s="8" t="n">
        <x:f>IF('Evaluation Plan'!D53="Concept/compositional transfer","",'Evaluation Plan'!G53)</x:f>
        <x:v>50</x:v>
      </x:c>
      <x:c r="G53" s="7" t="str">
        <x:f>'Evaluation Plan'!H53</x:f>
        <x:v>Place the black cup that is not open in the bowl.</x:v>
      </x:c>
      <x:c r="H53" s="7" t="str">
        <x:f>'Evaluation Plan'!I53</x:f>
        <x:v>P1 U1-A (C, UR) [TARGET]; P2 U1-B (O, UR) [STATE COMPETITOR]; P3 white cup A (O, UR); P4 yellow-white striped cup B (C, UD)</x:v>
      </x:c>
      <x:c r="I53" s="8" t="str">
        <x:f>'Evaluation Plan'!J53</x:f>
        <x:v>U1-A</x:v>
      </x:c>
      <x:c r="J53" s="8" t="str">
        <x:v>Not started</x:v>
      </x:c>
      <x:c r="K53" s="8"/>
      <x:c r="L53" s="8"/>
      <x:c r="M53" s="7"/>
    </x:row>
    <x:row r="54" ht="58" customHeight="1">
      <x:c r="A54" s="9" t="n">
        <x:f>'Evaluation Plan'!A54</x:f>
        <x:v>52</x:v>
      </x:c>
      <x:c r="B54" s="9" t="n">
        <x:f>'Evaluation Plan'!B54</x:f>
        <x:v>14</x:v>
      </x:c>
      <x:c r="C54" s="9" t="str">
        <x:f>'Evaluation Plan'!C54</x:f>
        <x:v>1 — Canonical transfer</x:v>
      </x:c>
      <x:c r="D54" s="9" t="str">
        <x:f>'Evaluation Plan'!D54</x:f>
        <x:v>Concept/compositional transfer</x:v>
      </x:c>
      <x:c r="E54" s="9" t="str">
        <x:f>'Evaluation Plan'!F54</x:f>
        <x:v>SR-F14</x:v>
      </x:c>
      <x:c r="F54" s="9" t="str">
        <x:f>IF('Evaluation Plan'!D54="Concept/compositional transfer","",'Evaluation Plan'!G54)</x:f>
      </x:c>
      <x:c r="G54" s="10" t="str">
        <x:f>'Evaluation Plan'!H54</x:f>
        <x:v>Put the open white cup in the bowl.</x:v>
      </x:c>
      <x:c r="H54" s="10" t="str">
        <x:f>'Evaluation Plan'!I54</x:f>
        <x:v>P1 yellow-white striped cup B (C, UD); P2 white cup B (O, UD) [TARGET]; P3 white cup A (C, UD) [STATE COMPETITOR]; P4 brown cup A (O, UR)</x:v>
      </x:c>
      <x:c r="I54" s="9" t="str">
        <x:f>'Evaluation Plan'!J54</x:f>
        <x:v>white cup B</x:v>
      </x:c>
      <x:c r="J54" s="9" t="str">
        <x:v>Not started</x:v>
      </x:c>
      <x:c r="K54" s="9"/>
      <x:c r="L54" s="9"/>
      <x:c r="M54" s="10"/>
    </x:row>
    <x:row r="55" ht="58" customHeight="1">
      <x:c r="A55" s="8" t="n">
        <x:f>'Evaluation Plan'!A55</x:f>
        <x:v>53</x:v>
      </x:c>
      <x:c r="B55" s="8" t="n">
        <x:f>'Evaluation Plan'!B55</x:f>
        <x:v>14</x:v>
      </x:c>
      <x:c r="C55" s="8" t="str">
        <x:f>'Evaluation Plan'!C55</x:f>
        <x:v>2 — Matched control</x:v>
      </x:c>
      <x:c r="D55" s="8" t="str">
        <x:f>'Evaluation Plan'!D55</x:f>
        <x:v>Matched manipulation control</x:v>
      </x:c>
      <x:c r="E55" s="8" t="str">
        <x:f>'Evaluation Plan'!F55</x:f>
        <x:v>SR-F14</x:v>
      </x:c>
      <x:c r="F55" s="8" t="n">
        <x:f>IF('Evaluation Plan'!D55="Concept/compositional transfer","",'Evaluation Plan'!G55)</x:f>
        <x:v>52</x:v>
      </x:c>
      <x:c r="G55" s="7" t="str">
        <x:f>'Evaluation Plan'!H55</x:f>
        <x:v>Put the white cup in the bowl.</x:v>
      </x:c>
      <x:c r="H55" s="7" t="str">
        <x:f>'Evaluation Plan'!I55</x:f>
        <x:v>P1 yellow-white striped cup B (C, UD); P2 white cup B (O, UD) [TARGET]; P4 brown cup A (O, UR)</x:v>
      </x:c>
      <x:c r="I55" s="8" t="str">
        <x:f>'Evaluation Plan'!J55</x:f>
        <x:v>white cup B</x:v>
      </x:c>
      <x:c r="J55" s="8" t="str">
        <x:v>Not started</x:v>
      </x:c>
      <x:c r="K55" s="8"/>
      <x:c r="L55" s="8"/>
      <x:c r="M55" s="7"/>
    </x:row>
    <x:row r="56" ht="58" customHeight="1">
      <x:c r="A56" s="8" t="n">
        <x:f>'Evaluation Plan'!A56</x:f>
        <x:v>54</x:v>
      </x:c>
      <x:c r="B56" s="8" t="n">
        <x:f>'Evaluation Plan'!B56</x:f>
        <x:v>14</x:v>
      </x:c>
      <x:c r="C56" s="8" t="str">
        <x:f>'Evaluation Plan'!C56</x:f>
        <x:v>3 — Novel-object canonical</x:v>
      </x:c>
      <x:c r="D56" s="8" t="str">
        <x:f>'Evaluation Plan'!D56</x:f>
        <x:v>Visual generalization</x:v>
      </x:c>
      <x:c r="E56" s="8" t="str">
        <x:f>'Evaluation Plan'!F56</x:f>
        <x:v>SR-F14</x:v>
      </x:c>
      <x:c r="F56" s="8" t="n">
        <x:f>IF('Evaluation Plan'!D56="Concept/compositional transfer","",'Evaluation Plan'!G56)</x:f>
        <x:v>52</x:v>
      </x:c>
      <x:c r="G56" s="7" t="str">
        <x:f>'Evaluation Plan'!H56</x:f>
        <x:v>Put the open new lidded container in the bowl.</x:v>
      </x:c>
      <x:c r="H56" s="7" t="str">
        <x:f>'Evaluation Plan'!I56</x:f>
        <x:v>P1 yellow-white striped cup B (C, UD); P2 U2-B (O, UD) [TARGET]; P3 U2-A (C, UD) [STATE COMPETITOR]; P4 brown cup A (O, UR)</x:v>
      </x:c>
      <x:c r="I56" s="8" t="str">
        <x:f>'Evaluation Plan'!J56</x:f>
        <x:v>U2-B</x:v>
      </x:c>
      <x:c r="J56" s="8" t="str">
        <x:v>Not started</x:v>
      </x:c>
      <x:c r="K56" s="8"/>
      <x:c r="L56" s="8"/>
      <x:c r="M56" s="7"/>
    </x:row>
    <x:row r="57" ht="58" customHeight="1">
      <x:c r="A57" s="8" t="n">
        <x:f>'Evaluation Plan'!A57</x:f>
        <x:v>55</x:v>
      </x:c>
      <x:c r="B57" s="8" t="n">
        <x:f>'Evaluation Plan'!B57</x:f>
        <x:v>14</x:v>
      </x:c>
      <x:c r="C57" s="8" t="str">
        <x:f>'Evaluation Plan'!C57</x:f>
        <x:v>4 — Novel-object paraphrase</x:v>
      </x:c>
      <x:c r="D57" s="8" t="str">
        <x:f>'Evaluation Plan'!D57</x:f>
        <x:v>Language robustness</x:v>
      </x:c>
      <x:c r="E57" s="8" t="str">
        <x:f>'Evaluation Plan'!F57</x:f>
        <x:v>SR-F14</x:v>
      </x:c>
      <x:c r="F57" s="8" t="n">
        <x:f>IF('Evaluation Plan'!D57="Concept/compositional transfer","",'Evaluation Plan'!G57)</x:f>
        <x:v>54</x:v>
      </x:c>
      <x:c r="G57" s="7" t="str">
        <x:f>'Evaluation Plan'!H57</x:f>
        <x:v>Place the new lidded container that is not closed in the bowl.</x:v>
      </x:c>
      <x:c r="H57" s="7" t="str">
        <x:f>'Evaluation Plan'!I57</x:f>
        <x:v>P1 yellow-white striped cup B (C, UD); P2 U2-B (O, UD) [TARGET]; P3 U2-A (C, UD) [STATE COMPETITOR]; P4 brown cup A (O, UR)</x:v>
      </x:c>
      <x:c r="I57" s="8" t="str">
        <x:f>'Evaluation Plan'!J57</x:f>
        <x:v>U2-B</x:v>
      </x:c>
      <x:c r="J57" s="8" t="str">
        <x:v>Not started</x:v>
      </x:c>
      <x:c r="K57" s="8"/>
      <x:c r="L57" s="8"/>
      <x:c r="M57" s="7"/>
    </x:row>
    <x:row r="58" ht="58" customHeight="1">
      <x:c r="A58" s="9" t="n">
        <x:f>'Evaluation Plan'!A58</x:f>
        <x:v>56</x:v>
      </x:c>
      <x:c r="B58" s="9" t="n">
        <x:f>'Evaluation Plan'!B58</x:f>
        <x:v>15</x:v>
      </x:c>
      <x:c r="C58" s="9" t="str">
        <x:f>'Evaluation Plan'!C58</x:f>
        <x:v>1 — Canonical transfer</x:v>
      </x:c>
      <x:c r="D58" s="9" t="str">
        <x:f>'Evaluation Plan'!D58</x:f>
        <x:v>Concept/compositional transfer</x:v>
      </x:c>
      <x:c r="E58" s="9" t="str">
        <x:f>'Evaluation Plan'!F58</x:f>
        <x:v>SR-F15</x:v>
      </x:c>
      <x:c r="F58" s="9" t="str">
        <x:f>IF('Evaluation Plan'!D58="Concept/compositional transfer","",'Evaluation Plan'!G58)</x:f>
      </x:c>
      <x:c r="G58" s="10" t="str">
        <x:f>'Evaluation Plan'!H58</x:f>
        <x:v>Move the upright yellow-white striped cup into the bowl.</x:v>
      </x:c>
      <x:c r="H58" s="10" t="str">
        <x:f>'Evaluation Plan'!I58</x:f>
        <x:v>P1 white cup A (O, UR); P2 brown cup B (C, UD); P3 yellow-white striped cup A (O, UR) [TARGET]; P4 yellow-white striped cup B (O, UD) [STATE COMPETITOR]</x:v>
      </x:c>
      <x:c r="I58" s="9" t="str">
        <x:f>'Evaluation Plan'!J58</x:f>
        <x:v>yellow-white striped cup A</x:v>
      </x:c>
      <x:c r="J58" s="9" t="str">
        <x:v>Not started</x:v>
      </x:c>
      <x:c r="K58" s="9"/>
      <x:c r="L58" s="9"/>
      <x:c r="M58" s="10"/>
    </x:row>
    <x:row r="59" ht="58" customHeight="1">
      <x:c r="A59" s="8" t="n">
        <x:f>'Evaluation Plan'!A59</x:f>
        <x:v>57</x:v>
      </x:c>
      <x:c r="B59" s="8" t="n">
        <x:f>'Evaluation Plan'!B59</x:f>
        <x:v>15</x:v>
      </x:c>
      <x:c r="C59" s="8" t="str">
        <x:f>'Evaluation Plan'!C59</x:f>
        <x:v>2 — Matched control</x:v>
      </x:c>
      <x:c r="D59" s="8" t="str">
        <x:f>'Evaluation Plan'!D59</x:f>
        <x:v>Matched manipulation control</x:v>
      </x:c>
      <x:c r="E59" s="8" t="str">
        <x:f>'Evaluation Plan'!F59</x:f>
        <x:v>SR-F15</x:v>
      </x:c>
      <x:c r="F59" s="8" t="n">
        <x:f>IF('Evaluation Plan'!D59="Concept/compositional transfer","",'Evaluation Plan'!G59)</x:f>
        <x:v>56</x:v>
      </x:c>
      <x:c r="G59" s="7" t="str">
        <x:f>'Evaluation Plan'!H59</x:f>
        <x:v>Move the yellow-white striped cup into the bowl.</x:v>
      </x:c>
      <x:c r="H59" s="7" t="str">
        <x:f>'Evaluation Plan'!I59</x:f>
        <x:v>P1 white cup A (O, UR); P2 brown cup B (C, UD); P3 yellow-white striped cup A (O, UR) [TARGET]</x:v>
      </x:c>
      <x:c r="I59" s="8" t="str">
        <x:f>'Evaluation Plan'!J59</x:f>
        <x:v>yellow-white striped cup A</x:v>
      </x:c>
      <x:c r="J59" s="8" t="str">
        <x:v>Not started</x:v>
      </x:c>
      <x:c r="K59" s="8"/>
      <x:c r="L59" s="8"/>
      <x:c r="M59" s="7"/>
    </x:row>
    <x:row r="60" ht="58" customHeight="1">
      <x:c r="A60" s="8" t="n">
        <x:f>'Evaluation Plan'!A60</x:f>
        <x:v>58</x:v>
      </x:c>
      <x:c r="B60" s="8" t="n">
        <x:f>'Evaluation Plan'!B60</x:f>
        <x:v>15</x:v>
      </x:c>
      <x:c r="C60" s="8" t="str">
        <x:f>'Evaluation Plan'!C60</x:f>
        <x:v>3 — Novel-object canonical</x:v>
      </x:c>
      <x:c r="D60" s="8" t="str">
        <x:f>'Evaluation Plan'!D60</x:f>
        <x:v>Visual generalization</x:v>
      </x:c>
      <x:c r="E60" s="8" t="str">
        <x:f>'Evaluation Plan'!F60</x:f>
        <x:v>SR-F15</x:v>
      </x:c>
      <x:c r="F60" s="8" t="n">
        <x:f>IF('Evaluation Plan'!D60="Concept/compositional transfer","",'Evaluation Plan'!G60)</x:f>
        <x:v>56</x:v>
      </x:c>
      <x:c r="G60" s="7" t="str">
        <x:f>'Evaluation Plan'!H60</x:f>
        <x:v>Move the upright new bottle into the bowl.</x:v>
      </x:c>
      <x:c r="H60" s="7" t="str">
        <x:f>'Evaluation Plan'!I60</x:f>
        <x:v>P1 white cup A (O, UR); P2 brown cup B (C, UD); P3 U3-A (O, UR) [TARGET]; P4 U3-B (O, UD) [STATE COMPETITOR]</x:v>
      </x:c>
      <x:c r="I60" s="8" t="str">
        <x:f>'Evaluation Plan'!J60</x:f>
        <x:v>U3-A</x:v>
      </x:c>
      <x:c r="J60" s="8" t="str">
        <x:v>Not started</x:v>
      </x:c>
      <x:c r="K60" s="8"/>
      <x:c r="L60" s="8"/>
      <x:c r="M60" s="7"/>
    </x:row>
    <x:row r="61" ht="58" customHeight="1">
      <x:c r="A61" s="8" t="n">
        <x:f>'Evaluation Plan'!A61</x:f>
        <x:v>59</x:v>
      </x:c>
      <x:c r="B61" s="8" t="n">
        <x:f>'Evaluation Plan'!B61</x:f>
        <x:v>15</x:v>
      </x:c>
      <x:c r="C61" s="8" t="str">
        <x:f>'Evaluation Plan'!C61</x:f>
        <x:v>4 — Novel-object paraphrase</x:v>
      </x:c>
      <x:c r="D61" s="8" t="str">
        <x:f>'Evaluation Plan'!D61</x:f>
        <x:v>Language robustness</x:v>
      </x:c>
      <x:c r="E61" s="8" t="str">
        <x:f>'Evaluation Plan'!F61</x:f>
        <x:v>SR-F15</x:v>
      </x:c>
      <x:c r="F61" s="8" t="n">
        <x:f>IF('Evaluation Plan'!D61="Concept/compositional transfer","",'Evaluation Plan'!G61)</x:f>
        <x:v>58</x:v>
      </x:c>
      <x:c r="G61" s="7" t="str">
        <x:f>'Evaluation Plan'!H61</x:f>
        <x:v>Place the new bottle that is not overturned in the bowl.</x:v>
      </x:c>
      <x:c r="H61" s="7" t="str">
        <x:f>'Evaluation Plan'!I61</x:f>
        <x:v>P1 white cup A (O, UR); P2 brown cup B (C, UD); P3 U3-A (O, UR) [TARGET]; P4 U3-B (O, UD) [STATE COMPETITOR]</x:v>
      </x:c>
      <x:c r="I61" s="8" t="str">
        <x:f>'Evaluation Plan'!J61</x:f>
        <x:v>U3-A</x:v>
      </x:c>
      <x:c r="J61" s="8" t="str">
        <x:v>Not started</x:v>
      </x:c>
      <x:c r="K61" s="8"/>
      <x:c r="L61" s="8"/>
      <x:c r="M61" s="7"/>
    </x:row>
    <x:row r="62" ht="58" customHeight="1">
      <x:c r="A62" s="9" t="n">
        <x:f>'Evaluation Plan'!A62</x:f>
        <x:v>60</x:v>
      </x:c>
      <x:c r="B62" s="9" t="n">
        <x:f>'Evaluation Plan'!B62</x:f>
        <x:v>16</x:v>
      </x:c>
      <x:c r="C62" s="9" t="str">
        <x:f>'Evaluation Plan'!C62</x:f>
        <x:v>1 — Canonical transfer</x:v>
      </x:c>
      <x:c r="D62" s="9" t="str">
        <x:f>'Evaluation Plan'!D62</x:f>
        <x:v>Concept/compositional transfer</x:v>
      </x:c>
      <x:c r="E62" s="9" t="str">
        <x:f>'Evaluation Plan'!F62</x:f>
        <x:v>SR-F16</x:v>
      </x:c>
      <x:c r="F62" s="9" t="str">
        <x:f>IF('Evaluation Plan'!D62="Concept/compositional transfer","",'Evaluation Plan'!G62)</x:f>
      </x:c>
      <x:c r="G62" s="10" t="str">
        <x:f>'Evaluation Plan'!H62</x:f>
        <x:v>Place the upside-down brown cup in the bowl.</x:v>
      </x:c>
      <x:c r="H62" s="10" t="str">
        <x:f>'Evaluation Plan'!I62</x:f>
        <x:v>P1 brown cup A (C, UR) [STATE COMPETITOR]; P2 white cup A (O, UR); P3 yellow-white striped cup B (C, UD); P4 brown cup B (C, UD) [TARGET]</x:v>
      </x:c>
      <x:c r="I62" s="9" t="str">
        <x:f>'Evaluation Plan'!J62</x:f>
        <x:v>brown cup B</x:v>
      </x:c>
      <x:c r="J62" s="9" t="str">
        <x:v>Not started</x:v>
      </x:c>
      <x:c r="K62" s="9"/>
      <x:c r="L62" s="9"/>
      <x:c r="M62" s="10"/>
    </x:row>
    <x:row r="63" ht="58" customHeight="1">
      <x:c r="A63" s="8" t="n">
        <x:f>'Evaluation Plan'!A63</x:f>
        <x:v>61</x:v>
      </x:c>
      <x:c r="B63" s="8" t="n">
        <x:f>'Evaluation Plan'!B63</x:f>
        <x:v>16</x:v>
      </x:c>
      <x:c r="C63" s="8" t="str">
        <x:f>'Evaluation Plan'!C63</x:f>
        <x:v>2 — Matched control</x:v>
      </x:c>
      <x:c r="D63" s="8" t="str">
        <x:f>'Evaluation Plan'!D63</x:f>
        <x:v>Matched manipulation control</x:v>
      </x:c>
      <x:c r="E63" s="8" t="str">
        <x:f>'Evaluation Plan'!F63</x:f>
        <x:v>SR-F16</x:v>
      </x:c>
      <x:c r="F63" s="8" t="n">
        <x:f>IF('Evaluation Plan'!D63="Concept/compositional transfer","",'Evaluation Plan'!G63)</x:f>
        <x:v>60</x:v>
      </x:c>
      <x:c r="G63" s="7" t="str">
        <x:f>'Evaluation Plan'!H63</x:f>
        <x:v>Place the brown cup in the bowl.</x:v>
      </x:c>
      <x:c r="H63" s="7" t="str">
        <x:f>'Evaluation Plan'!I63</x:f>
        <x:v>P2 white cup A (O, UR); P3 yellow-white striped cup B (C, UD); P4 brown cup B (C, UD) [TARGET]</x:v>
      </x:c>
      <x:c r="I63" s="8" t="str">
        <x:f>'Evaluation Plan'!J63</x:f>
        <x:v>brown cup B</x:v>
      </x:c>
      <x:c r="J63" s="8" t="str">
        <x:v>Not started</x:v>
      </x:c>
      <x:c r="K63" s="8"/>
      <x:c r="L63" s="8"/>
      <x:c r="M63" s="7"/>
    </x:row>
    <x:row r="64" ht="58" customHeight="1">
      <x:c r="A64" s="8" t="n">
        <x:f>'Evaluation Plan'!A64</x:f>
        <x:v>62</x:v>
      </x:c>
      <x:c r="B64" s="8" t="n">
        <x:f>'Evaluation Plan'!B64</x:f>
        <x:v>16</x:v>
      </x:c>
      <x:c r="C64" s="8" t="str">
        <x:f>'Evaluation Plan'!C64</x:f>
        <x:v>3 — Novel-object canonical</x:v>
      </x:c>
      <x:c r="D64" s="8" t="str">
        <x:f>'Evaluation Plan'!D64</x:f>
        <x:v>Visual generalization</x:v>
      </x:c>
      <x:c r="E64" s="8" t="str">
        <x:f>'Evaluation Plan'!F64</x:f>
        <x:v>SR-F16</x:v>
      </x:c>
      <x:c r="F64" s="8" t="n">
        <x:f>IF('Evaluation Plan'!D64="Concept/compositional transfer","",'Evaluation Plan'!G64)</x:f>
        <x:v>60</x:v>
      </x:c>
      <x:c r="G64" s="7" t="str">
        <x:f>'Evaluation Plan'!H64</x:f>
        <x:v>Place the upside-down new asymmetric container in the bowl.</x:v>
      </x:c>
      <x:c r="H64" s="7" t="str">
        <x:f>'Evaluation Plan'!I64</x:f>
        <x:v>P1 U4-A (C, UR) [STATE COMPETITOR]; P2 white cup A (O, UR); P3 yellow-white striped cup B (C, UD); P4 U4-B (C, UD) [TARGET]</x:v>
      </x:c>
      <x:c r="I64" s="8" t="str">
        <x:f>'Evaluation Plan'!J64</x:f>
        <x:v>U4-B</x:v>
      </x:c>
      <x:c r="J64" s="8" t="str">
        <x:v>Not started</x:v>
      </x:c>
      <x:c r="K64" s="8"/>
      <x:c r="L64" s="8"/>
      <x:c r="M64" s="7"/>
    </x:row>
    <x:row r="65" ht="58" customHeight="1">
      <x:c r="A65" s="8" t="n">
        <x:f>'Evaluation Plan'!A65</x:f>
        <x:v>63</x:v>
      </x:c>
      <x:c r="B65" s="8" t="n">
        <x:f>'Evaluation Plan'!B65</x:f>
        <x:v>16</x:v>
      </x:c>
      <x:c r="C65" s="8" t="str">
        <x:f>'Evaluation Plan'!C65</x:f>
        <x:v>4 — Novel-object paraphrase</x:v>
      </x:c>
      <x:c r="D65" s="8" t="str">
        <x:f>'Evaluation Plan'!D65</x:f>
        <x:v>Language robustness</x:v>
      </x:c>
      <x:c r="E65" s="8" t="str">
        <x:f>'Evaluation Plan'!F65</x:f>
        <x:v>SR-F16</x:v>
      </x:c>
      <x:c r="F65" s="8" t="n">
        <x:f>IF('Evaluation Plan'!D65="Concept/compositional transfer","",'Evaluation Plan'!G65)</x:f>
        <x:v>62</x:v>
      </x:c>
      <x:c r="G65" s="7" t="str">
        <x:f>'Evaluation Plan'!H65</x:f>
        <x:v>Place the overturned new asymmetric container in the bowl.</x:v>
      </x:c>
      <x:c r="H65" s="7" t="str">
        <x:f>'Evaluation Plan'!I65</x:f>
        <x:v>P1 U4-A (C, UR) [STATE COMPETITOR]; P2 white cup A (O, UR); P3 yellow-white striped cup B (C, UD); P4 U4-B (C, UD) [TARGET]</x:v>
      </x:c>
      <x:c r="I65" s="8" t="str">
        <x:f>'Evaluation Plan'!J65</x:f>
        <x:v>U4-B</x:v>
      </x:c>
      <x:c r="J65" s="8" t="str">
        <x:v>Not started</x:v>
      </x:c>
      <x:c r="K65" s="8"/>
      <x:c r="L65" s="8"/>
      <x:c r="M65" s="7"/>
    </x:row>
    <x:row r="66" ht="58" customHeight="1">
      <x:c r="A66" s="9" t="n">
        <x:f>'Evaluation Plan'!A66</x:f>
        <x:v>64</x:v>
      </x:c>
      <x:c r="B66" s="9" t="n">
        <x:f>'Evaluation Plan'!B66</x:f>
        <x:v>17</x:v>
      </x:c>
      <x:c r="C66" s="9" t="str">
        <x:f>'Evaluation Plan'!C66</x:f>
        <x:v>1 — Canonical transfer</x:v>
      </x:c>
      <x:c r="D66" s="9" t="str">
        <x:f>'Evaluation Plan'!D66</x:f>
        <x:v>Concept/compositional transfer</x:v>
      </x:c>
      <x:c r="E66" s="9" t="str">
        <x:f>'Evaluation Plan'!F66</x:f>
        <x:v>SR-F17</x:v>
      </x:c>
      <x:c r="F66" s="9" t="str">
        <x:f>IF('Evaluation Plan'!D66="Concept/compositional transfer","",'Evaluation Plan'!G66)</x:f>
      </x:c>
      <x:c r="G66" s="10" t="str">
        <x:f>'Evaluation Plan'!H66</x:f>
        <x:v>Put the closed white cup in the bowl.</x:v>
      </x:c>
      <x:c r="H66" s="10" t="str">
        <x:f>'Evaluation Plan'!I66</x:f>
        <x:v>P1 white cup A (C, UR) [TARGET]; P2 white cup B (O, UR) [STATE COMPETITOR]; P3 yellow-white striped cup A (O, UR); P4 brown cup B (C, UD)</x:v>
      </x:c>
      <x:c r="I66" s="9" t="str">
        <x:f>'Evaluation Plan'!J66</x:f>
        <x:v>white cup A</x:v>
      </x:c>
      <x:c r="J66" s="9" t="str">
        <x:v>Not started</x:v>
      </x:c>
      <x:c r="K66" s="9"/>
      <x:c r="L66" s="9"/>
      <x:c r="M66" s="10"/>
    </x:row>
    <x:row r="67" ht="58" customHeight="1">
      <x:c r="A67" s="8" t="n">
        <x:f>'Evaluation Plan'!A67</x:f>
        <x:v>65</x:v>
      </x:c>
      <x:c r="B67" s="8" t="n">
        <x:f>'Evaluation Plan'!B67</x:f>
        <x:v>17</x:v>
      </x:c>
      <x:c r="C67" s="8" t="str">
        <x:f>'Evaluation Plan'!C67</x:f>
        <x:v>2 — Matched control</x:v>
      </x:c>
      <x:c r="D67" s="8" t="str">
        <x:f>'Evaluation Plan'!D67</x:f>
        <x:v>Matched manipulation control</x:v>
      </x:c>
      <x:c r="E67" s="8" t="str">
        <x:f>'Evaluation Plan'!F67</x:f>
        <x:v>SR-F17</x:v>
      </x:c>
      <x:c r="F67" s="8" t="n">
        <x:f>IF('Evaluation Plan'!D67="Concept/compositional transfer","",'Evaluation Plan'!G67)</x:f>
        <x:v>64</x:v>
      </x:c>
      <x:c r="G67" s="7" t="str">
        <x:f>'Evaluation Plan'!H67</x:f>
        <x:v>Put the white cup in the bowl.</x:v>
      </x:c>
      <x:c r="H67" s="7" t="str">
        <x:f>'Evaluation Plan'!I67</x:f>
        <x:v>P1 white cup A (C, UR) [TARGET]; P3 yellow-white striped cup A (O, UR); P4 brown cup B (C, UD)</x:v>
      </x:c>
      <x:c r="I67" s="8" t="str">
        <x:f>'Evaluation Plan'!J67</x:f>
        <x:v>white cup A</x:v>
      </x:c>
      <x:c r="J67" s="8" t="str">
        <x:v>Not started</x:v>
      </x:c>
      <x:c r="K67" s="8"/>
      <x:c r="L67" s="8"/>
      <x:c r="M67" s="7"/>
    </x:row>
    <x:row r="68" ht="58" customHeight="1">
      <x:c r="A68" s="8" t="n">
        <x:f>'Evaluation Plan'!A68</x:f>
        <x:v>66</x:v>
      </x:c>
      <x:c r="B68" s="8" t="n">
        <x:f>'Evaluation Plan'!B68</x:f>
        <x:v>17</x:v>
      </x:c>
      <x:c r="C68" s="8" t="str">
        <x:f>'Evaluation Plan'!C68</x:f>
        <x:v>3 — Novel-object canonical</x:v>
      </x:c>
      <x:c r="D68" s="8" t="str">
        <x:f>'Evaluation Plan'!D68</x:f>
        <x:v>Visual generalization</x:v>
      </x:c>
      <x:c r="E68" s="8" t="str">
        <x:f>'Evaluation Plan'!F68</x:f>
        <x:v>SR-F17</x:v>
      </x:c>
      <x:c r="F68" s="8" t="n">
        <x:f>IF('Evaluation Plan'!D68="Concept/compositional transfer","",'Evaluation Plan'!G68)</x:f>
        <x:v>64</x:v>
      </x:c>
      <x:c r="G68" s="7" t="str">
        <x:f>'Evaluation Plan'!H68</x:f>
        <x:v>Put the closed black cup in the bowl.</x:v>
      </x:c>
      <x:c r="H68" s="7" t="str">
        <x:f>'Evaluation Plan'!I68</x:f>
        <x:v>P1 U1-A (C, UR) [TARGET]; P2 U1-B (O, UR) [STATE COMPETITOR]; P3 yellow-white striped cup A (O, UR); P4 brown cup B (C, UD)</x:v>
      </x:c>
      <x:c r="I68" s="8" t="str">
        <x:f>'Evaluation Plan'!J68</x:f>
        <x:v>U1-A</x:v>
      </x:c>
      <x:c r="J68" s="8" t="str">
        <x:v>Not started</x:v>
      </x:c>
      <x:c r="K68" s="8"/>
      <x:c r="L68" s="8"/>
      <x:c r="M68" s="7"/>
    </x:row>
    <x:row r="69" ht="58" customHeight="1">
      <x:c r="A69" s="8" t="n">
        <x:f>'Evaluation Plan'!A69</x:f>
        <x:v>67</x:v>
      </x:c>
      <x:c r="B69" s="8" t="n">
        <x:f>'Evaluation Plan'!B69</x:f>
        <x:v>17</x:v>
      </x:c>
      <x:c r="C69" s="8" t="str">
        <x:f>'Evaluation Plan'!C69</x:f>
        <x:v>4 — Novel-object paraphrase</x:v>
      </x:c>
      <x:c r="D69" s="8" t="str">
        <x:f>'Evaluation Plan'!D69</x:f>
        <x:v>Language robustness</x:v>
      </x:c>
      <x:c r="E69" s="8" t="str">
        <x:f>'Evaluation Plan'!F69</x:f>
        <x:v>SR-F17</x:v>
      </x:c>
      <x:c r="F69" s="8" t="n">
        <x:f>IF('Evaluation Plan'!D69="Concept/compositional transfer","",'Evaluation Plan'!G69)</x:f>
        <x:v>66</x:v>
      </x:c>
      <x:c r="G69" s="7" t="str">
        <x:f>'Evaluation Plan'!H69</x:f>
        <x:v>Move the closed black cup into the bowl.</x:v>
      </x:c>
      <x:c r="H69" s="7" t="str">
        <x:f>'Evaluation Plan'!I69</x:f>
        <x:v>P1 U1-A (C, UR) [TARGET]; P2 U1-B (O, UR) [STATE COMPETITOR]; P3 yellow-white striped cup A (O, UR); P4 brown cup B (C, UD)</x:v>
      </x:c>
      <x:c r="I69" s="8" t="str">
        <x:f>'Evaluation Plan'!J69</x:f>
        <x:v>U1-A</x:v>
      </x:c>
      <x:c r="J69" s="8" t="str">
        <x:v>Not started</x:v>
      </x:c>
      <x:c r="K69" s="8"/>
      <x:c r="L69" s="8"/>
      <x:c r="M69" s="7"/>
    </x:row>
    <x:row r="70" ht="58" customHeight="1">
      <x:c r="A70" s="9" t="n">
        <x:f>'Evaluation Plan'!A70</x:f>
        <x:v>68</x:v>
      </x:c>
      <x:c r="B70" s="9" t="n">
        <x:f>'Evaluation Plan'!B70</x:f>
        <x:v>18</x:v>
      </x:c>
      <x:c r="C70" s="9" t="str">
        <x:f>'Evaluation Plan'!C70</x:f>
        <x:v>1 — Canonical transfer</x:v>
      </x:c>
      <x:c r="D70" s="9" t="str">
        <x:f>'Evaluation Plan'!D70</x:f>
        <x:v>Concept/compositional transfer</x:v>
      </x:c>
      <x:c r="E70" s="9" t="str">
        <x:f>'Evaluation Plan'!F70</x:f>
        <x:v>SR-F18</x:v>
      </x:c>
      <x:c r="F70" s="9" t="str">
        <x:f>IF('Evaluation Plan'!D70="Concept/compositional transfer","",'Evaluation Plan'!G70)</x:f>
      </x:c>
      <x:c r="G70" s="10" t="str">
        <x:f>'Evaluation Plan'!H70</x:f>
        <x:v>Move the open yellow-white striped cup into the bowl.</x:v>
      </x:c>
      <x:c r="H70" s="10" t="str">
        <x:f>'Evaluation Plan'!I70</x:f>
        <x:v>P1 white cup B (C, UD); P2 yellow-white striped cup B (O, UD) [TARGET]; P3 yellow-white striped cup A (C, UD) [STATE COMPETITOR]; P4 brown cup A (O, UR)</x:v>
      </x:c>
      <x:c r="I70" s="9" t="str">
        <x:f>'Evaluation Plan'!J70</x:f>
        <x:v>yellow-white striped cup B</x:v>
      </x:c>
      <x:c r="J70" s="9" t="str">
        <x:v>Not started</x:v>
      </x:c>
      <x:c r="K70" s="9"/>
      <x:c r="L70" s="9"/>
      <x:c r="M70" s="10"/>
    </x:row>
    <x:row r="71" ht="58" customHeight="1">
      <x:c r="A71" s="8" t="n">
        <x:f>'Evaluation Plan'!A71</x:f>
        <x:v>69</x:v>
      </x:c>
      <x:c r="B71" s="8" t="n">
        <x:f>'Evaluation Plan'!B71</x:f>
        <x:v>18</x:v>
      </x:c>
      <x:c r="C71" s="8" t="str">
        <x:f>'Evaluation Plan'!C71</x:f>
        <x:v>2 — Matched control</x:v>
      </x:c>
      <x:c r="D71" s="8" t="str">
        <x:f>'Evaluation Plan'!D71</x:f>
        <x:v>Matched manipulation control</x:v>
      </x:c>
      <x:c r="E71" s="8" t="str">
        <x:f>'Evaluation Plan'!F71</x:f>
        <x:v>SR-F18</x:v>
      </x:c>
      <x:c r="F71" s="8" t="n">
        <x:f>IF('Evaluation Plan'!D71="Concept/compositional transfer","",'Evaluation Plan'!G71)</x:f>
        <x:v>68</x:v>
      </x:c>
      <x:c r="G71" s="7" t="str">
        <x:f>'Evaluation Plan'!H71</x:f>
        <x:v>Move the yellow-white striped cup into the bowl.</x:v>
      </x:c>
      <x:c r="H71" s="7" t="str">
        <x:f>'Evaluation Plan'!I71</x:f>
        <x:v>P1 white cup B (C, UD); P2 yellow-white striped cup B (O, UD) [TARGET]; P4 brown cup A (O, UR)</x:v>
      </x:c>
      <x:c r="I71" s="8" t="str">
        <x:f>'Evaluation Plan'!J71</x:f>
        <x:v>yellow-white striped cup B</x:v>
      </x:c>
      <x:c r="J71" s="8" t="str">
        <x:v>Not started</x:v>
      </x:c>
      <x:c r="K71" s="8"/>
      <x:c r="L71" s="8"/>
      <x:c r="M71" s="7"/>
    </x:row>
    <x:row r="72" ht="58" customHeight="1">
      <x:c r="A72" s="8" t="n">
        <x:f>'Evaluation Plan'!A72</x:f>
        <x:v>70</x:v>
      </x:c>
      <x:c r="B72" s="8" t="n">
        <x:f>'Evaluation Plan'!B72</x:f>
        <x:v>18</x:v>
      </x:c>
      <x:c r="C72" s="8" t="str">
        <x:f>'Evaluation Plan'!C72</x:f>
        <x:v>3 — Novel-object canonical</x:v>
      </x:c>
      <x:c r="D72" s="8" t="str">
        <x:f>'Evaluation Plan'!D72</x:f>
        <x:v>Visual generalization</x:v>
      </x:c>
      <x:c r="E72" s="8" t="str">
        <x:f>'Evaluation Plan'!F72</x:f>
        <x:v>SR-F18</x:v>
      </x:c>
      <x:c r="F72" s="8" t="n">
        <x:f>IF('Evaluation Plan'!D72="Concept/compositional transfer","",'Evaluation Plan'!G72)</x:f>
        <x:v>68</x:v>
      </x:c>
      <x:c r="G72" s="7" t="str">
        <x:f>'Evaluation Plan'!H72</x:f>
        <x:v>Move the open new lidded container into the bowl.</x:v>
      </x:c>
      <x:c r="H72" s="7" t="str">
        <x:f>'Evaluation Plan'!I72</x:f>
        <x:v>P1 white cup B (C, UD); P2 U2-B (O, UD) [TARGET]; P3 U2-A (C, UD) [STATE COMPETITOR]; P4 brown cup A (O, UR)</x:v>
      </x:c>
      <x:c r="I72" s="8" t="str">
        <x:f>'Evaluation Plan'!J72</x:f>
        <x:v>U2-B</x:v>
      </x:c>
      <x:c r="J72" s="8" t="str">
        <x:v>Not started</x:v>
      </x:c>
      <x:c r="K72" s="8"/>
      <x:c r="L72" s="8"/>
      <x:c r="M72" s="7"/>
    </x:row>
    <x:row r="73" ht="58" customHeight="1">
      <x:c r="A73" s="8" t="n">
        <x:f>'Evaluation Plan'!A73</x:f>
        <x:v>71</x:v>
      </x:c>
      <x:c r="B73" s="8" t="n">
        <x:f>'Evaluation Plan'!B73</x:f>
        <x:v>18</x:v>
      </x:c>
      <x:c r="C73" s="8" t="str">
        <x:f>'Evaluation Plan'!C73</x:f>
        <x:v>4 — Novel-object paraphrase</x:v>
      </x:c>
      <x:c r="D73" s="8" t="str">
        <x:f>'Evaluation Plan'!D73</x:f>
        <x:v>Language robustness</x:v>
      </x:c>
      <x:c r="E73" s="8" t="str">
        <x:f>'Evaluation Plan'!F73</x:f>
        <x:v>SR-F18</x:v>
      </x:c>
      <x:c r="F73" s="8" t="n">
        <x:f>IF('Evaluation Plan'!D73="Concept/compositional transfer","",'Evaluation Plan'!G73)</x:f>
        <x:v>70</x:v>
      </x:c>
      <x:c r="G73" s="7" t="str">
        <x:f>'Evaluation Plan'!H73</x:f>
        <x:v>Move the open new lidded container into the bowl.</x:v>
      </x:c>
      <x:c r="H73" s="7" t="str">
        <x:f>'Evaluation Plan'!I73</x:f>
        <x:v>P1 white cup B (C, UD); P2 U2-B (O, UD) [TARGET]; P3 U2-A (C, UD) [STATE COMPETITOR]; P4 brown cup A (O, UR)</x:v>
      </x:c>
      <x:c r="I73" s="8" t="str">
        <x:f>'Evaluation Plan'!J73</x:f>
        <x:v>U2-B</x:v>
      </x:c>
      <x:c r="J73" s="8" t="str">
        <x:v>Not started</x:v>
      </x:c>
      <x:c r="K73" s="8"/>
      <x:c r="L73" s="8"/>
      <x:c r="M73" s="7"/>
    </x:row>
    <x:row r="74" ht="58" customHeight="1">
      <x:c r="A74" s="9" t="n">
        <x:f>'Evaluation Plan'!A74</x:f>
        <x:v>72</x:v>
      </x:c>
      <x:c r="B74" s="9" t="n">
        <x:f>'Evaluation Plan'!B74</x:f>
        <x:v>19</x:v>
      </x:c>
      <x:c r="C74" s="9" t="str">
        <x:f>'Evaluation Plan'!C74</x:f>
        <x:v>1 — Canonical transfer</x:v>
      </x:c>
      <x:c r="D74" s="9" t="str">
        <x:f>'Evaluation Plan'!D74</x:f>
        <x:v>Concept/compositional transfer</x:v>
      </x:c>
      <x:c r="E74" s="9" t="str">
        <x:f>'Evaluation Plan'!F74</x:f>
        <x:v>SR-F19</x:v>
      </x:c>
      <x:c r="F74" s="9" t="str">
        <x:f>IF('Evaluation Plan'!D74="Concept/compositional transfer","",'Evaluation Plan'!G74)</x:f>
      </x:c>
      <x:c r="G74" s="10" t="str">
        <x:f>'Evaluation Plan'!H74</x:f>
        <x:v>Place the upright brown cup in the bowl.</x:v>
      </x:c>
      <x:c r="H74" s="10" t="str">
        <x:f>'Evaluation Plan'!I74</x:f>
        <x:v>P1 white cup A (O, UR); P2 yellow-white striped cup B (C, UD); P3 brown cup A (O, UR) [TARGET]; P4 brown cup B (O, UD) [STATE COMPETITOR]</x:v>
      </x:c>
      <x:c r="I74" s="9" t="str">
        <x:f>'Evaluation Plan'!J74</x:f>
        <x:v>brown cup A</x:v>
      </x:c>
      <x:c r="J74" s="9" t="str">
        <x:v>Not started</x:v>
      </x:c>
      <x:c r="K74" s="9"/>
      <x:c r="L74" s="9"/>
      <x:c r="M74" s="10"/>
    </x:row>
    <x:row r="75" ht="58" customHeight="1">
      <x:c r="A75" s="8" t="n">
        <x:f>'Evaluation Plan'!A75</x:f>
        <x:v>73</x:v>
      </x:c>
      <x:c r="B75" s="8" t="n">
        <x:f>'Evaluation Plan'!B75</x:f>
        <x:v>19</x:v>
      </x:c>
      <x:c r="C75" s="8" t="str">
        <x:f>'Evaluation Plan'!C75</x:f>
        <x:v>2 — Matched control</x:v>
      </x:c>
      <x:c r="D75" s="8" t="str">
        <x:f>'Evaluation Plan'!D75</x:f>
        <x:v>Matched manipulation control</x:v>
      </x:c>
      <x:c r="E75" s="8" t="str">
        <x:f>'Evaluation Plan'!F75</x:f>
        <x:v>SR-F19</x:v>
      </x:c>
      <x:c r="F75" s="8" t="n">
        <x:f>IF('Evaluation Plan'!D75="Concept/compositional transfer","",'Evaluation Plan'!G75)</x:f>
        <x:v>72</x:v>
      </x:c>
      <x:c r="G75" s="7" t="str">
        <x:f>'Evaluation Plan'!H75</x:f>
        <x:v>Place the brown cup in the bowl.</x:v>
      </x:c>
      <x:c r="H75" s="7" t="str">
        <x:f>'Evaluation Plan'!I75</x:f>
        <x:v>P1 white cup A (O, UR); P2 yellow-white striped cup B (C, UD); P3 brown cup A (O, UR) [TARGET]</x:v>
      </x:c>
      <x:c r="I75" s="8" t="str">
        <x:f>'Evaluation Plan'!J75</x:f>
        <x:v>brown cup A</x:v>
      </x:c>
      <x:c r="J75" s="8" t="str">
        <x:v>Not started</x:v>
      </x:c>
      <x:c r="K75" s="8"/>
      <x:c r="L75" s="8"/>
      <x:c r="M75" s="7"/>
    </x:row>
    <x:row r="76" ht="58" customHeight="1">
      <x:c r="A76" s="8" t="n">
        <x:f>'Evaluation Plan'!A76</x:f>
        <x:v>74</x:v>
      </x:c>
      <x:c r="B76" s="8" t="n">
        <x:f>'Evaluation Plan'!B76</x:f>
        <x:v>19</x:v>
      </x:c>
      <x:c r="C76" s="8" t="str">
        <x:f>'Evaluation Plan'!C76</x:f>
        <x:v>3 — Novel-object canonical</x:v>
      </x:c>
      <x:c r="D76" s="8" t="str">
        <x:f>'Evaluation Plan'!D76</x:f>
        <x:v>Visual generalization</x:v>
      </x:c>
      <x:c r="E76" s="8" t="str">
        <x:f>'Evaluation Plan'!F76</x:f>
        <x:v>SR-F19</x:v>
      </x:c>
      <x:c r="F76" s="8" t="n">
        <x:f>IF('Evaluation Plan'!D76="Concept/compositional transfer","",'Evaluation Plan'!G76)</x:f>
        <x:v>72</x:v>
      </x:c>
      <x:c r="G76" s="7" t="str">
        <x:f>'Evaluation Plan'!H76</x:f>
        <x:v>Place the upright new bottle in the bowl.</x:v>
      </x:c>
      <x:c r="H76" s="7" t="str">
        <x:f>'Evaluation Plan'!I76</x:f>
        <x:v>P1 white cup A (O, UR); P2 yellow-white striped cup B (C, UD); P3 U3-A (O, UR) [TARGET]; P4 U3-B (O, UD) [STATE COMPETITOR]</x:v>
      </x:c>
      <x:c r="I76" s="8" t="str">
        <x:f>'Evaluation Plan'!J76</x:f>
        <x:v>U3-A</x:v>
      </x:c>
      <x:c r="J76" s="8" t="str">
        <x:v>Not started</x:v>
      </x:c>
      <x:c r="K76" s="8"/>
      <x:c r="L76" s="8"/>
      <x:c r="M76" s="7"/>
    </x:row>
    <x:row r="77" ht="58" customHeight="1">
      <x:c r="A77" s="8" t="n">
        <x:f>'Evaluation Plan'!A77</x:f>
        <x:v>75</x:v>
      </x:c>
      <x:c r="B77" s="8" t="n">
        <x:f>'Evaluation Plan'!B77</x:f>
        <x:v>19</x:v>
      </x:c>
      <x:c r="C77" s="8" t="str">
        <x:f>'Evaluation Plan'!C77</x:f>
        <x:v>4 — Novel-object paraphrase</x:v>
      </x:c>
      <x:c r="D77" s="8" t="str">
        <x:f>'Evaluation Plan'!D77</x:f>
        <x:v>Language robustness</x:v>
      </x:c>
      <x:c r="E77" s="8" t="str">
        <x:f>'Evaluation Plan'!F77</x:f>
        <x:v>SR-F19</x:v>
      </x:c>
      <x:c r="F77" s="8" t="n">
        <x:f>IF('Evaluation Plan'!D77="Concept/compositional transfer","",'Evaluation Plan'!G77)</x:f>
        <x:v>74</x:v>
      </x:c>
      <x:c r="G77" s="7" t="str">
        <x:f>'Evaluation Plan'!H77</x:f>
        <x:v>Move the upright new bottle into the bowl.</x:v>
      </x:c>
      <x:c r="H77" s="7" t="str">
        <x:f>'Evaluation Plan'!I77</x:f>
        <x:v>P1 white cup A (O, UR); P2 yellow-white striped cup B (C, UD); P3 U3-A (O, UR) [TARGET]; P4 U3-B (O, UD) [STATE COMPETITOR]</x:v>
      </x:c>
      <x:c r="I77" s="8" t="str">
        <x:f>'Evaluation Plan'!J77</x:f>
        <x:v>U3-A</x:v>
      </x:c>
      <x:c r="J77" s="8" t="str">
        <x:v>Not started</x:v>
      </x:c>
      <x:c r="K77" s="8"/>
      <x:c r="L77" s="8"/>
      <x:c r="M77" s="7"/>
    </x:row>
    <x:row r="78" ht="58" customHeight="1">
      <x:c r="A78" s="9" t="n">
        <x:f>'Evaluation Plan'!A78</x:f>
        <x:v>76</x:v>
      </x:c>
      <x:c r="B78" s="9" t="n">
        <x:f>'Evaluation Plan'!B78</x:f>
        <x:v>20</x:v>
      </x:c>
      <x:c r="C78" s="9" t="str">
        <x:f>'Evaluation Plan'!C78</x:f>
        <x:v>1 — Canonical transfer</x:v>
      </x:c>
      <x:c r="D78" s="9" t="str">
        <x:f>'Evaluation Plan'!D78</x:f>
        <x:v>Concept/compositional transfer</x:v>
      </x:c>
      <x:c r="E78" s="9" t="str">
        <x:f>'Evaluation Plan'!F78</x:f>
        <x:v>SR-F20</x:v>
      </x:c>
      <x:c r="F78" s="9" t="str">
        <x:f>IF('Evaluation Plan'!D78="Concept/compositional transfer","",'Evaluation Plan'!G78)</x:f>
      </x:c>
      <x:c r="G78" s="10" t="str">
        <x:f>'Evaluation Plan'!H78</x:f>
        <x:v>Put the upside-down glass spice container in the bowl.</x:v>
      </x:c>
      <x:c r="H78" s="10" t="str">
        <x:f>'Evaluation Plan'!I78</x:f>
        <x:v>P1 glass spice container A (C, UR) [STATE COMPETITOR]; P2 white cup A (O, UR); P3 yellow-white striped cup B (C, UD); P4 glass spice container B (C, UD) [TARGET]</x:v>
      </x:c>
      <x:c r="I78" s="9" t="str">
        <x:f>'Evaluation Plan'!J78</x:f>
        <x:v>glass spice container B</x:v>
      </x:c>
      <x:c r="J78" s="9" t="str">
        <x:v>Not started</x:v>
      </x:c>
      <x:c r="K78" s="9"/>
      <x:c r="L78" s="9"/>
      <x:c r="M78" s="10"/>
    </x:row>
    <x:row r="79" ht="58" customHeight="1">
      <x:c r="A79" s="8" t="n">
        <x:f>'Evaluation Plan'!A79</x:f>
        <x:v>77</x:v>
      </x:c>
      <x:c r="B79" s="8" t="n">
        <x:f>'Evaluation Plan'!B79</x:f>
        <x:v>20</x:v>
      </x:c>
      <x:c r="C79" s="8" t="str">
        <x:f>'Evaluation Plan'!C79</x:f>
        <x:v>2 — Matched control</x:v>
      </x:c>
      <x:c r="D79" s="8" t="str">
        <x:f>'Evaluation Plan'!D79</x:f>
        <x:v>Matched manipulation control</x:v>
      </x:c>
      <x:c r="E79" s="8" t="str">
        <x:f>'Evaluation Plan'!F79</x:f>
        <x:v>SR-F20</x:v>
      </x:c>
      <x:c r="F79" s="8" t="n">
        <x:f>IF('Evaluation Plan'!D79="Concept/compositional transfer","",'Evaluation Plan'!G79)</x:f>
        <x:v>76</x:v>
      </x:c>
      <x:c r="G79" s="7" t="str">
        <x:f>'Evaluation Plan'!H79</x:f>
        <x:v>Put the glass spice container in the bowl.</x:v>
      </x:c>
      <x:c r="H79" s="7" t="str">
        <x:f>'Evaluation Plan'!I79</x:f>
        <x:v>P2 white cup A (O, UR); P3 yellow-white striped cup B (C, UD); P4 glass spice container B (C, UD) [TARGET]</x:v>
      </x:c>
      <x:c r="I79" s="8" t="str">
        <x:f>'Evaluation Plan'!J79</x:f>
        <x:v>glass spice container B</x:v>
      </x:c>
      <x:c r="J79" s="8" t="str">
        <x:v>Not started</x:v>
      </x:c>
      <x:c r="K79" s="8"/>
      <x:c r="L79" s="8"/>
      <x:c r="M79" s="7"/>
    </x:row>
    <x:row r="80" ht="58" customHeight="1">
      <x:c r="A80" s="8" t="n">
        <x:f>'Evaluation Plan'!A80</x:f>
        <x:v>78</x:v>
      </x:c>
      <x:c r="B80" s="8" t="n">
        <x:f>'Evaluation Plan'!B80</x:f>
        <x:v>20</x:v>
      </x:c>
      <x:c r="C80" s="8" t="str">
        <x:f>'Evaluation Plan'!C80</x:f>
        <x:v>3 — Novel-object canonical</x:v>
      </x:c>
      <x:c r="D80" s="8" t="str">
        <x:f>'Evaluation Plan'!D80</x:f>
        <x:v>Visual generalization</x:v>
      </x:c>
      <x:c r="E80" s="8" t="str">
        <x:f>'Evaluation Plan'!F80</x:f>
        <x:v>SR-F20</x:v>
      </x:c>
      <x:c r="F80" s="8" t="n">
        <x:f>IF('Evaluation Plan'!D80="Concept/compositional transfer","",'Evaluation Plan'!G80)</x:f>
        <x:v>76</x:v>
      </x:c>
      <x:c r="G80" s="7" t="str">
        <x:f>'Evaluation Plan'!H80</x:f>
        <x:v>Put the upside-down new asymmetric container in the bowl.</x:v>
      </x:c>
      <x:c r="H80" s="7" t="str">
        <x:f>'Evaluation Plan'!I80</x:f>
        <x:v>P1 U4-A (C, UR) [STATE COMPETITOR]; P2 white cup A (O, UR); P3 yellow-white striped cup B (C, UD); P4 U4-B (C, UD) [TARGET]</x:v>
      </x:c>
      <x:c r="I80" s="8" t="str">
        <x:f>'Evaluation Plan'!J80</x:f>
        <x:v>U4-B</x:v>
      </x:c>
      <x:c r="J80" s="8" t="str">
        <x:v>Not started</x:v>
      </x:c>
      <x:c r="K80" s="8"/>
      <x:c r="L80" s="8"/>
      <x:c r="M80" s="7"/>
    </x:row>
    <x:row r="81" ht="58" customHeight="1">
      <x:c r="A81" s="8" t="n">
        <x:f>'Evaluation Plan'!A81</x:f>
        <x:v>79</x:v>
      </x:c>
      <x:c r="B81" s="8" t="n">
        <x:f>'Evaluation Plan'!B81</x:f>
        <x:v>20</x:v>
      </x:c>
      <x:c r="C81" s="8" t="str">
        <x:f>'Evaluation Plan'!C81</x:f>
        <x:v>4 — Novel-object paraphrase</x:v>
      </x:c>
      <x:c r="D81" s="8" t="str">
        <x:f>'Evaluation Plan'!D81</x:f>
        <x:v>Language robustness</x:v>
      </x:c>
      <x:c r="E81" s="8" t="str">
        <x:f>'Evaluation Plan'!F81</x:f>
        <x:v>SR-F20</x:v>
      </x:c>
      <x:c r="F81" s="8" t="n">
        <x:f>IF('Evaluation Plan'!D81="Concept/compositional transfer","",'Evaluation Plan'!G81)</x:f>
        <x:v>78</x:v>
      </x:c>
      <x:c r="G81" s="7" t="str">
        <x:f>'Evaluation Plan'!H81</x:f>
        <x:v>Move the upside-down new asymmetric container into the bowl.</x:v>
      </x:c>
      <x:c r="H81" s="7" t="str">
        <x:f>'Evaluation Plan'!I81</x:f>
        <x:v>P1 U4-A (C, UR) [STATE COMPETITOR]; P2 white cup A (O, UR); P3 yellow-white striped cup B (C, UD); P4 U4-B (C, UD) [TARGET]</x:v>
      </x:c>
      <x:c r="I81" s="8" t="str">
        <x:f>'Evaluation Plan'!J81</x:f>
        <x:v>U4-B</x:v>
      </x:c>
      <x:c r="J81" s="8" t="str">
        <x:v>Not started</x:v>
      </x:c>
      <x:c r="K81" s="8"/>
      <x:c r="L81" s="8"/>
      <x:c r="M81" s="7"/>
    </x:row>
    <x:row r="82" ht="58" customHeight="1">
      <x:c r="A82" s="8" t="n">
        <x:f>'Evaluation Plan'!A82</x:f>
        <x:v>80</x:v>
      </x:c>
      <x:c r="B82" s="8" t="n">
        <x:f>'Evaluation Plan'!B82</x:f>
        <x:v>21</x:v>
      </x:c>
      <x:c r="C82" s="8" t="str">
        <x:f>'Evaluation Plan'!C82</x:f>
        <x:v>Additional transfer</x:v>
      </x:c>
      <x:c r="D82" s="8" t="str">
        <x:f>'Evaluation Plan'!D82</x:f>
        <x:v>Concept/compositional transfer</x:v>
      </x:c>
      <x:c r="E82" s="8" t="str">
        <x:f>'Evaluation Plan'!F82</x:f>
        <x:v>SR-X01</x:v>
      </x:c>
      <x:c r="F82" s="8" t="str">
        <x:f>IF('Evaluation Plan'!D82="Concept/compositional transfer","",'Evaluation Plan'!G82)</x:f>
      </x:c>
      <x:c r="G82" s="7" t="str">
        <x:f>'Evaluation Plan'!H82</x:f>
        <x:v>Move the closed yellow-white striped cup into the bowl.</x:v>
      </x:c>
      <x:c r="H82" s="7" t="str">
        <x:f>'Evaluation Plan'!I82</x:f>
        <x:v>P1 yellow-white striped cup A (C, UR) [TARGET]; P2 yellow-white striped cup B (O, UR) [STATE COMPETITOR]; P3 white cup A (O, UR); P4 brown cup B (C, UD)</x:v>
      </x:c>
      <x:c r="I82" s="8" t="str">
        <x:f>'Evaluation Plan'!J82</x:f>
        <x:v>yellow-white striped cup A</x:v>
      </x:c>
      <x:c r="J82" s="8" t="str">
        <x:v>Not started</x:v>
      </x:c>
      <x:c r="K82" s="8"/>
      <x:c r="L82" s="8"/>
      <x:c r="M82" s="7"/>
    </x:row>
    <x:row r="83" ht="58" customHeight="1">
      <x:c r="A83" s="8" t="n">
        <x:f>'Evaluation Plan'!A83</x:f>
        <x:v>81</x:v>
      </x:c>
      <x:c r="B83" s="8" t="n">
        <x:f>'Evaluation Plan'!B83</x:f>
        <x:v>22</x:v>
      </x:c>
      <x:c r="C83" s="8" t="str">
        <x:f>'Evaluation Plan'!C83</x:f>
        <x:v>Additional transfer</x:v>
      </x:c>
      <x:c r="D83" s="8" t="str">
        <x:f>'Evaluation Plan'!D83</x:f>
        <x:v>Concept/compositional transfer</x:v>
      </x:c>
      <x:c r="E83" s="8" t="str">
        <x:f>'Evaluation Plan'!F83</x:f>
        <x:v>SR-X02</x:v>
      </x:c>
      <x:c r="F83" s="8" t="str">
        <x:f>IF('Evaluation Plan'!D83="Concept/compositional transfer","",'Evaluation Plan'!G83)</x:f>
      </x:c>
      <x:c r="G83" s="7" t="str">
        <x:f>'Evaluation Plan'!H83</x:f>
        <x:v>Place the closed brown cup in the bowl.</x:v>
      </x:c>
      <x:c r="H83" s="7" t="str">
        <x:f>'Evaluation Plan'!I83</x:f>
        <x:v>P1 white cup B (C, UD); P2 brown cup B (C, UD) [TARGET]; P3 brown cup A (O, UD) [STATE COMPETITOR]; P4 yellow-white striped cup A (O, UR)</x:v>
      </x:c>
      <x:c r="I83" s="8" t="str">
        <x:f>'Evaluation Plan'!J83</x:f>
        <x:v>brown cup B</x:v>
      </x:c>
      <x:c r="J83" s="8" t="str">
        <x:v>Not started</x:v>
      </x:c>
      <x:c r="K83" s="8"/>
      <x:c r="L83" s="8"/>
      <x:c r="M83" s="7"/>
    </x:row>
    <x:row r="84" ht="58" customHeight="1">
      <x:c r="A84" s="8" t="n">
        <x:f>'Evaluation Plan'!A84</x:f>
        <x:v>82</x:v>
      </x:c>
      <x:c r="B84" s="8" t="n">
        <x:f>'Evaluation Plan'!B84</x:f>
        <x:v>23</x:v>
      </x:c>
      <x:c r="C84" s="8" t="str">
        <x:f>'Evaluation Plan'!C84</x:f>
        <x:v>Additional transfer</x:v>
      </x:c>
      <x:c r="D84" s="8" t="str">
        <x:f>'Evaluation Plan'!D84</x:f>
        <x:v>Concept/compositional transfer</x:v>
      </x:c>
      <x:c r="E84" s="8" t="str">
        <x:f>'Evaluation Plan'!F84</x:f>
        <x:v>SR-X03</x:v>
      </x:c>
      <x:c r="F84" s="8" t="str">
        <x:f>IF('Evaluation Plan'!D84="Concept/compositional transfer","",'Evaluation Plan'!G84)</x:f>
      </x:c>
      <x:c r="G84" s="7" t="str">
        <x:f>'Evaluation Plan'!H84</x:f>
        <x:v>Put the closed glass spice container in the bowl.</x:v>
      </x:c>
      <x:c r="H84" s="7" t="str">
        <x:f>'Evaluation Plan'!I84</x:f>
        <x:v>P1 white cup A (O, UR); P2 yellow-white striped cup B (C, UD); P3 glass spice container A (C, UR) [TARGET]; P4 glass spice container B (O, UR) [STATE COMPETITOR]</x:v>
      </x:c>
      <x:c r="I84" s="8" t="str">
        <x:f>'Evaluation Plan'!J84</x:f>
        <x:v>glass spice container A</x:v>
      </x:c>
      <x:c r="J84" s="8" t="str">
        <x:v>Not started</x:v>
      </x:c>
      <x:c r="K84" s="8"/>
      <x:c r="L84" s="8"/>
      <x:c r="M84" s="7"/>
    </x:row>
    <x:row r="85" ht="58" customHeight="1">
      <x:c r="A85" s="8" t="n">
        <x:f>'Evaluation Plan'!A85</x:f>
        <x:v>83</x:v>
      </x:c>
      <x:c r="B85" s="8" t="n">
        <x:f>'Evaluation Plan'!B85</x:f>
        <x:v>24</x:v>
      </x:c>
      <x:c r="C85" s="8" t="str">
        <x:f>'Evaluation Plan'!C85</x:f>
        <x:v>Additional transfer</x:v>
      </x:c>
      <x:c r="D85" s="8" t="str">
        <x:f>'Evaluation Plan'!D85</x:f>
        <x:v>Concept/compositional transfer</x:v>
      </x:c>
      <x:c r="E85" s="8" t="str">
        <x:f>'Evaluation Plan'!F85</x:f>
        <x:v>SR-X04</x:v>
      </x:c>
      <x:c r="F85" s="8" t="str">
        <x:f>IF('Evaluation Plan'!D85="Concept/compositional transfer","",'Evaluation Plan'!G85)</x:f>
      </x:c>
      <x:c r="G85" s="7" t="str">
        <x:f>'Evaluation Plan'!H85</x:f>
        <x:v>Move the closed white cup into the bowl.</x:v>
      </x:c>
      <x:c r="H85" s="7" t="str">
        <x:f>'Evaluation Plan'!I85</x:f>
        <x:v>P1 white cup A (O, UD) [STATE COMPETITOR]; P2 yellow-white striped cup A (O, UR); P3 brown cup B (C, UD); P4 white cup B (C, UD) [TARGET]</x:v>
      </x:c>
      <x:c r="I85" s="8" t="str">
        <x:f>'Evaluation Plan'!J85</x:f>
        <x:v>white cup B</x:v>
      </x:c>
      <x:c r="J85" s="8" t="str">
        <x:v>Not started</x:v>
      </x:c>
      <x:c r="K85" s="8"/>
      <x:c r="L85" s="8"/>
      <x:c r="M85" s="7"/>
    </x:row>
    <x:row r="86" ht="58" customHeight="1">
      <x:c r="A86" s="8" t="n">
        <x:f>'Evaluation Plan'!A86</x:f>
        <x:v>84</x:v>
      </x:c>
      <x:c r="B86" s="8" t="n">
        <x:f>'Evaluation Plan'!B86</x:f>
        <x:v>25</x:v>
      </x:c>
      <x:c r="C86" s="8" t="str">
        <x:f>'Evaluation Plan'!C86</x:f>
        <x:v>Additional transfer</x:v>
      </x:c>
      <x:c r="D86" s="8" t="str">
        <x:f>'Evaluation Plan'!D86</x:f>
        <x:v>Concept/compositional transfer</x:v>
      </x:c>
      <x:c r="E86" s="8" t="str">
        <x:f>'Evaluation Plan'!F86</x:f>
        <x:v>SR-X05</x:v>
      </x:c>
      <x:c r="F86" s="8" t="str">
        <x:f>IF('Evaluation Plan'!D86="Concept/compositional transfer","",'Evaluation Plan'!G86)</x:f>
      </x:c>
      <x:c r="G86" s="7" t="str">
        <x:f>'Evaluation Plan'!H86</x:f>
        <x:v>Place the closed yellow-white striped cup in the bowl.</x:v>
      </x:c>
      <x:c r="H86" s="7" t="str">
        <x:f>'Evaluation Plan'!I86</x:f>
        <x:v>P1 yellow-white striped cup A (C, UR) [TARGET]; P2 yellow-white striped cup B (O, UR) [STATE COMPETITOR]; P3 white cup A (O, UR); P4 brown cup B (C, UD)</x:v>
      </x:c>
      <x:c r="I86" s="8" t="str">
        <x:f>'Evaluation Plan'!J86</x:f>
        <x:v>yellow-white striped cup A</x:v>
      </x:c>
      <x:c r="J86" s="8" t="str">
        <x:v>Not started</x:v>
      </x:c>
      <x:c r="K86" s="8"/>
      <x:c r="L86" s="8"/>
      <x:c r="M86" s="7"/>
    </x:row>
    <x:row r="87" ht="58" customHeight="1">
      <x:c r="A87" s="8" t="n">
        <x:f>'Evaluation Plan'!A87</x:f>
        <x:v>85</x:v>
      </x:c>
      <x:c r="B87" s="8" t="n">
        <x:f>'Evaluation Plan'!B87</x:f>
        <x:v>26</x:v>
      </x:c>
      <x:c r="C87" s="8" t="str">
        <x:f>'Evaluation Plan'!C87</x:f>
        <x:v>Additional transfer</x:v>
      </x:c>
      <x:c r="D87" s="8" t="str">
        <x:f>'Evaluation Plan'!D87</x:f>
        <x:v>Concept/compositional transfer</x:v>
      </x:c>
      <x:c r="E87" s="8" t="str">
        <x:f>'Evaluation Plan'!F87</x:f>
        <x:v>SR-X06</x:v>
      </x:c>
      <x:c r="F87" s="8" t="str">
        <x:f>IF('Evaluation Plan'!D87="Concept/compositional transfer","",'Evaluation Plan'!G87)</x:f>
      </x:c>
      <x:c r="G87" s="7" t="str">
        <x:f>'Evaluation Plan'!H87</x:f>
        <x:v>Put the closed brown cup in the bowl.</x:v>
      </x:c>
      <x:c r="H87" s="7" t="str">
        <x:f>'Evaluation Plan'!I87</x:f>
        <x:v>P1 white cup B (C, UD); P2 brown cup B (C, UD) [TARGET]; P3 brown cup A (O, UD) [STATE COMPETITOR]; P4 yellow-white striped cup A (O, UR)</x:v>
      </x:c>
      <x:c r="I87" s="8" t="str">
        <x:f>'Evaluation Plan'!J87</x:f>
        <x:v>brown cup B</x:v>
      </x:c>
      <x:c r="J87" s="8" t="str">
        <x:v>Not started</x:v>
      </x:c>
      <x:c r="K87" s="8"/>
      <x:c r="L87" s="8"/>
      <x:c r="M87" s="7"/>
    </x:row>
    <x:row r="88" ht="58" customHeight="1">
      <x:c r="A88" s="8" t="n">
        <x:f>'Evaluation Plan'!A88</x:f>
        <x:v>86</x:v>
      </x:c>
      <x:c r="B88" s="8" t="n">
        <x:f>'Evaluation Plan'!B88</x:f>
        <x:v>27</x:v>
      </x:c>
      <x:c r="C88" s="8" t="str">
        <x:f>'Evaluation Plan'!C88</x:f>
        <x:v>Additional transfer</x:v>
      </x:c>
      <x:c r="D88" s="8" t="str">
        <x:f>'Evaluation Plan'!D88</x:f>
        <x:v>Concept/compositional transfer</x:v>
      </x:c>
      <x:c r="E88" s="8" t="str">
        <x:f>'Evaluation Plan'!F88</x:f>
        <x:v>SR-X07</x:v>
      </x:c>
      <x:c r="F88" s="8" t="str">
        <x:f>IF('Evaluation Plan'!D88="Concept/compositional transfer","",'Evaluation Plan'!G88)</x:f>
      </x:c>
      <x:c r="G88" s="7" t="str">
        <x:f>'Evaluation Plan'!H88</x:f>
        <x:v>Move the closed glass spice container into the bowl.</x:v>
      </x:c>
      <x:c r="H88" s="7" t="str">
        <x:f>'Evaluation Plan'!I88</x:f>
        <x:v>P1 white cup A (O, UR); P2 yellow-white striped cup B (C, UD); P3 glass spice container A (C, UR) [TARGET]; P4 glass spice container B (O, UR) [STATE COMPETITOR]</x:v>
      </x:c>
      <x:c r="I88" s="8" t="str">
        <x:f>'Evaluation Plan'!J88</x:f>
        <x:v>glass spice container A</x:v>
      </x:c>
      <x:c r="J88" s="8" t="str">
        <x:v>Not started</x:v>
      </x:c>
      <x:c r="K88" s="8"/>
      <x:c r="L88" s="8"/>
      <x:c r="M88" s="7"/>
    </x:row>
    <x:row r="89" ht="58" customHeight="1">
      <x:c r="A89" s="8" t="n">
        <x:f>'Evaluation Plan'!A89</x:f>
        <x:v>87</x:v>
      </x:c>
      <x:c r="B89" s="8" t="n">
        <x:f>'Evaluation Plan'!B89</x:f>
        <x:v>28</x:v>
      </x:c>
      <x:c r="C89" s="8" t="str">
        <x:f>'Evaluation Plan'!C89</x:f>
        <x:v>Additional transfer</x:v>
      </x:c>
      <x:c r="D89" s="8" t="str">
        <x:f>'Evaluation Plan'!D89</x:f>
        <x:v>Concept/compositional transfer</x:v>
      </x:c>
      <x:c r="E89" s="8" t="str">
        <x:f>'Evaluation Plan'!F89</x:f>
        <x:v>SR-X08</x:v>
      </x:c>
      <x:c r="F89" s="8" t="str">
        <x:f>IF('Evaluation Plan'!D89="Concept/compositional transfer","",'Evaluation Plan'!G89)</x:f>
      </x:c>
      <x:c r="G89" s="7" t="str">
        <x:f>'Evaluation Plan'!H89</x:f>
        <x:v>Place the closed white cup in the bowl.</x:v>
      </x:c>
      <x:c r="H89" s="7" t="str">
        <x:f>'Evaluation Plan'!I89</x:f>
        <x:v>P1 white cup A (O, UD) [STATE COMPETITOR]; P2 yellow-white striped cup A (O, UR); P3 brown cup B (C, UD); P4 white cup B (C, UD) [TARGET]</x:v>
      </x:c>
      <x:c r="I89" s="8" t="str">
        <x:f>'Evaluation Plan'!J89</x:f>
        <x:v>white cup B</x:v>
      </x:c>
      <x:c r="J89" s="8" t="str">
        <x:v>Not started</x:v>
      </x:c>
      <x:c r="K89" s="8"/>
      <x:c r="L89" s="8"/>
      <x:c r="M89" s="7"/>
    </x:row>
    <x:row r="90" ht="58" customHeight="1">
      <x:c r="A90" s="8" t="n">
        <x:f>'Evaluation Plan'!A90</x:f>
        <x:v>88</x:v>
      </x:c>
      <x:c r="B90" s="8" t="n">
        <x:f>'Evaluation Plan'!B90</x:f>
        <x:v>29</x:v>
      </x:c>
      <x:c r="C90" s="8" t="str">
        <x:f>'Evaluation Plan'!C90</x:f>
        <x:v>Additional transfer</x:v>
      </x:c>
      <x:c r="D90" s="8" t="str">
        <x:f>'Evaluation Plan'!D90</x:f>
        <x:v>Concept/compositional transfer</x:v>
      </x:c>
      <x:c r="E90" s="8" t="str">
        <x:f>'Evaluation Plan'!F90</x:f>
        <x:v>SR-X09</x:v>
      </x:c>
      <x:c r="F90" s="8" t="str">
        <x:f>IF('Evaluation Plan'!D90="Concept/compositional transfer","",'Evaluation Plan'!G90)</x:f>
      </x:c>
      <x:c r="G90" s="7" t="str">
        <x:f>'Evaluation Plan'!H90</x:f>
        <x:v>Put the upright yellow-white striped cup in the bowl.</x:v>
      </x:c>
      <x:c r="H90" s="7" t="str">
        <x:f>'Evaluation Plan'!I90</x:f>
        <x:v>P1 yellow-white striped cup A (O, UR) [TARGET]; P2 yellow-white striped cup B (O, UD) [STATE COMPETITOR]; P3 white cup A (O, UR); P4 brown cup B (C, UD)</x:v>
      </x:c>
      <x:c r="I90" s="8" t="str">
        <x:f>'Evaluation Plan'!J90</x:f>
        <x:v>yellow-white striped cup A</x:v>
      </x:c>
      <x:c r="J90" s="8" t="str">
        <x:v>Not started</x:v>
      </x:c>
      <x:c r="K90" s="8"/>
      <x:c r="L90" s="8"/>
      <x:c r="M90" s="7"/>
    </x:row>
    <x:row r="91" ht="58" customHeight="1">
      <x:c r="A91" s="8" t="n">
        <x:f>'Evaluation Plan'!A91</x:f>
        <x:v>89</x:v>
      </x:c>
      <x:c r="B91" s="8" t="n">
        <x:f>'Evaluation Plan'!B91</x:f>
        <x:v>30</x:v>
      </x:c>
      <x:c r="C91" s="8" t="str">
        <x:f>'Evaluation Plan'!C91</x:f>
        <x:v>Additional transfer</x:v>
      </x:c>
      <x:c r="D91" s="8" t="str">
        <x:f>'Evaluation Plan'!D91</x:f>
        <x:v>Concept/compositional transfer</x:v>
      </x:c>
      <x:c r="E91" s="8" t="str">
        <x:f>'Evaluation Plan'!F91</x:f>
        <x:v>SR-X10</x:v>
      </x:c>
      <x:c r="F91" s="8" t="str">
        <x:f>IF('Evaluation Plan'!D91="Concept/compositional transfer","",'Evaluation Plan'!G91)</x:f>
      </x:c>
      <x:c r="G91" s="7" t="str">
        <x:f>'Evaluation Plan'!H91</x:f>
        <x:v>Move the upright brown cup into the bowl.</x:v>
      </x:c>
      <x:c r="H91" s="7" t="str">
        <x:f>'Evaluation Plan'!I91</x:f>
        <x:v>P1 white cup B (C, UD); P2 brown cup B (C, UR) [TARGET]; P3 brown cup A (C, UD) [STATE COMPETITOR]; P4 yellow-white striped cup A (O, UR)</x:v>
      </x:c>
      <x:c r="I91" s="8" t="str">
        <x:f>'Evaluation Plan'!J91</x:f>
        <x:v>brown cup B</x:v>
      </x:c>
      <x:c r="J91" s="8" t="str">
        <x:v>Not started</x:v>
      </x:c>
      <x:c r="K91" s="8"/>
      <x:c r="L91" s="8"/>
      <x:c r="M91" s="7"/>
    </x:row>
    <x:row r="92" ht="58" customHeight="1">
      <x:c r="A92" s="8" t="n">
        <x:f>'Evaluation Plan'!A92</x:f>
        <x:v>90</x:v>
      </x:c>
      <x:c r="B92" s="8" t="n">
        <x:f>'Evaluation Plan'!B92</x:f>
        <x:v>31</x:v>
      </x:c>
      <x:c r="C92" s="8" t="str">
        <x:f>'Evaluation Plan'!C92</x:f>
        <x:v>Additional transfer</x:v>
      </x:c>
      <x:c r="D92" s="8" t="str">
        <x:f>'Evaluation Plan'!D92</x:f>
        <x:v>Concept/compositional transfer</x:v>
      </x:c>
      <x:c r="E92" s="8" t="str">
        <x:f>'Evaluation Plan'!F92</x:f>
        <x:v>SR-X11</x:v>
      </x:c>
      <x:c r="F92" s="8" t="str">
        <x:f>IF('Evaluation Plan'!D92="Concept/compositional transfer","",'Evaluation Plan'!G92)</x:f>
      </x:c>
      <x:c r="G92" s="7" t="str">
        <x:f>'Evaluation Plan'!H92</x:f>
        <x:v>Place the upright glass spice container in the bowl.</x:v>
      </x:c>
      <x:c r="H92" s="7" t="str">
        <x:f>'Evaluation Plan'!I92</x:f>
        <x:v>P1 white cup A (O, UR); P2 yellow-white striped cup B (C, UD); P3 glass spice container A (O, UR) [TARGET]; P4 glass spice container B (O, UD) [STATE COMPETITOR]</x:v>
      </x:c>
      <x:c r="I92" s="8" t="str">
        <x:f>'Evaluation Plan'!J92</x:f>
        <x:v>glass spice container A</x:v>
      </x:c>
      <x:c r="J92" s="8" t="str">
        <x:v>Not started</x:v>
      </x:c>
      <x:c r="K92" s="8"/>
      <x:c r="L92" s="8"/>
      <x:c r="M92" s="7"/>
    </x:row>
    <x:row r="93" ht="58" customHeight="1">
      <x:c r="A93" s="8" t="n">
        <x:f>'Evaluation Plan'!A93</x:f>
        <x:v>91</x:v>
      </x:c>
      <x:c r="B93" s="8" t="n">
        <x:f>'Evaluation Plan'!B93</x:f>
        <x:v>32</x:v>
      </x:c>
      <x:c r="C93" s="8" t="str">
        <x:f>'Evaluation Plan'!C93</x:f>
        <x:v>Additional transfer</x:v>
      </x:c>
      <x:c r="D93" s="8" t="str">
        <x:f>'Evaluation Plan'!D93</x:f>
        <x:v>Concept/compositional transfer</x:v>
      </x:c>
      <x:c r="E93" s="8" t="str">
        <x:f>'Evaluation Plan'!F93</x:f>
        <x:v>SR-X12</x:v>
      </x:c>
      <x:c r="F93" s="8" t="str">
        <x:f>IF('Evaluation Plan'!D93="Concept/compositional transfer","",'Evaluation Plan'!G93)</x:f>
      </x:c>
      <x:c r="G93" s="7" t="str">
        <x:f>'Evaluation Plan'!H93</x:f>
        <x:v>Put the open white cup in the bowl.</x:v>
      </x:c>
      <x:c r="H93" s="7" t="str">
        <x:f>'Evaluation Plan'!I93</x:f>
        <x:v>P1 white cup A (C, UD) [STATE COMPETITOR]; P2 yellow-white striped cup A (O, UR); P3 brown cup B (C, UD); P4 white cup B (O, UD) [TARGET]</x:v>
      </x:c>
      <x:c r="I93" s="8" t="str">
        <x:f>'Evaluation Plan'!J93</x:f>
        <x:v>white cup B</x:v>
      </x:c>
      <x:c r="J93" s="8" t="str">
        <x:v>Not started</x:v>
      </x:c>
      <x:c r="K93" s="8"/>
      <x:c r="L93" s="8"/>
      <x:c r="M93" s="7"/>
    </x:row>
    <x:row r="94" ht="58" customHeight="1">
      <x:c r="A94" s="8" t="n">
        <x:f>'Evaluation Plan'!A94</x:f>
        <x:v>92</x:v>
      </x:c>
      <x:c r="B94" s="8" t="n">
        <x:f>'Evaluation Plan'!B94</x:f>
        <x:v>33</x:v>
      </x:c>
      <x:c r="C94" s="8" t="str">
        <x:f>'Evaluation Plan'!C94</x:f>
        <x:v>Additional transfer</x:v>
      </x:c>
      <x:c r="D94" s="8" t="str">
        <x:f>'Evaluation Plan'!D94</x:f>
        <x:v>Concept/compositional transfer</x:v>
      </x:c>
      <x:c r="E94" s="8" t="str">
        <x:f>'Evaluation Plan'!F94</x:f>
        <x:v>SR-X13</x:v>
      </x:c>
      <x:c r="F94" s="8" t="str">
        <x:f>IF('Evaluation Plan'!D94="Concept/compositional transfer","",'Evaluation Plan'!G94)</x:f>
      </x:c>
      <x:c r="G94" s="7" t="str">
        <x:f>'Evaluation Plan'!H94</x:f>
        <x:v>Move the open yellow-white striped cup into the bowl.</x:v>
      </x:c>
      <x:c r="H94" s="7" t="str">
        <x:f>'Evaluation Plan'!I94</x:f>
        <x:v>P1 yellow-white striped cup A (O, UR) [TARGET]; P2 yellow-white striped cup B (C, UR) [STATE COMPETITOR]; P3 white cup A (O, UR); P4 brown cup B (C, UD)</x:v>
      </x:c>
      <x:c r="I94" s="8" t="str">
        <x:f>'Evaluation Plan'!J94</x:f>
        <x:v>yellow-white striped cup A</x:v>
      </x:c>
      <x:c r="J94" s="8" t="str">
        <x:v>Not started</x:v>
      </x:c>
      <x:c r="K94" s="8"/>
      <x:c r="L94" s="8"/>
      <x:c r="M94" s="7"/>
    </x:row>
    <x:row r="95" ht="58" customHeight="1">
      <x:c r="A95" s="8" t="n">
        <x:f>'Evaluation Plan'!A95</x:f>
        <x:v>93</x:v>
      </x:c>
      <x:c r="B95" s="8" t="n">
        <x:f>'Evaluation Plan'!B95</x:f>
        <x:v>34</x:v>
      </x:c>
      <x:c r="C95" s="8" t="str">
        <x:f>'Evaluation Plan'!C95</x:f>
        <x:v>Additional transfer</x:v>
      </x:c>
      <x:c r="D95" s="8" t="str">
        <x:f>'Evaluation Plan'!D95</x:f>
        <x:v>Concept/compositional transfer</x:v>
      </x:c>
      <x:c r="E95" s="8" t="str">
        <x:f>'Evaluation Plan'!F95</x:f>
        <x:v>SR-X14</x:v>
      </x:c>
      <x:c r="F95" s="8" t="str">
        <x:f>IF('Evaluation Plan'!D95="Concept/compositional transfer","",'Evaluation Plan'!G95)</x:f>
      </x:c>
      <x:c r="G95" s="7" t="str">
        <x:f>'Evaluation Plan'!H95</x:f>
        <x:v>Place the open brown cup in the bowl.</x:v>
      </x:c>
      <x:c r="H95" s="7" t="str">
        <x:f>'Evaluation Plan'!I95</x:f>
        <x:v>P1 white cup B (C, UD); P2 brown cup B (O, UD) [TARGET]; P3 brown cup A (C, UD) [STATE COMPETITOR]; P4 yellow-white striped cup A (O, UR)</x:v>
      </x:c>
      <x:c r="I95" s="8" t="str">
        <x:f>'Evaluation Plan'!J95</x:f>
        <x:v>brown cup B</x:v>
      </x:c>
      <x:c r="J95" s="8" t="str">
        <x:v>Not started</x:v>
      </x:c>
      <x:c r="K95" s="8"/>
      <x:c r="L95" s="8"/>
      <x:c r="M95" s="7"/>
    </x:row>
    <x:row r="96" ht="58" customHeight="1">
      <x:c r="A96" s="8" t="n">
        <x:f>'Evaluation Plan'!A96</x:f>
        <x:v>94</x:v>
      </x:c>
      <x:c r="B96" s="8" t="n">
        <x:f>'Evaluation Plan'!B96</x:f>
        <x:v>35</x:v>
      </x:c>
      <x:c r="C96" s="8" t="str">
        <x:f>'Evaluation Plan'!C96</x:f>
        <x:v>Additional transfer</x:v>
      </x:c>
      <x:c r="D96" s="8" t="str">
        <x:f>'Evaluation Plan'!D96</x:f>
        <x:v>Concept/compositional transfer</x:v>
      </x:c>
      <x:c r="E96" s="8" t="str">
        <x:f>'Evaluation Plan'!F96</x:f>
        <x:v>SR-CAN01</x:v>
      </x:c>
      <x:c r="F96" s="8" t="str">
        <x:f>IF('Evaluation Plan'!D96="Concept/compositional transfer","",'Evaluation Plan'!G96)</x:f>
      </x:c>
      <x:c r="G96" s="7" t="str">
        <x:f>'Evaluation Plan'!H96</x:f>
        <x:v>Put the upright can in the bowl.</x:v>
      </x:c>
      <x:c r="H96" s="7" t="str">
        <x:f>'Evaluation Plan'!I96</x:f>
        <x:v>P1 crushed Coke can (UR) [TARGET]; P2 crushed Pepsi can (UD) [STATE COMPETITOR]; P3 white cup A (O, UD); P4 yellow-white striped cup B (C, UD)</x:v>
      </x:c>
      <x:c r="I96" s="8" t="str">
        <x:f>'Evaluation Plan'!J96</x:f>
        <x:v>crushed Coke can</x:v>
      </x:c>
      <x:c r="J96" s="8" t="str">
        <x:v>Not started</x:v>
      </x:c>
      <x:c r="K96" s="8"/>
      <x:c r="L96" s="8"/>
      <x:c r="M96" s="7"/>
    </x:row>
    <x:row r="97" ht="58" customHeight="1">
      <x:c r="A97" s="8" t="n">
        <x:f>'Evaluation Plan'!A97</x:f>
        <x:v>95</x:v>
      </x:c>
      <x:c r="B97" s="8" t="n">
        <x:f>'Evaluation Plan'!B97</x:f>
        <x:v>36</x:v>
      </x:c>
      <x:c r="C97" s="8" t="str">
        <x:f>'Evaluation Plan'!C97</x:f>
        <x:v>Additional transfer</x:v>
      </x:c>
      <x:c r="D97" s="8" t="str">
        <x:f>'Evaluation Plan'!D97</x:f>
        <x:v>Concept/compositional transfer</x:v>
      </x:c>
      <x:c r="E97" s="8" t="str">
        <x:f>'Evaluation Plan'!F97</x:f>
        <x:v>SR-CAN02</x:v>
      </x:c>
      <x:c r="F97" s="8" t="str">
        <x:f>IF('Evaluation Plan'!D97="Concept/compositional transfer","",'Evaluation Plan'!G97)</x:f>
      </x:c>
      <x:c r="G97" s="7" t="str">
        <x:f>'Evaluation Plan'!H97</x:f>
        <x:v>Move the upright can into the bowl.</x:v>
      </x:c>
      <x:c r="H97" s="7" t="str">
        <x:f>'Evaluation Plan'!I97</x:f>
        <x:v>P1 yellow-white striped cup B (C, UD); P2 crushed Pepsi can (UR) [TARGET]; P3 crushed Coke can (UD) [STATE COMPETITOR]; P4 brown cup A (O, UD)</x:v>
      </x:c>
      <x:c r="I97" s="8" t="str">
        <x:f>'Evaluation Plan'!J97</x:f>
        <x:v>crushed Pepsi can</x:v>
      </x:c>
      <x:c r="J97" s="8" t="str">
        <x:v>Not started</x:v>
      </x:c>
      <x:c r="K97" s="8"/>
      <x:c r="L97" s="8"/>
      <x:c r="M97" s="7"/>
    </x:row>
    <x:row r="98" ht="58" customHeight="1">
      <x:c r="A98" s="8" t="n">
        <x:f>'Evaluation Plan'!A98</x:f>
        <x:v>96</x:v>
      </x:c>
      <x:c r="B98" s="8" t="n">
        <x:f>'Evaluation Plan'!B98</x:f>
        <x:v>37</x:v>
      </x:c>
      <x:c r="C98" s="8" t="str">
        <x:f>'Evaluation Plan'!C98</x:f>
        <x:v>Additional transfer</x:v>
      </x:c>
      <x:c r="D98" s="8" t="str">
        <x:f>'Evaluation Plan'!D98</x:f>
        <x:v>Concept/compositional transfer</x:v>
      </x:c>
      <x:c r="E98" s="8" t="str">
        <x:f>'Evaluation Plan'!F98</x:f>
        <x:v>SR-CAN03</x:v>
      </x:c>
      <x:c r="F98" s="8" t="str">
        <x:f>IF('Evaluation Plan'!D98="Concept/compositional transfer","",'Evaluation Plan'!G98)</x:f>
      </x:c>
      <x:c r="G98" s="7" t="str">
        <x:f>'Evaluation Plan'!H98</x:f>
        <x:v>Place the upright can in the bowl.</x:v>
      </x:c>
      <x:c r="H98" s="7" t="str">
        <x:f>'Evaluation Plan'!I98</x:f>
        <x:v>P1 brown cup A (O, UD); P2 glass spice container B (C, UD); P3 crushed Coke can (UR) [TARGET]; P4 crushed Pepsi can (UD) [STATE COMPETITOR]</x:v>
      </x:c>
      <x:c r="I98" s="8" t="str">
        <x:f>'Evaluation Plan'!J98</x:f>
        <x:v>crushed Coke can</x:v>
      </x:c>
      <x:c r="J98" s="8" t="str">
        <x:v>Not started</x:v>
      </x:c>
      <x:c r="K98" s="8"/>
      <x:c r="L98" s="8"/>
      <x:c r="M98" s="7"/>
    </x:row>
    <x:row r="99" ht="58" customHeight="1">
      <x:c r="A99" s="8" t="n">
        <x:f>'Evaluation Plan'!A99</x:f>
        <x:v>97</x:v>
      </x:c>
      <x:c r="B99" s="8" t="n">
        <x:f>'Evaluation Plan'!B99</x:f>
        <x:v>38</x:v>
      </x:c>
      <x:c r="C99" s="8" t="str">
        <x:f>'Evaluation Plan'!C99</x:f>
        <x:v>Additional transfer</x:v>
      </x:c>
      <x:c r="D99" s="8" t="str">
        <x:f>'Evaluation Plan'!D99</x:f>
        <x:v>Concept/compositional transfer</x:v>
      </x:c>
      <x:c r="E99" s="8" t="str">
        <x:f>'Evaluation Plan'!F99</x:f>
        <x:v>SR-CAN04</x:v>
      </x:c>
      <x:c r="F99" s="8" t="str">
        <x:f>IF('Evaluation Plan'!D99="Concept/compositional transfer","",'Evaluation Plan'!G99)</x:f>
      </x:c>
      <x:c r="G99" s="7" t="str">
        <x:f>'Evaluation Plan'!H99</x:f>
        <x:v>Put the upright can in the bowl.</x:v>
      </x:c>
      <x:c r="H99" s="7" t="str">
        <x:f>'Evaluation Plan'!I99</x:f>
        <x:v>P1 crushed Coke can (UD) [STATE COMPETITOR]; P2 glass spice container A (O, UD); P3 white cup B (C, UD); P4 crushed Pepsi can (UR) [TARGET]</x:v>
      </x:c>
      <x:c r="I99" s="8" t="str">
        <x:f>'Evaluation Plan'!J99</x:f>
        <x:v>crushed Pepsi can</x:v>
      </x:c>
      <x:c r="J99" s="8" t="str">
        <x:v>Not started</x:v>
      </x:c>
      <x:c r="K99" s="8"/>
      <x:c r="L99" s="8"/>
      <x:c r="M99" s="7"/>
    </x:row>
    <x:row r="100" ht="58" customHeight="1">
      <x:c r="A100" s="8" t="n">
        <x:f>'Evaluation Plan'!A100</x:f>
        <x:v>98</x:v>
      </x:c>
      <x:c r="B100" s="8" t="n">
        <x:f>'Evaluation Plan'!B100</x:f>
        <x:v>39</x:v>
      </x:c>
      <x:c r="C100" s="8" t="str">
        <x:f>'Evaluation Plan'!C100</x:f>
        <x:v>Additional transfer</x:v>
      </x:c>
      <x:c r="D100" s="8" t="str">
        <x:f>'Evaluation Plan'!D100</x:f>
        <x:v>Concept/compositional transfer</x:v>
      </x:c>
      <x:c r="E100" s="8" t="str">
        <x:f>'Evaluation Plan'!F100</x:f>
        <x:v>SR-CAN05</x:v>
      </x:c>
      <x:c r="F100" s="8" t="str">
        <x:f>IF('Evaluation Plan'!D100="Concept/compositional transfer","",'Evaluation Plan'!G100)</x:f>
      </x:c>
      <x:c r="G100" s="7" t="str">
        <x:f>'Evaluation Plan'!H100</x:f>
        <x:v>Move the upright can into the bowl.</x:v>
      </x:c>
      <x:c r="H100" s="7" t="str">
        <x:f>'Evaluation Plan'!I100</x:f>
        <x:v>P1 crushed Coke can (UR) [TARGET]; P2 crushed Pepsi can (UD) [STATE COMPETITOR]; P3 white cup A (O, UD); P4 yellow-white striped cup B (C, UD)</x:v>
      </x:c>
      <x:c r="I100" s="8" t="str">
        <x:f>'Evaluation Plan'!J100</x:f>
        <x:v>crushed Coke can</x:v>
      </x:c>
      <x:c r="J100" s="8" t="str">
        <x:v>Not started</x:v>
      </x:c>
      <x:c r="K100" s="8"/>
      <x:c r="L100" s="8"/>
      <x:c r="M100" s="7"/>
    </x:row>
    <x:row r="101" ht="58" customHeight="1">
      <x:c r="A101" s="8" t="n">
        <x:f>'Evaluation Plan'!A101</x:f>
        <x:v>99</x:v>
      </x:c>
      <x:c r="B101" s="8" t="n">
        <x:f>'Evaluation Plan'!B101</x:f>
        <x:v>40</x:v>
      </x:c>
      <x:c r="C101" s="8" t="str">
        <x:f>'Evaluation Plan'!C101</x:f>
        <x:v>Additional transfer</x:v>
      </x:c>
      <x:c r="D101" s="8" t="str">
        <x:f>'Evaluation Plan'!D101</x:f>
        <x:v>Concept/compositional transfer</x:v>
      </x:c>
      <x:c r="E101" s="8" t="str">
        <x:f>'Evaluation Plan'!F101</x:f>
        <x:v>SR-CAN06</x:v>
      </x:c>
      <x:c r="F101" s="8" t="str">
        <x:f>IF('Evaluation Plan'!D101="Concept/compositional transfer","",'Evaluation Plan'!G101)</x:f>
      </x:c>
      <x:c r="G101" s="7" t="str">
        <x:f>'Evaluation Plan'!H101</x:f>
        <x:v>Place the upside-down can in the bowl.</x:v>
      </x:c>
      <x:c r="H101" s="7" t="str">
        <x:f>'Evaluation Plan'!I101</x:f>
        <x:v>P1 yellow-white striped cup B (C, UR); P2 crushed Pepsi can (UD) [TARGET]; P3 crushed Coke can (UR) [STATE COMPETITOR]; P4 brown cup A (O, UR)</x:v>
      </x:c>
      <x:c r="I101" s="8" t="str">
        <x:f>'Evaluation Plan'!J101</x:f>
        <x:v>crushed Pepsi can</x:v>
      </x:c>
      <x:c r="J101" s="8" t="str">
        <x:v>Not started</x:v>
      </x:c>
      <x:c r="K101" s="8"/>
      <x:c r="L101" s="8"/>
      <x:c r="M101" s="7"/>
    </x:row>
    <x:row r="102" ht="58" customHeight="1">
      <x:c r="A102" s="8" t="n">
        <x:f>'Evaluation Plan'!A102</x:f>
        <x:v>100</x:v>
      </x:c>
      <x:c r="B102" s="8" t="n">
        <x:f>'Evaluation Plan'!B102</x:f>
        <x:v>41</x:v>
      </x:c>
      <x:c r="C102" s="8" t="str">
        <x:f>'Evaluation Plan'!C102</x:f>
        <x:v>Additional transfer</x:v>
      </x:c>
      <x:c r="D102" s="8" t="str">
        <x:f>'Evaluation Plan'!D102</x:f>
        <x:v>Concept/compositional transfer</x:v>
      </x:c>
      <x:c r="E102" s="8" t="str">
        <x:f>'Evaluation Plan'!F102</x:f>
        <x:v>SR-CAN07</x:v>
      </x:c>
      <x:c r="F102" s="8" t="str">
        <x:f>IF('Evaluation Plan'!D102="Concept/compositional transfer","",'Evaluation Plan'!G102)</x:f>
      </x:c>
      <x:c r="G102" s="7" t="str">
        <x:f>'Evaluation Plan'!H102</x:f>
        <x:v>Put the upside-down can in the bowl.</x:v>
      </x:c>
      <x:c r="H102" s="7" t="str">
        <x:f>'Evaluation Plan'!I102</x:f>
        <x:v>P1 brown cup A (O, UR); P2 glass spice container B (C, UR); P3 crushed Coke can (UD) [TARGET]; P4 crushed Pepsi can (UR) [STATE COMPETITOR]</x:v>
      </x:c>
      <x:c r="I102" s="8" t="str">
        <x:f>'Evaluation Plan'!J102</x:f>
        <x:v>crushed Coke can</x:v>
      </x:c>
      <x:c r="J102" s="8" t="str">
        <x:v>Not started</x:v>
      </x:c>
      <x:c r="K102" s="8"/>
      <x:c r="L102" s="8"/>
      <x:c r="M102" s="7"/>
    </x:row>
    <x:row r="103" ht="58" customHeight="1">
      <x:c r="A103" s="8" t="n">
        <x:f>'Evaluation Plan'!A103</x:f>
        <x:v>101</x:v>
      </x:c>
      <x:c r="B103" s="8" t="n">
        <x:f>'Evaluation Plan'!B103</x:f>
        <x:v>42</x:v>
      </x:c>
      <x:c r="C103" s="8" t="str">
        <x:f>'Evaluation Plan'!C103</x:f>
        <x:v>Additional transfer</x:v>
      </x:c>
      <x:c r="D103" s="8" t="str">
        <x:f>'Evaluation Plan'!D103</x:f>
        <x:v>Concept/compositional transfer</x:v>
      </x:c>
      <x:c r="E103" s="8" t="str">
        <x:f>'Evaluation Plan'!F103</x:f>
        <x:v>SR-CAN08</x:v>
      </x:c>
      <x:c r="F103" s="8" t="str">
        <x:f>IF('Evaluation Plan'!D103="Concept/compositional transfer","",'Evaluation Plan'!G103)</x:f>
      </x:c>
      <x:c r="G103" s="7" t="str">
        <x:f>'Evaluation Plan'!H103</x:f>
        <x:v>Move the upside-down can into the bowl.</x:v>
      </x:c>
      <x:c r="H103" s="7" t="str">
        <x:f>'Evaluation Plan'!I103</x:f>
        <x:v>P1 crushed Coke can (UR) [STATE COMPETITOR]; P2 glass spice container A (O, UR); P3 white cup B (C, UR); P4 crushed Pepsi can (UD) [TARGET]</x:v>
      </x:c>
      <x:c r="I103" s="8" t="str">
        <x:f>'Evaluation Plan'!J103</x:f>
        <x:v>crushed Pepsi can</x:v>
      </x:c>
      <x:c r="J103" s="8" t="str">
        <x:v>Not started</x:v>
      </x:c>
      <x:c r="K103" s="8"/>
      <x:c r="L103" s="8"/>
      <x:c r="M103" s="7"/>
    </x:row>
    <x:row r="104" ht="58" customHeight="1">
      <x:c r="A104" s="8" t="n">
        <x:f>'Evaluation Plan'!A104</x:f>
        <x:v>102</x:v>
      </x:c>
      <x:c r="B104" s="8" t="n">
        <x:f>'Evaluation Plan'!B104</x:f>
        <x:v>43</x:v>
      </x:c>
      <x:c r="C104" s="8" t="str">
        <x:f>'Evaluation Plan'!C104</x:f>
        <x:v>Exploratory abstraction</x:v>
      </x:c>
      <x:c r="D104" s="8" t="str">
        <x:f>'Evaluation Plan'!D104</x:f>
        <x:v>Concept/compositional transfer</x:v>
      </x:c>
      <x:c r="E104" s="8" t="str">
        <x:f>'Evaluation Plan'!F104</x:f>
        <x:v>SR-OBJ01</x:v>
      </x:c>
      <x:c r="F104" s="8" t="str">
        <x:f>IF('Evaluation Plan'!D104="Concept/compositional transfer","",'Evaluation Plan'!G104)</x:f>
      </x:c>
      <x:c r="G104" s="7" t="str">
        <x:f>'Evaluation Plan'!H104</x:f>
        <x:v>Place the closed object in the bowl.</x:v>
      </x:c>
      <x:c r="H104" s="7" t="str">
        <x:f>'Evaluation Plan'!I104</x:f>
        <x:v>P1 white cup A (C, UR) [TARGET]; P2 yellow-white striped cup B (O, UD); P3 brown cup A (O, UR); P4 glass spice container B (O, UD)</x:v>
      </x:c>
      <x:c r="I104" s="8" t="str">
        <x:f>'Evaluation Plan'!J104</x:f>
        <x:v>white cup A</x:v>
      </x:c>
      <x:c r="J104" s="8" t="str">
        <x:v>Not started</x:v>
      </x:c>
      <x:c r="K104" s="8"/>
      <x:c r="L104" s="8"/>
      <x:c r="M104" s="7"/>
    </x:row>
    <x:row r="105" ht="58" customHeight="1">
      <x:c r="A105" s="8" t="n">
        <x:f>'Evaluation Plan'!A105</x:f>
        <x:v>103</x:v>
      </x:c>
      <x:c r="B105" s="8" t="n">
        <x:f>'Evaluation Plan'!B105</x:f>
        <x:v>44</x:v>
      </x:c>
      <x:c r="C105" s="8" t="str">
        <x:f>'Evaluation Plan'!C105</x:f>
        <x:v>Exploratory abstraction</x:v>
      </x:c>
      <x:c r="D105" s="8" t="str">
        <x:f>'Evaluation Plan'!D105</x:f>
        <x:v>Concept/compositional transfer</x:v>
      </x:c>
      <x:c r="E105" s="8" t="str">
        <x:f>'Evaluation Plan'!F105</x:f>
        <x:v>SR-OBJ02</x:v>
      </x:c>
      <x:c r="F105" s="8" t="str">
        <x:f>IF('Evaluation Plan'!D105="Concept/compositional transfer","",'Evaluation Plan'!G105)</x:f>
      </x:c>
      <x:c r="G105" s="7" t="str">
        <x:f>'Evaluation Plan'!H105</x:f>
        <x:v>Put the closed object in the bowl.</x:v>
      </x:c>
      <x:c r="H105" s="7" t="str">
        <x:f>'Evaluation Plan'!I105</x:f>
        <x:v>P1 yellow-white striped cup B (O, UD); P2 brown cup A (C, UR) [TARGET]; P3 glass spice container B (O, UD); P4 white cup A (O, UR)</x:v>
      </x:c>
      <x:c r="I105" s="8" t="str">
        <x:f>'Evaluation Plan'!J105</x:f>
        <x:v>brown cup A</x:v>
      </x:c>
      <x:c r="J105" s="8" t="str">
        <x:v>Not started</x:v>
      </x:c>
      <x:c r="K105" s="8"/>
      <x:c r="L105" s="8"/>
      <x:c r="M105" s="7"/>
    </x:row>
    <x:row r="106" ht="58" customHeight="1">
      <x:c r="A106" s="8" t="n">
        <x:f>'Evaluation Plan'!A106</x:f>
        <x:v>104</x:v>
      </x:c>
      <x:c r="B106" s="8" t="n">
        <x:f>'Evaluation Plan'!B106</x:f>
        <x:v>45</x:v>
      </x:c>
      <x:c r="C106" s="8" t="str">
        <x:f>'Evaluation Plan'!C106</x:f>
        <x:v>Exploratory abstraction</x:v>
      </x:c>
      <x:c r="D106" s="8" t="str">
        <x:f>'Evaluation Plan'!D106</x:f>
        <x:v>Concept/compositional transfer</x:v>
      </x:c>
      <x:c r="E106" s="8" t="str">
        <x:f>'Evaluation Plan'!F106</x:f>
        <x:v>SR-OBJ03</x:v>
      </x:c>
      <x:c r="F106" s="8" t="str">
        <x:f>IF('Evaluation Plan'!D106="Concept/compositional transfer","",'Evaluation Plan'!G106)</x:f>
      </x:c>
      <x:c r="G106" s="7" t="str">
        <x:f>'Evaluation Plan'!H106</x:f>
        <x:v>Move the open object into the bowl.</x:v>
      </x:c>
      <x:c r="H106" s="7" t="str">
        <x:f>'Evaluation Plan'!I106</x:f>
        <x:v>P1 brown cup A (C, UR); P2 glass spice container B (C, UD); P3 white cup A (O, UR) [TARGET]; P4 yellow-white striped cup B (C, UD)</x:v>
      </x:c>
      <x:c r="I106" s="8" t="str">
        <x:f>'Evaluation Plan'!J106</x:f>
        <x:v>white cup A</x:v>
      </x:c>
      <x:c r="J106" s="8" t="str">
        <x:v>Not started</x:v>
      </x:c>
      <x:c r="K106" s="8"/>
      <x:c r="L106" s="8"/>
      <x:c r="M106" s="7"/>
    </x:row>
    <x:row r="107" ht="58" customHeight="1">
      <x:c r="A107" s="8" t="n">
        <x:f>'Evaluation Plan'!A107</x:f>
        <x:v>105</x:v>
      </x:c>
      <x:c r="B107" s="8" t="n">
        <x:f>'Evaluation Plan'!B107</x:f>
        <x:v>46</x:v>
      </x:c>
      <x:c r="C107" s="8" t="str">
        <x:f>'Evaluation Plan'!C107</x:f>
        <x:v>Exploratory abstraction</x:v>
      </x:c>
      <x:c r="D107" s="8" t="str">
        <x:f>'Evaluation Plan'!D107</x:f>
        <x:v>Concept/compositional transfer</x:v>
      </x:c>
      <x:c r="E107" s="8" t="str">
        <x:f>'Evaluation Plan'!F107</x:f>
        <x:v>SR-OBJ04</x:v>
      </x:c>
      <x:c r="F107" s="8" t="str">
        <x:f>IF('Evaluation Plan'!D107="Concept/compositional transfer","",'Evaluation Plan'!G107)</x:f>
      </x:c>
      <x:c r="G107" s="7" t="str">
        <x:f>'Evaluation Plan'!H107</x:f>
        <x:v>Place the open object in the bowl.</x:v>
      </x:c>
      <x:c r="H107" s="7" t="str">
        <x:f>'Evaluation Plan'!I107</x:f>
        <x:v>P1 glass spice container B (C, UD); P2 white cup A (C, UR); P3 yellow-white striped cup B (C, UD); P4 brown cup A (O, UR) [TARGET]</x:v>
      </x:c>
      <x:c r="I107" s="8" t="str">
        <x:f>'Evaluation Plan'!J107</x:f>
        <x:v>brown cup A</x:v>
      </x:c>
      <x:c r="J107" s="8" t="str">
        <x:v>Not started</x:v>
      </x:c>
      <x:c r="K107" s="8"/>
      <x:c r="L107" s="8"/>
      <x:c r="M107" s="7"/>
    </x:row>
    <x:row r="108" ht="58" customHeight="1">
      <x:c r="A108" s="8" t="n">
        <x:f>'Evaluation Plan'!A108</x:f>
        <x:v>106</x:v>
      </x:c>
      <x:c r="B108" s="8" t="n">
        <x:f>'Evaluation Plan'!B108</x:f>
        <x:v>47</x:v>
      </x:c>
      <x:c r="C108" s="8" t="str">
        <x:f>'Evaluation Plan'!C108</x:f>
        <x:v>Exploratory abstraction</x:v>
      </x:c>
      <x:c r="D108" s="8" t="str">
        <x:f>'Evaluation Plan'!D108</x:f>
        <x:v>Concept/compositional transfer</x:v>
      </x:c>
      <x:c r="E108" s="8" t="str">
        <x:f>'Evaluation Plan'!F108</x:f>
        <x:v>SR-OBJ05</x:v>
      </x:c>
      <x:c r="F108" s="8" t="str">
        <x:f>IF('Evaluation Plan'!D108="Concept/compositional transfer","",'Evaluation Plan'!G108)</x:f>
      </x:c>
      <x:c r="G108" s="7" t="str">
        <x:f>'Evaluation Plan'!H108</x:f>
        <x:v>Put the upright object in the bowl.</x:v>
      </x:c>
      <x:c r="H108" s="7" t="str">
        <x:f>'Evaluation Plan'!I108</x:f>
        <x:v>P1 white cup A (O, UR) [TARGET]; P2 yellow-white striped cup B (C, UD); P3 brown cup A (O, UD); P4 glass spice container B (C, UD)</x:v>
      </x:c>
      <x:c r="I108" s="8" t="str">
        <x:f>'Evaluation Plan'!J108</x:f>
        <x:v>white cup A</x:v>
      </x:c>
      <x:c r="J108" s="8" t="str">
        <x:v>Not started</x:v>
      </x:c>
      <x:c r="K108" s="8"/>
      <x:c r="L108" s="8"/>
      <x:c r="M108" s="7"/>
    </x:row>
    <x:row r="109" ht="58" customHeight="1">
      <x:c r="A109" s="8" t="n">
        <x:f>'Evaluation Plan'!A109</x:f>
        <x:v>107</x:v>
      </x:c>
      <x:c r="B109" s="8" t="n">
        <x:f>'Evaluation Plan'!B109</x:f>
        <x:v>48</x:v>
      </x:c>
      <x:c r="C109" s="8" t="str">
        <x:f>'Evaluation Plan'!C109</x:f>
        <x:v>Exploratory abstraction</x:v>
      </x:c>
      <x:c r="D109" s="8" t="str">
        <x:f>'Evaluation Plan'!D109</x:f>
        <x:v>Concept/compositional transfer</x:v>
      </x:c>
      <x:c r="E109" s="8" t="str">
        <x:f>'Evaluation Plan'!F109</x:f>
        <x:v>SR-OBJ06</x:v>
      </x:c>
      <x:c r="F109" s="8" t="str">
        <x:f>IF('Evaluation Plan'!D109="Concept/compositional transfer","",'Evaluation Plan'!G109)</x:f>
      </x:c>
      <x:c r="G109" s="7" t="str">
        <x:f>'Evaluation Plan'!H109</x:f>
        <x:v>Move the upright object into the bowl.</x:v>
      </x:c>
      <x:c r="H109" s="7" t="str">
        <x:f>'Evaluation Plan'!I109</x:f>
        <x:v>P1 yellow-white striped cup B (C, UD); P2 brown cup A (O, UR) [TARGET]; P3 glass spice container B (C, UD); P4 white cup A (O, UD)</x:v>
      </x:c>
      <x:c r="I109" s="8" t="str">
        <x:f>'Evaluation Plan'!J109</x:f>
        <x:v>brown cup A</x:v>
      </x:c>
      <x:c r="J109" s="8" t="str">
        <x:v>Not started</x:v>
      </x:c>
      <x:c r="K109" s="8"/>
      <x:c r="L109" s="8"/>
      <x:c r="M109" s="7"/>
    </x:row>
    <x:row r="110" ht="58" customHeight="1">
      <x:c r="A110" s="8" t="n">
        <x:f>'Evaluation Plan'!A110</x:f>
        <x:v>108</x:v>
      </x:c>
      <x:c r="B110" s="8" t="n">
        <x:f>'Evaluation Plan'!B110</x:f>
        <x:v>49</x:v>
      </x:c>
      <x:c r="C110" s="8" t="str">
        <x:f>'Evaluation Plan'!C110</x:f>
        <x:v>Exploratory abstraction</x:v>
      </x:c>
      <x:c r="D110" s="8" t="str">
        <x:f>'Evaluation Plan'!D110</x:f>
        <x:v>Concept/compositional transfer</x:v>
      </x:c>
      <x:c r="E110" s="8" t="str">
        <x:f>'Evaluation Plan'!F110</x:f>
        <x:v>SR-OBJ07</x:v>
      </x:c>
      <x:c r="F110" s="8" t="str">
        <x:f>IF('Evaluation Plan'!D110="Concept/compositional transfer","",'Evaluation Plan'!G110)</x:f>
      </x:c>
      <x:c r="G110" s="7" t="str">
        <x:f>'Evaluation Plan'!H110</x:f>
        <x:v>Place the upside-down object in the bowl.</x:v>
      </x:c>
      <x:c r="H110" s="7" t="str">
        <x:f>'Evaluation Plan'!I110</x:f>
        <x:v>P1 brown cup A (O, UR); P2 glass spice container B (C, UR); P3 white cup A (O, UD) [TARGET]; P4 yellow-white striped cup B (C, UR)</x:v>
      </x:c>
      <x:c r="I110" s="8" t="str">
        <x:f>'Evaluation Plan'!J110</x:f>
        <x:v>white cup A</x:v>
      </x:c>
      <x:c r="J110" s="8" t="str">
        <x:v>Not started</x:v>
      </x:c>
      <x:c r="K110" s="8"/>
      <x:c r="L110" s="8"/>
      <x:c r="M110" s="7"/>
    </x:row>
    <x:row r="111" ht="58" customHeight="1">
      <x:c r="A111" s="8" t="n">
        <x:f>'Evaluation Plan'!A111</x:f>
        <x:v>109</x:v>
      </x:c>
      <x:c r="B111" s="8" t="n">
        <x:f>'Evaluation Plan'!B111</x:f>
        <x:v>50</x:v>
      </x:c>
      <x:c r="C111" s="8" t="str">
        <x:f>'Evaluation Plan'!C111</x:f>
        <x:v>Exploratory abstraction</x:v>
      </x:c>
      <x:c r="D111" s="8" t="str">
        <x:f>'Evaluation Plan'!D111</x:f>
        <x:v>Concept/compositional transfer</x:v>
      </x:c>
      <x:c r="E111" s="8" t="str">
        <x:f>'Evaluation Plan'!F111</x:f>
        <x:v>SR-OBJ08</x:v>
      </x:c>
      <x:c r="F111" s="8" t="str">
        <x:f>IF('Evaluation Plan'!D111="Concept/compositional transfer","",'Evaluation Plan'!G111)</x:f>
      </x:c>
      <x:c r="G111" s="7" t="str">
        <x:f>'Evaluation Plan'!H111</x:f>
        <x:v>Put the upside-down object in the bowl.</x:v>
      </x:c>
      <x:c r="H111" s="7" t="str">
        <x:f>'Evaluation Plan'!I111</x:f>
        <x:v>P1 glass spice container B (C, UR); P2 white cup A (O, UR); P3 yellow-white striped cup B (C, UR); P4 brown cup A (O, UD) [TARGET]</x:v>
      </x:c>
      <x:c r="I111" s="8" t="str">
        <x:f>'Evaluation Plan'!J111</x:f>
        <x:v>brown cup A</x:v>
      </x:c>
      <x:c r="J111" s="8" t="str">
        <x:v>Not started</x:v>
      </x:c>
      <x:c r="K111" s="8"/>
      <x:c r="L111" s="8"/>
      <x:c r="M111" s="7"/>
    </x:row>
  </x:sheetData>
  <x:conditionalFormatting sqref="A2:M111">
    <x:cfRule type="expression" dxfId="7" priority="1">
      <x:formula>$J2="Complete"</x:formula>
    </x:cfRule>
    <x:cfRule type="expression" dxfId="8" priority="2">
      <x:formula>$J2="Redo"</x:formula>
    </x:cfRule>
  </x:conditionalFormatting>
  <x:conditionalFormatting sqref="K2:K111">
    <x:cfRule type="containsText" dxfId="9" priority="3" operator="containsText" text="Success"/>
    <x:cfRule type="containsText" dxfId="10" priority="4" operator="containsText" text="Failure"/>
  </x:conditionalFormatting>
  <x:dataValidations count="3">
    <x:dataValidation type="list" sqref="J2:J111">
      <x:formula1>"Not started,Complete,Redo"</x:formula1>
    </x:dataValidation>
    <x:dataValidation type="list" sqref="K2:K111">
      <x:formula1>"Success,Failure,Invalid / Repeat"</x:formula1>
    </x:dataValidation>
    <x:dataValidation type="list" sqref="L2:L111">
      <x:formula1>"Wrong target,No grasp,Drop outside bowl,Timeout,Setup deviation,Hardware fault,Other"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e055d99b584c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9" hidden="0" customWidth="1"/>
    <x:col min="4" max="4" width="28" hidden="0" customWidth="1"/>
    <x:col min="5" max="5" width="13" hidden="0" customWidth="1"/>
    <x:col min="6" max="6" width="12" hidden="0" customWidth="1"/>
    <x:col min="7" max="7" width="42" hidden="0" customWidth="1"/>
    <x:col min="8" max="8" width="82" hidden="0" customWidth="1"/>
    <x:col min="9" max="9" width="25" hidden="0" customWidth="1"/>
    <x:col min="10" max="10" width="14" hidden="0" customWidth="1"/>
    <x:col min="11" max="11" width="17" hidden="0" customWidth="1"/>
    <x:col min="12" max="12" width="24" hidden="0" customWidth="1"/>
    <x:col min="13" max="13" width="42" hidden="0" customWidth="1"/>
  </x:cols>
  <x:sheetData>
    <x:row r="1" ht="36" customHeight="1">
      <x:c r="A1" s="5" t="str">
        <x:v>Episode</x:v>
      </x:c>
      <x:c r="B1" s="5" t="str">
        <x:v>Collection Block</x:v>
      </x:c>
      <x:c r="C1" s="5" t="str">
        <x:v>Within-Block Step</x:v>
      </x:c>
      <x:c r="D1" s="5" t="str">
        <x:v>Condition</x:v>
      </x:c>
      <x:c r="E1" s="5" t="str">
        <x:v>Scene Family</x:v>
      </x:c>
      <x:c r="F1" s="5" t="str">
        <x:v>Reference Episode</x:v>
      </x:c>
      <x:c r="G1" s="5" t="str">
        <x:v>Prompt</x:v>
      </x:c>
      <x:c r="H1" s="5" t="str">
        <x:v>Scene Setup</x:v>
      </x:c>
      <x:c r="I1" s="5" t="str">
        <x:v>Expected Target</x:v>
      </x:c>
      <x:c r="J1" s="5" t="str">
        <x:v>Status</x:v>
      </x:c>
      <x:c r="K1" s="5" t="str">
        <x:v>Outcome</x:v>
      </x:c>
      <x:c r="L1" s="5" t="str">
        <x:v>Failure Mode</x:v>
      </x:c>
      <x:c r="M1" s="5" t="str">
        <x:v>Notes</x:v>
      </x:c>
    </x:row>
    <x:row r="2" ht="58" customHeight="1">
      <x:c r="A2" s="9" t="n">
        <x:f>'Evaluation Plan'!A2</x:f>
        <x:v>0</x:v>
      </x:c>
      <x:c r="B2" s="9" t="n">
        <x:f>'Evaluation Plan'!B2</x:f>
        <x:v>1</x:v>
      </x:c>
      <x:c r="C2" s="9" t="str">
        <x:f>'Evaluation Plan'!C2</x:f>
        <x:v>1 — Canonical transfer</x:v>
      </x:c>
      <x:c r="D2" s="9" t="str">
        <x:f>'Evaluation Plan'!D2</x:f>
        <x:v>Concept/compositional transfer</x:v>
      </x:c>
      <x:c r="E2" s="9" t="str">
        <x:f>'Evaluation Plan'!F2</x:f>
        <x:v>SR-F01</x:v>
      </x:c>
      <x:c r="F2" s="9" t="str">
        <x:f>IF('Evaluation Plan'!D2="Concept/compositional transfer","",'Evaluation Plan'!G2)</x:f>
      </x:c>
      <x:c r="G2" s="10" t="str">
        <x:f>'Evaluation Plan'!H2</x:f>
        <x:v>Place the closed white cup in the bowl.</x:v>
      </x:c>
      <x:c r="H2" s="10" t="str">
        <x:f>'Evaluation Plan'!I2</x:f>
        <x:v>P1 white cup A (C, UR) [TARGET]; P2 white cup B (O, UR) [STATE COMPETITOR]; P3 yellow-white striped cup A (O, UR); P4 brown cup B (C, UD)</x:v>
      </x:c>
      <x:c r="I2" s="9" t="str">
        <x:f>'Evaluation Plan'!J2</x:f>
        <x:v>white cup A</x:v>
      </x:c>
      <x:c r="J2" s="9" t="str">
        <x:v>Not started</x:v>
      </x:c>
      <x:c r="K2" s="9"/>
      <x:c r="L2" s="9"/>
      <x:c r="M2" s="10"/>
    </x:row>
    <x:row r="3" ht="58" customHeight="1">
      <x:c r="A3" s="8" t="n">
        <x:f>'Evaluation Plan'!A3</x:f>
        <x:v>1</x:v>
      </x:c>
      <x:c r="B3" s="8" t="n">
        <x:f>'Evaluation Plan'!B3</x:f>
        <x:v>1</x:v>
      </x:c>
      <x:c r="C3" s="8" t="str">
        <x:f>'Evaluation Plan'!C3</x:f>
        <x:v>2 — Matched control</x:v>
      </x:c>
      <x:c r="D3" s="8" t="str">
        <x:f>'Evaluation Plan'!D3</x:f>
        <x:v>Matched manipulation control</x:v>
      </x:c>
      <x:c r="E3" s="8" t="str">
        <x:f>'Evaluation Plan'!F3</x:f>
        <x:v>SR-F01</x:v>
      </x:c>
      <x:c r="F3" s="8" t="n">
        <x:f>IF('Evaluation Plan'!D3="Concept/compositional transfer","",'Evaluation Plan'!G3)</x:f>
        <x:v>0</x:v>
      </x:c>
      <x:c r="G3" s="7" t="str">
        <x:f>'Evaluation Plan'!H3</x:f>
        <x:v>Place the white cup in the bowl.</x:v>
      </x:c>
      <x:c r="H3" s="7" t="str">
        <x:f>'Evaluation Plan'!I3</x:f>
        <x:v>P1 white cup A (C, UR) [TARGET]; P3 yellow-white striped cup A (O, UR); P4 brown cup B (C, UD)</x:v>
      </x:c>
      <x:c r="I3" s="8" t="str">
        <x:f>'Evaluation Plan'!J3</x:f>
        <x:v>white cup A</x:v>
      </x:c>
      <x:c r="J3" s="8" t="str">
        <x:v>Not started</x:v>
      </x:c>
      <x:c r="K3" s="8"/>
      <x:c r="L3" s="8"/>
      <x:c r="M3" s="7"/>
    </x:row>
    <x:row r="4" ht="58" customHeight="1">
      <x:c r="A4" s="8" t="n">
        <x:f>'Evaluation Plan'!A4</x:f>
        <x:v>2</x:v>
      </x:c>
      <x:c r="B4" s="8" t="n">
        <x:f>'Evaluation Plan'!B4</x:f>
        <x:v>1</x:v>
      </x:c>
      <x:c r="C4" s="8" t="str">
        <x:f>'Evaluation Plan'!C4</x:f>
        <x:v>3 — Novel-object canonical</x:v>
      </x:c>
      <x:c r="D4" s="8" t="str">
        <x:f>'Evaluation Plan'!D4</x:f>
        <x:v>Visual generalization</x:v>
      </x:c>
      <x:c r="E4" s="8" t="str">
        <x:f>'Evaluation Plan'!F4</x:f>
        <x:v>SR-F01</x:v>
      </x:c>
      <x:c r="F4" s="8" t="n">
        <x:f>IF('Evaluation Plan'!D4="Concept/compositional transfer","",'Evaluation Plan'!G4)</x:f>
        <x:v>0</x:v>
      </x:c>
      <x:c r="G4" s="7" t="str">
        <x:f>'Evaluation Plan'!H4</x:f>
        <x:v>Place the closed black cup in the bowl.</x:v>
      </x:c>
      <x:c r="H4" s="7" t="str">
        <x:f>'Evaluation Plan'!I4</x:f>
        <x:v>P1 U1-A (C, UR) [TARGET]; P2 U1-B (O, UR) [STATE COMPETITOR]; P3 yellow-white striped cup A (O, UR); P4 brown cup B (C, UD)</x:v>
      </x:c>
      <x:c r="I4" s="8" t="str">
        <x:f>'Evaluation Plan'!J4</x:f>
        <x:v>U1-A</x:v>
      </x:c>
      <x:c r="J4" s="8" t="str">
        <x:v>Not started</x:v>
      </x:c>
      <x:c r="K4" s="8"/>
      <x:c r="L4" s="8"/>
      <x:c r="M4" s="7"/>
    </x:row>
    <x:row r="5" ht="58" customHeight="1">
      <x:c r="A5" s="8" t="n">
        <x:f>'Evaluation Plan'!A5</x:f>
        <x:v>3</x:v>
      </x:c>
      <x:c r="B5" s="8" t="n">
        <x:f>'Evaluation Plan'!B5</x:f>
        <x:v>1</x:v>
      </x:c>
      <x:c r="C5" s="8" t="str">
        <x:f>'Evaluation Plan'!C5</x:f>
        <x:v>4 — Novel-object paraphrase</x:v>
      </x:c>
      <x:c r="D5" s="8" t="str">
        <x:f>'Evaluation Plan'!D5</x:f>
        <x:v>Language robustness</x:v>
      </x:c>
      <x:c r="E5" s="8" t="str">
        <x:f>'Evaluation Plan'!F5</x:f>
        <x:v>SR-F01</x:v>
      </x:c>
      <x:c r="F5" s="8" t="n">
        <x:f>IF('Evaluation Plan'!D5="Concept/compositional transfer","",'Evaluation Plan'!G5)</x:f>
        <x:v>2</x:v>
      </x:c>
      <x:c r="G5" s="7" t="str">
        <x:f>'Evaluation Plan'!H5</x:f>
        <x:v>Move the black cup that is closed into the bowl.</x:v>
      </x:c>
      <x:c r="H5" s="7" t="str">
        <x:f>'Evaluation Plan'!I5</x:f>
        <x:v>P1 U1-A (C, UR) [TARGET]; P2 U1-B (O, UR) [STATE COMPETITOR]; P3 yellow-white striped cup A (O, UR); P4 brown cup B (C, UD)</x:v>
      </x:c>
      <x:c r="I5" s="8" t="str">
        <x:f>'Evaluation Plan'!J5</x:f>
        <x:v>U1-A</x:v>
      </x:c>
      <x:c r="J5" s="8" t="str">
        <x:v>Not started</x:v>
      </x:c>
      <x:c r="K5" s="8"/>
      <x:c r="L5" s="8"/>
      <x:c r="M5" s="7"/>
    </x:row>
    <x:row r="6" ht="58" customHeight="1">
      <x:c r="A6" s="9" t="n">
        <x:f>'Evaluation Plan'!A6</x:f>
        <x:v>4</x:v>
      </x:c>
      <x:c r="B6" s="9" t="n">
        <x:f>'Evaluation Plan'!B6</x:f>
        <x:v>2</x:v>
      </x:c>
      <x:c r="C6" s="9" t="str">
        <x:f>'Evaluation Plan'!C6</x:f>
        <x:v>1 — Canonical transfer</x:v>
      </x:c>
      <x:c r="D6" s="9" t="str">
        <x:f>'Evaluation Plan'!D6</x:f>
        <x:v>Concept/compositional transfer</x:v>
      </x:c>
      <x:c r="E6" s="9" t="str">
        <x:f>'Evaluation Plan'!F6</x:f>
        <x:v>SR-F02</x:v>
      </x:c>
      <x:c r="F6" s="9" t="str">
        <x:f>IF('Evaluation Plan'!D6="Concept/compositional transfer","",'Evaluation Plan'!G6)</x:f>
      </x:c>
      <x:c r="G6" s="10" t="str">
        <x:f>'Evaluation Plan'!H6</x:f>
        <x:v>Put the open yellow-white striped cup in the bowl.</x:v>
      </x:c>
      <x:c r="H6" s="10" t="str">
        <x:f>'Evaluation Plan'!I6</x:f>
        <x:v>P1 white cup B (C, UD); P2 yellow-white striped cup B (O, UD) [TARGET]; P3 yellow-white striped cup A (C, UD) [STATE COMPETITOR]; P4 brown cup A (O, UR)</x:v>
      </x:c>
      <x:c r="I6" s="9" t="str">
        <x:f>'Evaluation Plan'!J6</x:f>
        <x:v>yellow-white striped cup B</x:v>
      </x:c>
      <x:c r="J6" s="9" t="str">
        <x:v>Not started</x:v>
      </x:c>
      <x:c r="K6" s="9"/>
      <x:c r="L6" s="9"/>
      <x:c r="M6" s="10"/>
    </x:row>
    <x:row r="7" ht="58" customHeight="1">
      <x:c r="A7" s="8" t="n">
        <x:f>'Evaluation Plan'!A7</x:f>
        <x:v>5</x:v>
      </x:c>
      <x:c r="B7" s="8" t="n">
        <x:f>'Evaluation Plan'!B7</x:f>
        <x:v>2</x:v>
      </x:c>
      <x:c r="C7" s="8" t="str">
        <x:f>'Evaluation Plan'!C7</x:f>
        <x:v>2 — Matched control</x:v>
      </x:c>
      <x:c r="D7" s="8" t="str">
        <x:f>'Evaluation Plan'!D7</x:f>
        <x:v>Matched manipulation control</x:v>
      </x:c>
      <x:c r="E7" s="8" t="str">
        <x:f>'Evaluation Plan'!F7</x:f>
        <x:v>SR-F02</x:v>
      </x:c>
      <x:c r="F7" s="8" t="n">
        <x:f>IF('Evaluation Plan'!D7="Concept/compositional transfer","",'Evaluation Plan'!G7)</x:f>
        <x:v>4</x:v>
      </x:c>
      <x:c r="G7" s="7" t="str">
        <x:f>'Evaluation Plan'!H7</x:f>
        <x:v>Put the yellow-white striped cup in the bowl.</x:v>
      </x:c>
      <x:c r="H7" s="7" t="str">
        <x:f>'Evaluation Plan'!I7</x:f>
        <x:v>P1 white cup B (C, UD); P2 yellow-white striped cup B (O, UD) [TARGET]; P4 brown cup A (O, UR)</x:v>
      </x:c>
      <x:c r="I7" s="8" t="str">
        <x:f>'Evaluation Plan'!J7</x:f>
        <x:v>yellow-white striped cup B</x:v>
      </x:c>
      <x:c r="J7" s="8" t="str">
        <x:v>Not started</x:v>
      </x:c>
      <x:c r="K7" s="8"/>
      <x:c r="L7" s="8"/>
      <x:c r="M7" s="7"/>
    </x:row>
    <x:row r="8" ht="58" customHeight="1">
      <x:c r="A8" s="8" t="n">
        <x:f>'Evaluation Plan'!A8</x:f>
        <x:v>6</x:v>
      </x:c>
      <x:c r="B8" s="8" t="n">
        <x:f>'Evaluation Plan'!B8</x:f>
        <x:v>2</x:v>
      </x:c>
      <x:c r="C8" s="8" t="str">
        <x:f>'Evaluation Plan'!C8</x:f>
        <x:v>3 — Novel-object canonical</x:v>
      </x:c>
      <x:c r="D8" s="8" t="str">
        <x:f>'Evaluation Plan'!D8</x:f>
        <x:v>Visual generalization</x:v>
      </x:c>
      <x:c r="E8" s="8" t="str">
        <x:f>'Evaluation Plan'!F8</x:f>
        <x:v>SR-F02</x:v>
      </x:c>
      <x:c r="F8" s="8" t="n">
        <x:f>IF('Evaluation Plan'!D8="Concept/compositional transfer","",'Evaluation Plan'!G8)</x:f>
        <x:v>4</x:v>
      </x:c>
      <x:c r="G8" s="7" t="str">
        <x:f>'Evaluation Plan'!H8</x:f>
        <x:v>Put the open new lidded container in the bowl.</x:v>
      </x:c>
      <x:c r="H8" s="7" t="str">
        <x:f>'Evaluation Plan'!I8</x:f>
        <x:v>P1 white cup B (C, UD); P2 U2-B (O, UD) [TARGET]; P3 U2-A (C, UD) [STATE COMPETITOR]; P4 brown cup A (O, UR)</x:v>
      </x:c>
      <x:c r="I8" s="8" t="str">
        <x:f>'Evaluation Plan'!J8</x:f>
        <x:v>U2-B</x:v>
      </x:c>
      <x:c r="J8" s="8" t="str">
        <x:v>Not started</x:v>
      </x:c>
      <x:c r="K8" s="8"/>
      <x:c r="L8" s="8"/>
      <x:c r="M8" s="7"/>
    </x:row>
    <x:row r="9" ht="58" customHeight="1">
      <x:c r="A9" s="8" t="n">
        <x:f>'Evaluation Plan'!A9</x:f>
        <x:v>7</x:v>
      </x:c>
      <x:c r="B9" s="8" t="n">
        <x:f>'Evaluation Plan'!B9</x:f>
        <x:v>2</x:v>
      </x:c>
      <x:c r="C9" s="8" t="str">
        <x:f>'Evaluation Plan'!C9</x:f>
        <x:v>4 — Novel-object paraphrase</x:v>
      </x:c>
      <x:c r="D9" s="8" t="str">
        <x:f>'Evaluation Plan'!D9</x:f>
        <x:v>Language robustness</x:v>
      </x:c>
      <x:c r="E9" s="8" t="str">
        <x:f>'Evaluation Plan'!F9</x:f>
        <x:v>SR-F02</x:v>
      </x:c>
      <x:c r="F9" s="8" t="n">
        <x:f>IF('Evaluation Plan'!D9="Concept/compositional transfer","",'Evaluation Plan'!G9)</x:f>
        <x:v>6</x:v>
      </x:c>
      <x:c r="G9" s="7" t="str">
        <x:f>'Evaluation Plan'!H9</x:f>
        <x:v>Move the new lidded container that is open into the bowl.</x:v>
      </x:c>
      <x:c r="H9" s="7" t="str">
        <x:f>'Evaluation Plan'!I9</x:f>
        <x:v>P1 white cup B (C, UD); P2 U2-B (O, UD) [TARGET]; P3 U2-A (C, UD) [STATE COMPETITOR]; P4 brown cup A (O, UR)</x:v>
      </x:c>
      <x:c r="I9" s="8" t="str">
        <x:f>'Evaluation Plan'!J9</x:f>
        <x:v>U2-B</x:v>
      </x:c>
      <x:c r="J9" s="8" t="str">
        <x:v>Not started</x:v>
      </x:c>
      <x:c r="K9" s="8"/>
      <x:c r="L9" s="8"/>
      <x:c r="M9" s="7"/>
    </x:row>
    <x:row r="10" ht="58" customHeight="1">
      <x:c r="A10" s="9" t="n">
        <x:f>'Evaluation Plan'!A10</x:f>
        <x:v>8</x:v>
      </x:c>
      <x:c r="B10" s="9" t="n">
        <x:f>'Evaluation Plan'!B10</x:f>
        <x:v>3</x:v>
      </x:c>
      <x:c r="C10" s="9" t="str">
        <x:f>'Evaluation Plan'!C10</x:f>
        <x:v>1 — Canonical transfer</x:v>
      </x:c>
      <x:c r="D10" s="9" t="str">
        <x:f>'Evaluation Plan'!D10</x:f>
        <x:v>Concept/compositional transfer</x:v>
      </x:c>
      <x:c r="E10" s="9" t="str">
        <x:f>'Evaluation Plan'!F10</x:f>
        <x:v>SR-F03</x:v>
      </x:c>
      <x:c r="F10" s="9" t="str">
        <x:f>IF('Evaluation Plan'!D10="Concept/compositional transfer","",'Evaluation Plan'!G10)</x:f>
      </x:c>
      <x:c r="G10" s="10" t="str">
        <x:f>'Evaluation Plan'!H10</x:f>
        <x:v>Move the upright brown cup into the bowl.</x:v>
      </x:c>
      <x:c r="H10" s="10" t="str">
        <x:f>'Evaluation Plan'!I10</x:f>
        <x:v>P1 white cup A (O, UR); P2 yellow-white striped cup B (C, UD); P3 brown cup A (O, UR) [TARGET]; P4 brown cup B (O, UD) [STATE COMPETITOR]</x:v>
      </x:c>
      <x:c r="I10" s="9" t="str">
        <x:f>'Evaluation Plan'!J10</x:f>
        <x:v>brown cup A</x:v>
      </x:c>
      <x:c r="J10" s="9" t="str">
        <x:v>Not started</x:v>
      </x:c>
      <x:c r="K10" s="9"/>
      <x:c r="L10" s="9"/>
      <x:c r="M10" s="10"/>
    </x:row>
    <x:row r="11" ht="58" customHeight="1">
      <x:c r="A11" s="8" t="n">
        <x:f>'Evaluation Plan'!A11</x:f>
        <x:v>9</x:v>
      </x:c>
      <x:c r="B11" s="8" t="n">
        <x:f>'Evaluation Plan'!B11</x:f>
        <x:v>3</x:v>
      </x:c>
      <x:c r="C11" s="8" t="str">
        <x:f>'Evaluation Plan'!C11</x:f>
        <x:v>2 — Matched control</x:v>
      </x:c>
      <x:c r="D11" s="8" t="str">
        <x:f>'Evaluation Plan'!D11</x:f>
        <x:v>Matched manipulation control</x:v>
      </x:c>
      <x:c r="E11" s="8" t="str">
        <x:f>'Evaluation Plan'!F11</x:f>
        <x:v>SR-F03</x:v>
      </x:c>
      <x:c r="F11" s="8" t="n">
        <x:f>IF('Evaluation Plan'!D11="Concept/compositional transfer","",'Evaluation Plan'!G11)</x:f>
        <x:v>8</x:v>
      </x:c>
      <x:c r="G11" s="7" t="str">
        <x:f>'Evaluation Plan'!H11</x:f>
        <x:v>Move the brown cup into the bowl.</x:v>
      </x:c>
      <x:c r="H11" s="7" t="str">
        <x:f>'Evaluation Plan'!I11</x:f>
        <x:v>P1 white cup A (O, UR); P2 yellow-white striped cup B (C, UD); P3 brown cup A (O, UR) [TARGET]</x:v>
      </x:c>
      <x:c r="I11" s="8" t="str">
        <x:f>'Evaluation Plan'!J11</x:f>
        <x:v>brown cup A</x:v>
      </x:c>
      <x:c r="J11" s="8" t="str">
        <x:v>Not started</x:v>
      </x:c>
      <x:c r="K11" s="8"/>
      <x:c r="L11" s="8"/>
      <x:c r="M11" s="7"/>
    </x:row>
    <x:row r="12" ht="58" customHeight="1">
      <x:c r="A12" s="8" t="n">
        <x:f>'Evaluation Plan'!A12</x:f>
        <x:v>10</x:v>
      </x:c>
      <x:c r="B12" s="8" t="n">
        <x:f>'Evaluation Plan'!B12</x:f>
        <x:v>3</x:v>
      </x:c>
      <x:c r="C12" s="8" t="str">
        <x:f>'Evaluation Plan'!C12</x:f>
        <x:v>3 — Novel-object canonical</x:v>
      </x:c>
      <x:c r="D12" s="8" t="str">
        <x:f>'Evaluation Plan'!D12</x:f>
        <x:v>Visual generalization</x:v>
      </x:c>
      <x:c r="E12" s="8" t="str">
        <x:f>'Evaluation Plan'!F12</x:f>
        <x:v>SR-F03</x:v>
      </x:c>
      <x:c r="F12" s="8" t="n">
        <x:f>IF('Evaluation Plan'!D12="Concept/compositional transfer","",'Evaluation Plan'!G12)</x:f>
        <x:v>8</x:v>
      </x:c>
      <x:c r="G12" s="7" t="str">
        <x:f>'Evaluation Plan'!H12</x:f>
        <x:v>Move the upright new bottle into the bowl.</x:v>
      </x:c>
      <x:c r="H12" s="7" t="str">
        <x:f>'Evaluation Plan'!I12</x:f>
        <x:v>P1 white cup A (O, UR); P2 yellow-white striped cup B (C, UD); P3 U3-A (O, UR) [TARGET]; P4 U3-B (O, UD) [STATE COMPETITOR]</x:v>
      </x:c>
      <x:c r="I12" s="8" t="str">
        <x:f>'Evaluation Plan'!J12</x:f>
        <x:v>U3-A</x:v>
      </x:c>
      <x:c r="J12" s="8" t="str">
        <x:v>Not started</x:v>
      </x:c>
      <x:c r="K12" s="8"/>
      <x:c r="L12" s="8"/>
      <x:c r="M12" s="7"/>
    </x:row>
    <x:row r="13" ht="58" customHeight="1">
      <x:c r="A13" s="8" t="n">
        <x:f>'Evaluation Plan'!A13</x:f>
        <x:v>11</x:v>
      </x:c>
      <x:c r="B13" s="8" t="n">
        <x:f>'Evaluation Plan'!B13</x:f>
        <x:v>3</x:v>
      </x:c>
      <x:c r="C13" s="8" t="str">
        <x:f>'Evaluation Plan'!C13</x:f>
        <x:v>4 — Novel-object paraphrase</x:v>
      </x:c>
      <x:c r="D13" s="8" t="str">
        <x:f>'Evaluation Plan'!D13</x:f>
        <x:v>Language robustness</x:v>
      </x:c>
      <x:c r="E13" s="8" t="str">
        <x:f>'Evaluation Plan'!F13</x:f>
        <x:v>SR-F03</x:v>
      </x:c>
      <x:c r="F13" s="8" t="n">
        <x:f>IF('Evaluation Plan'!D13="Concept/compositional transfer","",'Evaluation Plan'!G13)</x:f>
        <x:v>10</x:v>
      </x:c>
      <x:c r="G13" s="7" t="str">
        <x:f>'Evaluation Plan'!H13</x:f>
        <x:v>Move the new bottle that is standing upright into the bowl.</x:v>
      </x:c>
      <x:c r="H13" s="7" t="str">
        <x:f>'Evaluation Plan'!I13</x:f>
        <x:v>P1 white cup A (O, UR); P2 yellow-white striped cup B (C, UD); P3 U3-A (O, UR) [TARGET]; P4 U3-B (O, UD) [STATE COMPETITOR]</x:v>
      </x:c>
      <x:c r="I13" s="8" t="str">
        <x:f>'Evaluation Plan'!J13</x:f>
        <x:v>U3-A</x:v>
      </x:c>
      <x:c r="J13" s="8" t="str">
        <x:v>Not started</x:v>
      </x:c>
      <x:c r="K13" s="8"/>
      <x:c r="L13" s="8"/>
      <x:c r="M13" s="7"/>
    </x:row>
    <x:row r="14" ht="58" customHeight="1">
      <x:c r="A14" s="9" t="n">
        <x:f>'Evaluation Plan'!A14</x:f>
        <x:v>12</x:v>
      </x:c>
      <x:c r="B14" s="9" t="n">
        <x:f>'Evaluation Plan'!B14</x:f>
        <x:v>4</x:v>
      </x:c>
      <x:c r="C14" s="9" t="str">
        <x:f>'Evaluation Plan'!C14</x:f>
        <x:v>1 — Canonical transfer</x:v>
      </x:c>
      <x:c r="D14" s="9" t="str">
        <x:f>'Evaluation Plan'!D14</x:f>
        <x:v>Concept/compositional transfer</x:v>
      </x:c>
      <x:c r="E14" s="9" t="str">
        <x:f>'Evaluation Plan'!F14</x:f>
        <x:v>SR-F04</x:v>
      </x:c>
      <x:c r="F14" s="9" t="str">
        <x:f>IF('Evaluation Plan'!D14="Concept/compositional transfer","",'Evaluation Plan'!G14)</x:f>
      </x:c>
      <x:c r="G14" s="10" t="str">
        <x:f>'Evaluation Plan'!H14</x:f>
        <x:v>Place the upside-down glass spice container in the bowl.</x:v>
      </x:c>
      <x:c r="H14" s="10" t="str">
        <x:f>'Evaluation Plan'!I14</x:f>
        <x:v>P1 glass spice container A (C, UR) [STATE COMPETITOR]; P2 white cup A (O, UR); P3 yellow-white striped cup B (C, UD); P4 glass spice container B (C, UD) [TARGET]</x:v>
      </x:c>
      <x:c r="I14" s="9" t="str">
        <x:f>'Evaluation Plan'!J14</x:f>
        <x:v>glass spice container B</x:v>
      </x:c>
      <x:c r="J14" s="9" t="str">
        <x:v>Not started</x:v>
      </x:c>
      <x:c r="K14" s="9"/>
      <x:c r="L14" s="9"/>
      <x:c r="M14" s="10"/>
    </x:row>
    <x:row r="15" ht="58" customHeight="1">
      <x:c r="A15" s="8" t="n">
        <x:f>'Evaluation Plan'!A15</x:f>
        <x:v>13</x:v>
      </x:c>
      <x:c r="B15" s="8" t="n">
        <x:f>'Evaluation Plan'!B15</x:f>
        <x:v>4</x:v>
      </x:c>
      <x:c r="C15" s="8" t="str">
        <x:f>'Evaluation Plan'!C15</x:f>
        <x:v>2 — Matched control</x:v>
      </x:c>
      <x:c r="D15" s="8" t="str">
        <x:f>'Evaluation Plan'!D15</x:f>
        <x:v>Matched manipulation control</x:v>
      </x:c>
      <x:c r="E15" s="8" t="str">
        <x:f>'Evaluation Plan'!F15</x:f>
        <x:v>SR-F04</x:v>
      </x:c>
      <x:c r="F15" s="8" t="n">
        <x:f>IF('Evaluation Plan'!D15="Concept/compositional transfer","",'Evaluation Plan'!G15)</x:f>
        <x:v>12</x:v>
      </x:c>
      <x:c r="G15" s="7" t="str">
        <x:f>'Evaluation Plan'!H15</x:f>
        <x:v>Place the glass spice container in the bowl.</x:v>
      </x:c>
      <x:c r="H15" s="7" t="str">
        <x:f>'Evaluation Plan'!I15</x:f>
        <x:v>P2 white cup A (O, UR); P3 yellow-white striped cup B (C, UD); P4 glass spice container B (C, UD) [TARGET]</x:v>
      </x:c>
      <x:c r="I15" s="8" t="str">
        <x:f>'Evaluation Plan'!J15</x:f>
        <x:v>glass spice container B</x:v>
      </x:c>
      <x:c r="J15" s="8" t="str">
        <x:v>Not started</x:v>
      </x:c>
      <x:c r="K15" s="8"/>
      <x:c r="L15" s="8"/>
      <x:c r="M15" s="7"/>
    </x:row>
    <x:row r="16" ht="58" customHeight="1">
      <x:c r="A16" s="8" t="n">
        <x:f>'Evaluation Plan'!A16</x:f>
        <x:v>14</x:v>
      </x:c>
      <x:c r="B16" s="8" t="n">
        <x:f>'Evaluation Plan'!B16</x:f>
        <x:v>4</x:v>
      </x:c>
      <x:c r="C16" s="8" t="str">
        <x:f>'Evaluation Plan'!C16</x:f>
        <x:v>3 — Novel-object canonical</x:v>
      </x:c>
      <x:c r="D16" s="8" t="str">
        <x:f>'Evaluation Plan'!D16</x:f>
        <x:v>Visual generalization</x:v>
      </x:c>
      <x:c r="E16" s="8" t="str">
        <x:f>'Evaluation Plan'!F16</x:f>
        <x:v>SR-F04</x:v>
      </x:c>
      <x:c r="F16" s="8" t="n">
        <x:f>IF('Evaluation Plan'!D16="Concept/compositional transfer","",'Evaluation Plan'!G16)</x:f>
        <x:v>12</x:v>
      </x:c>
      <x:c r="G16" s="7" t="str">
        <x:f>'Evaluation Plan'!H16</x:f>
        <x:v>Place the upside-down new asymmetric container in the bowl.</x:v>
      </x:c>
      <x:c r="H16" s="7" t="str">
        <x:f>'Evaluation Plan'!I16</x:f>
        <x:v>P1 U4-A (C, UR) [STATE COMPETITOR]; P2 white cup A (O, UR); P3 yellow-white striped cup B (C, UD); P4 U4-B (C, UD) [TARGET]</x:v>
      </x:c>
      <x:c r="I16" s="8" t="str">
        <x:f>'Evaluation Plan'!J16</x:f>
        <x:v>U4-B</x:v>
      </x:c>
      <x:c r="J16" s="8" t="str">
        <x:v>Not started</x:v>
      </x:c>
      <x:c r="K16" s="8"/>
      <x:c r="L16" s="8"/>
      <x:c r="M16" s="7"/>
    </x:row>
    <x:row r="17" ht="58" customHeight="1">
      <x:c r="A17" s="8" t="n">
        <x:f>'Evaluation Plan'!A17</x:f>
        <x:v>15</x:v>
      </x:c>
      <x:c r="B17" s="8" t="n">
        <x:f>'Evaluation Plan'!B17</x:f>
        <x:v>4</x:v>
      </x:c>
      <x:c r="C17" s="8" t="str">
        <x:f>'Evaluation Plan'!C17</x:f>
        <x:v>4 — Novel-object paraphrase</x:v>
      </x:c>
      <x:c r="D17" s="8" t="str">
        <x:f>'Evaluation Plan'!D17</x:f>
        <x:v>Language robustness</x:v>
      </x:c>
      <x:c r="E17" s="8" t="str">
        <x:f>'Evaluation Plan'!F17</x:f>
        <x:v>SR-F04</x:v>
      </x:c>
      <x:c r="F17" s="8" t="n">
        <x:f>IF('Evaluation Plan'!D17="Concept/compositional transfer","",'Evaluation Plan'!G17)</x:f>
        <x:v>14</x:v>
      </x:c>
      <x:c r="G17" s="7" t="str">
        <x:f>'Evaluation Plan'!H17</x:f>
        <x:v>Move the new asymmetric container that is turned upside down into the bowl.</x:v>
      </x:c>
      <x:c r="H17" s="7" t="str">
        <x:f>'Evaluation Plan'!I17</x:f>
        <x:v>P1 U4-A (C, UR) [STATE COMPETITOR]; P2 white cup A (O, UR); P3 yellow-white striped cup B (C, UD); P4 U4-B (C, UD) [TARGET]</x:v>
      </x:c>
      <x:c r="I17" s="8" t="str">
        <x:f>'Evaluation Plan'!J17</x:f>
        <x:v>U4-B</x:v>
      </x:c>
      <x:c r="J17" s="8" t="str">
        <x:v>Not started</x:v>
      </x:c>
      <x:c r="K17" s="8"/>
      <x:c r="L17" s="8"/>
      <x:c r="M17" s="7"/>
    </x:row>
    <x:row r="18" ht="58" customHeight="1">
      <x:c r="A18" s="9" t="n">
        <x:f>'Evaluation Plan'!A18</x:f>
        <x:v>16</x:v>
      </x:c>
      <x:c r="B18" s="9" t="n">
        <x:f>'Evaluation Plan'!B18</x:f>
        <x:v>5</x:v>
      </x:c>
      <x:c r="C18" s="9" t="str">
        <x:f>'Evaluation Plan'!C18</x:f>
        <x:v>1 — Canonical transfer</x:v>
      </x:c>
      <x:c r="D18" s="9" t="str">
        <x:f>'Evaluation Plan'!D18</x:f>
        <x:v>Concept/compositional transfer</x:v>
      </x:c>
      <x:c r="E18" s="9" t="str">
        <x:f>'Evaluation Plan'!F18</x:f>
        <x:v>SR-F05</x:v>
      </x:c>
      <x:c r="F18" s="9" t="str">
        <x:f>IF('Evaluation Plan'!D18="Concept/compositional transfer","",'Evaluation Plan'!G18)</x:f>
      </x:c>
      <x:c r="G18" s="10" t="str">
        <x:f>'Evaluation Plan'!H18</x:f>
        <x:v>Put the closed yellow-white striped cup in the bowl.</x:v>
      </x:c>
      <x:c r="H18" s="10" t="str">
        <x:f>'Evaluation Plan'!I18</x:f>
        <x:v>P1 yellow-white striped cup A (C, UR) [TARGET]; P2 yellow-white striped cup B (O, UR) [STATE COMPETITOR]; P3 white cup A (O, UR); P4 brown cup B (C, UD)</x:v>
      </x:c>
      <x:c r="I18" s="9" t="str">
        <x:f>'Evaluation Plan'!J18</x:f>
        <x:v>yellow-white striped cup A</x:v>
      </x:c>
      <x:c r="J18" s="9" t="str">
        <x:v>Not started</x:v>
      </x:c>
      <x:c r="K18" s="9"/>
      <x:c r="L18" s="9"/>
      <x:c r="M18" s="10"/>
    </x:row>
    <x:row r="19" ht="58" customHeight="1">
      <x:c r="A19" s="8" t="n">
        <x:f>'Evaluation Plan'!A19</x:f>
        <x:v>17</x:v>
      </x:c>
      <x:c r="B19" s="8" t="n">
        <x:f>'Evaluation Plan'!B19</x:f>
        <x:v>5</x:v>
      </x:c>
      <x:c r="C19" s="8" t="str">
        <x:f>'Evaluation Plan'!C19</x:f>
        <x:v>2 — Matched control</x:v>
      </x:c>
      <x:c r="D19" s="8" t="str">
        <x:f>'Evaluation Plan'!D19</x:f>
        <x:v>Matched manipulation control</x:v>
      </x:c>
      <x:c r="E19" s="8" t="str">
        <x:f>'Evaluation Plan'!F19</x:f>
        <x:v>SR-F05</x:v>
      </x:c>
      <x:c r="F19" s="8" t="n">
        <x:f>IF('Evaluation Plan'!D19="Concept/compositional transfer","",'Evaluation Plan'!G19)</x:f>
        <x:v>16</x:v>
      </x:c>
      <x:c r="G19" s="7" t="str">
        <x:f>'Evaluation Plan'!H19</x:f>
        <x:v>Put the yellow-white striped cup in the bowl.</x:v>
      </x:c>
      <x:c r="H19" s="7" t="str">
        <x:f>'Evaluation Plan'!I19</x:f>
        <x:v>P1 yellow-white striped cup A (C, UR) [TARGET]; P3 white cup A (O, UR); P4 brown cup B (C, UD)</x:v>
      </x:c>
      <x:c r="I19" s="8" t="str">
        <x:f>'Evaluation Plan'!J19</x:f>
        <x:v>yellow-white striped cup A</x:v>
      </x:c>
      <x:c r="J19" s="8" t="str">
        <x:v>Not started</x:v>
      </x:c>
      <x:c r="K19" s="8"/>
      <x:c r="L19" s="8"/>
      <x:c r="M19" s="7"/>
    </x:row>
    <x:row r="20" ht="58" customHeight="1">
      <x:c r="A20" s="8" t="n">
        <x:f>'Evaluation Plan'!A20</x:f>
        <x:v>18</x:v>
      </x:c>
      <x:c r="B20" s="8" t="n">
        <x:f>'Evaluation Plan'!B20</x:f>
        <x:v>5</x:v>
      </x:c>
      <x:c r="C20" s="8" t="str">
        <x:f>'Evaluation Plan'!C20</x:f>
        <x:v>3 — Novel-object canonical</x:v>
      </x:c>
      <x:c r="D20" s="8" t="str">
        <x:f>'Evaluation Plan'!D20</x:f>
        <x:v>Visual generalization</x:v>
      </x:c>
      <x:c r="E20" s="8" t="str">
        <x:f>'Evaluation Plan'!F20</x:f>
        <x:v>SR-F05</x:v>
      </x:c>
      <x:c r="F20" s="8" t="n">
        <x:f>IF('Evaluation Plan'!D20="Concept/compositional transfer","",'Evaluation Plan'!G20)</x:f>
        <x:v>16</x:v>
      </x:c>
      <x:c r="G20" s="7" t="str">
        <x:f>'Evaluation Plan'!H20</x:f>
        <x:v>Put the closed black cup in the bowl.</x:v>
      </x:c>
      <x:c r="H20" s="7" t="str">
        <x:f>'Evaluation Plan'!I20</x:f>
        <x:v>P1 U1-A (C, UR) [TARGET]; P2 U1-B (O, UR) [STATE COMPETITOR]; P3 white cup A (O, UR); P4 brown cup B (C, UD)</x:v>
      </x:c>
      <x:c r="I20" s="8" t="str">
        <x:f>'Evaluation Plan'!J20</x:f>
        <x:v>U1-A</x:v>
      </x:c>
      <x:c r="J20" s="8" t="str">
        <x:v>Not started</x:v>
      </x:c>
      <x:c r="K20" s="8"/>
      <x:c r="L20" s="8"/>
      <x:c r="M20" s="7"/>
    </x:row>
    <x:row r="21" ht="58" customHeight="1">
      <x:c r="A21" s="8" t="n">
        <x:f>'Evaluation Plan'!A21</x:f>
        <x:v>19</x:v>
      </x:c>
      <x:c r="B21" s="8" t="n">
        <x:f>'Evaluation Plan'!B21</x:f>
        <x:v>5</x:v>
      </x:c>
      <x:c r="C21" s="8" t="str">
        <x:f>'Evaluation Plan'!C21</x:f>
        <x:v>4 — Novel-object paraphrase</x:v>
      </x:c>
      <x:c r="D21" s="8" t="str">
        <x:f>'Evaluation Plan'!D21</x:f>
        <x:v>Language robustness</x:v>
      </x:c>
      <x:c r="E21" s="8" t="str">
        <x:f>'Evaluation Plan'!F21</x:f>
        <x:v>SR-F05</x:v>
      </x:c>
      <x:c r="F21" s="8" t="n">
        <x:f>IF('Evaluation Plan'!D21="Concept/compositional transfer","",'Evaluation Plan'!G21)</x:f>
        <x:v>18</x:v>
      </x:c>
      <x:c r="G21" s="7" t="str">
        <x:f>'Evaluation Plan'!H21</x:f>
        <x:v>Put the black cup with its opening covered in the bowl.</x:v>
      </x:c>
      <x:c r="H21" s="7" t="str">
        <x:f>'Evaluation Plan'!I21</x:f>
        <x:v>P1 U1-A (C, UR) [TARGET]; P2 U1-B (O, UR) [STATE COMPETITOR]; P3 white cup A (O, UR); P4 brown cup B (C, UD)</x:v>
      </x:c>
      <x:c r="I21" s="8" t="str">
        <x:f>'Evaluation Plan'!J21</x:f>
        <x:v>U1-A</x:v>
      </x:c>
      <x:c r="J21" s="8" t="str">
        <x:v>Not started</x:v>
      </x:c>
      <x:c r="K21" s="8"/>
      <x:c r="L21" s="8"/>
      <x:c r="M21" s="7"/>
    </x:row>
    <x:row r="22" ht="58" customHeight="1">
      <x:c r="A22" s="9" t="n">
        <x:f>'Evaluation Plan'!A22</x:f>
        <x:v>20</x:v>
      </x:c>
      <x:c r="B22" s="9" t="n">
        <x:f>'Evaluation Plan'!B22</x:f>
        <x:v>6</x:v>
      </x:c>
      <x:c r="C22" s="9" t="str">
        <x:f>'Evaluation Plan'!C22</x:f>
        <x:v>1 — Canonical transfer</x:v>
      </x:c>
      <x:c r="D22" s="9" t="str">
        <x:f>'Evaluation Plan'!D22</x:f>
        <x:v>Concept/compositional transfer</x:v>
      </x:c>
      <x:c r="E22" s="9" t="str">
        <x:f>'Evaluation Plan'!F22</x:f>
        <x:v>SR-F06</x:v>
      </x:c>
      <x:c r="F22" s="9" t="str">
        <x:f>IF('Evaluation Plan'!D22="Concept/compositional transfer","",'Evaluation Plan'!G22)</x:f>
      </x:c>
      <x:c r="G22" s="10" t="str">
        <x:f>'Evaluation Plan'!H22</x:f>
        <x:v>Move the open brown cup into the bowl.</x:v>
      </x:c>
      <x:c r="H22" s="10" t="str">
        <x:f>'Evaluation Plan'!I22</x:f>
        <x:v>P1 white cup B (C, UD); P2 brown cup B (O, UD) [TARGET]; P3 brown cup A (C, UD) [STATE COMPETITOR]; P4 yellow-white striped cup A (O, UR)</x:v>
      </x:c>
      <x:c r="I22" s="9" t="str">
        <x:f>'Evaluation Plan'!J22</x:f>
        <x:v>brown cup B</x:v>
      </x:c>
      <x:c r="J22" s="9" t="str">
        <x:v>Not started</x:v>
      </x:c>
      <x:c r="K22" s="9"/>
      <x:c r="L22" s="9"/>
      <x:c r="M22" s="10"/>
    </x:row>
    <x:row r="23" ht="58" customHeight="1">
      <x:c r="A23" s="8" t="n">
        <x:f>'Evaluation Plan'!A23</x:f>
        <x:v>21</x:v>
      </x:c>
      <x:c r="B23" s="8" t="n">
        <x:f>'Evaluation Plan'!B23</x:f>
        <x:v>6</x:v>
      </x:c>
      <x:c r="C23" s="8" t="str">
        <x:f>'Evaluation Plan'!C23</x:f>
        <x:v>2 — Matched control</x:v>
      </x:c>
      <x:c r="D23" s="8" t="str">
        <x:f>'Evaluation Plan'!D23</x:f>
        <x:v>Matched manipulation control</x:v>
      </x:c>
      <x:c r="E23" s="8" t="str">
        <x:f>'Evaluation Plan'!F23</x:f>
        <x:v>SR-F06</x:v>
      </x:c>
      <x:c r="F23" s="8" t="n">
        <x:f>IF('Evaluation Plan'!D23="Concept/compositional transfer","",'Evaluation Plan'!G23)</x:f>
        <x:v>20</x:v>
      </x:c>
      <x:c r="G23" s="7" t="str">
        <x:f>'Evaluation Plan'!H23</x:f>
        <x:v>Move the brown cup into the bowl.</x:v>
      </x:c>
      <x:c r="H23" s="7" t="str">
        <x:f>'Evaluation Plan'!I23</x:f>
        <x:v>P1 white cup B (C, UD); P2 brown cup B (O, UD) [TARGET]; P4 yellow-white striped cup A (O, UR)</x:v>
      </x:c>
      <x:c r="I23" s="8" t="str">
        <x:f>'Evaluation Plan'!J23</x:f>
        <x:v>brown cup B</x:v>
      </x:c>
      <x:c r="J23" s="8" t="str">
        <x:v>Not started</x:v>
      </x:c>
      <x:c r="K23" s="8"/>
      <x:c r="L23" s="8"/>
      <x:c r="M23" s="7"/>
    </x:row>
    <x:row r="24" ht="58" customHeight="1">
      <x:c r="A24" s="8" t="n">
        <x:f>'Evaluation Plan'!A24</x:f>
        <x:v>22</x:v>
      </x:c>
      <x:c r="B24" s="8" t="n">
        <x:f>'Evaluation Plan'!B24</x:f>
        <x:v>6</x:v>
      </x:c>
      <x:c r="C24" s="8" t="str">
        <x:f>'Evaluation Plan'!C24</x:f>
        <x:v>3 — Novel-object canonical</x:v>
      </x:c>
      <x:c r="D24" s="8" t="str">
        <x:f>'Evaluation Plan'!D24</x:f>
        <x:v>Visual generalization</x:v>
      </x:c>
      <x:c r="E24" s="8" t="str">
        <x:f>'Evaluation Plan'!F24</x:f>
        <x:v>SR-F06</x:v>
      </x:c>
      <x:c r="F24" s="8" t="n">
        <x:f>IF('Evaluation Plan'!D24="Concept/compositional transfer","",'Evaluation Plan'!G24)</x:f>
        <x:v>20</x:v>
      </x:c>
      <x:c r="G24" s="7" t="str">
        <x:f>'Evaluation Plan'!H24</x:f>
        <x:v>Move the open new lidded container into the bowl.</x:v>
      </x:c>
      <x:c r="H24" s="7" t="str">
        <x:f>'Evaluation Plan'!I24</x:f>
        <x:v>P1 white cup B (C, UD); P2 U2-B (O, UD) [TARGET]; P3 U2-A (C, UD) [STATE COMPETITOR]; P4 yellow-white striped cup A (O, UR)</x:v>
      </x:c>
      <x:c r="I24" s="8" t="str">
        <x:f>'Evaluation Plan'!J24</x:f>
        <x:v>U2-B</x:v>
      </x:c>
      <x:c r="J24" s="8" t="str">
        <x:v>Not started</x:v>
      </x:c>
      <x:c r="K24" s="8"/>
      <x:c r="L24" s="8"/>
      <x:c r="M24" s="7"/>
    </x:row>
    <x:row r="25" ht="58" customHeight="1">
      <x:c r="A25" s="8" t="n">
        <x:f>'Evaluation Plan'!A25</x:f>
        <x:v>23</x:v>
      </x:c>
      <x:c r="B25" s="8" t="n">
        <x:f>'Evaluation Plan'!B25</x:f>
        <x:v>6</x:v>
      </x:c>
      <x:c r="C25" s="8" t="str">
        <x:f>'Evaluation Plan'!C25</x:f>
        <x:v>4 — Novel-object paraphrase</x:v>
      </x:c>
      <x:c r="D25" s="8" t="str">
        <x:f>'Evaluation Plan'!D25</x:f>
        <x:v>Language robustness</x:v>
      </x:c>
      <x:c r="E25" s="8" t="str">
        <x:f>'Evaluation Plan'!F25</x:f>
        <x:v>SR-F06</x:v>
      </x:c>
      <x:c r="F25" s="8" t="n">
        <x:f>IF('Evaluation Plan'!D25="Concept/compositional transfer","",'Evaluation Plan'!G25)</x:f>
        <x:v>22</x:v>
      </x:c>
      <x:c r="G25" s="7" t="str">
        <x:f>'Evaluation Plan'!H25</x:f>
        <x:v>Put the new lidded container with its opening uncovered in the bowl.</x:v>
      </x:c>
      <x:c r="H25" s="7" t="str">
        <x:f>'Evaluation Plan'!I25</x:f>
        <x:v>P1 white cup B (C, UD); P2 U2-B (O, UD) [TARGET]; P3 U2-A (C, UD) [STATE COMPETITOR]; P4 yellow-white striped cup A (O, UR)</x:v>
      </x:c>
      <x:c r="I25" s="8" t="str">
        <x:f>'Evaluation Plan'!J25</x:f>
        <x:v>U2-B</x:v>
      </x:c>
      <x:c r="J25" s="8" t="str">
        <x:v>Not started</x:v>
      </x:c>
      <x:c r="K25" s="8"/>
      <x:c r="L25" s="8"/>
      <x:c r="M25" s="7"/>
    </x:row>
    <x:row r="26" ht="58" customHeight="1">
      <x:c r="A26" s="9" t="n">
        <x:f>'Evaluation Plan'!A26</x:f>
        <x:v>24</x:v>
      </x:c>
      <x:c r="B26" s="9" t="n">
        <x:f>'Evaluation Plan'!B26</x:f>
        <x:v>7</x:v>
      </x:c>
      <x:c r="C26" s="9" t="str">
        <x:f>'Evaluation Plan'!C26</x:f>
        <x:v>1 — Canonical transfer</x:v>
      </x:c>
      <x:c r="D26" s="9" t="str">
        <x:f>'Evaluation Plan'!D26</x:f>
        <x:v>Concept/compositional transfer</x:v>
      </x:c>
      <x:c r="E26" s="9" t="str">
        <x:f>'Evaluation Plan'!F26</x:f>
        <x:v>SR-F07</x:v>
      </x:c>
      <x:c r="F26" s="9" t="str">
        <x:f>IF('Evaluation Plan'!D26="Concept/compositional transfer","",'Evaluation Plan'!G26)</x:f>
      </x:c>
      <x:c r="G26" s="10" t="str">
        <x:f>'Evaluation Plan'!H26</x:f>
        <x:v>Place the upright glass spice container in the bowl.</x:v>
      </x:c>
      <x:c r="H26" s="10" t="str">
        <x:f>'Evaluation Plan'!I26</x:f>
        <x:v>P1 white cup A (O, UR); P2 yellow-white striped cup B (C, UD); P3 glass spice container A (O, UR) [TARGET]; P4 glass spice container B (O, UD) [STATE COMPETITOR]</x:v>
      </x:c>
      <x:c r="I26" s="9" t="str">
        <x:f>'Evaluation Plan'!J26</x:f>
        <x:v>glass spice container A</x:v>
      </x:c>
      <x:c r="J26" s="9" t="str">
        <x:v>Not started</x:v>
      </x:c>
      <x:c r="K26" s="9"/>
      <x:c r="L26" s="9"/>
      <x:c r="M26" s="10"/>
    </x:row>
    <x:row r="27" ht="58" customHeight="1">
      <x:c r="A27" s="8" t="n">
        <x:f>'Evaluation Plan'!A27</x:f>
        <x:v>25</x:v>
      </x:c>
      <x:c r="B27" s="8" t="n">
        <x:f>'Evaluation Plan'!B27</x:f>
        <x:v>7</x:v>
      </x:c>
      <x:c r="C27" s="8" t="str">
        <x:f>'Evaluation Plan'!C27</x:f>
        <x:v>2 — Matched control</x:v>
      </x:c>
      <x:c r="D27" s="8" t="str">
        <x:f>'Evaluation Plan'!D27</x:f>
        <x:v>Matched manipulation control</x:v>
      </x:c>
      <x:c r="E27" s="8" t="str">
        <x:f>'Evaluation Plan'!F27</x:f>
        <x:v>SR-F07</x:v>
      </x:c>
      <x:c r="F27" s="8" t="n">
        <x:f>IF('Evaluation Plan'!D27="Concept/compositional transfer","",'Evaluation Plan'!G27)</x:f>
        <x:v>24</x:v>
      </x:c>
      <x:c r="G27" s="7" t="str">
        <x:f>'Evaluation Plan'!H27</x:f>
        <x:v>Place the glass spice container in the bowl.</x:v>
      </x:c>
      <x:c r="H27" s="7" t="str">
        <x:f>'Evaluation Plan'!I27</x:f>
        <x:v>P1 white cup A (O, UR); P2 yellow-white striped cup B (C, UD); P3 glass spice container A (O, UR) [TARGET]</x:v>
      </x:c>
      <x:c r="I27" s="8" t="str">
        <x:f>'Evaluation Plan'!J27</x:f>
        <x:v>glass spice container A</x:v>
      </x:c>
      <x:c r="J27" s="8" t="str">
        <x:v>Not started</x:v>
      </x:c>
      <x:c r="K27" s="8"/>
      <x:c r="L27" s="8"/>
      <x:c r="M27" s="7"/>
    </x:row>
    <x:row r="28" ht="58" customHeight="1">
      <x:c r="A28" s="8" t="n">
        <x:f>'Evaluation Plan'!A28</x:f>
        <x:v>26</x:v>
      </x:c>
      <x:c r="B28" s="8" t="n">
        <x:f>'Evaluation Plan'!B28</x:f>
        <x:v>7</x:v>
      </x:c>
      <x:c r="C28" s="8" t="str">
        <x:f>'Evaluation Plan'!C28</x:f>
        <x:v>3 — Novel-object canonical</x:v>
      </x:c>
      <x:c r="D28" s="8" t="str">
        <x:f>'Evaluation Plan'!D28</x:f>
        <x:v>Visual generalization</x:v>
      </x:c>
      <x:c r="E28" s="8" t="str">
        <x:f>'Evaluation Plan'!F28</x:f>
        <x:v>SR-F07</x:v>
      </x:c>
      <x:c r="F28" s="8" t="n">
        <x:f>IF('Evaluation Plan'!D28="Concept/compositional transfer","",'Evaluation Plan'!G28)</x:f>
        <x:v>24</x:v>
      </x:c>
      <x:c r="G28" s="7" t="str">
        <x:f>'Evaluation Plan'!H28</x:f>
        <x:v>Place the upright new bottle in the bowl.</x:v>
      </x:c>
      <x:c r="H28" s="7" t="str">
        <x:f>'Evaluation Plan'!I28</x:f>
        <x:v>P1 white cup A (O, UR); P2 yellow-white striped cup B (C, UD); P3 U3-A (O, UR) [TARGET]; P4 U3-B (O, UD) [STATE COMPETITOR]</x:v>
      </x:c>
      <x:c r="I28" s="8" t="str">
        <x:f>'Evaluation Plan'!J28</x:f>
        <x:v>U3-A</x:v>
      </x:c>
      <x:c r="J28" s="8" t="str">
        <x:v>Not started</x:v>
      </x:c>
      <x:c r="K28" s="8"/>
      <x:c r="L28" s="8"/>
      <x:c r="M28" s="7"/>
    </x:row>
    <x:row r="29" ht="58" customHeight="1">
      <x:c r="A29" s="8" t="n">
        <x:f>'Evaluation Plan'!A29</x:f>
        <x:v>27</x:v>
      </x:c>
      <x:c r="B29" s="8" t="n">
        <x:f>'Evaluation Plan'!B29</x:f>
        <x:v>7</x:v>
      </x:c>
      <x:c r="C29" s="8" t="str">
        <x:f>'Evaluation Plan'!C29</x:f>
        <x:v>4 — Novel-object paraphrase</x:v>
      </x:c>
      <x:c r="D29" s="8" t="str">
        <x:f>'Evaluation Plan'!D29</x:f>
        <x:v>Language robustness</x:v>
      </x:c>
      <x:c r="E29" s="8" t="str">
        <x:f>'Evaluation Plan'!F29</x:f>
        <x:v>SR-F07</x:v>
      </x:c>
      <x:c r="F29" s="8" t="n">
        <x:f>IF('Evaluation Plan'!D29="Concept/compositional transfer","",'Evaluation Plan'!G29)</x:f>
        <x:v>26</x:v>
      </x:c>
      <x:c r="G29" s="7" t="str">
        <x:f>'Evaluation Plan'!H29</x:f>
        <x:v>Put the right-side-up new bottle in the bowl.</x:v>
      </x:c>
      <x:c r="H29" s="7" t="str">
        <x:f>'Evaluation Plan'!I29</x:f>
        <x:v>P1 white cup A (O, UR); P2 yellow-white striped cup B (C, UD); P3 U3-A (O, UR) [TARGET]; P4 U3-B (O, UD) [STATE COMPETITOR]</x:v>
      </x:c>
      <x:c r="I29" s="8" t="str">
        <x:f>'Evaluation Plan'!J29</x:f>
        <x:v>U3-A</x:v>
      </x:c>
      <x:c r="J29" s="8" t="str">
        <x:v>Not started</x:v>
      </x:c>
      <x:c r="K29" s="8"/>
      <x:c r="L29" s="8"/>
      <x:c r="M29" s="7"/>
    </x:row>
    <x:row r="30" ht="58" customHeight="1">
      <x:c r="A30" s="9" t="n">
        <x:f>'Evaluation Plan'!A30</x:f>
        <x:v>28</x:v>
      </x:c>
      <x:c r="B30" s="9" t="n">
        <x:f>'Evaluation Plan'!B30</x:f>
        <x:v>8</x:v>
      </x:c>
      <x:c r="C30" s="9" t="str">
        <x:f>'Evaluation Plan'!C30</x:f>
        <x:v>1 — Canonical transfer</x:v>
      </x:c>
      <x:c r="D30" s="9" t="str">
        <x:f>'Evaluation Plan'!D30</x:f>
        <x:v>Concept/compositional transfer</x:v>
      </x:c>
      <x:c r="E30" s="9" t="str">
        <x:f>'Evaluation Plan'!F30</x:f>
        <x:v>SR-F08</x:v>
      </x:c>
      <x:c r="F30" s="9" t="str">
        <x:f>IF('Evaluation Plan'!D30="Concept/compositional transfer","",'Evaluation Plan'!G30)</x:f>
      </x:c>
      <x:c r="G30" s="10" t="str">
        <x:f>'Evaluation Plan'!H30</x:f>
        <x:v>Put the upside-down white cup in the bowl.</x:v>
      </x:c>
      <x:c r="H30" s="10" t="str">
        <x:f>'Evaluation Plan'!I30</x:f>
        <x:v>P1 white cup A (C, UR) [STATE COMPETITOR]; P2 yellow-white striped cup A (O, UR); P3 brown cup B (C, UD); P4 white cup B (C, UD) [TARGET]</x:v>
      </x:c>
      <x:c r="I30" s="9" t="str">
        <x:f>'Evaluation Plan'!J30</x:f>
        <x:v>white cup B</x:v>
      </x:c>
      <x:c r="J30" s="9" t="str">
        <x:v>Not started</x:v>
      </x:c>
      <x:c r="K30" s="9"/>
      <x:c r="L30" s="9"/>
      <x:c r="M30" s="10"/>
    </x:row>
    <x:row r="31" ht="58" customHeight="1">
      <x:c r="A31" s="8" t="n">
        <x:f>'Evaluation Plan'!A31</x:f>
        <x:v>29</x:v>
      </x:c>
      <x:c r="B31" s="8" t="n">
        <x:f>'Evaluation Plan'!B31</x:f>
        <x:v>8</x:v>
      </x:c>
      <x:c r="C31" s="8" t="str">
        <x:f>'Evaluation Plan'!C31</x:f>
        <x:v>2 — Matched control</x:v>
      </x:c>
      <x:c r="D31" s="8" t="str">
        <x:f>'Evaluation Plan'!D31</x:f>
        <x:v>Matched manipulation control</x:v>
      </x:c>
      <x:c r="E31" s="8" t="str">
        <x:f>'Evaluation Plan'!F31</x:f>
        <x:v>SR-F08</x:v>
      </x:c>
      <x:c r="F31" s="8" t="n">
        <x:f>IF('Evaluation Plan'!D31="Concept/compositional transfer","",'Evaluation Plan'!G31)</x:f>
        <x:v>28</x:v>
      </x:c>
      <x:c r="G31" s="7" t="str">
        <x:f>'Evaluation Plan'!H31</x:f>
        <x:v>Put the white cup in the bowl.</x:v>
      </x:c>
      <x:c r="H31" s="7" t="str">
        <x:f>'Evaluation Plan'!I31</x:f>
        <x:v>P2 yellow-white striped cup A (O, UR); P3 brown cup B (C, UD); P4 white cup B (C, UD) [TARGET]</x:v>
      </x:c>
      <x:c r="I31" s="8" t="str">
        <x:f>'Evaluation Plan'!J31</x:f>
        <x:v>white cup B</x:v>
      </x:c>
      <x:c r="J31" s="8" t="str">
        <x:v>Not started</x:v>
      </x:c>
      <x:c r="K31" s="8"/>
      <x:c r="L31" s="8"/>
      <x:c r="M31" s="7"/>
    </x:row>
    <x:row r="32" ht="58" customHeight="1">
      <x:c r="A32" s="8" t="n">
        <x:f>'Evaluation Plan'!A32</x:f>
        <x:v>30</x:v>
      </x:c>
      <x:c r="B32" s="8" t="n">
        <x:f>'Evaluation Plan'!B32</x:f>
        <x:v>8</x:v>
      </x:c>
      <x:c r="C32" s="8" t="str">
        <x:f>'Evaluation Plan'!C32</x:f>
        <x:v>3 — Novel-object canonical</x:v>
      </x:c>
      <x:c r="D32" s="8" t="str">
        <x:f>'Evaluation Plan'!D32</x:f>
        <x:v>Visual generalization</x:v>
      </x:c>
      <x:c r="E32" s="8" t="str">
        <x:f>'Evaluation Plan'!F32</x:f>
        <x:v>SR-F08</x:v>
      </x:c>
      <x:c r="F32" s="8" t="n">
        <x:f>IF('Evaluation Plan'!D32="Concept/compositional transfer","",'Evaluation Plan'!G32)</x:f>
        <x:v>28</x:v>
      </x:c>
      <x:c r="G32" s="7" t="str">
        <x:f>'Evaluation Plan'!H32</x:f>
        <x:v>Put the upside-down new asymmetric container in the bowl.</x:v>
      </x:c>
      <x:c r="H32" s="7" t="str">
        <x:f>'Evaluation Plan'!I32</x:f>
        <x:v>P1 U4-A (C, UR) [STATE COMPETITOR]; P2 yellow-white striped cup A (O, UR); P3 brown cup B (C, UD); P4 U4-B (C, UD) [TARGET]</x:v>
      </x:c>
      <x:c r="I32" s="8" t="str">
        <x:f>'Evaluation Plan'!J32</x:f>
        <x:v>U4-B</x:v>
      </x:c>
      <x:c r="J32" s="8" t="str">
        <x:v>Not started</x:v>
      </x:c>
      <x:c r="K32" s="8"/>
      <x:c r="L32" s="8"/>
      <x:c r="M32" s="7"/>
    </x:row>
    <x:row r="33" ht="58" customHeight="1">
      <x:c r="A33" s="8" t="n">
        <x:f>'Evaluation Plan'!A33</x:f>
        <x:v>31</x:v>
      </x:c>
      <x:c r="B33" s="8" t="n">
        <x:f>'Evaluation Plan'!B33</x:f>
        <x:v>8</x:v>
      </x:c>
      <x:c r="C33" s="8" t="str">
        <x:f>'Evaluation Plan'!C33</x:f>
        <x:v>4 — Novel-object paraphrase</x:v>
      </x:c>
      <x:c r="D33" s="8" t="str">
        <x:f>'Evaluation Plan'!D33</x:f>
        <x:v>Language robustness</x:v>
      </x:c>
      <x:c r="E33" s="8" t="str">
        <x:f>'Evaluation Plan'!F33</x:f>
        <x:v>SR-F08</x:v>
      </x:c>
      <x:c r="F33" s="8" t="n">
        <x:f>IF('Evaluation Plan'!D33="Concept/compositional transfer","",'Evaluation Plan'!G33)</x:f>
        <x:v>30</x:v>
      </x:c>
      <x:c r="G33" s="7" t="str">
        <x:f>'Evaluation Plan'!H33</x:f>
        <x:v>Put the inverted new asymmetric container in the bowl.</x:v>
      </x:c>
      <x:c r="H33" s="7" t="str">
        <x:f>'Evaluation Plan'!I33</x:f>
        <x:v>P1 U4-A (C, UR) [STATE COMPETITOR]; P2 yellow-white striped cup A (O, UR); P3 brown cup B (C, UD); P4 U4-B (C, UD) [TARGET]</x:v>
      </x:c>
      <x:c r="I33" s="8" t="str">
        <x:f>'Evaluation Plan'!J33</x:f>
        <x:v>U4-B</x:v>
      </x:c>
      <x:c r="J33" s="8" t="str">
        <x:v>Not started</x:v>
      </x:c>
      <x:c r="K33" s="8"/>
      <x:c r="L33" s="8"/>
      <x:c r="M33" s="7"/>
    </x:row>
    <x:row r="34" ht="58" customHeight="1">
      <x:c r="A34" s="9" t="n">
        <x:f>'Evaluation Plan'!A34</x:f>
        <x:v>32</x:v>
      </x:c>
      <x:c r="B34" s="9" t="n">
        <x:f>'Evaluation Plan'!B34</x:f>
        <x:v>9</x:v>
      </x:c>
      <x:c r="C34" s="9" t="str">
        <x:f>'Evaluation Plan'!C34</x:f>
        <x:v>1 — Canonical transfer</x:v>
      </x:c>
      <x:c r="D34" s="9" t="str">
        <x:f>'Evaluation Plan'!D34</x:f>
        <x:v>Concept/compositional transfer</x:v>
      </x:c>
      <x:c r="E34" s="9" t="str">
        <x:f>'Evaluation Plan'!F34</x:f>
        <x:v>SR-F09</x:v>
      </x:c>
      <x:c r="F34" s="9" t="str">
        <x:f>IF('Evaluation Plan'!D34="Concept/compositional transfer","",'Evaluation Plan'!G34)</x:f>
      </x:c>
      <x:c r="G34" s="10" t="str">
        <x:f>'Evaluation Plan'!H34</x:f>
        <x:v>Move the closed brown cup into the bowl.</x:v>
      </x:c>
      <x:c r="H34" s="10" t="str">
        <x:f>'Evaluation Plan'!I34</x:f>
        <x:v>P1 brown cup A (C, UR) [TARGET]; P2 brown cup B (O, UR) [STATE COMPETITOR]; P3 white cup A (O, UR); P4 yellow-white striped cup B (C, UD)</x:v>
      </x:c>
      <x:c r="I34" s="9" t="str">
        <x:f>'Evaluation Plan'!J34</x:f>
        <x:v>brown cup A</x:v>
      </x:c>
      <x:c r="J34" s="9" t="str">
        <x:v>Not started</x:v>
      </x:c>
      <x:c r="K34" s="9"/>
      <x:c r="L34" s="9"/>
      <x:c r="M34" s="10"/>
    </x:row>
    <x:row r="35" ht="58" customHeight="1">
      <x:c r="A35" s="8" t="n">
        <x:f>'Evaluation Plan'!A35</x:f>
        <x:v>33</x:v>
      </x:c>
      <x:c r="B35" s="8" t="n">
        <x:f>'Evaluation Plan'!B35</x:f>
        <x:v>9</x:v>
      </x:c>
      <x:c r="C35" s="8" t="str">
        <x:f>'Evaluation Plan'!C35</x:f>
        <x:v>2 — Matched control</x:v>
      </x:c>
      <x:c r="D35" s="8" t="str">
        <x:f>'Evaluation Plan'!D35</x:f>
        <x:v>Matched manipulation control</x:v>
      </x:c>
      <x:c r="E35" s="8" t="str">
        <x:f>'Evaluation Plan'!F35</x:f>
        <x:v>SR-F09</x:v>
      </x:c>
      <x:c r="F35" s="8" t="n">
        <x:f>IF('Evaluation Plan'!D35="Concept/compositional transfer","",'Evaluation Plan'!G35)</x:f>
        <x:v>32</x:v>
      </x:c>
      <x:c r="G35" s="7" t="str">
        <x:f>'Evaluation Plan'!H35</x:f>
        <x:v>Move the brown cup into the bowl.</x:v>
      </x:c>
      <x:c r="H35" s="7" t="str">
        <x:f>'Evaluation Plan'!I35</x:f>
        <x:v>P1 brown cup A (C, UR) [TARGET]; P3 white cup A (O, UR); P4 yellow-white striped cup B (C, UD)</x:v>
      </x:c>
      <x:c r="I35" s="8" t="str">
        <x:f>'Evaluation Plan'!J35</x:f>
        <x:v>brown cup A</x:v>
      </x:c>
      <x:c r="J35" s="8" t="str">
        <x:v>Not started</x:v>
      </x:c>
      <x:c r="K35" s="8"/>
      <x:c r="L35" s="8"/>
      <x:c r="M35" s="7"/>
    </x:row>
    <x:row r="36" ht="58" customHeight="1">
      <x:c r="A36" s="8" t="n">
        <x:f>'Evaluation Plan'!A36</x:f>
        <x:v>34</x:v>
      </x:c>
      <x:c r="B36" s="8" t="n">
        <x:f>'Evaluation Plan'!B36</x:f>
        <x:v>9</x:v>
      </x:c>
      <x:c r="C36" s="8" t="str">
        <x:f>'Evaluation Plan'!C36</x:f>
        <x:v>3 — Novel-object canonical</x:v>
      </x:c>
      <x:c r="D36" s="8" t="str">
        <x:f>'Evaluation Plan'!D36</x:f>
        <x:v>Visual generalization</x:v>
      </x:c>
      <x:c r="E36" s="8" t="str">
        <x:f>'Evaluation Plan'!F36</x:f>
        <x:v>SR-F09</x:v>
      </x:c>
      <x:c r="F36" s="8" t="n">
        <x:f>IF('Evaluation Plan'!D36="Concept/compositional transfer","",'Evaluation Plan'!G36)</x:f>
        <x:v>32</x:v>
      </x:c>
      <x:c r="G36" s="7" t="str">
        <x:f>'Evaluation Plan'!H36</x:f>
        <x:v>Move the closed black cup into the bowl.</x:v>
      </x:c>
      <x:c r="H36" s="7" t="str">
        <x:f>'Evaluation Plan'!I36</x:f>
        <x:v>P1 U1-A (C, UR) [TARGET]; P2 U1-B (O, UR) [STATE COMPETITOR]; P3 white cup A (O, UR); P4 yellow-white striped cup B (C, UD)</x:v>
      </x:c>
      <x:c r="I36" s="8" t="str">
        <x:f>'Evaluation Plan'!J36</x:f>
        <x:v>U1-A</x:v>
      </x:c>
      <x:c r="J36" s="8" t="str">
        <x:v>Not started</x:v>
      </x:c>
      <x:c r="K36" s="8"/>
      <x:c r="L36" s="8"/>
      <x:c r="M36" s="7"/>
    </x:row>
    <x:row r="37" ht="58" customHeight="1">
      <x:c r="A37" s="8" t="n">
        <x:f>'Evaluation Plan'!A37</x:f>
        <x:v>35</x:v>
      </x:c>
      <x:c r="B37" s="8" t="n">
        <x:f>'Evaluation Plan'!B37</x:f>
        <x:v>9</x:v>
      </x:c>
      <x:c r="C37" s="8" t="str">
        <x:f>'Evaluation Plan'!C37</x:f>
        <x:v>4 — Novel-object paraphrase</x:v>
      </x:c>
      <x:c r="D37" s="8" t="str">
        <x:f>'Evaluation Plan'!D37</x:f>
        <x:v>Language robustness</x:v>
      </x:c>
      <x:c r="E37" s="8" t="str">
        <x:f>'Evaluation Plan'!F37</x:f>
        <x:v>SR-F09</x:v>
      </x:c>
      <x:c r="F37" s="8" t="n">
        <x:f>IF('Evaluation Plan'!D37="Concept/compositional transfer","",'Evaluation Plan'!G37)</x:f>
        <x:v>34</x:v>
      </x:c>
      <x:c r="G37" s="7" t="str">
        <x:f>'Evaluation Plan'!H37</x:f>
        <x:v>Find the closed black cup and place it in the bowl.</x:v>
      </x:c>
      <x:c r="H37" s="7" t="str">
        <x:f>'Evaluation Plan'!I37</x:f>
        <x:v>P1 U1-A (C, UR) [TARGET]; P2 U1-B (O, UR) [STATE COMPETITOR]; P3 white cup A (O, UR); P4 yellow-white striped cup B (C, UD)</x:v>
      </x:c>
      <x:c r="I37" s="8" t="str">
        <x:f>'Evaluation Plan'!J37</x:f>
        <x:v>U1-A</x:v>
      </x:c>
      <x:c r="J37" s="8" t="str">
        <x:v>Not started</x:v>
      </x:c>
      <x:c r="K37" s="8"/>
      <x:c r="L37" s="8"/>
      <x:c r="M37" s="7"/>
    </x:row>
    <x:row r="38" ht="58" customHeight="1">
      <x:c r="A38" s="9" t="n">
        <x:f>'Evaluation Plan'!A38</x:f>
        <x:v>36</x:v>
      </x:c>
      <x:c r="B38" s="9" t="n">
        <x:f>'Evaluation Plan'!B38</x:f>
        <x:v>10</x:v>
      </x:c>
      <x:c r="C38" s="9" t="str">
        <x:f>'Evaluation Plan'!C38</x:f>
        <x:v>1 — Canonical transfer</x:v>
      </x:c>
      <x:c r="D38" s="9" t="str">
        <x:f>'Evaluation Plan'!D38</x:f>
        <x:v>Concept/compositional transfer</x:v>
      </x:c>
      <x:c r="E38" s="9" t="str">
        <x:f>'Evaluation Plan'!F38</x:f>
        <x:v>SR-F10</x:v>
      </x:c>
      <x:c r="F38" s="9" t="str">
        <x:f>IF('Evaluation Plan'!D38="Concept/compositional transfer","",'Evaluation Plan'!G38)</x:f>
      </x:c>
      <x:c r="G38" s="10" t="str">
        <x:f>'Evaluation Plan'!H38</x:f>
        <x:v>Place the open glass spice container in the bowl.</x:v>
      </x:c>
      <x:c r="H38" s="10" t="str">
        <x:f>'Evaluation Plan'!I38</x:f>
        <x:v>P1 white cup B (C, UD); P2 glass spice container B (O, UD) [TARGET]; P3 glass spice container A (C, UD) [STATE COMPETITOR]; P4 yellow-white striped cup A (O, UR)</x:v>
      </x:c>
      <x:c r="I38" s="9" t="str">
        <x:f>'Evaluation Plan'!J38</x:f>
        <x:v>glass spice container B</x:v>
      </x:c>
      <x:c r="J38" s="9" t="str">
        <x:v>Not started</x:v>
      </x:c>
      <x:c r="K38" s="9"/>
      <x:c r="L38" s="9"/>
      <x:c r="M38" s="10"/>
    </x:row>
    <x:row r="39" ht="58" customHeight="1">
      <x:c r="A39" s="8" t="n">
        <x:f>'Evaluation Plan'!A39</x:f>
        <x:v>37</x:v>
      </x:c>
      <x:c r="B39" s="8" t="n">
        <x:f>'Evaluation Plan'!B39</x:f>
        <x:v>10</x:v>
      </x:c>
      <x:c r="C39" s="8" t="str">
        <x:f>'Evaluation Plan'!C39</x:f>
        <x:v>2 — Matched control</x:v>
      </x:c>
      <x:c r="D39" s="8" t="str">
        <x:f>'Evaluation Plan'!D39</x:f>
        <x:v>Matched manipulation control</x:v>
      </x:c>
      <x:c r="E39" s="8" t="str">
        <x:f>'Evaluation Plan'!F39</x:f>
        <x:v>SR-F10</x:v>
      </x:c>
      <x:c r="F39" s="8" t="n">
        <x:f>IF('Evaluation Plan'!D39="Concept/compositional transfer","",'Evaluation Plan'!G39)</x:f>
        <x:v>36</x:v>
      </x:c>
      <x:c r="G39" s="7" t="str">
        <x:f>'Evaluation Plan'!H39</x:f>
        <x:v>Place the glass spice container in the bowl.</x:v>
      </x:c>
      <x:c r="H39" s="7" t="str">
        <x:f>'Evaluation Plan'!I39</x:f>
        <x:v>P1 white cup B (C, UD); P2 glass spice container B (O, UD) [TARGET]; P4 yellow-white striped cup A (O, UR)</x:v>
      </x:c>
      <x:c r="I39" s="8" t="str">
        <x:f>'Evaluation Plan'!J39</x:f>
        <x:v>glass spice container B</x:v>
      </x:c>
      <x:c r="J39" s="8" t="str">
        <x:v>Not started</x:v>
      </x:c>
      <x:c r="K39" s="8"/>
      <x:c r="L39" s="8"/>
      <x:c r="M39" s="7"/>
    </x:row>
    <x:row r="40" ht="58" customHeight="1">
      <x:c r="A40" s="8" t="n">
        <x:f>'Evaluation Plan'!A40</x:f>
        <x:v>38</x:v>
      </x:c>
      <x:c r="B40" s="8" t="n">
        <x:f>'Evaluation Plan'!B40</x:f>
        <x:v>10</x:v>
      </x:c>
      <x:c r="C40" s="8" t="str">
        <x:f>'Evaluation Plan'!C40</x:f>
        <x:v>3 — Novel-object canonical</x:v>
      </x:c>
      <x:c r="D40" s="8" t="str">
        <x:f>'Evaluation Plan'!D40</x:f>
        <x:v>Visual generalization</x:v>
      </x:c>
      <x:c r="E40" s="8" t="str">
        <x:f>'Evaluation Plan'!F40</x:f>
        <x:v>SR-F10</x:v>
      </x:c>
      <x:c r="F40" s="8" t="n">
        <x:f>IF('Evaluation Plan'!D40="Concept/compositional transfer","",'Evaluation Plan'!G40)</x:f>
        <x:v>36</x:v>
      </x:c>
      <x:c r="G40" s="7" t="str">
        <x:f>'Evaluation Plan'!H40</x:f>
        <x:v>Place the open new lidded container in the bowl.</x:v>
      </x:c>
      <x:c r="H40" s="7" t="str">
        <x:f>'Evaluation Plan'!I40</x:f>
        <x:v>P1 white cup B (C, UD); P2 U2-B (O, UD) [TARGET]; P3 U2-A (C, UD) [STATE COMPETITOR]; P4 yellow-white striped cup A (O, UR)</x:v>
      </x:c>
      <x:c r="I40" s="8" t="str">
        <x:f>'Evaluation Plan'!J40</x:f>
        <x:v>U2-B</x:v>
      </x:c>
      <x:c r="J40" s="8" t="str">
        <x:v>Not started</x:v>
      </x:c>
      <x:c r="K40" s="8"/>
      <x:c r="L40" s="8"/>
      <x:c r="M40" s="7"/>
    </x:row>
    <x:row r="41" ht="58" customHeight="1">
      <x:c r="A41" s="8" t="n">
        <x:f>'Evaluation Plan'!A41</x:f>
        <x:v>39</x:v>
      </x:c>
      <x:c r="B41" s="8" t="n">
        <x:f>'Evaluation Plan'!B41</x:f>
        <x:v>10</x:v>
      </x:c>
      <x:c r="C41" s="8" t="str">
        <x:f>'Evaluation Plan'!C41</x:f>
        <x:v>4 — Novel-object paraphrase</x:v>
      </x:c>
      <x:c r="D41" s="8" t="str">
        <x:f>'Evaluation Plan'!D41</x:f>
        <x:v>Language robustness</x:v>
      </x:c>
      <x:c r="E41" s="8" t="str">
        <x:f>'Evaluation Plan'!F41</x:f>
        <x:v>SR-F10</x:v>
      </x:c>
      <x:c r="F41" s="8" t="n">
        <x:f>IF('Evaluation Plan'!D41="Concept/compositional transfer","",'Evaluation Plan'!G41)</x:f>
        <x:v>38</x:v>
      </x:c>
      <x:c r="G41" s="7" t="str">
        <x:f>'Evaluation Plan'!H41</x:f>
        <x:v>Find the open new lidded container and place it in the bowl.</x:v>
      </x:c>
      <x:c r="H41" s="7" t="str">
        <x:f>'Evaluation Plan'!I41</x:f>
        <x:v>P1 white cup B (C, UD); P2 U2-B (O, UD) [TARGET]; P3 U2-A (C, UD) [STATE COMPETITOR]; P4 yellow-white striped cup A (O, UR)</x:v>
      </x:c>
      <x:c r="I41" s="8" t="str">
        <x:f>'Evaluation Plan'!J41</x:f>
        <x:v>U2-B</x:v>
      </x:c>
      <x:c r="J41" s="8" t="str">
        <x:v>Not started</x:v>
      </x:c>
      <x:c r="K41" s="8"/>
      <x:c r="L41" s="8"/>
      <x:c r="M41" s="7"/>
    </x:row>
    <x:row r="42" ht="58" customHeight="1">
      <x:c r="A42" s="9" t="n">
        <x:f>'Evaluation Plan'!A42</x:f>
        <x:v>40</x:v>
      </x:c>
      <x:c r="B42" s="9" t="n">
        <x:f>'Evaluation Plan'!B42</x:f>
        <x:v>11</x:v>
      </x:c>
      <x:c r="C42" s="9" t="str">
        <x:f>'Evaluation Plan'!C42</x:f>
        <x:v>1 — Canonical transfer</x:v>
      </x:c>
      <x:c r="D42" s="9" t="str">
        <x:f>'Evaluation Plan'!D42</x:f>
        <x:v>Concept/compositional transfer</x:v>
      </x:c>
      <x:c r="E42" s="9" t="str">
        <x:f>'Evaluation Plan'!F42</x:f>
        <x:v>SR-F11</x:v>
      </x:c>
      <x:c r="F42" s="9" t="str">
        <x:f>IF('Evaluation Plan'!D42="Concept/compositional transfer","",'Evaluation Plan'!G42)</x:f>
      </x:c>
      <x:c r="G42" s="10" t="str">
        <x:f>'Evaluation Plan'!H42</x:f>
        <x:v>Put the upright white cup in the bowl.</x:v>
      </x:c>
      <x:c r="H42" s="10" t="str">
        <x:f>'Evaluation Plan'!I42</x:f>
        <x:v>P1 yellow-white striped cup A (O, UR); P2 brown cup B (C, UD); P3 white cup A (O, UR) [TARGET]; P4 white cup B (O, UD) [STATE COMPETITOR]</x:v>
      </x:c>
      <x:c r="I42" s="9" t="str">
        <x:f>'Evaluation Plan'!J42</x:f>
        <x:v>white cup A</x:v>
      </x:c>
      <x:c r="J42" s="9" t="str">
        <x:v>Not started</x:v>
      </x:c>
      <x:c r="K42" s="9"/>
      <x:c r="L42" s="9"/>
      <x:c r="M42" s="10"/>
    </x:row>
    <x:row r="43" ht="58" customHeight="1">
      <x:c r="A43" s="8" t="n">
        <x:f>'Evaluation Plan'!A43</x:f>
        <x:v>41</x:v>
      </x:c>
      <x:c r="B43" s="8" t="n">
        <x:f>'Evaluation Plan'!B43</x:f>
        <x:v>11</x:v>
      </x:c>
      <x:c r="C43" s="8" t="str">
        <x:f>'Evaluation Plan'!C43</x:f>
        <x:v>2 — Matched control</x:v>
      </x:c>
      <x:c r="D43" s="8" t="str">
        <x:f>'Evaluation Plan'!D43</x:f>
        <x:v>Matched manipulation control</x:v>
      </x:c>
      <x:c r="E43" s="8" t="str">
        <x:f>'Evaluation Plan'!F43</x:f>
        <x:v>SR-F11</x:v>
      </x:c>
      <x:c r="F43" s="8" t="n">
        <x:f>IF('Evaluation Plan'!D43="Concept/compositional transfer","",'Evaluation Plan'!G43)</x:f>
        <x:v>40</x:v>
      </x:c>
      <x:c r="G43" s="7" t="str">
        <x:f>'Evaluation Plan'!H43</x:f>
        <x:v>Put the white cup in the bowl.</x:v>
      </x:c>
      <x:c r="H43" s="7" t="str">
        <x:f>'Evaluation Plan'!I43</x:f>
        <x:v>P1 yellow-white striped cup A (O, UR); P2 brown cup B (C, UD); P3 white cup A (O, UR) [TARGET]</x:v>
      </x:c>
      <x:c r="I43" s="8" t="str">
        <x:f>'Evaluation Plan'!J43</x:f>
        <x:v>white cup A</x:v>
      </x:c>
      <x:c r="J43" s="8" t="str">
        <x:v>Not started</x:v>
      </x:c>
      <x:c r="K43" s="8"/>
      <x:c r="L43" s="8"/>
      <x:c r="M43" s="7"/>
    </x:row>
    <x:row r="44" ht="58" customHeight="1">
      <x:c r="A44" s="8" t="n">
        <x:f>'Evaluation Plan'!A44</x:f>
        <x:v>42</x:v>
      </x:c>
      <x:c r="B44" s="8" t="n">
        <x:f>'Evaluation Plan'!B44</x:f>
        <x:v>11</x:v>
      </x:c>
      <x:c r="C44" s="8" t="str">
        <x:f>'Evaluation Plan'!C44</x:f>
        <x:v>3 — Novel-object canonical</x:v>
      </x:c>
      <x:c r="D44" s="8" t="str">
        <x:f>'Evaluation Plan'!D44</x:f>
        <x:v>Visual generalization</x:v>
      </x:c>
      <x:c r="E44" s="8" t="str">
        <x:f>'Evaluation Plan'!F44</x:f>
        <x:v>SR-F11</x:v>
      </x:c>
      <x:c r="F44" s="8" t="n">
        <x:f>IF('Evaluation Plan'!D44="Concept/compositional transfer","",'Evaluation Plan'!G44)</x:f>
        <x:v>40</x:v>
      </x:c>
      <x:c r="G44" s="7" t="str">
        <x:f>'Evaluation Plan'!H44</x:f>
        <x:v>Put the upright new bottle in the bowl.</x:v>
      </x:c>
      <x:c r="H44" s="7" t="str">
        <x:f>'Evaluation Plan'!I44</x:f>
        <x:v>P1 yellow-white striped cup A (O, UR); P2 brown cup B (C, UD); P3 U3-A (O, UR) [TARGET]; P4 U3-B (O, UD) [STATE COMPETITOR]</x:v>
      </x:c>
      <x:c r="I44" s="8" t="str">
        <x:f>'Evaluation Plan'!J44</x:f>
        <x:v>U3-A</x:v>
      </x:c>
      <x:c r="J44" s="8" t="str">
        <x:v>Not started</x:v>
      </x:c>
      <x:c r="K44" s="8"/>
      <x:c r="L44" s="8"/>
      <x:c r="M44" s="7"/>
    </x:row>
    <x:row r="45" ht="58" customHeight="1">
      <x:c r="A45" s="8" t="n">
        <x:f>'Evaluation Plan'!A45</x:f>
        <x:v>43</x:v>
      </x:c>
      <x:c r="B45" s="8" t="n">
        <x:f>'Evaluation Plan'!B45</x:f>
        <x:v>11</x:v>
      </x:c>
      <x:c r="C45" s="8" t="str">
        <x:f>'Evaluation Plan'!C45</x:f>
        <x:v>4 — Novel-object paraphrase</x:v>
      </x:c>
      <x:c r="D45" s="8" t="str">
        <x:f>'Evaluation Plan'!D45</x:f>
        <x:v>Language robustness</x:v>
      </x:c>
      <x:c r="E45" s="8" t="str">
        <x:f>'Evaluation Plan'!F45</x:f>
        <x:v>SR-F11</x:v>
      </x:c>
      <x:c r="F45" s="8" t="n">
        <x:f>IF('Evaluation Plan'!D45="Concept/compositional transfer","",'Evaluation Plan'!G45)</x:f>
        <x:v>42</x:v>
      </x:c>
      <x:c r="G45" s="7" t="str">
        <x:f>'Evaluation Plan'!H45</x:f>
        <x:v>Find the upright new bottle and place it in the bowl.</x:v>
      </x:c>
      <x:c r="H45" s="7" t="str">
        <x:f>'Evaluation Plan'!I45</x:f>
        <x:v>P1 yellow-white striped cup A (O, UR); P2 brown cup B (C, UD); P3 U3-A (O, UR) [TARGET]; P4 U3-B (O, UD) [STATE COMPETITOR]</x:v>
      </x:c>
      <x:c r="I45" s="8" t="str">
        <x:f>'Evaluation Plan'!J45</x:f>
        <x:v>U3-A</x:v>
      </x:c>
      <x:c r="J45" s="8" t="str">
        <x:v>Not started</x:v>
      </x:c>
      <x:c r="K45" s="8"/>
      <x:c r="L45" s="8"/>
      <x:c r="M45" s="7"/>
    </x:row>
    <x:row r="46" ht="58" customHeight="1">
      <x:c r="A46" s="9" t="n">
        <x:f>'Evaluation Plan'!A46</x:f>
        <x:v>44</x:v>
      </x:c>
      <x:c r="B46" s="9" t="n">
        <x:f>'Evaluation Plan'!B46</x:f>
        <x:v>12</x:v>
      </x:c>
      <x:c r="C46" s="9" t="str">
        <x:f>'Evaluation Plan'!C46</x:f>
        <x:v>1 — Canonical transfer</x:v>
      </x:c>
      <x:c r="D46" s="9" t="str">
        <x:f>'Evaluation Plan'!D46</x:f>
        <x:v>Concept/compositional transfer</x:v>
      </x:c>
      <x:c r="E46" s="9" t="str">
        <x:f>'Evaluation Plan'!F46</x:f>
        <x:v>SR-F12</x:v>
      </x:c>
      <x:c r="F46" s="9" t="str">
        <x:f>IF('Evaluation Plan'!D46="Concept/compositional transfer","",'Evaluation Plan'!G46)</x:f>
      </x:c>
      <x:c r="G46" s="10" t="str">
        <x:f>'Evaluation Plan'!H46</x:f>
        <x:v>Move the upside-down yellow-white striped cup into the bowl.</x:v>
      </x:c>
      <x:c r="H46" s="10" t="str">
        <x:f>'Evaluation Plan'!I46</x:f>
        <x:v>P1 yellow-white striped cup A (C, UR) [STATE COMPETITOR]; P2 white cup A (O, UR); P3 brown cup B (C, UD); P4 yellow-white striped cup B (C, UD) [TARGET]</x:v>
      </x:c>
      <x:c r="I46" s="9" t="str">
        <x:f>'Evaluation Plan'!J46</x:f>
        <x:v>yellow-white striped cup B</x:v>
      </x:c>
      <x:c r="J46" s="9" t="str">
        <x:v>Not started</x:v>
      </x:c>
      <x:c r="K46" s="9"/>
      <x:c r="L46" s="9"/>
      <x:c r="M46" s="10"/>
    </x:row>
    <x:row r="47" ht="58" customHeight="1">
      <x:c r="A47" s="8" t="n">
        <x:f>'Evaluation Plan'!A47</x:f>
        <x:v>45</x:v>
      </x:c>
      <x:c r="B47" s="8" t="n">
        <x:f>'Evaluation Plan'!B47</x:f>
        <x:v>12</x:v>
      </x:c>
      <x:c r="C47" s="8" t="str">
        <x:f>'Evaluation Plan'!C47</x:f>
        <x:v>2 — Matched control</x:v>
      </x:c>
      <x:c r="D47" s="8" t="str">
        <x:f>'Evaluation Plan'!D47</x:f>
        <x:v>Matched manipulation control</x:v>
      </x:c>
      <x:c r="E47" s="8" t="str">
        <x:f>'Evaluation Plan'!F47</x:f>
        <x:v>SR-F12</x:v>
      </x:c>
      <x:c r="F47" s="8" t="n">
        <x:f>IF('Evaluation Plan'!D47="Concept/compositional transfer","",'Evaluation Plan'!G47)</x:f>
        <x:v>44</x:v>
      </x:c>
      <x:c r="G47" s="7" t="str">
        <x:f>'Evaluation Plan'!H47</x:f>
        <x:v>Move the yellow-white striped cup into the bowl.</x:v>
      </x:c>
      <x:c r="H47" s="7" t="str">
        <x:f>'Evaluation Plan'!I47</x:f>
        <x:v>P2 white cup A (O, UR); P3 brown cup B (C, UD); P4 yellow-white striped cup B (C, UD) [TARGET]</x:v>
      </x:c>
      <x:c r="I47" s="8" t="str">
        <x:f>'Evaluation Plan'!J47</x:f>
        <x:v>yellow-white striped cup B</x:v>
      </x:c>
      <x:c r="J47" s="8" t="str">
        <x:v>Not started</x:v>
      </x:c>
      <x:c r="K47" s="8"/>
      <x:c r="L47" s="8"/>
      <x:c r="M47" s="7"/>
    </x:row>
    <x:row r="48" ht="58" customHeight="1">
      <x:c r="A48" s="8" t="n">
        <x:f>'Evaluation Plan'!A48</x:f>
        <x:v>46</x:v>
      </x:c>
      <x:c r="B48" s="8" t="n">
        <x:f>'Evaluation Plan'!B48</x:f>
        <x:v>12</x:v>
      </x:c>
      <x:c r="C48" s="8" t="str">
        <x:f>'Evaluation Plan'!C48</x:f>
        <x:v>3 — Novel-object canonical</x:v>
      </x:c>
      <x:c r="D48" s="8" t="str">
        <x:f>'Evaluation Plan'!D48</x:f>
        <x:v>Visual generalization</x:v>
      </x:c>
      <x:c r="E48" s="8" t="str">
        <x:f>'Evaluation Plan'!F48</x:f>
        <x:v>SR-F12</x:v>
      </x:c>
      <x:c r="F48" s="8" t="n">
        <x:f>IF('Evaluation Plan'!D48="Concept/compositional transfer","",'Evaluation Plan'!G48)</x:f>
        <x:v>44</x:v>
      </x:c>
      <x:c r="G48" s="7" t="str">
        <x:f>'Evaluation Plan'!H48</x:f>
        <x:v>Move the upside-down new asymmetric container into the bowl.</x:v>
      </x:c>
      <x:c r="H48" s="7" t="str">
        <x:f>'Evaluation Plan'!I48</x:f>
        <x:v>P1 U4-A (C, UR) [STATE COMPETITOR]; P2 white cup A (O, UR); P3 brown cup B (C, UD); P4 U4-B (C, UD) [TARGET]</x:v>
      </x:c>
      <x:c r="I48" s="8" t="str">
        <x:f>'Evaluation Plan'!J48</x:f>
        <x:v>U4-B</x:v>
      </x:c>
      <x:c r="J48" s="8" t="str">
        <x:v>Not started</x:v>
      </x:c>
      <x:c r="K48" s="8"/>
      <x:c r="L48" s="8"/>
      <x:c r="M48" s="7"/>
    </x:row>
    <x:row r="49" ht="58" customHeight="1">
      <x:c r="A49" s="8" t="n">
        <x:f>'Evaluation Plan'!A49</x:f>
        <x:v>47</x:v>
      </x:c>
      <x:c r="B49" s="8" t="n">
        <x:f>'Evaluation Plan'!B49</x:f>
        <x:v>12</x:v>
      </x:c>
      <x:c r="C49" s="8" t="str">
        <x:f>'Evaluation Plan'!C49</x:f>
        <x:v>4 — Novel-object paraphrase</x:v>
      </x:c>
      <x:c r="D49" s="8" t="str">
        <x:f>'Evaluation Plan'!D49</x:f>
        <x:v>Language robustness</x:v>
      </x:c>
      <x:c r="E49" s="8" t="str">
        <x:f>'Evaluation Plan'!F49</x:f>
        <x:v>SR-F12</x:v>
      </x:c>
      <x:c r="F49" s="8" t="n">
        <x:f>IF('Evaluation Plan'!D49="Concept/compositional transfer","",'Evaluation Plan'!G49)</x:f>
        <x:v>46</x:v>
      </x:c>
      <x:c r="G49" s="7" t="str">
        <x:f>'Evaluation Plan'!H49</x:f>
        <x:v>Find the upside-down new asymmetric container and place it in the bowl.</x:v>
      </x:c>
      <x:c r="H49" s="7" t="str">
        <x:f>'Evaluation Plan'!I49</x:f>
        <x:v>P1 U4-A (C, UR) [STATE COMPETITOR]; P2 white cup A (O, UR); P3 brown cup B (C, UD); P4 U4-B (C, UD) [TARGET]</x:v>
      </x:c>
      <x:c r="I49" s="8" t="str">
        <x:f>'Evaluation Plan'!J49</x:f>
        <x:v>U4-B</x:v>
      </x:c>
      <x:c r="J49" s="8" t="str">
        <x:v>Not started</x:v>
      </x:c>
      <x:c r="K49" s="8"/>
      <x:c r="L49" s="8"/>
      <x:c r="M49" s="7"/>
    </x:row>
    <x:row r="50" ht="58" customHeight="1">
      <x:c r="A50" s="9" t="n">
        <x:f>'Evaluation Plan'!A50</x:f>
        <x:v>48</x:v>
      </x:c>
      <x:c r="B50" s="9" t="n">
        <x:f>'Evaluation Plan'!B50</x:f>
        <x:v>13</x:v>
      </x:c>
      <x:c r="C50" s="9" t="str">
        <x:f>'Evaluation Plan'!C50</x:f>
        <x:v>1 — Canonical transfer</x:v>
      </x:c>
      <x:c r="D50" s="9" t="str">
        <x:f>'Evaluation Plan'!D50</x:f>
        <x:v>Concept/compositional transfer</x:v>
      </x:c>
      <x:c r="E50" s="9" t="str">
        <x:f>'Evaluation Plan'!F50</x:f>
        <x:v>SR-F13</x:v>
      </x:c>
      <x:c r="F50" s="9" t="str">
        <x:f>IF('Evaluation Plan'!D50="Concept/compositional transfer","",'Evaluation Plan'!G50)</x:f>
      </x:c>
      <x:c r="G50" s="10" t="str">
        <x:f>'Evaluation Plan'!H50</x:f>
        <x:v>Place the closed glass spice container in the bowl.</x:v>
      </x:c>
      <x:c r="H50" s="10" t="str">
        <x:f>'Evaluation Plan'!I50</x:f>
        <x:v>P1 glass spice container A (C, UR) [TARGET]; P2 glass spice container B (O, UR) [STATE COMPETITOR]; P3 white cup A (O, UR); P4 yellow-white striped cup B (C, UD)</x:v>
      </x:c>
      <x:c r="I50" s="9" t="str">
        <x:f>'Evaluation Plan'!J50</x:f>
        <x:v>glass spice container A</x:v>
      </x:c>
      <x:c r="J50" s="9" t="str">
        <x:v>Not started</x:v>
      </x:c>
      <x:c r="K50" s="9"/>
      <x:c r="L50" s="9"/>
      <x:c r="M50" s="10"/>
    </x:row>
    <x:row r="51" ht="58" customHeight="1">
      <x:c r="A51" s="8" t="n">
        <x:f>'Evaluation Plan'!A51</x:f>
        <x:v>49</x:v>
      </x:c>
      <x:c r="B51" s="8" t="n">
        <x:f>'Evaluation Plan'!B51</x:f>
        <x:v>13</x:v>
      </x:c>
      <x:c r="C51" s="8" t="str">
        <x:f>'Evaluation Plan'!C51</x:f>
        <x:v>2 — Matched control</x:v>
      </x:c>
      <x:c r="D51" s="8" t="str">
        <x:f>'Evaluation Plan'!D51</x:f>
        <x:v>Matched manipulation control</x:v>
      </x:c>
      <x:c r="E51" s="8" t="str">
        <x:f>'Evaluation Plan'!F51</x:f>
        <x:v>SR-F13</x:v>
      </x:c>
      <x:c r="F51" s="8" t="n">
        <x:f>IF('Evaluation Plan'!D51="Concept/compositional transfer","",'Evaluation Plan'!G51)</x:f>
        <x:v>48</x:v>
      </x:c>
      <x:c r="G51" s="7" t="str">
        <x:f>'Evaluation Plan'!H51</x:f>
        <x:v>Place the glass spice container in the bowl.</x:v>
      </x:c>
      <x:c r="H51" s="7" t="str">
        <x:f>'Evaluation Plan'!I51</x:f>
        <x:v>P1 glass spice container A (C, UR) [TARGET]; P3 white cup A (O, UR); P4 yellow-white striped cup B (C, UD)</x:v>
      </x:c>
      <x:c r="I51" s="8" t="str">
        <x:f>'Evaluation Plan'!J51</x:f>
        <x:v>glass spice container A</x:v>
      </x:c>
      <x:c r="J51" s="8" t="str">
        <x:v>Not started</x:v>
      </x:c>
      <x:c r="K51" s="8"/>
      <x:c r="L51" s="8"/>
      <x:c r="M51" s="7"/>
    </x:row>
    <x:row r="52" ht="58" customHeight="1">
      <x:c r="A52" s="8" t="n">
        <x:f>'Evaluation Plan'!A52</x:f>
        <x:v>50</x:v>
      </x:c>
      <x:c r="B52" s="8" t="n">
        <x:f>'Evaluation Plan'!B52</x:f>
        <x:v>13</x:v>
      </x:c>
      <x:c r="C52" s="8" t="str">
        <x:f>'Evaluation Plan'!C52</x:f>
        <x:v>3 — Novel-object canonical</x:v>
      </x:c>
      <x:c r="D52" s="8" t="str">
        <x:f>'Evaluation Plan'!D52</x:f>
        <x:v>Visual generalization</x:v>
      </x:c>
      <x:c r="E52" s="8" t="str">
        <x:f>'Evaluation Plan'!F52</x:f>
        <x:v>SR-F13</x:v>
      </x:c>
      <x:c r="F52" s="8" t="n">
        <x:f>IF('Evaluation Plan'!D52="Concept/compositional transfer","",'Evaluation Plan'!G52)</x:f>
        <x:v>48</x:v>
      </x:c>
      <x:c r="G52" s="7" t="str">
        <x:f>'Evaluation Plan'!H52</x:f>
        <x:v>Place the closed black cup in the bowl.</x:v>
      </x:c>
      <x:c r="H52" s="7" t="str">
        <x:f>'Evaluation Plan'!I52</x:f>
        <x:v>P1 U1-A (C, UR) [TARGET]; P2 U1-B (O, UR) [STATE COMPETITOR]; P3 white cup A (O, UR); P4 yellow-white striped cup B (C, UD)</x:v>
      </x:c>
      <x:c r="I52" s="8" t="str">
        <x:f>'Evaluation Plan'!J52</x:f>
        <x:v>U1-A</x:v>
      </x:c>
      <x:c r="J52" s="8" t="str">
        <x:v>Not started</x:v>
      </x:c>
      <x:c r="K52" s="8"/>
      <x:c r="L52" s="8"/>
      <x:c r="M52" s="7"/>
    </x:row>
    <x:row r="53" ht="58" customHeight="1">
      <x:c r="A53" s="8" t="n">
        <x:f>'Evaluation Plan'!A53</x:f>
        <x:v>51</x:v>
      </x:c>
      <x:c r="B53" s="8" t="n">
        <x:f>'Evaluation Plan'!B53</x:f>
        <x:v>13</x:v>
      </x:c>
      <x:c r="C53" s="8" t="str">
        <x:f>'Evaluation Plan'!C53</x:f>
        <x:v>4 — Novel-object paraphrase</x:v>
      </x:c>
      <x:c r="D53" s="8" t="str">
        <x:f>'Evaluation Plan'!D53</x:f>
        <x:v>Language robustness</x:v>
      </x:c>
      <x:c r="E53" s="8" t="str">
        <x:f>'Evaluation Plan'!F53</x:f>
        <x:v>SR-F13</x:v>
      </x:c>
      <x:c r="F53" s="8" t="n">
        <x:f>IF('Evaluation Plan'!D53="Concept/compositional transfer","",'Evaluation Plan'!G53)</x:f>
        <x:v>50</x:v>
      </x:c>
      <x:c r="G53" s="7" t="str">
        <x:f>'Evaluation Plan'!H53</x:f>
        <x:v>Place the black cup that is not open in the bowl.</x:v>
      </x:c>
      <x:c r="H53" s="7" t="str">
        <x:f>'Evaluation Plan'!I53</x:f>
        <x:v>P1 U1-A (C, UR) [TARGET]; P2 U1-B (O, UR) [STATE COMPETITOR]; P3 white cup A (O, UR); P4 yellow-white striped cup B (C, UD)</x:v>
      </x:c>
      <x:c r="I53" s="8" t="str">
        <x:f>'Evaluation Plan'!J53</x:f>
        <x:v>U1-A</x:v>
      </x:c>
      <x:c r="J53" s="8" t="str">
        <x:v>Not started</x:v>
      </x:c>
      <x:c r="K53" s="8"/>
      <x:c r="L53" s="8"/>
      <x:c r="M53" s="7"/>
    </x:row>
    <x:row r="54" ht="58" customHeight="1">
      <x:c r="A54" s="9" t="n">
        <x:f>'Evaluation Plan'!A54</x:f>
        <x:v>52</x:v>
      </x:c>
      <x:c r="B54" s="9" t="n">
        <x:f>'Evaluation Plan'!B54</x:f>
        <x:v>14</x:v>
      </x:c>
      <x:c r="C54" s="9" t="str">
        <x:f>'Evaluation Plan'!C54</x:f>
        <x:v>1 — Canonical transfer</x:v>
      </x:c>
      <x:c r="D54" s="9" t="str">
        <x:f>'Evaluation Plan'!D54</x:f>
        <x:v>Concept/compositional transfer</x:v>
      </x:c>
      <x:c r="E54" s="9" t="str">
        <x:f>'Evaluation Plan'!F54</x:f>
        <x:v>SR-F14</x:v>
      </x:c>
      <x:c r="F54" s="9" t="str">
        <x:f>IF('Evaluation Plan'!D54="Concept/compositional transfer","",'Evaluation Plan'!G54)</x:f>
      </x:c>
      <x:c r="G54" s="10" t="str">
        <x:f>'Evaluation Plan'!H54</x:f>
        <x:v>Put the open white cup in the bowl.</x:v>
      </x:c>
      <x:c r="H54" s="10" t="str">
        <x:f>'Evaluation Plan'!I54</x:f>
        <x:v>P1 yellow-white striped cup B (C, UD); P2 white cup B (O, UD) [TARGET]; P3 white cup A (C, UD) [STATE COMPETITOR]; P4 brown cup A (O, UR)</x:v>
      </x:c>
      <x:c r="I54" s="9" t="str">
        <x:f>'Evaluation Plan'!J54</x:f>
        <x:v>white cup B</x:v>
      </x:c>
      <x:c r="J54" s="9" t="str">
        <x:v>Not started</x:v>
      </x:c>
      <x:c r="K54" s="9"/>
      <x:c r="L54" s="9"/>
      <x:c r="M54" s="10"/>
    </x:row>
    <x:row r="55" ht="58" customHeight="1">
      <x:c r="A55" s="8" t="n">
        <x:f>'Evaluation Plan'!A55</x:f>
        <x:v>53</x:v>
      </x:c>
      <x:c r="B55" s="8" t="n">
        <x:f>'Evaluation Plan'!B55</x:f>
        <x:v>14</x:v>
      </x:c>
      <x:c r="C55" s="8" t="str">
        <x:f>'Evaluation Plan'!C55</x:f>
        <x:v>2 — Matched control</x:v>
      </x:c>
      <x:c r="D55" s="8" t="str">
        <x:f>'Evaluation Plan'!D55</x:f>
        <x:v>Matched manipulation control</x:v>
      </x:c>
      <x:c r="E55" s="8" t="str">
        <x:f>'Evaluation Plan'!F55</x:f>
        <x:v>SR-F14</x:v>
      </x:c>
      <x:c r="F55" s="8" t="n">
        <x:f>IF('Evaluation Plan'!D55="Concept/compositional transfer","",'Evaluation Plan'!G55)</x:f>
        <x:v>52</x:v>
      </x:c>
      <x:c r="G55" s="7" t="str">
        <x:f>'Evaluation Plan'!H55</x:f>
        <x:v>Put the white cup in the bowl.</x:v>
      </x:c>
      <x:c r="H55" s="7" t="str">
        <x:f>'Evaluation Plan'!I55</x:f>
        <x:v>P1 yellow-white striped cup B (C, UD); P2 white cup B (O, UD) [TARGET]; P4 brown cup A (O, UR)</x:v>
      </x:c>
      <x:c r="I55" s="8" t="str">
        <x:f>'Evaluation Plan'!J55</x:f>
        <x:v>white cup B</x:v>
      </x:c>
      <x:c r="J55" s="8" t="str">
        <x:v>Not started</x:v>
      </x:c>
      <x:c r="K55" s="8"/>
      <x:c r="L55" s="8"/>
      <x:c r="M55" s="7"/>
    </x:row>
    <x:row r="56" ht="58" customHeight="1">
      <x:c r="A56" s="8" t="n">
        <x:f>'Evaluation Plan'!A56</x:f>
        <x:v>54</x:v>
      </x:c>
      <x:c r="B56" s="8" t="n">
        <x:f>'Evaluation Plan'!B56</x:f>
        <x:v>14</x:v>
      </x:c>
      <x:c r="C56" s="8" t="str">
        <x:f>'Evaluation Plan'!C56</x:f>
        <x:v>3 — Novel-object canonical</x:v>
      </x:c>
      <x:c r="D56" s="8" t="str">
        <x:f>'Evaluation Plan'!D56</x:f>
        <x:v>Visual generalization</x:v>
      </x:c>
      <x:c r="E56" s="8" t="str">
        <x:f>'Evaluation Plan'!F56</x:f>
        <x:v>SR-F14</x:v>
      </x:c>
      <x:c r="F56" s="8" t="n">
        <x:f>IF('Evaluation Plan'!D56="Concept/compositional transfer","",'Evaluation Plan'!G56)</x:f>
        <x:v>52</x:v>
      </x:c>
      <x:c r="G56" s="7" t="str">
        <x:f>'Evaluation Plan'!H56</x:f>
        <x:v>Put the open new lidded container in the bowl.</x:v>
      </x:c>
      <x:c r="H56" s="7" t="str">
        <x:f>'Evaluation Plan'!I56</x:f>
        <x:v>P1 yellow-white striped cup B (C, UD); P2 U2-B (O, UD) [TARGET]; P3 U2-A (C, UD) [STATE COMPETITOR]; P4 brown cup A (O, UR)</x:v>
      </x:c>
      <x:c r="I56" s="8" t="str">
        <x:f>'Evaluation Plan'!J56</x:f>
        <x:v>U2-B</x:v>
      </x:c>
      <x:c r="J56" s="8" t="str">
        <x:v>Not started</x:v>
      </x:c>
      <x:c r="K56" s="8"/>
      <x:c r="L56" s="8"/>
      <x:c r="M56" s="7"/>
    </x:row>
    <x:row r="57" ht="58" customHeight="1">
      <x:c r="A57" s="8" t="n">
        <x:f>'Evaluation Plan'!A57</x:f>
        <x:v>55</x:v>
      </x:c>
      <x:c r="B57" s="8" t="n">
        <x:f>'Evaluation Plan'!B57</x:f>
        <x:v>14</x:v>
      </x:c>
      <x:c r="C57" s="8" t="str">
        <x:f>'Evaluation Plan'!C57</x:f>
        <x:v>4 — Novel-object paraphrase</x:v>
      </x:c>
      <x:c r="D57" s="8" t="str">
        <x:f>'Evaluation Plan'!D57</x:f>
        <x:v>Language robustness</x:v>
      </x:c>
      <x:c r="E57" s="8" t="str">
        <x:f>'Evaluation Plan'!F57</x:f>
        <x:v>SR-F14</x:v>
      </x:c>
      <x:c r="F57" s="8" t="n">
        <x:f>IF('Evaluation Plan'!D57="Concept/compositional transfer","",'Evaluation Plan'!G57)</x:f>
        <x:v>54</x:v>
      </x:c>
      <x:c r="G57" s="7" t="str">
        <x:f>'Evaluation Plan'!H57</x:f>
        <x:v>Place the new lidded container that is not closed in the bowl.</x:v>
      </x:c>
      <x:c r="H57" s="7" t="str">
        <x:f>'Evaluation Plan'!I57</x:f>
        <x:v>P1 yellow-white striped cup B (C, UD); P2 U2-B (O, UD) [TARGET]; P3 U2-A (C, UD) [STATE COMPETITOR]; P4 brown cup A (O, UR)</x:v>
      </x:c>
      <x:c r="I57" s="8" t="str">
        <x:f>'Evaluation Plan'!J57</x:f>
        <x:v>U2-B</x:v>
      </x:c>
      <x:c r="J57" s="8" t="str">
        <x:v>Not started</x:v>
      </x:c>
      <x:c r="K57" s="8"/>
      <x:c r="L57" s="8"/>
      <x:c r="M57" s="7"/>
    </x:row>
    <x:row r="58" ht="58" customHeight="1">
      <x:c r="A58" s="9" t="n">
        <x:f>'Evaluation Plan'!A58</x:f>
        <x:v>56</x:v>
      </x:c>
      <x:c r="B58" s="9" t="n">
        <x:f>'Evaluation Plan'!B58</x:f>
        <x:v>15</x:v>
      </x:c>
      <x:c r="C58" s="9" t="str">
        <x:f>'Evaluation Plan'!C58</x:f>
        <x:v>1 — Canonical transfer</x:v>
      </x:c>
      <x:c r="D58" s="9" t="str">
        <x:f>'Evaluation Plan'!D58</x:f>
        <x:v>Concept/compositional transfer</x:v>
      </x:c>
      <x:c r="E58" s="9" t="str">
        <x:f>'Evaluation Plan'!F58</x:f>
        <x:v>SR-F15</x:v>
      </x:c>
      <x:c r="F58" s="9" t="str">
        <x:f>IF('Evaluation Plan'!D58="Concept/compositional transfer","",'Evaluation Plan'!G58)</x:f>
      </x:c>
      <x:c r="G58" s="10" t="str">
        <x:f>'Evaluation Plan'!H58</x:f>
        <x:v>Move the upright yellow-white striped cup into the bowl.</x:v>
      </x:c>
      <x:c r="H58" s="10" t="str">
        <x:f>'Evaluation Plan'!I58</x:f>
        <x:v>P1 white cup A (O, UR); P2 brown cup B (C, UD); P3 yellow-white striped cup A (O, UR) [TARGET]; P4 yellow-white striped cup B (O, UD) [STATE COMPETITOR]</x:v>
      </x:c>
      <x:c r="I58" s="9" t="str">
        <x:f>'Evaluation Plan'!J58</x:f>
        <x:v>yellow-white striped cup A</x:v>
      </x:c>
      <x:c r="J58" s="9" t="str">
        <x:v>Not started</x:v>
      </x:c>
      <x:c r="K58" s="9"/>
      <x:c r="L58" s="9"/>
      <x:c r="M58" s="10"/>
    </x:row>
    <x:row r="59" ht="58" customHeight="1">
      <x:c r="A59" s="8" t="n">
        <x:f>'Evaluation Plan'!A59</x:f>
        <x:v>57</x:v>
      </x:c>
      <x:c r="B59" s="8" t="n">
        <x:f>'Evaluation Plan'!B59</x:f>
        <x:v>15</x:v>
      </x:c>
      <x:c r="C59" s="8" t="str">
        <x:f>'Evaluation Plan'!C59</x:f>
        <x:v>2 — Matched control</x:v>
      </x:c>
      <x:c r="D59" s="8" t="str">
        <x:f>'Evaluation Plan'!D59</x:f>
        <x:v>Matched manipulation control</x:v>
      </x:c>
      <x:c r="E59" s="8" t="str">
        <x:f>'Evaluation Plan'!F59</x:f>
        <x:v>SR-F15</x:v>
      </x:c>
      <x:c r="F59" s="8" t="n">
        <x:f>IF('Evaluation Plan'!D59="Concept/compositional transfer","",'Evaluation Plan'!G59)</x:f>
        <x:v>56</x:v>
      </x:c>
      <x:c r="G59" s="7" t="str">
        <x:f>'Evaluation Plan'!H59</x:f>
        <x:v>Move the yellow-white striped cup into the bowl.</x:v>
      </x:c>
      <x:c r="H59" s="7" t="str">
        <x:f>'Evaluation Plan'!I59</x:f>
        <x:v>P1 white cup A (O, UR); P2 brown cup B (C, UD); P3 yellow-white striped cup A (O, UR) [TARGET]</x:v>
      </x:c>
      <x:c r="I59" s="8" t="str">
        <x:f>'Evaluation Plan'!J59</x:f>
        <x:v>yellow-white striped cup A</x:v>
      </x:c>
      <x:c r="J59" s="8" t="str">
        <x:v>Not started</x:v>
      </x:c>
      <x:c r="K59" s="8"/>
      <x:c r="L59" s="8"/>
      <x:c r="M59" s="7"/>
    </x:row>
    <x:row r="60" ht="58" customHeight="1">
      <x:c r="A60" s="8" t="n">
        <x:f>'Evaluation Plan'!A60</x:f>
        <x:v>58</x:v>
      </x:c>
      <x:c r="B60" s="8" t="n">
        <x:f>'Evaluation Plan'!B60</x:f>
        <x:v>15</x:v>
      </x:c>
      <x:c r="C60" s="8" t="str">
        <x:f>'Evaluation Plan'!C60</x:f>
        <x:v>3 — Novel-object canonical</x:v>
      </x:c>
      <x:c r="D60" s="8" t="str">
        <x:f>'Evaluation Plan'!D60</x:f>
        <x:v>Visual generalization</x:v>
      </x:c>
      <x:c r="E60" s="8" t="str">
        <x:f>'Evaluation Plan'!F60</x:f>
        <x:v>SR-F15</x:v>
      </x:c>
      <x:c r="F60" s="8" t="n">
        <x:f>IF('Evaluation Plan'!D60="Concept/compositional transfer","",'Evaluation Plan'!G60)</x:f>
        <x:v>56</x:v>
      </x:c>
      <x:c r="G60" s="7" t="str">
        <x:f>'Evaluation Plan'!H60</x:f>
        <x:v>Move the upright new bottle into the bowl.</x:v>
      </x:c>
      <x:c r="H60" s="7" t="str">
        <x:f>'Evaluation Plan'!I60</x:f>
        <x:v>P1 white cup A (O, UR); P2 brown cup B (C, UD); P3 U3-A (O, UR) [TARGET]; P4 U3-B (O, UD) [STATE COMPETITOR]</x:v>
      </x:c>
      <x:c r="I60" s="8" t="str">
        <x:f>'Evaluation Plan'!J60</x:f>
        <x:v>U3-A</x:v>
      </x:c>
      <x:c r="J60" s="8" t="str">
        <x:v>Not started</x:v>
      </x:c>
      <x:c r="K60" s="8"/>
      <x:c r="L60" s="8"/>
      <x:c r="M60" s="7"/>
    </x:row>
    <x:row r="61" ht="58" customHeight="1">
      <x:c r="A61" s="8" t="n">
        <x:f>'Evaluation Plan'!A61</x:f>
        <x:v>59</x:v>
      </x:c>
      <x:c r="B61" s="8" t="n">
        <x:f>'Evaluation Plan'!B61</x:f>
        <x:v>15</x:v>
      </x:c>
      <x:c r="C61" s="8" t="str">
        <x:f>'Evaluation Plan'!C61</x:f>
        <x:v>4 — Novel-object paraphrase</x:v>
      </x:c>
      <x:c r="D61" s="8" t="str">
        <x:f>'Evaluation Plan'!D61</x:f>
        <x:v>Language robustness</x:v>
      </x:c>
      <x:c r="E61" s="8" t="str">
        <x:f>'Evaluation Plan'!F61</x:f>
        <x:v>SR-F15</x:v>
      </x:c>
      <x:c r="F61" s="8" t="n">
        <x:f>IF('Evaluation Plan'!D61="Concept/compositional transfer","",'Evaluation Plan'!G61)</x:f>
        <x:v>58</x:v>
      </x:c>
      <x:c r="G61" s="7" t="str">
        <x:f>'Evaluation Plan'!H61</x:f>
        <x:v>Place the new bottle that is not overturned in the bowl.</x:v>
      </x:c>
      <x:c r="H61" s="7" t="str">
        <x:f>'Evaluation Plan'!I61</x:f>
        <x:v>P1 white cup A (O, UR); P2 brown cup B (C, UD); P3 U3-A (O, UR) [TARGET]; P4 U3-B (O, UD) [STATE COMPETITOR]</x:v>
      </x:c>
      <x:c r="I61" s="8" t="str">
        <x:f>'Evaluation Plan'!J61</x:f>
        <x:v>U3-A</x:v>
      </x:c>
      <x:c r="J61" s="8" t="str">
        <x:v>Not started</x:v>
      </x:c>
      <x:c r="K61" s="8"/>
      <x:c r="L61" s="8"/>
      <x:c r="M61" s="7"/>
    </x:row>
    <x:row r="62" ht="58" customHeight="1">
      <x:c r="A62" s="9" t="n">
        <x:f>'Evaluation Plan'!A62</x:f>
        <x:v>60</x:v>
      </x:c>
      <x:c r="B62" s="9" t="n">
        <x:f>'Evaluation Plan'!B62</x:f>
        <x:v>16</x:v>
      </x:c>
      <x:c r="C62" s="9" t="str">
        <x:f>'Evaluation Plan'!C62</x:f>
        <x:v>1 — Canonical transfer</x:v>
      </x:c>
      <x:c r="D62" s="9" t="str">
        <x:f>'Evaluation Plan'!D62</x:f>
        <x:v>Concept/compositional transfer</x:v>
      </x:c>
      <x:c r="E62" s="9" t="str">
        <x:f>'Evaluation Plan'!F62</x:f>
        <x:v>SR-F16</x:v>
      </x:c>
      <x:c r="F62" s="9" t="str">
        <x:f>IF('Evaluation Plan'!D62="Concept/compositional transfer","",'Evaluation Plan'!G62)</x:f>
      </x:c>
      <x:c r="G62" s="10" t="str">
        <x:f>'Evaluation Plan'!H62</x:f>
        <x:v>Place the upside-down brown cup in the bowl.</x:v>
      </x:c>
      <x:c r="H62" s="10" t="str">
        <x:f>'Evaluation Plan'!I62</x:f>
        <x:v>P1 brown cup A (C, UR) [STATE COMPETITOR]; P2 white cup A (O, UR); P3 yellow-white striped cup B (C, UD); P4 brown cup B (C, UD) [TARGET]</x:v>
      </x:c>
      <x:c r="I62" s="9" t="str">
        <x:f>'Evaluation Plan'!J62</x:f>
        <x:v>brown cup B</x:v>
      </x:c>
      <x:c r="J62" s="9" t="str">
        <x:v>Not started</x:v>
      </x:c>
      <x:c r="K62" s="9"/>
      <x:c r="L62" s="9"/>
      <x:c r="M62" s="10"/>
    </x:row>
    <x:row r="63" ht="58" customHeight="1">
      <x:c r="A63" s="8" t="n">
        <x:f>'Evaluation Plan'!A63</x:f>
        <x:v>61</x:v>
      </x:c>
      <x:c r="B63" s="8" t="n">
        <x:f>'Evaluation Plan'!B63</x:f>
        <x:v>16</x:v>
      </x:c>
      <x:c r="C63" s="8" t="str">
        <x:f>'Evaluation Plan'!C63</x:f>
        <x:v>2 — Matched control</x:v>
      </x:c>
      <x:c r="D63" s="8" t="str">
        <x:f>'Evaluation Plan'!D63</x:f>
        <x:v>Matched manipulation control</x:v>
      </x:c>
      <x:c r="E63" s="8" t="str">
        <x:f>'Evaluation Plan'!F63</x:f>
        <x:v>SR-F16</x:v>
      </x:c>
      <x:c r="F63" s="8" t="n">
        <x:f>IF('Evaluation Plan'!D63="Concept/compositional transfer","",'Evaluation Plan'!G63)</x:f>
        <x:v>60</x:v>
      </x:c>
      <x:c r="G63" s="7" t="str">
        <x:f>'Evaluation Plan'!H63</x:f>
        <x:v>Place the brown cup in the bowl.</x:v>
      </x:c>
      <x:c r="H63" s="7" t="str">
        <x:f>'Evaluation Plan'!I63</x:f>
        <x:v>P2 white cup A (O, UR); P3 yellow-white striped cup B (C, UD); P4 brown cup B (C, UD) [TARGET]</x:v>
      </x:c>
      <x:c r="I63" s="8" t="str">
        <x:f>'Evaluation Plan'!J63</x:f>
        <x:v>brown cup B</x:v>
      </x:c>
      <x:c r="J63" s="8" t="str">
        <x:v>Not started</x:v>
      </x:c>
      <x:c r="K63" s="8"/>
      <x:c r="L63" s="8"/>
      <x:c r="M63" s="7"/>
    </x:row>
    <x:row r="64" ht="58" customHeight="1">
      <x:c r="A64" s="8" t="n">
        <x:f>'Evaluation Plan'!A64</x:f>
        <x:v>62</x:v>
      </x:c>
      <x:c r="B64" s="8" t="n">
        <x:f>'Evaluation Plan'!B64</x:f>
        <x:v>16</x:v>
      </x:c>
      <x:c r="C64" s="8" t="str">
        <x:f>'Evaluation Plan'!C64</x:f>
        <x:v>3 — Novel-object canonical</x:v>
      </x:c>
      <x:c r="D64" s="8" t="str">
        <x:f>'Evaluation Plan'!D64</x:f>
        <x:v>Visual generalization</x:v>
      </x:c>
      <x:c r="E64" s="8" t="str">
        <x:f>'Evaluation Plan'!F64</x:f>
        <x:v>SR-F16</x:v>
      </x:c>
      <x:c r="F64" s="8" t="n">
        <x:f>IF('Evaluation Plan'!D64="Concept/compositional transfer","",'Evaluation Plan'!G64)</x:f>
        <x:v>60</x:v>
      </x:c>
      <x:c r="G64" s="7" t="str">
        <x:f>'Evaluation Plan'!H64</x:f>
        <x:v>Place the upside-down new asymmetric container in the bowl.</x:v>
      </x:c>
      <x:c r="H64" s="7" t="str">
        <x:f>'Evaluation Plan'!I64</x:f>
        <x:v>P1 U4-A (C, UR) [STATE COMPETITOR]; P2 white cup A (O, UR); P3 yellow-white striped cup B (C, UD); P4 U4-B (C, UD) [TARGET]</x:v>
      </x:c>
      <x:c r="I64" s="8" t="str">
        <x:f>'Evaluation Plan'!J64</x:f>
        <x:v>U4-B</x:v>
      </x:c>
      <x:c r="J64" s="8" t="str">
        <x:v>Not started</x:v>
      </x:c>
      <x:c r="K64" s="8"/>
      <x:c r="L64" s="8"/>
      <x:c r="M64" s="7"/>
    </x:row>
    <x:row r="65" ht="58" customHeight="1">
      <x:c r="A65" s="8" t="n">
        <x:f>'Evaluation Plan'!A65</x:f>
        <x:v>63</x:v>
      </x:c>
      <x:c r="B65" s="8" t="n">
        <x:f>'Evaluation Plan'!B65</x:f>
        <x:v>16</x:v>
      </x:c>
      <x:c r="C65" s="8" t="str">
        <x:f>'Evaluation Plan'!C65</x:f>
        <x:v>4 — Novel-object paraphrase</x:v>
      </x:c>
      <x:c r="D65" s="8" t="str">
        <x:f>'Evaluation Plan'!D65</x:f>
        <x:v>Language robustness</x:v>
      </x:c>
      <x:c r="E65" s="8" t="str">
        <x:f>'Evaluation Plan'!F65</x:f>
        <x:v>SR-F16</x:v>
      </x:c>
      <x:c r="F65" s="8" t="n">
        <x:f>IF('Evaluation Plan'!D65="Concept/compositional transfer","",'Evaluation Plan'!G65)</x:f>
        <x:v>62</x:v>
      </x:c>
      <x:c r="G65" s="7" t="str">
        <x:f>'Evaluation Plan'!H65</x:f>
        <x:v>Place the overturned new asymmetric container in the bowl.</x:v>
      </x:c>
      <x:c r="H65" s="7" t="str">
        <x:f>'Evaluation Plan'!I65</x:f>
        <x:v>P1 U4-A (C, UR) [STATE COMPETITOR]; P2 white cup A (O, UR); P3 yellow-white striped cup B (C, UD); P4 U4-B (C, UD) [TARGET]</x:v>
      </x:c>
      <x:c r="I65" s="8" t="str">
        <x:f>'Evaluation Plan'!J65</x:f>
        <x:v>U4-B</x:v>
      </x:c>
      <x:c r="J65" s="8" t="str">
        <x:v>Not started</x:v>
      </x:c>
      <x:c r="K65" s="8"/>
      <x:c r="L65" s="8"/>
      <x:c r="M65" s="7"/>
    </x:row>
    <x:row r="66" ht="58" customHeight="1">
      <x:c r="A66" s="9" t="n">
        <x:f>'Evaluation Plan'!A66</x:f>
        <x:v>64</x:v>
      </x:c>
      <x:c r="B66" s="9" t="n">
        <x:f>'Evaluation Plan'!B66</x:f>
        <x:v>17</x:v>
      </x:c>
      <x:c r="C66" s="9" t="str">
        <x:f>'Evaluation Plan'!C66</x:f>
        <x:v>1 — Canonical transfer</x:v>
      </x:c>
      <x:c r="D66" s="9" t="str">
        <x:f>'Evaluation Plan'!D66</x:f>
        <x:v>Concept/compositional transfer</x:v>
      </x:c>
      <x:c r="E66" s="9" t="str">
        <x:f>'Evaluation Plan'!F66</x:f>
        <x:v>SR-F17</x:v>
      </x:c>
      <x:c r="F66" s="9" t="str">
        <x:f>IF('Evaluation Plan'!D66="Concept/compositional transfer","",'Evaluation Plan'!G66)</x:f>
      </x:c>
      <x:c r="G66" s="10" t="str">
        <x:f>'Evaluation Plan'!H66</x:f>
        <x:v>Put the closed white cup in the bowl.</x:v>
      </x:c>
      <x:c r="H66" s="10" t="str">
        <x:f>'Evaluation Plan'!I66</x:f>
        <x:v>P1 white cup A (C, UR) [TARGET]; P2 white cup B (O, UR) [STATE COMPETITOR]; P3 yellow-white striped cup A (O, UR); P4 brown cup B (C, UD)</x:v>
      </x:c>
      <x:c r="I66" s="9" t="str">
        <x:f>'Evaluation Plan'!J66</x:f>
        <x:v>white cup A</x:v>
      </x:c>
      <x:c r="J66" s="9" t="str">
        <x:v>Not started</x:v>
      </x:c>
      <x:c r="K66" s="9"/>
      <x:c r="L66" s="9"/>
      <x:c r="M66" s="10"/>
    </x:row>
    <x:row r="67" ht="58" customHeight="1">
      <x:c r="A67" s="8" t="n">
        <x:f>'Evaluation Plan'!A67</x:f>
        <x:v>65</x:v>
      </x:c>
      <x:c r="B67" s="8" t="n">
        <x:f>'Evaluation Plan'!B67</x:f>
        <x:v>17</x:v>
      </x:c>
      <x:c r="C67" s="8" t="str">
        <x:f>'Evaluation Plan'!C67</x:f>
        <x:v>2 — Matched control</x:v>
      </x:c>
      <x:c r="D67" s="8" t="str">
        <x:f>'Evaluation Plan'!D67</x:f>
        <x:v>Matched manipulation control</x:v>
      </x:c>
      <x:c r="E67" s="8" t="str">
        <x:f>'Evaluation Plan'!F67</x:f>
        <x:v>SR-F17</x:v>
      </x:c>
      <x:c r="F67" s="8" t="n">
        <x:f>IF('Evaluation Plan'!D67="Concept/compositional transfer","",'Evaluation Plan'!G67)</x:f>
        <x:v>64</x:v>
      </x:c>
      <x:c r="G67" s="7" t="str">
        <x:f>'Evaluation Plan'!H67</x:f>
        <x:v>Put the white cup in the bowl.</x:v>
      </x:c>
      <x:c r="H67" s="7" t="str">
        <x:f>'Evaluation Plan'!I67</x:f>
        <x:v>P1 white cup A (C, UR) [TARGET]; P3 yellow-white striped cup A (O, UR); P4 brown cup B (C, UD)</x:v>
      </x:c>
      <x:c r="I67" s="8" t="str">
        <x:f>'Evaluation Plan'!J67</x:f>
        <x:v>white cup A</x:v>
      </x:c>
      <x:c r="J67" s="8" t="str">
        <x:v>Not started</x:v>
      </x:c>
      <x:c r="K67" s="8"/>
      <x:c r="L67" s="8"/>
      <x:c r="M67" s="7"/>
    </x:row>
    <x:row r="68" ht="58" customHeight="1">
      <x:c r="A68" s="8" t="n">
        <x:f>'Evaluation Plan'!A68</x:f>
        <x:v>66</x:v>
      </x:c>
      <x:c r="B68" s="8" t="n">
        <x:f>'Evaluation Plan'!B68</x:f>
        <x:v>17</x:v>
      </x:c>
      <x:c r="C68" s="8" t="str">
        <x:f>'Evaluation Plan'!C68</x:f>
        <x:v>3 — Novel-object canonical</x:v>
      </x:c>
      <x:c r="D68" s="8" t="str">
        <x:f>'Evaluation Plan'!D68</x:f>
        <x:v>Visual generalization</x:v>
      </x:c>
      <x:c r="E68" s="8" t="str">
        <x:f>'Evaluation Plan'!F68</x:f>
        <x:v>SR-F17</x:v>
      </x:c>
      <x:c r="F68" s="8" t="n">
        <x:f>IF('Evaluation Plan'!D68="Concept/compositional transfer","",'Evaluation Plan'!G68)</x:f>
        <x:v>64</x:v>
      </x:c>
      <x:c r="G68" s="7" t="str">
        <x:f>'Evaluation Plan'!H68</x:f>
        <x:v>Put the closed black cup in the bowl.</x:v>
      </x:c>
      <x:c r="H68" s="7" t="str">
        <x:f>'Evaluation Plan'!I68</x:f>
        <x:v>P1 U1-A (C, UR) [TARGET]; P2 U1-B (O, UR) [STATE COMPETITOR]; P3 yellow-white striped cup A (O, UR); P4 brown cup B (C, UD)</x:v>
      </x:c>
      <x:c r="I68" s="8" t="str">
        <x:f>'Evaluation Plan'!J68</x:f>
        <x:v>U1-A</x:v>
      </x:c>
      <x:c r="J68" s="8" t="str">
        <x:v>Not started</x:v>
      </x:c>
      <x:c r="K68" s="8"/>
      <x:c r="L68" s="8"/>
      <x:c r="M68" s="7"/>
    </x:row>
    <x:row r="69" ht="58" customHeight="1">
      <x:c r="A69" s="8" t="n">
        <x:f>'Evaluation Plan'!A69</x:f>
        <x:v>67</x:v>
      </x:c>
      <x:c r="B69" s="8" t="n">
        <x:f>'Evaluation Plan'!B69</x:f>
        <x:v>17</x:v>
      </x:c>
      <x:c r="C69" s="8" t="str">
        <x:f>'Evaluation Plan'!C69</x:f>
        <x:v>4 — Novel-object paraphrase</x:v>
      </x:c>
      <x:c r="D69" s="8" t="str">
        <x:f>'Evaluation Plan'!D69</x:f>
        <x:v>Language robustness</x:v>
      </x:c>
      <x:c r="E69" s="8" t="str">
        <x:f>'Evaluation Plan'!F69</x:f>
        <x:v>SR-F17</x:v>
      </x:c>
      <x:c r="F69" s="8" t="n">
        <x:f>IF('Evaluation Plan'!D69="Concept/compositional transfer","",'Evaluation Plan'!G69)</x:f>
        <x:v>66</x:v>
      </x:c>
      <x:c r="G69" s="7" t="str">
        <x:f>'Evaluation Plan'!H69</x:f>
        <x:v>Move the closed black cup into the bowl.</x:v>
      </x:c>
      <x:c r="H69" s="7" t="str">
        <x:f>'Evaluation Plan'!I69</x:f>
        <x:v>P1 U1-A (C, UR) [TARGET]; P2 U1-B (O, UR) [STATE COMPETITOR]; P3 yellow-white striped cup A (O, UR); P4 brown cup B (C, UD)</x:v>
      </x:c>
      <x:c r="I69" s="8" t="str">
        <x:f>'Evaluation Plan'!J69</x:f>
        <x:v>U1-A</x:v>
      </x:c>
      <x:c r="J69" s="8" t="str">
        <x:v>Not started</x:v>
      </x:c>
      <x:c r="K69" s="8"/>
      <x:c r="L69" s="8"/>
      <x:c r="M69" s="7"/>
    </x:row>
    <x:row r="70" ht="58" customHeight="1">
      <x:c r="A70" s="9" t="n">
        <x:f>'Evaluation Plan'!A70</x:f>
        <x:v>68</x:v>
      </x:c>
      <x:c r="B70" s="9" t="n">
        <x:f>'Evaluation Plan'!B70</x:f>
        <x:v>18</x:v>
      </x:c>
      <x:c r="C70" s="9" t="str">
        <x:f>'Evaluation Plan'!C70</x:f>
        <x:v>1 — Canonical transfer</x:v>
      </x:c>
      <x:c r="D70" s="9" t="str">
        <x:f>'Evaluation Plan'!D70</x:f>
        <x:v>Concept/compositional transfer</x:v>
      </x:c>
      <x:c r="E70" s="9" t="str">
        <x:f>'Evaluation Plan'!F70</x:f>
        <x:v>SR-F18</x:v>
      </x:c>
      <x:c r="F70" s="9" t="str">
        <x:f>IF('Evaluation Plan'!D70="Concept/compositional transfer","",'Evaluation Plan'!G70)</x:f>
      </x:c>
      <x:c r="G70" s="10" t="str">
        <x:f>'Evaluation Plan'!H70</x:f>
        <x:v>Move the open yellow-white striped cup into the bowl.</x:v>
      </x:c>
      <x:c r="H70" s="10" t="str">
        <x:f>'Evaluation Plan'!I70</x:f>
        <x:v>P1 white cup B (C, UD); P2 yellow-white striped cup B (O, UD) [TARGET]; P3 yellow-white striped cup A (C, UD) [STATE COMPETITOR]; P4 brown cup A (O, UR)</x:v>
      </x:c>
      <x:c r="I70" s="9" t="str">
        <x:f>'Evaluation Plan'!J70</x:f>
        <x:v>yellow-white striped cup B</x:v>
      </x:c>
      <x:c r="J70" s="9" t="str">
        <x:v>Not started</x:v>
      </x:c>
      <x:c r="K70" s="9"/>
      <x:c r="L70" s="9"/>
      <x:c r="M70" s="10"/>
    </x:row>
    <x:row r="71" ht="58" customHeight="1">
      <x:c r="A71" s="8" t="n">
        <x:f>'Evaluation Plan'!A71</x:f>
        <x:v>69</x:v>
      </x:c>
      <x:c r="B71" s="8" t="n">
        <x:f>'Evaluation Plan'!B71</x:f>
        <x:v>18</x:v>
      </x:c>
      <x:c r="C71" s="8" t="str">
        <x:f>'Evaluation Plan'!C71</x:f>
        <x:v>2 — Matched control</x:v>
      </x:c>
      <x:c r="D71" s="8" t="str">
        <x:f>'Evaluation Plan'!D71</x:f>
        <x:v>Matched manipulation control</x:v>
      </x:c>
      <x:c r="E71" s="8" t="str">
        <x:f>'Evaluation Plan'!F71</x:f>
        <x:v>SR-F18</x:v>
      </x:c>
      <x:c r="F71" s="8" t="n">
        <x:f>IF('Evaluation Plan'!D71="Concept/compositional transfer","",'Evaluation Plan'!G71)</x:f>
        <x:v>68</x:v>
      </x:c>
      <x:c r="G71" s="7" t="str">
        <x:f>'Evaluation Plan'!H71</x:f>
        <x:v>Move the yellow-white striped cup into the bowl.</x:v>
      </x:c>
      <x:c r="H71" s="7" t="str">
        <x:f>'Evaluation Plan'!I71</x:f>
        <x:v>P1 white cup B (C, UD); P2 yellow-white striped cup B (O, UD) [TARGET]; P4 brown cup A (O, UR)</x:v>
      </x:c>
      <x:c r="I71" s="8" t="str">
        <x:f>'Evaluation Plan'!J71</x:f>
        <x:v>yellow-white striped cup B</x:v>
      </x:c>
      <x:c r="J71" s="8" t="str">
        <x:v>Not started</x:v>
      </x:c>
      <x:c r="K71" s="8"/>
      <x:c r="L71" s="8"/>
      <x:c r="M71" s="7"/>
    </x:row>
    <x:row r="72" ht="58" customHeight="1">
      <x:c r="A72" s="8" t="n">
        <x:f>'Evaluation Plan'!A72</x:f>
        <x:v>70</x:v>
      </x:c>
      <x:c r="B72" s="8" t="n">
        <x:f>'Evaluation Plan'!B72</x:f>
        <x:v>18</x:v>
      </x:c>
      <x:c r="C72" s="8" t="str">
        <x:f>'Evaluation Plan'!C72</x:f>
        <x:v>3 — Novel-object canonical</x:v>
      </x:c>
      <x:c r="D72" s="8" t="str">
        <x:f>'Evaluation Plan'!D72</x:f>
        <x:v>Visual generalization</x:v>
      </x:c>
      <x:c r="E72" s="8" t="str">
        <x:f>'Evaluation Plan'!F72</x:f>
        <x:v>SR-F18</x:v>
      </x:c>
      <x:c r="F72" s="8" t="n">
        <x:f>IF('Evaluation Plan'!D72="Concept/compositional transfer","",'Evaluation Plan'!G72)</x:f>
        <x:v>68</x:v>
      </x:c>
      <x:c r="G72" s="7" t="str">
        <x:f>'Evaluation Plan'!H72</x:f>
        <x:v>Move the open new lidded container into the bowl.</x:v>
      </x:c>
      <x:c r="H72" s="7" t="str">
        <x:f>'Evaluation Plan'!I72</x:f>
        <x:v>P1 white cup B (C, UD); P2 U2-B (O, UD) [TARGET]; P3 U2-A (C, UD) [STATE COMPETITOR]; P4 brown cup A (O, UR)</x:v>
      </x:c>
      <x:c r="I72" s="8" t="str">
        <x:f>'Evaluation Plan'!J72</x:f>
        <x:v>U2-B</x:v>
      </x:c>
      <x:c r="J72" s="8" t="str">
        <x:v>Not started</x:v>
      </x:c>
      <x:c r="K72" s="8"/>
      <x:c r="L72" s="8"/>
      <x:c r="M72" s="7"/>
    </x:row>
    <x:row r="73" ht="58" customHeight="1">
      <x:c r="A73" s="8" t="n">
        <x:f>'Evaluation Plan'!A73</x:f>
        <x:v>71</x:v>
      </x:c>
      <x:c r="B73" s="8" t="n">
        <x:f>'Evaluation Plan'!B73</x:f>
        <x:v>18</x:v>
      </x:c>
      <x:c r="C73" s="8" t="str">
        <x:f>'Evaluation Plan'!C73</x:f>
        <x:v>4 — Novel-object paraphrase</x:v>
      </x:c>
      <x:c r="D73" s="8" t="str">
        <x:f>'Evaluation Plan'!D73</x:f>
        <x:v>Language robustness</x:v>
      </x:c>
      <x:c r="E73" s="8" t="str">
        <x:f>'Evaluation Plan'!F73</x:f>
        <x:v>SR-F18</x:v>
      </x:c>
      <x:c r="F73" s="8" t="n">
        <x:f>IF('Evaluation Plan'!D73="Concept/compositional transfer","",'Evaluation Plan'!G73)</x:f>
        <x:v>70</x:v>
      </x:c>
      <x:c r="G73" s="7" t="str">
        <x:f>'Evaluation Plan'!H73</x:f>
        <x:v>Move the open new lidded container into the bowl.</x:v>
      </x:c>
      <x:c r="H73" s="7" t="str">
        <x:f>'Evaluation Plan'!I73</x:f>
        <x:v>P1 white cup B (C, UD); P2 U2-B (O, UD) [TARGET]; P3 U2-A (C, UD) [STATE COMPETITOR]; P4 brown cup A (O, UR)</x:v>
      </x:c>
      <x:c r="I73" s="8" t="str">
        <x:f>'Evaluation Plan'!J73</x:f>
        <x:v>U2-B</x:v>
      </x:c>
      <x:c r="J73" s="8" t="str">
        <x:v>Not started</x:v>
      </x:c>
      <x:c r="K73" s="8"/>
      <x:c r="L73" s="8"/>
      <x:c r="M73" s="7"/>
    </x:row>
    <x:row r="74" ht="58" customHeight="1">
      <x:c r="A74" s="9" t="n">
        <x:f>'Evaluation Plan'!A74</x:f>
        <x:v>72</x:v>
      </x:c>
      <x:c r="B74" s="9" t="n">
        <x:f>'Evaluation Plan'!B74</x:f>
        <x:v>19</x:v>
      </x:c>
      <x:c r="C74" s="9" t="str">
        <x:f>'Evaluation Plan'!C74</x:f>
        <x:v>1 — Canonical transfer</x:v>
      </x:c>
      <x:c r="D74" s="9" t="str">
        <x:f>'Evaluation Plan'!D74</x:f>
        <x:v>Concept/compositional transfer</x:v>
      </x:c>
      <x:c r="E74" s="9" t="str">
        <x:f>'Evaluation Plan'!F74</x:f>
        <x:v>SR-F19</x:v>
      </x:c>
      <x:c r="F74" s="9" t="str">
        <x:f>IF('Evaluation Plan'!D74="Concept/compositional transfer","",'Evaluation Plan'!G74)</x:f>
      </x:c>
      <x:c r="G74" s="10" t="str">
        <x:f>'Evaluation Plan'!H74</x:f>
        <x:v>Place the upright brown cup in the bowl.</x:v>
      </x:c>
      <x:c r="H74" s="10" t="str">
        <x:f>'Evaluation Plan'!I74</x:f>
        <x:v>P1 white cup A (O, UR); P2 yellow-white striped cup B (C, UD); P3 brown cup A (O, UR) [TARGET]; P4 brown cup B (O, UD) [STATE COMPETITOR]</x:v>
      </x:c>
      <x:c r="I74" s="9" t="str">
        <x:f>'Evaluation Plan'!J74</x:f>
        <x:v>brown cup A</x:v>
      </x:c>
      <x:c r="J74" s="9" t="str">
        <x:v>Not started</x:v>
      </x:c>
      <x:c r="K74" s="9"/>
      <x:c r="L74" s="9"/>
      <x:c r="M74" s="10"/>
    </x:row>
    <x:row r="75" ht="58" customHeight="1">
      <x:c r="A75" s="8" t="n">
        <x:f>'Evaluation Plan'!A75</x:f>
        <x:v>73</x:v>
      </x:c>
      <x:c r="B75" s="8" t="n">
        <x:f>'Evaluation Plan'!B75</x:f>
        <x:v>19</x:v>
      </x:c>
      <x:c r="C75" s="8" t="str">
        <x:f>'Evaluation Plan'!C75</x:f>
        <x:v>2 — Matched control</x:v>
      </x:c>
      <x:c r="D75" s="8" t="str">
        <x:f>'Evaluation Plan'!D75</x:f>
        <x:v>Matched manipulation control</x:v>
      </x:c>
      <x:c r="E75" s="8" t="str">
        <x:f>'Evaluation Plan'!F75</x:f>
        <x:v>SR-F19</x:v>
      </x:c>
      <x:c r="F75" s="8" t="n">
        <x:f>IF('Evaluation Plan'!D75="Concept/compositional transfer","",'Evaluation Plan'!G75)</x:f>
        <x:v>72</x:v>
      </x:c>
      <x:c r="G75" s="7" t="str">
        <x:f>'Evaluation Plan'!H75</x:f>
        <x:v>Place the brown cup in the bowl.</x:v>
      </x:c>
      <x:c r="H75" s="7" t="str">
        <x:f>'Evaluation Plan'!I75</x:f>
        <x:v>P1 white cup A (O, UR); P2 yellow-white striped cup B (C, UD); P3 brown cup A (O, UR) [TARGET]</x:v>
      </x:c>
      <x:c r="I75" s="8" t="str">
        <x:f>'Evaluation Plan'!J75</x:f>
        <x:v>brown cup A</x:v>
      </x:c>
      <x:c r="J75" s="8" t="str">
        <x:v>Not started</x:v>
      </x:c>
      <x:c r="K75" s="8"/>
      <x:c r="L75" s="8"/>
      <x:c r="M75" s="7"/>
    </x:row>
    <x:row r="76" ht="58" customHeight="1">
      <x:c r="A76" s="8" t="n">
        <x:f>'Evaluation Plan'!A76</x:f>
        <x:v>74</x:v>
      </x:c>
      <x:c r="B76" s="8" t="n">
        <x:f>'Evaluation Plan'!B76</x:f>
        <x:v>19</x:v>
      </x:c>
      <x:c r="C76" s="8" t="str">
        <x:f>'Evaluation Plan'!C76</x:f>
        <x:v>3 — Novel-object canonical</x:v>
      </x:c>
      <x:c r="D76" s="8" t="str">
        <x:f>'Evaluation Plan'!D76</x:f>
        <x:v>Visual generalization</x:v>
      </x:c>
      <x:c r="E76" s="8" t="str">
        <x:f>'Evaluation Plan'!F76</x:f>
        <x:v>SR-F19</x:v>
      </x:c>
      <x:c r="F76" s="8" t="n">
        <x:f>IF('Evaluation Plan'!D76="Concept/compositional transfer","",'Evaluation Plan'!G76)</x:f>
        <x:v>72</x:v>
      </x:c>
      <x:c r="G76" s="7" t="str">
        <x:f>'Evaluation Plan'!H76</x:f>
        <x:v>Place the upright new bottle in the bowl.</x:v>
      </x:c>
      <x:c r="H76" s="7" t="str">
        <x:f>'Evaluation Plan'!I76</x:f>
        <x:v>P1 white cup A (O, UR); P2 yellow-white striped cup B (C, UD); P3 U3-A (O, UR) [TARGET]; P4 U3-B (O, UD) [STATE COMPETITOR]</x:v>
      </x:c>
      <x:c r="I76" s="8" t="str">
        <x:f>'Evaluation Plan'!J76</x:f>
        <x:v>U3-A</x:v>
      </x:c>
      <x:c r="J76" s="8" t="str">
        <x:v>Not started</x:v>
      </x:c>
      <x:c r="K76" s="8"/>
      <x:c r="L76" s="8"/>
      <x:c r="M76" s="7"/>
    </x:row>
    <x:row r="77" ht="58" customHeight="1">
      <x:c r="A77" s="8" t="n">
        <x:f>'Evaluation Plan'!A77</x:f>
        <x:v>75</x:v>
      </x:c>
      <x:c r="B77" s="8" t="n">
        <x:f>'Evaluation Plan'!B77</x:f>
        <x:v>19</x:v>
      </x:c>
      <x:c r="C77" s="8" t="str">
        <x:f>'Evaluation Plan'!C77</x:f>
        <x:v>4 — Novel-object paraphrase</x:v>
      </x:c>
      <x:c r="D77" s="8" t="str">
        <x:f>'Evaluation Plan'!D77</x:f>
        <x:v>Language robustness</x:v>
      </x:c>
      <x:c r="E77" s="8" t="str">
        <x:f>'Evaluation Plan'!F77</x:f>
        <x:v>SR-F19</x:v>
      </x:c>
      <x:c r="F77" s="8" t="n">
        <x:f>IF('Evaluation Plan'!D77="Concept/compositional transfer","",'Evaluation Plan'!G77)</x:f>
        <x:v>74</x:v>
      </x:c>
      <x:c r="G77" s="7" t="str">
        <x:f>'Evaluation Plan'!H77</x:f>
        <x:v>Move the upright new bottle into the bowl.</x:v>
      </x:c>
      <x:c r="H77" s="7" t="str">
        <x:f>'Evaluation Plan'!I77</x:f>
        <x:v>P1 white cup A (O, UR); P2 yellow-white striped cup B (C, UD); P3 U3-A (O, UR) [TARGET]; P4 U3-B (O, UD) [STATE COMPETITOR]</x:v>
      </x:c>
      <x:c r="I77" s="8" t="str">
        <x:f>'Evaluation Plan'!J77</x:f>
        <x:v>U3-A</x:v>
      </x:c>
      <x:c r="J77" s="8" t="str">
        <x:v>Not started</x:v>
      </x:c>
      <x:c r="K77" s="8"/>
      <x:c r="L77" s="8"/>
      <x:c r="M77" s="7"/>
    </x:row>
    <x:row r="78" ht="58" customHeight="1">
      <x:c r="A78" s="9" t="n">
        <x:f>'Evaluation Plan'!A78</x:f>
        <x:v>76</x:v>
      </x:c>
      <x:c r="B78" s="9" t="n">
        <x:f>'Evaluation Plan'!B78</x:f>
        <x:v>20</x:v>
      </x:c>
      <x:c r="C78" s="9" t="str">
        <x:f>'Evaluation Plan'!C78</x:f>
        <x:v>1 — Canonical transfer</x:v>
      </x:c>
      <x:c r="D78" s="9" t="str">
        <x:f>'Evaluation Plan'!D78</x:f>
        <x:v>Concept/compositional transfer</x:v>
      </x:c>
      <x:c r="E78" s="9" t="str">
        <x:f>'Evaluation Plan'!F78</x:f>
        <x:v>SR-F20</x:v>
      </x:c>
      <x:c r="F78" s="9" t="str">
        <x:f>IF('Evaluation Plan'!D78="Concept/compositional transfer","",'Evaluation Plan'!G78)</x:f>
      </x:c>
      <x:c r="G78" s="10" t="str">
        <x:f>'Evaluation Plan'!H78</x:f>
        <x:v>Put the upside-down glass spice container in the bowl.</x:v>
      </x:c>
      <x:c r="H78" s="10" t="str">
        <x:f>'Evaluation Plan'!I78</x:f>
        <x:v>P1 glass spice container A (C, UR) [STATE COMPETITOR]; P2 white cup A (O, UR); P3 yellow-white striped cup B (C, UD); P4 glass spice container B (C, UD) [TARGET]</x:v>
      </x:c>
      <x:c r="I78" s="9" t="str">
        <x:f>'Evaluation Plan'!J78</x:f>
        <x:v>glass spice container B</x:v>
      </x:c>
      <x:c r="J78" s="9" t="str">
        <x:v>Not started</x:v>
      </x:c>
      <x:c r="K78" s="9"/>
      <x:c r="L78" s="9"/>
      <x:c r="M78" s="10"/>
    </x:row>
    <x:row r="79" ht="58" customHeight="1">
      <x:c r="A79" s="8" t="n">
        <x:f>'Evaluation Plan'!A79</x:f>
        <x:v>77</x:v>
      </x:c>
      <x:c r="B79" s="8" t="n">
        <x:f>'Evaluation Plan'!B79</x:f>
        <x:v>20</x:v>
      </x:c>
      <x:c r="C79" s="8" t="str">
        <x:f>'Evaluation Plan'!C79</x:f>
        <x:v>2 — Matched control</x:v>
      </x:c>
      <x:c r="D79" s="8" t="str">
        <x:f>'Evaluation Plan'!D79</x:f>
        <x:v>Matched manipulation control</x:v>
      </x:c>
      <x:c r="E79" s="8" t="str">
        <x:f>'Evaluation Plan'!F79</x:f>
        <x:v>SR-F20</x:v>
      </x:c>
      <x:c r="F79" s="8" t="n">
        <x:f>IF('Evaluation Plan'!D79="Concept/compositional transfer","",'Evaluation Plan'!G79)</x:f>
        <x:v>76</x:v>
      </x:c>
      <x:c r="G79" s="7" t="str">
        <x:f>'Evaluation Plan'!H79</x:f>
        <x:v>Put the glass spice container in the bowl.</x:v>
      </x:c>
      <x:c r="H79" s="7" t="str">
        <x:f>'Evaluation Plan'!I79</x:f>
        <x:v>P2 white cup A (O, UR); P3 yellow-white striped cup B (C, UD); P4 glass spice container B (C, UD) [TARGET]</x:v>
      </x:c>
      <x:c r="I79" s="8" t="str">
        <x:f>'Evaluation Plan'!J79</x:f>
        <x:v>glass spice container B</x:v>
      </x:c>
      <x:c r="J79" s="8" t="str">
        <x:v>Not started</x:v>
      </x:c>
      <x:c r="K79" s="8"/>
      <x:c r="L79" s="8"/>
      <x:c r="M79" s="7"/>
    </x:row>
    <x:row r="80" ht="58" customHeight="1">
      <x:c r="A80" s="8" t="n">
        <x:f>'Evaluation Plan'!A80</x:f>
        <x:v>78</x:v>
      </x:c>
      <x:c r="B80" s="8" t="n">
        <x:f>'Evaluation Plan'!B80</x:f>
        <x:v>20</x:v>
      </x:c>
      <x:c r="C80" s="8" t="str">
        <x:f>'Evaluation Plan'!C80</x:f>
        <x:v>3 — Novel-object canonical</x:v>
      </x:c>
      <x:c r="D80" s="8" t="str">
        <x:f>'Evaluation Plan'!D80</x:f>
        <x:v>Visual generalization</x:v>
      </x:c>
      <x:c r="E80" s="8" t="str">
        <x:f>'Evaluation Plan'!F80</x:f>
        <x:v>SR-F20</x:v>
      </x:c>
      <x:c r="F80" s="8" t="n">
        <x:f>IF('Evaluation Plan'!D80="Concept/compositional transfer","",'Evaluation Plan'!G80)</x:f>
        <x:v>76</x:v>
      </x:c>
      <x:c r="G80" s="7" t="str">
        <x:f>'Evaluation Plan'!H80</x:f>
        <x:v>Put the upside-down new asymmetric container in the bowl.</x:v>
      </x:c>
      <x:c r="H80" s="7" t="str">
        <x:f>'Evaluation Plan'!I80</x:f>
        <x:v>P1 U4-A (C, UR) [STATE COMPETITOR]; P2 white cup A (O, UR); P3 yellow-white striped cup B (C, UD); P4 U4-B (C, UD) [TARGET]</x:v>
      </x:c>
      <x:c r="I80" s="8" t="str">
        <x:f>'Evaluation Plan'!J80</x:f>
        <x:v>U4-B</x:v>
      </x:c>
      <x:c r="J80" s="8" t="str">
        <x:v>Not started</x:v>
      </x:c>
      <x:c r="K80" s="8"/>
      <x:c r="L80" s="8"/>
      <x:c r="M80" s="7"/>
    </x:row>
    <x:row r="81" ht="58" customHeight="1">
      <x:c r="A81" s="8" t="n">
        <x:f>'Evaluation Plan'!A81</x:f>
        <x:v>79</x:v>
      </x:c>
      <x:c r="B81" s="8" t="n">
        <x:f>'Evaluation Plan'!B81</x:f>
        <x:v>20</x:v>
      </x:c>
      <x:c r="C81" s="8" t="str">
        <x:f>'Evaluation Plan'!C81</x:f>
        <x:v>4 — Novel-object paraphrase</x:v>
      </x:c>
      <x:c r="D81" s="8" t="str">
        <x:f>'Evaluation Plan'!D81</x:f>
        <x:v>Language robustness</x:v>
      </x:c>
      <x:c r="E81" s="8" t="str">
        <x:f>'Evaluation Plan'!F81</x:f>
        <x:v>SR-F20</x:v>
      </x:c>
      <x:c r="F81" s="8" t="n">
        <x:f>IF('Evaluation Plan'!D81="Concept/compositional transfer","",'Evaluation Plan'!G81)</x:f>
        <x:v>78</x:v>
      </x:c>
      <x:c r="G81" s="7" t="str">
        <x:f>'Evaluation Plan'!H81</x:f>
        <x:v>Move the upside-down new asymmetric container into the bowl.</x:v>
      </x:c>
      <x:c r="H81" s="7" t="str">
        <x:f>'Evaluation Plan'!I81</x:f>
        <x:v>P1 U4-A (C, UR) [STATE COMPETITOR]; P2 white cup A (O, UR); P3 yellow-white striped cup B (C, UD); P4 U4-B (C, UD) [TARGET]</x:v>
      </x:c>
      <x:c r="I81" s="8" t="str">
        <x:f>'Evaluation Plan'!J81</x:f>
        <x:v>U4-B</x:v>
      </x:c>
      <x:c r="J81" s="8" t="str">
        <x:v>Not started</x:v>
      </x:c>
      <x:c r="K81" s="8"/>
      <x:c r="L81" s="8"/>
      <x:c r="M81" s="7"/>
    </x:row>
    <x:row r="82" ht="58" customHeight="1">
      <x:c r="A82" s="8" t="n">
        <x:f>'Evaluation Plan'!A82</x:f>
        <x:v>80</x:v>
      </x:c>
      <x:c r="B82" s="8" t="n">
        <x:f>'Evaluation Plan'!B82</x:f>
        <x:v>21</x:v>
      </x:c>
      <x:c r="C82" s="8" t="str">
        <x:f>'Evaluation Plan'!C82</x:f>
        <x:v>Additional transfer</x:v>
      </x:c>
      <x:c r="D82" s="8" t="str">
        <x:f>'Evaluation Plan'!D82</x:f>
        <x:v>Concept/compositional transfer</x:v>
      </x:c>
      <x:c r="E82" s="8" t="str">
        <x:f>'Evaluation Plan'!F82</x:f>
        <x:v>SR-X01</x:v>
      </x:c>
      <x:c r="F82" s="8" t="str">
        <x:f>IF('Evaluation Plan'!D82="Concept/compositional transfer","",'Evaluation Plan'!G82)</x:f>
      </x:c>
      <x:c r="G82" s="7" t="str">
        <x:f>'Evaluation Plan'!H82</x:f>
        <x:v>Move the closed yellow-white striped cup into the bowl.</x:v>
      </x:c>
      <x:c r="H82" s="7" t="str">
        <x:f>'Evaluation Plan'!I82</x:f>
        <x:v>P1 yellow-white striped cup A (C, UR) [TARGET]; P2 yellow-white striped cup B (O, UR) [STATE COMPETITOR]; P3 white cup A (O, UR); P4 brown cup B (C, UD)</x:v>
      </x:c>
      <x:c r="I82" s="8" t="str">
        <x:f>'Evaluation Plan'!J82</x:f>
        <x:v>yellow-white striped cup A</x:v>
      </x:c>
      <x:c r="J82" s="8" t="str">
        <x:v>Not started</x:v>
      </x:c>
      <x:c r="K82" s="8"/>
      <x:c r="L82" s="8"/>
      <x:c r="M82" s="7"/>
    </x:row>
    <x:row r="83" ht="58" customHeight="1">
      <x:c r="A83" s="8" t="n">
        <x:f>'Evaluation Plan'!A83</x:f>
        <x:v>81</x:v>
      </x:c>
      <x:c r="B83" s="8" t="n">
        <x:f>'Evaluation Plan'!B83</x:f>
        <x:v>22</x:v>
      </x:c>
      <x:c r="C83" s="8" t="str">
        <x:f>'Evaluation Plan'!C83</x:f>
        <x:v>Additional transfer</x:v>
      </x:c>
      <x:c r="D83" s="8" t="str">
        <x:f>'Evaluation Plan'!D83</x:f>
        <x:v>Concept/compositional transfer</x:v>
      </x:c>
      <x:c r="E83" s="8" t="str">
        <x:f>'Evaluation Plan'!F83</x:f>
        <x:v>SR-X02</x:v>
      </x:c>
      <x:c r="F83" s="8" t="str">
        <x:f>IF('Evaluation Plan'!D83="Concept/compositional transfer","",'Evaluation Plan'!G83)</x:f>
      </x:c>
      <x:c r="G83" s="7" t="str">
        <x:f>'Evaluation Plan'!H83</x:f>
        <x:v>Place the closed brown cup in the bowl.</x:v>
      </x:c>
      <x:c r="H83" s="7" t="str">
        <x:f>'Evaluation Plan'!I83</x:f>
        <x:v>P1 white cup B (C, UD); P2 brown cup B (C, UD) [TARGET]; P3 brown cup A (O, UD) [STATE COMPETITOR]; P4 yellow-white striped cup A (O, UR)</x:v>
      </x:c>
      <x:c r="I83" s="8" t="str">
        <x:f>'Evaluation Plan'!J83</x:f>
        <x:v>brown cup B</x:v>
      </x:c>
      <x:c r="J83" s="8" t="str">
        <x:v>Not started</x:v>
      </x:c>
      <x:c r="K83" s="8"/>
      <x:c r="L83" s="8"/>
      <x:c r="M83" s="7"/>
    </x:row>
    <x:row r="84" ht="58" customHeight="1">
      <x:c r="A84" s="8" t="n">
        <x:f>'Evaluation Plan'!A84</x:f>
        <x:v>82</x:v>
      </x:c>
      <x:c r="B84" s="8" t="n">
        <x:f>'Evaluation Plan'!B84</x:f>
        <x:v>23</x:v>
      </x:c>
      <x:c r="C84" s="8" t="str">
        <x:f>'Evaluation Plan'!C84</x:f>
        <x:v>Additional transfer</x:v>
      </x:c>
      <x:c r="D84" s="8" t="str">
        <x:f>'Evaluation Plan'!D84</x:f>
        <x:v>Concept/compositional transfer</x:v>
      </x:c>
      <x:c r="E84" s="8" t="str">
        <x:f>'Evaluation Plan'!F84</x:f>
        <x:v>SR-X03</x:v>
      </x:c>
      <x:c r="F84" s="8" t="str">
        <x:f>IF('Evaluation Plan'!D84="Concept/compositional transfer","",'Evaluation Plan'!G84)</x:f>
      </x:c>
      <x:c r="G84" s="7" t="str">
        <x:f>'Evaluation Plan'!H84</x:f>
        <x:v>Put the closed glass spice container in the bowl.</x:v>
      </x:c>
      <x:c r="H84" s="7" t="str">
        <x:f>'Evaluation Plan'!I84</x:f>
        <x:v>P1 white cup A (O, UR); P2 yellow-white striped cup B (C, UD); P3 glass spice container A (C, UR) [TARGET]; P4 glass spice container B (O, UR) [STATE COMPETITOR]</x:v>
      </x:c>
      <x:c r="I84" s="8" t="str">
        <x:f>'Evaluation Plan'!J84</x:f>
        <x:v>glass spice container A</x:v>
      </x:c>
      <x:c r="J84" s="8" t="str">
        <x:v>Not started</x:v>
      </x:c>
      <x:c r="K84" s="8"/>
      <x:c r="L84" s="8"/>
      <x:c r="M84" s="7"/>
    </x:row>
    <x:row r="85" ht="58" customHeight="1">
      <x:c r="A85" s="8" t="n">
        <x:f>'Evaluation Plan'!A85</x:f>
        <x:v>83</x:v>
      </x:c>
      <x:c r="B85" s="8" t="n">
        <x:f>'Evaluation Plan'!B85</x:f>
        <x:v>24</x:v>
      </x:c>
      <x:c r="C85" s="8" t="str">
        <x:f>'Evaluation Plan'!C85</x:f>
        <x:v>Additional transfer</x:v>
      </x:c>
      <x:c r="D85" s="8" t="str">
        <x:f>'Evaluation Plan'!D85</x:f>
        <x:v>Concept/compositional transfer</x:v>
      </x:c>
      <x:c r="E85" s="8" t="str">
        <x:f>'Evaluation Plan'!F85</x:f>
        <x:v>SR-X04</x:v>
      </x:c>
      <x:c r="F85" s="8" t="str">
        <x:f>IF('Evaluation Plan'!D85="Concept/compositional transfer","",'Evaluation Plan'!G85)</x:f>
      </x:c>
      <x:c r="G85" s="7" t="str">
        <x:f>'Evaluation Plan'!H85</x:f>
        <x:v>Move the closed white cup into the bowl.</x:v>
      </x:c>
      <x:c r="H85" s="7" t="str">
        <x:f>'Evaluation Plan'!I85</x:f>
        <x:v>P1 white cup A (O, UD) [STATE COMPETITOR]; P2 yellow-white striped cup A (O, UR); P3 brown cup B (C, UD); P4 white cup B (C, UD) [TARGET]</x:v>
      </x:c>
      <x:c r="I85" s="8" t="str">
        <x:f>'Evaluation Plan'!J85</x:f>
        <x:v>white cup B</x:v>
      </x:c>
      <x:c r="J85" s="8" t="str">
        <x:v>Not started</x:v>
      </x:c>
      <x:c r="K85" s="8"/>
      <x:c r="L85" s="8"/>
      <x:c r="M85" s="7"/>
    </x:row>
    <x:row r="86" ht="58" customHeight="1">
      <x:c r="A86" s="8" t="n">
        <x:f>'Evaluation Plan'!A86</x:f>
        <x:v>84</x:v>
      </x:c>
      <x:c r="B86" s="8" t="n">
        <x:f>'Evaluation Plan'!B86</x:f>
        <x:v>25</x:v>
      </x:c>
      <x:c r="C86" s="8" t="str">
        <x:f>'Evaluation Plan'!C86</x:f>
        <x:v>Additional transfer</x:v>
      </x:c>
      <x:c r="D86" s="8" t="str">
        <x:f>'Evaluation Plan'!D86</x:f>
        <x:v>Concept/compositional transfer</x:v>
      </x:c>
      <x:c r="E86" s="8" t="str">
        <x:f>'Evaluation Plan'!F86</x:f>
        <x:v>SR-X05</x:v>
      </x:c>
      <x:c r="F86" s="8" t="str">
        <x:f>IF('Evaluation Plan'!D86="Concept/compositional transfer","",'Evaluation Plan'!G86)</x:f>
      </x:c>
      <x:c r="G86" s="7" t="str">
        <x:f>'Evaluation Plan'!H86</x:f>
        <x:v>Place the closed yellow-white striped cup in the bowl.</x:v>
      </x:c>
      <x:c r="H86" s="7" t="str">
        <x:f>'Evaluation Plan'!I86</x:f>
        <x:v>P1 yellow-white striped cup A (C, UR) [TARGET]; P2 yellow-white striped cup B (O, UR) [STATE COMPETITOR]; P3 white cup A (O, UR); P4 brown cup B (C, UD)</x:v>
      </x:c>
      <x:c r="I86" s="8" t="str">
        <x:f>'Evaluation Plan'!J86</x:f>
        <x:v>yellow-white striped cup A</x:v>
      </x:c>
      <x:c r="J86" s="8" t="str">
        <x:v>Not started</x:v>
      </x:c>
      <x:c r="K86" s="8"/>
      <x:c r="L86" s="8"/>
      <x:c r="M86" s="7"/>
    </x:row>
    <x:row r="87" ht="58" customHeight="1">
      <x:c r="A87" s="8" t="n">
        <x:f>'Evaluation Plan'!A87</x:f>
        <x:v>85</x:v>
      </x:c>
      <x:c r="B87" s="8" t="n">
        <x:f>'Evaluation Plan'!B87</x:f>
        <x:v>26</x:v>
      </x:c>
      <x:c r="C87" s="8" t="str">
        <x:f>'Evaluation Plan'!C87</x:f>
        <x:v>Additional transfer</x:v>
      </x:c>
      <x:c r="D87" s="8" t="str">
        <x:f>'Evaluation Plan'!D87</x:f>
        <x:v>Concept/compositional transfer</x:v>
      </x:c>
      <x:c r="E87" s="8" t="str">
        <x:f>'Evaluation Plan'!F87</x:f>
        <x:v>SR-X06</x:v>
      </x:c>
      <x:c r="F87" s="8" t="str">
        <x:f>IF('Evaluation Plan'!D87="Concept/compositional transfer","",'Evaluation Plan'!G87)</x:f>
      </x:c>
      <x:c r="G87" s="7" t="str">
        <x:f>'Evaluation Plan'!H87</x:f>
        <x:v>Put the closed brown cup in the bowl.</x:v>
      </x:c>
      <x:c r="H87" s="7" t="str">
        <x:f>'Evaluation Plan'!I87</x:f>
        <x:v>P1 white cup B (C, UD); P2 brown cup B (C, UD) [TARGET]; P3 brown cup A (O, UD) [STATE COMPETITOR]; P4 yellow-white striped cup A (O, UR)</x:v>
      </x:c>
      <x:c r="I87" s="8" t="str">
        <x:f>'Evaluation Plan'!J87</x:f>
        <x:v>brown cup B</x:v>
      </x:c>
      <x:c r="J87" s="8" t="str">
        <x:v>Not started</x:v>
      </x:c>
      <x:c r="K87" s="8"/>
      <x:c r="L87" s="8"/>
      <x:c r="M87" s="7"/>
    </x:row>
    <x:row r="88" ht="58" customHeight="1">
      <x:c r="A88" s="8" t="n">
        <x:f>'Evaluation Plan'!A88</x:f>
        <x:v>86</x:v>
      </x:c>
      <x:c r="B88" s="8" t="n">
        <x:f>'Evaluation Plan'!B88</x:f>
        <x:v>27</x:v>
      </x:c>
      <x:c r="C88" s="8" t="str">
        <x:f>'Evaluation Plan'!C88</x:f>
        <x:v>Additional transfer</x:v>
      </x:c>
      <x:c r="D88" s="8" t="str">
        <x:f>'Evaluation Plan'!D88</x:f>
        <x:v>Concept/compositional transfer</x:v>
      </x:c>
      <x:c r="E88" s="8" t="str">
        <x:f>'Evaluation Plan'!F88</x:f>
        <x:v>SR-X07</x:v>
      </x:c>
      <x:c r="F88" s="8" t="str">
        <x:f>IF('Evaluation Plan'!D88="Concept/compositional transfer","",'Evaluation Plan'!G88)</x:f>
      </x:c>
      <x:c r="G88" s="7" t="str">
        <x:f>'Evaluation Plan'!H88</x:f>
        <x:v>Move the closed glass spice container into the bowl.</x:v>
      </x:c>
      <x:c r="H88" s="7" t="str">
        <x:f>'Evaluation Plan'!I88</x:f>
        <x:v>P1 white cup A (O, UR); P2 yellow-white striped cup B (C, UD); P3 glass spice container A (C, UR) [TARGET]; P4 glass spice container B (O, UR) [STATE COMPETITOR]</x:v>
      </x:c>
      <x:c r="I88" s="8" t="str">
        <x:f>'Evaluation Plan'!J88</x:f>
        <x:v>glass spice container A</x:v>
      </x:c>
      <x:c r="J88" s="8" t="str">
        <x:v>Not started</x:v>
      </x:c>
      <x:c r="K88" s="8"/>
      <x:c r="L88" s="8"/>
      <x:c r="M88" s="7"/>
    </x:row>
    <x:row r="89" ht="58" customHeight="1">
      <x:c r="A89" s="8" t="n">
        <x:f>'Evaluation Plan'!A89</x:f>
        <x:v>87</x:v>
      </x:c>
      <x:c r="B89" s="8" t="n">
        <x:f>'Evaluation Plan'!B89</x:f>
        <x:v>28</x:v>
      </x:c>
      <x:c r="C89" s="8" t="str">
        <x:f>'Evaluation Plan'!C89</x:f>
        <x:v>Additional transfer</x:v>
      </x:c>
      <x:c r="D89" s="8" t="str">
        <x:f>'Evaluation Plan'!D89</x:f>
        <x:v>Concept/compositional transfer</x:v>
      </x:c>
      <x:c r="E89" s="8" t="str">
        <x:f>'Evaluation Plan'!F89</x:f>
        <x:v>SR-X08</x:v>
      </x:c>
      <x:c r="F89" s="8" t="str">
        <x:f>IF('Evaluation Plan'!D89="Concept/compositional transfer","",'Evaluation Plan'!G89)</x:f>
      </x:c>
      <x:c r="G89" s="7" t="str">
        <x:f>'Evaluation Plan'!H89</x:f>
        <x:v>Place the closed white cup in the bowl.</x:v>
      </x:c>
      <x:c r="H89" s="7" t="str">
        <x:f>'Evaluation Plan'!I89</x:f>
        <x:v>P1 white cup A (O, UD) [STATE COMPETITOR]; P2 yellow-white striped cup A (O, UR); P3 brown cup B (C, UD); P4 white cup B (C, UD) [TARGET]</x:v>
      </x:c>
      <x:c r="I89" s="8" t="str">
        <x:f>'Evaluation Plan'!J89</x:f>
        <x:v>white cup B</x:v>
      </x:c>
      <x:c r="J89" s="8" t="str">
        <x:v>Not started</x:v>
      </x:c>
      <x:c r="K89" s="8"/>
      <x:c r="L89" s="8"/>
      <x:c r="M89" s="7"/>
    </x:row>
    <x:row r="90" ht="58" customHeight="1">
      <x:c r="A90" s="8" t="n">
        <x:f>'Evaluation Plan'!A90</x:f>
        <x:v>88</x:v>
      </x:c>
      <x:c r="B90" s="8" t="n">
        <x:f>'Evaluation Plan'!B90</x:f>
        <x:v>29</x:v>
      </x:c>
      <x:c r="C90" s="8" t="str">
        <x:f>'Evaluation Plan'!C90</x:f>
        <x:v>Additional transfer</x:v>
      </x:c>
      <x:c r="D90" s="8" t="str">
        <x:f>'Evaluation Plan'!D90</x:f>
        <x:v>Concept/compositional transfer</x:v>
      </x:c>
      <x:c r="E90" s="8" t="str">
        <x:f>'Evaluation Plan'!F90</x:f>
        <x:v>SR-X09</x:v>
      </x:c>
      <x:c r="F90" s="8" t="str">
        <x:f>IF('Evaluation Plan'!D90="Concept/compositional transfer","",'Evaluation Plan'!G90)</x:f>
      </x:c>
      <x:c r="G90" s="7" t="str">
        <x:f>'Evaluation Plan'!H90</x:f>
        <x:v>Put the upright yellow-white striped cup in the bowl.</x:v>
      </x:c>
      <x:c r="H90" s="7" t="str">
        <x:f>'Evaluation Plan'!I90</x:f>
        <x:v>P1 yellow-white striped cup A (O, UR) [TARGET]; P2 yellow-white striped cup B (O, UD) [STATE COMPETITOR]; P3 white cup A (O, UR); P4 brown cup B (C, UD)</x:v>
      </x:c>
      <x:c r="I90" s="8" t="str">
        <x:f>'Evaluation Plan'!J90</x:f>
        <x:v>yellow-white striped cup A</x:v>
      </x:c>
      <x:c r="J90" s="8" t="str">
        <x:v>Not started</x:v>
      </x:c>
      <x:c r="K90" s="8"/>
      <x:c r="L90" s="8"/>
      <x:c r="M90" s="7"/>
    </x:row>
    <x:row r="91" ht="58" customHeight="1">
      <x:c r="A91" s="8" t="n">
        <x:f>'Evaluation Plan'!A91</x:f>
        <x:v>89</x:v>
      </x:c>
      <x:c r="B91" s="8" t="n">
        <x:f>'Evaluation Plan'!B91</x:f>
        <x:v>30</x:v>
      </x:c>
      <x:c r="C91" s="8" t="str">
        <x:f>'Evaluation Plan'!C91</x:f>
        <x:v>Additional transfer</x:v>
      </x:c>
      <x:c r="D91" s="8" t="str">
        <x:f>'Evaluation Plan'!D91</x:f>
        <x:v>Concept/compositional transfer</x:v>
      </x:c>
      <x:c r="E91" s="8" t="str">
        <x:f>'Evaluation Plan'!F91</x:f>
        <x:v>SR-X10</x:v>
      </x:c>
      <x:c r="F91" s="8" t="str">
        <x:f>IF('Evaluation Plan'!D91="Concept/compositional transfer","",'Evaluation Plan'!G91)</x:f>
      </x:c>
      <x:c r="G91" s="7" t="str">
        <x:f>'Evaluation Plan'!H91</x:f>
        <x:v>Move the upright brown cup into the bowl.</x:v>
      </x:c>
      <x:c r="H91" s="7" t="str">
        <x:f>'Evaluation Plan'!I91</x:f>
        <x:v>P1 white cup B (C, UD); P2 brown cup B (C, UR) [TARGET]; P3 brown cup A (C, UD) [STATE COMPETITOR]; P4 yellow-white striped cup A (O, UR)</x:v>
      </x:c>
      <x:c r="I91" s="8" t="str">
        <x:f>'Evaluation Plan'!J91</x:f>
        <x:v>brown cup B</x:v>
      </x:c>
      <x:c r="J91" s="8" t="str">
        <x:v>Not started</x:v>
      </x:c>
      <x:c r="K91" s="8"/>
      <x:c r="L91" s="8"/>
      <x:c r="M91" s="7"/>
    </x:row>
    <x:row r="92" ht="58" customHeight="1">
      <x:c r="A92" s="8" t="n">
        <x:f>'Evaluation Plan'!A92</x:f>
        <x:v>90</x:v>
      </x:c>
      <x:c r="B92" s="8" t="n">
        <x:f>'Evaluation Plan'!B92</x:f>
        <x:v>31</x:v>
      </x:c>
      <x:c r="C92" s="8" t="str">
        <x:f>'Evaluation Plan'!C92</x:f>
        <x:v>Additional transfer</x:v>
      </x:c>
      <x:c r="D92" s="8" t="str">
        <x:f>'Evaluation Plan'!D92</x:f>
        <x:v>Concept/compositional transfer</x:v>
      </x:c>
      <x:c r="E92" s="8" t="str">
        <x:f>'Evaluation Plan'!F92</x:f>
        <x:v>SR-X11</x:v>
      </x:c>
      <x:c r="F92" s="8" t="str">
        <x:f>IF('Evaluation Plan'!D92="Concept/compositional transfer","",'Evaluation Plan'!G92)</x:f>
      </x:c>
      <x:c r="G92" s="7" t="str">
        <x:f>'Evaluation Plan'!H92</x:f>
        <x:v>Place the upright glass spice container in the bowl.</x:v>
      </x:c>
      <x:c r="H92" s="7" t="str">
        <x:f>'Evaluation Plan'!I92</x:f>
        <x:v>P1 white cup A (O, UR); P2 yellow-white striped cup B (C, UD); P3 glass spice container A (O, UR) [TARGET]; P4 glass spice container B (O, UD) [STATE COMPETITOR]</x:v>
      </x:c>
      <x:c r="I92" s="8" t="str">
        <x:f>'Evaluation Plan'!J92</x:f>
        <x:v>glass spice container A</x:v>
      </x:c>
      <x:c r="J92" s="8" t="str">
        <x:v>Not started</x:v>
      </x:c>
      <x:c r="K92" s="8"/>
      <x:c r="L92" s="8"/>
      <x:c r="M92" s="7"/>
    </x:row>
    <x:row r="93" ht="58" customHeight="1">
      <x:c r="A93" s="8" t="n">
        <x:f>'Evaluation Plan'!A93</x:f>
        <x:v>91</x:v>
      </x:c>
      <x:c r="B93" s="8" t="n">
        <x:f>'Evaluation Plan'!B93</x:f>
        <x:v>32</x:v>
      </x:c>
      <x:c r="C93" s="8" t="str">
        <x:f>'Evaluation Plan'!C93</x:f>
        <x:v>Additional transfer</x:v>
      </x:c>
      <x:c r="D93" s="8" t="str">
        <x:f>'Evaluation Plan'!D93</x:f>
        <x:v>Concept/compositional transfer</x:v>
      </x:c>
      <x:c r="E93" s="8" t="str">
        <x:f>'Evaluation Plan'!F93</x:f>
        <x:v>SR-X12</x:v>
      </x:c>
      <x:c r="F93" s="8" t="str">
        <x:f>IF('Evaluation Plan'!D93="Concept/compositional transfer","",'Evaluation Plan'!G93)</x:f>
      </x:c>
      <x:c r="G93" s="7" t="str">
        <x:f>'Evaluation Plan'!H93</x:f>
        <x:v>Put the open white cup in the bowl.</x:v>
      </x:c>
      <x:c r="H93" s="7" t="str">
        <x:f>'Evaluation Plan'!I93</x:f>
        <x:v>P1 white cup A (C, UD) [STATE COMPETITOR]; P2 yellow-white striped cup A (O, UR); P3 brown cup B (C, UD); P4 white cup B (O, UD) [TARGET]</x:v>
      </x:c>
      <x:c r="I93" s="8" t="str">
        <x:f>'Evaluation Plan'!J93</x:f>
        <x:v>white cup B</x:v>
      </x:c>
      <x:c r="J93" s="8" t="str">
        <x:v>Not started</x:v>
      </x:c>
      <x:c r="K93" s="8"/>
      <x:c r="L93" s="8"/>
      <x:c r="M93" s="7"/>
    </x:row>
    <x:row r="94" ht="58" customHeight="1">
      <x:c r="A94" s="8" t="n">
        <x:f>'Evaluation Plan'!A94</x:f>
        <x:v>92</x:v>
      </x:c>
      <x:c r="B94" s="8" t="n">
        <x:f>'Evaluation Plan'!B94</x:f>
        <x:v>33</x:v>
      </x:c>
      <x:c r="C94" s="8" t="str">
        <x:f>'Evaluation Plan'!C94</x:f>
        <x:v>Additional transfer</x:v>
      </x:c>
      <x:c r="D94" s="8" t="str">
        <x:f>'Evaluation Plan'!D94</x:f>
        <x:v>Concept/compositional transfer</x:v>
      </x:c>
      <x:c r="E94" s="8" t="str">
        <x:f>'Evaluation Plan'!F94</x:f>
        <x:v>SR-X13</x:v>
      </x:c>
      <x:c r="F94" s="8" t="str">
        <x:f>IF('Evaluation Plan'!D94="Concept/compositional transfer","",'Evaluation Plan'!G94)</x:f>
      </x:c>
      <x:c r="G94" s="7" t="str">
        <x:f>'Evaluation Plan'!H94</x:f>
        <x:v>Move the open yellow-white striped cup into the bowl.</x:v>
      </x:c>
      <x:c r="H94" s="7" t="str">
        <x:f>'Evaluation Plan'!I94</x:f>
        <x:v>P1 yellow-white striped cup A (O, UR) [TARGET]; P2 yellow-white striped cup B (C, UR) [STATE COMPETITOR]; P3 white cup A (O, UR); P4 brown cup B (C, UD)</x:v>
      </x:c>
      <x:c r="I94" s="8" t="str">
        <x:f>'Evaluation Plan'!J94</x:f>
        <x:v>yellow-white striped cup A</x:v>
      </x:c>
      <x:c r="J94" s="8" t="str">
        <x:v>Not started</x:v>
      </x:c>
      <x:c r="K94" s="8"/>
      <x:c r="L94" s="8"/>
      <x:c r="M94" s="7"/>
    </x:row>
    <x:row r="95" ht="58" customHeight="1">
      <x:c r="A95" s="8" t="n">
        <x:f>'Evaluation Plan'!A95</x:f>
        <x:v>93</x:v>
      </x:c>
      <x:c r="B95" s="8" t="n">
        <x:f>'Evaluation Plan'!B95</x:f>
        <x:v>34</x:v>
      </x:c>
      <x:c r="C95" s="8" t="str">
        <x:f>'Evaluation Plan'!C95</x:f>
        <x:v>Additional transfer</x:v>
      </x:c>
      <x:c r="D95" s="8" t="str">
        <x:f>'Evaluation Plan'!D95</x:f>
        <x:v>Concept/compositional transfer</x:v>
      </x:c>
      <x:c r="E95" s="8" t="str">
        <x:f>'Evaluation Plan'!F95</x:f>
        <x:v>SR-X14</x:v>
      </x:c>
      <x:c r="F95" s="8" t="str">
        <x:f>IF('Evaluation Plan'!D95="Concept/compositional transfer","",'Evaluation Plan'!G95)</x:f>
      </x:c>
      <x:c r="G95" s="7" t="str">
        <x:f>'Evaluation Plan'!H95</x:f>
        <x:v>Place the open brown cup in the bowl.</x:v>
      </x:c>
      <x:c r="H95" s="7" t="str">
        <x:f>'Evaluation Plan'!I95</x:f>
        <x:v>P1 white cup B (C, UD); P2 brown cup B (O, UD) [TARGET]; P3 brown cup A (C, UD) [STATE COMPETITOR]; P4 yellow-white striped cup A (O, UR)</x:v>
      </x:c>
      <x:c r="I95" s="8" t="str">
        <x:f>'Evaluation Plan'!J95</x:f>
        <x:v>brown cup B</x:v>
      </x:c>
      <x:c r="J95" s="8" t="str">
        <x:v>Not started</x:v>
      </x:c>
      <x:c r="K95" s="8"/>
      <x:c r="L95" s="8"/>
      <x:c r="M95" s="7"/>
    </x:row>
    <x:row r="96" ht="58" customHeight="1">
      <x:c r="A96" s="8" t="n">
        <x:f>'Evaluation Plan'!A96</x:f>
        <x:v>94</x:v>
      </x:c>
      <x:c r="B96" s="8" t="n">
        <x:f>'Evaluation Plan'!B96</x:f>
        <x:v>35</x:v>
      </x:c>
      <x:c r="C96" s="8" t="str">
        <x:f>'Evaluation Plan'!C96</x:f>
        <x:v>Additional transfer</x:v>
      </x:c>
      <x:c r="D96" s="8" t="str">
        <x:f>'Evaluation Plan'!D96</x:f>
        <x:v>Concept/compositional transfer</x:v>
      </x:c>
      <x:c r="E96" s="8" t="str">
        <x:f>'Evaluation Plan'!F96</x:f>
        <x:v>SR-CAN01</x:v>
      </x:c>
      <x:c r="F96" s="8" t="str">
        <x:f>IF('Evaluation Plan'!D96="Concept/compositional transfer","",'Evaluation Plan'!G96)</x:f>
      </x:c>
      <x:c r="G96" s="7" t="str">
        <x:f>'Evaluation Plan'!H96</x:f>
        <x:v>Put the upright can in the bowl.</x:v>
      </x:c>
      <x:c r="H96" s="7" t="str">
        <x:f>'Evaluation Plan'!I96</x:f>
        <x:v>P1 crushed Coke can (UR) [TARGET]; P2 crushed Pepsi can (UD) [STATE COMPETITOR]; P3 white cup A (O, UD); P4 yellow-white striped cup B (C, UD)</x:v>
      </x:c>
      <x:c r="I96" s="8" t="str">
        <x:f>'Evaluation Plan'!J96</x:f>
        <x:v>crushed Coke can</x:v>
      </x:c>
      <x:c r="J96" s="8" t="str">
        <x:v>Not started</x:v>
      </x:c>
      <x:c r="K96" s="8"/>
      <x:c r="L96" s="8"/>
      <x:c r="M96" s="7"/>
    </x:row>
    <x:row r="97" ht="58" customHeight="1">
      <x:c r="A97" s="8" t="n">
        <x:f>'Evaluation Plan'!A97</x:f>
        <x:v>95</x:v>
      </x:c>
      <x:c r="B97" s="8" t="n">
        <x:f>'Evaluation Plan'!B97</x:f>
        <x:v>36</x:v>
      </x:c>
      <x:c r="C97" s="8" t="str">
        <x:f>'Evaluation Plan'!C97</x:f>
        <x:v>Additional transfer</x:v>
      </x:c>
      <x:c r="D97" s="8" t="str">
        <x:f>'Evaluation Plan'!D97</x:f>
        <x:v>Concept/compositional transfer</x:v>
      </x:c>
      <x:c r="E97" s="8" t="str">
        <x:f>'Evaluation Plan'!F97</x:f>
        <x:v>SR-CAN02</x:v>
      </x:c>
      <x:c r="F97" s="8" t="str">
        <x:f>IF('Evaluation Plan'!D97="Concept/compositional transfer","",'Evaluation Plan'!G97)</x:f>
      </x:c>
      <x:c r="G97" s="7" t="str">
        <x:f>'Evaluation Plan'!H97</x:f>
        <x:v>Move the upright can into the bowl.</x:v>
      </x:c>
      <x:c r="H97" s="7" t="str">
        <x:f>'Evaluation Plan'!I97</x:f>
        <x:v>P1 yellow-white striped cup B (C, UD); P2 crushed Pepsi can (UR) [TARGET]; P3 crushed Coke can (UD) [STATE COMPETITOR]; P4 brown cup A (O, UD)</x:v>
      </x:c>
      <x:c r="I97" s="8" t="str">
        <x:f>'Evaluation Plan'!J97</x:f>
        <x:v>crushed Pepsi can</x:v>
      </x:c>
      <x:c r="J97" s="8" t="str">
        <x:v>Not started</x:v>
      </x:c>
      <x:c r="K97" s="8"/>
      <x:c r="L97" s="8"/>
      <x:c r="M97" s="7"/>
    </x:row>
    <x:row r="98" ht="58" customHeight="1">
      <x:c r="A98" s="8" t="n">
        <x:f>'Evaluation Plan'!A98</x:f>
        <x:v>96</x:v>
      </x:c>
      <x:c r="B98" s="8" t="n">
        <x:f>'Evaluation Plan'!B98</x:f>
        <x:v>37</x:v>
      </x:c>
      <x:c r="C98" s="8" t="str">
        <x:f>'Evaluation Plan'!C98</x:f>
        <x:v>Additional transfer</x:v>
      </x:c>
      <x:c r="D98" s="8" t="str">
        <x:f>'Evaluation Plan'!D98</x:f>
        <x:v>Concept/compositional transfer</x:v>
      </x:c>
      <x:c r="E98" s="8" t="str">
        <x:f>'Evaluation Plan'!F98</x:f>
        <x:v>SR-CAN03</x:v>
      </x:c>
      <x:c r="F98" s="8" t="str">
        <x:f>IF('Evaluation Plan'!D98="Concept/compositional transfer","",'Evaluation Plan'!G98)</x:f>
      </x:c>
      <x:c r="G98" s="7" t="str">
        <x:f>'Evaluation Plan'!H98</x:f>
        <x:v>Place the upright can in the bowl.</x:v>
      </x:c>
      <x:c r="H98" s="7" t="str">
        <x:f>'Evaluation Plan'!I98</x:f>
        <x:v>P1 brown cup A (O, UD); P2 glass spice container B (C, UD); P3 crushed Coke can (UR) [TARGET]; P4 crushed Pepsi can (UD) [STATE COMPETITOR]</x:v>
      </x:c>
      <x:c r="I98" s="8" t="str">
        <x:f>'Evaluation Plan'!J98</x:f>
        <x:v>crushed Coke can</x:v>
      </x:c>
      <x:c r="J98" s="8" t="str">
        <x:v>Not started</x:v>
      </x:c>
      <x:c r="K98" s="8"/>
      <x:c r="L98" s="8"/>
      <x:c r="M98" s="7"/>
    </x:row>
    <x:row r="99" ht="58" customHeight="1">
      <x:c r="A99" s="8" t="n">
        <x:f>'Evaluation Plan'!A99</x:f>
        <x:v>97</x:v>
      </x:c>
      <x:c r="B99" s="8" t="n">
        <x:f>'Evaluation Plan'!B99</x:f>
        <x:v>38</x:v>
      </x:c>
      <x:c r="C99" s="8" t="str">
        <x:f>'Evaluation Plan'!C99</x:f>
        <x:v>Additional transfer</x:v>
      </x:c>
      <x:c r="D99" s="8" t="str">
        <x:f>'Evaluation Plan'!D99</x:f>
        <x:v>Concept/compositional transfer</x:v>
      </x:c>
      <x:c r="E99" s="8" t="str">
        <x:f>'Evaluation Plan'!F99</x:f>
        <x:v>SR-CAN04</x:v>
      </x:c>
      <x:c r="F99" s="8" t="str">
        <x:f>IF('Evaluation Plan'!D99="Concept/compositional transfer","",'Evaluation Plan'!G99)</x:f>
      </x:c>
      <x:c r="G99" s="7" t="str">
        <x:f>'Evaluation Plan'!H99</x:f>
        <x:v>Put the upright can in the bowl.</x:v>
      </x:c>
      <x:c r="H99" s="7" t="str">
        <x:f>'Evaluation Plan'!I99</x:f>
        <x:v>P1 crushed Coke can (UD) [STATE COMPETITOR]; P2 glass spice container A (O, UD); P3 white cup B (C, UD); P4 crushed Pepsi can (UR) [TARGET]</x:v>
      </x:c>
      <x:c r="I99" s="8" t="str">
        <x:f>'Evaluation Plan'!J99</x:f>
        <x:v>crushed Pepsi can</x:v>
      </x:c>
      <x:c r="J99" s="8" t="str">
        <x:v>Not started</x:v>
      </x:c>
      <x:c r="K99" s="8"/>
      <x:c r="L99" s="8"/>
      <x:c r="M99" s="7"/>
    </x:row>
    <x:row r="100" ht="58" customHeight="1">
      <x:c r="A100" s="8" t="n">
        <x:f>'Evaluation Plan'!A100</x:f>
        <x:v>98</x:v>
      </x:c>
      <x:c r="B100" s="8" t="n">
        <x:f>'Evaluation Plan'!B100</x:f>
        <x:v>39</x:v>
      </x:c>
      <x:c r="C100" s="8" t="str">
        <x:f>'Evaluation Plan'!C100</x:f>
        <x:v>Additional transfer</x:v>
      </x:c>
      <x:c r="D100" s="8" t="str">
        <x:f>'Evaluation Plan'!D100</x:f>
        <x:v>Concept/compositional transfer</x:v>
      </x:c>
      <x:c r="E100" s="8" t="str">
        <x:f>'Evaluation Plan'!F100</x:f>
        <x:v>SR-CAN05</x:v>
      </x:c>
      <x:c r="F100" s="8" t="str">
        <x:f>IF('Evaluation Plan'!D100="Concept/compositional transfer","",'Evaluation Plan'!G100)</x:f>
      </x:c>
      <x:c r="G100" s="7" t="str">
        <x:f>'Evaluation Plan'!H100</x:f>
        <x:v>Move the upright can into the bowl.</x:v>
      </x:c>
      <x:c r="H100" s="7" t="str">
        <x:f>'Evaluation Plan'!I100</x:f>
        <x:v>P1 crushed Coke can (UR) [TARGET]; P2 crushed Pepsi can (UD) [STATE COMPETITOR]; P3 white cup A (O, UD); P4 yellow-white striped cup B (C, UD)</x:v>
      </x:c>
      <x:c r="I100" s="8" t="str">
        <x:f>'Evaluation Plan'!J100</x:f>
        <x:v>crushed Coke can</x:v>
      </x:c>
      <x:c r="J100" s="8" t="str">
        <x:v>Not started</x:v>
      </x:c>
      <x:c r="K100" s="8"/>
      <x:c r="L100" s="8"/>
      <x:c r="M100" s="7"/>
    </x:row>
    <x:row r="101" ht="58" customHeight="1">
      <x:c r="A101" s="8" t="n">
        <x:f>'Evaluation Plan'!A101</x:f>
        <x:v>99</x:v>
      </x:c>
      <x:c r="B101" s="8" t="n">
        <x:f>'Evaluation Plan'!B101</x:f>
        <x:v>40</x:v>
      </x:c>
      <x:c r="C101" s="8" t="str">
        <x:f>'Evaluation Plan'!C101</x:f>
        <x:v>Additional transfer</x:v>
      </x:c>
      <x:c r="D101" s="8" t="str">
        <x:f>'Evaluation Plan'!D101</x:f>
        <x:v>Concept/compositional transfer</x:v>
      </x:c>
      <x:c r="E101" s="8" t="str">
        <x:f>'Evaluation Plan'!F101</x:f>
        <x:v>SR-CAN06</x:v>
      </x:c>
      <x:c r="F101" s="8" t="str">
        <x:f>IF('Evaluation Plan'!D101="Concept/compositional transfer","",'Evaluation Plan'!G101)</x:f>
      </x:c>
      <x:c r="G101" s="7" t="str">
        <x:f>'Evaluation Plan'!H101</x:f>
        <x:v>Place the upside-down can in the bowl.</x:v>
      </x:c>
      <x:c r="H101" s="7" t="str">
        <x:f>'Evaluation Plan'!I101</x:f>
        <x:v>P1 yellow-white striped cup B (C, UR); P2 crushed Pepsi can (UD) [TARGET]; P3 crushed Coke can (UR) [STATE COMPETITOR]; P4 brown cup A (O, UR)</x:v>
      </x:c>
      <x:c r="I101" s="8" t="str">
        <x:f>'Evaluation Plan'!J101</x:f>
        <x:v>crushed Pepsi can</x:v>
      </x:c>
      <x:c r="J101" s="8" t="str">
        <x:v>Not started</x:v>
      </x:c>
      <x:c r="K101" s="8"/>
      <x:c r="L101" s="8"/>
      <x:c r="M101" s="7"/>
    </x:row>
    <x:row r="102" ht="58" customHeight="1">
      <x:c r="A102" s="8" t="n">
        <x:f>'Evaluation Plan'!A102</x:f>
        <x:v>100</x:v>
      </x:c>
      <x:c r="B102" s="8" t="n">
        <x:f>'Evaluation Plan'!B102</x:f>
        <x:v>41</x:v>
      </x:c>
      <x:c r="C102" s="8" t="str">
        <x:f>'Evaluation Plan'!C102</x:f>
        <x:v>Additional transfer</x:v>
      </x:c>
      <x:c r="D102" s="8" t="str">
        <x:f>'Evaluation Plan'!D102</x:f>
        <x:v>Concept/compositional transfer</x:v>
      </x:c>
      <x:c r="E102" s="8" t="str">
        <x:f>'Evaluation Plan'!F102</x:f>
        <x:v>SR-CAN07</x:v>
      </x:c>
      <x:c r="F102" s="8" t="str">
        <x:f>IF('Evaluation Plan'!D102="Concept/compositional transfer","",'Evaluation Plan'!G102)</x:f>
      </x:c>
      <x:c r="G102" s="7" t="str">
        <x:f>'Evaluation Plan'!H102</x:f>
        <x:v>Put the upside-down can in the bowl.</x:v>
      </x:c>
      <x:c r="H102" s="7" t="str">
        <x:f>'Evaluation Plan'!I102</x:f>
        <x:v>P1 brown cup A (O, UR); P2 glass spice container B (C, UR); P3 crushed Coke can (UD) [TARGET]; P4 crushed Pepsi can (UR) [STATE COMPETITOR]</x:v>
      </x:c>
      <x:c r="I102" s="8" t="str">
        <x:f>'Evaluation Plan'!J102</x:f>
        <x:v>crushed Coke can</x:v>
      </x:c>
      <x:c r="J102" s="8" t="str">
        <x:v>Not started</x:v>
      </x:c>
      <x:c r="K102" s="8"/>
      <x:c r="L102" s="8"/>
      <x:c r="M102" s="7"/>
    </x:row>
    <x:row r="103" ht="58" customHeight="1">
      <x:c r="A103" s="8" t="n">
        <x:f>'Evaluation Plan'!A103</x:f>
        <x:v>101</x:v>
      </x:c>
      <x:c r="B103" s="8" t="n">
        <x:f>'Evaluation Plan'!B103</x:f>
        <x:v>42</x:v>
      </x:c>
      <x:c r="C103" s="8" t="str">
        <x:f>'Evaluation Plan'!C103</x:f>
        <x:v>Additional transfer</x:v>
      </x:c>
      <x:c r="D103" s="8" t="str">
        <x:f>'Evaluation Plan'!D103</x:f>
        <x:v>Concept/compositional transfer</x:v>
      </x:c>
      <x:c r="E103" s="8" t="str">
        <x:f>'Evaluation Plan'!F103</x:f>
        <x:v>SR-CAN08</x:v>
      </x:c>
      <x:c r="F103" s="8" t="str">
        <x:f>IF('Evaluation Plan'!D103="Concept/compositional transfer","",'Evaluation Plan'!G103)</x:f>
      </x:c>
      <x:c r="G103" s="7" t="str">
        <x:f>'Evaluation Plan'!H103</x:f>
        <x:v>Move the upside-down can into the bowl.</x:v>
      </x:c>
      <x:c r="H103" s="7" t="str">
        <x:f>'Evaluation Plan'!I103</x:f>
        <x:v>P1 crushed Coke can (UR) [STATE COMPETITOR]; P2 glass spice container A (O, UR); P3 white cup B (C, UR); P4 crushed Pepsi can (UD) [TARGET]</x:v>
      </x:c>
      <x:c r="I103" s="8" t="str">
        <x:f>'Evaluation Plan'!J103</x:f>
        <x:v>crushed Pepsi can</x:v>
      </x:c>
      <x:c r="J103" s="8" t="str">
        <x:v>Not started</x:v>
      </x:c>
      <x:c r="K103" s="8"/>
      <x:c r="L103" s="8"/>
      <x:c r="M103" s="7"/>
    </x:row>
    <x:row r="104" ht="58" customHeight="1">
      <x:c r="A104" s="8" t="n">
        <x:f>'Evaluation Plan'!A104</x:f>
        <x:v>102</x:v>
      </x:c>
      <x:c r="B104" s="8" t="n">
        <x:f>'Evaluation Plan'!B104</x:f>
        <x:v>43</x:v>
      </x:c>
      <x:c r="C104" s="8" t="str">
        <x:f>'Evaluation Plan'!C104</x:f>
        <x:v>Exploratory abstraction</x:v>
      </x:c>
      <x:c r="D104" s="8" t="str">
        <x:f>'Evaluation Plan'!D104</x:f>
        <x:v>Concept/compositional transfer</x:v>
      </x:c>
      <x:c r="E104" s="8" t="str">
        <x:f>'Evaluation Plan'!F104</x:f>
        <x:v>SR-OBJ01</x:v>
      </x:c>
      <x:c r="F104" s="8" t="str">
        <x:f>IF('Evaluation Plan'!D104="Concept/compositional transfer","",'Evaluation Plan'!G104)</x:f>
      </x:c>
      <x:c r="G104" s="7" t="str">
        <x:f>'Evaluation Plan'!H104</x:f>
        <x:v>Place the closed object in the bowl.</x:v>
      </x:c>
      <x:c r="H104" s="7" t="str">
        <x:f>'Evaluation Plan'!I104</x:f>
        <x:v>P1 white cup A (C, UR) [TARGET]; P2 yellow-white striped cup B (O, UD); P3 brown cup A (O, UR); P4 glass spice container B (O, UD)</x:v>
      </x:c>
      <x:c r="I104" s="8" t="str">
        <x:f>'Evaluation Plan'!J104</x:f>
        <x:v>white cup A</x:v>
      </x:c>
      <x:c r="J104" s="8" t="str">
        <x:v>Not started</x:v>
      </x:c>
      <x:c r="K104" s="8"/>
      <x:c r="L104" s="8"/>
      <x:c r="M104" s="7"/>
    </x:row>
    <x:row r="105" ht="58" customHeight="1">
      <x:c r="A105" s="8" t="n">
        <x:f>'Evaluation Plan'!A105</x:f>
        <x:v>103</x:v>
      </x:c>
      <x:c r="B105" s="8" t="n">
        <x:f>'Evaluation Plan'!B105</x:f>
        <x:v>44</x:v>
      </x:c>
      <x:c r="C105" s="8" t="str">
        <x:f>'Evaluation Plan'!C105</x:f>
        <x:v>Exploratory abstraction</x:v>
      </x:c>
      <x:c r="D105" s="8" t="str">
        <x:f>'Evaluation Plan'!D105</x:f>
        <x:v>Concept/compositional transfer</x:v>
      </x:c>
      <x:c r="E105" s="8" t="str">
        <x:f>'Evaluation Plan'!F105</x:f>
        <x:v>SR-OBJ02</x:v>
      </x:c>
      <x:c r="F105" s="8" t="str">
        <x:f>IF('Evaluation Plan'!D105="Concept/compositional transfer","",'Evaluation Plan'!G105)</x:f>
      </x:c>
      <x:c r="G105" s="7" t="str">
        <x:f>'Evaluation Plan'!H105</x:f>
        <x:v>Put the closed object in the bowl.</x:v>
      </x:c>
      <x:c r="H105" s="7" t="str">
        <x:f>'Evaluation Plan'!I105</x:f>
        <x:v>P1 yellow-white striped cup B (O, UD); P2 brown cup A (C, UR) [TARGET]; P3 glass spice container B (O, UD); P4 white cup A (O, UR)</x:v>
      </x:c>
      <x:c r="I105" s="8" t="str">
        <x:f>'Evaluation Plan'!J105</x:f>
        <x:v>brown cup A</x:v>
      </x:c>
      <x:c r="J105" s="8" t="str">
        <x:v>Not started</x:v>
      </x:c>
      <x:c r="K105" s="8"/>
      <x:c r="L105" s="8"/>
      <x:c r="M105" s="7"/>
    </x:row>
    <x:row r="106" ht="58" customHeight="1">
      <x:c r="A106" s="8" t="n">
        <x:f>'Evaluation Plan'!A106</x:f>
        <x:v>104</x:v>
      </x:c>
      <x:c r="B106" s="8" t="n">
        <x:f>'Evaluation Plan'!B106</x:f>
        <x:v>45</x:v>
      </x:c>
      <x:c r="C106" s="8" t="str">
        <x:f>'Evaluation Plan'!C106</x:f>
        <x:v>Exploratory abstraction</x:v>
      </x:c>
      <x:c r="D106" s="8" t="str">
        <x:f>'Evaluation Plan'!D106</x:f>
        <x:v>Concept/compositional transfer</x:v>
      </x:c>
      <x:c r="E106" s="8" t="str">
        <x:f>'Evaluation Plan'!F106</x:f>
        <x:v>SR-OBJ03</x:v>
      </x:c>
      <x:c r="F106" s="8" t="str">
        <x:f>IF('Evaluation Plan'!D106="Concept/compositional transfer","",'Evaluation Plan'!G106)</x:f>
      </x:c>
      <x:c r="G106" s="7" t="str">
        <x:f>'Evaluation Plan'!H106</x:f>
        <x:v>Move the open object into the bowl.</x:v>
      </x:c>
      <x:c r="H106" s="7" t="str">
        <x:f>'Evaluation Plan'!I106</x:f>
        <x:v>P1 brown cup A (C, UR); P2 glass spice container B (C, UD); P3 white cup A (O, UR) [TARGET]; P4 yellow-white striped cup B (C, UD)</x:v>
      </x:c>
      <x:c r="I106" s="8" t="str">
        <x:f>'Evaluation Plan'!J106</x:f>
        <x:v>white cup A</x:v>
      </x:c>
      <x:c r="J106" s="8" t="str">
        <x:v>Not started</x:v>
      </x:c>
      <x:c r="K106" s="8"/>
      <x:c r="L106" s="8"/>
      <x:c r="M106" s="7"/>
    </x:row>
    <x:row r="107" ht="58" customHeight="1">
      <x:c r="A107" s="8" t="n">
        <x:f>'Evaluation Plan'!A107</x:f>
        <x:v>105</x:v>
      </x:c>
      <x:c r="B107" s="8" t="n">
        <x:f>'Evaluation Plan'!B107</x:f>
        <x:v>46</x:v>
      </x:c>
      <x:c r="C107" s="8" t="str">
        <x:f>'Evaluation Plan'!C107</x:f>
        <x:v>Exploratory abstraction</x:v>
      </x:c>
      <x:c r="D107" s="8" t="str">
        <x:f>'Evaluation Plan'!D107</x:f>
        <x:v>Concept/compositional transfer</x:v>
      </x:c>
      <x:c r="E107" s="8" t="str">
        <x:f>'Evaluation Plan'!F107</x:f>
        <x:v>SR-OBJ04</x:v>
      </x:c>
      <x:c r="F107" s="8" t="str">
        <x:f>IF('Evaluation Plan'!D107="Concept/compositional transfer","",'Evaluation Plan'!G107)</x:f>
      </x:c>
      <x:c r="G107" s="7" t="str">
        <x:f>'Evaluation Plan'!H107</x:f>
        <x:v>Place the open object in the bowl.</x:v>
      </x:c>
      <x:c r="H107" s="7" t="str">
        <x:f>'Evaluation Plan'!I107</x:f>
        <x:v>P1 glass spice container B (C, UD); P2 white cup A (C, UR); P3 yellow-white striped cup B (C, UD); P4 brown cup A (O, UR) [TARGET]</x:v>
      </x:c>
      <x:c r="I107" s="8" t="str">
        <x:f>'Evaluation Plan'!J107</x:f>
        <x:v>brown cup A</x:v>
      </x:c>
      <x:c r="J107" s="8" t="str">
        <x:v>Not started</x:v>
      </x:c>
      <x:c r="K107" s="8"/>
      <x:c r="L107" s="8"/>
      <x:c r="M107" s="7"/>
    </x:row>
    <x:row r="108" ht="58" customHeight="1">
      <x:c r="A108" s="8" t="n">
        <x:f>'Evaluation Plan'!A108</x:f>
        <x:v>106</x:v>
      </x:c>
      <x:c r="B108" s="8" t="n">
        <x:f>'Evaluation Plan'!B108</x:f>
        <x:v>47</x:v>
      </x:c>
      <x:c r="C108" s="8" t="str">
        <x:f>'Evaluation Plan'!C108</x:f>
        <x:v>Exploratory abstraction</x:v>
      </x:c>
      <x:c r="D108" s="8" t="str">
        <x:f>'Evaluation Plan'!D108</x:f>
        <x:v>Concept/compositional transfer</x:v>
      </x:c>
      <x:c r="E108" s="8" t="str">
        <x:f>'Evaluation Plan'!F108</x:f>
        <x:v>SR-OBJ05</x:v>
      </x:c>
      <x:c r="F108" s="8" t="str">
        <x:f>IF('Evaluation Plan'!D108="Concept/compositional transfer","",'Evaluation Plan'!G108)</x:f>
      </x:c>
      <x:c r="G108" s="7" t="str">
        <x:f>'Evaluation Plan'!H108</x:f>
        <x:v>Put the upright object in the bowl.</x:v>
      </x:c>
      <x:c r="H108" s="7" t="str">
        <x:f>'Evaluation Plan'!I108</x:f>
        <x:v>P1 white cup A (O, UR) [TARGET]; P2 yellow-white striped cup B (C, UD); P3 brown cup A (O, UD); P4 glass spice container B (C, UD)</x:v>
      </x:c>
      <x:c r="I108" s="8" t="str">
        <x:f>'Evaluation Plan'!J108</x:f>
        <x:v>white cup A</x:v>
      </x:c>
      <x:c r="J108" s="8" t="str">
        <x:v>Not started</x:v>
      </x:c>
      <x:c r="K108" s="8"/>
      <x:c r="L108" s="8"/>
      <x:c r="M108" s="7"/>
    </x:row>
    <x:row r="109" ht="58" customHeight="1">
      <x:c r="A109" s="8" t="n">
        <x:f>'Evaluation Plan'!A109</x:f>
        <x:v>107</x:v>
      </x:c>
      <x:c r="B109" s="8" t="n">
        <x:f>'Evaluation Plan'!B109</x:f>
        <x:v>48</x:v>
      </x:c>
      <x:c r="C109" s="8" t="str">
        <x:f>'Evaluation Plan'!C109</x:f>
        <x:v>Exploratory abstraction</x:v>
      </x:c>
      <x:c r="D109" s="8" t="str">
        <x:f>'Evaluation Plan'!D109</x:f>
        <x:v>Concept/compositional transfer</x:v>
      </x:c>
      <x:c r="E109" s="8" t="str">
        <x:f>'Evaluation Plan'!F109</x:f>
        <x:v>SR-OBJ06</x:v>
      </x:c>
      <x:c r="F109" s="8" t="str">
        <x:f>IF('Evaluation Plan'!D109="Concept/compositional transfer","",'Evaluation Plan'!G109)</x:f>
      </x:c>
      <x:c r="G109" s="7" t="str">
        <x:f>'Evaluation Plan'!H109</x:f>
        <x:v>Move the upright object into the bowl.</x:v>
      </x:c>
      <x:c r="H109" s="7" t="str">
        <x:f>'Evaluation Plan'!I109</x:f>
        <x:v>P1 yellow-white striped cup B (C, UD); P2 brown cup A (O, UR) [TARGET]; P3 glass spice container B (C, UD); P4 white cup A (O, UD)</x:v>
      </x:c>
      <x:c r="I109" s="8" t="str">
        <x:f>'Evaluation Plan'!J109</x:f>
        <x:v>brown cup A</x:v>
      </x:c>
      <x:c r="J109" s="8" t="str">
        <x:v>Not started</x:v>
      </x:c>
      <x:c r="K109" s="8"/>
      <x:c r="L109" s="8"/>
      <x:c r="M109" s="7"/>
    </x:row>
    <x:row r="110" ht="58" customHeight="1">
      <x:c r="A110" s="8" t="n">
        <x:f>'Evaluation Plan'!A110</x:f>
        <x:v>108</x:v>
      </x:c>
      <x:c r="B110" s="8" t="n">
        <x:f>'Evaluation Plan'!B110</x:f>
        <x:v>49</x:v>
      </x:c>
      <x:c r="C110" s="8" t="str">
        <x:f>'Evaluation Plan'!C110</x:f>
        <x:v>Exploratory abstraction</x:v>
      </x:c>
      <x:c r="D110" s="8" t="str">
        <x:f>'Evaluation Plan'!D110</x:f>
        <x:v>Concept/compositional transfer</x:v>
      </x:c>
      <x:c r="E110" s="8" t="str">
        <x:f>'Evaluation Plan'!F110</x:f>
        <x:v>SR-OBJ07</x:v>
      </x:c>
      <x:c r="F110" s="8" t="str">
        <x:f>IF('Evaluation Plan'!D110="Concept/compositional transfer","",'Evaluation Plan'!G110)</x:f>
      </x:c>
      <x:c r="G110" s="7" t="str">
        <x:f>'Evaluation Plan'!H110</x:f>
        <x:v>Place the upside-down object in the bowl.</x:v>
      </x:c>
      <x:c r="H110" s="7" t="str">
        <x:f>'Evaluation Plan'!I110</x:f>
        <x:v>P1 brown cup A (O, UR); P2 glass spice container B (C, UR); P3 white cup A (O, UD) [TARGET]; P4 yellow-white striped cup B (C, UR)</x:v>
      </x:c>
      <x:c r="I110" s="8" t="str">
        <x:f>'Evaluation Plan'!J110</x:f>
        <x:v>white cup A</x:v>
      </x:c>
      <x:c r="J110" s="8" t="str">
        <x:v>Not started</x:v>
      </x:c>
      <x:c r="K110" s="8"/>
      <x:c r="L110" s="8"/>
      <x:c r="M110" s="7"/>
    </x:row>
    <x:row r="111" ht="58" customHeight="1">
      <x:c r="A111" s="8" t="n">
        <x:f>'Evaluation Plan'!A111</x:f>
        <x:v>109</x:v>
      </x:c>
      <x:c r="B111" s="8" t="n">
        <x:f>'Evaluation Plan'!B111</x:f>
        <x:v>50</x:v>
      </x:c>
      <x:c r="C111" s="8" t="str">
        <x:f>'Evaluation Plan'!C111</x:f>
        <x:v>Exploratory abstraction</x:v>
      </x:c>
      <x:c r="D111" s="8" t="str">
        <x:f>'Evaluation Plan'!D111</x:f>
        <x:v>Concept/compositional transfer</x:v>
      </x:c>
      <x:c r="E111" s="8" t="str">
        <x:f>'Evaluation Plan'!F111</x:f>
        <x:v>SR-OBJ08</x:v>
      </x:c>
      <x:c r="F111" s="8" t="str">
        <x:f>IF('Evaluation Plan'!D111="Concept/compositional transfer","",'Evaluation Plan'!G111)</x:f>
      </x:c>
      <x:c r="G111" s="7" t="str">
        <x:f>'Evaluation Plan'!H111</x:f>
        <x:v>Put the upside-down object in the bowl.</x:v>
      </x:c>
      <x:c r="H111" s="7" t="str">
        <x:f>'Evaluation Plan'!I111</x:f>
        <x:v>P1 glass spice container B (C, UR); P2 white cup A (O, UR); P3 yellow-white striped cup B (C, UR); P4 brown cup A (O, UD) [TARGET]</x:v>
      </x:c>
      <x:c r="I111" s="8" t="str">
        <x:f>'Evaluation Plan'!J111</x:f>
        <x:v>brown cup A</x:v>
      </x:c>
      <x:c r="J111" s="8" t="str">
        <x:v>Not started</x:v>
      </x:c>
      <x:c r="K111" s="8"/>
      <x:c r="L111" s="8"/>
      <x:c r="M111" s="7"/>
    </x:row>
  </x:sheetData>
  <x:conditionalFormatting sqref="A2:M111">
    <x:cfRule type="expression" dxfId="11" priority="1">
      <x:formula>$J2="Complete"</x:formula>
    </x:cfRule>
    <x:cfRule type="expression" dxfId="12" priority="2">
      <x:formula>$J2="Redo"</x:formula>
    </x:cfRule>
  </x:conditionalFormatting>
  <x:conditionalFormatting sqref="K2:K111">
    <x:cfRule type="containsText" dxfId="13" priority="3" operator="containsText" text="Success"/>
    <x:cfRule type="containsText" dxfId="14" priority="4" operator="containsText" text="Failure"/>
  </x:conditionalFormatting>
  <x:dataValidations count="3">
    <x:dataValidation type="list" sqref="J2:J111">
      <x:formula1>"Not started,Complete,Redo"</x:formula1>
    </x:dataValidation>
    <x:dataValidation type="list" sqref="K2:K111">
      <x:formula1>"Success,Failure,Invalid / Repeat"</x:formula1>
    </x:dataValidation>
    <x:dataValidation type="list" sqref="L2:L111">
      <x:formula1>"Wrong target,No grasp,Drop outside bowl,Timeout,Setup deviation,Hardware fault,Other"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9f63362d4943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9" hidden="0" customWidth="1"/>
    <x:col min="4" max="4" width="28" hidden="0" customWidth="1"/>
    <x:col min="5" max="5" width="13" hidden="0" customWidth="1"/>
    <x:col min="6" max="6" width="12" hidden="0" customWidth="1"/>
    <x:col min="7" max="7" width="42" hidden="0" customWidth="1"/>
    <x:col min="8" max="8" width="82" hidden="0" customWidth="1"/>
    <x:col min="9" max="9" width="25" hidden="0" customWidth="1"/>
    <x:col min="10" max="10" width="14" hidden="0" customWidth="1"/>
    <x:col min="11" max="11" width="17" hidden="0" customWidth="1"/>
    <x:col min="12" max="12" width="24" hidden="0" customWidth="1"/>
    <x:col min="13" max="13" width="42" hidden="0" customWidth="1"/>
  </x:cols>
  <x:sheetData>
    <x:row r="1" ht="36" customHeight="1">
      <x:c r="A1" s="5" t="str">
        <x:v>Episode</x:v>
      </x:c>
      <x:c r="B1" s="5" t="str">
        <x:v>Collection Block</x:v>
      </x:c>
      <x:c r="C1" s="5" t="str">
        <x:v>Within-Block Step</x:v>
      </x:c>
      <x:c r="D1" s="5" t="str">
        <x:v>Condition</x:v>
      </x:c>
      <x:c r="E1" s="5" t="str">
        <x:v>Scene Family</x:v>
      </x:c>
      <x:c r="F1" s="5" t="str">
        <x:v>Reference Episode</x:v>
      </x:c>
      <x:c r="G1" s="5" t="str">
        <x:v>Prompt</x:v>
      </x:c>
      <x:c r="H1" s="5" t="str">
        <x:v>Scene Setup</x:v>
      </x:c>
      <x:c r="I1" s="5" t="str">
        <x:v>Expected Target</x:v>
      </x:c>
      <x:c r="J1" s="5" t="str">
        <x:v>Status</x:v>
      </x:c>
      <x:c r="K1" s="5" t="str">
        <x:v>Outcome</x:v>
      </x:c>
      <x:c r="L1" s="5" t="str">
        <x:v>Failure Mode</x:v>
      </x:c>
      <x:c r="M1" s="5" t="str">
        <x:v>Notes</x:v>
      </x:c>
    </x:row>
    <x:row r="2" ht="58" customHeight="1">
      <x:c r="A2" s="9" t="n">
        <x:f>'Evaluation Plan'!A2</x:f>
        <x:v>0</x:v>
      </x:c>
      <x:c r="B2" s="9" t="n">
        <x:f>'Evaluation Plan'!B2</x:f>
        <x:v>1</x:v>
      </x:c>
      <x:c r="C2" s="9" t="str">
        <x:f>'Evaluation Plan'!C2</x:f>
        <x:v>1 — Canonical transfer</x:v>
      </x:c>
      <x:c r="D2" s="9" t="str">
        <x:f>'Evaluation Plan'!D2</x:f>
        <x:v>Concept/compositional transfer</x:v>
      </x:c>
      <x:c r="E2" s="9" t="str">
        <x:f>'Evaluation Plan'!F2</x:f>
        <x:v>SR-F01</x:v>
      </x:c>
      <x:c r="F2" s="9" t="str">
        <x:f>IF('Evaluation Plan'!D2="Concept/compositional transfer","",'Evaluation Plan'!G2)</x:f>
      </x:c>
      <x:c r="G2" s="10" t="str">
        <x:f>'Evaluation Plan'!H2</x:f>
        <x:v>Place the closed white cup in the bowl.</x:v>
      </x:c>
      <x:c r="H2" s="10" t="str">
        <x:f>'Evaluation Plan'!I2</x:f>
        <x:v>P1 white cup A (C, UR) [TARGET]; P2 white cup B (O, UR) [STATE COMPETITOR]; P3 yellow-white striped cup A (O, UR); P4 brown cup B (C, UD)</x:v>
      </x:c>
      <x:c r="I2" s="9" t="str">
        <x:f>'Evaluation Plan'!J2</x:f>
        <x:v>white cup A</x:v>
      </x:c>
      <x:c r="J2" s="9" t="str">
        <x:v>Not started</x:v>
      </x:c>
      <x:c r="K2" s="9"/>
      <x:c r="L2" s="9"/>
      <x:c r="M2" s="10"/>
    </x:row>
    <x:row r="3" ht="58" customHeight="1">
      <x:c r="A3" s="8" t="n">
        <x:f>'Evaluation Plan'!A3</x:f>
        <x:v>1</x:v>
      </x:c>
      <x:c r="B3" s="8" t="n">
        <x:f>'Evaluation Plan'!B3</x:f>
        <x:v>1</x:v>
      </x:c>
      <x:c r="C3" s="8" t="str">
        <x:f>'Evaluation Plan'!C3</x:f>
        <x:v>2 — Matched control</x:v>
      </x:c>
      <x:c r="D3" s="8" t="str">
        <x:f>'Evaluation Plan'!D3</x:f>
        <x:v>Matched manipulation control</x:v>
      </x:c>
      <x:c r="E3" s="8" t="str">
        <x:f>'Evaluation Plan'!F3</x:f>
        <x:v>SR-F01</x:v>
      </x:c>
      <x:c r="F3" s="8" t="n">
        <x:f>IF('Evaluation Plan'!D3="Concept/compositional transfer","",'Evaluation Plan'!G3)</x:f>
        <x:v>0</x:v>
      </x:c>
      <x:c r="G3" s="7" t="str">
        <x:f>'Evaluation Plan'!H3</x:f>
        <x:v>Place the white cup in the bowl.</x:v>
      </x:c>
      <x:c r="H3" s="7" t="str">
        <x:f>'Evaluation Plan'!I3</x:f>
        <x:v>P1 white cup A (C, UR) [TARGET]; P3 yellow-white striped cup A (O, UR); P4 brown cup B (C, UD)</x:v>
      </x:c>
      <x:c r="I3" s="8" t="str">
        <x:f>'Evaluation Plan'!J3</x:f>
        <x:v>white cup A</x:v>
      </x:c>
      <x:c r="J3" s="8" t="str">
        <x:v>Not started</x:v>
      </x:c>
      <x:c r="K3" s="8"/>
      <x:c r="L3" s="8"/>
      <x:c r="M3" s="7"/>
    </x:row>
    <x:row r="4" ht="58" customHeight="1">
      <x:c r="A4" s="8" t="n">
        <x:f>'Evaluation Plan'!A4</x:f>
        <x:v>2</x:v>
      </x:c>
      <x:c r="B4" s="8" t="n">
        <x:f>'Evaluation Plan'!B4</x:f>
        <x:v>1</x:v>
      </x:c>
      <x:c r="C4" s="8" t="str">
        <x:f>'Evaluation Plan'!C4</x:f>
        <x:v>3 — Novel-object canonical</x:v>
      </x:c>
      <x:c r="D4" s="8" t="str">
        <x:f>'Evaluation Plan'!D4</x:f>
        <x:v>Visual generalization</x:v>
      </x:c>
      <x:c r="E4" s="8" t="str">
        <x:f>'Evaluation Plan'!F4</x:f>
        <x:v>SR-F01</x:v>
      </x:c>
      <x:c r="F4" s="8" t="n">
        <x:f>IF('Evaluation Plan'!D4="Concept/compositional transfer","",'Evaluation Plan'!G4)</x:f>
        <x:v>0</x:v>
      </x:c>
      <x:c r="G4" s="7" t="str">
        <x:f>'Evaluation Plan'!H4</x:f>
        <x:v>Place the closed black cup in the bowl.</x:v>
      </x:c>
      <x:c r="H4" s="7" t="str">
        <x:f>'Evaluation Plan'!I4</x:f>
        <x:v>P1 U1-A (C, UR) [TARGET]; P2 U1-B (O, UR) [STATE COMPETITOR]; P3 yellow-white striped cup A (O, UR); P4 brown cup B (C, UD)</x:v>
      </x:c>
      <x:c r="I4" s="8" t="str">
        <x:f>'Evaluation Plan'!J4</x:f>
        <x:v>U1-A</x:v>
      </x:c>
      <x:c r="J4" s="8" t="str">
        <x:v>Not started</x:v>
      </x:c>
      <x:c r="K4" s="8"/>
      <x:c r="L4" s="8"/>
      <x:c r="M4" s="7"/>
    </x:row>
    <x:row r="5" ht="58" customHeight="1">
      <x:c r="A5" s="8" t="n">
        <x:f>'Evaluation Plan'!A5</x:f>
        <x:v>3</x:v>
      </x:c>
      <x:c r="B5" s="8" t="n">
        <x:f>'Evaluation Plan'!B5</x:f>
        <x:v>1</x:v>
      </x:c>
      <x:c r="C5" s="8" t="str">
        <x:f>'Evaluation Plan'!C5</x:f>
        <x:v>4 — Novel-object paraphrase</x:v>
      </x:c>
      <x:c r="D5" s="8" t="str">
        <x:f>'Evaluation Plan'!D5</x:f>
        <x:v>Language robustness</x:v>
      </x:c>
      <x:c r="E5" s="8" t="str">
        <x:f>'Evaluation Plan'!F5</x:f>
        <x:v>SR-F01</x:v>
      </x:c>
      <x:c r="F5" s="8" t="n">
        <x:f>IF('Evaluation Plan'!D5="Concept/compositional transfer","",'Evaluation Plan'!G5)</x:f>
        <x:v>2</x:v>
      </x:c>
      <x:c r="G5" s="7" t="str">
        <x:f>'Evaluation Plan'!H5</x:f>
        <x:v>Move the black cup that is closed into the bowl.</x:v>
      </x:c>
      <x:c r="H5" s="7" t="str">
        <x:f>'Evaluation Plan'!I5</x:f>
        <x:v>P1 U1-A (C, UR) [TARGET]; P2 U1-B (O, UR) [STATE COMPETITOR]; P3 yellow-white striped cup A (O, UR); P4 brown cup B (C, UD)</x:v>
      </x:c>
      <x:c r="I5" s="8" t="str">
        <x:f>'Evaluation Plan'!J5</x:f>
        <x:v>U1-A</x:v>
      </x:c>
      <x:c r="J5" s="8" t="str">
        <x:v>Not started</x:v>
      </x:c>
      <x:c r="K5" s="8"/>
      <x:c r="L5" s="8"/>
      <x:c r="M5" s="7"/>
    </x:row>
    <x:row r="6" ht="58" customHeight="1">
      <x:c r="A6" s="9" t="n">
        <x:f>'Evaluation Plan'!A6</x:f>
        <x:v>4</x:v>
      </x:c>
      <x:c r="B6" s="9" t="n">
        <x:f>'Evaluation Plan'!B6</x:f>
        <x:v>2</x:v>
      </x:c>
      <x:c r="C6" s="9" t="str">
        <x:f>'Evaluation Plan'!C6</x:f>
        <x:v>1 — Canonical transfer</x:v>
      </x:c>
      <x:c r="D6" s="9" t="str">
        <x:f>'Evaluation Plan'!D6</x:f>
        <x:v>Concept/compositional transfer</x:v>
      </x:c>
      <x:c r="E6" s="9" t="str">
        <x:f>'Evaluation Plan'!F6</x:f>
        <x:v>SR-F02</x:v>
      </x:c>
      <x:c r="F6" s="9" t="str">
        <x:f>IF('Evaluation Plan'!D6="Concept/compositional transfer","",'Evaluation Plan'!G6)</x:f>
      </x:c>
      <x:c r="G6" s="10" t="str">
        <x:f>'Evaluation Plan'!H6</x:f>
        <x:v>Put the open yellow-white striped cup in the bowl.</x:v>
      </x:c>
      <x:c r="H6" s="10" t="str">
        <x:f>'Evaluation Plan'!I6</x:f>
        <x:v>P1 white cup B (C, UD); P2 yellow-white striped cup B (O, UD) [TARGET]; P3 yellow-white striped cup A (C, UD) [STATE COMPETITOR]; P4 brown cup A (O, UR)</x:v>
      </x:c>
      <x:c r="I6" s="9" t="str">
        <x:f>'Evaluation Plan'!J6</x:f>
        <x:v>yellow-white striped cup B</x:v>
      </x:c>
      <x:c r="J6" s="9" t="str">
        <x:v>Not started</x:v>
      </x:c>
      <x:c r="K6" s="9"/>
      <x:c r="L6" s="9"/>
      <x:c r="M6" s="10"/>
    </x:row>
    <x:row r="7" ht="58" customHeight="1">
      <x:c r="A7" s="8" t="n">
        <x:f>'Evaluation Plan'!A7</x:f>
        <x:v>5</x:v>
      </x:c>
      <x:c r="B7" s="8" t="n">
        <x:f>'Evaluation Plan'!B7</x:f>
        <x:v>2</x:v>
      </x:c>
      <x:c r="C7" s="8" t="str">
        <x:f>'Evaluation Plan'!C7</x:f>
        <x:v>2 — Matched control</x:v>
      </x:c>
      <x:c r="D7" s="8" t="str">
        <x:f>'Evaluation Plan'!D7</x:f>
        <x:v>Matched manipulation control</x:v>
      </x:c>
      <x:c r="E7" s="8" t="str">
        <x:f>'Evaluation Plan'!F7</x:f>
        <x:v>SR-F02</x:v>
      </x:c>
      <x:c r="F7" s="8" t="n">
        <x:f>IF('Evaluation Plan'!D7="Concept/compositional transfer","",'Evaluation Plan'!G7)</x:f>
        <x:v>4</x:v>
      </x:c>
      <x:c r="G7" s="7" t="str">
        <x:f>'Evaluation Plan'!H7</x:f>
        <x:v>Put the yellow-white striped cup in the bowl.</x:v>
      </x:c>
      <x:c r="H7" s="7" t="str">
        <x:f>'Evaluation Plan'!I7</x:f>
        <x:v>P1 white cup B (C, UD); P2 yellow-white striped cup B (O, UD) [TARGET]; P4 brown cup A (O, UR)</x:v>
      </x:c>
      <x:c r="I7" s="8" t="str">
        <x:f>'Evaluation Plan'!J7</x:f>
        <x:v>yellow-white striped cup B</x:v>
      </x:c>
      <x:c r="J7" s="8" t="str">
        <x:v>Not started</x:v>
      </x:c>
      <x:c r="K7" s="8"/>
      <x:c r="L7" s="8"/>
      <x:c r="M7" s="7"/>
    </x:row>
    <x:row r="8" ht="58" customHeight="1">
      <x:c r="A8" s="8" t="n">
        <x:f>'Evaluation Plan'!A8</x:f>
        <x:v>6</x:v>
      </x:c>
      <x:c r="B8" s="8" t="n">
        <x:f>'Evaluation Plan'!B8</x:f>
        <x:v>2</x:v>
      </x:c>
      <x:c r="C8" s="8" t="str">
        <x:f>'Evaluation Plan'!C8</x:f>
        <x:v>3 — Novel-object canonical</x:v>
      </x:c>
      <x:c r="D8" s="8" t="str">
        <x:f>'Evaluation Plan'!D8</x:f>
        <x:v>Visual generalization</x:v>
      </x:c>
      <x:c r="E8" s="8" t="str">
        <x:f>'Evaluation Plan'!F8</x:f>
        <x:v>SR-F02</x:v>
      </x:c>
      <x:c r="F8" s="8" t="n">
        <x:f>IF('Evaluation Plan'!D8="Concept/compositional transfer","",'Evaluation Plan'!G8)</x:f>
        <x:v>4</x:v>
      </x:c>
      <x:c r="G8" s="7" t="str">
        <x:f>'Evaluation Plan'!H8</x:f>
        <x:v>Put the open new lidded container in the bowl.</x:v>
      </x:c>
      <x:c r="H8" s="7" t="str">
        <x:f>'Evaluation Plan'!I8</x:f>
        <x:v>P1 white cup B (C, UD); P2 U2-B (O, UD) [TARGET]; P3 U2-A (C, UD) [STATE COMPETITOR]; P4 brown cup A (O, UR)</x:v>
      </x:c>
      <x:c r="I8" s="8" t="str">
        <x:f>'Evaluation Plan'!J8</x:f>
        <x:v>U2-B</x:v>
      </x:c>
      <x:c r="J8" s="8" t="str">
        <x:v>Not started</x:v>
      </x:c>
      <x:c r="K8" s="8"/>
      <x:c r="L8" s="8"/>
      <x:c r="M8" s="7"/>
    </x:row>
    <x:row r="9" ht="58" customHeight="1">
      <x:c r="A9" s="8" t="n">
        <x:f>'Evaluation Plan'!A9</x:f>
        <x:v>7</x:v>
      </x:c>
      <x:c r="B9" s="8" t="n">
        <x:f>'Evaluation Plan'!B9</x:f>
        <x:v>2</x:v>
      </x:c>
      <x:c r="C9" s="8" t="str">
        <x:f>'Evaluation Plan'!C9</x:f>
        <x:v>4 — Novel-object paraphrase</x:v>
      </x:c>
      <x:c r="D9" s="8" t="str">
        <x:f>'Evaluation Plan'!D9</x:f>
        <x:v>Language robustness</x:v>
      </x:c>
      <x:c r="E9" s="8" t="str">
        <x:f>'Evaluation Plan'!F9</x:f>
        <x:v>SR-F02</x:v>
      </x:c>
      <x:c r="F9" s="8" t="n">
        <x:f>IF('Evaluation Plan'!D9="Concept/compositional transfer","",'Evaluation Plan'!G9)</x:f>
        <x:v>6</x:v>
      </x:c>
      <x:c r="G9" s="7" t="str">
        <x:f>'Evaluation Plan'!H9</x:f>
        <x:v>Move the new lidded container that is open into the bowl.</x:v>
      </x:c>
      <x:c r="H9" s="7" t="str">
        <x:f>'Evaluation Plan'!I9</x:f>
        <x:v>P1 white cup B (C, UD); P2 U2-B (O, UD) [TARGET]; P3 U2-A (C, UD) [STATE COMPETITOR]; P4 brown cup A (O, UR)</x:v>
      </x:c>
      <x:c r="I9" s="8" t="str">
        <x:f>'Evaluation Plan'!J9</x:f>
        <x:v>U2-B</x:v>
      </x:c>
      <x:c r="J9" s="8" t="str">
        <x:v>Not started</x:v>
      </x:c>
      <x:c r="K9" s="8"/>
      <x:c r="L9" s="8"/>
      <x:c r="M9" s="7"/>
    </x:row>
    <x:row r="10" ht="58" customHeight="1">
      <x:c r="A10" s="9" t="n">
        <x:f>'Evaluation Plan'!A10</x:f>
        <x:v>8</x:v>
      </x:c>
      <x:c r="B10" s="9" t="n">
        <x:f>'Evaluation Plan'!B10</x:f>
        <x:v>3</x:v>
      </x:c>
      <x:c r="C10" s="9" t="str">
        <x:f>'Evaluation Plan'!C10</x:f>
        <x:v>1 — Canonical transfer</x:v>
      </x:c>
      <x:c r="D10" s="9" t="str">
        <x:f>'Evaluation Plan'!D10</x:f>
        <x:v>Concept/compositional transfer</x:v>
      </x:c>
      <x:c r="E10" s="9" t="str">
        <x:f>'Evaluation Plan'!F10</x:f>
        <x:v>SR-F03</x:v>
      </x:c>
      <x:c r="F10" s="9" t="str">
        <x:f>IF('Evaluation Plan'!D10="Concept/compositional transfer","",'Evaluation Plan'!G10)</x:f>
      </x:c>
      <x:c r="G10" s="10" t="str">
        <x:f>'Evaluation Plan'!H10</x:f>
        <x:v>Move the upright brown cup into the bowl.</x:v>
      </x:c>
      <x:c r="H10" s="10" t="str">
        <x:f>'Evaluation Plan'!I10</x:f>
        <x:v>P1 white cup A (O, UR); P2 yellow-white striped cup B (C, UD); P3 brown cup A (O, UR) [TARGET]; P4 brown cup B (O, UD) [STATE COMPETITOR]</x:v>
      </x:c>
      <x:c r="I10" s="9" t="str">
        <x:f>'Evaluation Plan'!J10</x:f>
        <x:v>brown cup A</x:v>
      </x:c>
      <x:c r="J10" s="9" t="str">
        <x:v>Not started</x:v>
      </x:c>
      <x:c r="K10" s="9"/>
      <x:c r="L10" s="9"/>
      <x:c r="M10" s="10"/>
    </x:row>
    <x:row r="11" ht="58" customHeight="1">
      <x:c r="A11" s="8" t="n">
        <x:f>'Evaluation Plan'!A11</x:f>
        <x:v>9</x:v>
      </x:c>
      <x:c r="B11" s="8" t="n">
        <x:f>'Evaluation Plan'!B11</x:f>
        <x:v>3</x:v>
      </x:c>
      <x:c r="C11" s="8" t="str">
        <x:f>'Evaluation Plan'!C11</x:f>
        <x:v>2 — Matched control</x:v>
      </x:c>
      <x:c r="D11" s="8" t="str">
        <x:f>'Evaluation Plan'!D11</x:f>
        <x:v>Matched manipulation control</x:v>
      </x:c>
      <x:c r="E11" s="8" t="str">
        <x:f>'Evaluation Plan'!F11</x:f>
        <x:v>SR-F03</x:v>
      </x:c>
      <x:c r="F11" s="8" t="n">
        <x:f>IF('Evaluation Plan'!D11="Concept/compositional transfer","",'Evaluation Plan'!G11)</x:f>
        <x:v>8</x:v>
      </x:c>
      <x:c r="G11" s="7" t="str">
        <x:f>'Evaluation Plan'!H11</x:f>
        <x:v>Move the brown cup into the bowl.</x:v>
      </x:c>
      <x:c r="H11" s="7" t="str">
        <x:f>'Evaluation Plan'!I11</x:f>
        <x:v>P1 white cup A (O, UR); P2 yellow-white striped cup B (C, UD); P3 brown cup A (O, UR) [TARGET]</x:v>
      </x:c>
      <x:c r="I11" s="8" t="str">
        <x:f>'Evaluation Plan'!J11</x:f>
        <x:v>brown cup A</x:v>
      </x:c>
      <x:c r="J11" s="8" t="str">
        <x:v>Not started</x:v>
      </x:c>
      <x:c r="K11" s="8"/>
      <x:c r="L11" s="8"/>
      <x:c r="M11" s="7"/>
    </x:row>
    <x:row r="12" ht="58" customHeight="1">
      <x:c r="A12" s="8" t="n">
        <x:f>'Evaluation Plan'!A12</x:f>
        <x:v>10</x:v>
      </x:c>
      <x:c r="B12" s="8" t="n">
        <x:f>'Evaluation Plan'!B12</x:f>
        <x:v>3</x:v>
      </x:c>
      <x:c r="C12" s="8" t="str">
        <x:f>'Evaluation Plan'!C12</x:f>
        <x:v>3 — Novel-object canonical</x:v>
      </x:c>
      <x:c r="D12" s="8" t="str">
        <x:f>'Evaluation Plan'!D12</x:f>
        <x:v>Visual generalization</x:v>
      </x:c>
      <x:c r="E12" s="8" t="str">
        <x:f>'Evaluation Plan'!F12</x:f>
        <x:v>SR-F03</x:v>
      </x:c>
      <x:c r="F12" s="8" t="n">
        <x:f>IF('Evaluation Plan'!D12="Concept/compositional transfer","",'Evaluation Plan'!G12)</x:f>
        <x:v>8</x:v>
      </x:c>
      <x:c r="G12" s="7" t="str">
        <x:f>'Evaluation Plan'!H12</x:f>
        <x:v>Move the upright new bottle into the bowl.</x:v>
      </x:c>
      <x:c r="H12" s="7" t="str">
        <x:f>'Evaluation Plan'!I12</x:f>
        <x:v>P1 white cup A (O, UR); P2 yellow-white striped cup B (C, UD); P3 U3-A (O, UR) [TARGET]; P4 U3-B (O, UD) [STATE COMPETITOR]</x:v>
      </x:c>
      <x:c r="I12" s="8" t="str">
        <x:f>'Evaluation Plan'!J12</x:f>
        <x:v>U3-A</x:v>
      </x:c>
      <x:c r="J12" s="8" t="str">
        <x:v>Not started</x:v>
      </x:c>
      <x:c r="K12" s="8"/>
      <x:c r="L12" s="8"/>
      <x:c r="M12" s="7"/>
    </x:row>
    <x:row r="13" ht="58" customHeight="1">
      <x:c r="A13" s="8" t="n">
        <x:f>'Evaluation Plan'!A13</x:f>
        <x:v>11</x:v>
      </x:c>
      <x:c r="B13" s="8" t="n">
        <x:f>'Evaluation Plan'!B13</x:f>
        <x:v>3</x:v>
      </x:c>
      <x:c r="C13" s="8" t="str">
        <x:f>'Evaluation Plan'!C13</x:f>
        <x:v>4 — Novel-object paraphrase</x:v>
      </x:c>
      <x:c r="D13" s="8" t="str">
        <x:f>'Evaluation Plan'!D13</x:f>
        <x:v>Language robustness</x:v>
      </x:c>
      <x:c r="E13" s="8" t="str">
        <x:f>'Evaluation Plan'!F13</x:f>
        <x:v>SR-F03</x:v>
      </x:c>
      <x:c r="F13" s="8" t="n">
        <x:f>IF('Evaluation Plan'!D13="Concept/compositional transfer","",'Evaluation Plan'!G13)</x:f>
        <x:v>10</x:v>
      </x:c>
      <x:c r="G13" s="7" t="str">
        <x:f>'Evaluation Plan'!H13</x:f>
        <x:v>Move the new bottle that is standing upright into the bowl.</x:v>
      </x:c>
      <x:c r="H13" s="7" t="str">
        <x:f>'Evaluation Plan'!I13</x:f>
        <x:v>P1 white cup A (O, UR); P2 yellow-white striped cup B (C, UD); P3 U3-A (O, UR) [TARGET]; P4 U3-B (O, UD) [STATE COMPETITOR]</x:v>
      </x:c>
      <x:c r="I13" s="8" t="str">
        <x:f>'Evaluation Plan'!J13</x:f>
        <x:v>U3-A</x:v>
      </x:c>
      <x:c r="J13" s="8" t="str">
        <x:v>Not started</x:v>
      </x:c>
      <x:c r="K13" s="8"/>
      <x:c r="L13" s="8"/>
      <x:c r="M13" s="7"/>
    </x:row>
    <x:row r="14" ht="58" customHeight="1">
      <x:c r="A14" s="9" t="n">
        <x:f>'Evaluation Plan'!A14</x:f>
        <x:v>12</x:v>
      </x:c>
      <x:c r="B14" s="9" t="n">
        <x:f>'Evaluation Plan'!B14</x:f>
        <x:v>4</x:v>
      </x:c>
      <x:c r="C14" s="9" t="str">
        <x:f>'Evaluation Plan'!C14</x:f>
        <x:v>1 — Canonical transfer</x:v>
      </x:c>
      <x:c r="D14" s="9" t="str">
        <x:f>'Evaluation Plan'!D14</x:f>
        <x:v>Concept/compositional transfer</x:v>
      </x:c>
      <x:c r="E14" s="9" t="str">
        <x:f>'Evaluation Plan'!F14</x:f>
        <x:v>SR-F04</x:v>
      </x:c>
      <x:c r="F14" s="9" t="str">
        <x:f>IF('Evaluation Plan'!D14="Concept/compositional transfer","",'Evaluation Plan'!G14)</x:f>
      </x:c>
      <x:c r="G14" s="10" t="str">
        <x:f>'Evaluation Plan'!H14</x:f>
        <x:v>Place the upside-down glass spice container in the bowl.</x:v>
      </x:c>
      <x:c r="H14" s="10" t="str">
        <x:f>'Evaluation Plan'!I14</x:f>
        <x:v>P1 glass spice container A (C, UR) [STATE COMPETITOR]; P2 white cup A (O, UR); P3 yellow-white striped cup B (C, UD); P4 glass spice container B (C, UD) [TARGET]</x:v>
      </x:c>
      <x:c r="I14" s="9" t="str">
        <x:f>'Evaluation Plan'!J14</x:f>
        <x:v>glass spice container B</x:v>
      </x:c>
      <x:c r="J14" s="9" t="str">
        <x:v>Not started</x:v>
      </x:c>
      <x:c r="K14" s="9"/>
      <x:c r="L14" s="9"/>
      <x:c r="M14" s="10"/>
    </x:row>
    <x:row r="15" ht="58" customHeight="1">
      <x:c r="A15" s="8" t="n">
        <x:f>'Evaluation Plan'!A15</x:f>
        <x:v>13</x:v>
      </x:c>
      <x:c r="B15" s="8" t="n">
        <x:f>'Evaluation Plan'!B15</x:f>
        <x:v>4</x:v>
      </x:c>
      <x:c r="C15" s="8" t="str">
        <x:f>'Evaluation Plan'!C15</x:f>
        <x:v>2 — Matched control</x:v>
      </x:c>
      <x:c r="D15" s="8" t="str">
        <x:f>'Evaluation Plan'!D15</x:f>
        <x:v>Matched manipulation control</x:v>
      </x:c>
      <x:c r="E15" s="8" t="str">
        <x:f>'Evaluation Plan'!F15</x:f>
        <x:v>SR-F04</x:v>
      </x:c>
      <x:c r="F15" s="8" t="n">
        <x:f>IF('Evaluation Plan'!D15="Concept/compositional transfer","",'Evaluation Plan'!G15)</x:f>
        <x:v>12</x:v>
      </x:c>
      <x:c r="G15" s="7" t="str">
        <x:f>'Evaluation Plan'!H15</x:f>
        <x:v>Place the glass spice container in the bowl.</x:v>
      </x:c>
      <x:c r="H15" s="7" t="str">
        <x:f>'Evaluation Plan'!I15</x:f>
        <x:v>P2 white cup A (O, UR); P3 yellow-white striped cup B (C, UD); P4 glass spice container B (C, UD) [TARGET]</x:v>
      </x:c>
      <x:c r="I15" s="8" t="str">
        <x:f>'Evaluation Plan'!J15</x:f>
        <x:v>glass spice container B</x:v>
      </x:c>
      <x:c r="J15" s="8" t="str">
        <x:v>Not started</x:v>
      </x:c>
      <x:c r="K15" s="8"/>
      <x:c r="L15" s="8"/>
      <x:c r="M15" s="7"/>
    </x:row>
    <x:row r="16" ht="58" customHeight="1">
      <x:c r="A16" s="8" t="n">
        <x:f>'Evaluation Plan'!A16</x:f>
        <x:v>14</x:v>
      </x:c>
      <x:c r="B16" s="8" t="n">
        <x:f>'Evaluation Plan'!B16</x:f>
        <x:v>4</x:v>
      </x:c>
      <x:c r="C16" s="8" t="str">
        <x:f>'Evaluation Plan'!C16</x:f>
        <x:v>3 — Novel-object canonical</x:v>
      </x:c>
      <x:c r="D16" s="8" t="str">
        <x:f>'Evaluation Plan'!D16</x:f>
        <x:v>Visual generalization</x:v>
      </x:c>
      <x:c r="E16" s="8" t="str">
        <x:f>'Evaluation Plan'!F16</x:f>
        <x:v>SR-F04</x:v>
      </x:c>
      <x:c r="F16" s="8" t="n">
        <x:f>IF('Evaluation Plan'!D16="Concept/compositional transfer","",'Evaluation Plan'!G16)</x:f>
        <x:v>12</x:v>
      </x:c>
      <x:c r="G16" s="7" t="str">
        <x:f>'Evaluation Plan'!H16</x:f>
        <x:v>Place the upside-down new asymmetric container in the bowl.</x:v>
      </x:c>
      <x:c r="H16" s="7" t="str">
        <x:f>'Evaluation Plan'!I16</x:f>
        <x:v>P1 U4-A (C, UR) [STATE COMPETITOR]; P2 white cup A (O, UR); P3 yellow-white striped cup B (C, UD); P4 U4-B (C, UD) [TARGET]</x:v>
      </x:c>
      <x:c r="I16" s="8" t="str">
        <x:f>'Evaluation Plan'!J16</x:f>
        <x:v>U4-B</x:v>
      </x:c>
      <x:c r="J16" s="8" t="str">
        <x:v>Not started</x:v>
      </x:c>
      <x:c r="K16" s="8"/>
      <x:c r="L16" s="8"/>
      <x:c r="M16" s="7"/>
    </x:row>
    <x:row r="17" ht="58" customHeight="1">
      <x:c r="A17" s="8" t="n">
        <x:f>'Evaluation Plan'!A17</x:f>
        <x:v>15</x:v>
      </x:c>
      <x:c r="B17" s="8" t="n">
        <x:f>'Evaluation Plan'!B17</x:f>
        <x:v>4</x:v>
      </x:c>
      <x:c r="C17" s="8" t="str">
        <x:f>'Evaluation Plan'!C17</x:f>
        <x:v>4 — Novel-object paraphrase</x:v>
      </x:c>
      <x:c r="D17" s="8" t="str">
        <x:f>'Evaluation Plan'!D17</x:f>
        <x:v>Language robustness</x:v>
      </x:c>
      <x:c r="E17" s="8" t="str">
        <x:f>'Evaluation Plan'!F17</x:f>
        <x:v>SR-F04</x:v>
      </x:c>
      <x:c r="F17" s="8" t="n">
        <x:f>IF('Evaluation Plan'!D17="Concept/compositional transfer","",'Evaluation Plan'!G17)</x:f>
        <x:v>14</x:v>
      </x:c>
      <x:c r="G17" s="7" t="str">
        <x:f>'Evaluation Plan'!H17</x:f>
        <x:v>Move the new asymmetric container that is turned upside down into the bowl.</x:v>
      </x:c>
      <x:c r="H17" s="7" t="str">
        <x:f>'Evaluation Plan'!I17</x:f>
        <x:v>P1 U4-A (C, UR) [STATE COMPETITOR]; P2 white cup A (O, UR); P3 yellow-white striped cup B (C, UD); P4 U4-B (C, UD) [TARGET]</x:v>
      </x:c>
      <x:c r="I17" s="8" t="str">
        <x:f>'Evaluation Plan'!J17</x:f>
        <x:v>U4-B</x:v>
      </x:c>
      <x:c r="J17" s="8" t="str">
        <x:v>Not started</x:v>
      </x:c>
      <x:c r="K17" s="8"/>
      <x:c r="L17" s="8"/>
      <x:c r="M17" s="7"/>
    </x:row>
    <x:row r="18" ht="58" customHeight="1">
      <x:c r="A18" s="9" t="n">
        <x:f>'Evaluation Plan'!A18</x:f>
        <x:v>16</x:v>
      </x:c>
      <x:c r="B18" s="9" t="n">
        <x:f>'Evaluation Plan'!B18</x:f>
        <x:v>5</x:v>
      </x:c>
      <x:c r="C18" s="9" t="str">
        <x:f>'Evaluation Plan'!C18</x:f>
        <x:v>1 — Canonical transfer</x:v>
      </x:c>
      <x:c r="D18" s="9" t="str">
        <x:f>'Evaluation Plan'!D18</x:f>
        <x:v>Concept/compositional transfer</x:v>
      </x:c>
      <x:c r="E18" s="9" t="str">
        <x:f>'Evaluation Plan'!F18</x:f>
        <x:v>SR-F05</x:v>
      </x:c>
      <x:c r="F18" s="9" t="str">
        <x:f>IF('Evaluation Plan'!D18="Concept/compositional transfer","",'Evaluation Plan'!G18)</x:f>
      </x:c>
      <x:c r="G18" s="10" t="str">
        <x:f>'Evaluation Plan'!H18</x:f>
        <x:v>Put the closed yellow-white striped cup in the bowl.</x:v>
      </x:c>
      <x:c r="H18" s="10" t="str">
        <x:f>'Evaluation Plan'!I18</x:f>
        <x:v>P1 yellow-white striped cup A (C, UR) [TARGET]; P2 yellow-white striped cup B (O, UR) [STATE COMPETITOR]; P3 white cup A (O, UR); P4 brown cup B (C, UD)</x:v>
      </x:c>
      <x:c r="I18" s="9" t="str">
        <x:f>'Evaluation Plan'!J18</x:f>
        <x:v>yellow-white striped cup A</x:v>
      </x:c>
      <x:c r="J18" s="9" t="str">
        <x:v>Not started</x:v>
      </x:c>
      <x:c r="K18" s="9"/>
      <x:c r="L18" s="9"/>
      <x:c r="M18" s="10"/>
    </x:row>
    <x:row r="19" ht="58" customHeight="1">
      <x:c r="A19" s="8" t="n">
        <x:f>'Evaluation Plan'!A19</x:f>
        <x:v>17</x:v>
      </x:c>
      <x:c r="B19" s="8" t="n">
        <x:f>'Evaluation Plan'!B19</x:f>
        <x:v>5</x:v>
      </x:c>
      <x:c r="C19" s="8" t="str">
        <x:f>'Evaluation Plan'!C19</x:f>
        <x:v>2 — Matched control</x:v>
      </x:c>
      <x:c r="D19" s="8" t="str">
        <x:f>'Evaluation Plan'!D19</x:f>
        <x:v>Matched manipulation control</x:v>
      </x:c>
      <x:c r="E19" s="8" t="str">
        <x:f>'Evaluation Plan'!F19</x:f>
        <x:v>SR-F05</x:v>
      </x:c>
      <x:c r="F19" s="8" t="n">
        <x:f>IF('Evaluation Plan'!D19="Concept/compositional transfer","",'Evaluation Plan'!G19)</x:f>
        <x:v>16</x:v>
      </x:c>
      <x:c r="G19" s="7" t="str">
        <x:f>'Evaluation Plan'!H19</x:f>
        <x:v>Put the yellow-white striped cup in the bowl.</x:v>
      </x:c>
      <x:c r="H19" s="7" t="str">
        <x:f>'Evaluation Plan'!I19</x:f>
        <x:v>P1 yellow-white striped cup A (C, UR) [TARGET]; P3 white cup A (O, UR); P4 brown cup B (C, UD)</x:v>
      </x:c>
      <x:c r="I19" s="8" t="str">
        <x:f>'Evaluation Plan'!J19</x:f>
        <x:v>yellow-white striped cup A</x:v>
      </x:c>
      <x:c r="J19" s="8" t="str">
        <x:v>Not started</x:v>
      </x:c>
      <x:c r="K19" s="8"/>
      <x:c r="L19" s="8"/>
      <x:c r="M19" s="7"/>
    </x:row>
    <x:row r="20" ht="58" customHeight="1">
      <x:c r="A20" s="8" t="n">
        <x:f>'Evaluation Plan'!A20</x:f>
        <x:v>18</x:v>
      </x:c>
      <x:c r="B20" s="8" t="n">
        <x:f>'Evaluation Plan'!B20</x:f>
        <x:v>5</x:v>
      </x:c>
      <x:c r="C20" s="8" t="str">
        <x:f>'Evaluation Plan'!C20</x:f>
        <x:v>3 — Novel-object canonical</x:v>
      </x:c>
      <x:c r="D20" s="8" t="str">
        <x:f>'Evaluation Plan'!D20</x:f>
        <x:v>Visual generalization</x:v>
      </x:c>
      <x:c r="E20" s="8" t="str">
        <x:f>'Evaluation Plan'!F20</x:f>
        <x:v>SR-F05</x:v>
      </x:c>
      <x:c r="F20" s="8" t="n">
        <x:f>IF('Evaluation Plan'!D20="Concept/compositional transfer","",'Evaluation Plan'!G20)</x:f>
        <x:v>16</x:v>
      </x:c>
      <x:c r="G20" s="7" t="str">
        <x:f>'Evaluation Plan'!H20</x:f>
        <x:v>Put the closed black cup in the bowl.</x:v>
      </x:c>
      <x:c r="H20" s="7" t="str">
        <x:f>'Evaluation Plan'!I20</x:f>
        <x:v>P1 U1-A (C, UR) [TARGET]; P2 U1-B (O, UR) [STATE COMPETITOR]; P3 white cup A (O, UR); P4 brown cup B (C, UD)</x:v>
      </x:c>
      <x:c r="I20" s="8" t="str">
        <x:f>'Evaluation Plan'!J20</x:f>
        <x:v>U1-A</x:v>
      </x:c>
      <x:c r="J20" s="8" t="str">
        <x:v>Not started</x:v>
      </x:c>
      <x:c r="K20" s="8"/>
      <x:c r="L20" s="8"/>
      <x:c r="M20" s="7"/>
    </x:row>
    <x:row r="21" ht="58" customHeight="1">
      <x:c r="A21" s="8" t="n">
        <x:f>'Evaluation Plan'!A21</x:f>
        <x:v>19</x:v>
      </x:c>
      <x:c r="B21" s="8" t="n">
        <x:f>'Evaluation Plan'!B21</x:f>
        <x:v>5</x:v>
      </x:c>
      <x:c r="C21" s="8" t="str">
        <x:f>'Evaluation Plan'!C21</x:f>
        <x:v>4 — Novel-object paraphrase</x:v>
      </x:c>
      <x:c r="D21" s="8" t="str">
        <x:f>'Evaluation Plan'!D21</x:f>
        <x:v>Language robustness</x:v>
      </x:c>
      <x:c r="E21" s="8" t="str">
        <x:f>'Evaluation Plan'!F21</x:f>
        <x:v>SR-F05</x:v>
      </x:c>
      <x:c r="F21" s="8" t="n">
        <x:f>IF('Evaluation Plan'!D21="Concept/compositional transfer","",'Evaluation Plan'!G21)</x:f>
        <x:v>18</x:v>
      </x:c>
      <x:c r="G21" s="7" t="str">
        <x:f>'Evaluation Plan'!H21</x:f>
        <x:v>Put the black cup with its opening covered in the bowl.</x:v>
      </x:c>
      <x:c r="H21" s="7" t="str">
        <x:f>'Evaluation Plan'!I21</x:f>
        <x:v>P1 U1-A (C, UR) [TARGET]; P2 U1-B (O, UR) [STATE COMPETITOR]; P3 white cup A (O, UR); P4 brown cup B (C, UD)</x:v>
      </x:c>
      <x:c r="I21" s="8" t="str">
        <x:f>'Evaluation Plan'!J21</x:f>
        <x:v>U1-A</x:v>
      </x:c>
      <x:c r="J21" s="8" t="str">
        <x:v>Not started</x:v>
      </x:c>
      <x:c r="K21" s="8"/>
      <x:c r="L21" s="8"/>
      <x:c r="M21" s="7"/>
    </x:row>
    <x:row r="22" ht="58" customHeight="1">
      <x:c r="A22" s="9" t="n">
        <x:f>'Evaluation Plan'!A22</x:f>
        <x:v>20</x:v>
      </x:c>
      <x:c r="B22" s="9" t="n">
        <x:f>'Evaluation Plan'!B22</x:f>
        <x:v>6</x:v>
      </x:c>
      <x:c r="C22" s="9" t="str">
        <x:f>'Evaluation Plan'!C22</x:f>
        <x:v>1 — Canonical transfer</x:v>
      </x:c>
      <x:c r="D22" s="9" t="str">
        <x:f>'Evaluation Plan'!D22</x:f>
        <x:v>Concept/compositional transfer</x:v>
      </x:c>
      <x:c r="E22" s="9" t="str">
        <x:f>'Evaluation Plan'!F22</x:f>
        <x:v>SR-F06</x:v>
      </x:c>
      <x:c r="F22" s="9" t="str">
        <x:f>IF('Evaluation Plan'!D22="Concept/compositional transfer","",'Evaluation Plan'!G22)</x:f>
      </x:c>
      <x:c r="G22" s="10" t="str">
        <x:f>'Evaluation Plan'!H22</x:f>
        <x:v>Move the open brown cup into the bowl.</x:v>
      </x:c>
      <x:c r="H22" s="10" t="str">
        <x:f>'Evaluation Plan'!I22</x:f>
        <x:v>P1 white cup B (C, UD); P2 brown cup B (O, UD) [TARGET]; P3 brown cup A (C, UD) [STATE COMPETITOR]; P4 yellow-white striped cup A (O, UR)</x:v>
      </x:c>
      <x:c r="I22" s="9" t="str">
        <x:f>'Evaluation Plan'!J22</x:f>
        <x:v>brown cup B</x:v>
      </x:c>
      <x:c r="J22" s="9" t="str">
        <x:v>Not started</x:v>
      </x:c>
      <x:c r="K22" s="9"/>
      <x:c r="L22" s="9"/>
      <x:c r="M22" s="10"/>
    </x:row>
    <x:row r="23" ht="58" customHeight="1">
      <x:c r="A23" s="8" t="n">
        <x:f>'Evaluation Plan'!A23</x:f>
        <x:v>21</x:v>
      </x:c>
      <x:c r="B23" s="8" t="n">
        <x:f>'Evaluation Plan'!B23</x:f>
        <x:v>6</x:v>
      </x:c>
      <x:c r="C23" s="8" t="str">
        <x:f>'Evaluation Plan'!C23</x:f>
        <x:v>2 — Matched control</x:v>
      </x:c>
      <x:c r="D23" s="8" t="str">
        <x:f>'Evaluation Plan'!D23</x:f>
        <x:v>Matched manipulation control</x:v>
      </x:c>
      <x:c r="E23" s="8" t="str">
        <x:f>'Evaluation Plan'!F23</x:f>
        <x:v>SR-F06</x:v>
      </x:c>
      <x:c r="F23" s="8" t="n">
        <x:f>IF('Evaluation Plan'!D23="Concept/compositional transfer","",'Evaluation Plan'!G23)</x:f>
        <x:v>20</x:v>
      </x:c>
      <x:c r="G23" s="7" t="str">
        <x:f>'Evaluation Plan'!H23</x:f>
        <x:v>Move the brown cup into the bowl.</x:v>
      </x:c>
      <x:c r="H23" s="7" t="str">
        <x:f>'Evaluation Plan'!I23</x:f>
        <x:v>P1 white cup B (C, UD); P2 brown cup B (O, UD) [TARGET]; P4 yellow-white striped cup A (O, UR)</x:v>
      </x:c>
      <x:c r="I23" s="8" t="str">
        <x:f>'Evaluation Plan'!J23</x:f>
        <x:v>brown cup B</x:v>
      </x:c>
      <x:c r="J23" s="8" t="str">
        <x:v>Not started</x:v>
      </x:c>
      <x:c r="K23" s="8"/>
      <x:c r="L23" s="8"/>
      <x:c r="M23" s="7"/>
    </x:row>
    <x:row r="24" ht="58" customHeight="1">
      <x:c r="A24" s="8" t="n">
        <x:f>'Evaluation Plan'!A24</x:f>
        <x:v>22</x:v>
      </x:c>
      <x:c r="B24" s="8" t="n">
        <x:f>'Evaluation Plan'!B24</x:f>
        <x:v>6</x:v>
      </x:c>
      <x:c r="C24" s="8" t="str">
        <x:f>'Evaluation Plan'!C24</x:f>
        <x:v>3 — Novel-object canonical</x:v>
      </x:c>
      <x:c r="D24" s="8" t="str">
        <x:f>'Evaluation Plan'!D24</x:f>
        <x:v>Visual generalization</x:v>
      </x:c>
      <x:c r="E24" s="8" t="str">
        <x:f>'Evaluation Plan'!F24</x:f>
        <x:v>SR-F06</x:v>
      </x:c>
      <x:c r="F24" s="8" t="n">
        <x:f>IF('Evaluation Plan'!D24="Concept/compositional transfer","",'Evaluation Plan'!G24)</x:f>
        <x:v>20</x:v>
      </x:c>
      <x:c r="G24" s="7" t="str">
        <x:f>'Evaluation Plan'!H24</x:f>
        <x:v>Move the open new lidded container into the bowl.</x:v>
      </x:c>
      <x:c r="H24" s="7" t="str">
        <x:f>'Evaluation Plan'!I24</x:f>
        <x:v>P1 white cup B (C, UD); P2 U2-B (O, UD) [TARGET]; P3 U2-A (C, UD) [STATE COMPETITOR]; P4 yellow-white striped cup A (O, UR)</x:v>
      </x:c>
      <x:c r="I24" s="8" t="str">
        <x:f>'Evaluation Plan'!J24</x:f>
        <x:v>U2-B</x:v>
      </x:c>
      <x:c r="J24" s="8" t="str">
        <x:v>Not started</x:v>
      </x:c>
      <x:c r="K24" s="8"/>
      <x:c r="L24" s="8"/>
      <x:c r="M24" s="7"/>
    </x:row>
    <x:row r="25" ht="58" customHeight="1">
      <x:c r="A25" s="8" t="n">
        <x:f>'Evaluation Plan'!A25</x:f>
        <x:v>23</x:v>
      </x:c>
      <x:c r="B25" s="8" t="n">
        <x:f>'Evaluation Plan'!B25</x:f>
        <x:v>6</x:v>
      </x:c>
      <x:c r="C25" s="8" t="str">
        <x:f>'Evaluation Plan'!C25</x:f>
        <x:v>4 — Novel-object paraphrase</x:v>
      </x:c>
      <x:c r="D25" s="8" t="str">
        <x:f>'Evaluation Plan'!D25</x:f>
        <x:v>Language robustness</x:v>
      </x:c>
      <x:c r="E25" s="8" t="str">
        <x:f>'Evaluation Plan'!F25</x:f>
        <x:v>SR-F06</x:v>
      </x:c>
      <x:c r="F25" s="8" t="n">
        <x:f>IF('Evaluation Plan'!D25="Concept/compositional transfer","",'Evaluation Plan'!G25)</x:f>
        <x:v>22</x:v>
      </x:c>
      <x:c r="G25" s="7" t="str">
        <x:f>'Evaluation Plan'!H25</x:f>
        <x:v>Put the new lidded container with its opening uncovered in the bowl.</x:v>
      </x:c>
      <x:c r="H25" s="7" t="str">
        <x:f>'Evaluation Plan'!I25</x:f>
        <x:v>P1 white cup B (C, UD); P2 U2-B (O, UD) [TARGET]; P3 U2-A (C, UD) [STATE COMPETITOR]; P4 yellow-white striped cup A (O, UR)</x:v>
      </x:c>
      <x:c r="I25" s="8" t="str">
        <x:f>'Evaluation Plan'!J25</x:f>
        <x:v>U2-B</x:v>
      </x:c>
      <x:c r="J25" s="8" t="str">
        <x:v>Not started</x:v>
      </x:c>
      <x:c r="K25" s="8"/>
      <x:c r="L25" s="8"/>
      <x:c r="M25" s="7"/>
    </x:row>
    <x:row r="26" ht="58" customHeight="1">
      <x:c r="A26" s="9" t="n">
        <x:f>'Evaluation Plan'!A26</x:f>
        <x:v>24</x:v>
      </x:c>
      <x:c r="B26" s="9" t="n">
        <x:f>'Evaluation Plan'!B26</x:f>
        <x:v>7</x:v>
      </x:c>
      <x:c r="C26" s="9" t="str">
        <x:f>'Evaluation Plan'!C26</x:f>
        <x:v>1 — Canonical transfer</x:v>
      </x:c>
      <x:c r="D26" s="9" t="str">
        <x:f>'Evaluation Plan'!D26</x:f>
        <x:v>Concept/compositional transfer</x:v>
      </x:c>
      <x:c r="E26" s="9" t="str">
        <x:f>'Evaluation Plan'!F26</x:f>
        <x:v>SR-F07</x:v>
      </x:c>
      <x:c r="F26" s="9" t="str">
        <x:f>IF('Evaluation Plan'!D26="Concept/compositional transfer","",'Evaluation Plan'!G26)</x:f>
      </x:c>
      <x:c r="G26" s="10" t="str">
        <x:f>'Evaluation Plan'!H26</x:f>
        <x:v>Place the upright glass spice container in the bowl.</x:v>
      </x:c>
      <x:c r="H26" s="10" t="str">
        <x:f>'Evaluation Plan'!I26</x:f>
        <x:v>P1 white cup A (O, UR); P2 yellow-white striped cup B (C, UD); P3 glass spice container A (O, UR) [TARGET]; P4 glass spice container B (O, UD) [STATE COMPETITOR]</x:v>
      </x:c>
      <x:c r="I26" s="9" t="str">
        <x:f>'Evaluation Plan'!J26</x:f>
        <x:v>glass spice container A</x:v>
      </x:c>
      <x:c r="J26" s="9" t="str">
        <x:v>Not started</x:v>
      </x:c>
      <x:c r="K26" s="9"/>
      <x:c r="L26" s="9"/>
      <x:c r="M26" s="10"/>
    </x:row>
    <x:row r="27" ht="58" customHeight="1">
      <x:c r="A27" s="8" t="n">
        <x:f>'Evaluation Plan'!A27</x:f>
        <x:v>25</x:v>
      </x:c>
      <x:c r="B27" s="8" t="n">
        <x:f>'Evaluation Plan'!B27</x:f>
        <x:v>7</x:v>
      </x:c>
      <x:c r="C27" s="8" t="str">
        <x:f>'Evaluation Plan'!C27</x:f>
        <x:v>2 — Matched control</x:v>
      </x:c>
      <x:c r="D27" s="8" t="str">
        <x:f>'Evaluation Plan'!D27</x:f>
        <x:v>Matched manipulation control</x:v>
      </x:c>
      <x:c r="E27" s="8" t="str">
        <x:f>'Evaluation Plan'!F27</x:f>
        <x:v>SR-F07</x:v>
      </x:c>
      <x:c r="F27" s="8" t="n">
        <x:f>IF('Evaluation Plan'!D27="Concept/compositional transfer","",'Evaluation Plan'!G27)</x:f>
        <x:v>24</x:v>
      </x:c>
      <x:c r="G27" s="7" t="str">
        <x:f>'Evaluation Plan'!H27</x:f>
        <x:v>Place the glass spice container in the bowl.</x:v>
      </x:c>
      <x:c r="H27" s="7" t="str">
        <x:f>'Evaluation Plan'!I27</x:f>
        <x:v>P1 white cup A (O, UR); P2 yellow-white striped cup B (C, UD); P3 glass spice container A (O, UR) [TARGET]</x:v>
      </x:c>
      <x:c r="I27" s="8" t="str">
        <x:f>'Evaluation Plan'!J27</x:f>
        <x:v>glass spice container A</x:v>
      </x:c>
      <x:c r="J27" s="8" t="str">
        <x:v>Not started</x:v>
      </x:c>
      <x:c r="K27" s="8"/>
      <x:c r="L27" s="8"/>
      <x:c r="M27" s="7"/>
    </x:row>
    <x:row r="28" ht="58" customHeight="1">
      <x:c r="A28" s="8" t="n">
        <x:f>'Evaluation Plan'!A28</x:f>
        <x:v>26</x:v>
      </x:c>
      <x:c r="B28" s="8" t="n">
        <x:f>'Evaluation Plan'!B28</x:f>
        <x:v>7</x:v>
      </x:c>
      <x:c r="C28" s="8" t="str">
        <x:f>'Evaluation Plan'!C28</x:f>
        <x:v>3 — Novel-object canonical</x:v>
      </x:c>
      <x:c r="D28" s="8" t="str">
        <x:f>'Evaluation Plan'!D28</x:f>
        <x:v>Visual generalization</x:v>
      </x:c>
      <x:c r="E28" s="8" t="str">
        <x:f>'Evaluation Plan'!F28</x:f>
        <x:v>SR-F07</x:v>
      </x:c>
      <x:c r="F28" s="8" t="n">
        <x:f>IF('Evaluation Plan'!D28="Concept/compositional transfer","",'Evaluation Plan'!G28)</x:f>
        <x:v>24</x:v>
      </x:c>
      <x:c r="G28" s="7" t="str">
        <x:f>'Evaluation Plan'!H28</x:f>
        <x:v>Place the upright new bottle in the bowl.</x:v>
      </x:c>
      <x:c r="H28" s="7" t="str">
        <x:f>'Evaluation Plan'!I28</x:f>
        <x:v>P1 white cup A (O, UR); P2 yellow-white striped cup B (C, UD); P3 U3-A (O, UR) [TARGET]; P4 U3-B (O, UD) [STATE COMPETITOR]</x:v>
      </x:c>
      <x:c r="I28" s="8" t="str">
        <x:f>'Evaluation Plan'!J28</x:f>
        <x:v>U3-A</x:v>
      </x:c>
      <x:c r="J28" s="8" t="str">
        <x:v>Not started</x:v>
      </x:c>
      <x:c r="K28" s="8"/>
      <x:c r="L28" s="8"/>
      <x:c r="M28" s="7"/>
    </x:row>
    <x:row r="29" ht="58" customHeight="1">
      <x:c r="A29" s="8" t="n">
        <x:f>'Evaluation Plan'!A29</x:f>
        <x:v>27</x:v>
      </x:c>
      <x:c r="B29" s="8" t="n">
        <x:f>'Evaluation Plan'!B29</x:f>
        <x:v>7</x:v>
      </x:c>
      <x:c r="C29" s="8" t="str">
        <x:f>'Evaluation Plan'!C29</x:f>
        <x:v>4 — Novel-object paraphrase</x:v>
      </x:c>
      <x:c r="D29" s="8" t="str">
        <x:f>'Evaluation Plan'!D29</x:f>
        <x:v>Language robustness</x:v>
      </x:c>
      <x:c r="E29" s="8" t="str">
        <x:f>'Evaluation Plan'!F29</x:f>
        <x:v>SR-F07</x:v>
      </x:c>
      <x:c r="F29" s="8" t="n">
        <x:f>IF('Evaluation Plan'!D29="Concept/compositional transfer","",'Evaluation Plan'!G29)</x:f>
        <x:v>26</x:v>
      </x:c>
      <x:c r="G29" s="7" t="str">
        <x:f>'Evaluation Plan'!H29</x:f>
        <x:v>Put the right-side-up new bottle in the bowl.</x:v>
      </x:c>
      <x:c r="H29" s="7" t="str">
        <x:f>'Evaluation Plan'!I29</x:f>
        <x:v>P1 white cup A (O, UR); P2 yellow-white striped cup B (C, UD); P3 U3-A (O, UR) [TARGET]; P4 U3-B (O, UD) [STATE COMPETITOR]</x:v>
      </x:c>
      <x:c r="I29" s="8" t="str">
        <x:f>'Evaluation Plan'!J29</x:f>
        <x:v>U3-A</x:v>
      </x:c>
      <x:c r="J29" s="8" t="str">
        <x:v>Not started</x:v>
      </x:c>
      <x:c r="K29" s="8"/>
      <x:c r="L29" s="8"/>
      <x:c r="M29" s="7"/>
    </x:row>
    <x:row r="30" ht="58" customHeight="1">
      <x:c r="A30" s="9" t="n">
        <x:f>'Evaluation Plan'!A30</x:f>
        <x:v>28</x:v>
      </x:c>
      <x:c r="B30" s="9" t="n">
        <x:f>'Evaluation Plan'!B30</x:f>
        <x:v>8</x:v>
      </x:c>
      <x:c r="C30" s="9" t="str">
        <x:f>'Evaluation Plan'!C30</x:f>
        <x:v>1 — Canonical transfer</x:v>
      </x:c>
      <x:c r="D30" s="9" t="str">
        <x:f>'Evaluation Plan'!D30</x:f>
        <x:v>Concept/compositional transfer</x:v>
      </x:c>
      <x:c r="E30" s="9" t="str">
        <x:f>'Evaluation Plan'!F30</x:f>
        <x:v>SR-F08</x:v>
      </x:c>
      <x:c r="F30" s="9" t="str">
        <x:f>IF('Evaluation Plan'!D30="Concept/compositional transfer","",'Evaluation Plan'!G30)</x:f>
      </x:c>
      <x:c r="G30" s="10" t="str">
        <x:f>'Evaluation Plan'!H30</x:f>
        <x:v>Put the upside-down white cup in the bowl.</x:v>
      </x:c>
      <x:c r="H30" s="10" t="str">
        <x:f>'Evaluation Plan'!I30</x:f>
        <x:v>P1 white cup A (C, UR) [STATE COMPETITOR]; P2 yellow-white striped cup A (O, UR); P3 brown cup B (C, UD); P4 white cup B (C, UD) [TARGET]</x:v>
      </x:c>
      <x:c r="I30" s="9" t="str">
        <x:f>'Evaluation Plan'!J30</x:f>
        <x:v>white cup B</x:v>
      </x:c>
      <x:c r="J30" s="9" t="str">
        <x:v>Not started</x:v>
      </x:c>
      <x:c r="K30" s="9"/>
      <x:c r="L30" s="9"/>
      <x:c r="M30" s="10"/>
    </x:row>
    <x:row r="31" ht="58" customHeight="1">
      <x:c r="A31" s="8" t="n">
        <x:f>'Evaluation Plan'!A31</x:f>
        <x:v>29</x:v>
      </x:c>
      <x:c r="B31" s="8" t="n">
        <x:f>'Evaluation Plan'!B31</x:f>
        <x:v>8</x:v>
      </x:c>
      <x:c r="C31" s="8" t="str">
        <x:f>'Evaluation Plan'!C31</x:f>
        <x:v>2 — Matched control</x:v>
      </x:c>
      <x:c r="D31" s="8" t="str">
        <x:f>'Evaluation Plan'!D31</x:f>
        <x:v>Matched manipulation control</x:v>
      </x:c>
      <x:c r="E31" s="8" t="str">
        <x:f>'Evaluation Plan'!F31</x:f>
        <x:v>SR-F08</x:v>
      </x:c>
      <x:c r="F31" s="8" t="n">
        <x:f>IF('Evaluation Plan'!D31="Concept/compositional transfer","",'Evaluation Plan'!G31)</x:f>
        <x:v>28</x:v>
      </x:c>
      <x:c r="G31" s="7" t="str">
        <x:f>'Evaluation Plan'!H31</x:f>
        <x:v>Put the white cup in the bowl.</x:v>
      </x:c>
      <x:c r="H31" s="7" t="str">
        <x:f>'Evaluation Plan'!I31</x:f>
        <x:v>P2 yellow-white striped cup A (O, UR); P3 brown cup B (C, UD); P4 white cup B (C, UD) [TARGET]</x:v>
      </x:c>
      <x:c r="I31" s="8" t="str">
        <x:f>'Evaluation Plan'!J31</x:f>
        <x:v>white cup B</x:v>
      </x:c>
      <x:c r="J31" s="8" t="str">
        <x:v>Not started</x:v>
      </x:c>
      <x:c r="K31" s="8"/>
      <x:c r="L31" s="8"/>
      <x:c r="M31" s="7"/>
    </x:row>
    <x:row r="32" ht="58" customHeight="1">
      <x:c r="A32" s="8" t="n">
        <x:f>'Evaluation Plan'!A32</x:f>
        <x:v>30</x:v>
      </x:c>
      <x:c r="B32" s="8" t="n">
        <x:f>'Evaluation Plan'!B32</x:f>
        <x:v>8</x:v>
      </x:c>
      <x:c r="C32" s="8" t="str">
        <x:f>'Evaluation Plan'!C32</x:f>
        <x:v>3 — Novel-object canonical</x:v>
      </x:c>
      <x:c r="D32" s="8" t="str">
        <x:f>'Evaluation Plan'!D32</x:f>
        <x:v>Visual generalization</x:v>
      </x:c>
      <x:c r="E32" s="8" t="str">
        <x:f>'Evaluation Plan'!F32</x:f>
        <x:v>SR-F08</x:v>
      </x:c>
      <x:c r="F32" s="8" t="n">
        <x:f>IF('Evaluation Plan'!D32="Concept/compositional transfer","",'Evaluation Plan'!G32)</x:f>
        <x:v>28</x:v>
      </x:c>
      <x:c r="G32" s="7" t="str">
        <x:f>'Evaluation Plan'!H32</x:f>
        <x:v>Put the upside-down new asymmetric container in the bowl.</x:v>
      </x:c>
      <x:c r="H32" s="7" t="str">
        <x:f>'Evaluation Plan'!I32</x:f>
        <x:v>P1 U4-A (C, UR) [STATE COMPETITOR]; P2 yellow-white striped cup A (O, UR); P3 brown cup B (C, UD); P4 U4-B (C, UD) [TARGET]</x:v>
      </x:c>
      <x:c r="I32" s="8" t="str">
        <x:f>'Evaluation Plan'!J32</x:f>
        <x:v>U4-B</x:v>
      </x:c>
      <x:c r="J32" s="8" t="str">
        <x:v>Not started</x:v>
      </x:c>
      <x:c r="K32" s="8"/>
      <x:c r="L32" s="8"/>
      <x:c r="M32" s="7"/>
    </x:row>
    <x:row r="33" ht="58" customHeight="1">
      <x:c r="A33" s="8" t="n">
        <x:f>'Evaluation Plan'!A33</x:f>
        <x:v>31</x:v>
      </x:c>
      <x:c r="B33" s="8" t="n">
        <x:f>'Evaluation Plan'!B33</x:f>
        <x:v>8</x:v>
      </x:c>
      <x:c r="C33" s="8" t="str">
        <x:f>'Evaluation Plan'!C33</x:f>
        <x:v>4 — Novel-object paraphrase</x:v>
      </x:c>
      <x:c r="D33" s="8" t="str">
        <x:f>'Evaluation Plan'!D33</x:f>
        <x:v>Language robustness</x:v>
      </x:c>
      <x:c r="E33" s="8" t="str">
        <x:f>'Evaluation Plan'!F33</x:f>
        <x:v>SR-F08</x:v>
      </x:c>
      <x:c r="F33" s="8" t="n">
        <x:f>IF('Evaluation Plan'!D33="Concept/compositional transfer","",'Evaluation Plan'!G33)</x:f>
        <x:v>30</x:v>
      </x:c>
      <x:c r="G33" s="7" t="str">
        <x:f>'Evaluation Plan'!H33</x:f>
        <x:v>Put the inverted new asymmetric container in the bowl.</x:v>
      </x:c>
      <x:c r="H33" s="7" t="str">
        <x:f>'Evaluation Plan'!I33</x:f>
        <x:v>P1 U4-A (C, UR) [STATE COMPETITOR]; P2 yellow-white striped cup A (O, UR); P3 brown cup B (C, UD); P4 U4-B (C, UD) [TARGET]</x:v>
      </x:c>
      <x:c r="I33" s="8" t="str">
        <x:f>'Evaluation Plan'!J33</x:f>
        <x:v>U4-B</x:v>
      </x:c>
      <x:c r="J33" s="8" t="str">
        <x:v>Not started</x:v>
      </x:c>
      <x:c r="K33" s="8"/>
      <x:c r="L33" s="8"/>
      <x:c r="M33" s="7"/>
    </x:row>
    <x:row r="34" ht="58" customHeight="1">
      <x:c r="A34" s="9" t="n">
        <x:f>'Evaluation Plan'!A34</x:f>
        <x:v>32</x:v>
      </x:c>
      <x:c r="B34" s="9" t="n">
        <x:f>'Evaluation Plan'!B34</x:f>
        <x:v>9</x:v>
      </x:c>
      <x:c r="C34" s="9" t="str">
        <x:f>'Evaluation Plan'!C34</x:f>
        <x:v>1 — Canonical transfer</x:v>
      </x:c>
      <x:c r="D34" s="9" t="str">
        <x:f>'Evaluation Plan'!D34</x:f>
        <x:v>Concept/compositional transfer</x:v>
      </x:c>
      <x:c r="E34" s="9" t="str">
        <x:f>'Evaluation Plan'!F34</x:f>
        <x:v>SR-F09</x:v>
      </x:c>
      <x:c r="F34" s="9" t="str">
        <x:f>IF('Evaluation Plan'!D34="Concept/compositional transfer","",'Evaluation Plan'!G34)</x:f>
      </x:c>
      <x:c r="G34" s="10" t="str">
        <x:f>'Evaluation Plan'!H34</x:f>
        <x:v>Move the closed brown cup into the bowl.</x:v>
      </x:c>
      <x:c r="H34" s="10" t="str">
        <x:f>'Evaluation Plan'!I34</x:f>
        <x:v>P1 brown cup A (C, UR) [TARGET]; P2 brown cup B (O, UR) [STATE COMPETITOR]; P3 white cup A (O, UR); P4 yellow-white striped cup B (C, UD)</x:v>
      </x:c>
      <x:c r="I34" s="9" t="str">
        <x:f>'Evaluation Plan'!J34</x:f>
        <x:v>brown cup A</x:v>
      </x:c>
      <x:c r="J34" s="9" t="str">
        <x:v>Not started</x:v>
      </x:c>
      <x:c r="K34" s="9"/>
      <x:c r="L34" s="9"/>
      <x:c r="M34" s="10"/>
    </x:row>
    <x:row r="35" ht="58" customHeight="1">
      <x:c r="A35" s="8" t="n">
        <x:f>'Evaluation Plan'!A35</x:f>
        <x:v>33</x:v>
      </x:c>
      <x:c r="B35" s="8" t="n">
        <x:f>'Evaluation Plan'!B35</x:f>
        <x:v>9</x:v>
      </x:c>
      <x:c r="C35" s="8" t="str">
        <x:f>'Evaluation Plan'!C35</x:f>
        <x:v>2 — Matched control</x:v>
      </x:c>
      <x:c r="D35" s="8" t="str">
        <x:f>'Evaluation Plan'!D35</x:f>
        <x:v>Matched manipulation control</x:v>
      </x:c>
      <x:c r="E35" s="8" t="str">
        <x:f>'Evaluation Plan'!F35</x:f>
        <x:v>SR-F09</x:v>
      </x:c>
      <x:c r="F35" s="8" t="n">
        <x:f>IF('Evaluation Plan'!D35="Concept/compositional transfer","",'Evaluation Plan'!G35)</x:f>
        <x:v>32</x:v>
      </x:c>
      <x:c r="G35" s="7" t="str">
        <x:f>'Evaluation Plan'!H35</x:f>
        <x:v>Move the brown cup into the bowl.</x:v>
      </x:c>
      <x:c r="H35" s="7" t="str">
        <x:f>'Evaluation Plan'!I35</x:f>
        <x:v>P1 brown cup A (C, UR) [TARGET]; P3 white cup A (O, UR); P4 yellow-white striped cup B (C, UD)</x:v>
      </x:c>
      <x:c r="I35" s="8" t="str">
        <x:f>'Evaluation Plan'!J35</x:f>
        <x:v>brown cup A</x:v>
      </x:c>
      <x:c r="J35" s="8" t="str">
        <x:v>Not started</x:v>
      </x:c>
      <x:c r="K35" s="8"/>
      <x:c r="L35" s="8"/>
      <x:c r="M35" s="7"/>
    </x:row>
    <x:row r="36" ht="58" customHeight="1">
      <x:c r="A36" s="8" t="n">
        <x:f>'Evaluation Plan'!A36</x:f>
        <x:v>34</x:v>
      </x:c>
      <x:c r="B36" s="8" t="n">
        <x:f>'Evaluation Plan'!B36</x:f>
        <x:v>9</x:v>
      </x:c>
      <x:c r="C36" s="8" t="str">
        <x:f>'Evaluation Plan'!C36</x:f>
        <x:v>3 — Novel-object canonical</x:v>
      </x:c>
      <x:c r="D36" s="8" t="str">
        <x:f>'Evaluation Plan'!D36</x:f>
        <x:v>Visual generalization</x:v>
      </x:c>
      <x:c r="E36" s="8" t="str">
        <x:f>'Evaluation Plan'!F36</x:f>
        <x:v>SR-F09</x:v>
      </x:c>
      <x:c r="F36" s="8" t="n">
        <x:f>IF('Evaluation Plan'!D36="Concept/compositional transfer","",'Evaluation Plan'!G36)</x:f>
        <x:v>32</x:v>
      </x:c>
      <x:c r="G36" s="7" t="str">
        <x:f>'Evaluation Plan'!H36</x:f>
        <x:v>Move the closed black cup into the bowl.</x:v>
      </x:c>
      <x:c r="H36" s="7" t="str">
        <x:f>'Evaluation Plan'!I36</x:f>
        <x:v>P1 U1-A (C, UR) [TARGET]; P2 U1-B (O, UR) [STATE COMPETITOR]; P3 white cup A (O, UR); P4 yellow-white striped cup B (C, UD)</x:v>
      </x:c>
      <x:c r="I36" s="8" t="str">
        <x:f>'Evaluation Plan'!J36</x:f>
        <x:v>U1-A</x:v>
      </x:c>
      <x:c r="J36" s="8" t="str">
        <x:v>Not started</x:v>
      </x:c>
      <x:c r="K36" s="8"/>
      <x:c r="L36" s="8"/>
      <x:c r="M36" s="7"/>
    </x:row>
    <x:row r="37" ht="58" customHeight="1">
      <x:c r="A37" s="8" t="n">
        <x:f>'Evaluation Plan'!A37</x:f>
        <x:v>35</x:v>
      </x:c>
      <x:c r="B37" s="8" t="n">
        <x:f>'Evaluation Plan'!B37</x:f>
        <x:v>9</x:v>
      </x:c>
      <x:c r="C37" s="8" t="str">
        <x:f>'Evaluation Plan'!C37</x:f>
        <x:v>4 — Novel-object paraphrase</x:v>
      </x:c>
      <x:c r="D37" s="8" t="str">
        <x:f>'Evaluation Plan'!D37</x:f>
        <x:v>Language robustness</x:v>
      </x:c>
      <x:c r="E37" s="8" t="str">
        <x:f>'Evaluation Plan'!F37</x:f>
        <x:v>SR-F09</x:v>
      </x:c>
      <x:c r="F37" s="8" t="n">
        <x:f>IF('Evaluation Plan'!D37="Concept/compositional transfer","",'Evaluation Plan'!G37)</x:f>
        <x:v>34</x:v>
      </x:c>
      <x:c r="G37" s="7" t="str">
        <x:f>'Evaluation Plan'!H37</x:f>
        <x:v>Find the closed black cup and place it in the bowl.</x:v>
      </x:c>
      <x:c r="H37" s="7" t="str">
        <x:f>'Evaluation Plan'!I37</x:f>
        <x:v>P1 U1-A (C, UR) [TARGET]; P2 U1-B (O, UR) [STATE COMPETITOR]; P3 white cup A (O, UR); P4 yellow-white striped cup B (C, UD)</x:v>
      </x:c>
      <x:c r="I37" s="8" t="str">
        <x:f>'Evaluation Plan'!J37</x:f>
        <x:v>U1-A</x:v>
      </x:c>
      <x:c r="J37" s="8" t="str">
        <x:v>Not started</x:v>
      </x:c>
      <x:c r="K37" s="8"/>
      <x:c r="L37" s="8"/>
      <x:c r="M37" s="7"/>
    </x:row>
    <x:row r="38" ht="58" customHeight="1">
      <x:c r="A38" s="9" t="n">
        <x:f>'Evaluation Plan'!A38</x:f>
        <x:v>36</x:v>
      </x:c>
      <x:c r="B38" s="9" t="n">
        <x:f>'Evaluation Plan'!B38</x:f>
        <x:v>10</x:v>
      </x:c>
      <x:c r="C38" s="9" t="str">
        <x:f>'Evaluation Plan'!C38</x:f>
        <x:v>1 — Canonical transfer</x:v>
      </x:c>
      <x:c r="D38" s="9" t="str">
        <x:f>'Evaluation Plan'!D38</x:f>
        <x:v>Concept/compositional transfer</x:v>
      </x:c>
      <x:c r="E38" s="9" t="str">
        <x:f>'Evaluation Plan'!F38</x:f>
        <x:v>SR-F10</x:v>
      </x:c>
      <x:c r="F38" s="9" t="str">
        <x:f>IF('Evaluation Plan'!D38="Concept/compositional transfer","",'Evaluation Plan'!G38)</x:f>
      </x:c>
      <x:c r="G38" s="10" t="str">
        <x:f>'Evaluation Plan'!H38</x:f>
        <x:v>Place the open glass spice container in the bowl.</x:v>
      </x:c>
      <x:c r="H38" s="10" t="str">
        <x:f>'Evaluation Plan'!I38</x:f>
        <x:v>P1 white cup B (C, UD); P2 glass spice container B (O, UD) [TARGET]; P3 glass spice container A (C, UD) [STATE COMPETITOR]; P4 yellow-white striped cup A (O, UR)</x:v>
      </x:c>
      <x:c r="I38" s="9" t="str">
        <x:f>'Evaluation Plan'!J38</x:f>
        <x:v>glass spice container B</x:v>
      </x:c>
      <x:c r="J38" s="9" t="str">
        <x:v>Not started</x:v>
      </x:c>
      <x:c r="K38" s="9"/>
      <x:c r="L38" s="9"/>
      <x:c r="M38" s="10"/>
    </x:row>
    <x:row r="39" ht="58" customHeight="1">
      <x:c r="A39" s="8" t="n">
        <x:f>'Evaluation Plan'!A39</x:f>
        <x:v>37</x:v>
      </x:c>
      <x:c r="B39" s="8" t="n">
        <x:f>'Evaluation Plan'!B39</x:f>
        <x:v>10</x:v>
      </x:c>
      <x:c r="C39" s="8" t="str">
        <x:f>'Evaluation Plan'!C39</x:f>
        <x:v>2 — Matched control</x:v>
      </x:c>
      <x:c r="D39" s="8" t="str">
        <x:f>'Evaluation Plan'!D39</x:f>
        <x:v>Matched manipulation control</x:v>
      </x:c>
      <x:c r="E39" s="8" t="str">
        <x:f>'Evaluation Plan'!F39</x:f>
        <x:v>SR-F10</x:v>
      </x:c>
      <x:c r="F39" s="8" t="n">
        <x:f>IF('Evaluation Plan'!D39="Concept/compositional transfer","",'Evaluation Plan'!G39)</x:f>
        <x:v>36</x:v>
      </x:c>
      <x:c r="G39" s="7" t="str">
        <x:f>'Evaluation Plan'!H39</x:f>
        <x:v>Place the glass spice container in the bowl.</x:v>
      </x:c>
      <x:c r="H39" s="7" t="str">
        <x:f>'Evaluation Plan'!I39</x:f>
        <x:v>P1 white cup B (C, UD); P2 glass spice container B (O, UD) [TARGET]; P4 yellow-white striped cup A (O, UR)</x:v>
      </x:c>
      <x:c r="I39" s="8" t="str">
        <x:f>'Evaluation Plan'!J39</x:f>
        <x:v>glass spice container B</x:v>
      </x:c>
      <x:c r="J39" s="8" t="str">
        <x:v>Not started</x:v>
      </x:c>
      <x:c r="K39" s="8"/>
      <x:c r="L39" s="8"/>
      <x:c r="M39" s="7"/>
    </x:row>
    <x:row r="40" ht="58" customHeight="1">
      <x:c r="A40" s="8" t="n">
        <x:f>'Evaluation Plan'!A40</x:f>
        <x:v>38</x:v>
      </x:c>
      <x:c r="B40" s="8" t="n">
        <x:f>'Evaluation Plan'!B40</x:f>
        <x:v>10</x:v>
      </x:c>
      <x:c r="C40" s="8" t="str">
        <x:f>'Evaluation Plan'!C40</x:f>
        <x:v>3 — Novel-object canonical</x:v>
      </x:c>
      <x:c r="D40" s="8" t="str">
        <x:f>'Evaluation Plan'!D40</x:f>
        <x:v>Visual generalization</x:v>
      </x:c>
      <x:c r="E40" s="8" t="str">
        <x:f>'Evaluation Plan'!F40</x:f>
        <x:v>SR-F10</x:v>
      </x:c>
      <x:c r="F40" s="8" t="n">
        <x:f>IF('Evaluation Plan'!D40="Concept/compositional transfer","",'Evaluation Plan'!G40)</x:f>
        <x:v>36</x:v>
      </x:c>
      <x:c r="G40" s="7" t="str">
        <x:f>'Evaluation Plan'!H40</x:f>
        <x:v>Place the open new lidded container in the bowl.</x:v>
      </x:c>
      <x:c r="H40" s="7" t="str">
        <x:f>'Evaluation Plan'!I40</x:f>
        <x:v>P1 white cup B (C, UD); P2 U2-B (O, UD) [TARGET]; P3 U2-A (C, UD) [STATE COMPETITOR]; P4 yellow-white striped cup A (O, UR)</x:v>
      </x:c>
      <x:c r="I40" s="8" t="str">
        <x:f>'Evaluation Plan'!J40</x:f>
        <x:v>U2-B</x:v>
      </x:c>
      <x:c r="J40" s="8" t="str">
        <x:v>Not started</x:v>
      </x:c>
      <x:c r="K40" s="8"/>
      <x:c r="L40" s="8"/>
      <x:c r="M40" s="7"/>
    </x:row>
    <x:row r="41" ht="58" customHeight="1">
      <x:c r="A41" s="8" t="n">
        <x:f>'Evaluation Plan'!A41</x:f>
        <x:v>39</x:v>
      </x:c>
      <x:c r="B41" s="8" t="n">
        <x:f>'Evaluation Plan'!B41</x:f>
        <x:v>10</x:v>
      </x:c>
      <x:c r="C41" s="8" t="str">
        <x:f>'Evaluation Plan'!C41</x:f>
        <x:v>4 — Novel-object paraphrase</x:v>
      </x:c>
      <x:c r="D41" s="8" t="str">
        <x:f>'Evaluation Plan'!D41</x:f>
        <x:v>Language robustness</x:v>
      </x:c>
      <x:c r="E41" s="8" t="str">
        <x:f>'Evaluation Plan'!F41</x:f>
        <x:v>SR-F10</x:v>
      </x:c>
      <x:c r="F41" s="8" t="n">
        <x:f>IF('Evaluation Plan'!D41="Concept/compositional transfer","",'Evaluation Plan'!G41)</x:f>
        <x:v>38</x:v>
      </x:c>
      <x:c r="G41" s="7" t="str">
        <x:f>'Evaluation Plan'!H41</x:f>
        <x:v>Find the open new lidded container and place it in the bowl.</x:v>
      </x:c>
      <x:c r="H41" s="7" t="str">
        <x:f>'Evaluation Plan'!I41</x:f>
        <x:v>P1 white cup B (C, UD); P2 U2-B (O, UD) [TARGET]; P3 U2-A (C, UD) [STATE COMPETITOR]; P4 yellow-white striped cup A (O, UR)</x:v>
      </x:c>
      <x:c r="I41" s="8" t="str">
        <x:f>'Evaluation Plan'!J41</x:f>
        <x:v>U2-B</x:v>
      </x:c>
      <x:c r="J41" s="8" t="str">
        <x:v>Not started</x:v>
      </x:c>
      <x:c r="K41" s="8"/>
      <x:c r="L41" s="8"/>
      <x:c r="M41" s="7"/>
    </x:row>
    <x:row r="42" ht="58" customHeight="1">
      <x:c r="A42" s="9" t="n">
        <x:f>'Evaluation Plan'!A42</x:f>
        <x:v>40</x:v>
      </x:c>
      <x:c r="B42" s="9" t="n">
        <x:f>'Evaluation Plan'!B42</x:f>
        <x:v>11</x:v>
      </x:c>
      <x:c r="C42" s="9" t="str">
        <x:f>'Evaluation Plan'!C42</x:f>
        <x:v>1 — Canonical transfer</x:v>
      </x:c>
      <x:c r="D42" s="9" t="str">
        <x:f>'Evaluation Plan'!D42</x:f>
        <x:v>Concept/compositional transfer</x:v>
      </x:c>
      <x:c r="E42" s="9" t="str">
        <x:f>'Evaluation Plan'!F42</x:f>
        <x:v>SR-F11</x:v>
      </x:c>
      <x:c r="F42" s="9" t="str">
        <x:f>IF('Evaluation Plan'!D42="Concept/compositional transfer","",'Evaluation Plan'!G42)</x:f>
      </x:c>
      <x:c r="G42" s="10" t="str">
        <x:f>'Evaluation Plan'!H42</x:f>
        <x:v>Put the upright white cup in the bowl.</x:v>
      </x:c>
      <x:c r="H42" s="10" t="str">
        <x:f>'Evaluation Plan'!I42</x:f>
        <x:v>P1 yellow-white striped cup A (O, UR); P2 brown cup B (C, UD); P3 white cup A (O, UR) [TARGET]; P4 white cup B (O, UD) [STATE COMPETITOR]</x:v>
      </x:c>
      <x:c r="I42" s="9" t="str">
        <x:f>'Evaluation Plan'!J42</x:f>
        <x:v>white cup A</x:v>
      </x:c>
      <x:c r="J42" s="9" t="str">
        <x:v>Not started</x:v>
      </x:c>
      <x:c r="K42" s="9"/>
      <x:c r="L42" s="9"/>
      <x:c r="M42" s="10"/>
    </x:row>
    <x:row r="43" ht="58" customHeight="1">
      <x:c r="A43" s="8" t="n">
        <x:f>'Evaluation Plan'!A43</x:f>
        <x:v>41</x:v>
      </x:c>
      <x:c r="B43" s="8" t="n">
        <x:f>'Evaluation Plan'!B43</x:f>
        <x:v>11</x:v>
      </x:c>
      <x:c r="C43" s="8" t="str">
        <x:f>'Evaluation Plan'!C43</x:f>
        <x:v>2 — Matched control</x:v>
      </x:c>
      <x:c r="D43" s="8" t="str">
        <x:f>'Evaluation Plan'!D43</x:f>
        <x:v>Matched manipulation control</x:v>
      </x:c>
      <x:c r="E43" s="8" t="str">
        <x:f>'Evaluation Plan'!F43</x:f>
        <x:v>SR-F11</x:v>
      </x:c>
      <x:c r="F43" s="8" t="n">
        <x:f>IF('Evaluation Plan'!D43="Concept/compositional transfer","",'Evaluation Plan'!G43)</x:f>
        <x:v>40</x:v>
      </x:c>
      <x:c r="G43" s="7" t="str">
        <x:f>'Evaluation Plan'!H43</x:f>
        <x:v>Put the white cup in the bowl.</x:v>
      </x:c>
      <x:c r="H43" s="7" t="str">
        <x:f>'Evaluation Plan'!I43</x:f>
        <x:v>P1 yellow-white striped cup A (O, UR); P2 brown cup B (C, UD); P3 white cup A (O, UR) [TARGET]</x:v>
      </x:c>
      <x:c r="I43" s="8" t="str">
        <x:f>'Evaluation Plan'!J43</x:f>
        <x:v>white cup A</x:v>
      </x:c>
      <x:c r="J43" s="8" t="str">
        <x:v>Not started</x:v>
      </x:c>
      <x:c r="K43" s="8"/>
      <x:c r="L43" s="8"/>
      <x:c r="M43" s="7"/>
    </x:row>
    <x:row r="44" ht="58" customHeight="1">
      <x:c r="A44" s="8" t="n">
        <x:f>'Evaluation Plan'!A44</x:f>
        <x:v>42</x:v>
      </x:c>
      <x:c r="B44" s="8" t="n">
        <x:f>'Evaluation Plan'!B44</x:f>
        <x:v>11</x:v>
      </x:c>
      <x:c r="C44" s="8" t="str">
        <x:f>'Evaluation Plan'!C44</x:f>
        <x:v>3 — Novel-object canonical</x:v>
      </x:c>
      <x:c r="D44" s="8" t="str">
        <x:f>'Evaluation Plan'!D44</x:f>
        <x:v>Visual generalization</x:v>
      </x:c>
      <x:c r="E44" s="8" t="str">
        <x:f>'Evaluation Plan'!F44</x:f>
        <x:v>SR-F11</x:v>
      </x:c>
      <x:c r="F44" s="8" t="n">
        <x:f>IF('Evaluation Plan'!D44="Concept/compositional transfer","",'Evaluation Plan'!G44)</x:f>
        <x:v>40</x:v>
      </x:c>
      <x:c r="G44" s="7" t="str">
        <x:f>'Evaluation Plan'!H44</x:f>
        <x:v>Put the upright new bottle in the bowl.</x:v>
      </x:c>
      <x:c r="H44" s="7" t="str">
        <x:f>'Evaluation Plan'!I44</x:f>
        <x:v>P1 yellow-white striped cup A (O, UR); P2 brown cup B (C, UD); P3 U3-A (O, UR) [TARGET]; P4 U3-B (O, UD) [STATE COMPETITOR]</x:v>
      </x:c>
      <x:c r="I44" s="8" t="str">
        <x:f>'Evaluation Plan'!J44</x:f>
        <x:v>U3-A</x:v>
      </x:c>
      <x:c r="J44" s="8" t="str">
        <x:v>Not started</x:v>
      </x:c>
      <x:c r="K44" s="8"/>
      <x:c r="L44" s="8"/>
      <x:c r="M44" s="7"/>
    </x:row>
    <x:row r="45" ht="58" customHeight="1">
      <x:c r="A45" s="8" t="n">
        <x:f>'Evaluation Plan'!A45</x:f>
        <x:v>43</x:v>
      </x:c>
      <x:c r="B45" s="8" t="n">
        <x:f>'Evaluation Plan'!B45</x:f>
        <x:v>11</x:v>
      </x:c>
      <x:c r="C45" s="8" t="str">
        <x:f>'Evaluation Plan'!C45</x:f>
        <x:v>4 — Novel-object paraphrase</x:v>
      </x:c>
      <x:c r="D45" s="8" t="str">
        <x:f>'Evaluation Plan'!D45</x:f>
        <x:v>Language robustness</x:v>
      </x:c>
      <x:c r="E45" s="8" t="str">
        <x:f>'Evaluation Plan'!F45</x:f>
        <x:v>SR-F11</x:v>
      </x:c>
      <x:c r="F45" s="8" t="n">
        <x:f>IF('Evaluation Plan'!D45="Concept/compositional transfer","",'Evaluation Plan'!G45)</x:f>
        <x:v>42</x:v>
      </x:c>
      <x:c r="G45" s="7" t="str">
        <x:f>'Evaluation Plan'!H45</x:f>
        <x:v>Find the upright new bottle and place it in the bowl.</x:v>
      </x:c>
      <x:c r="H45" s="7" t="str">
        <x:f>'Evaluation Plan'!I45</x:f>
        <x:v>P1 yellow-white striped cup A (O, UR); P2 brown cup B (C, UD); P3 U3-A (O, UR) [TARGET]; P4 U3-B (O, UD) [STATE COMPETITOR]</x:v>
      </x:c>
      <x:c r="I45" s="8" t="str">
        <x:f>'Evaluation Plan'!J45</x:f>
        <x:v>U3-A</x:v>
      </x:c>
      <x:c r="J45" s="8" t="str">
        <x:v>Not started</x:v>
      </x:c>
      <x:c r="K45" s="8"/>
      <x:c r="L45" s="8"/>
      <x:c r="M45" s="7"/>
    </x:row>
    <x:row r="46" ht="58" customHeight="1">
      <x:c r="A46" s="9" t="n">
        <x:f>'Evaluation Plan'!A46</x:f>
        <x:v>44</x:v>
      </x:c>
      <x:c r="B46" s="9" t="n">
        <x:f>'Evaluation Plan'!B46</x:f>
        <x:v>12</x:v>
      </x:c>
      <x:c r="C46" s="9" t="str">
        <x:f>'Evaluation Plan'!C46</x:f>
        <x:v>1 — Canonical transfer</x:v>
      </x:c>
      <x:c r="D46" s="9" t="str">
        <x:f>'Evaluation Plan'!D46</x:f>
        <x:v>Concept/compositional transfer</x:v>
      </x:c>
      <x:c r="E46" s="9" t="str">
        <x:f>'Evaluation Plan'!F46</x:f>
        <x:v>SR-F12</x:v>
      </x:c>
      <x:c r="F46" s="9" t="str">
        <x:f>IF('Evaluation Plan'!D46="Concept/compositional transfer","",'Evaluation Plan'!G46)</x:f>
      </x:c>
      <x:c r="G46" s="10" t="str">
        <x:f>'Evaluation Plan'!H46</x:f>
        <x:v>Move the upside-down yellow-white striped cup into the bowl.</x:v>
      </x:c>
      <x:c r="H46" s="10" t="str">
        <x:f>'Evaluation Plan'!I46</x:f>
        <x:v>P1 yellow-white striped cup A (C, UR) [STATE COMPETITOR]; P2 white cup A (O, UR); P3 brown cup B (C, UD); P4 yellow-white striped cup B (C, UD) [TARGET]</x:v>
      </x:c>
      <x:c r="I46" s="9" t="str">
        <x:f>'Evaluation Plan'!J46</x:f>
        <x:v>yellow-white striped cup B</x:v>
      </x:c>
      <x:c r="J46" s="9" t="str">
        <x:v>Not started</x:v>
      </x:c>
      <x:c r="K46" s="9"/>
      <x:c r="L46" s="9"/>
      <x:c r="M46" s="10"/>
    </x:row>
    <x:row r="47" ht="58" customHeight="1">
      <x:c r="A47" s="8" t="n">
        <x:f>'Evaluation Plan'!A47</x:f>
        <x:v>45</x:v>
      </x:c>
      <x:c r="B47" s="8" t="n">
        <x:f>'Evaluation Plan'!B47</x:f>
        <x:v>12</x:v>
      </x:c>
      <x:c r="C47" s="8" t="str">
        <x:f>'Evaluation Plan'!C47</x:f>
        <x:v>2 — Matched control</x:v>
      </x:c>
      <x:c r="D47" s="8" t="str">
        <x:f>'Evaluation Plan'!D47</x:f>
        <x:v>Matched manipulation control</x:v>
      </x:c>
      <x:c r="E47" s="8" t="str">
        <x:f>'Evaluation Plan'!F47</x:f>
        <x:v>SR-F12</x:v>
      </x:c>
      <x:c r="F47" s="8" t="n">
        <x:f>IF('Evaluation Plan'!D47="Concept/compositional transfer","",'Evaluation Plan'!G47)</x:f>
        <x:v>44</x:v>
      </x:c>
      <x:c r="G47" s="7" t="str">
        <x:f>'Evaluation Plan'!H47</x:f>
        <x:v>Move the yellow-white striped cup into the bowl.</x:v>
      </x:c>
      <x:c r="H47" s="7" t="str">
        <x:f>'Evaluation Plan'!I47</x:f>
        <x:v>P2 white cup A (O, UR); P3 brown cup B (C, UD); P4 yellow-white striped cup B (C, UD) [TARGET]</x:v>
      </x:c>
      <x:c r="I47" s="8" t="str">
        <x:f>'Evaluation Plan'!J47</x:f>
        <x:v>yellow-white striped cup B</x:v>
      </x:c>
      <x:c r="J47" s="8" t="str">
        <x:v>Not started</x:v>
      </x:c>
      <x:c r="K47" s="8"/>
      <x:c r="L47" s="8"/>
      <x:c r="M47" s="7"/>
    </x:row>
    <x:row r="48" ht="58" customHeight="1">
      <x:c r="A48" s="8" t="n">
        <x:f>'Evaluation Plan'!A48</x:f>
        <x:v>46</x:v>
      </x:c>
      <x:c r="B48" s="8" t="n">
        <x:f>'Evaluation Plan'!B48</x:f>
        <x:v>12</x:v>
      </x:c>
      <x:c r="C48" s="8" t="str">
        <x:f>'Evaluation Plan'!C48</x:f>
        <x:v>3 — Novel-object canonical</x:v>
      </x:c>
      <x:c r="D48" s="8" t="str">
        <x:f>'Evaluation Plan'!D48</x:f>
        <x:v>Visual generalization</x:v>
      </x:c>
      <x:c r="E48" s="8" t="str">
        <x:f>'Evaluation Plan'!F48</x:f>
        <x:v>SR-F12</x:v>
      </x:c>
      <x:c r="F48" s="8" t="n">
        <x:f>IF('Evaluation Plan'!D48="Concept/compositional transfer","",'Evaluation Plan'!G48)</x:f>
        <x:v>44</x:v>
      </x:c>
      <x:c r="G48" s="7" t="str">
        <x:f>'Evaluation Plan'!H48</x:f>
        <x:v>Move the upside-down new asymmetric container into the bowl.</x:v>
      </x:c>
      <x:c r="H48" s="7" t="str">
        <x:f>'Evaluation Plan'!I48</x:f>
        <x:v>P1 U4-A (C, UR) [STATE COMPETITOR]; P2 white cup A (O, UR); P3 brown cup B (C, UD); P4 U4-B (C, UD) [TARGET]</x:v>
      </x:c>
      <x:c r="I48" s="8" t="str">
        <x:f>'Evaluation Plan'!J48</x:f>
        <x:v>U4-B</x:v>
      </x:c>
      <x:c r="J48" s="8" t="str">
        <x:v>Not started</x:v>
      </x:c>
      <x:c r="K48" s="8"/>
      <x:c r="L48" s="8"/>
      <x:c r="M48" s="7"/>
    </x:row>
    <x:row r="49" ht="58" customHeight="1">
      <x:c r="A49" s="8" t="n">
        <x:f>'Evaluation Plan'!A49</x:f>
        <x:v>47</x:v>
      </x:c>
      <x:c r="B49" s="8" t="n">
        <x:f>'Evaluation Plan'!B49</x:f>
        <x:v>12</x:v>
      </x:c>
      <x:c r="C49" s="8" t="str">
        <x:f>'Evaluation Plan'!C49</x:f>
        <x:v>4 — Novel-object paraphrase</x:v>
      </x:c>
      <x:c r="D49" s="8" t="str">
        <x:f>'Evaluation Plan'!D49</x:f>
        <x:v>Language robustness</x:v>
      </x:c>
      <x:c r="E49" s="8" t="str">
        <x:f>'Evaluation Plan'!F49</x:f>
        <x:v>SR-F12</x:v>
      </x:c>
      <x:c r="F49" s="8" t="n">
        <x:f>IF('Evaluation Plan'!D49="Concept/compositional transfer","",'Evaluation Plan'!G49)</x:f>
        <x:v>46</x:v>
      </x:c>
      <x:c r="G49" s="7" t="str">
        <x:f>'Evaluation Plan'!H49</x:f>
        <x:v>Find the upside-down new asymmetric container and place it in the bowl.</x:v>
      </x:c>
      <x:c r="H49" s="7" t="str">
        <x:f>'Evaluation Plan'!I49</x:f>
        <x:v>P1 U4-A (C, UR) [STATE COMPETITOR]; P2 white cup A (O, UR); P3 brown cup B (C, UD); P4 U4-B (C, UD) [TARGET]</x:v>
      </x:c>
      <x:c r="I49" s="8" t="str">
        <x:f>'Evaluation Plan'!J49</x:f>
        <x:v>U4-B</x:v>
      </x:c>
      <x:c r="J49" s="8" t="str">
        <x:v>Not started</x:v>
      </x:c>
      <x:c r="K49" s="8"/>
      <x:c r="L49" s="8"/>
      <x:c r="M49" s="7"/>
    </x:row>
    <x:row r="50" ht="58" customHeight="1">
      <x:c r="A50" s="9" t="n">
        <x:f>'Evaluation Plan'!A50</x:f>
        <x:v>48</x:v>
      </x:c>
      <x:c r="B50" s="9" t="n">
        <x:f>'Evaluation Plan'!B50</x:f>
        <x:v>13</x:v>
      </x:c>
      <x:c r="C50" s="9" t="str">
        <x:f>'Evaluation Plan'!C50</x:f>
        <x:v>1 — Canonical transfer</x:v>
      </x:c>
      <x:c r="D50" s="9" t="str">
        <x:f>'Evaluation Plan'!D50</x:f>
        <x:v>Concept/compositional transfer</x:v>
      </x:c>
      <x:c r="E50" s="9" t="str">
        <x:f>'Evaluation Plan'!F50</x:f>
        <x:v>SR-F13</x:v>
      </x:c>
      <x:c r="F50" s="9" t="str">
        <x:f>IF('Evaluation Plan'!D50="Concept/compositional transfer","",'Evaluation Plan'!G50)</x:f>
      </x:c>
      <x:c r="G50" s="10" t="str">
        <x:f>'Evaluation Plan'!H50</x:f>
        <x:v>Place the closed glass spice container in the bowl.</x:v>
      </x:c>
      <x:c r="H50" s="10" t="str">
        <x:f>'Evaluation Plan'!I50</x:f>
        <x:v>P1 glass spice container A (C, UR) [TARGET]; P2 glass spice container B (O, UR) [STATE COMPETITOR]; P3 white cup A (O, UR); P4 yellow-white striped cup B (C, UD)</x:v>
      </x:c>
      <x:c r="I50" s="9" t="str">
        <x:f>'Evaluation Plan'!J50</x:f>
        <x:v>glass spice container A</x:v>
      </x:c>
      <x:c r="J50" s="9" t="str">
        <x:v>Not started</x:v>
      </x:c>
      <x:c r="K50" s="9"/>
      <x:c r="L50" s="9"/>
      <x:c r="M50" s="10"/>
    </x:row>
    <x:row r="51" ht="58" customHeight="1">
      <x:c r="A51" s="8" t="n">
        <x:f>'Evaluation Plan'!A51</x:f>
        <x:v>49</x:v>
      </x:c>
      <x:c r="B51" s="8" t="n">
        <x:f>'Evaluation Plan'!B51</x:f>
        <x:v>13</x:v>
      </x:c>
      <x:c r="C51" s="8" t="str">
        <x:f>'Evaluation Plan'!C51</x:f>
        <x:v>2 — Matched control</x:v>
      </x:c>
      <x:c r="D51" s="8" t="str">
        <x:f>'Evaluation Plan'!D51</x:f>
        <x:v>Matched manipulation control</x:v>
      </x:c>
      <x:c r="E51" s="8" t="str">
        <x:f>'Evaluation Plan'!F51</x:f>
        <x:v>SR-F13</x:v>
      </x:c>
      <x:c r="F51" s="8" t="n">
        <x:f>IF('Evaluation Plan'!D51="Concept/compositional transfer","",'Evaluation Plan'!G51)</x:f>
        <x:v>48</x:v>
      </x:c>
      <x:c r="G51" s="7" t="str">
        <x:f>'Evaluation Plan'!H51</x:f>
        <x:v>Place the glass spice container in the bowl.</x:v>
      </x:c>
      <x:c r="H51" s="7" t="str">
        <x:f>'Evaluation Plan'!I51</x:f>
        <x:v>P1 glass spice container A (C, UR) [TARGET]; P3 white cup A (O, UR); P4 yellow-white striped cup B (C, UD)</x:v>
      </x:c>
      <x:c r="I51" s="8" t="str">
        <x:f>'Evaluation Plan'!J51</x:f>
        <x:v>glass spice container A</x:v>
      </x:c>
      <x:c r="J51" s="8" t="str">
        <x:v>Not started</x:v>
      </x:c>
      <x:c r="K51" s="8"/>
      <x:c r="L51" s="8"/>
      <x:c r="M51" s="7"/>
    </x:row>
    <x:row r="52" ht="58" customHeight="1">
      <x:c r="A52" s="8" t="n">
        <x:f>'Evaluation Plan'!A52</x:f>
        <x:v>50</x:v>
      </x:c>
      <x:c r="B52" s="8" t="n">
        <x:f>'Evaluation Plan'!B52</x:f>
        <x:v>13</x:v>
      </x:c>
      <x:c r="C52" s="8" t="str">
        <x:f>'Evaluation Plan'!C52</x:f>
        <x:v>3 — Novel-object canonical</x:v>
      </x:c>
      <x:c r="D52" s="8" t="str">
        <x:f>'Evaluation Plan'!D52</x:f>
        <x:v>Visual generalization</x:v>
      </x:c>
      <x:c r="E52" s="8" t="str">
        <x:f>'Evaluation Plan'!F52</x:f>
        <x:v>SR-F13</x:v>
      </x:c>
      <x:c r="F52" s="8" t="n">
        <x:f>IF('Evaluation Plan'!D52="Concept/compositional transfer","",'Evaluation Plan'!G52)</x:f>
        <x:v>48</x:v>
      </x:c>
      <x:c r="G52" s="7" t="str">
        <x:f>'Evaluation Plan'!H52</x:f>
        <x:v>Place the closed black cup in the bowl.</x:v>
      </x:c>
      <x:c r="H52" s="7" t="str">
        <x:f>'Evaluation Plan'!I52</x:f>
        <x:v>P1 U1-A (C, UR) [TARGET]; P2 U1-B (O, UR) [STATE COMPETITOR]; P3 white cup A (O, UR); P4 yellow-white striped cup B (C, UD)</x:v>
      </x:c>
      <x:c r="I52" s="8" t="str">
        <x:f>'Evaluation Plan'!J52</x:f>
        <x:v>U1-A</x:v>
      </x:c>
      <x:c r="J52" s="8" t="str">
        <x:v>Not started</x:v>
      </x:c>
      <x:c r="K52" s="8"/>
      <x:c r="L52" s="8"/>
      <x:c r="M52" s="7"/>
    </x:row>
    <x:row r="53" ht="58" customHeight="1">
      <x:c r="A53" s="8" t="n">
        <x:f>'Evaluation Plan'!A53</x:f>
        <x:v>51</x:v>
      </x:c>
      <x:c r="B53" s="8" t="n">
        <x:f>'Evaluation Plan'!B53</x:f>
        <x:v>13</x:v>
      </x:c>
      <x:c r="C53" s="8" t="str">
        <x:f>'Evaluation Plan'!C53</x:f>
        <x:v>4 — Novel-object paraphrase</x:v>
      </x:c>
      <x:c r="D53" s="8" t="str">
        <x:f>'Evaluation Plan'!D53</x:f>
        <x:v>Language robustness</x:v>
      </x:c>
      <x:c r="E53" s="8" t="str">
        <x:f>'Evaluation Plan'!F53</x:f>
        <x:v>SR-F13</x:v>
      </x:c>
      <x:c r="F53" s="8" t="n">
        <x:f>IF('Evaluation Plan'!D53="Concept/compositional transfer","",'Evaluation Plan'!G53)</x:f>
        <x:v>50</x:v>
      </x:c>
      <x:c r="G53" s="7" t="str">
        <x:f>'Evaluation Plan'!H53</x:f>
        <x:v>Place the black cup that is not open in the bowl.</x:v>
      </x:c>
      <x:c r="H53" s="7" t="str">
        <x:f>'Evaluation Plan'!I53</x:f>
        <x:v>P1 U1-A (C, UR) [TARGET]; P2 U1-B (O, UR) [STATE COMPETITOR]; P3 white cup A (O, UR); P4 yellow-white striped cup B (C, UD)</x:v>
      </x:c>
      <x:c r="I53" s="8" t="str">
        <x:f>'Evaluation Plan'!J53</x:f>
        <x:v>U1-A</x:v>
      </x:c>
      <x:c r="J53" s="8" t="str">
        <x:v>Not started</x:v>
      </x:c>
      <x:c r="K53" s="8"/>
      <x:c r="L53" s="8"/>
      <x:c r="M53" s="7"/>
    </x:row>
    <x:row r="54" ht="58" customHeight="1">
      <x:c r="A54" s="9" t="n">
        <x:f>'Evaluation Plan'!A54</x:f>
        <x:v>52</x:v>
      </x:c>
      <x:c r="B54" s="9" t="n">
        <x:f>'Evaluation Plan'!B54</x:f>
        <x:v>14</x:v>
      </x:c>
      <x:c r="C54" s="9" t="str">
        <x:f>'Evaluation Plan'!C54</x:f>
        <x:v>1 — Canonical transfer</x:v>
      </x:c>
      <x:c r="D54" s="9" t="str">
        <x:f>'Evaluation Plan'!D54</x:f>
        <x:v>Concept/compositional transfer</x:v>
      </x:c>
      <x:c r="E54" s="9" t="str">
        <x:f>'Evaluation Plan'!F54</x:f>
        <x:v>SR-F14</x:v>
      </x:c>
      <x:c r="F54" s="9" t="str">
        <x:f>IF('Evaluation Plan'!D54="Concept/compositional transfer","",'Evaluation Plan'!G54)</x:f>
      </x:c>
      <x:c r="G54" s="10" t="str">
        <x:f>'Evaluation Plan'!H54</x:f>
        <x:v>Put the open white cup in the bowl.</x:v>
      </x:c>
      <x:c r="H54" s="10" t="str">
        <x:f>'Evaluation Plan'!I54</x:f>
        <x:v>P1 yellow-white striped cup B (C, UD); P2 white cup B (O, UD) [TARGET]; P3 white cup A (C, UD) [STATE COMPETITOR]; P4 brown cup A (O, UR)</x:v>
      </x:c>
      <x:c r="I54" s="9" t="str">
        <x:f>'Evaluation Plan'!J54</x:f>
        <x:v>white cup B</x:v>
      </x:c>
      <x:c r="J54" s="9" t="str">
        <x:v>Not started</x:v>
      </x:c>
      <x:c r="K54" s="9"/>
      <x:c r="L54" s="9"/>
      <x:c r="M54" s="10"/>
    </x:row>
    <x:row r="55" ht="58" customHeight="1">
      <x:c r="A55" s="8" t="n">
        <x:f>'Evaluation Plan'!A55</x:f>
        <x:v>53</x:v>
      </x:c>
      <x:c r="B55" s="8" t="n">
        <x:f>'Evaluation Plan'!B55</x:f>
        <x:v>14</x:v>
      </x:c>
      <x:c r="C55" s="8" t="str">
        <x:f>'Evaluation Plan'!C55</x:f>
        <x:v>2 — Matched control</x:v>
      </x:c>
      <x:c r="D55" s="8" t="str">
        <x:f>'Evaluation Plan'!D55</x:f>
        <x:v>Matched manipulation control</x:v>
      </x:c>
      <x:c r="E55" s="8" t="str">
        <x:f>'Evaluation Plan'!F55</x:f>
        <x:v>SR-F14</x:v>
      </x:c>
      <x:c r="F55" s="8" t="n">
        <x:f>IF('Evaluation Plan'!D55="Concept/compositional transfer","",'Evaluation Plan'!G55)</x:f>
        <x:v>52</x:v>
      </x:c>
      <x:c r="G55" s="7" t="str">
        <x:f>'Evaluation Plan'!H55</x:f>
        <x:v>Put the white cup in the bowl.</x:v>
      </x:c>
      <x:c r="H55" s="7" t="str">
        <x:f>'Evaluation Plan'!I55</x:f>
        <x:v>P1 yellow-white striped cup B (C, UD); P2 white cup B (O, UD) [TARGET]; P4 brown cup A (O, UR)</x:v>
      </x:c>
      <x:c r="I55" s="8" t="str">
        <x:f>'Evaluation Plan'!J55</x:f>
        <x:v>white cup B</x:v>
      </x:c>
      <x:c r="J55" s="8" t="str">
        <x:v>Not started</x:v>
      </x:c>
      <x:c r="K55" s="8"/>
      <x:c r="L55" s="8"/>
      <x:c r="M55" s="7"/>
    </x:row>
    <x:row r="56" ht="58" customHeight="1">
      <x:c r="A56" s="8" t="n">
        <x:f>'Evaluation Plan'!A56</x:f>
        <x:v>54</x:v>
      </x:c>
      <x:c r="B56" s="8" t="n">
        <x:f>'Evaluation Plan'!B56</x:f>
        <x:v>14</x:v>
      </x:c>
      <x:c r="C56" s="8" t="str">
        <x:f>'Evaluation Plan'!C56</x:f>
        <x:v>3 — Novel-object canonical</x:v>
      </x:c>
      <x:c r="D56" s="8" t="str">
        <x:f>'Evaluation Plan'!D56</x:f>
        <x:v>Visual generalization</x:v>
      </x:c>
      <x:c r="E56" s="8" t="str">
        <x:f>'Evaluation Plan'!F56</x:f>
        <x:v>SR-F14</x:v>
      </x:c>
      <x:c r="F56" s="8" t="n">
        <x:f>IF('Evaluation Plan'!D56="Concept/compositional transfer","",'Evaluation Plan'!G56)</x:f>
        <x:v>52</x:v>
      </x:c>
      <x:c r="G56" s="7" t="str">
        <x:f>'Evaluation Plan'!H56</x:f>
        <x:v>Put the open new lidded container in the bowl.</x:v>
      </x:c>
      <x:c r="H56" s="7" t="str">
        <x:f>'Evaluation Plan'!I56</x:f>
        <x:v>P1 yellow-white striped cup B (C, UD); P2 U2-B (O, UD) [TARGET]; P3 U2-A (C, UD) [STATE COMPETITOR]; P4 brown cup A (O, UR)</x:v>
      </x:c>
      <x:c r="I56" s="8" t="str">
        <x:f>'Evaluation Plan'!J56</x:f>
        <x:v>U2-B</x:v>
      </x:c>
      <x:c r="J56" s="8" t="str">
        <x:v>Not started</x:v>
      </x:c>
      <x:c r="K56" s="8"/>
      <x:c r="L56" s="8"/>
      <x:c r="M56" s="7"/>
    </x:row>
    <x:row r="57" ht="58" customHeight="1">
      <x:c r="A57" s="8" t="n">
        <x:f>'Evaluation Plan'!A57</x:f>
        <x:v>55</x:v>
      </x:c>
      <x:c r="B57" s="8" t="n">
        <x:f>'Evaluation Plan'!B57</x:f>
        <x:v>14</x:v>
      </x:c>
      <x:c r="C57" s="8" t="str">
        <x:f>'Evaluation Plan'!C57</x:f>
        <x:v>4 — Novel-object paraphrase</x:v>
      </x:c>
      <x:c r="D57" s="8" t="str">
        <x:f>'Evaluation Plan'!D57</x:f>
        <x:v>Language robustness</x:v>
      </x:c>
      <x:c r="E57" s="8" t="str">
        <x:f>'Evaluation Plan'!F57</x:f>
        <x:v>SR-F14</x:v>
      </x:c>
      <x:c r="F57" s="8" t="n">
        <x:f>IF('Evaluation Plan'!D57="Concept/compositional transfer","",'Evaluation Plan'!G57)</x:f>
        <x:v>54</x:v>
      </x:c>
      <x:c r="G57" s="7" t="str">
        <x:f>'Evaluation Plan'!H57</x:f>
        <x:v>Place the new lidded container that is not closed in the bowl.</x:v>
      </x:c>
      <x:c r="H57" s="7" t="str">
        <x:f>'Evaluation Plan'!I57</x:f>
        <x:v>P1 yellow-white striped cup B (C, UD); P2 U2-B (O, UD) [TARGET]; P3 U2-A (C, UD) [STATE COMPETITOR]; P4 brown cup A (O, UR)</x:v>
      </x:c>
      <x:c r="I57" s="8" t="str">
        <x:f>'Evaluation Plan'!J57</x:f>
        <x:v>U2-B</x:v>
      </x:c>
      <x:c r="J57" s="8" t="str">
        <x:v>Not started</x:v>
      </x:c>
      <x:c r="K57" s="8"/>
      <x:c r="L57" s="8"/>
      <x:c r="M57" s="7"/>
    </x:row>
    <x:row r="58" ht="58" customHeight="1">
      <x:c r="A58" s="9" t="n">
        <x:f>'Evaluation Plan'!A58</x:f>
        <x:v>56</x:v>
      </x:c>
      <x:c r="B58" s="9" t="n">
        <x:f>'Evaluation Plan'!B58</x:f>
        <x:v>15</x:v>
      </x:c>
      <x:c r="C58" s="9" t="str">
        <x:f>'Evaluation Plan'!C58</x:f>
        <x:v>1 — Canonical transfer</x:v>
      </x:c>
      <x:c r="D58" s="9" t="str">
        <x:f>'Evaluation Plan'!D58</x:f>
        <x:v>Concept/compositional transfer</x:v>
      </x:c>
      <x:c r="E58" s="9" t="str">
        <x:f>'Evaluation Plan'!F58</x:f>
        <x:v>SR-F15</x:v>
      </x:c>
      <x:c r="F58" s="9" t="str">
        <x:f>IF('Evaluation Plan'!D58="Concept/compositional transfer","",'Evaluation Plan'!G58)</x:f>
      </x:c>
      <x:c r="G58" s="10" t="str">
        <x:f>'Evaluation Plan'!H58</x:f>
        <x:v>Move the upright yellow-white striped cup into the bowl.</x:v>
      </x:c>
      <x:c r="H58" s="10" t="str">
        <x:f>'Evaluation Plan'!I58</x:f>
        <x:v>P1 white cup A (O, UR); P2 brown cup B (C, UD); P3 yellow-white striped cup A (O, UR) [TARGET]; P4 yellow-white striped cup B (O, UD) [STATE COMPETITOR]</x:v>
      </x:c>
      <x:c r="I58" s="9" t="str">
        <x:f>'Evaluation Plan'!J58</x:f>
        <x:v>yellow-white striped cup A</x:v>
      </x:c>
      <x:c r="J58" s="9" t="str">
        <x:v>Not started</x:v>
      </x:c>
      <x:c r="K58" s="9"/>
      <x:c r="L58" s="9"/>
      <x:c r="M58" s="10"/>
    </x:row>
    <x:row r="59" ht="58" customHeight="1">
      <x:c r="A59" s="8" t="n">
        <x:f>'Evaluation Plan'!A59</x:f>
        <x:v>57</x:v>
      </x:c>
      <x:c r="B59" s="8" t="n">
        <x:f>'Evaluation Plan'!B59</x:f>
        <x:v>15</x:v>
      </x:c>
      <x:c r="C59" s="8" t="str">
        <x:f>'Evaluation Plan'!C59</x:f>
        <x:v>2 — Matched control</x:v>
      </x:c>
      <x:c r="D59" s="8" t="str">
        <x:f>'Evaluation Plan'!D59</x:f>
        <x:v>Matched manipulation control</x:v>
      </x:c>
      <x:c r="E59" s="8" t="str">
        <x:f>'Evaluation Plan'!F59</x:f>
        <x:v>SR-F15</x:v>
      </x:c>
      <x:c r="F59" s="8" t="n">
        <x:f>IF('Evaluation Plan'!D59="Concept/compositional transfer","",'Evaluation Plan'!G59)</x:f>
        <x:v>56</x:v>
      </x:c>
      <x:c r="G59" s="7" t="str">
        <x:f>'Evaluation Plan'!H59</x:f>
        <x:v>Move the yellow-white striped cup into the bowl.</x:v>
      </x:c>
      <x:c r="H59" s="7" t="str">
        <x:f>'Evaluation Plan'!I59</x:f>
        <x:v>P1 white cup A (O, UR); P2 brown cup B (C, UD); P3 yellow-white striped cup A (O, UR) [TARGET]</x:v>
      </x:c>
      <x:c r="I59" s="8" t="str">
        <x:f>'Evaluation Plan'!J59</x:f>
        <x:v>yellow-white striped cup A</x:v>
      </x:c>
      <x:c r="J59" s="8" t="str">
        <x:v>Not started</x:v>
      </x:c>
      <x:c r="K59" s="8"/>
      <x:c r="L59" s="8"/>
      <x:c r="M59" s="7"/>
    </x:row>
    <x:row r="60" ht="58" customHeight="1">
      <x:c r="A60" s="8" t="n">
        <x:f>'Evaluation Plan'!A60</x:f>
        <x:v>58</x:v>
      </x:c>
      <x:c r="B60" s="8" t="n">
        <x:f>'Evaluation Plan'!B60</x:f>
        <x:v>15</x:v>
      </x:c>
      <x:c r="C60" s="8" t="str">
        <x:f>'Evaluation Plan'!C60</x:f>
        <x:v>3 — Novel-object canonical</x:v>
      </x:c>
      <x:c r="D60" s="8" t="str">
        <x:f>'Evaluation Plan'!D60</x:f>
        <x:v>Visual generalization</x:v>
      </x:c>
      <x:c r="E60" s="8" t="str">
        <x:f>'Evaluation Plan'!F60</x:f>
        <x:v>SR-F15</x:v>
      </x:c>
      <x:c r="F60" s="8" t="n">
        <x:f>IF('Evaluation Plan'!D60="Concept/compositional transfer","",'Evaluation Plan'!G60)</x:f>
        <x:v>56</x:v>
      </x:c>
      <x:c r="G60" s="7" t="str">
        <x:f>'Evaluation Plan'!H60</x:f>
        <x:v>Move the upright new bottle into the bowl.</x:v>
      </x:c>
      <x:c r="H60" s="7" t="str">
        <x:f>'Evaluation Plan'!I60</x:f>
        <x:v>P1 white cup A (O, UR); P2 brown cup B (C, UD); P3 U3-A (O, UR) [TARGET]; P4 U3-B (O, UD) [STATE COMPETITOR]</x:v>
      </x:c>
      <x:c r="I60" s="8" t="str">
        <x:f>'Evaluation Plan'!J60</x:f>
        <x:v>U3-A</x:v>
      </x:c>
      <x:c r="J60" s="8" t="str">
        <x:v>Not started</x:v>
      </x:c>
      <x:c r="K60" s="8"/>
      <x:c r="L60" s="8"/>
      <x:c r="M60" s="7"/>
    </x:row>
    <x:row r="61" ht="58" customHeight="1">
      <x:c r="A61" s="8" t="n">
        <x:f>'Evaluation Plan'!A61</x:f>
        <x:v>59</x:v>
      </x:c>
      <x:c r="B61" s="8" t="n">
        <x:f>'Evaluation Plan'!B61</x:f>
        <x:v>15</x:v>
      </x:c>
      <x:c r="C61" s="8" t="str">
        <x:f>'Evaluation Plan'!C61</x:f>
        <x:v>4 — Novel-object paraphrase</x:v>
      </x:c>
      <x:c r="D61" s="8" t="str">
        <x:f>'Evaluation Plan'!D61</x:f>
        <x:v>Language robustness</x:v>
      </x:c>
      <x:c r="E61" s="8" t="str">
        <x:f>'Evaluation Plan'!F61</x:f>
        <x:v>SR-F15</x:v>
      </x:c>
      <x:c r="F61" s="8" t="n">
        <x:f>IF('Evaluation Plan'!D61="Concept/compositional transfer","",'Evaluation Plan'!G61)</x:f>
        <x:v>58</x:v>
      </x:c>
      <x:c r="G61" s="7" t="str">
        <x:f>'Evaluation Plan'!H61</x:f>
        <x:v>Place the new bottle that is not overturned in the bowl.</x:v>
      </x:c>
      <x:c r="H61" s="7" t="str">
        <x:f>'Evaluation Plan'!I61</x:f>
        <x:v>P1 white cup A (O, UR); P2 brown cup B (C, UD); P3 U3-A (O, UR) [TARGET]; P4 U3-B (O, UD) [STATE COMPETITOR]</x:v>
      </x:c>
      <x:c r="I61" s="8" t="str">
        <x:f>'Evaluation Plan'!J61</x:f>
        <x:v>U3-A</x:v>
      </x:c>
      <x:c r="J61" s="8" t="str">
        <x:v>Not started</x:v>
      </x:c>
      <x:c r="K61" s="8"/>
      <x:c r="L61" s="8"/>
      <x:c r="M61" s="7"/>
    </x:row>
    <x:row r="62" ht="58" customHeight="1">
      <x:c r="A62" s="9" t="n">
        <x:f>'Evaluation Plan'!A62</x:f>
        <x:v>60</x:v>
      </x:c>
      <x:c r="B62" s="9" t="n">
        <x:f>'Evaluation Plan'!B62</x:f>
        <x:v>16</x:v>
      </x:c>
      <x:c r="C62" s="9" t="str">
        <x:f>'Evaluation Plan'!C62</x:f>
        <x:v>1 — Canonical transfer</x:v>
      </x:c>
      <x:c r="D62" s="9" t="str">
        <x:f>'Evaluation Plan'!D62</x:f>
        <x:v>Concept/compositional transfer</x:v>
      </x:c>
      <x:c r="E62" s="9" t="str">
        <x:f>'Evaluation Plan'!F62</x:f>
        <x:v>SR-F16</x:v>
      </x:c>
      <x:c r="F62" s="9" t="str">
        <x:f>IF('Evaluation Plan'!D62="Concept/compositional transfer","",'Evaluation Plan'!G62)</x:f>
      </x:c>
      <x:c r="G62" s="10" t="str">
        <x:f>'Evaluation Plan'!H62</x:f>
        <x:v>Place the upside-down brown cup in the bowl.</x:v>
      </x:c>
      <x:c r="H62" s="10" t="str">
        <x:f>'Evaluation Plan'!I62</x:f>
        <x:v>P1 brown cup A (C, UR) [STATE COMPETITOR]; P2 white cup A (O, UR); P3 yellow-white striped cup B (C, UD); P4 brown cup B (C, UD) [TARGET]</x:v>
      </x:c>
      <x:c r="I62" s="9" t="str">
        <x:f>'Evaluation Plan'!J62</x:f>
        <x:v>brown cup B</x:v>
      </x:c>
      <x:c r="J62" s="9" t="str">
        <x:v>Not started</x:v>
      </x:c>
      <x:c r="K62" s="9"/>
      <x:c r="L62" s="9"/>
      <x:c r="M62" s="10"/>
    </x:row>
    <x:row r="63" ht="58" customHeight="1">
      <x:c r="A63" s="8" t="n">
        <x:f>'Evaluation Plan'!A63</x:f>
        <x:v>61</x:v>
      </x:c>
      <x:c r="B63" s="8" t="n">
        <x:f>'Evaluation Plan'!B63</x:f>
        <x:v>16</x:v>
      </x:c>
      <x:c r="C63" s="8" t="str">
        <x:f>'Evaluation Plan'!C63</x:f>
        <x:v>2 — Matched control</x:v>
      </x:c>
      <x:c r="D63" s="8" t="str">
        <x:f>'Evaluation Plan'!D63</x:f>
        <x:v>Matched manipulation control</x:v>
      </x:c>
      <x:c r="E63" s="8" t="str">
        <x:f>'Evaluation Plan'!F63</x:f>
        <x:v>SR-F16</x:v>
      </x:c>
      <x:c r="F63" s="8" t="n">
        <x:f>IF('Evaluation Plan'!D63="Concept/compositional transfer","",'Evaluation Plan'!G63)</x:f>
        <x:v>60</x:v>
      </x:c>
      <x:c r="G63" s="7" t="str">
        <x:f>'Evaluation Plan'!H63</x:f>
        <x:v>Place the brown cup in the bowl.</x:v>
      </x:c>
      <x:c r="H63" s="7" t="str">
        <x:f>'Evaluation Plan'!I63</x:f>
        <x:v>P2 white cup A (O, UR); P3 yellow-white striped cup B (C, UD); P4 brown cup B (C, UD) [TARGET]</x:v>
      </x:c>
      <x:c r="I63" s="8" t="str">
        <x:f>'Evaluation Plan'!J63</x:f>
        <x:v>brown cup B</x:v>
      </x:c>
      <x:c r="J63" s="8" t="str">
        <x:v>Not started</x:v>
      </x:c>
      <x:c r="K63" s="8"/>
      <x:c r="L63" s="8"/>
      <x:c r="M63" s="7"/>
    </x:row>
    <x:row r="64" ht="58" customHeight="1">
      <x:c r="A64" s="8" t="n">
        <x:f>'Evaluation Plan'!A64</x:f>
        <x:v>62</x:v>
      </x:c>
      <x:c r="B64" s="8" t="n">
        <x:f>'Evaluation Plan'!B64</x:f>
        <x:v>16</x:v>
      </x:c>
      <x:c r="C64" s="8" t="str">
        <x:f>'Evaluation Plan'!C64</x:f>
        <x:v>3 — Novel-object canonical</x:v>
      </x:c>
      <x:c r="D64" s="8" t="str">
        <x:f>'Evaluation Plan'!D64</x:f>
        <x:v>Visual generalization</x:v>
      </x:c>
      <x:c r="E64" s="8" t="str">
        <x:f>'Evaluation Plan'!F64</x:f>
        <x:v>SR-F16</x:v>
      </x:c>
      <x:c r="F64" s="8" t="n">
        <x:f>IF('Evaluation Plan'!D64="Concept/compositional transfer","",'Evaluation Plan'!G64)</x:f>
        <x:v>60</x:v>
      </x:c>
      <x:c r="G64" s="7" t="str">
        <x:f>'Evaluation Plan'!H64</x:f>
        <x:v>Place the upside-down new asymmetric container in the bowl.</x:v>
      </x:c>
      <x:c r="H64" s="7" t="str">
        <x:f>'Evaluation Plan'!I64</x:f>
        <x:v>P1 U4-A (C, UR) [STATE COMPETITOR]; P2 white cup A (O, UR); P3 yellow-white striped cup B (C, UD); P4 U4-B (C, UD) [TARGET]</x:v>
      </x:c>
      <x:c r="I64" s="8" t="str">
        <x:f>'Evaluation Plan'!J64</x:f>
        <x:v>U4-B</x:v>
      </x:c>
      <x:c r="J64" s="8" t="str">
        <x:v>Not started</x:v>
      </x:c>
      <x:c r="K64" s="8"/>
      <x:c r="L64" s="8"/>
      <x:c r="M64" s="7"/>
    </x:row>
    <x:row r="65" ht="58" customHeight="1">
      <x:c r="A65" s="8" t="n">
        <x:f>'Evaluation Plan'!A65</x:f>
        <x:v>63</x:v>
      </x:c>
      <x:c r="B65" s="8" t="n">
        <x:f>'Evaluation Plan'!B65</x:f>
        <x:v>16</x:v>
      </x:c>
      <x:c r="C65" s="8" t="str">
        <x:f>'Evaluation Plan'!C65</x:f>
        <x:v>4 — Novel-object paraphrase</x:v>
      </x:c>
      <x:c r="D65" s="8" t="str">
        <x:f>'Evaluation Plan'!D65</x:f>
        <x:v>Language robustness</x:v>
      </x:c>
      <x:c r="E65" s="8" t="str">
        <x:f>'Evaluation Plan'!F65</x:f>
        <x:v>SR-F16</x:v>
      </x:c>
      <x:c r="F65" s="8" t="n">
        <x:f>IF('Evaluation Plan'!D65="Concept/compositional transfer","",'Evaluation Plan'!G65)</x:f>
        <x:v>62</x:v>
      </x:c>
      <x:c r="G65" s="7" t="str">
        <x:f>'Evaluation Plan'!H65</x:f>
        <x:v>Place the overturned new asymmetric container in the bowl.</x:v>
      </x:c>
      <x:c r="H65" s="7" t="str">
        <x:f>'Evaluation Plan'!I65</x:f>
        <x:v>P1 U4-A (C, UR) [STATE COMPETITOR]; P2 white cup A (O, UR); P3 yellow-white striped cup B (C, UD); P4 U4-B (C, UD) [TARGET]</x:v>
      </x:c>
      <x:c r="I65" s="8" t="str">
        <x:f>'Evaluation Plan'!J65</x:f>
        <x:v>U4-B</x:v>
      </x:c>
      <x:c r="J65" s="8" t="str">
        <x:v>Not started</x:v>
      </x:c>
      <x:c r="K65" s="8"/>
      <x:c r="L65" s="8"/>
      <x:c r="M65" s="7"/>
    </x:row>
    <x:row r="66" ht="58" customHeight="1">
      <x:c r="A66" s="9" t="n">
        <x:f>'Evaluation Plan'!A66</x:f>
        <x:v>64</x:v>
      </x:c>
      <x:c r="B66" s="9" t="n">
        <x:f>'Evaluation Plan'!B66</x:f>
        <x:v>17</x:v>
      </x:c>
      <x:c r="C66" s="9" t="str">
        <x:f>'Evaluation Plan'!C66</x:f>
        <x:v>1 — Canonical transfer</x:v>
      </x:c>
      <x:c r="D66" s="9" t="str">
        <x:f>'Evaluation Plan'!D66</x:f>
        <x:v>Concept/compositional transfer</x:v>
      </x:c>
      <x:c r="E66" s="9" t="str">
        <x:f>'Evaluation Plan'!F66</x:f>
        <x:v>SR-F17</x:v>
      </x:c>
      <x:c r="F66" s="9" t="str">
        <x:f>IF('Evaluation Plan'!D66="Concept/compositional transfer","",'Evaluation Plan'!G66)</x:f>
      </x:c>
      <x:c r="G66" s="10" t="str">
        <x:f>'Evaluation Plan'!H66</x:f>
        <x:v>Put the closed white cup in the bowl.</x:v>
      </x:c>
      <x:c r="H66" s="10" t="str">
        <x:f>'Evaluation Plan'!I66</x:f>
        <x:v>P1 white cup A (C, UR) [TARGET]; P2 white cup B (O, UR) [STATE COMPETITOR]; P3 yellow-white striped cup A (O, UR); P4 brown cup B (C, UD)</x:v>
      </x:c>
      <x:c r="I66" s="9" t="str">
        <x:f>'Evaluation Plan'!J66</x:f>
        <x:v>white cup A</x:v>
      </x:c>
      <x:c r="J66" s="9" t="str">
        <x:v>Not started</x:v>
      </x:c>
      <x:c r="K66" s="9"/>
      <x:c r="L66" s="9"/>
      <x:c r="M66" s="10"/>
    </x:row>
    <x:row r="67" ht="58" customHeight="1">
      <x:c r="A67" s="8" t="n">
        <x:f>'Evaluation Plan'!A67</x:f>
        <x:v>65</x:v>
      </x:c>
      <x:c r="B67" s="8" t="n">
        <x:f>'Evaluation Plan'!B67</x:f>
        <x:v>17</x:v>
      </x:c>
      <x:c r="C67" s="8" t="str">
        <x:f>'Evaluation Plan'!C67</x:f>
        <x:v>2 — Matched control</x:v>
      </x:c>
      <x:c r="D67" s="8" t="str">
        <x:f>'Evaluation Plan'!D67</x:f>
        <x:v>Matched manipulation control</x:v>
      </x:c>
      <x:c r="E67" s="8" t="str">
        <x:f>'Evaluation Plan'!F67</x:f>
        <x:v>SR-F17</x:v>
      </x:c>
      <x:c r="F67" s="8" t="n">
        <x:f>IF('Evaluation Plan'!D67="Concept/compositional transfer","",'Evaluation Plan'!G67)</x:f>
        <x:v>64</x:v>
      </x:c>
      <x:c r="G67" s="7" t="str">
        <x:f>'Evaluation Plan'!H67</x:f>
        <x:v>Put the white cup in the bowl.</x:v>
      </x:c>
      <x:c r="H67" s="7" t="str">
        <x:f>'Evaluation Plan'!I67</x:f>
        <x:v>P1 white cup A (C, UR) [TARGET]; P3 yellow-white striped cup A (O, UR); P4 brown cup B (C, UD)</x:v>
      </x:c>
      <x:c r="I67" s="8" t="str">
        <x:f>'Evaluation Plan'!J67</x:f>
        <x:v>white cup A</x:v>
      </x:c>
      <x:c r="J67" s="8" t="str">
        <x:v>Not started</x:v>
      </x:c>
      <x:c r="K67" s="8"/>
      <x:c r="L67" s="8"/>
      <x:c r="M67" s="7"/>
    </x:row>
    <x:row r="68" ht="58" customHeight="1">
      <x:c r="A68" s="8" t="n">
        <x:f>'Evaluation Plan'!A68</x:f>
        <x:v>66</x:v>
      </x:c>
      <x:c r="B68" s="8" t="n">
        <x:f>'Evaluation Plan'!B68</x:f>
        <x:v>17</x:v>
      </x:c>
      <x:c r="C68" s="8" t="str">
        <x:f>'Evaluation Plan'!C68</x:f>
        <x:v>3 — Novel-object canonical</x:v>
      </x:c>
      <x:c r="D68" s="8" t="str">
        <x:f>'Evaluation Plan'!D68</x:f>
        <x:v>Visual generalization</x:v>
      </x:c>
      <x:c r="E68" s="8" t="str">
        <x:f>'Evaluation Plan'!F68</x:f>
        <x:v>SR-F17</x:v>
      </x:c>
      <x:c r="F68" s="8" t="n">
        <x:f>IF('Evaluation Plan'!D68="Concept/compositional transfer","",'Evaluation Plan'!G68)</x:f>
        <x:v>64</x:v>
      </x:c>
      <x:c r="G68" s="7" t="str">
        <x:f>'Evaluation Plan'!H68</x:f>
        <x:v>Put the closed black cup in the bowl.</x:v>
      </x:c>
      <x:c r="H68" s="7" t="str">
        <x:f>'Evaluation Plan'!I68</x:f>
        <x:v>P1 U1-A (C, UR) [TARGET]; P2 U1-B (O, UR) [STATE COMPETITOR]; P3 yellow-white striped cup A (O, UR); P4 brown cup B (C, UD)</x:v>
      </x:c>
      <x:c r="I68" s="8" t="str">
        <x:f>'Evaluation Plan'!J68</x:f>
        <x:v>U1-A</x:v>
      </x:c>
      <x:c r="J68" s="8" t="str">
        <x:v>Not started</x:v>
      </x:c>
      <x:c r="K68" s="8"/>
      <x:c r="L68" s="8"/>
      <x:c r="M68" s="7"/>
    </x:row>
    <x:row r="69" ht="58" customHeight="1">
      <x:c r="A69" s="8" t="n">
        <x:f>'Evaluation Plan'!A69</x:f>
        <x:v>67</x:v>
      </x:c>
      <x:c r="B69" s="8" t="n">
        <x:f>'Evaluation Plan'!B69</x:f>
        <x:v>17</x:v>
      </x:c>
      <x:c r="C69" s="8" t="str">
        <x:f>'Evaluation Plan'!C69</x:f>
        <x:v>4 — Novel-object paraphrase</x:v>
      </x:c>
      <x:c r="D69" s="8" t="str">
        <x:f>'Evaluation Plan'!D69</x:f>
        <x:v>Language robustness</x:v>
      </x:c>
      <x:c r="E69" s="8" t="str">
        <x:f>'Evaluation Plan'!F69</x:f>
        <x:v>SR-F17</x:v>
      </x:c>
      <x:c r="F69" s="8" t="n">
        <x:f>IF('Evaluation Plan'!D69="Concept/compositional transfer","",'Evaluation Plan'!G69)</x:f>
        <x:v>66</x:v>
      </x:c>
      <x:c r="G69" s="7" t="str">
        <x:f>'Evaluation Plan'!H69</x:f>
        <x:v>Move the closed black cup into the bowl.</x:v>
      </x:c>
      <x:c r="H69" s="7" t="str">
        <x:f>'Evaluation Plan'!I69</x:f>
        <x:v>P1 U1-A (C, UR) [TARGET]; P2 U1-B (O, UR) [STATE COMPETITOR]; P3 yellow-white striped cup A (O, UR); P4 brown cup B (C, UD)</x:v>
      </x:c>
      <x:c r="I69" s="8" t="str">
        <x:f>'Evaluation Plan'!J69</x:f>
        <x:v>U1-A</x:v>
      </x:c>
      <x:c r="J69" s="8" t="str">
        <x:v>Not started</x:v>
      </x:c>
      <x:c r="K69" s="8"/>
      <x:c r="L69" s="8"/>
      <x:c r="M69" s="7"/>
    </x:row>
    <x:row r="70" ht="58" customHeight="1">
      <x:c r="A70" s="9" t="n">
        <x:f>'Evaluation Plan'!A70</x:f>
        <x:v>68</x:v>
      </x:c>
      <x:c r="B70" s="9" t="n">
        <x:f>'Evaluation Plan'!B70</x:f>
        <x:v>18</x:v>
      </x:c>
      <x:c r="C70" s="9" t="str">
        <x:f>'Evaluation Plan'!C70</x:f>
        <x:v>1 — Canonical transfer</x:v>
      </x:c>
      <x:c r="D70" s="9" t="str">
        <x:f>'Evaluation Plan'!D70</x:f>
        <x:v>Concept/compositional transfer</x:v>
      </x:c>
      <x:c r="E70" s="9" t="str">
        <x:f>'Evaluation Plan'!F70</x:f>
        <x:v>SR-F18</x:v>
      </x:c>
      <x:c r="F70" s="9" t="str">
        <x:f>IF('Evaluation Plan'!D70="Concept/compositional transfer","",'Evaluation Plan'!G70)</x:f>
      </x:c>
      <x:c r="G70" s="10" t="str">
        <x:f>'Evaluation Plan'!H70</x:f>
        <x:v>Move the open yellow-white striped cup into the bowl.</x:v>
      </x:c>
      <x:c r="H70" s="10" t="str">
        <x:f>'Evaluation Plan'!I70</x:f>
        <x:v>P1 white cup B (C, UD); P2 yellow-white striped cup B (O, UD) [TARGET]; P3 yellow-white striped cup A (C, UD) [STATE COMPETITOR]; P4 brown cup A (O, UR)</x:v>
      </x:c>
      <x:c r="I70" s="9" t="str">
        <x:f>'Evaluation Plan'!J70</x:f>
        <x:v>yellow-white striped cup B</x:v>
      </x:c>
      <x:c r="J70" s="9" t="str">
        <x:v>Not started</x:v>
      </x:c>
      <x:c r="K70" s="9"/>
      <x:c r="L70" s="9"/>
      <x:c r="M70" s="10"/>
    </x:row>
    <x:row r="71" ht="58" customHeight="1">
      <x:c r="A71" s="8" t="n">
        <x:f>'Evaluation Plan'!A71</x:f>
        <x:v>69</x:v>
      </x:c>
      <x:c r="B71" s="8" t="n">
        <x:f>'Evaluation Plan'!B71</x:f>
        <x:v>18</x:v>
      </x:c>
      <x:c r="C71" s="8" t="str">
        <x:f>'Evaluation Plan'!C71</x:f>
        <x:v>2 — Matched control</x:v>
      </x:c>
      <x:c r="D71" s="8" t="str">
        <x:f>'Evaluation Plan'!D71</x:f>
        <x:v>Matched manipulation control</x:v>
      </x:c>
      <x:c r="E71" s="8" t="str">
        <x:f>'Evaluation Plan'!F71</x:f>
        <x:v>SR-F18</x:v>
      </x:c>
      <x:c r="F71" s="8" t="n">
        <x:f>IF('Evaluation Plan'!D71="Concept/compositional transfer","",'Evaluation Plan'!G71)</x:f>
        <x:v>68</x:v>
      </x:c>
      <x:c r="G71" s="7" t="str">
        <x:f>'Evaluation Plan'!H71</x:f>
        <x:v>Move the yellow-white striped cup into the bowl.</x:v>
      </x:c>
      <x:c r="H71" s="7" t="str">
        <x:f>'Evaluation Plan'!I71</x:f>
        <x:v>P1 white cup B (C, UD); P2 yellow-white striped cup B (O, UD) [TARGET]; P4 brown cup A (O, UR)</x:v>
      </x:c>
      <x:c r="I71" s="8" t="str">
        <x:f>'Evaluation Plan'!J71</x:f>
        <x:v>yellow-white striped cup B</x:v>
      </x:c>
      <x:c r="J71" s="8" t="str">
        <x:v>Not started</x:v>
      </x:c>
      <x:c r="K71" s="8"/>
      <x:c r="L71" s="8"/>
      <x:c r="M71" s="7"/>
    </x:row>
    <x:row r="72" ht="58" customHeight="1">
      <x:c r="A72" s="8" t="n">
        <x:f>'Evaluation Plan'!A72</x:f>
        <x:v>70</x:v>
      </x:c>
      <x:c r="B72" s="8" t="n">
        <x:f>'Evaluation Plan'!B72</x:f>
        <x:v>18</x:v>
      </x:c>
      <x:c r="C72" s="8" t="str">
        <x:f>'Evaluation Plan'!C72</x:f>
        <x:v>3 — Novel-object canonical</x:v>
      </x:c>
      <x:c r="D72" s="8" t="str">
        <x:f>'Evaluation Plan'!D72</x:f>
        <x:v>Visual generalization</x:v>
      </x:c>
      <x:c r="E72" s="8" t="str">
        <x:f>'Evaluation Plan'!F72</x:f>
        <x:v>SR-F18</x:v>
      </x:c>
      <x:c r="F72" s="8" t="n">
        <x:f>IF('Evaluation Plan'!D72="Concept/compositional transfer","",'Evaluation Plan'!G72)</x:f>
        <x:v>68</x:v>
      </x:c>
      <x:c r="G72" s="7" t="str">
        <x:f>'Evaluation Plan'!H72</x:f>
        <x:v>Move the open new lidded container into the bowl.</x:v>
      </x:c>
      <x:c r="H72" s="7" t="str">
        <x:f>'Evaluation Plan'!I72</x:f>
        <x:v>P1 white cup B (C, UD); P2 U2-B (O, UD) [TARGET]; P3 U2-A (C, UD) [STATE COMPETITOR]; P4 brown cup A (O, UR)</x:v>
      </x:c>
      <x:c r="I72" s="8" t="str">
        <x:f>'Evaluation Plan'!J72</x:f>
        <x:v>U2-B</x:v>
      </x:c>
      <x:c r="J72" s="8" t="str">
        <x:v>Not started</x:v>
      </x:c>
      <x:c r="K72" s="8"/>
      <x:c r="L72" s="8"/>
      <x:c r="M72" s="7"/>
    </x:row>
    <x:row r="73" ht="58" customHeight="1">
      <x:c r="A73" s="8" t="n">
        <x:f>'Evaluation Plan'!A73</x:f>
        <x:v>71</x:v>
      </x:c>
      <x:c r="B73" s="8" t="n">
        <x:f>'Evaluation Plan'!B73</x:f>
        <x:v>18</x:v>
      </x:c>
      <x:c r="C73" s="8" t="str">
        <x:f>'Evaluation Plan'!C73</x:f>
        <x:v>4 — Novel-object paraphrase</x:v>
      </x:c>
      <x:c r="D73" s="8" t="str">
        <x:f>'Evaluation Plan'!D73</x:f>
        <x:v>Language robustness</x:v>
      </x:c>
      <x:c r="E73" s="8" t="str">
        <x:f>'Evaluation Plan'!F73</x:f>
        <x:v>SR-F18</x:v>
      </x:c>
      <x:c r="F73" s="8" t="n">
        <x:f>IF('Evaluation Plan'!D73="Concept/compositional transfer","",'Evaluation Plan'!G73)</x:f>
        <x:v>70</x:v>
      </x:c>
      <x:c r="G73" s="7" t="str">
        <x:f>'Evaluation Plan'!H73</x:f>
        <x:v>Move the open new lidded container into the bowl.</x:v>
      </x:c>
      <x:c r="H73" s="7" t="str">
        <x:f>'Evaluation Plan'!I73</x:f>
        <x:v>P1 white cup B (C, UD); P2 U2-B (O, UD) [TARGET]; P3 U2-A (C, UD) [STATE COMPETITOR]; P4 brown cup A (O, UR)</x:v>
      </x:c>
      <x:c r="I73" s="8" t="str">
        <x:f>'Evaluation Plan'!J73</x:f>
        <x:v>U2-B</x:v>
      </x:c>
      <x:c r="J73" s="8" t="str">
        <x:v>Not started</x:v>
      </x:c>
      <x:c r="K73" s="8"/>
      <x:c r="L73" s="8"/>
      <x:c r="M73" s="7"/>
    </x:row>
    <x:row r="74" ht="58" customHeight="1">
      <x:c r="A74" s="9" t="n">
        <x:f>'Evaluation Plan'!A74</x:f>
        <x:v>72</x:v>
      </x:c>
      <x:c r="B74" s="9" t="n">
        <x:f>'Evaluation Plan'!B74</x:f>
        <x:v>19</x:v>
      </x:c>
      <x:c r="C74" s="9" t="str">
        <x:f>'Evaluation Plan'!C74</x:f>
        <x:v>1 — Canonical transfer</x:v>
      </x:c>
      <x:c r="D74" s="9" t="str">
        <x:f>'Evaluation Plan'!D74</x:f>
        <x:v>Concept/compositional transfer</x:v>
      </x:c>
      <x:c r="E74" s="9" t="str">
        <x:f>'Evaluation Plan'!F74</x:f>
        <x:v>SR-F19</x:v>
      </x:c>
      <x:c r="F74" s="9" t="str">
        <x:f>IF('Evaluation Plan'!D74="Concept/compositional transfer","",'Evaluation Plan'!G74)</x:f>
      </x:c>
      <x:c r="G74" s="10" t="str">
        <x:f>'Evaluation Plan'!H74</x:f>
        <x:v>Place the upright brown cup in the bowl.</x:v>
      </x:c>
      <x:c r="H74" s="10" t="str">
        <x:f>'Evaluation Plan'!I74</x:f>
        <x:v>P1 white cup A (O, UR); P2 yellow-white striped cup B (C, UD); P3 brown cup A (O, UR) [TARGET]; P4 brown cup B (O, UD) [STATE COMPETITOR]</x:v>
      </x:c>
      <x:c r="I74" s="9" t="str">
        <x:f>'Evaluation Plan'!J74</x:f>
        <x:v>brown cup A</x:v>
      </x:c>
      <x:c r="J74" s="9" t="str">
        <x:v>Not started</x:v>
      </x:c>
      <x:c r="K74" s="9"/>
      <x:c r="L74" s="9"/>
      <x:c r="M74" s="10"/>
    </x:row>
    <x:row r="75" ht="58" customHeight="1">
      <x:c r="A75" s="8" t="n">
        <x:f>'Evaluation Plan'!A75</x:f>
        <x:v>73</x:v>
      </x:c>
      <x:c r="B75" s="8" t="n">
        <x:f>'Evaluation Plan'!B75</x:f>
        <x:v>19</x:v>
      </x:c>
      <x:c r="C75" s="8" t="str">
        <x:f>'Evaluation Plan'!C75</x:f>
        <x:v>2 — Matched control</x:v>
      </x:c>
      <x:c r="D75" s="8" t="str">
        <x:f>'Evaluation Plan'!D75</x:f>
        <x:v>Matched manipulation control</x:v>
      </x:c>
      <x:c r="E75" s="8" t="str">
        <x:f>'Evaluation Plan'!F75</x:f>
        <x:v>SR-F19</x:v>
      </x:c>
      <x:c r="F75" s="8" t="n">
        <x:f>IF('Evaluation Plan'!D75="Concept/compositional transfer","",'Evaluation Plan'!G75)</x:f>
        <x:v>72</x:v>
      </x:c>
      <x:c r="G75" s="7" t="str">
        <x:f>'Evaluation Plan'!H75</x:f>
        <x:v>Place the brown cup in the bowl.</x:v>
      </x:c>
      <x:c r="H75" s="7" t="str">
        <x:f>'Evaluation Plan'!I75</x:f>
        <x:v>P1 white cup A (O, UR); P2 yellow-white striped cup B (C, UD); P3 brown cup A (O, UR) [TARGET]</x:v>
      </x:c>
      <x:c r="I75" s="8" t="str">
        <x:f>'Evaluation Plan'!J75</x:f>
        <x:v>brown cup A</x:v>
      </x:c>
      <x:c r="J75" s="8" t="str">
        <x:v>Not started</x:v>
      </x:c>
      <x:c r="K75" s="8"/>
      <x:c r="L75" s="8"/>
      <x:c r="M75" s="7"/>
    </x:row>
    <x:row r="76" ht="58" customHeight="1">
      <x:c r="A76" s="8" t="n">
        <x:f>'Evaluation Plan'!A76</x:f>
        <x:v>74</x:v>
      </x:c>
      <x:c r="B76" s="8" t="n">
        <x:f>'Evaluation Plan'!B76</x:f>
        <x:v>19</x:v>
      </x:c>
      <x:c r="C76" s="8" t="str">
        <x:f>'Evaluation Plan'!C76</x:f>
        <x:v>3 — Novel-object canonical</x:v>
      </x:c>
      <x:c r="D76" s="8" t="str">
        <x:f>'Evaluation Plan'!D76</x:f>
        <x:v>Visual generalization</x:v>
      </x:c>
      <x:c r="E76" s="8" t="str">
        <x:f>'Evaluation Plan'!F76</x:f>
        <x:v>SR-F19</x:v>
      </x:c>
      <x:c r="F76" s="8" t="n">
        <x:f>IF('Evaluation Plan'!D76="Concept/compositional transfer","",'Evaluation Plan'!G76)</x:f>
        <x:v>72</x:v>
      </x:c>
      <x:c r="G76" s="7" t="str">
        <x:f>'Evaluation Plan'!H76</x:f>
        <x:v>Place the upright new bottle in the bowl.</x:v>
      </x:c>
      <x:c r="H76" s="7" t="str">
        <x:f>'Evaluation Plan'!I76</x:f>
        <x:v>P1 white cup A (O, UR); P2 yellow-white striped cup B (C, UD); P3 U3-A (O, UR) [TARGET]; P4 U3-B (O, UD) [STATE COMPETITOR]</x:v>
      </x:c>
      <x:c r="I76" s="8" t="str">
        <x:f>'Evaluation Plan'!J76</x:f>
        <x:v>U3-A</x:v>
      </x:c>
      <x:c r="J76" s="8" t="str">
        <x:v>Not started</x:v>
      </x:c>
      <x:c r="K76" s="8"/>
      <x:c r="L76" s="8"/>
      <x:c r="M76" s="7"/>
    </x:row>
    <x:row r="77" ht="58" customHeight="1">
      <x:c r="A77" s="8" t="n">
        <x:f>'Evaluation Plan'!A77</x:f>
        <x:v>75</x:v>
      </x:c>
      <x:c r="B77" s="8" t="n">
        <x:f>'Evaluation Plan'!B77</x:f>
        <x:v>19</x:v>
      </x:c>
      <x:c r="C77" s="8" t="str">
        <x:f>'Evaluation Plan'!C77</x:f>
        <x:v>4 — Novel-object paraphrase</x:v>
      </x:c>
      <x:c r="D77" s="8" t="str">
        <x:f>'Evaluation Plan'!D77</x:f>
        <x:v>Language robustness</x:v>
      </x:c>
      <x:c r="E77" s="8" t="str">
        <x:f>'Evaluation Plan'!F77</x:f>
        <x:v>SR-F19</x:v>
      </x:c>
      <x:c r="F77" s="8" t="n">
        <x:f>IF('Evaluation Plan'!D77="Concept/compositional transfer","",'Evaluation Plan'!G77)</x:f>
        <x:v>74</x:v>
      </x:c>
      <x:c r="G77" s="7" t="str">
        <x:f>'Evaluation Plan'!H77</x:f>
        <x:v>Move the upright new bottle into the bowl.</x:v>
      </x:c>
      <x:c r="H77" s="7" t="str">
        <x:f>'Evaluation Plan'!I77</x:f>
        <x:v>P1 white cup A (O, UR); P2 yellow-white striped cup B (C, UD); P3 U3-A (O, UR) [TARGET]; P4 U3-B (O, UD) [STATE COMPETITOR]</x:v>
      </x:c>
      <x:c r="I77" s="8" t="str">
        <x:f>'Evaluation Plan'!J77</x:f>
        <x:v>U3-A</x:v>
      </x:c>
      <x:c r="J77" s="8" t="str">
        <x:v>Not started</x:v>
      </x:c>
      <x:c r="K77" s="8"/>
      <x:c r="L77" s="8"/>
      <x:c r="M77" s="7"/>
    </x:row>
    <x:row r="78" ht="58" customHeight="1">
      <x:c r="A78" s="9" t="n">
        <x:f>'Evaluation Plan'!A78</x:f>
        <x:v>76</x:v>
      </x:c>
      <x:c r="B78" s="9" t="n">
        <x:f>'Evaluation Plan'!B78</x:f>
        <x:v>20</x:v>
      </x:c>
      <x:c r="C78" s="9" t="str">
        <x:f>'Evaluation Plan'!C78</x:f>
        <x:v>1 — Canonical transfer</x:v>
      </x:c>
      <x:c r="D78" s="9" t="str">
        <x:f>'Evaluation Plan'!D78</x:f>
        <x:v>Concept/compositional transfer</x:v>
      </x:c>
      <x:c r="E78" s="9" t="str">
        <x:f>'Evaluation Plan'!F78</x:f>
        <x:v>SR-F20</x:v>
      </x:c>
      <x:c r="F78" s="9" t="str">
        <x:f>IF('Evaluation Plan'!D78="Concept/compositional transfer","",'Evaluation Plan'!G78)</x:f>
      </x:c>
      <x:c r="G78" s="10" t="str">
        <x:f>'Evaluation Plan'!H78</x:f>
        <x:v>Put the upside-down glass spice container in the bowl.</x:v>
      </x:c>
      <x:c r="H78" s="10" t="str">
        <x:f>'Evaluation Plan'!I78</x:f>
        <x:v>P1 glass spice container A (C, UR) [STATE COMPETITOR]; P2 white cup A (O, UR); P3 yellow-white striped cup B (C, UD); P4 glass spice container B (C, UD) [TARGET]</x:v>
      </x:c>
      <x:c r="I78" s="9" t="str">
        <x:f>'Evaluation Plan'!J78</x:f>
        <x:v>glass spice container B</x:v>
      </x:c>
      <x:c r="J78" s="9" t="str">
        <x:v>Not started</x:v>
      </x:c>
      <x:c r="K78" s="9"/>
      <x:c r="L78" s="9"/>
      <x:c r="M78" s="10"/>
    </x:row>
    <x:row r="79" ht="58" customHeight="1">
      <x:c r="A79" s="8" t="n">
        <x:f>'Evaluation Plan'!A79</x:f>
        <x:v>77</x:v>
      </x:c>
      <x:c r="B79" s="8" t="n">
        <x:f>'Evaluation Plan'!B79</x:f>
        <x:v>20</x:v>
      </x:c>
      <x:c r="C79" s="8" t="str">
        <x:f>'Evaluation Plan'!C79</x:f>
        <x:v>2 — Matched control</x:v>
      </x:c>
      <x:c r="D79" s="8" t="str">
        <x:f>'Evaluation Plan'!D79</x:f>
        <x:v>Matched manipulation control</x:v>
      </x:c>
      <x:c r="E79" s="8" t="str">
        <x:f>'Evaluation Plan'!F79</x:f>
        <x:v>SR-F20</x:v>
      </x:c>
      <x:c r="F79" s="8" t="n">
        <x:f>IF('Evaluation Plan'!D79="Concept/compositional transfer","",'Evaluation Plan'!G79)</x:f>
        <x:v>76</x:v>
      </x:c>
      <x:c r="G79" s="7" t="str">
        <x:f>'Evaluation Plan'!H79</x:f>
        <x:v>Put the glass spice container in the bowl.</x:v>
      </x:c>
      <x:c r="H79" s="7" t="str">
        <x:f>'Evaluation Plan'!I79</x:f>
        <x:v>P2 white cup A (O, UR); P3 yellow-white striped cup B (C, UD); P4 glass spice container B (C, UD) [TARGET]</x:v>
      </x:c>
      <x:c r="I79" s="8" t="str">
        <x:f>'Evaluation Plan'!J79</x:f>
        <x:v>glass spice container B</x:v>
      </x:c>
      <x:c r="J79" s="8" t="str">
        <x:v>Not started</x:v>
      </x:c>
      <x:c r="K79" s="8"/>
      <x:c r="L79" s="8"/>
      <x:c r="M79" s="7"/>
    </x:row>
    <x:row r="80" ht="58" customHeight="1">
      <x:c r="A80" s="8" t="n">
        <x:f>'Evaluation Plan'!A80</x:f>
        <x:v>78</x:v>
      </x:c>
      <x:c r="B80" s="8" t="n">
        <x:f>'Evaluation Plan'!B80</x:f>
        <x:v>20</x:v>
      </x:c>
      <x:c r="C80" s="8" t="str">
        <x:f>'Evaluation Plan'!C80</x:f>
        <x:v>3 — Novel-object canonical</x:v>
      </x:c>
      <x:c r="D80" s="8" t="str">
        <x:f>'Evaluation Plan'!D80</x:f>
        <x:v>Visual generalization</x:v>
      </x:c>
      <x:c r="E80" s="8" t="str">
        <x:f>'Evaluation Plan'!F80</x:f>
        <x:v>SR-F20</x:v>
      </x:c>
      <x:c r="F80" s="8" t="n">
        <x:f>IF('Evaluation Plan'!D80="Concept/compositional transfer","",'Evaluation Plan'!G80)</x:f>
        <x:v>76</x:v>
      </x:c>
      <x:c r="G80" s="7" t="str">
        <x:f>'Evaluation Plan'!H80</x:f>
        <x:v>Put the upside-down new asymmetric container in the bowl.</x:v>
      </x:c>
      <x:c r="H80" s="7" t="str">
        <x:f>'Evaluation Plan'!I80</x:f>
        <x:v>P1 U4-A (C, UR) [STATE COMPETITOR]; P2 white cup A (O, UR); P3 yellow-white striped cup B (C, UD); P4 U4-B (C, UD) [TARGET]</x:v>
      </x:c>
      <x:c r="I80" s="8" t="str">
        <x:f>'Evaluation Plan'!J80</x:f>
        <x:v>U4-B</x:v>
      </x:c>
      <x:c r="J80" s="8" t="str">
        <x:v>Not started</x:v>
      </x:c>
      <x:c r="K80" s="8"/>
      <x:c r="L80" s="8"/>
      <x:c r="M80" s="7"/>
    </x:row>
    <x:row r="81" ht="58" customHeight="1">
      <x:c r="A81" s="8" t="n">
        <x:f>'Evaluation Plan'!A81</x:f>
        <x:v>79</x:v>
      </x:c>
      <x:c r="B81" s="8" t="n">
        <x:f>'Evaluation Plan'!B81</x:f>
        <x:v>20</x:v>
      </x:c>
      <x:c r="C81" s="8" t="str">
        <x:f>'Evaluation Plan'!C81</x:f>
        <x:v>4 — Novel-object paraphrase</x:v>
      </x:c>
      <x:c r="D81" s="8" t="str">
        <x:f>'Evaluation Plan'!D81</x:f>
        <x:v>Language robustness</x:v>
      </x:c>
      <x:c r="E81" s="8" t="str">
        <x:f>'Evaluation Plan'!F81</x:f>
        <x:v>SR-F20</x:v>
      </x:c>
      <x:c r="F81" s="8" t="n">
        <x:f>IF('Evaluation Plan'!D81="Concept/compositional transfer","",'Evaluation Plan'!G81)</x:f>
        <x:v>78</x:v>
      </x:c>
      <x:c r="G81" s="7" t="str">
        <x:f>'Evaluation Plan'!H81</x:f>
        <x:v>Move the upside-down new asymmetric container into the bowl.</x:v>
      </x:c>
      <x:c r="H81" s="7" t="str">
        <x:f>'Evaluation Plan'!I81</x:f>
        <x:v>P1 U4-A (C, UR) [STATE COMPETITOR]; P2 white cup A (O, UR); P3 yellow-white striped cup B (C, UD); P4 U4-B (C, UD) [TARGET]</x:v>
      </x:c>
      <x:c r="I81" s="8" t="str">
        <x:f>'Evaluation Plan'!J81</x:f>
        <x:v>U4-B</x:v>
      </x:c>
      <x:c r="J81" s="8" t="str">
        <x:v>Not started</x:v>
      </x:c>
      <x:c r="K81" s="8"/>
      <x:c r="L81" s="8"/>
      <x:c r="M81" s="7"/>
    </x:row>
    <x:row r="82" ht="58" customHeight="1">
      <x:c r="A82" s="8" t="n">
        <x:f>'Evaluation Plan'!A82</x:f>
        <x:v>80</x:v>
      </x:c>
      <x:c r="B82" s="8" t="n">
        <x:f>'Evaluation Plan'!B82</x:f>
        <x:v>21</x:v>
      </x:c>
      <x:c r="C82" s="8" t="str">
        <x:f>'Evaluation Plan'!C82</x:f>
        <x:v>Additional transfer</x:v>
      </x:c>
      <x:c r="D82" s="8" t="str">
        <x:f>'Evaluation Plan'!D82</x:f>
        <x:v>Concept/compositional transfer</x:v>
      </x:c>
      <x:c r="E82" s="8" t="str">
        <x:f>'Evaluation Plan'!F82</x:f>
        <x:v>SR-X01</x:v>
      </x:c>
      <x:c r="F82" s="8" t="str">
        <x:f>IF('Evaluation Plan'!D82="Concept/compositional transfer","",'Evaluation Plan'!G82)</x:f>
      </x:c>
      <x:c r="G82" s="7" t="str">
        <x:f>'Evaluation Plan'!H82</x:f>
        <x:v>Move the closed yellow-white striped cup into the bowl.</x:v>
      </x:c>
      <x:c r="H82" s="7" t="str">
        <x:f>'Evaluation Plan'!I82</x:f>
        <x:v>P1 yellow-white striped cup A (C, UR) [TARGET]; P2 yellow-white striped cup B (O, UR) [STATE COMPETITOR]; P3 white cup A (O, UR); P4 brown cup B (C, UD)</x:v>
      </x:c>
      <x:c r="I82" s="8" t="str">
        <x:f>'Evaluation Plan'!J82</x:f>
        <x:v>yellow-white striped cup A</x:v>
      </x:c>
      <x:c r="J82" s="8" t="str">
        <x:v>Not started</x:v>
      </x:c>
      <x:c r="K82" s="8"/>
      <x:c r="L82" s="8"/>
      <x:c r="M82" s="7"/>
    </x:row>
    <x:row r="83" ht="58" customHeight="1">
      <x:c r="A83" s="8" t="n">
        <x:f>'Evaluation Plan'!A83</x:f>
        <x:v>81</x:v>
      </x:c>
      <x:c r="B83" s="8" t="n">
        <x:f>'Evaluation Plan'!B83</x:f>
        <x:v>22</x:v>
      </x:c>
      <x:c r="C83" s="8" t="str">
        <x:f>'Evaluation Plan'!C83</x:f>
        <x:v>Additional transfer</x:v>
      </x:c>
      <x:c r="D83" s="8" t="str">
        <x:f>'Evaluation Plan'!D83</x:f>
        <x:v>Concept/compositional transfer</x:v>
      </x:c>
      <x:c r="E83" s="8" t="str">
        <x:f>'Evaluation Plan'!F83</x:f>
        <x:v>SR-X02</x:v>
      </x:c>
      <x:c r="F83" s="8" t="str">
        <x:f>IF('Evaluation Plan'!D83="Concept/compositional transfer","",'Evaluation Plan'!G83)</x:f>
      </x:c>
      <x:c r="G83" s="7" t="str">
        <x:f>'Evaluation Plan'!H83</x:f>
        <x:v>Place the closed brown cup in the bowl.</x:v>
      </x:c>
      <x:c r="H83" s="7" t="str">
        <x:f>'Evaluation Plan'!I83</x:f>
        <x:v>P1 white cup B (C, UD); P2 brown cup B (C, UD) [TARGET]; P3 brown cup A (O, UD) [STATE COMPETITOR]; P4 yellow-white striped cup A (O, UR)</x:v>
      </x:c>
      <x:c r="I83" s="8" t="str">
        <x:f>'Evaluation Plan'!J83</x:f>
        <x:v>brown cup B</x:v>
      </x:c>
      <x:c r="J83" s="8" t="str">
        <x:v>Not started</x:v>
      </x:c>
      <x:c r="K83" s="8"/>
      <x:c r="L83" s="8"/>
      <x:c r="M83" s="7"/>
    </x:row>
    <x:row r="84" ht="58" customHeight="1">
      <x:c r="A84" s="8" t="n">
        <x:f>'Evaluation Plan'!A84</x:f>
        <x:v>82</x:v>
      </x:c>
      <x:c r="B84" s="8" t="n">
        <x:f>'Evaluation Plan'!B84</x:f>
        <x:v>23</x:v>
      </x:c>
      <x:c r="C84" s="8" t="str">
        <x:f>'Evaluation Plan'!C84</x:f>
        <x:v>Additional transfer</x:v>
      </x:c>
      <x:c r="D84" s="8" t="str">
        <x:f>'Evaluation Plan'!D84</x:f>
        <x:v>Concept/compositional transfer</x:v>
      </x:c>
      <x:c r="E84" s="8" t="str">
        <x:f>'Evaluation Plan'!F84</x:f>
        <x:v>SR-X03</x:v>
      </x:c>
      <x:c r="F84" s="8" t="str">
        <x:f>IF('Evaluation Plan'!D84="Concept/compositional transfer","",'Evaluation Plan'!G84)</x:f>
      </x:c>
      <x:c r="G84" s="7" t="str">
        <x:f>'Evaluation Plan'!H84</x:f>
        <x:v>Put the closed glass spice container in the bowl.</x:v>
      </x:c>
      <x:c r="H84" s="7" t="str">
        <x:f>'Evaluation Plan'!I84</x:f>
        <x:v>P1 white cup A (O, UR); P2 yellow-white striped cup B (C, UD); P3 glass spice container A (C, UR) [TARGET]; P4 glass spice container B (O, UR) [STATE COMPETITOR]</x:v>
      </x:c>
      <x:c r="I84" s="8" t="str">
        <x:f>'Evaluation Plan'!J84</x:f>
        <x:v>glass spice container A</x:v>
      </x:c>
      <x:c r="J84" s="8" t="str">
        <x:v>Not started</x:v>
      </x:c>
      <x:c r="K84" s="8"/>
      <x:c r="L84" s="8"/>
      <x:c r="M84" s="7"/>
    </x:row>
    <x:row r="85" ht="58" customHeight="1">
      <x:c r="A85" s="8" t="n">
        <x:f>'Evaluation Plan'!A85</x:f>
        <x:v>83</x:v>
      </x:c>
      <x:c r="B85" s="8" t="n">
        <x:f>'Evaluation Plan'!B85</x:f>
        <x:v>24</x:v>
      </x:c>
      <x:c r="C85" s="8" t="str">
        <x:f>'Evaluation Plan'!C85</x:f>
        <x:v>Additional transfer</x:v>
      </x:c>
      <x:c r="D85" s="8" t="str">
        <x:f>'Evaluation Plan'!D85</x:f>
        <x:v>Concept/compositional transfer</x:v>
      </x:c>
      <x:c r="E85" s="8" t="str">
        <x:f>'Evaluation Plan'!F85</x:f>
        <x:v>SR-X04</x:v>
      </x:c>
      <x:c r="F85" s="8" t="str">
        <x:f>IF('Evaluation Plan'!D85="Concept/compositional transfer","",'Evaluation Plan'!G85)</x:f>
      </x:c>
      <x:c r="G85" s="7" t="str">
        <x:f>'Evaluation Plan'!H85</x:f>
        <x:v>Move the closed white cup into the bowl.</x:v>
      </x:c>
      <x:c r="H85" s="7" t="str">
        <x:f>'Evaluation Plan'!I85</x:f>
        <x:v>P1 white cup A (O, UD) [STATE COMPETITOR]; P2 yellow-white striped cup A (O, UR); P3 brown cup B (C, UD); P4 white cup B (C, UD) [TARGET]</x:v>
      </x:c>
      <x:c r="I85" s="8" t="str">
        <x:f>'Evaluation Plan'!J85</x:f>
        <x:v>white cup B</x:v>
      </x:c>
      <x:c r="J85" s="8" t="str">
        <x:v>Not started</x:v>
      </x:c>
      <x:c r="K85" s="8"/>
      <x:c r="L85" s="8"/>
      <x:c r="M85" s="7"/>
    </x:row>
    <x:row r="86" ht="58" customHeight="1">
      <x:c r="A86" s="8" t="n">
        <x:f>'Evaluation Plan'!A86</x:f>
        <x:v>84</x:v>
      </x:c>
      <x:c r="B86" s="8" t="n">
        <x:f>'Evaluation Plan'!B86</x:f>
        <x:v>25</x:v>
      </x:c>
      <x:c r="C86" s="8" t="str">
        <x:f>'Evaluation Plan'!C86</x:f>
        <x:v>Additional transfer</x:v>
      </x:c>
      <x:c r="D86" s="8" t="str">
        <x:f>'Evaluation Plan'!D86</x:f>
        <x:v>Concept/compositional transfer</x:v>
      </x:c>
      <x:c r="E86" s="8" t="str">
        <x:f>'Evaluation Plan'!F86</x:f>
        <x:v>SR-X05</x:v>
      </x:c>
      <x:c r="F86" s="8" t="str">
        <x:f>IF('Evaluation Plan'!D86="Concept/compositional transfer","",'Evaluation Plan'!G86)</x:f>
      </x:c>
      <x:c r="G86" s="7" t="str">
        <x:f>'Evaluation Plan'!H86</x:f>
        <x:v>Place the closed yellow-white striped cup in the bowl.</x:v>
      </x:c>
      <x:c r="H86" s="7" t="str">
        <x:f>'Evaluation Plan'!I86</x:f>
        <x:v>P1 yellow-white striped cup A (C, UR) [TARGET]; P2 yellow-white striped cup B (O, UR) [STATE COMPETITOR]; P3 white cup A (O, UR); P4 brown cup B (C, UD)</x:v>
      </x:c>
      <x:c r="I86" s="8" t="str">
        <x:f>'Evaluation Plan'!J86</x:f>
        <x:v>yellow-white striped cup A</x:v>
      </x:c>
      <x:c r="J86" s="8" t="str">
        <x:v>Not started</x:v>
      </x:c>
      <x:c r="K86" s="8"/>
      <x:c r="L86" s="8"/>
      <x:c r="M86" s="7"/>
    </x:row>
    <x:row r="87" ht="58" customHeight="1">
      <x:c r="A87" s="8" t="n">
        <x:f>'Evaluation Plan'!A87</x:f>
        <x:v>85</x:v>
      </x:c>
      <x:c r="B87" s="8" t="n">
        <x:f>'Evaluation Plan'!B87</x:f>
        <x:v>26</x:v>
      </x:c>
      <x:c r="C87" s="8" t="str">
        <x:f>'Evaluation Plan'!C87</x:f>
        <x:v>Additional transfer</x:v>
      </x:c>
      <x:c r="D87" s="8" t="str">
        <x:f>'Evaluation Plan'!D87</x:f>
        <x:v>Concept/compositional transfer</x:v>
      </x:c>
      <x:c r="E87" s="8" t="str">
        <x:f>'Evaluation Plan'!F87</x:f>
        <x:v>SR-X06</x:v>
      </x:c>
      <x:c r="F87" s="8" t="str">
        <x:f>IF('Evaluation Plan'!D87="Concept/compositional transfer","",'Evaluation Plan'!G87)</x:f>
      </x:c>
      <x:c r="G87" s="7" t="str">
        <x:f>'Evaluation Plan'!H87</x:f>
        <x:v>Put the closed brown cup in the bowl.</x:v>
      </x:c>
      <x:c r="H87" s="7" t="str">
        <x:f>'Evaluation Plan'!I87</x:f>
        <x:v>P1 white cup B (C, UD); P2 brown cup B (C, UD) [TARGET]; P3 brown cup A (O, UD) [STATE COMPETITOR]; P4 yellow-white striped cup A (O, UR)</x:v>
      </x:c>
      <x:c r="I87" s="8" t="str">
        <x:f>'Evaluation Plan'!J87</x:f>
        <x:v>brown cup B</x:v>
      </x:c>
      <x:c r="J87" s="8" t="str">
        <x:v>Not started</x:v>
      </x:c>
      <x:c r="K87" s="8"/>
      <x:c r="L87" s="8"/>
      <x:c r="M87" s="7"/>
    </x:row>
    <x:row r="88" ht="58" customHeight="1">
      <x:c r="A88" s="8" t="n">
        <x:f>'Evaluation Plan'!A88</x:f>
        <x:v>86</x:v>
      </x:c>
      <x:c r="B88" s="8" t="n">
        <x:f>'Evaluation Plan'!B88</x:f>
        <x:v>27</x:v>
      </x:c>
      <x:c r="C88" s="8" t="str">
        <x:f>'Evaluation Plan'!C88</x:f>
        <x:v>Additional transfer</x:v>
      </x:c>
      <x:c r="D88" s="8" t="str">
        <x:f>'Evaluation Plan'!D88</x:f>
        <x:v>Concept/compositional transfer</x:v>
      </x:c>
      <x:c r="E88" s="8" t="str">
        <x:f>'Evaluation Plan'!F88</x:f>
        <x:v>SR-X07</x:v>
      </x:c>
      <x:c r="F88" s="8" t="str">
        <x:f>IF('Evaluation Plan'!D88="Concept/compositional transfer","",'Evaluation Plan'!G88)</x:f>
      </x:c>
      <x:c r="G88" s="7" t="str">
        <x:f>'Evaluation Plan'!H88</x:f>
        <x:v>Move the closed glass spice container into the bowl.</x:v>
      </x:c>
      <x:c r="H88" s="7" t="str">
        <x:f>'Evaluation Plan'!I88</x:f>
        <x:v>P1 white cup A (O, UR); P2 yellow-white striped cup B (C, UD); P3 glass spice container A (C, UR) [TARGET]; P4 glass spice container B (O, UR) [STATE COMPETITOR]</x:v>
      </x:c>
      <x:c r="I88" s="8" t="str">
        <x:f>'Evaluation Plan'!J88</x:f>
        <x:v>glass spice container A</x:v>
      </x:c>
      <x:c r="J88" s="8" t="str">
        <x:v>Not started</x:v>
      </x:c>
      <x:c r="K88" s="8"/>
      <x:c r="L88" s="8"/>
      <x:c r="M88" s="7"/>
    </x:row>
    <x:row r="89" ht="58" customHeight="1">
      <x:c r="A89" s="8" t="n">
        <x:f>'Evaluation Plan'!A89</x:f>
        <x:v>87</x:v>
      </x:c>
      <x:c r="B89" s="8" t="n">
        <x:f>'Evaluation Plan'!B89</x:f>
        <x:v>28</x:v>
      </x:c>
      <x:c r="C89" s="8" t="str">
        <x:f>'Evaluation Plan'!C89</x:f>
        <x:v>Additional transfer</x:v>
      </x:c>
      <x:c r="D89" s="8" t="str">
        <x:f>'Evaluation Plan'!D89</x:f>
        <x:v>Concept/compositional transfer</x:v>
      </x:c>
      <x:c r="E89" s="8" t="str">
        <x:f>'Evaluation Plan'!F89</x:f>
        <x:v>SR-X08</x:v>
      </x:c>
      <x:c r="F89" s="8" t="str">
        <x:f>IF('Evaluation Plan'!D89="Concept/compositional transfer","",'Evaluation Plan'!G89)</x:f>
      </x:c>
      <x:c r="G89" s="7" t="str">
        <x:f>'Evaluation Plan'!H89</x:f>
        <x:v>Place the closed white cup in the bowl.</x:v>
      </x:c>
      <x:c r="H89" s="7" t="str">
        <x:f>'Evaluation Plan'!I89</x:f>
        <x:v>P1 white cup A (O, UD) [STATE COMPETITOR]; P2 yellow-white striped cup A (O, UR); P3 brown cup B (C, UD); P4 white cup B (C, UD) [TARGET]</x:v>
      </x:c>
      <x:c r="I89" s="8" t="str">
        <x:f>'Evaluation Plan'!J89</x:f>
        <x:v>white cup B</x:v>
      </x:c>
      <x:c r="J89" s="8" t="str">
        <x:v>Not started</x:v>
      </x:c>
      <x:c r="K89" s="8"/>
      <x:c r="L89" s="8"/>
      <x:c r="M89" s="7"/>
    </x:row>
    <x:row r="90" ht="58" customHeight="1">
      <x:c r="A90" s="8" t="n">
        <x:f>'Evaluation Plan'!A90</x:f>
        <x:v>88</x:v>
      </x:c>
      <x:c r="B90" s="8" t="n">
        <x:f>'Evaluation Plan'!B90</x:f>
        <x:v>29</x:v>
      </x:c>
      <x:c r="C90" s="8" t="str">
        <x:f>'Evaluation Plan'!C90</x:f>
        <x:v>Additional transfer</x:v>
      </x:c>
      <x:c r="D90" s="8" t="str">
        <x:f>'Evaluation Plan'!D90</x:f>
        <x:v>Concept/compositional transfer</x:v>
      </x:c>
      <x:c r="E90" s="8" t="str">
        <x:f>'Evaluation Plan'!F90</x:f>
        <x:v>SR-X09</x:v>
      </x:c>
      <x:c r="F90" s="8" t="str">
        <x:f>IF('Evaluation Plan'!D90="Concept/compositional transfer","",'Evaluation Plan'!G90)</x:f>
      </x:c>
      <x:c r="G90" s="7" t="str">
        <x:f>'Evaluation Plan'!H90</x:f>
        <x:v>Put the upright yellow-white striped cup in the bowl.</x:v>
      </x:c>
      <x:c r="H90" s="7" t="str">
        <x:f>'Evaluation Plan'!I90</x:f>
        <x:v>P1 yellow-white striped cup A (O, UR) [TARGET]; P2 yellow-white striped cup B (O, UD) [STATE COMPETITOR]; P3 white cup A (O, UR); P4 brown cup B (C, UD)</x:v>
      </x:c>
      <x:c r="I90" s="8" t="str">
        <x:f>'Evaluation Plan'!J90</x:f>
        <x:v>yellow-white striped cup A</x:v>
      </x:c>
      <x:c r="J90" s="8" t="str">
        <x:v>Not started</x:v>
      </x:c>
      <x:c r="K90" s="8"/>
      <x:c r="L90" s="8"/>
      <x:c r="M90" s="7"/>
    </x:row>
    <x:row r="91" ht="58" customHeight="1">
      <x:c r="A91" s="8" t="n">
        <x:f>'Evaluation Plan'!A91</x:f>
        <x:v>89</x:v>
      </x:c>
      <x:c r="B91" s="8" t="n">
        <x:f>'Evaluation Plan'!B91</x:f>
        <x:v>30</x:v>
      </x:c>
      <x:c r="C91" s="8" t="str">
        <x:f>'Evaluation Plan'!C91</x:f>
        <x:v>Additional transfer</x:v>
      </x:c>
      <x:c r="D91" s="8" t="str">
        <x:f>'Evaluation Plan'!D91</x:f>
        <x:v>Concept/compositional transfer</x:v>
      </x:c>
      <x:c r="E91" s="8" t="str">
        <x:f>'Evaluation Plan'!F91</x:f>
        <x:v>SR-X10</x:v>
      </x:c>
      <x:c r="F91" s="8" t="str">
        <x:f>IF('Evaluation Plan'!D91="Concept/compositional transfer","",'Evaluation Plan'!G91)</x:f>
      </x:c>
      <x:c r="G91" s="7" t="str">
        <x:f>'Evaluation Plan'!H91</x:f>
        <x:v>Move the upright brown cup into the bowl.</x:v>
      </x:c>
      <x:c r="H91" s="7" t="str">
        <x:f>'Evaluation Plan'!I91</x:f>
        <x:v>P1 white cup B (C, UD); P2 brown cup B (C, UR) [TARGET]; P3 brown cup A (C, UD) [STATE COMPETITOR]; P4 yellow-white striped cup A (O, UR)</x:v>
      </x:c>
      <x:c r="I91" s="8" t="str">
        <x:f>'Evaluation Plan'!J91</x:f>
        <x:v>brown cup B</x:v>
      </x:c>
      <x:c r="J91" s="8" t="str">
        <x:v>Not started</x:v>
      </x:c>
      <x:c r="K91" s="8"/>
      <x:c r="L91" s="8"/>
      <x:c r="M91" s="7"/>
    </x:row>
    <x:row r="92" ht="58" customHeight="1">
      <x:c r="A92" s="8" t="n">
        <x:f>'Evaluation Plan'!A92</x:f>
        <x:v>90</x:v>
      </x:c>
      <x:c r="B92" s="8" t="n">
        <x:f>'Evaluation Plan'!B92</x:f>
        <x:v>31</x:v>
      </x:c>
      <x:c r="C92" s="8" t="str">
        <x:f>'Evaluation Plan'!C92</x:f>
        <x:v>Additional transfer</x:v>
      </x:c>
      <x:c r="D92" s="8" t="str">
        <x:f>'Evaluation Plan'!D92</x:f>
        <x:v>Concept/compositional transfer</x:v>
      </x:c>
      <x:c r="E92" s="8" t="str">
        <x:f>'Evaluation Plan'!F92</x:f>
        <x:v>SR-X11</x:v>
      </x:c>
      <x:c r="F92" s="8" t="str">
        <x:f>IF('Evaluation Plan'!D92="Concept/compositional transfer","",'Evaluation Plan'!G92)</x:f>
      </x:c>
      <x:c r="G92" s="7" t="str">
        <x:f>'Evaluation Plan'!H92</x:f>
        <x:v>Place the upright glass spice container in the bowl.</x:v>
      </x:c>
      <x:c r="H92" s="7" t="str">
        <x:f>'Evaluation Plan'!I92</x:f>
        <x:v>P1 white cup A (O, UR); P2 yellow-white striped cup B (C, UD); P3 glass spice container A (O, UR) [TARGET]; P4 glass spice container B (O, UD) [STATE COMPETITOR]</x:v>
      </x:c>
      <x:c r="I92" s="8" t="str">
        <x:f>'Evaluation Plan'!J92</x:f>
        <x:v>glass spice container A</x:v>
      </x:c>
      <x:c r="J92" s="8" t="str">
        <x:v>Not started</x:v>
      </x:c>
      <x:c r="K92" s="8"/>
      <x:c r="L92" s="8"/>
      <x:c r="M92" s="7"/>
    </x:row>
    <x:row r="93" ht="58" customHeight="1">
      <x:c r="A93" s="8" t="n">
        <x:f>'Evaluation Plan'!A93</x:f>
        <x:v>91</x:v>
      </x:c>
      <x:c r="B93" s="8" t="n">
        <x:f>'Evaluation Plan'!B93</x:f>
        <x:v>32</x:v>
      </x:c>
      <x:c r="C93" s="8" t="str">
        <x:f>'Evaluation Plan'!C93</x:f>
        <x:v>Additional transfer</x:v>
      </x:c>
      <x:c r="D93" s="8" t="str">
        <x:f>'Evaluation Plan'!D93</x:f>
        <x:v>Concept/compositional transfer</x:v>
      </x:c>
      <x:c r="E93" s="8" t="str">
        <x:f>'Evaluation Plan'!F93</x:f>
        <x:v>SR-X12</x:v>
      </x:c>
      <x:c r="F93" s="8" t="str">
        <x:f>IF('Evaluation Plan'!D93="Concept/compositional transfer","",'Evaluation Plan'!G93)</x:f>
      </x:c>
      <x:c r="G93" s="7" t="str">
        <x:f>'Evaluation Plan'!H93</x:f>
        <x:v>Put the open white cup in the bowl.</x:v>
      </x:c>
      <x:c r="H93" s="7" t="str">
        <x:f>'Evaluation Plan'!I93</x:f>
        <x:v>P1 white cup A (C, UD) [STATE COMPETITOR]; P2 yellow-white striped cup A (O, UR); P3 brown cup B (C, UD); P4 white cup B (O, UD) [TARGET]</x:v>
      </x:c>
      <x:c r="I93" s="8" t="str">
        <x:f>'Evaluation Plan'!J93</x:f>
        <x:v>white cup B</x:v>
      </x:c>
      <x:c r="J93" s="8" t="str">
        <x:v>Not started</x:v>
      </x:c>
      <x:c r="K93" s="8"/>
      <x:c r="L93" s="8"/>
      <x:c r="M93" s="7"/>
    </x:row>
    <x:row r="94" ht="58" customHeight="1">
      <x:c r="A94" s="8" t="n">
        <x:f>'Evaluation Plan'!A94</x:f>
        <x:v>92</x:v>
      </x:c>
      <x:c r="B94" s="8" t="n">
        <x:f>'Evaluation Plan'!B94</x:f>
        <x:v>33</x:v>
      </x:c>
      <x:c r="C94" s="8" t="str">
        <x:f>'Evaluation Plan'!C94</x:f>
        <x:v>Additional transfer</x:v>
      </x:c>
      <x:c r="D94" s="8" t="str">
        <x:f>'Evaluation Plan'!D94</x:f>
        <x:v>Concept/compositional transfer</x:v>
      </x:c>
      <x:c r="E94" s="8" t="str">
        <x:f>'Evaluation Plan'!F94</x:f>
        <x:v>SR-X13</x:v>
      </x:c>
      <x:c r="F94" s="8" t="str">
        <x:f>IF('Evaluation Plan'!D94="Concept/compositional transfer","",'Evaluation Plan'!G94)</x:f>
      </x:c>
      <x:c r="G94" s="7" t="str">
        <x:f>'Evaluation Plan'!H94</x:f>
        <x:v>Move the open yellow-white striped cup into the bowl.</x:v>
      </x:c>
      <x:c r="H94" s="7" t="str">
        <x:f>'Evaluation Plan'!I94</x:f>
        <x:v>P1 yellow-white striped cup A (O, UR) [TARGET]; P2 yellow-white striped cup B (C, UR) [STATE COMPETITOR]; P3 white cup A (O, UR); P4 brown cup B (C, UD)</x:v>
      </x:c>
      <x:c r="I94" s="8" t="str">
        <x:f>'Evaluation Plan'!J94</x:f>
        <x:v>yellow-white striped cup A</x:v>
      </x:c>
      <x:c r="J94" s="8" t="str">
        <x:v>Not started</x:v>
      </x:c>
      <x:c r="K94" s="8"/>
      <x:c r="L94" s="8"/>
      <x:c r="M94" s="7"/>
    </x:row>
    <x:row r="95" ht="58" customHeight="1">
      <x:c r="A95" s="8" t="n">
        <x:f>'Evaluation Plan'!A95</x:f>
        <x:v>93</x:v>
      </x:c>
      <x:c r="B95" s="8" t="n">
        <x:f>'Evaluation Plan'!B95</x:f>
        <x:v>34</x:v>
      </x:c>
      <x:c r="C95" s="8" t="str">
        <x:f>'Evaluation Plan'!C95</x:f>
        <x:v>Additional transfer</x:v>
      </x:c>
      <x:c r="D95" s="8" t="str">
        <x:f>'Evaluation Plan'!D95</x:f>
        <x:v>Concept/compositional transfer</x:v>
      </x:c>
      <x:c r="E95" s="8" t="str">
        <x:f>'Evaluation Plan'!F95</x:f>
        <x:v>SR-X14</x:v>
      </x:c>
      <x:c r="F95" s="8" t="str">
        <x:f>IF('Evaluation Plan'!D95="Concept/compositional transfer","",'Evaluation Plan'!G95)</x:f>
      </x:c>
      <x:c r="G95" s="7" t="str">
        <x:f>'Evaluation Plan'!H95</x:f>
        <x:v>Place the open brown cup in the bowl.</x:v>
      </x:c>
      <x:c r="H95" s="7" t="str">
        <x:f>'Evaluation Plan'!I95</x:f>
        <x:v>P1 white cup B (C, UD); P2 brown cup B (O, UD) [TARGET]; P3 brown cup A (C, UD) [STATE COMPETITOR]; P4 yellow-white striped cup A (O, UR)</x:v>
      </x:c>
      <x:c r="I95" s="8" t="str">
        <x:f>'Evaluation Plan'!J95</x:f>
        <x:v>brown cup B</x:v>
      </x:c>
      <x:c r="J95" s="8" t="str">
        <x:v>Not started</x:v>
      </x:c>
      <x:c r="K95" s="8"/>
      <x:c r="L95" s="8"/>
      <x:c r="M95" s="7"/>
    </x:row>
    <x:row r="96" ht="58" customHeight="1">
      <x:c r="A96" s="8" t="n">
        <x:f>'Evaluation Plan'!A96</x:f>
        <x:v>94</x:v>
      </x:c>
      <x:c r="B96" s="8" t="n">
        <x:f>'Evaluation Plan'!B96</x:f>
        <x:v>35</x:v>
      </x:c>
      <x:c r="C96" s="8" t="str">
        <x:f>'Evaluation Plan'!C96</x:f>
        <x:v>Additional transfer</x:v>
      </x:c>
      <x:c r="D96" s="8" t="str">
        <x:f>'Evaluation Plan'!D96</x:f>
        <x:v>Concept/compositional transfer</x:v>
      </x:c>
      <x:c r="E96" s="8" t="str">
        <x:f>'Evaluation Plan'!F96</x:f>
        <x:v>SR-CAN01</x:v>
      </x:c>
      <x:c r="F96" s="8" t="str">
        <x:f>IF('Evaluation Plan'!D96="Concept/compositional transfer","",'Evaluation Plan'!G96)</x:f>
      </x:c>
      <x:c r="G96" s="7" t="str">
        <x:f>'Evaluation Plan'!H96</x:f>
        <x:v>Put the upright can in the bowl.</x:v>
      </x:c>
      <x:c r="H96" s="7" t="str">
        <x:f>'Evaluation Plan'!I96</x:f>
        <x:v>P1 crushed Coke can (UR) [TARGET]; P2 crushed Pepsi can (UD) [STATE COMPETITOR]; P3 white cup A (O, UD); P4 yellow-white striped cup B (C, UD)</x:v>
      </x:c>
      <x:c r="I96" s="8" t="str">
        <x:f>'Evaluation Plan'!J96</x:f>
        <x:v>crushed Coke can</x:v>
      </x:c>
      <x:c r="J96" s="8" t="str">
        <x:v>Not started</x:v>
      </x:c>
      <x:c r="K96" s="8"/>
      <x:c r="L96" s="8"/>
      <x:c r="M96" s="7"/>
    </x:row>
    <x:row r="97" ht="58" customHeight="1">
      <x:c r="A97" s="8" t="n">
        <x:f>'Evaluation Plan'!A97</x:f>
        <x:v>95</x:v>
      </x:c>
      <x:c r="B97" s="8" t="n">
        <x:f>'Evaluation Plan'!B97</x:f>
        <x:v>36</x:v>
      </x:c>
      <x:c r="C97" s="8" t="str">
        <x:f>'Evaluation Plan'!C97</x:f>
        <x:v>Additional transfer</x:v>
      </x:c>
      <x:c r="D97" s="8" t="str">
        <x:f>'Evaluation Plan'!D97</x:f>
        <x:v>Concept/compositional transfer</x:v>
      </x:c>
      <x:c r="E97" s="8" t="str">
        <x:f>'Evaluation Plan'!F97</x:f>
        <x:v>SR-CAN02</x:v>
      </x:c>
      <x:c r="F97" s="8" t="str">
        <x:f>IF('Evaluation Plan'!D97="Concept/compositional transfer","",'Evaluation Plan'!G97)</x:f>
      </x:c>
      <x:c r="G97" s="7" t="str">
        <x:f>'Evaluation Plan'!H97</x:f>
        <x:v>Move the upright can into the bowl.</x:v>
      </x:c>
      <x:c r="H97" s="7" t="str">
        <x:f>'Evaluation Plan'!I97</x:f>
        <x:v>P1 yellow-white striped cup B (C, UD); P2 crushed Pepsi can (UR) [TARGET]; P3 crushed Coke can (UD) [STATE COMPETITOR]; P4 brown cup A (O, UD)</x:v>
      </x:c>
      <x:c r="I97" s="8" t="str">
        <x:f>'Evaluation Plan'!J97</x:f>
        <x:v>crushed Pepsi can</x:v>
      </x:c>
      <x:c r="J97" s="8" t="str">
        <x:v>Not started</x:v>
      </x:c>
      <x:c r="K97" s="8"/>
      <x:c r="L97" s="8"/>
      <x:c r="M97" s="7"/>
    </x:row>
    <x:row r="98" ht="58" customHeight="1">
      <x:c r="A98" s="8" t="n">
        <x:f>'Evaluation Plan'!A98</x:f>
        <x:v>96</x:v>
      </x:c>
      <x:c r="B98" s="8" t="n">
        <x:f>'Evaluation Plan'!B98</x:f>
        <x:v>37</x:v>
      </x:c>
      <x:c r="C98" s="8" t="str">
        <x:f>'Evaluation Plan'!C98</x:f>
        <x:v>Additional transfer</x:v>
      </x:c>
      <x:c r="D98" s="8" t="str">
        <x:f>'Evaluation Plan'!D98</x:f>
        <x:v>Concept/compositional transfer</x:v>
      </x:c>
      <x:c r="E98" s="8" t="str">
        <x:f>'Evaluation Plan'!F98</x:f>
        <x:v>SR-CAN03</x:v>
      </x:c>
      <x:c r="F98" s="8" t="str">
        <x:f>IF('Evaluation Plan'!D98="Concept/compositional transfer","",'Evaluation Plan'!G98)</x:f>
      </x:c>
      <x:c r="G98" s="7" t="str">
        <x:f>'Evaluation Plan'!H98</x:f>
        <x:v>Place the upright can in the bowl.</x:v>
      </x:c>
      <x:c r="H98" s="7" t="str">
        <x:f>'Evaluation Plan'!I98</x:f>
        <x:v>P1 brown cup A (O, UD); P2 glass spice container B (C, UD); P3 crushed Coke can (UR) [TARGET]; P4 crushed Pepsi can (UD) [STATE COMPETITOR]</x:v>
      </x:c>
      <x:c r="I98" s="8" t="str">
        <x:f>'Evaluation Plan'!J98</x:f>
        <x:v>crushed Coke can</x:v>
      </x:c>
      <x:c r="J98" s="8" t="str">
        <x:v>Not started</x:v>
      </x:c>
      <x:c r="K98" s="8"/>
      <x:c r="L98" s="8"/>
      <x:c r="M98" s="7"/>
    </x:row>
    <x:row r="99" ht="58" customHeight="1">
      <x:c r="A99" s="8" t="n">
        <x:f>'Evaluation Plan'!A99</x:f>
        <x:v>97</x:v>
      </x:c>
      <x:c r="B99" s="8" t="n">
        <x:f>'Evaluation Plan'!B99</x:f>
        <x:v>38</x:v>
      </x:c>
      <x:c r="C99" s="8" t="str">
        <x:f>'Evaluation Plan'!C99</x:f>
        <x:v>Additional transfer</x:v>
      </x:c>
      <x:c r="D99" s="8" t="str">
        <x:f>'Evaluation Plan'!D99</x:f>
        <x:v>Concept/compositional transfer</x:v>
      </x:c>
      <x:c r="E99" s="8" t="str">
        <x:f>'Evaluation Plan'!F99</x:f>
        <x:v>SR-CAN04</x:v>
      </x:c>
      <x:c r="F99" s="8" t="str">
        <x:f>IF('Evaluation Plan'!D99="Concept/compositional transfer","",'Evaluation Plan'!G99)</x:f>
      </x:c>
      <x:c r="G99" s="7" t="str">
        <x:f>'Evaluation Plan'!H99</x:f>
        <x:v>Put the upright can in the bowl.</x:v>
      </x:c>
      <x:c r="H99" s="7" t="str">
        <x:f>'Evaluation Plan'!I99</x:f>
        <x:v>P1 crushed Coke can (UD) [STATE COMPETITOR]; P2 glass spice container A (O, UD); P3 white cup B (C, UD); P4 crushed Pepsi can (UR) [TARGET]</x:v>
      </x:c>
      <x:c r="I99" s="8" t="str">
        <x:f>'Evaluation Plan'!J99</x:f>
        <x:v>crushed Pepsi can</x:v>
      </x:c>
      <x:c r="J99" s="8" t="str">
        <x:v>Not started</x:v>
      </x:c>
      <x:c r="K99" s="8"/>
      <x:c r="L99" s="8"/>
      <x:c r="M99" s="7"/>
    </x:row>
    <x:row r="100" ht="58" customHeight="1">
      <x:c r="A100" s="8" t="n">
        <x:f>'Evaluation Plan'!A100</x:f>
        <x:v>98</x:v>
      </x:c>
      <x:c r="B100" s="8" t="n">
        <x:f>'Evaluation Plan'!B100</x:f>
        <x:v>39</x:v>
      </x:c>
      <x:c r="C100" s="8" t="str">
        <x:f>'Evaluation Plan'!C100</x:f>
        <x:v>Additional transfer</x:v>
      </x:c>
      <x:c r="D100" s="8" t="str">
        <x:f>'Evaluation Plan'!D100</x:f>
        <x:v>Concept/compositional transfer</x:v>
      </x:c>
      <x:c r="E100" s="8" t="str">
        <x:f>'Evaluation Plan'!F100</x:f>
        <x:v>SR-CAN05</x:v>
      </x:c>
      <x:c r="F100" s="8" t="str">
        <x:f>IF('Evaluation Plan'!D100="Concept/compositional transfer","",'Evaluation Plan'!G100)</x:f>
      </x:c>
      <x:c r="G100" s="7" t="str">
        <x:f>'Evaluation Plan'!H100</x:f>
        <x:v>Move the upright can into the bowl.</x:v>
      </x:c>
      <x:c r="H100" s="7" t="str">
        <x:f>'Evaluation Plan'!I100</x:f>
        <x:v>P1 crushed Coke can (UR) [TARGET]; P2 crushed Pepsi can (UD) [STATE COMPETITOR]; P3 white cup A (O, UD); P4 yellow-white striped cup B (C, UD)</x:v>
      </x:c>
      <x:c r="I100" s="8" t="str">
        <x:f>'Evaluation Plan'!J100</x:f>
        <x:v>crushed Coke can</x:v>
      </x:c>
      <x:c r="J100" s="8" t="str">
        <x:v>Not started</x:v>
      </x:c>
      <x:c r="K100" s="8"/>
      <x:c r="L100" s="8"/>
      <x:c r="M100" s="7"/>
    </x:row>
    <x:row r="101" ht="58" customHeight="1">
      <x:c r="A101" s="8" t="n">
        <x:f>'Evaluation Plan'!A101</x:f>
        <x:v>99</x:v>
      </x:c>
      <x:c r="B101" s="8" t="n">
        <x:f>'Evaluation Plan'!B101</x:f>
        <x:v>40</x:v>
      </x:c>
      <x:c r="C101" s="8" t="str">
        <x:f>'Evaluation Plan'!C101</x:f>
        <x:v>Additional transfer</x:v>
      </x:c>
      <x:c r="D101" s="8" t="str">
        <x:f>'Evaluation Plan'!D101</x:f>
        <x:v>Concept/compositional transfer</x:v>
      </x:c>
      <x:c r="E101" s="8" t="str">
        <x:f>'Evaluation Plan'!F101</x:f>
        <x:v>SR-CAN06</x:v>
      </x:c>
      <x:c r="F101" s="8" t="str">
        <x:f>IF('Evaluation Plan'!D101="Concept/compositional transfer","",'Evaluation Plan'!G101)</x:f>
      </x:c>
      <x:c r="G101" s="7" t="str">
        <x:f>'Evaluation Plan'!H101</x:f>
        <x:v>Place the upside-down can in the bowl.</x:v>
      </x:c>
      <x:c r="H101" s="7" t="str">
        <x:f>'Evaluation Plan'!I101</x:f>
        <x:v>P1 yellow-white striped cup B (C, UR); P2 crushed Pepsi can (UD) [TARGET]; P3 crushed Coke can (UR) [STATE COMPETITOR]; P4 brown cup A (O, UR)</x:v>
      </x:c>
      <x:c r="I101" s="8" t="str">
        <x:f>'Evaluation Plan'!J101</x:f>
        <x:v>crushed Pepsi can</x:v>
      </x:c>
      <x:c r="J101" s="8" t="str">
        <x:v>Not started</x:v>
      </x:c>
      <x:c r="K101" s="8"/>
      <x:c r="L101" s="8"/>
      <x:c r="M101" s="7"/>
    </x:row>
    <x:row r="102" ht="58" customHeight="1">
      <x:c r="A102" s="8" t="n">
        <x:f>'Evaluation Plan'!A102</x:f>
        <x:v>100</x:v>
      </x:c>
      <x:c r="B102" s="8" t="n">
        <x:f>'Evaluation Plan'!B102</x:f>
        <x:v>41</x:v>
      </x:c>
      <x:c r="C102" s="8" t="str">
        <x:f>'Evaluation Plan'!C102</x:f>
        <x:v>Additional transfer</x:v>
      </x:c>
      <x:c r="D102" s="8" t="str">
        <x:f>'Evaluation Plan'!D102</x:f>
        <x:v>Concept/compositional transfer</x:v>
      </x:c>
      <x:c r="E102" s="8" t="str">
        <x:f>'Evaluation Plan'!F102</x:f>
        <x:v>SR-CAN07</x:v>
      </x:c>
      <x:c r="F102" s="8" t="str">
        <x:f>IF('Evaluation Plan'!D102="Concept/compositional transfer","",'Evaluation Plan'!G102)</x:f>
      </x:c>
      <x:c r="G102" s="7" t="str">
        <x:f>'Evaluation Plan'!H102</x:f>
        <x:v>Put the upside-down can in the bowl.</x:v>
      </x:c>
      <x:c r="H102" s="7" t="str">
        <x:f>'Evaluation Plan'!I102</x:f>
        <x:v>P1 brown cup A (O, UR); P2 glass spice container B (C, UR); P3 crushed Coke can (UD) [TARGET]; P4 crushed Pepsi can (UR) [STATE COMPETITOR]</x:v>
      </x:c>
      <x:c r="I102" s="8" t="str">
        <x:f>'Evaluation Plan'!J102</x:f>
        <x:v>crushed Coke can</x:v>
      </x:c>
      <x:c r="J102" s="8" t="str">
        <x:v>Not started</x:v>
      </x:c>
      <x:c r="K102" s="8"/>
      <x:c r="L102" s="8"/>
      <x:c r="M102" s="7"/>
    </x:row>
    <x:row r="103" ht="58" customHeight="1">
      <x:c r="A103" s="8" t="n">
        <x:f>'Evaluation Plan'!A103</x:f>
        <x:v>101</x:v>
      </x:c>
      <x:c r="B103" s="8" t="n">
        <x:f>'Evaluation Plan'!B103</x:f>
        <x:v>42</x:v>
      </x:c>
      <x:c r="C103" s="8" t="str">
        <x:f>'Evaluation Plan'!C103</x:f>
        <x:v>Additional transfer</x:v>
      </x:c>
      <x:c r="D103" s="8" t="str">
        <x:f>'Evaluation Plan'!D103</x:f>
        <x:v>Concept/compositional transfer</x:v>
      </x:c>
      <x:c r="E103" s="8" t="str">
        <x:f>'Evaluation Plan'!F103</x:f>
        <x:v>SR-CAN08</x:v>
      </x:c>
      <x:c r="F103" s="8" t="str">
        <x:f>IF('Evaluation Plan'!D103="Concept/compositional transfer","",'Evaluation Plan'!G103)</x:f>
      </x:c>
      <x:c r="G103" s="7" t="str">
        <x:f>'Evaluation Plan'!H103</x:f>
        <x:v>Move the upside-down can into the bowl.</x:v>
      </x:c>
      <x:c r="H103" s="7" t="str">
        <x:f>'Evaluation Plan'!I103</x:f>
        <x:v>P1 crushed Coke can (UR) [STATE COMPETITOR]; P2 glass spice container A (O, UR); P3 white cup B (C, UR); P4 crushed Pepsi can (UD) [TARGET]</x:v>
      </x:c>
      <x:c r="I103" s="8" t="str">
        <x:f>'Evaluation Plan'!J103</x:f>
        <x:v>crushed Pepsi can</x:v>
      </x:c>
      <x:c r="J103" s="8" t="str">
        <x:v>Not started</x:v>
      </x:c>
      <x:c r="K103" s="8"/>
      <x:c r="L103" s="8"/>
      <x:c r="M103" s="7"/>
    </x:row>
    <x:row r="104" ht="58" customHeight="1">
      <x:c r="A104" s="8" t="n">
        <x:f>'Evaluation Plan'!A104</x:f>
        <x:v>102</x:v>
      </x:c>
      <x:c r="B104" s="8" t="n">
        <x:f>'Evaluation Plan'!B104</x:f>
        <x:v>43</x:v>
      </x:c>
      <x:c r="C104" s="8" t="str">
        <x:f>'Evaluation Plan'!C104</x:f>
        <x:v>Exploratory abstraction</x:v>
      </x:c>
      <x:c r="D104" s="8" t="str">
        <x:f>'Evaluation Plan'!D104</x:f>
        <x:v>Concept/compositional transfer</x:v>
      </x:c>
      <x:c r="E104" s="8" t="str">
        <x:f>'Evaluation Plan'!F104</x:f>
        <x:v>SR-OBJ01</x:v>
      </x:c>
      <x:c r="F104" s="8" t="str">
        <x:f>IF('Evaluation Plan'!D104="Concept/compositional transfer","",'Evaluation Plan'!G104)</x:f>
      </x:c>
      <x:c r="G104" s="7" t="str">
        <x:f>'Evaluation Plan'!H104</x:f>
        <x:v>Place the closed object in the bowl.</x:v>
      </x:c>
      <x:c r="H104" s="7" t="str">
        <x:f>'Evaluation Plan'!I104</x:f>
        <x:v>P1 white cup A (C, UR) [TARGET]; P2 yellow-white striped cup B (O, UD); P3 brown cup A (O, UR); P4 glass spice container B (O, UD)</x:v>
      </x:c>
      <x:c r="I104" s="8" t="str">
        <x:f>'Evaluation Plan'!J104</x:f>
        <x:v>white cup A</x:v>
      </x:c>
      <x:c r="J104" s="8" t="str">
        <x:v>Not started</x:v>
      </x:c>
      <x:c r="K104" s="8"/>
      <x:c r="L104" s="8"/>
      <x:c r="M104" s="7"/>
    </x:row>
    <x:row r="105" ht="58" customHeight="1">
      <x:c r="A105" s="8" t="n">
        <x:f>'Evaluation Plan'!A105</x:f>
        <x:v>103</x:v>
      </x:c>
      <x:c r="B105" s="8" t="n">
        <x:f>'Evaluation Plan'!B105</x:f>
        <x:v>44</x:v>
      </x:c>
      <x:c r="C105" s="8" t="str">
        <x:f>'Evaluation Plan'!C105</x:f>
        <x:v>Exploratory abstraction</x:v>
      </x:c>
      <x:c r="D105" s="8" t="str">
        <x:f>'Evaluation Plan'!D105</x:f>
        <x:v>Concept/compositional transfer</x:v>
      </x:c>
      <x:c r="E105" s="8" t="str">
        <x:f>'Evaluation Plan'!F105</x:f>
        <x:v>SR-OBJ02</x:v>
      </x:c>
      <x:c r="F105" s="8" t="str">
        <x:f>IF('Evaluation Plan'!D105="Concept/compositional transfer","",'Evaluation Plan'!G105)</x:f>
      </x:c>
      <x:c r="G105" s="7" t="str">
        <x:f>'Evaluation Plan'!H105</x:f>
        <x:v>Put the closed object in the bowl.</x:v>
      </x:c>
      <x:c r="H105" s="7" t="str">
        <x:f>'Evaluation Plan'!I105</x:f>
        <x:v>P1 yellow-white striped cup B (O, UD); P2 brown cup A (C, UR) [TARGET]; P3 glass spice container B (O, UD); P4 white cup A (O, UR)</x:v>
      </x:c>
      <x:c r="I105" s="8" t="str">
        <x:f>'Evaluation Plan'!J105</x:f>
        <x:v>brown cup A</x:v>
      </x:c>
      <x:c r="J105" s="8" t="str">
        <x:v>Not started</x:v>
      </x:c>
      <x:c r="K105" s="8"/>
      <x:c r="L105" s="8"/>
      <x:c r="M105" s="7"/>
    </x:row>
    <x:row r="106" ht="58" customHeight="1">
      <x:c r="A106" s="8" t="n">
        <x:f>'Evaluation Plan'!A106</x:f>
        <x:v>104</x:v>
      </x:c>
      <x:c r="B106" s="8" t="n">
        <x:f>'Evaluation Plan'!B106</x:f>
        <x:v>45</x:v>
      </x:c>
      <x:c r="C106" s="8" t="str">
        <x:f>'Evaluation Plan'!C106</x:f>
        <x:v>Exploratory abstraction</x:v>
      </x:c>
      <x:c r="D106" s="8" t="str">
        <x:f>'Evaluation Plan'!D106</x:f>
        <x:v>Concept/compositional transfer</x:v>
      </x:c>
      <x:c r="E106" s="8" t="str">
        <x:f>'Evaluation Plan'!F106</x:f>
        <x:v>SR-OBJ03</x:v>
      </x:c>
      <x:c r="F106" s="8" t="str">
        <x:f>IF('Evaluation Plan'!D106="Concept/compositional transfer","",'Evaluation Plan'!G106)</x:f>
      </x:c>
      <x:c r="G106" s="7" t="str">
        <x:f>'Evaluation Plan'!H106</x:f>
        <x:v>Move the open object into the bowl.</x:v>
      </x:c>
      <x:c r="H106" s="7" t="str">
        <x:f>'Evaluation Plan'!I106</x:f>
        <x:v>P1 brown cup A (C, UR); P2 glass spice container B (C, UD); P3 white cup A (O, UR) [TARGET]; P4 yellow-white striped cup B (C, UD)</x:v>
      </x:c>
      <x:c r="I106" s="8" t="str">
        <x:f>'Evaluation Plan'!J106</x:f>
        <x:v>white cup A</x:v>
      </x:c>
      <x:c r="J106" s="8" t="str">
        <x:v>Not started</x:v>
      </x:c>
      <x:c r="K106" s="8"/>
      <x:c r="L106" s="8"/>
      <x:c r="M106" s="7"/>
    </x:row>
    <x:row r="107" ht="58" customHeight="1">
      <x:c r="A107" s="8" t="n">
        <x:f>'Evaluation Plan'!A107</x:f>
        <x:v>105</x:v>
      </x:c>
      <x:c r="B107" s="8" t="n">
        <x:f>'Evaluation Plan'!B107</x:f>
        <x:v>46</x:v>
      </x:c>
      <x:c r="C107" s="8" t="str">
        <x:f>'Evaluation Plan'!C107</x:f>
        <x:v>Exploratory abstraction</x:v>
      </x:c>
      <x:c r="D107" s="8" t="str">
        <x:f>'Evaluation Plan'!D107</x:f>
        <x:v>Concept/compositional transfer</x:v>
      </x:c>
      <x:c r="E107" s="8" t="str">
        <x:f>'Evaluation Plan'!F107</x:f>
        <x:v>SR-OBJ04</x:v>
      </x:c>
      <x:c r="F107" s="8" t="str">
        <x:f>IF('Evaluation Plan'!D107="Concept/compositional transfer","",'Evaluation Plan'!G107)</x:f>
      </x:c>
      <x:c r="G107" s="7" t="str">
        <x:f>'Evaluation Plan'!H107</x:f>
        <x:v>Place the open object in the bowl.</x:v>
      </x:c>
      <x:c r="H107" s="7" t="str">
        <x:f>'Evaluation Plan'!I107</x:f>
        <x:v>P1 glass spice container B (C, UD); P2 white cup A (C, UR); P3 yellow-white striped cup B (C, UD); P4 brown cup A (O, UR) [TARGET]</x:v>
      </x:c>
      <x:c r="I107" s="8" t="str">
        <x:f>'Evaluation Plan'!J107</x:f>
        <x:v>brown cup A</x:v>
      </x:c>
      <x:c r="J107" s="8" t="str">
        <x:v>Not started</x:v>
      </x:c>
      <x:c r="K107" s="8"/>
      <x:c r="L107" s="8"/>
      <x:c r="M107" s="7"/>
    </x:row>
    <x:row r="108" ht="58" customHeight="1">
      <x:c r="A108" s="8" t="n">
        <x:f>'Evaluation Plan'!A108</x:f>
        <x:v>106</x:v>
      </x:c>
      <x:c r="B108" s="8" t="n">
        <x:f>'Evaluation Plan'!B108</x:f>
        <x:v>47</x:v>
      </x:c>
      <x:c r="C108" s="8" t="str">
        <x:f>'Evaluation Plan'!C108</x:f>
        <x:v>Exploratory abstraction</x:v>
      </x:c>
      <x:c r="D108" s="8" t="str">
        <x:f>'Evaluation Plan'!D108</x:f>
        <x:v>Concept/compositional transfer</x:v>
      </x:c>
      <x:c r="E108" s="8" t="str">
        <x:f>'Evaluation Plan'!F108</x:f>
        <x:v>SR-OBJ05</x:v>
      </x:c>
      <x:c r="F108" s="8" t="str">
        <x:f>IF('Evaluation Plan'!D108="Concept/compositional transfer","",'Evaluation Plan'!G108)</x:f>
      </x:c>
      <x:c r="G108" s="7" t="str">
        <x:f>'Evaluation Plan'!H108</x:f>
        <x:v>Put the upright object in the bowl.</x:v>
      </x:c>
      <x:c r="H108" s="7" t="str">
        <x:f>'Evaluation Plan'!I108</x:f>
        <x:v>P1 white cup A (O, UR) [TARGET]; P2 yellow-white striped cup B (C, UD); P3 brown cup A (O, UD); P4 glass spice container B (C, UD)</x:v>
      </x:c>
      <x:c r="I108" s="8" t="str">
        <x:f>'Evaluation Plan'!J108</x:f>
        <x:v>white cup A</x:v>
      </x:c>
      <x:c r="J108" s="8" t="str">
        <x:v>Not started</x:v>
      </x:c>
      <x:c r="K108" s="8"/>
      <x:c r="L108" s="8"/>
      <x:c r="M108" s="7"/>
    </x:row>
    <x:row r="109" ht="58" customHeight="1">
      <x:c r="A109" s="8" t="n">
        <x:f>'Evaluation Plan'!A109</x:f>
        <x:v>107</x:v>
      </x:c>
      <x:c r="B109" s="8" t="n">
        <x:f>'Evaluation Plan'!B109</x:f>
        <x:v>48</x:v>
      </x:c>
      <x:c r="C109" s="8" t="str">
        <x:f>'Evaluation Plan'!C109</x:f>
        <x:v>Exploratory abstraction</x:v>
      </x:c>
      <x:c r="D109" s="8" t="str">
        <x:f>'Evaluation Plan'!D109</x:f>
        <x:v>Concept/compositional transfer</x:v>
      </x:c>
      <x:c r="E109" s="8" t="str">
        <x:f>'Evaluation Plan'!F109</x:f>
        <x:v>SR-OBJ06</x:v>
      </x:c>
      <x:c r="F109" s="8" t="str">
        <x:f>IF('Evaluation Plan'!D109="Concept/compositional transfer","",'Evaluation Plan'!G109)</x:f>
      </x:c>
      <x:c r="G109" s="7" t="str">
        <x:f>'Evaluation Plan'!H109</x:f>
        <x:v>Move the upright object into the bowl.</x:v>
      </x:c>
      <x:c r="H109" s="7" t="str">
        <x:f>'Evaluation Plan'!I109</x:f>
        <x:v>P1 yellow-white striped cup B (C, UD); P2 brown cup A (O, UR) [TARGET]; P3 glass spice container B (C, UD); P4 white cup A (O, UD)</x:v>
      </x:c>
      <x:c r="I109" s="8" t="str">
        <x:f>'Evaluation Plan'!J109</x:f>
        <x:v>brown cup A</x:v>
      </x:c>
      <x:c r="J109" s="8" t="str">
        <x:v>Not started</x:v>
      </x:c>
      <x:c r="K109" s="8"/>
      <x:c r="L109" s="8"/>
      <x:c r="M109" s="7"/>
    </x:row>
    <x:row r="110" ht="58" customHeight="1">
      <x:c r="A110" s="8" t="n">
        <x:f>'Evaluation Plan'!A110</x:f>
        <x:v>108</x:v>
      </x:c>
      <x:c r="B110" s="8" t="n">
        <x:f>'Evaluation Plan'!B110</x:f>
        <x:v>49</x:v>
      </x:c>
      <x:c r="C110" s="8" t="str">
        <x:f>'Evaluation Plan'!C110</x:f>
        <x:v>Exploratory abstraction</x:v>
      </x:c>
      <x:c r="D110" s="8" t="str">
        <x:f>'Evaluation Plan'!D110</x:f>
        <x:v>Concept/compositional transfer</x:v>
      </x:c>
      <x:c r="E110" s="8" t="str">
        <x:f>'Evaluation Plan'!F110</x:f>
        <x:v>SR-OBJ07</x:v>
      </x:c>
      <x:c r="F110" s="8" t="str">
        <x:f>IF('Evaluation Plan'!D110="Concept/compositional transfer","",'Evaluation Plan'!G110)</x:f>
      </x:c>
      <x:c r="G110" s="7" t="str">
        <x:f>'Evaluation Plan'!H110</x:f>
        <x:v>Place the upside-down object in the bowl.</x:v>
      </x:c>
      <x:c r="H110" s="7" t="str">
        <x:f>'Evaluation Plan'!I110</x:f>
        <x:v>P1 brown cup A (O, UR); P2 glass spice container B (C, UR); P3 white cup A (O, UD) [TARGET]; P4 yellow-white striped cup B (C, UR)</x:v>
      </x:c>
      <x:c r="I110" s="8" t="str">
        <x:f>'Evaluation Plan'!J110</x:f>
        <x:v>white cup A</x:v>
      </x:c>
      <x:c r="J110" s="8" t="str">
        <x:v>Not started</x:v>
      </x:c>
      <x:c r="K110" s="8"/>
      <x:c r="L110" s="8"/>
      <x:c r="M110" s="7"/>
    </x:row>
    <x:row r="111" ht="58" customHeight="1">
      <x:c r="A111" s="8" t="n">
        <x:f>'Evaluation Plan'!A111</x:f>
        <x:v>109</x:v>
      </x:c>
      <x:c r="B111" s="8" t="n">
        <x:f>'Evaluation Plan'!B111</x:f>
        <x:v>50</x:v>
      </x:c>
      <x:c r="C111" s="8" t="str">
        <x:f>'Evaluation Plan'!C111</x:f>
        <x:v>Exploratory abstraction</x:v>
      </x:c>
      <x:c r="D111" s="8" t="str">
        <x:f>'Evaluation Plan'!D111</x:f>
        <x:v>Concept/compositional transfer</x:v>
      </x:c>
      <x:c r="E111" s="8" t="str">
        <x:f>'Evaluation Plan'!F111</x:f>
        <x:v>SR-OBJ08</x:v>
      </x:c>
      <x:c r="F111" s="8" t="str">
        <x:f>IF('Evaluation Plan'!D111="Concept/compositional transfer","",'Evaluation Plan'!G111)</x:f>
      </x:c>
      <x:c r="G111" s="7" t="str">
        <x:f>'Evaluation Plan'!H111</x:f>
        <x:v>Put the upside-down object in the bowl.</x:v>
      </x:c>
      <x:c r="H111" s="7" t="str">
        <x:f>'Evaluation Plan'!I111</x:f>
        <x:v>P1 glass spice container B (C, UR); P2 white cup A (O, UR); P3 yellow-white striped cup B (C, UR); P4 brown cup A (O, UD) [TARGET]</x:v>
      </x:c>
      <x:c r="I111" s="8" t="str">
        <x:f>'Evaluation Plan'!J111</x:f>
        <x:v>brown cup A</x:v>
      </x:c>
      <x:c r="J111" s="8" t="str">
        <x:v>Not started</x:v>
      </x:c>
      <x:c r="K111" s="8"/>
      <x:c r="L111" s="8"/>
      <x:c r="M111" s="7"/>
    </x:row>
  </x:sheetData>
  <x:conditionalFormatting sqref="A2:M111">
    <x:cfRule type="expression" dxfId="15" priority="1">
      <x:formula>$J2="Complete"</x:formula>
    </x:cfRule>
    <x:cfRule type="expression" dxfId="16" priority="2">
      <x:formula>$J2="Redo"</x:formula>
    </x:cfRule>
  </x:conditionalFormatting>
  <x:conditionalFormatting sqref="K2:K111">
    <x:cfRule type="containsText" dxfId="17" priority="3" operator="containsText" text="Success"/>
    <x:cfRule type="containsText" dxfId="18" priority="4" operator="containsText" text="Failure"/>
  </x:conditionalFormatting>
  <x:dataValidations count="3">
    <x:dataValidation type="list" sqref="J2:J111">
      <x:formula1>"Not started,Complete,Redo"</x:formula1>
    </x:dataValidation>
    <x:dataValidation type="list" sqref="K2:K111">
      <x:formula1>"Success,Failure,Invalid / Repeat"</x:formula1>
    </x:dataValidation>
    <x:dataValidation type="list" sqref="L2:L111">
      <x:formula1>"Wrong target,No grasp,Drop outside bowl,Timeout,Setup deviation,Hardware fault,Other"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02a5d9560e4e9c"/>
  </x:tableParts>
</x:worksheet>
</file>