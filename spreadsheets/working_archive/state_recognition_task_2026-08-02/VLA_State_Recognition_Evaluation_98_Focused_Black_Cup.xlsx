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1cb54aaf99f4edd" /></Relationships>
</file>

<file path=xl/workbook.xml><?xml version="1.0" encoding="utf-8"?>
<x:workbook xmlns:x="http://schemas.openxmlformats.org/spreadsheetml/2006/main">
  <x:sheets>
    <x:sheet xmlns:r="http://schemas.openxmlformats.org/officeDocument/2006/relationships" name="Evaluation Plan" sheetId="1" r:id="R0db6f3b881a94a6c"/>
    <x:sheet xmlns:r="http://schemas.openxmlformats.org/officeDocument/2006/relationships" name="Object Inventory" sheetId="2" r:id="Rae655f237e0544f3"/>
    <x:sheet xmlns:r="http://schemas.openxmlformats.org/officeDocument/2006/relationships" name="Training Alignment" sheetId="3" r:id="R74e8c4bdba064907"/>
    <x:sheet xmlns:r="http://schemas.openxmlformats.org/officeDocument/2006/relationships" name="Protocol" sheetId="4" r:id="R09fd19280e534686"/>
    <x:sheet xmlns:r="http://schemas.openxmlformats.org/officeDocument/2006/relationships" name="Design QA" sheetId="5" r:id="R3f650cad6eca4eb4"/>
    <x:sheet xmlns:r="http://schemas.openxmlformats.org/officeDocument/2006/relationships" name="pi0.5 Results" sheetId="6" r:id="Rf2234f0494864ef1"/>
    <x:sheet xmlns:r="http://schemas.openxmlformats.org/officeDocument/2006/relationships" name="VLA0 Results" sheetId="7" r:id="Re8aeffd29a5c486c"/>
    <x:sheet xmlns:r="http://schemas.openxmlformats.org/officeDocument/2006/relationships" name="MolmoAct2 Results" sheetId="8" r:id="R01c64305cf2a43c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6">
    <x:fill>
      <x:patternFill patternType="none"/>
    </x:fill>
    <x:fill>
      <x:patternFill patternType="gray125"/>
    </x:fill>
    <x:fill>
      <x:patternFill patternType="solid">
        <x:fgColor rgb="FF1F4E78"/>
      </x:patternFill>
    </x:fill>
    <x:fill>
      <x:patternFill patternType="solid">
        <x:fgColor rgb="FFFCE4D6"/>
      </x:patternFill>
    </x:fill>
    <x:fill>
      <x:patternFill patternType="solid">
        <x:fgColor rgb="FFE7E6E6"/>
      </x:patternFill>
    </x:fill>
    <x:fill>
      <x:patternFill patternType="solid">
        <x:fgColor rgb="FFD9EAF7"/>
      </x:patternFill>
    </x:fill>
  </x:fills>
  <x:borders count="3">
    <x:border/>
    <x:border>
      <x:top style="medium">
        <x:color rgb="FF1F4E78"/>
      </x:top>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top" wrapText="1"/>
    </x:xf>
    <x:xf numFmtId="0" fontId="2" fillId="2" borderId="2" xfId="0" applyNumberFormat="1" applyFont="1" applyFill="1" applyBorder="1" applyAlignment="1">
      <x:alignment horizontal="center" vertical="center"/>
    </x:xf>
    <x:xf numFmtId="0" fontId="3" fillId="5" borderId="2" xfId="0" applyNumberFormat="1" applyFont="1" applyFill="1" applyBorder="1" applyAlignment="1">
      <x:alignment vertical="top" wrapText="1"/>
    </x:xf>
    <x:xf numFmtId="0" fontId="0" fillId="0" borderId="2" xfId="0" applyNumberFormat="1" applyFont="1" applyFill="1" applyBorder="1" applyAlignment="1">
      <x:alignment vertical="top" wrapText="1"/>
    </x:xf>
  </x:cellXfs>
  <x:cellStyles count="1">
    <x:cellStyle name="Normal" xfId="0"/>
  </x:cellStyles>
  <x:dxfs count="19">
    <x:dxf>
      <x:fill>
        <x:patternFill patternType="solid">
          <x:bgColor rgb="FFE2F0D9"/>
        </x:patternFill>
      </x:fill>
    </x:dxf>
    <x:dxf>
      <x:fill>
        <x:patternFill patternType="solid">
          <x:bgColor rgb="FFFFF2CC"/>
        </x:patternFill>
      </x:fill>
    </x:dxf>
    <x:dxf>
      <x:fill>
        <x:patternFill patternType="solid">
          <x:bgColor rgb="FFE4DFEC"/>
        </x:patternFill>
      </x:fill>
    </x:dxf>
    <x:dxf>
      <x:fill>
        <x:patternFill patternType="solid">
          <x:bgColor rgb="FFDDEBF7"/>
        </x:patternFill>
      </x:fill>
    </x:dxf>
    <x:dxf>
      <x:font>
        <x:b/>
      </x:font>
      <x:fill>
        <x:patternFill patternType="solid">
          <x:bgColor rgb="FFFCE4D6"/>
        </x:patternFill>
      </x:fill>
    </x:dxf>
    <x:dxf>
      <x:font>
        <x:b/>
      </x:font>
      <x:fill>
        <x:patternFill patternType="solid">
          <x:bgColor rgb="FFD9EAD3"/>
        </x:patternFill>
      </x:fill>
    </x:dxf>
    <x:dxf>
      <x:font>
        <x:b/>
      </x:font>
      <x:fill>
        <x:patternFill patternType="solid">
          <x:bgColor rgb="FFF4CCCC"/>
        </x:patternFill>
      </x:fill>
    </x:dxf>
    <x:dxf>
      <x:font>
        <x:color rgb="FFFFFFFF"/>
      </x:font>
      <x:fill>
        <x:patternFill patternType="solid">
          <x:bgColor rgb="FF374151"/>
        </x:patternFill>
      </x:fill>
    </x:dxf>
    <x:dxf>
      <x:font>
        <x:b/>
        <x:color rgb="FF7F0000"/>
      </x:font>
      <x:fill>
        <x:patternFill patternType="solid">
          <x:bgColor rgb="FFF4CCCC"/>
        </x:patternFill>
      </x:fill>
    </x:dxf>
    <x:dxf>
      <x:font>
        <x:b/>
      </x:font>
      <x:fill>
        <x:patternFill patternType="solid">
          <x:bgColor rgb="FFD9EAD3"/>
        </x:patternFill>
      </x:fill>
    </x:dxf>
    <x:dxf>
      <x:font>
        <x:b/>
      </x:font>
      <x:fill>
        <x:patternFill patternType="solid">
          <x:bgColor rgb="FFF4CCCC"/>
        </x:patternFill>
      </x:fill>
    </x:dxf>
    <x:dxf>
      <x:font>
        <x:color rgb="FFFFFFFF"/>
      </x:font>
      <x:fill>
        <x:patternFill patternType="solid">
          <x:bgColor rgb="FF374151"/>
        </x:patternFill>
      </x:fill>
    </x:dxf>
    <x:dxf>
      <x:font>
        <x:b/>
        <x:color rgb="FF7F0000"/>
      </x:font>
      <x:fill>
        <x:patternFill patternType="solid">
          <x:bgColor rgb="FFF4CCCC"/>
        </x:patternFill>
      </x:fill>
    </x:dxf>
    <x:dxf>
      <x:font>
        <x:b/>
      </x:font>
      <x:fill>
        <x:patternFill patternType="solid">
          <x:bgColor rgb="FFD9EAD3"/>
        </x:patternFill>
      </x:fill>
    </x:dxf>
    <x:dxf>
      <x:font>
        <x:b/>
      </x:font>
      <x:fill>
        <x:patternFill patternType="solid">
          <x:bgColor rgb="FFF4CCCC"/>
        </x:patternFill>
      </x:fill>
    </x:dxf>
    <x:dxf>
      <x:font>
        <x:color rgb="FFFFFFFF"/>
      </x:font>
      <x:fill>
        <x:patternFill patternType="solid">
          <x:bgColor rgb="FF374151"/>
        </x:patternFill>
      </x:fill>
    </x:dxf>
    <x:dxf>
      <x:font>
        <x:b/>
        <x:color rgb="FF7F0000"/>
      </x:font>
      <x:fill>
        <x:patternFill patternType="solid">
          <x:bgColor rgb="FFF4CCCC"/>
        </x:patternFill>
      </x:fill>
    </x:dxf>
    <x:dxf>
      <x:font>
        <x:b/>
      </x:font>
      <x:fill>
        <x:patternFill patternType="solid">
          <x:bgColor rgb="FFD9EAD3"/>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41758ee944431e" /><Relationship Type="http://schemas.openxmlformats.org/officeDocument/2006/relationships/theme" Target="/xl/theme/theme1.xml" Id="R3ad9a46cc7e047c1" /><Relationship Type="http://schemas.openxmlformats.org/officeDocument/2006/relationships/sharedStrings" Target="/xl/sharedStrings.xml" Id="R0849a172f03b4de8" /><Relationship Type="http://schemas.openxmlformats.org/officeDocument/2006/relationships/worksheet" Target="/xl/worksheets/sheet1.xml" Id="R0db6f3b881a94a6c" /><Relationship Type="http://schemas.openxmlformats.org/officeDocument/2006/relationships/worksheet" Target="/xl/worksheets/sheet2.xml" Id="Rae655f237e0544f3" /><Relationship Type="http://schemas.openxmlformats.org/officeDocument/2006/relationships/worksheet" Target="/xl/worksheets/sheet3.xml" Id="R74e8c4bdba064907" /><Relationship Type="http://schemas.openxmlformats.org/officeDocument/2006/relationships/worksheet" Target="/xl/worksheets/sheet4.xml" Id="R09fd19280e534686" /><Relationship Type="http://schemas.openxmlformats.org/officeDocument/2006/relationships/worksheet" Target="/xl/worksheets/sheet5.xml" Id="R3f650cad6eca4eb4" /><Relationship Type="http://schemas.openxmlformats.org/officeDocument/2006/relationships/worksheet" Target="/xl/worksheets/sheet6.xml" Id="Rf2234f0494864ef1" /><Relationship Type="http://schemas.openxmlformats.org/officeDocument/2006/relationships/worksheet" Target="/xl/worksheets/sheet7.xml" Id="Re8aeffd29a5c486c" /><Relationship Type="http://schemas.openxmlformats.org/officeDocument/2006/relationships/worksheet" Target="/xl/worksheets/sheet8.xml" Id="R01c64305cf2a43c5" /></Relationships>
</file>

<file path=xl/tables/table1.xml><?xml version="1.0" encoding="utf-8"?>
<x:table xmlns:x="http://schemas.openxmlformats.org/spreadsheetml/2006/main" id="1" name="StateRecognitionPlanFocused" displayName="StateRecognitionPlanFocused" ref="A1:P99" headerRowCount="1" totalsRowCount="0" totalsRowShown="0">
  <x:autoFilter ref="A1:P99"/>
  <x:tableColumns count="16">
    <x:tableColumn id="1" name="Episode"/>
    <x:tableColumn id="2" name="Collection Block"/>
    <x:tableColumn id="3" name="Within-Block Step"/>
    <x:tableColumn id="4" name="Condition"/>
    <x:tableColumn id="5" name="Transfer / Robustness Subtype"/>
    <x:tableColumn id="6" name="Scene Family"/>
    <x:tableColumn id="7" name="Reference Episode"/>
    <x:tableColumn id="8" name="Prompt"/>
    <x:tableColumn id="9" name="Scene Setup (P1-P4)"/>
    <x:tableColumn id="10" name="Expected Target"/>
    <x:tableColumn id="11" name="Queried State"/>
    <x:tableColumn id="12" name="Prompt Category / Noun"/>
    <x:tableColumn id="13" name="Object Familiarity"/>
    <x:tableColumn id="14" name="Setup Change from Previous"/>
    <x:tableColumn id="15" name="Design Note"/>
    <x:tableColumn id="16" name="Reference Media Filename"/>
  </x:tableColumns>
  <x:tableStyleInfo name="TableStyleMedium2" showFirstColumn="0" showLastColumn="0" showRowStripes="1" showColumnStripes="0"/>
</x:table>
</file>

<file path=xl/tables/table2.xml><?xml version="1.0" encoding="utf-8"?>
<x:table xmlns:x="http://schemas.openxmlformats.org/spreadsheetml/2006/main" id="2" name="FocusedObjectInventory" displayName="FocusedObjectInventory" ref="A1:H9" headerRowCount="1" totalsRowCount="0" totalsRowShown="0">
  <x:tableColumns count="8">
    <x:tableColumn id="1" name="Slot / Object"/>
    <x:tableColumn id="2" name="Prompt Category Phrase"/>
    <x:tableColumn id="3" name="Instance A"/>
    <x:tableColumn id="4" name="Instance B"/>
    <x:tableColumn id="5" name="Valid States"/>
    <x:tableColumn id="6" name="Training Exposure"/>
    <x:tableColumn id="7" name="Visual Tier"/>
    <x:tableColumn id="8" name="Rule"/>
  </x:tableColumns>
  <x:tableStyleInfo name="TableStyleMedium2" showFirstColumn="0" showLastColumn="0" showRowStripes="1" showColumnStripes="0"/>
</x:table>
</file>

<file path=xl/tables/table3.xml><?xml version="1.0" encoding="utf-8"?>
<x:table xmlns:x="http://schemas.openxmlformats.org/spreadsheetml/2006/main" id="3" name="TrainingAlignmentTable" displayName="TrainingAlignmentTable" ref="A1:C10" headerRowCount="1" totalsRowCount="0" totalsRowShown="0">
  <x:tableColumns count="3">
    <x:tableColumn id="1" name="Training / Evaluation Feature"/>
    <x:tableColumn id="2" name="Observed in planned State Recognition training"/>
    <x:tableColumn id="3" name="Evaluation consequence"/>
  </x:tableColumns>
  <x:tableStyleInfo name="TableStyleMedium2" showFirstColumn="0" showLastColumn="0" showRowStripes="1" showColumnStripes="0"/>
</x:table>
</file>

<file path=xl/tables/table4.xml><?xml version="1.0" encoding="utf-8"?>
<x:table xmlns:x="http://schemas.openxmlformats.org/spreadsheetml/2006/main" id="4" name="FocusedDesignQA" displayName="FocusedDesignQA" ref="A1:E21" headerRowCount="1" totalsRowCount="0" totalsRowShown="0">
  <x:tableColumns count="5">
    <x:tableColumn id="1" name="Check"/>
    <x:tableColumn id="2" name="Observed"/>
    <x:tableColumn id="3" name="Expected"/>
    <x:tableColumn id="4" name="Status"/>
    <x:tableColumn id="5" name="Notes"/>
  </x:tableColumns>
  <x:tableStyleInfo name="TableStyleMedium2" showFirstColumn="0" showLastColumn="0" showRowStripes="1" showColumnStripes="0"/>
</x:table>
</file>

<file path=xl/tables/table5.xml><?xml version="1.0" encoding="utf-8"?>
<x:table xmlns:x="http://schemas.openxmlformats.org/spreadsheetml/2006/main" id="5" name="Pi05StateResultsFocused" displayName="Pi05StateResultsFocused" ref="A1:M99" headerRowCount="1" totalsRowCount="0" totalsRowShown="0">
  <x:autoFilter ref="A1:M99"/>
  <x:tableColumns count="13">
    <x:tableColumn id="1" name="Episode"/>
    <x:tableColumn id="2" name="Collection Block"/>
    <x:tableColumn id="3" name="Within-Block Step"/>
    <x:tableColumn id="4" name="Condition"/>
    <x:tableColumn id="5" name="Scene Family"/>
    <x:tableColumn id="6" name="Reference Episode"/>
    <x:tableColumn id="7" name="Prompt"/>
    <x:tableColumn id="8" name="Scene Setup"/>
    <x:tableColumn id="9" name="Expected Target"/>
    <x:tableColumn id="10" name="Status"/>
    <x:tableColumn id="11" name="Outcome"/>
    <x:tableColumn id="12" name="Failure Mode"/>
    <x:tableColumn id="13" name="Notes"/>
  </x:tableColumns>
  <x:tableStyleInfo name="TableStyleMedium2" showFirstColumn="0" showLastColumn="0" showRowStripes="1" showColumnStripes="0"/>
</x:table>
</file>

<file path=xl/tables/table6.xml><?xml version="1.0" encoding="utf-8"?>
<x:table xmlns:x="http://schemas.openxmlformats.org/spreadsheetml/2006/main" id="6" name="VLA0StateResultsFocused" displayName="VLA0StateResultsFocused" ref="A1:M99" headerRowCount="1" totalsRowCount="0" totalsRowShown="0">
  <x:autoFilter ref="A1:M99"/>
  <x:tableColumns count="13">
    <x:tableColumn id="1" name="Episode"/>
    <x:tableColumn id="2" name="Collection Block"/>
    <x:tableColumn id="3" name="Within-Block Step"/>
    <x:tableColumn id="4" name="Condition"/>
    <x:tableColumn id="5" name="Scene Family"/>
    <x:tableColumn id="6" name="Reference Episode"/>
    <x:tableColumn id="7" name="Prompt"/>
    <x:tableColumn id="8" name="Scene Setup"/>
    <x:tableColumn id="9" name="Expected Target"/>
    <x:tableColumn id="10" name="Status"/>
    <x:tableColumn id="11" name="Outcome"/>
    <x:tableColumn id="12" name="Failure Mode"/>
    <x:tableColumn id="13" name="Notes"/>
  </x:tableColumns>
  <x:tableStyleInfo name="TableStyleMedium2" showFirstColumn="0" showLastColumn="0" showRowStripes="1" showColumnStripes="0"/>
</x:table>
</file>

<file path=xl/tables/table7.xml><?xml version="1.0" encoding="utf-8"?>
<x:table xmlns:x="http://schemas.openxmlformats.org/spreadsheetml/2006/main" id="7" name="MolmoAct2StateResultsFocused" displayName="MolmoAct2StateResultsFocused" ref="A1:M99" headerRowCount="1" totalsRowCount="0" totalsRowShown="0">
  <x:autoFilter ref="A1:M99"/>
  <x:tableColumns count="13">
    <x:tableColumn id="1" name="Episode"/>
    <x:tableColumn id="2" name="Collection Block"/>
    <x:tableColumn id="3" name="Within-Block Step"/>
    <x:tableColumn id="4" name="Condition"/>
    <x:tableColumn id="5" name="Scene Family"/>
    <x:tableColumn id="6" name="Reference Episode"/>
    <x:tableColumn id="7" name="Prompt"/>
    <x:tableColumn id="8" name="Scene Setup"/>
    <x:tableColumn id="9" name="Expected Target"/>
    <x:tableColumn id="10" name="Status"/>
    <x:tableColumn id="11" name="Outcome"/>
    <x:tableColumn id="12" name="Failure Mode"/>
    <x:tableColumn id="13"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f05a1f6c2e74719" /></Relationships>
</file>

<file path=xl/worksheets/_rels/sheet2.xml.rels>&#65279;<?xml version="1.0" encoding="utf-8"?><Relationships xmlns="http://schemas.openxmlformats.org/package/2006/relationships"><Relationship Type="http://schemas.openxmlformats.org/officeDocument/2006/relationships/table" Target="/xl/tables/table2.xml" Id="R6aa76a7235364887" /></Relationships>
</file>

<file path=xl/worksheets/_rels/sheet3.xml.rels>&#65279;<?xml version="1.0" encoding="utf-8"?><Relationships xmlns="http://schemas.openxmlformats.org/package/2006/relationships"><Relationship Type="http://schemas.openxmlformats.org/officeDocument/2006/relationships/table" Target="/xl/tables/table3.xml" Id="Rb4e8bfb62ac942b9" /></Relationships>
</file>

<file path=xl/worksheets/_rels/sheet5.xml.rels>&#65279;<?xml version="1.0" encoding="utf-8"?><Relationships xmlns="http://schemas.openxmlformats.org/package/2006/relationships"><Relationship Type="http://schemas.openxmlformats.org/officeDocument/2006/relationships/table" Target="/xl/tables/table4.xml" Id="Rcc58ae76656c43ef" /></Relationships>
</file>

<file path=xl/worksheets/_rels/sheet6.xml.rels>&#65279;<?xml version="1.0" encoding="utf-8"?><Relationships xmlns="http://schemas.openxmlformats.org/package/2006/relationships"><Relationship Type="http://schemas.openxmlformats.org/officeDocument/2006/relationships/table" Target="/xl/tables/table5.xml" Id="R7bc62c617e6547a3" /></Relationships>
</file>

<file path=xl/worksheets/_rels/sheet7.xml.rels>&#65279;<?xml version="1.0" encoding="utf-8"?><Relationships xmlns="http://schemas.openxmlformats.org/package/2006/relationships"><Relationship Type="http://schemas.openxmlformats.org/officeDocument/2006/relationships/table" Target="/xl/tables/table6.xml" Id="R4c4f8de513fb41dc" /></Relationships>
</file>

<file path=xl/worksheets/_rels/sheet8.xml.rels>&#65279;<?xml version="1.0" encoding="utf-8"?><Relationships xmlns="http://schemas.openxmlformats.org/package/2006/relationships"><Relationship Type="http://schemas.openxmlformats.org/officeDocument/2006/relationships/table" Target="/xl/tables/table7.xml" Id="R6744cc7ace28420a" /></Relationships>
</file>

<file path=xl/worksheets/sheet1.xml><?xml version="1.0" encoding="utf-8"?>
<x:worksheet xmlns:x="http://schemas.openxmlformats.org/spreadsheetml/2006/main">
  <x:sheetViews>
    <x:sheetView showGridLines="0" workbookViewId="0"/>
  </x:sheetViews>
  <x:sheetFormatPr defaultRowHeight="15"/>
  <x:cols>
    <x:col min="1" max="1" width="9" hidden="0" customWidth="1"/>
    <x:col min="2" max="2" width="12" hidden="0" customWidth="1"/>
    <x:col min="3" max="3" width="29" hidden="0" customWidth="1"/>
    <x:col min="4" max="4" width="29" hidden="0" customWidth="1"/>
    <x:col min="5" max="5" width="42" hidden="0" customWidth="1"/>
    <x:col min="6" max="6" width="13" hidden="0" customWidth="1"/>
    <x:col min="7" max="7" width="12" hidden="0" customWidth="1"/>
    <x:col min="8" max="8" width="42" hidden="0" customWidth="1"/>
    <x:col min="9" max="9" width="82" hidden="0" customWidth="1"/>
    <x:col min="10" max="10" width="25" hidden="0" customWidth="1"/>
    <x:col min="11" max="11" width="14" hidden="0" customWidth="1"/>
    <x:col min="12" max="12" width="28" hidden="0" customWidth="1"/>
    <x:col min="13" max="13" width="30" hidden="0" customWidth="1"/>
    <x:col min="14" max="14" width="64" hidden="0" customWidth="1"/>
    <x:col min="15" max="15" width="66" hidden="0" customWidth="1"/>
    <x:col min="16" max="16" width="28" hidden="0" customWidth="1"/>
  </x:cols>
  <x:sheetData>
    <x:row r="1" ht="36" customHeight="1">
      <x:c r="A1" s="5" t="str">
        <x:v>Episode</x:v>
      </x:c>
      <x:c r="B1" s="5" t="str">
        <x:v>Collection Block</x:v>
      </x:c>
      <x:c r="C1" s="5" t="str">
        <x:v>Within-Block Step</x:v>
      </x:c>
      <x:c r="D1" s="5" t="str">
        <x:v>Condition</x:v>
      </x:c>
      <x:c r="E1" s="5" t="str">
        <x:v>Transfer / Robustness Subtype</x:v>
      </x:c>
      <x:c r="F1" s="5" t="str">
        <x:v>Scene Family</x:v>
      </x:c>
      <x:c r="G1" s="5" t="str">
        <x:v>Reference Episode</x:v>
      </x:c>
      <x:c r="H1" s="5" t="str">
        <x:v>Prompt</x:v>
      </x:c>
      <x:c r="I1" s="5" t="str">
        <x:v>Scene Setup (P1-P4)</x:v>
      </x:c>
      <x:c r="J1" s="5" t="str">
        <x:v>Expected Target</x:v>
      </x:c>
      <x:c r="K1" s="5" t="str">
        <x:v>Queried State</x:v>
      </x:c>
      <x:c r="L1" s="5" t="str">
        <x:v>Prompt Category / Noun</x:v>
      </x:c>
      <x:c r="M1" s="5" t="str">
        <x:v>Object Familiarity</x:v>
      </x:c>
      <x:c r="N1" s="5" t="str">
        <x:v>Setup Change from Previous</x:v>
      </x:c>
      <x:c r="O1" s="5" t="str">
        <x:v>Design Note</x:v>
      </x:c>
      <x:c r="P1" s="5" t="str">
        <x:v>Reference Media Filename</x:v>
      </x:c>
    </x:row>
    <x:row r="2" ht="60" customHeight="1">
      <x:c r="A2" s="9" t="n">
        <x:v>0</x:v>
      </x:c>
      <x:c r="B2" s="9" t="n">
        <x:v>1</x:v>
      </x:c>
      <x:c r="C2" s="9" t="str">
        <x:v>1 — Canonical transfer</x:v>
      </x:c>
      <x:c r="D2" s="9" t="str">
        <x:v>Concept/compositional transfer</x:v>
      </x:c>
      <x:c r="E2" s="10" t="str">
        <x:v>Held-out state word + known category (closed)</x:v>
      </x:c>
      <x:c r="F2" s="9" t="str">
        <x:v>SR-F01</x:v>
      </x:c>
      <x:c r="G2" s="9"/>
      <x:c r="H2" s="10" t="str">
        <x:v>Place the closed white cup in the bowl.</x:v>
      </x:c>
      <x:c r="I2" s="10" t="str">
        <x:v>P1 white cup A (C, UR) [TARGET]; P2 white cup B (O, UR) [STATE COMPETITOR]; P3 yellow-white striped cup A (O, UR); P4 brown cup B (C, UD)</x:v>
      </x:c>
      <x:c r="J2" s="9" t="str">
        <x:v>white cup A</x:v>
      </x:c>
      <x:c r="K2" s="9" t="str">
        <x:v>closed</x:v>
      </x:c>
      <x:c r="L2" s="9" t="str">
        <x:v>white cup</x:v>
      </x:c>
      <x:c r="M2" s="9" t="str">
        <x:v>Same-task seen category</x:v>
      </x:c>
      <x:c r="N2" s="10" t="str">
        <x:v>Build the marked same-category discrimination scene. Save a first-frame image or filename.</x:v>
      </x:c>
      <x:c r="O2" s="10" t="str">
        <x:v>Two objects match the named category; only the state word selects the target. Target and competitor differ only on the queried state axis.</x:v>
      </x:c>
      <x:c r="P2" s="10"/>
    </x:row>
    <x:row r="3" ht="60" customHeight="1">
      <x:c r="A3" s="8" t="n">
        <x:v>1</x:v>
      </x:c>
      <x:c r="B3" s="8" t="n">
        <x:v>1</x:v>
      </x:c>
      <x:c r="C3" s="8" t="str">
        <x:v>2 — Exact-scene paraphrase</x:v>
      </x:c>
      <x:c r="D3" s="8" t="str">
        <x:v>Language robustness</x:v>
      </x:c>
      <x:c r="E3" s="7" t="str">
        <x:v>Meaning-preserving paraphrase on exact primary-transfer scene</x:v>
      </x:c>
      <x:c r="F3" s="8" t="str">
        <x:v>SR-F01</x:v>
      </x:c>
      <x:c r="G3" s="8" t="n">
        <x:v>0</x:v>
      </x:c>
      <x:c r="H3" s="7" t="str">
        <x:v>Move the white cup that is closed into the bowl.</x:v>
      </x:c>
      <x:c r="I3" s="7" t="str">
        <x:v>P1 white cup A (C, UR) [TARGET]; P2 white cup B (O, UR) [STATE COMPETITOR]; P3 yellow-white striped cup A (O, UR); P4 brown cup B (C, UD)</x:v>
      </x:c>
      <x:c r="J3" s="8" t="str">
        <x:v>white cup A</x:v>
      </x:c>
      <x:c r="K3" s="8" t="str">
        <x:v>closed</x:v>
      </x:c>
      <x:c r="L3" s="8" t="str">
        <x:v>white cup</x:v>
      </x:c>
      <x:c r="M3" s="8" t="str">
        <x:v>Same-task seen category; exact scene as preceding row</x:v>
      </x:c>
      <x:c r="N3" s="7" t="str">
        <x:v>Reset only the moved target. Do not change any object, state, position, camera, or lighting; only the prompt wording changes.</x:v>
      </x:c>
      <x:c r="O3" s="7" t="str">
        <x:v>Compare directly with the preceding canonical transfer. This isolates wording without adding novel-object difficulty.</x:v>
      </x:c>
      <x:c r="P3" s="7"/>
    </x:row>
    <x:row r="4" ht="60" customHeight="1">
      <x:c r="A4" s="8" t="n">
        <x:v>2</x:v>
      </x:c>
      <x:c r="B4" s="8" t="n">
        <x:v>1</x:v>
      </x:c>
      <x:c r="C4" s="8" t="str">
        <x:v>3 — Matched control</x:v>
      </x:c>
      <x:c r="D4" s="8" t="str">
        <x:v>Matched manipulation control</x:v>
      </x:c>
      <x:c r="E4" s="7" t="str">
        <x:v>Category-only control after removing state competitor</x:v>
      </x:c>
      <x:c r="F4" s="8" t="str">
        <x:v>SR-F01</x:v>
      </x:c>
      <x:c r="G4" s="8" t="n">
        <x:v>0</x:v>
      </x:c>
      <x:c r="H4" s="7" t="str">
        <x:v>Place the white cup in the bowl.</x:v>
      </x:c>
      <x:c r="I4" s="7" t="str">
        <x:v>P1 white cup A (C, UR) [TARGET]; P3 yellow-white striped cup A (O, UR); P4 brown cup B (C, UD)</x:v>
      </x:c>
      <x:c r="J4" s="8" t="str">
        <x:v>white cup A</x:v>
      </x:c>
      <x:c r="K4" s="8" t="str">
        <x:v>closed</x:v>
      </x:c>
      <x:c r="L4" s="8" t="str">
        <x:v>white cup</x:v>
      </x:c>
      <x:c r="M4" s="8" t="str">
        <x:v>Same-task seen category</x:v>
      </x:c>
      <x:c r="N4" s="7" t="str">
        <x:v>Reset the target, then remove only the same-category state competitor. Keep target, other distractors, camera, and bowl fixed.</x:v>
      </x:c>
      <x:c r="O4" s="7" t="str">
        <x:v>This one-object removal is required because A/B labels are not grounded language. A prompt-only control is valid only if a stable visible descriptor is available and counterbalanced.</x:v>
      </x:c>
      <x:c r="P4" s="7"/>
    </x:row>
    <x:row r="5" ht="60" customHeight="1">
      <x:c r="A5" s="9" t="n">
        <x:v>3</x:v>
      </x:c>
      <x:c r="B5" s="9" t="n">
        <x:v>2</x:v>
      </x:c>
      <x:c r="C5" s="9" t="str">
        <x:v>1 — Canonical transfer</x:v>
      </x:c>
      <x:c r="D5" s="9" t="str">
        <x:v>Concept/compositional transfer</x:v>
      </x:c>
      <x:c r="E5" s="10" t="str">
        <x:v>Seen state word in a new scene (open)</x:v>
      </x:c>
      <x:c r="F5" s="9" t="str">
        <x:v>SR-F02</x:v>
      </x:c>
      <x:c r="G5" s="9"/>
      <x:c r="H5" s="10" t="str">
        <x:v>Put the open yellow-white striped cup in the bowl.</x:v>
      </x:c>
      <x:c r="I5" s="10" t="str">
        <x:v>P1 white cup B (C, UD); P2 yellow-white striped cup B (O, UD) [TARGET]; P3 yellow-white striped cup A (C, UD) [STATE COMPETITOR]; P4 brown cup A (O, UR)</x:v>
      </x:c>
      <x:c r="J5" s="9" t="str">
        <x:v>yellow-white striped cup B</x:v>
      </x:c>
      <x:c r="K5" s="9" t="str">
        <x:v>open</x:v>
      </x:c>
      <x:c r="L5" s="9" t="str">
        <x:v>yellow-white striped cup</x:v>
      </x:c>
      <x:c r="M5" s="9" t="str">
        <x:v>Same-task seen category</x:v>
      </x:c>
      <x:c r="N5" s="10" t="str">
        <x:v>Build the marked same-category discrimination scene. Save a first-frame image or filename.</x:v>
      </x:c>
      <x:c r="O5" s="10" t="str">
        <x:v>Two objects match the named category; only the state word selects the target. Target and competitor differ only on the queried state axis.</x:v>
      </x:c>
      <x:c r="P5" s="10"/>
    </x:row>
    <x:row r="6" ht="60" customHeight="1">
      <x:c r="A6" s="8" t="n">
        <x:v>4</x:v>
      </x:c>
      <x:c r="B6" s="8" t="n">
        <x:v>2</x:v>
      </x:c>
      <x:c r="C6" s="8" t="str">
        <x:v>2 — Exact-scene paraphrase</x:v>
      </x:c>
      <x:c r="D6" s="8" t="str">
        <x:v>Language robustness</x:v>
      </x:c>
      <x:c r="E6" s="7" t="str">
        <x:v>Meaning-preserving paraphrase on exact primary-transfer scene</x:v>
      </x:c>
      <x:c r="F6" s="8" t="str">
        <x:v>SR-F02</x:v>
      </x:c>
      <x:c r="G6" s="8" t="n">
        <x:v>3</x:v>
      </x:c>
      <x:c r="H6" s="7" t="str">
        <x:v>Move the yellow-white striped cup that is open into the bowl.</x:v>
      </x:c>
      <x:c r="I6" s="7" t="str">
        <x:v>P1 white cup B (C, UD); P2 yellow-white striped cup B (O, UD) [TARGET]; P3 yellow-white striped cup A (C, UD) [STATE COMPETITOR]; P4 brown cup A (O, UR)</x:v>
      </x:c>
      <x:c r="J6" s="8" t="str">
        <x:v>yellow-white striped cup B</x:v>
      </x:c>
      <x:c r="K6" s="8" t="str">
        <x:v>open</x:v>
      </x:c>
      <x:c r="L6" s="8" t="str">
        <x:v>yellow-white striped cup</x:v>
      </x:c>
      <x:c r="M6" s="8" t="str">
        <x:v>Same-task seen category; exact scene as preceding row</x:v>
      </x:c>
      <x:c r="N6" s="7" t="str">
        <x:v>Reset only the moved target. Do not change any object, state, position, camera, or lighting; only the prompt wording changes.</x:v>
      </x:c>
      <x:c r="O6" s="7" t="str">
        <x:v>Compare directly with the preceding canonical transfer. This isolates wording without adding novel-object difficulty.</x:v>
      </x:c>
      <x:c r="P6" s="7"/>
    </x:row>
    <x:row r="7" ht="60" customHeight="1">
      <x:c r="A7" s="8" t="n">
        <x:v>5</x:v>
      </x:c>
      <x:c r="B7" s="8" t="n">
        <x:v>2</x:v>
      </x:c>
      <x:c r="C7" s="8" t="str">
        <x:v>3 — Matched control</x:v>
      </x:c>
      <x:c r="D7" s="8" t="str">
        <x:v>Matched manipulation control</x:v>
      </x:c>
      <x:c r="E7" s="7" t="str">
        <x:v>Category-only control after removing state competitor</x:v>
      </x:c>
      <x:c r="F7" s="8" t="str">
        <x:v>SR-F02</x:v>
      </x:c>
      <x:c r="G7" s="8" t="n">
        <x:v>3</x:v>
      </x:c>
      <x:c r="H7" s="7" t="str">
        <x:v>Put the yellow-white striped cup in the bowl.</x:v>
      </x:c>
      <x:c r="I7" s="7" t="str">
        <x:v>P1 white cup B (C, UD); P2 yellow-white striped cup B (O, UD) [TARGET]; P4 brown cup A (O, UR)</x:v>
      </x:c>
      <x:c r="J7" s="8" t="str">
        <x:v>yellow-white striped cup B</x:v>
      </x:c>
      <x:c r="K7" s="8" t="str">
        <x:v>open</x:v>
      </x:c>
      <x:c r="L7" s="8" t="str">
        <x:v>yellow-white striped cup</x:v>
      </x:c>
      <x:c r="M7" s="8" t="str">
        <x:v>Same-task seen category</x:v>
      </x:c>
      <x:c r="N7" s="7" t="str">
        <x:v>Reset the target, then remove only the same-category state competitor. Keep target, other distractors, camera, and bowl fixed.</x:v>
      </x:c>
      <x:c r="O7" s="7" t="str">
        <x:v>This one-object removal is required because A/B labels are not grounded language. A prompt-only control is valid only if a stable visible descriptor is available and counterbalanced.</x:v>
      </x:c>
      <x:c r="P7" s="7"/>
    </x:row>
    <x:row r="8" ht="60" customHeight="1">
      <x:c r="A8" s="9" t="n">
        <x:v>6</x:v>
      </x:c>
      <x:c r="B8" s="9" t="n">
        <x:v>3</x:v>
      </x:c>
      <x:c r="C8" s="9" t="str">
        <x:v>1 — Canonical transfer</x:v>
      </x:c>
      <x:c r="D8" s="9" t="str">
        <x:v>Concept/compositional transfer</x:v>
      </x:c>
      <x:c r="E8" s="10" t="str">
        <x:v>Held-out state word + known category (upright)</x:v>
      </x:c>
      <x:c r="F8" s="9" t="str">
        <x:v>SR-F03</x:v>
      </x:c>
      <x:c r="G8" s="9"/>
      <x:c r="H8" s="10" t="str">
        <x:v>Move the upright brown cup into the bowl.</x:v>
      </x:c>
      <x:c r="I8" s="10" t="str">
        <x:v>P1 white cup A (O, UR); P2 yellow-white striped cup B (C, UD); P3 brown cup A (O, UR) [TARGET]; P4 brown cup B (O, UD) [STATE COMPETITOR]</x:v>
      </x:c>
      <x:c r="J8" s="9" t="str">
        <x:v>brown cup A</x:v>
      </x:c>
      <x:c r="K8" s="9" t="str">
        <x:v>upright</x:v>
      </x:c>
      <x:c r="L8" s="9" t="str">
        <x:v>brown cup</x:v>
      </x:c>
      <x:c r="M8" s="9" t="str">
        <x:v>Same-task seen category</x:v>
      </x:c>
      <x:c r="N8" s="10" t="str">
        <x:v>Build the marked same-category discrimination scene. Save a first-frame image or filename.</x:v>
      </x:c>
      <x:c r="O8" s="10" t="str">
        <x:v>Two objects match the named category; only the state word selects the target. Target and competitor differ only on the queried state axis.</x:v>
      </x:c>
      <x:c r="P8" s="10"/>
    </x:row>
    <x:row r="9" ht="60" customHeight="1">
      <x:c r="A9" s="8" t="n">
        <x:v>7</x:v>
      </x:c>
      <x:c r="B9" s="8" t="n">
        <x:v>3</x:v>
      </x:c>
      <x:c r="C9" s="8" t="str">
        <x:v>2 — Exact-scene paraphrase</x:v>
      </x:c>
      <x:c r="D9" s="8" t="str">
        <x:v>Language robustness</x:v>
      </x:c>
      <x:c r="E9" s="7" t="str">
        <x:v>Meaning-preserving paraphrase on exact primary-transfer scene</x:v>
      </x:c>
      <x:c r="F9" s="8" t="str">
        <x:v>SR-F03</x:v>
      </x:c>
      <x:c r="G9" s="8" t="n">
        <x:v>6</x:v>
      </x:c>
      <x:c r="H9" s="7" t="str">
        <x:v>Move the brown cup that is standing upright into the bowl.</x:v>
      </x:c>
      <x:c r="I9" s="7" t="str">
        <x:v>P1 white cup A (O, UR); P2 yellow-white striped cup B (C, UD); P3 brown cup A (O, UR) [TARGET]; P4 brown cup B (O, UD) [STATE COMPETITOR]</x:v>
      </x:c>
      <x:c r="J9" s="8" t="str">
        <x:v>brown cup A</x:v>
      </x:c>
      <x:c r="K9" s="8" t="str">
        <x:v>upright</x:v>
      </x:c>
      <x:c r="L9" s="8" t="str">
        <x:v>brown cup</x:v>
      </x:c>
      <x:c r="M9" s="8" t="str">
        <x:v>Same-task seen category; exact scene as preceding row</x:v>
      </x:c>
      <x:c r="N9" s="7" t="str">
        <x:v>Reset only the moved target. Do not change any object, state, position, camera, or lighting; only the prompt wording changes.</x:v>
      </x:c>
      <x:c r="O9" s="7" t="str">
        <x:v>Compare directly with the preceding canonical transfer. This isolates wording without adding novel-object difficulty.</x:v>
      </x:c>
      <x:c r="P9" s="7"/>
    </x:row>
    <x:row r="10" ht="60" customHeight="1">
      <x:c r="A10" s="8" t="n">
        <x:v>8</x:v>
      </x:c>
      <x:c r="B10" s="8" t="n">
        <x:v>3</x:v>
      </x:c>
      <x:c r="C10" s="8" t="str">
        <x:v>3 — Matched control</x:v>
      </x:c>
      <x:c r="D10" s="8" t="str">
        <x:v>Matched manipulation control</x:v>
      </x:c>
      <x:c r="E10" s="7" t="str">
        <x:v>Category-only control after removing state competitor</x:v>
      </x:c>
      <x:c r="F10" s="8" t="str">
        <x:v>SR-F03</x:v>
      </x:c>
      <x:c r="G10" s="8" t="n">
        <x:v>6</x:v>
      </x:c>
      <x:c r="H10" s="7" t="str">
        <x:v>Move the brown cup into the bowl.</x:v>
      </x:c>
      <x:c r="I10" s="7" t="str">
        <x:v>P1 white cup A (O, UR); P2 yellow-white striped cup B (C, UD); P3 brown cup A (O, UR) [TARGET]</x:v>
      </x:c>
      <x:c r="J10" s="8" t="str">
        <x:v>brown cup A</x:v>
      </x:c>
      <x:c r="K10" s="8" t="str">
        <x:v>upright</x:v>
      </x:c>
      <x:c r="L10" s="8" t="str">
        <x:v>brown cup</x:v>
      </x:c>
      <x:c r="M10" s="8" t="str">
        <x:v>Same-task seen category</x:v>
      </x:c>
      <x:c r="N10" s="7" t="str">
        <x:v>Reset the target, then remove only the same-category state competitor. Keep target, other distractors, camera, and bowl fixed.</x:v>
      </x:c>
      <x:c r="O10" s="7" t="str">
        <x:v>This one-object removal is required because A/B labels are not grounded language. A prompt-only control is valid only if a stable visible descriptor is available and counterbalanced.</x:v>
      </x:c>
      <x:c r="P10" s="7"/>
    </x:row>
    <x:row r="11" ht="60" customHeight="1">
      <x:c r="A11" s="9" t="n">
        <x:v>9</x:v>
      </x:c>
      <x:c r="B11" s="9" t="n">
        <x:v>4</x:v>
      </x:c>
      <x:c r="C11" s="9" t="str">
        <x:v>1 — Canonical transfer</x:v>
      </x:c>
      <x:c r="D11" s="9" t="str">
        <x:v>Concept/compositional transfer</x:v>
      </x:c>
      <x:c r="E11" s="10" t="str">
        <x:v>Seen state word in a new scene (upside-down)</x:v>
      </x:c>
      <x:c r="F11" s="9" t="str">
        <x:v>SR-F04</x:v>
      </x:c>
      <x:c r="G11" s="9"/>
      <x:c r="H11" s="10" t="str">
        <x:v>Place the upside-down glass spice container in the bowl.</x:v>
      </x:c>
      <x:c r="I11" s="10" t="str">
        <x:v>P1 glass spice container A (C, UR) [STATE COMPETITOR]; P2 white cup A (O, UR); P3 yellow-white striped cup B (C, UD); P4 glass spice container B (C, UD) [TARGET]</x:v>
      </x:c>
      <x:c r="J11" s="9" t="str">
        <x:v>glass spice container B</x:v>
      </x:c>
      <x:c r="K11" s="9" t="str">
        <x:v>upside-down</x:v>
      </x:c>
      <x:c r="L11" s="9" t="str">
        <x:v>glass spice container</x:v>
      </x:c>
      <x:c r="M11" s="9" t="str">
        <x:v>Same-task seen category</x:v>
      </x:c>
      <x:c r="N11" s="10" t="str">
        <x:v>Build the marked same-category discrimination scene. Save a first-frame image or filename.</x:v>
      </x:c>
      <x:c r="O11" s="10" t="str">
        <x:v>Two objects match the named category; only the state word selects the target. Target and competitor differ only on the queried state axis.</x:v>
      </x:c>
      <x:c r="P11" s="10"/>
    </x:row>
    <x:row r="12" ht="60" customHeight="1">
      <x:c r="A12" s="8" t="n">
        <x:v>10</x:v>
      </x:c>
      <x:c r="B12" s="8" t="n">
        <x:v>4</x:v>
      </x:c>
      <x:c r="C12" s="8" t="str">
        <x:v>2 — Exact-scene paraphrase</x:v>
      </x:c>
      <x:c r="D12" s="8" t="str">
        <x:v>Language robustness</x:v>
      </x:c>
      <x:c r="E12" s="7" t="str">
        <x:v>Meaning-preserving paraphrase on exact primary-transfer scene</x:v>
      </x:c>
      <x:c r="F12" s="8" t="str">
        <x:v>SR-F04</x:v>
      </x:c>
      <x:c r="G12" s="8" t="n">
        <x:v>9</x:v>
      </x:c>
      <x:c r="H12" s="7" t="str">
        <x:v>Move the glass spice container that is turned upside down into the bowl.</x:v>
      </x:c>
      <x:c r="I12" s="7" t="str">
        <x:v>P1 glass spice container A (C, UR) [STATE COMPETITOR]; P2 white cup A (O, UR); P3 yellow-white striped cup B (C, UD); P4 glass spice container B (C, UD) [TARGET]</x:v>
      </x:c>
      <x:c r="J12" s="8" t="str">
        <x:v>glass spice container B</x:v>
      </x:c>
      <x:c r="K12" s="8" t="str">
        <x:v>upside-down</x:v>
      </x:c>
      <x:c r="L12" s="8" t="str">
        <x:v>glass spice container</x:v>
      </x:c>
      <x:c r="M12" s="8" t="str">
        <x:v>Same-task seen category; exact scene as preceding row</x:v>
      </x:c>
      <x:c r="N12" s="7" t="str">
        <x:v>Reset only the moved target. Do not change any object, state, position, camera, or lighting; only the prompt wording changes.</x:v>
      </x:c>
      <x:c r="O12" s="7" t="str">
        <x:v>Compare directly with the preceding canonical transfer. This isolates wording without adding novel-object difficulty.</x:v>
      </x:c>
      <x:c r="P12" s="7"/>
    </x:row>
    <x:row r="13" ht="60" customHeight="1">
      <x:c r="A13" s="8" t="n">
        <x:v>11</x:v>
      </x:c>
      <x:c r="B13" s="8" t="n">
        <x:v>4</x:v>
      </x:c>
      <x:c r="C13" s="8" t="str">
        <x:v>3 — Matched control</x:v>
      </x:c>
      <x:c r="D13" s="8" t="str">
        <x:v>Matched manipulation control</x:v>
      </x:c>
      <x:c r="E13" s="7" t="str">
        <x:v>Category-only control after removing state competitor</x:v>
      </x:c>
      <x:c r="F13" s="8" t="str">
        <x:v>SR-F04</x:v>
      </x:c>
      <x:c r="G13" s="8" t="n">
        <x:v>9</x:v>
      </x:c>
      <x:c r="H13" s="7" t="str">
        <x:v>Place the glass spice container in the bowl.</x:v>
      </x:c>
      <x:c r="I13" s="7" t="str">
        <x:v>P2 white cup A (O, UR); P3 yellow-white striped cup B (C, UD); P4 glass spice container B (C, UD) [TARGET]</x:v>
      </x:c>
      <x:c r="J13" s="8" t="str">
        <x:v>glass spice container B</x:v>
      </x:c>
      <x:c r="K13" s="8" t="str">
        <x:v>upside-down</x:v>
      </x:c>
      <x:c r="L13" s="8" t="str">
        <x:v>glass spice container</x:v>
      </x:c>
      <x:c r="M13" s="8" t="str">
        <x:v>Same-task seen category</x:v>
      </x:c>
      <x:c r="N13" s="7" t="str">
        <x:v>Reset the target, then remove only the same-category state competitor. Keep target, other distractors, camera, and bowl fixed.</x:v>
      </x:c>
      <x:c r="O13" s="7" t="str">
        <x:v>This one-object removal is required because A/B labels are not grounded language. A prompt-only control is valid only if a stable visible descriptor is available and counterbalanced.</x:v>
      </x:c>
      <x:c r="P13" s="7"/>
    </x:row>
    <x:row r="14" ht="60" customHeight="1">
      <x:c r="A14" s="9" t="n">
        <x:v>12</x:v>
      </x:c>
      <x:c r="B14" s="9" t="n">
        <x:v>5</x:v>
      </x:c>
      <x:c r="C14" s="9" t="str">
        <x:v>1 — Canonical transfer</x:v>
      </x:c>
      <x:c r="D14" s="9" t="str">
        <x:v>Concept/compositional transfer</x:v>
      </x:c>
      <x:c r="E14" s="10" t="str">
        <x:v>Held-out state word + known category (closed)</x:v>
      </x:c>
      <x:c r="F14" s="9" t="str">
        <x:v>SR-F05</x:v>
      </x:c>
      <x:c r="G14" s="9"/>
      <x:c r="H14" s="10" t="str">
        <x:v>Put the closed yellow-white striped cup in the bowl.</x:v>
      </x:c>
      <x:c r="I14" s="10" t="str">
        <x:v>P1 yellow-white striped cup A (C, UR) [TARGET]; P2 yellow-white striped cup B (O, UR) [STATE COMPETITOR]; P3 white cup A (O, UR); P4 brown cup B (C, UD)</x:v>
      </x:c>
      <x:c r="J14" s="9" t="str">
        <x:v>yellow-white striped cup A</x:v>
      </x:c>
      <x:c r="K14" s="9" t="str">
        <x:v>closed</x:v>
      </x:c>
      <x:c r="L14" s="9" t="str">
        <x:v>yellow-white striped cup</x:v>
      </x:c>
      <x:c r="M14" s="9" t="str">
        <x:v>Same-task seen category</x:v>
      </x:c>
      <x:c r="N14" s="10" t="str">
        <x:v>Build the marked same-category discrimination scene. Save a first-frame image or filename.</x:v>
      </x:c>
      <x:c r="O14" s="10" t="str">
        <x:v>Two objects match the named category; only the state word selects the target. Target and competitor differ only on the queried state axis.</x:v>
      </x:c>
      <x:c r="P14" s="10"/>
    </x:row>
    <x:row r="15" ht="60" customHeight="1">
      <x:c r="A15" s="8" t="n">
        <x:v>13</x:v>
      </x:c>
      <x:c r="B15" s="8" t="n">
        <x:v>5</x:v>
      </x:c>
      <x:c r="C15" s="8" t="str">
        <x:v>2 — Exact-scene paraphrase</x:v>
      </x:c>
      <x:c r="D15" s="8" t="str">
        <x:v>Language robustness</x:v>
      </x:c>
      <x:c r="E15" s="7" t="str">
        <x:v>Meaning-preserving paraphrase on exact primary-transfer scene</x:v>
      </x:c>
      <x:c r="F15" s="8" t="str">
        <x:v>SR-F05</x:v>
      </x:c>
      <x:c r="G15" s="8" t="n">
        <x:v>12</x:v>
      </x:c>
      <x:c r="H15" s="7" t="str">
        <x:v>Put the yellow-white striped cup with its opening covered in the bowl.</x:v>
      </x:c>
      <x:c r="I15" s="7" t="str">
        <x:v>P1 yellow-white striped cup A (C, UR) [TARGET]; P2 yellow-white striped cup B (O, UR) [STATE COMPETITOR]; P3 white cup A (O, UR); P4 brown cup B (C, UD)</x:v>
      </x:c>
      <x:c r="J15" s="8" t="str">
        <x:v>yellow-white striped cup A</x:v>
      </x:c>
      <x:c r="K15" s="8" t="str">
        <x:v>closed</x:v>
      </x:c>
      <x:c r="L15" s="8" t="str">
        <x:v>yellow-white striped cup</x:v>
      </x:c>
      <x:c r="M15" s="8" t="str">
        <x:v>Same-task seen category; exact scene as preceding row</x:v>
      </x:c>
      <x:c r="N15" s="7" t="str">
        <x:v>Reset only the moved target. Do not change any object, state, position, camera, or lighting; only the prompt wording changes.</x:v>
      </x:c>
      <x:c r="O15" s="7" t="str">
        <x:v>Compare directly with the preceding canonical transfer. This isolates wording without adding novel-object difficulty.</x:v>
      </x:c>
      <x:c r="P15" s="7"/>
    </x:row>
    <x:row r="16" ht="60" customHeight="1">
      <x:c r="A16" s="8" t="n">
        <x:v>14</x:v>
      </x:c>
      <x:c r="B16" s="8" t="n">
        <x:v>5</x:v>
      </x:c>
      <x:c r="C16" s="8" t="str">
        <x:v>3 — Matched control</x:v>
      </x:c>
      <x:c r="D16" s="8" t="str">
        <x:v>Matched manipulation control</x:v>
      </x:c>
      <x:c r="E16" s="7" t="str">
        <x:v>Category-only control after removing state competitor</x:v>
      </x:c>
      <x:c r="F16" s="8" t="str">
        <x:v>SR-F05</x:v>
      </x:c>
      <x:c r="G16" s="8" t="n">
        <x:v>12</x:v>
      </x:c>
      <x:c r="H16" s="7" t="str">
        <x:v>Put the yellow-white striped cup in the bowl.</x:v>
      </x:c>
      <x:c r="I16" s="7" t="str">
        <x:v>P1 yellow-white striped cup A (C, UR) [TARGET]; P3 white cup A (O, UR); P4 brown cup B (C, UD)</x:v>
      </x:c>
      <x:c r="J16" s="8" t="str">
        <x:v>yellow-white striped cup A</x:v>
      </x:c>
      <x:c r="K16" s="8" t="str">
        <x:v>closed</x:v>
      </x:c>
      <x:c r="L16" s="8" t="str">
        <x:v>yellow-white striped cup</x:v>
      </x:c>
      <x:c r="M16" s="8" t="str">
        <x:v>Same-task seen category</x:v>
      </x:c>
      <x:c r="N16" s="7" t="str">
        <x:v>Reset the target, then remove only the same-category state competitor. Keep target, other distractors, camera, and bowl fixed.</x:v>
      </x:c>
      <x:c r="O16" s="7" t="str">
        <x:v>This one-object removal is required because A/B labels are not grounded language. A prompt-only control is valid only if a stable visible descriptor is available and counterbalanced.</x:v>
      </x:c>
      <x:c r="P16" s="7"/>
    </x:row>
    <x:row r="17" ht="60" customHeight="1">
      <x:c r="A17" s="9" t="n">
        <x:v>15</x:v>
      </x:c>
      <x:c r="B17" s="9" t="n">
        <x:v>6</x:v>
      </x:c>
      <x:c r="C17" s="9" t="str">
        <x:v>1 — Canonical transfer</x:v>
      </x:c>
      <x:c r="D17" s="9" t="str">
        <x:v>Concept/compositional transfer</x:v>
      </x:c>
      <x:c r="E17" s="10" t="str">
        <x:v>Seen state word in a new scene (open)</x:v>
      </x:c>
      <x:c r="F17" s="9" t="str">
        <x:v>SR-F06</x:v>
      </x:c>
      <x:c r="G17" s="9"/>
      <x:c r="H17" s="10" t="str">
        <x:v>Move the open brown cup into the bowl.</x:v>
      </x:c>
      <x:c r="I17" s="10" t="str">
        <x:v>P1 white cup B (C, UD); P2 brown cup B (O, UD) [TARGET]; P3 brown cup A (C, UD) [STATE COMPETITOR]; P4 yellow-white striped cup A (O, UR)</x:v>
      </x:c>
      <x:c r="J17" s="9" t="str">
        <x:v>brown cup B</x:v>
      </x:c>
      <x:c r="K17" s="9" t="str">
        <x:v>open</x:v>
      </x:c>
      <x:c r="L17" s="9" t="str">
        <x:v>brown cup</x:v>
      </x:c>
      <x:c r="M17" s="9" t="str">
        <x:v>Same-task seen category</x:v>
      </x:c>
      <x:c r="N17" s="10" t="str">
        <x:v>Build the marked same-category discrimination scene. Save a first-frame image or filename.</x:v>
      </x:c>
      <x:c r="O17" s="10" t="str">
        <x:v>Two objects match the named category; only the state word selects the target. Target and competitor differ only on the queried state axis.</x:v>
      </x:c>
      <x:c r="P17" s="10"/>
    </x:row>
    <x:row r="18" ht="60" customHeight="1">
      <x:c r="A18" s="8" t="n">
        <x:v>16</x:v>
      </x:c>
      <x:c r="B18" s="8" t="n">
        <x:v>6</x:v>
      </x:c>
      <x:c r="C18" s="8" t="str">
        <x:v>2 — Exact-scene paraphrase</x:v>
      </x:c>
      <x:c r="D18" s="8" t="str">
        <x:v>Language robustness</x:v>
      </x:c>
      <x:c r="E18" s="7" t="str">
        <x:v>Meaning-preserving paraphrase on exact primary-transfer scene</x:v>
      </x:c>
      <x:c r="F18" s="8" t="str">
        <x:v>SR-F06</x:v>
      </x:c>
      <x:c r="G18" s="8" t="n">
        <x:v>15</x:v>
      </x:c>
      <x:c r="H18" s="7" t="str">
        <x:v>Put the brown cup with its opening uncovered in the bowl.</x:v>
      </x:c>
      <x:c r="I18" s="7" t="str">
        <x:v>P1 white cup B (C, UD); P2 brown cup B (O, UD) [TARGET]; P3 brown cup A (C, UD) [STATE COMPETITOR]; P4 yellow-white striped cup A (O, UR)</x:v>
      </x:c>
      <x:c r="J18" s="8" t="str">
        <x:v>brown cup B</x:v>
      </x:c>
      <x:c r="K18" s="8" t="str">
        <x:v>open</x:v>
      </x:c>
      <x:c r="L18" s="8" t="str">
        <x:v>brown cup</x:v>
      </x:c>
      <x:c r="M18" s="8" t="str">
        <x:v>Same-task seen category; exact scene as preceding row</x:v>
      </x:c>
      <x:c r="N18" s="7" t="str">
        <x:v>Reset only the moved target. Do not change any object, state, position, camera, or lighting; only the prompt wording changes.</x:v>
      </x:c>
      <x:c r="O18" s="7" t="str">
        <x:v>Compare directly with the preceding canonical transfer. This isolates wording without adding novel-object difficulty.</x:v>
      </x:c>
      <x:c r="P18" s="7"/>
    </x:row>
    <x:row r="19" ht="60" customHeight="1">
      <x:c r="A19" s="8" t="n">
        <x:v>17</x:v>
      </x:c>
      <x:c r="B19" s="8" t="n">
        <x:v>6</x:v>
      </x:c>
      <x:c r="C19" s="8" t="str">
        <x:v>3 — Matched control</x:v>
      </x:c>
      <x:c r="D19" s="8" t="str">
        <x:v>Matched manipulation control</x:v>
      </x:c>
      <x:c r="E19" s="7" t="str">
        <x:v>Category-only control after removing state competitor</x:v>
      </x:c>
      <x:c r="F19" s="8" t="str">
        <x:v>SR-F06</x:v>
      </x:c>
      <x:c r="G19" s="8" t="n">
        <x:v>15</x:v>
      </x:c>
      <x:c r="H19" s="7" t="str">
        <x:v>Move the brown cup into the bowl.</x:v>
      </x:c>
      <x:c r="I19" s="7" t="str">
        <x:v>P1 white cup B (C, UD); P2 brown cup B (O, UD) [TARGET]; P4 yellow-white striped cup A (O, UR)</x:v>
      </x:c>
      <x:c r="J19" s="8" t="str">
        <x:v>brown cup B</x:v>
      </x:c>
      <x:c r="K19" s="8" t="str">
        <x:v>open</x:v>
      </x:c>
      <x:c r="L19" s="8" t="str">
        <x:v>brown cup</x:v>
      </x:c>
      <x:c r="M19" s="8" t="str">
        <x:v>Same-task seen category</x:v>
      </x:c>
      <x:c r="N19" s="7" t="str">
        <x:v>Reset the target, then remove only the same-category state competitor. Keep target, other distractors, camera, and bowl fixed.</x:v>
      </x:c>
      <x:c r="O19" s="7" t="str">
        <x:v>This one-object removal is required because A/B labels are not grounded language. A prompt-only control is valid only if a stable visible descriptor is available and counterbalanced.</x:v>
      </x:c>
      <x:c r="P19" s="7"/>
    </x:row>
    <x:row r="20" ht="60" customHeight="1">
      <x:c r="A20" s="9" t="n">
        <x:v>18</x:v>
      </x:c>
      <x:c r="B20" s="9" t="n">
        <x:v>7</x:v>
      </x:c>
      <x:c r="C20" s="9" t="str">
        <x:v>1 — Canonical transfer</x:v>
      </x:c>
      <x:c r="D20" s="9" t="str">
        <x:v>Concept/compositional transfer</x:v>
      </x:c>
      <x:c r="E20" s="10" t="str">
        <x:v>Held-out state word + known category (upright)</x:v>
      </x:c>
      <x:c r="F20" s="9" t="str">
        <x:v>SR-F07</x:v>
      </x:c>
      <x:c r="G20" s="9"/>
      <x:c r="H20" s="10" t="str">
        <x:v>Place the upright glass spice container in the bowl.</x:v>
      </x:c>
      <x:c r="I20" s="10" t="str">
        <x:v>P1 white cup A (O, UR); P2 yellow-white striped cup B (C, UD); P3 glass spice container A (O, UR) [TARGET]; P4 glass spice container B (O, UD) [STATE COMPETITOR]</x:v>
      </x:c>
      <x:c r="J20" s="9" t="str">
        <x:v>glass spice container A</x:v>
      </x:c>
      <x:c r="K20" s="9" t="str">
        <x:v>upright</x:v>
      </x:c>
      <x:c r="L20" s="9" t="str">
        <x:v>glass spice container</x:v>
      </x:c>
      <x:c r="M20" s="9" t="str">
        <x:v>Same-task seen category</x:v>
      </x:c>
      <x:c r="N20" s="10" t="str">
        <x:v>Build the marked same-category discrimination scene. Save a first-frame image or filename.</x:v>
      </x:c>
      <x:c r="O20" s="10" t="str">
        <x:v>Two objects match the named category; only the state word selects the target. Target and competitor differ only on the queried state axis.</x:v>
      </x:c>
      <x:c r="P20" s="10"/>
    </x:row>
    <x:row r="21" ht="60" customHeight="1">
      <x:c r="A21" s="8" t="n">
        <x:v>19</x:v>
      </x:c>
      <x:c r="B21" s="8" t="n">
        <x:v>7</x:v>
      </x:c>
      <x:c r="C21" s="8" t="str">
        <x:v>2 — Exact-scene paraphrase</x:v>
      </x:c>
      <x:c r="D21" s="8" t="str">
        <x:v>Language robustness</x:v>
      </x:c>
      <x:c r="E21" s="7" t="str">
        <x:v>Meaning-preserving paraphrase on exact primary-transfer scene</x:v>
      </x:c>
      <x:c r="F21" s="8" t="str">
        <x:v>SR-F07</x:v>
      </x:c>
      <x:c r="G21" s="8" t="n">
        <x:v>18</x:v>
      </x:c>
      <x:c r="H21" s="7" t="str">
        <x:v>Put the right-side-up glass spice container in the bowl.</x:v>
      </x:c>
      <x:c r="I21" s="7" t="str">
        <x:v>P1 white cup A (O, UR); P2 yellow-white striped cup B (C, UD); P3 glass spice container A (O, UR) [TARGET]; P4 glass spice container B (O, UD) [STATE COMPETITOR]</x:v>
      </x:c>
      <x:c r="J21" s="8" t="str">
        <x:v>glass spice container A</x:v>
      </x:c>
      <x:c r="K21" s="8" t="str">
        <x:v>upright</x:v>
      </x:c>
      <x:c r="L21" s="8" t="str">
        <x:v>glass spice container</x:v>
      </x:c>
      <x:c r="M21" s="8" t="str">
        <x:v>Same-task seen category; exact scene as preceding row</x:v>
      </x:c>
      <x:c r="N21" s="7" t="str">
        <x:v>Reset only the moved target. Do not change any object, state, position, camera, or lighting; only the prompt wording changes.</x:v>
      </x:c>
      <x:c r="O21" s="7" t="str">
        <x:v>Compare directly with the preceding canonical transfer. This isolates wording without adding novel-object difficulty.</x:v>
      </x:c>
      <x:c r="P21" s="7"/>
    </x:row>
    <x:row r="22" ht="60" customHeight="1">
      <x:c r="A22" s="8" t="n">
        <x:v>20</x:v>
      </x:c>
      <x:c r="B22" s="8" t="n">
        <x:v>7</x:v>
      </x:c>
      <x:c r="C22" s="8" t="str">
        <x:v>3 — Matched control</x:v>
      </x:c>
      <x:c r="D22" s="8" t="str">
        <x:v>Matched manipulation control</x:v>
      </x:c>
      <x:c r="E22" s="7" t="str">
        <x:v>Category-only control after removing state competitor</x:v>
      </x:c>
      <x:c r="F22" s="8" t="str">
        <x:v>SR-F07</x:v>
      </x:c>
      <x:c r="G22" s="8" t="n">
        <x:v>18</x:v>
      </x:c>
      <x:c r="H22" s="7" t="str">
        <x:v>Place the glass spice container in the bowl.</x:v>
      </x:c>
      <x:c r="I22" s="7" t="str">
        <x:v>P1 white cup A (O, UR); P2 yellow-white striped cup B (C, UD); P3 glass spice container A (O, UR) [TARGET]</x:v>
      </x:c>
      <x:c r="J22" s="8" t="str">
        <x:v>glass spice container A</x:v>
      </x:c>
      <x:c r="K22" s="8" t="str">
        <x:v>upright</x:v>
      </x:c>
      <x:c r="L22" s="8" t="str">
        <x:v>glass spice container</x:v>
      </x:c>
      <x:c r="M22" s="8" t="str">
        <x:v>Same-task seen category</x:v>
      </x:c>
      <x:c r="N22" s="7" t="str">
        <x:v>Reset the target, then remove only the same-category state competitor. Keep target, other distractors, camera, and bowl fixed.</x:v>
      </x:c>
      <x:c r="O22" s="7" t="str">
        <x:v>This one-object removal is required because A/B labels are not grounded language. A prompt-only control is valid only if a stable visible descriptor is available and counterbalanced.</x:v>
      </x:c>
      <x:c r="P22" s="7"/>
    </x:row>
    <x:row r="23" ht="60" customHeight="1">
      <x:c r="A23" s="9" t="n">
        <x:v>21</x:v>
      </x:c>
      <x:c r="B23" s="9" t="n">
        <x:v>8</x:v>
      </x:c>
      <x:c r="C23" s="9" t="str">
        <x:v>1 — Canonical transfer</x:v>
      </x:c>
      <x:c r="D23" s="9" t="str">
        <x:v>Concept/compositional transfer</x:v>
      </x:c>
      <x:c r="E23" s="10" t="str">
        <x:v>Seen state word in a new scene (upside-down)</x:v>
      </x:c>
      <x:c r="F23" s="9" t="str">
        <x:v>SR-F08</x:v>
      </x:c>
      <x:c r="G23" s="9"/>
      <x:c r="H23" s="10" t="str">
        <x:v>Put the upside-down white cup in the bowl.</x:v>
      </x:c>
      <x:c r="I23" s="10" t="str">
        <x:v>P1 white cup A (C, UR) [STATE COMPETITOR]; P2 yellow-white striped cup A (O, UR); P3 brown cup B (C, UD); P4 white cup B (C, UD) [TARGET]</x:v>
      </x:c>
      <x:c r="J23" s="9" t="str">
        <x:v>white cup B</x:v>
      </x:c>
      <x:c r="K23" s="9" t="str">
        <x:v>upside-down</x:v>
      </x:c>
      <x:c r="L23" s="9" t="str">
        <x:v>white cup</x:v>
      </x:c>
      <x:c r="M23" s="9" t="str">
        <x:v>Same-task seen category</x:v>
      </x:c>
      <x:c r="N23" s="10" t="str">
        <x:v>Build the marked same-category discrimination scene. Save a first-frame image or filename.</x:v>
      </x:c>
      <x:c r="O23" s="10" t="str">
        <x:v>Two objects match the named category; only the state word selects the target. Target and competitor differ only on the queried state axis.</x:v>
      </x:c>
      <x:c r="P23" s="10"/>
    </x:row>
    <x:row r="24" ht="60" customHeight="1">
      <x:c r="A24" s="8" t="n">
        <x:v>22</x:v>
      </x:c>
      <x:c r="B24" s="8" t="n">
        <x:v>8</x:v>
      </x:c>
      <x:c r="C24" s="8" t="str">
        <x:v>2 — Exact-scene paraphrase</x:v>
      </x:c>
      <x:c r="D24" s="8" t="str">
        <x:v>Language robustness</x:v>
      </x:c>
      <x:c r="E24" s="7" t="str">
        <x:v>Meaning-preserving paraphrase on exact primary-transfer scene</x:v>
      </x:c>
      <x:c r="F24" s="8" t="str">
        <x:v>SR-F08</x:v>
      </x:c>
      <x:c r="G24" s="8" t="n">
        <x:v>21</x:v>
      </x:c>
      <x:c r="H24" s="7" t="str">
        <x:v>Put the inverted white cup in the bowl.</x:v>
      </x:c>
      <x:c r="I24" s="7" t="str">
        <x:v>P1 white cup A (C, UR) [STATE COMPETITOR]; P2 yellow-white striped cup A (O, UR); P3 brown cup B (C, UD); P4 white cup B (C, UD) [TARGET]</x:v>
      </x:c>
      <x:c r="J24" s="8" t="str">
        <x:v>white cup B</x:v>
      </x:c>
      <x:c r="K24" s="8" t="str">
        <x:v>upside-down</x:v>
      </x:c>
      <x:c r="L24" s="8" t="str">
        <x:v>white cup</x:v>
      </x:c>
      <x:c r="M24" s="8" t="str">
        <x:v>Same-task seen category; exact scene as preceding row</x:v>
      </x:c>
      <x:c r="N24" s="7" t="str">
        <x:v>Reset only the moved target. Do not change any object, state, position, camera, or lighting; only the prompt wording changes.</x:v>
      </x:c>
      <x:c r="O24" s="7" t="str">
        <x:v>Compare directly with the preceding canonical transfer. This isolates wording without adding novel-object difficulty.</x:v>
      </x:c>
      <x:c r="P24" s="7"/>
    </x:row>
    <x:row r="25" ht="60" customHeight="1">
      <x:c r="A25" s="8" t="n">
        <x:v>23</x:v>
      </x:c>
      <x:c r="B25" s="8" t="n">
        <x:v>8</x:v>
      </x:c>
      <x:c r="C25" s="8" t="str">
        <x:v>3 — Matched control</x:v>
      </x:c>
      <x:c r="D25" s="8" t="str">
        <x:v>Matched manipulation control</x:v>
      </x:c>
      <x:c r="E25" s="7" t="str">
        <x:v>Category-only control after removing state competitor</x:v>
      </x:c>
      <x:c r="F25" s="8" t="str">
        <x:v>SR-F08</x:v>
      </x:c>
      <x:c r="G25" s="8" t="n">
        <x:v>21</x:v>
      </x:c>
      <x:c r="H25" s="7" t="str">
        <x:v>Put the white cup in the bowl.</x:v>
      </x:c>
      <x:c r="I25" s="7" t="str">
        <x:v>P2 yellow-white striped cup A (O, UR); P3 brown cup B (C, UD); P4 white cup B (C, UD) [TARGET]</x:v>
      </x:c>
      <x:c r="J25" s="8" t="str">
        <x:v>white cup B</x:v>
      </x:c>
      <x:c r="K25" s="8" t="str">
        <x:v>upside-down</x:v>
      </x:c>
      <x:c r="L25" s="8" t="str">
        <x:v>white cup</x:v>
      </x:c>
      <x:c r="M25" s="8" t="str">
        <x:v>Same-task seen category</x:v>
      </x:c>
      <x:c r="N25" s="7" t="str">
        <x:v>Reset the target, then remove only the same-category state competitor. Keep target, other distractors, camera, and bowl fixed.</x:v>
      </x:c>
      <x:c r="O25" s="7" t="str">
        <x:v>This one-object removal is required because A/B labels are not grounded language. A prompt-only control is valid only if a stable visible descriptor is available and counterbalanced.</x:v>
      </x:c>
      <x:c r="P25" s="7"/>
    </x:row>
    <x:row r="26" ht="60" customHeight="1">
      <x:c r="A26" s="9" t="n">
        <x:v>24</x:v>
      </x:c>
      <x:c r="B26" s="9" t="n">
        <x:v>9</x:v>
      </x:c>
      <x:c r="C26" s="9" t="str">
        <x:v>1 — Canonical transfer</x:v>
      </x:c>
      <x:c r="D26" s="9" t="str">
        <x:v>Concept/compositional transfer</x:v>
      </x:c>
      <x:c r="E26" s="10" t="str">
        <x:v>Held-out state word + known category (closed)</x:v>
      </x:c>
      <x:c r="F26" s="9" t="str">
        <x:v>SR-F09</x:v>
      </x:c>
      <x:c r="G26" s="9"/>
      <x:c r="H26" s="10" t="str">
        <x:v>Move the closed brown cup into the bowl.</x:v>
      </x:c>
      <x:c r="I26" s="10" t="str">
        <x:v>P1 brown cup A (C, UR) [TARGET]; P2 brown cup B (O, UR) [STATE COMPETITOR]; P3 white cup A (O, UR); P4 yellow-white striped cup B (C, UD)</x:v>
      </x:c>
      <x:c r="J26" s="9" t="str">
        <x:v>brown cup A</x:v>
      </x:c>
      <x:c r="K26" s="9" t="str">
        <x:v>closed</x:v>
      </x:c>
      <x:c r="L26" s="9" t="str">
        <x:v>brown cup</x:v>
      </x:c>
      <x:c r="M26" s="9" t="str">
        <x:v>Same-task seen category</x:v>
      </x:c>
      <x:c r="N26" s="10" t="str">
        <x:v>Build the marked same-category discrimination scene. Save a first-frame image or filename.</x:v>
      </x:c>
      <x:c r="O26" s="10" t="str">
        <x:v>Two objects match the named category; only the state word selects the target. Target and competitor differ only on the queried state axis.</x:v>
      </x:c>
      <x:c r="P26" s="10"/>
    </x:row>
    <x:row r="27" ht="60" customHeight="1">
      <x:c r="A27" s="8" t="n">
        <x:v>25</x:v>
      </x:c>
      <x:c r="B27" s="8" t="n">
        <x:v>9</x:v>
      </x:c>
      <x:c r="C27" s="8" t="str">
        <x:v>2 — Exact-scene paraphrase</x:v>
      </x:c>
      <x:c r="D27" s="8" t="str">
        <x:v>Language robustness</x:v>
      </x:c>
      <x:c r="E27" s="7" t="str">
        <x:v>Meaning-preserving paraphrase on exact primary-transfer scene</x:v>
      </x:c>
      <x:c r="F27" s="8" t="str">
        <x:v>SR-F09</x:v>
      </x:c>
      <x:c r="G27" s="8" t="n">
        <x:v>24</x:v>
      </x:c>
      <x:c r="H27" s="7" t="str">
        <x:v>Find the closed brown cup and place it in the bowl.</x:v>
      </x:c>
      <x:c r="I27" s="7" t="str">
        <x:v>P1 brown cup A (C, UR) [TARGET]; P2 brown cup B (O, UR) [STATE COMPETITOR]; P3 white cup A (O, UR); P4 yellow-white striped cup B (C, UD)</x:v>
      </x:c>
      <x:c r="J27" s="8" t="str">
        <x:v>brown cup A</x:v>
      </x:c>
      <x:c r="K27" s="8" t="str">
        <x:v>closed</x:v>
      </x:c>
      <x:c r="L27" s="8" t="str">
        <x:v>brown cup</x:v>
      </x:c>
      <x:c r="M27" s="8" t="str">
        <x:v>Same-task seen category; exact scene as preceding row</x:v>
      </x:c>
      <x:c r="N27" s="7" t="str">
        <x:v>Reset only the moved target. Do not change any object, state, position, camera, or lighting; only the prompt wording changes.</x:v>
      </x:c>
      <x:c r="O27" s="7" t="str">
        <x:v>Compare directly with the preceding canonical transfer. This isolates wording without adding novel-object difficulty.</x:v>
      </x:c>
      <x:c r="P27" s="7"/>
    </x:row>
    <x:row r="28" ht="60" customHeight="1">
      <x:c r="A28" s="8" t="n">
        <x:v>26</x:v>
      </x:c>
      <x:c r="B28" s="8" t="n">
        <x:v>9</x:v>
      </x:c>
      <x:c r="C28" s="8" t="str">
        <x:v>3 — Matched control</x:v>
      </x:c>
      <x:c r="D28" s="8" t="str">
        <x:v>Matched manipulation control</x:v>
      </x:c>
      <x:c r="E28" s="7" t="str">
        <x:v>Category-only control after removing state competitor</x:v>
      </x:c>
      <x:c r="F28" s="8" t="str">
        <x:v>SR-F09</x:v>
      </x:c>
      <x:c r="G28" s="8" t="n">
        <x:v>24</x:v>
      </x:c>
      <x:c r="H28" s="7" t="str">
        <x:v>Move the brown cup into the bowl.</x:v>
      </x:c>
      <x:c r="I28" s="7" t="str">
        <x:v>P1 brown cup A (C, UR) [TARGET]; P3 white cup A (O, UR); P4 yellow-white striped cup B (C, UD)</x:v>
      </x:c>
      <x:c r="J28" s="8" t="str">
        <x:v>brown cup A</x:v>
      </x:c>
      <x:c r="K28" s="8" t="str">
        <x:v>closed</x:v>
      </x:c>
      <x:c r="L28" s="8" t="str">
        <x:v>brown cup</x:v>
      </x:c>
      <x:c r="M28" s="8" t="str">
        <x:v>Same-task seen category</x:v>
      </x:c>
      <x:c r="N28" s="7" t="str">
        <x:v>Reset the target, then remove only the same-category state competitor. Keep target, other distractors, camera, and bowl fixed.</x:v>
      </x:c>
      <x:c r="O28" s="7" t="str">
        <x:v>This one-object removal is required because A/B labels are not grounded language. A prompt-only control is valid only if a stable visible descriptor is available and counterbalanced.</x:v>
      </x:c>
      <x:c r="P28" s="7"/>
    </x:row>
    <x:row r="29" ht="60" customHeight="1">
      <x:c r="A29" s="9" t="n">
        <x:v>27</x:v>
      </x:c>
      <x:c r="B29" s="9" t="n">
        <x:v>10</x:v>
      </x:c>
      <x:c r="C29" s="9" t="str">
        <x:v>1 — Canonical transfer</x:v>
      </x:c>
      <x:c r="D29" s="9" t="str">
        <x:v>Concept/compositional transfer</x:v>
      </x:c>
      <x:c r="E29" s="10" t="str">
        <x:v>Seen state word in a new scene (open)</x:v>
      </x:c>
      <x:c r="F29" s="9" t="str">
        <x:v>SR-F10</x:v>
      </x:c>
      <x:c r="G29" s="9"/>
      <x:c r="H29" s="10" t="str">
        <x:v>Place the open glass spice container in the bowl.</x:v>
      </x:c>
      <x:c r="I29" s="10" t="str">
        <x:v>P1 white cup B (C, UD); P2 glass spice container B (O, UD) [TARGET]; P3 glass spice container A (C, UD) [STATE COMPETITOR]; P4 yellow-white striped cup A (O, UR)</x:v>
      </x:c>
      <x:c r="J29" s="9" t="str">
        <x:v>glass spice container B</x:v>
      </x:c>
      <x:c r="K29" s="9" t="str">
        <x:v>open</x:v>
      </x:c>
      <x:c r="L29" s="9" t="str">
        <x:v>glass spice container</x:v>
      </x:c>
      <x:c r="M29" s="9" t="str">
        <x:v>Same-task seen category</x:v>
      </x:c>
      <x:c r="N29" s="10" t="str">
        <x:v>Build the marked same-category discrimination scene. Save a first-frame image or filename.</x:v>
      </x:c>
      <x:c r="O29" s="10" t="str">
        <x:v>Two objects match the named category; only the state word selects the target. Target and competitor differ only on the queried state axis.</x:v>
      </x:c>
      <x:c r="P29" s="10"/>
    </x:row>
    <x:row r="30" ht="60" customHeight="1">
      <x:c r="A30" s="8" t="n">
        <x:v>28</x:v>
      </x:c>
      <x:c r="B30" s="8" t="n">
        <x:v>10</x:v>
      </x:c>
      <x:c r="C30" s="8" t="str">
        <x:v>2 — Exact-scene paraphrase</x:v>
      </x:c>
      <x:c r="D30" s="8" t="str">
        <x:v>Language robustness</x:v>
      </x:c>
      <x:c r="E30" s="7" t="str">
        <x:v>Meaning-preserving paraphrase on exact primary-transfer scene</x:v>
      </x:c>
      <x:c r="F30" s="8" t="str">
        <x:v>SR-F10</x:v>
      </x:c>
      <x:c r="G30" s="8" t="n">
        <x:v>27</x:v>
      </x:c>
      <x:c r="H30" s="7" t="str">
        <x:v>Find the open glass spice container and place it in the bowl.</x:v>
      </x:c>
      <x:c r="I30" s="7" t="str">
        <x:v>P1 white cup B (C, UD); P2 glass spice container B (O, UD) [TARGET]; P3 glass spice container A (C, UD) [STATE COMPETITOR]; P4 yellow-white striped cup A (O, UR)</x:v>
      </x:c>
      <x:c r="J30" s="8" t="str">
        <x:v>glass spice container B</x:v>
      </x:c>
      <x:c r="K30" s="8" t="str">
        <x:v>open</x:v>
      </x:c>
      <x:c r="L30" s="8" t="str">
        <x:v>glass spice container</x:v>
      </x:c>
      <x:c r="M30" s="8" t="str">
        <x:v>Same-task seen category; exact scene as preceding row</x:v>
      </x:c>
      <x:c r="N30" s="7" t="str">
        <x:v>Reset only the moved target. Do not change any object, state, position, camera, or lighting; only the prompt wording changes.</x:v>
      </x:c>
      <x:c r="O30" s="7" t="str">
        <x:v>Compare directly with the preceding canonical transfer. This isolates wording without adding novel-object difficulty.</x:v>
      </x:c>
      <x:c r="P30" s="7"/>
    </x:row>
    <x:row r="31" ht="60" customHeight="1">
      <x:c r="A31" s="8" t="n">
        <x:v>29</x:v>
      </x:c>
      <x:c r="B31" s="8" t="n">
        <x:v>10</x:v>
      </x:c>
      <x:c r="C31" s="8" t="str">
        <x:v>3 — Matched control</x:v>
      </x:c>
      <x:c r="D31" s="8" t="str">
        <x:v>Matched manipulation control</x:v>
      </x:c>
      <x:c r="E31" s="7" t="str">
        <x:v>Category-only control after removing state competitor</x:v>
      </x:c>
      <x:c r="F31" s="8" t="str">
        <x:v>SR-F10</x:v>
      </x:c>
      <x:c r="G31" s="8" t="n">
        <x:v>27</x:v>
      </x:c>
      <x:c r="H31" s="7" t="str">
        <x:v>Place the glass spice container in the bowl.</x:v>
      </x:c>
      <x:c r="I31" s="7" t="str">
        <x:v>P1 white cup B (C, UD); P2 glass spice container B (O, UD) [TARGET]; P4 yellow-white striped cup A (O, UR)</x:v>
      </x:c>
      <x:c r="J31" s="8" t="str">
        <x:v>glass spice container B</x:v>
      </x:c>
      <x:c r="K31" s="8" t="str">
        <x:v>open</x:v>
      </x:c>
      <x:c r="L31" s="8" t="str">
        <x:v>glass spice container</x:v>
      </x:c>
      <x:c r="M31" s="8" t="str">
        <x:v>Same-task seen category</x:v>
      </x:c>
      <x:c r="N31" s="7" t="str">
        <x:v>Reset the target, then remove only the same-category state competitor. Keep target, other distractors, camera, and bowl fixed.</x:v>
      </x:c>
      <x:c r="O31" s="7" t="str">
        <x:v>This one-object removal is required because A/B labels are not grounded language. A prompt-only control is valid only if a stable visible descriptor is available and counterbalanced.</x:v>
      </x:c>
      <x:c r="P31" s="7"/>
    </x:row>
    <x:row r="32" ht="60" customHeight="1">
      <x:c r="A32" s="9" t="n">
        <x:v>30</x:v>
      </x:c>
      <x:c r="B32" s="9" t="n">
        <x:v>11</x:v>
      </x:c>
      <x:c r="C32" s="9" t="str">
        <x:v>1 — Canonical transfer</x:v>
      </x:c>
      <x:c r="D32" s="9" t="str">
        <x:v>Concept/compositional transfer</x:v>
      </x:c>
      <x:c r="E32" s="10" t="str">
        <x:v>Held-out state word + known category (upright)</x:v>
      </x:c>
      <x:c r="F32" s="9" t="str">
        <x:v>SR-F11</x:v>
      </x:c>
      <x:c r="G32" s="9"/>
      <x:c r="H32" s="10" t="str">
        <x:v>Put the upright white cup in the bowl.</x:v>
      </x:c>
      <x:c r="I32" s="10" t="str">
        <x:v>P1 yellow-white striped cup A (O, UR); P2 brown cup B (C, UD); P3 white cup A (O, UR) [TARGET]; P4 white cup B (O, UD) [STATE COMPETITOR]</x:v>
      </x:c>
      <x:c r="J32" s="9" t="str">
        <x:v>white cup A</x:v>
      </x:c>
      <x:c r="K32" s="9" t="str">
        <x:v>upright</x:v>
      </x:c>
      <x:c r="L32" s="9" t="str">
        <x:v>white cup</x:v>
      </x:c>
      <x:c r="M32" s="9" t="str">
        <x:v>Same-task seen category</x:v>
      </x:c>
      <x:c r="N32" s="10" t="str">
        <x:v>Build the marked same-category discrimination scene. Save a first-frame image or filename.</x:v>
      </x:c>
      <x:c r="O32" s="10" t="str">
        <x:v>Two objects match the named category; only the state word selects the target. Target and competitor differ only on the queried state axis.</x:v>
      </x:c>
      <x:c r="P32" s="10"/>
    </x:row>
    <x:row r="33" ht="60" customHeight="1">
      <x:c r="A33" s="8" t="n">
        <x:v>31</x:v>
      </x:c>
      <x:c r="B33" s="8" t="n">
        <x:v>11</x:v>
      </x:c>
      <x:c r="C33" s="8" t="str">
        <x:v>2 — Exact-scene paraphrase</x:v>
      </x:c>
      <x:c r="D33" s="8" t="str">
        <x:v>Language robustness</x:v>
      </x:c>
      <x:c r="E33" s="7" t="str">
        <x:v>Meaning-preserving paraphrase on exact primary-transfer scene</x:v>
      </x:c>
      <x:c r="F33" s="8" t="str">
        <x:v>SR-F11</x:v>
      </x:c>
      <x:c r="G33" s="8" t="n">
        <x:v>30</x:v>
      </x:c>
      <x:c r="H33" s="7" t="str">
        <x:v>Find the upright white cup and place it in the bowl.</x:v>
      </x:c>
      <x:c r="I33" s="7" t="str">
        <x:v>P1 yellow-white striped cup A (O, UR); P2 brown cup B (C, UD); P3 white cup A (O, UR) [TARGET]; P4 white cup B (O, UD) [STATE COMPETITOR]</x:v>
      </x:c>
      <x:c r="J33" s="8" t="str">
        <x:v>white cup A</x:v>
      </x:c>
      <x:c r="K33" s="8" t="str">
        <x:v>upright</x:v>
      </x:c>
      <x:c r="L33" s="8" t="str">
        <x:v>white cup</x:v>
      </x:c>
      <x:c r="M33" s="8" t="str">
        <x:v>Same-task seen category; exact scene as preceding row</x:v>
      </x:c>
      <x:c r="N33" s="7" t="str">
        <x:v>Reset only the moved target. Do not change any object, state, position, camera, or lighting; only the prompt wording changes.</x:v>
      </x:c>
      <x:c r="O33" s="7" t="str">
        <x:v>Compare directly with the preceding canonical transfer. This isolates wording without adding novel-object difficulty.</x:v>
      </x:c>
      <x:c r="P33" s="7"/>
    </x:row>
    <x:row r="34" ht="60" customHeight="1">
      <x:c r="A34" s="8" t="n">
        <x:v>32</x:v>
      </x:c>
      <x:c r="B34" s="8" t="n">
        <x:v>11</x:v>
      </x:c>
      <x:c r="C34" s="8" t="str">
        <x:v>3 — Matched control</x:v>
      </x:c>
      <x:c r="D34" s="8" t="str">
        <x:v>Matched manipulation control</x:v>
      </x:c>
      <x:c r="E34" s="7" t="str">
        <x:v>Category-only control after removing state competitor</x:v>
      </x:c>
      <x:c r="F34" s="8" t="str">
        <x:v>SR-F11</x:v>
      </x:c>
      <x:c r="G34" s="8" t="n">
        <x:v>30</x:v>
      </x:c>
      <x:c r="H34" s="7" t="str">
        <x:v>Put the white cup in the bowl.</x:v>
      </x:c>
      <x:c r="I34" s="7" t="str">
        <x:v>P1 yellow-white striped cup A (O, UR); P2 brown cup B (C, UD); P3 white cup A (O, UR) [TARGET]</x:v>
      </x:c>
      <x:c r="J34" s="8" t="str">
        <x:v>white cup A</x:v>
      </x:c>
      <x:c r="K34" s="8" t="str">
        <x:v>upright</x:v>
      </x:c>
      <x:c r="L34" s="8" t="str">
        <x:v>white cup</x:v>
      </x:c>
      <x:c r="M34" s="8" t="str">
        <x:v>Same-task seen category</x:v>
      </x:c>
      <x:c r="N34" s="7" t="str">
        <x:v>Reset the target, then remove only the same-category state competitor. Keep target, other distractors, camera, and bowl fixed.</x:v>
      </x:c>
      <x:c r="O34" s="7" t="str">
        <x:v>This one-object removal is required because A/B labels are not grounded language. A prompt-only control is valid only if a stable visible descriptor is available and counterbalanced.</x:v>
      </x:c>
      <x:c r="P34" s="7"/>
    </x:row>
    <x:row r="35" ht="60" customHeight="1">
      <x:c r="A35" s="9" t="n">
        <x:v>33</x:v>
      </x:c>
      <x:c r="B35" s="9" t="n">
        <x:v>12</x:v>
      </x:c>
      <x:c r="C35" s="9" t="str">
        <x:v>1 — Canonical transfer</x:v>
      </x:c>
      <x:c r="D35" s="9" t="str">
        <x:v>Concept/compositional transfer</x:v>
      </x:c>
      <x:c r="E35" s="10" t="str">
        <x:v>Seen state word in a new scene (upside-down)</x:v>
      </x:c>
      <x:c r="F35" s="9" t="str">
        <x:v>SR-F12</x:v>
      </x:c>
      <x:c r="G35" s="9"/>
      <x:c r="H35" s="10" t="str">
        <x:v>Move the upside-down yellow-white striped cup into the bowl.</x:v>
      </x:c>
      <x:c r="I35" s="10" t="str">
        <x:v>P1 yellow-white striped cup A (C, UR) [STATE COMPETITOR]; P2 white cup A (O, UR); P3 brown cup B (C, UD); P4 yellow-white striped cup B (C, UD) [TARGET]</x:v>
      </x:c>
      <x:c r="J35" s="9" t="str">
        <x:v>yellow-white striped cup B</x:v>
      </x:c>
      <x:c r="K35" s="9" t="str">
        <x:v>upside-down</x:v>
      </x:c>
      <x:c r="L35" s="9" t="str">
        <x:v>yellow-white striped cup</x:v>
      </x:c>
      <x:c r="M35" s="9" t="str">
        <x:v>Same-task seen category</x:v>
      </x:c>
      <x:c r="N35" s="10" t="str">
        <x:v>Build the marked same-category discrimination scene. Save a first-frame image or filename.</x:v>
      </x:c>
      <x:c r="O35" s="10" t="str">
        <x:v>Two objects match the named category; only the state word selects the target. Target and competitor differ only on the queried state axis.</x:v>
      </x:c>
      <x:c r="P35" s="10"/>
    </x:row>
    <x:row r="36" ht="60" customHeight="1">
      <x:c r="A36" s="8" t="n">
        <x:v>34</x:v>
      </x:c>
      <x:c r="B36" s="8" t="n">
        <x:v>12</x:v>
      </x:c>
      <x:c r="C36" s="8" t="str">
        <x:v>2 — Exact-scene paraphrase</x:v>
      </x:c>
      <x:c r="D36" s="8" t="str">
        <x:v>Language robustness</x:v>
      </x:c>
      <x:c r="E36" s="7" t="str">
        <x:v>Meaning-preserving paraphrase on exact primary-transfer scene</x:v>
      </x:c>
      <x:c r="F36" s="8" t="str">
        <x:v>SR-F12</x:v>
      </x:c>
      <x:c r="G36" s="8" t="n">
        <x:v>33</x:v>
      </x:c>
      <x:c r="H36" s="7" t="str">
        <x:v>Find the upside-down yellow-white striped cup and place it in the bowl.</x:v>
      </x:c>
      <x:c r="I36" s="7" t="str">
        <x:v>P1 yellow-white striped cup A (C, UR) [STATE COMPETITOR]; P2 white cup A (O, UR); P3 brown cup B (C, UD); P4 yellow-white striped cup B (C, UD) [TARGET]</x:v>
      </x:c>
      <x:c r="J36" s="8" t="str">
        <x:v>yellow-white striped cup B</x:v>
      </x:c>
      <x:c r="K36" s="8" t="str">
        <x:v>upside-down</x:v>
      </x:c>
      <x:c r="L36" s="8" t="str">
        <x:v>yellow-white striped cup</x:v>
      </x:c>
      <x:c r="M36" s="8" t="str">
        <x:v>Same-task seen category; exact scene as preceding row</x:v>
      </x:c>
      <x:c r="N36" s="7" t="str">
        <x:v>Reset only the moved target. Do not change any object, state, position, camera, or lighting; only the prompt wording changes.</x:v>
      </x:c>
      <x:c r="O36" s="7" t="str">
        <x:v>Compare directly with the preceding canonical transfer. This isolates wording without adding novel-object difficulty.</x:v>
      </x:c>
      <x:c r="P36" s="7"/>
    </x:row>
    <x:row r="37" ht="60" customHeight="1">
      <x:c r="A37" s="8" t="n">
        <x:v>35</x:v>
      </x:c>
      <x:c r="B37" s="8" t="n">
        <x:v>12</x:v>
      </x:c>
      <x:c r="C37" s="8" t="str">
        <x:v>3 — Matched control</x:v>
      </x:c>
      <x:c r="D37" s="8" t="str">
        <x:v>Matched manipulation control</x:v>
      </x:c>
      <x:c r="E37" s="7" t="str">
        <x:v>Category-only control after removing state competitor</x:v>
      </x:c>
      <x:c r="F37" s="8" t="str">
        <x:v>SR-F12</x:v>
      </x:c>
      <x:c r="G37" s="8" t="n">
        <x:v>33</x:v>
      </x:c>
      <x:c r="H37" s="7" t="str">
        <x:v>Move the yellow-white striped cup into the bowl.</x:v>
      </x:c>
      <x:c r="I37" s="7" t="str">
        <x:v>P2 white cup A (O, UR); P3 brown cup B (C, UD); P4 yellow-white striped cup B (C, UD) [TARGET]</x:v>
      </x:c>
      <x:c r="J37" s="8" t="str">
        <x:v>yellow-white striped cup B</x:v>
      </x:c>
      <x:c r="K37" s="8" t="str">
        <x:v>upside-down</x:v>
      </x:c>
      <x:c r="L37" s="8" t="str">
        <x:v>yellow-white striped cup</x:v>
      </x:c>
      <x:c r="M37" s="8" t="str">
        <x:v>Same-task seen category</x:v>
      </x:c>
      <x:c r="N37" s="7" t="str">
        <x:v>Reset the target, then remove only the same-category state competitor. Keep target, other distractors, camera, and bowl fixed.</x:v>
      </x:c>
      <x:c r="O37" s="7" t="str">
        <x:v>This one-object removal is required because A/B labels are not grounded language. A prompt-only control is valid only if a stable visible descriptor is available and counterbalanced.</x:v>
      </x:c>
      <x:c r="P37" s="7"/>
    </x:row>
    <x:row r="38" ht="60" customHeight="1">
      <x:c r="A38" s="9" t="n">
        <x:v>36</x:v>
      </x:c>
      <x:c r="B38" s="9" t="n">
        <x:v>13</x:v>
      </x:c>
      <x:c r="C38" s="9" t="str">
        <x:v>1 — Canonical transfer</x:v>
      </x:c>
      <x:c r="D38" s="9" t="str">
        <x:v>Concept/compositional transfer</x:v>
      </x:c>
      <x:c r="E38" s="10" t="str">
        <x:v>Held-out state word + known category (closed)</x:v>
      </x:c>
      <x:c r="F38" s="9" t="str">
        <x:v>SR-F13</x:v>
      </x:c>
      <x:c r="G38" s="9"/>
      <x:c r="H38" s="10" t="str">
        <x:v>Place the closed glass spice container in the bowl.</x:v>
      </x:c>
      <x:c r="I38" s="10" t="str">
        <x:v>P1 glass spice container A (C, UR) [TARGET]; P2 glass spice container B (O, UR) [STATE COMPETITOR]; P3 white cup A (O, UR); P4 yellow-white striped cup B (C, UD)</x:v>
      </x:c>
      <x:c r="J38" s="9" t="str">
        <x:v>glass spice container A</x:v>
      </x:c>
      <x:c r="K38" s="9" t="str">
        <x:v>closed</x:v>
      </x:c>
      <x:c r="L38" s="9" t="str">
        <x:v>glass spice container</x:v>
      </x:c>
      <x:c r="M38" s="9" t="str">
        <x:v>Same-task seen category</x:v>
      </x:c>
      <x:c r="N38" s="10" t="str">
        <x:v>Build the marked same-category discrimination scene. Save a first-frame image or filename.</x:v>
      </x:c>
      <x:c r="O38" s="10" t="str">
        <x:v>Two objects match the named category; only the state word selects the target. Target and competitor differ only on the queried state axis.</x:v>
      </x:c>
      <x:c r="P38" s="10"/>
    </x:row>
    <x:row r="39" ht="60" customHeight="1">
      <x:c r="A39" s="8" t="n">
        <x:v>37</x:v>
      </x:c>
      <x:c r="B39" s="8" t="n">
        <x:v>13</x:v>
      </x:c>
      <x:c r="C39" s="8" t="str">
        <x:v>2 — Exact-scene paraphrase</x:v>
      </x:c>
      <x:c r="D39" s="8" t="str">
        <x:v>Language robustness</x:v>
      </x:c>
      <x:c r="E39" s="7" t="str">
        <x:v>Meaning-preserving paraphrase on exact primary-transfer scene</x:v>
      </x:c>
      <x:c r="F39" s="8" t="str">
        <x:v>SR-F13</x:v>
      </x:c>
      <x:c r="G39" s="8" t="n">
        <x:v>36</x:v>
      </x:c>
      <x:c r="H39" s="7" t="str">
        <x:v>Place the glass spice container that is not open in the bowl.</x:v>
      </x:c>
      <x:c r="I39" s="7" t="str">
        <x:v>P1 glass spice container A (C, UR) [TARGET]; P2 glass spice container B (O, UR) [STATE COMPETITOR]; P3 white cup A (O, UR); P4 yellow-white striped cup B (C, UD)</x:v>
      </x:c>
      <x:c r="J39" s="8" t="str">
        <x:v>glass spice container A</x:v>
      </x:c>
      <x:c r="K39" s="8" t="str">
        <x:v>closed</x:v>
      </x:c>
      <x:c r="L39" s="8" t="str">
        <x:v>glass spice container</x:v>
      </x:c>
      <x:c r="M39" s="8" t="str">
        <x:v>Same-task seen category; exact scene as preceding row</x:v>
      </x:c>
      <x:c r="N39" s="7" t="str">
        <x:v>Reset only the moved target. Do not change any object, state, position, camera, or lighting; only the prompt wording changes.</x:v>
      </x:c>
      <x:c r="O39" s="7" t="str">
        <x:v>Compare directly with the preceding canonical transfer. This isolates wording without adding novel-object difficulty.</x:v>
      </x:c>
      <x:c r="P39" s="7"/>
    </x:row>
    <x:row r="40" ht="60" customHeight="1">
      <x:c r="A40" s="8" t="n">
        <x:v>38</x:v>
      </x:c>
      <x:c r="B40" s="8" t="n">
        <x:v>13</x:v>
      </x:c>
      <x:c r="C40" s="8" t="str">
        <x:v>3 — Matched control</x:v>
      </x:c>
      <x:c r="D40" s="8" t="str">
        <x:v>Matched manipulation control</x:v>
      </x:c>
      <x:c r="E40" s="7" t="str">
        <x:v>Category-only control after removing state competitor</x:v>
      </x:c>
      <x:c r="F40" s="8" t="str">
        <x:v>SR-F13</x:v>
      </x:c>
      <x:c r="G40" s="8" t="n">
        <x:v>36</x:v>
      </x:c>
      <x:c r="H40" s="7" t="str">
        <x:v>Place the glass spice container in the bowl.</x:v>
      </x:c>
      <x:c r="I40" s="7" t="str">
        <x:v>P1 glass spice container A (C, UR) [TARGET]; P3 white cup A (O, UR); P4 yellow-white striped cup B (C, UD)</x:v>
      </x:c>
      <x:c r="J40" s="8" t="str">
        <x:v>glass spice container A</x:v>
      </x:c>
      <x:c r="K40" s="8" t="str">
        <x:v>closed</x:v>
      </x:c>
      <x:c r="L40" s="8" t="str">
        <x:v>glass spice container</x:v>
      </x:c>
      <x:c r="M40" s="8" t="str">
        <x:v>Same-task seen category</x:v>
      </x:c>
      <x:c r="N40" s="7" t="str">
        <x:v>Reset the target, then remove only the same-category state competitor. Keep target, other distractors, camera, and bowl fixed.</x:v>
      </x:c>
      <x:c r="O40" s="7" t="str">
        <x:v>This one-object removal is required because A/B labels are not grounded language. A prompt-only control is valid only if a stable visible descriptor is available and counterbalanced.</x:v>
      </x:c>
      <x:c r="P40" s="7"/>
    </x:row>
    <x:row r="41" ht="60" customHeight="1">
      <x:c r="A41" s="9" t="n">
        <x:v>39</x:v>
      </x:c>
      <x:c r="B41" s="9" t="n">
        <x:v>14</x:v>
      </x:c>
      <x:c r="C41" s="9" t="str">
        <x:v>1 — Canonical transfer</x:v>
      </x:c>
      <x:c r="D41" s="9" t="str">
        <x:v>Concept/compositional transfer</x:v>
      </x:c>
      <x:c r="E41" s="10" t="str">
        <x:v>Seen state word in a new scene (open)</x:v>
      </x:c>
      <x:c r="F41" s="9" t="str">
        <x:v>SR-F14</x:v>
      </x:c>
      <x:c r="G41" s="9"/>
      <x:c r="H41" s="10" t="str">
        <x:v>Put the open white cup in the bowl.</x:v>
      </x:c>
      <x:c r="I41" s="10" t="str">
        <x:v>P1 yellow-white striped cup B (C, UD); P2 white cup B (O, UD) [TARGET]; P3 white cup A (C, UD) [STATE COMPETITOR]; P4 brown cup A (O, UR)</x:v>
      </x:c>
      <x:c r="J41" s="9" t="str">
        <x:v>white cup B</x:v>
      </x:c>
      <x:c r="K41" s="9" t="str">
        <x:v>open</x:v>
      </x:c>
      <x:c r="L41" s="9" t="str">
        <x:v>white cup</x:v>
      </x:c>
      <x:c r="M41" s="9" t="str">
        <x:v>Same-task seen category</x:v>
      </x:c>
      <x:c r="N41" s="10" t="str">
        <x:v>Build the marked same-category discrimination scene. Save a first-frame image or filename.</x:v>
      </x:c>
      <x:c r="O41" s="10" t="str">
        <x:v>Two objects match the named category; only the state word selects the target. Target and competitor differ only on the queried state axis.</x:v>
      </x:c>
      <x:c r="P41" s="10"/>
    </x:row>
    <x:row r="42" ht="60" customHeight="1">
      <x:c r="A42" s="8" t="n">
        <x:v>40</x:v>
      </x:c>
      <x:c r="B42" s="8" t="n">
        <x:v>14</x:v>
      </x:c>
      <x:c r="C42" s="8" t="str">
        <x:v>2 — Exact-scene paraphrase</x:v>
      </x:c>
      <x:c r="D42" s="8" t="str">
        <x:v>Language robustness</x:v>
      </x:c>
      <x:c r="E42" s="7" t="str">
        <x:v>Meaning-preserving paraphrase on exact primary-transfer scene</x:v>
      </x:c>
      <x:c r="F42" s="8" t="str">
        <x:v>SR-F14</x:v>
      </x:c>
      <x:c r="G42" s="8" t="n">
        <x:v>39</x:v>
      </x:c>
      <x:c r="H42" s="7" t="str">
        <x:v>Place the white cup that is not closed in the bowl.</x:v>
      </x:c>
      <x:c r="I42" s="7" t="str">
        <x:v>P1 yellow-white striped cup B (C, UD); P2 white cup B (O, UD) [TARGET]; P3 white cup A (C, UD) [STATE COMPETITOR]; P4 brown cup A (O, UR)</x:v>
      </x:c>
      <x:c r="J42" s="8" t="str">
        <x:v>white cup B</x:v>
      </x:c>
      <x:c r="K42" s="8" t="str">
        <x:v>open</x:v>
      </x:c>
      <x:c r="L42" s="8" t="str">
        <x:v>white cup</x:v>
      </x:c>
      <x:c r="M42" s="8" t="str">
        <x:v>Same-task seen category; exact scene as preceding row</x:v>
      </x:c>
      <x:c r="N42" s="7" t="str">
        <x:v>Reset only the moved target. Do not change any object, state, position, camera, or lighting; only the prompt wording changes.</x:v>
      </x:c>
      <x:c r="O42" s="7" t="str">
        <x:v>Compare directly with the preceding canonical transfer. This isolates wording without adding novel-object difficulty.</x:v>
      </x:c>
      <x:c r="P42" s="7"/>
    </x:row>
    <x:row r="43" ht="60" customHeight="1">
      <x:c r="A43" s="8" t="n">
        <x:v>41</x:v>
      </x:c>
      <x:c r="B43" s="8" t="n">
        <x:v>14</x:v>
      </x:c>
      <x:c r="C43" s="8" t="str">
        <x:v>3 — Matched control</x:v>
      </x:c>
      <x:c r="D43" s="8" t="str">
        <x:v>Matched manipulation control</x:v>
      </x:c>
      <x:c r="E43" s="7" t="str">
        <x:v>Category-only control after removing state competitor</x:v>
      </x:c>
      <x:c r="F43" s="8" t="str">
        <x:v>SR-F14</x:v>
      </x:c>
      <x:c r="G43" s="8" t="n">
        <x:v>39</x:v>
      </x:c>
      <x:c r="H43" s="7" t="str">
        <x:v>Put the white cup in the bowl.</x:v>
      </x:c>
      <x:c r="I43" s="7" t="str">
        <x:v>P1 yellow-white striped cup B (C, UD); P2 white cup B (O, UD) [TARGET]; P4 brown cup A (O, UR)</x:v>
      </x:c>
      <x:c r="J43" s="8" t="str">
        <x:v>white cup B</x:v>
      </x:c>
      <x:c r="K43" s="8" t="str">
        <x:v>open</x:v>
      </x:c>
      <x:c r="L43" s="8" t="str">
        <x:v>white cup</x:v>
      </x:c>
      <x:c r="M43" s="8" t="str">
        <x:v>Same-task seen category</x:v>
      </x:c>
      <x:c r="N43" s="7" t="str">
        <x:v>Reset the target, then remove only the same-category state competitor. Keep target, other distractors, camera, and bowl fixed.</x:v>
      </x:c>
      <x:c r="O43" s="7" t="str">
        <x:v>This one-object removal is required because A/B labels are not grounded language. A prompt-only control is valid only if a stable visible descriptor is available and counterbalanced.</x:v>
      </x:c>
      <x:c r="P43" s="7"/>
    </x:row>
    <x:row r="44" ht="60" customHeight="1">
      <x:c r="A44" s="9" t="n">
        <x:v>42</x:v>
      </x:c>
      <x:c r="B44" s="9" t="n">
        <x:v>15</x:v>
      </x:c>
      <x:c r="C44" s="9" t="str">
        <x:v>1 — Canonical transfer</x:v>
      </x:c>
      <x:c r="D44" s="9" t="str">
        <x:v>Concept/compositional transfer</x:v>
      </x:c>
      <x:c r="E44" s="10" t="str">
        <x:v>Held-out state word + known category (upright)</x:v>
      </x:c>
      <x:c r="F44" s="9" t="str">
        <x:v>SR-F15</x:v>
      </x:c>
      <x:c r="G44" s="9"/>
      <x:c r="H44" s="10" t="str">
        <x:v>Move the upright yellow-white striped cup into the bowl.</x:v>
      </x:c>
      <x:c r="I44" s="10" t="str">
        <x:v>P1 white cup A (O, UR); P2 brown cup B (C, UD); P3 yellow-white striped cup A (O, UR) [TARGET]; P4 yellow-white striped cup B (O, UD) [STATE COMPETITOR]</x:v>
      </x:c>
      <x:c r="J44" s="9" t="str">
        <x:v>yellow-white striped cup A</x:v>
      </x:c>
      <x:c r="K44" s="9" t="str">
        <x:v>upright</x:v>
      </x:c>
      <x:c r="L44" s="9" t="str">
        <x:v>yellow-white striped cup</x:v>
      </x:c>
      <x:c r="M44" s="9" t="str">
        <x:v>Same-task seen category</x:v>
      </x:c>
      <x:c r="N44" s="10" t="str">
        <x:v>Build the marked same-category discrimination scene. Save a first-frame image or filename.</x:v>
      </x:c>
      <x:c r="O44" s="10" t="str">
        <x:v>Two objects match the named category; only the state word selects the target. Target and competitor differ only on the queried state axis.</x:v>
      </x:c>
      <x:c r="P44" s="10"/>
    </x:row>
    <x:row r="45" ht="60" customHeight="1">
      <x:c r="A45" s="8" t="n">
        <x:v>43</x:v>
      </x:c>
      <x:c r="B45" s="8" t="n">
        <x:v>15</x:v>
      </x:c>
      <x:c r="C45" s="8" t="str">
        <x:v>2 — Exact-scene paraphrase</x:v>
      </x:c>
      <x:c r="D45" s="8" t="str">
        <x:v>Language robustness</x:v>
      </x:c>
      <x:c r="E45" s="7" t="str">
        <x:v>Meaning-preserving paraphrase on exact primary-transfer scene</x:v>
      </x:c>
      <x:c r="F45" s="8" t="str">
        <x:v>SR-F15</x:v>
      </x:c>
      <x:c r="G45" s="8" t="n">
        <x:v>42</x:v>
      </x:c>
      <x:c r="H45" s="7" t="str">
        <x:v>Place the yellow-white striped cup that is not overturned in the bowl.</x:v>
      </x:c>
      <x:c r="I45" s="7" t="str">
        <x:v>P1 white cup A (O, UR); P2 brown cup B (C, UD); P3 yellow-white striped cup A (O, UR) [TARGET]; P4 yellow-white striped cup B (O, UD) [STATE COMPETITOR]</x:v>
      </x:c>
      <x:c r="J45" s="8" t="str">
        <x:v>yellow-white striped cup A</x:v>
      </x:c>
      <x:c r="K45" s="8" t="str">
        <x:v>upright</x:v>
      </x:c>
      <x:c r="L45" s="8" t="str">
        <x:v>yellow-white striped cup</x:v>
      </x:c>
      <x:c r="M45" s="8" t="str">
        <x:v>Same-task seen category; exact scene as preceding row</x:v>
      </x:c>
      <x:c r="N45" s="7" t="str">
        <x:v>Reset only the moved target. Do not change any object, state, position, camera, or lighting; only the prompt wording changes.</x:v>
      </x:c>
      <x:c r="O45" s="7" t="str">
        <x:v>Compare directly with the preceding canonical transfer. This isolates wording without adding novel-object difficulty.</x:v>
      </x:c>
      <x:c r="P45" s="7"/>
    </x:row>
    <x:row r="46" ht="60" customHeight="1">
      <x:c r="A46" s="8" t="n">
        <x:v>44</x:v>
      </x:c>
      <x:c r="B46" s="8" t="n">
        <x:v>15</x:v>
      </x:c>
      <x:c r="C46" s="8" t="str">
        <x:v>3 — Matched control</x:v>
      </x:c>
      <x:c r="D46" s="8" t="str">
        <x:v>Matched manipulation control</x:v>
      </x:c>
      <x:c r="E46" s="7" t="str">
        <x:v>Category-only control after removing state competitor</x:v>
      </x:c>
      <x:c r="F46" s="8" t="str">
        <x:v>SR-F15</x:v>
      </x:c>
      <x:c r="G46" s="8" t="n">
        <x:v>42</x:v>
      </x:c>
      <x:c r="H46" s="7" t="str">
        <x:v>Move the yellow-white striped cup into the bowl.</x:v>
      </x:c>
      <x:c r="I46" s="7" t="str">
        <x:v>P1 white cup A (O, UR); P2 brown cup B (C, UD); P3 yellow-white striped cup A (O, UR) [TARGET]</x:v>
      </x:c>
      <x:c r="J46" s="8" t="str">
        <x:v>yellow-white striped cup A</x:v>
      </x:c>
      <x:c r="K46" s="8" t="str">
        <x:v>upright</x:v>
      </x:c>
      <x:c r="L46" s="8" t="str">
        <x:v>yellow-white striped cup</x:v>
      </x:c>
      <x:c r="M46" s="8" t="str">
        <x:v>Same-task seen category</x:v>
      </x:c>
      <x:c r="N46" s="7" t="str">
        <x:v>Reset the target, then remove only the same-category state competitor. Keep target, other distractors, camera, and bowl fixed.</x:v>
      </x:c>
      <x:c r="O46" s="7" t="str">
        <x:v>This one-object removal is required because A/B labels are not grounded language. A prompt-only control is valid only if a stable visible descriptor is available and counterbalanced.</x:v>
      </x:c>
      <x:c r="P46" s="7"/>
    </x:row>
    <x:row r="47" ht="60" customHeight="1">
      <x:c r="A47" s="9" t="n">
        <x:v>45</x:v>
      </x:c>
      <x:c r="B47" s="9" t="n">
        <x:v>16</x:v>
      </x:c>
      <x:c r="C47" s="9" t="str">
        <x:v>1 — Canonical transfer</x:v>
      </x:c>
      <x:c r="D47" s="9" t="str">
        <x:v>Concept/compositional transfer</x:v>
      </x:c>
      <x:c r="E47" s="10" t="str">
        <x:v>Seen state word in a new scene (upside-down)</x:v>
      </x:c>
      <x:c r="F47" s="9" t="str">
        <x:v>SR-F16</x:v>
      </x:c>
      <x:c r="G47" s="9"/>
      <x:c r="H47" s="10" t="str">
        <x:v>Place the upside-down brown cup in the bowl.</x:v>
      </x:c>
      <x:c r="I47" s="10" t="str">
        <x:v>P1 brown cup A (C, UR) [STATE COMPETITOR]; P2 white cup A (O, UR); P3 yellow-white striped cup B (C, UD); P4 brown cup B (C, UD) [TARGET]</x:v>
      </x:c>
      <x:c r="J47" s="9" t="str">
        <x:v>brown cup B</x:v>
      </x:c>
      <x:c r="K47" s="9" t="str">
        <x:v>upside-down</x:v>
      </x:c>
      <x:c r="L47" s="9" t="str">
        <x:v>brown cup</x:v>
      </x:c>
      <x:c r="M47" s="9" t="str">
        <x:v>Same-task seen category</x:v>
      </x:c>
      <x:c r="N47" s="10" t="str">
        <x:v>Build the marked same-category discrimination scene. Save a first-frame image or filename.</x:v>
      </x:c>
      <x:c r="O47" s="10" t="str">
        <x:v>Two objects match the named category; only the state word selects the target. Target and competitor differ only on the queried state axis.</x:v>
      </x:c>
      <x:c r="P47" s="10"/>
    </x:row>
    <x:row r="48" ht="60" customHeight="1">
      <x:c r="A48" s="8" t="n">
        <x:v>46</x:v>
      </x:c>
      <x:c r="B48" s="8" t="n">
        <x:v>16</x:v>
      </x:c>
      <x:c r="C48" s="8" t="str">
        <x:v>2 — Exact-scene paraphrase</x:v>
      </x:c>
      <x:c r="D48" s="8" t="str">
        <x:v>Language robustness</x:v>
      </x:c>
      <x:c r="E48" s="7" t="str">
        <x:v>Meaning-preserving paraphrase on exact primary-transfer scene</x:v>
      </x:c>
      <x:c r="F48" s="8" t="str">
        <x:v>SR-F16</x:v>
      </x:c>
      <x:c r="G48" s="8" t="n">
        <x:v>45</x:v>
      </x:c>
      <x:c r="H48" s="7" t="str">
        <x:v>Place the overturned brown cup in the bowl.</x:v>
      </x:c>
      <x:c r="I48" s="7" t="str">
        <x:v>P1 brown cup A (C, UR) [STATE COMPETITOR]; P2 white cup A (O, UR); P3 yellow-white striped cup B (C, UD); P4 brown cup B (C, UD) [TARGET]</x:v>
      </x:c>
      <x:c r="J48" s="8" t="str">
        <x:v>brown cup B</x:v>
      </x:c>
      <x:c r="K48" s="8" t="str">
        <x:v>upside-down</x:v>
      </x:c>
      <x:c r="L48" s="8" t="str">
        <x:v>brown cup</x:v>
      </x:c>
      <x:c r="M48" s="8" t="str">
        <x:v>Same-task seen category; exact scene as preceding row</x:v>
      </x:c>
      <x:c r="N48" s="7" t="str">
        <x:v>Reset only the moved target. Do not change any object, state, position, camera, or lighting; only the prompt wording changes.</x:v>
      </x:c>
      <x:c r="O48" s="7" t="str">
        <x:v>Compare directly with the preceding canonical transfer. This isolates wording without adding novel-object difficulty.</x:v>
      </x:c>
      <x:c r="P48" s="7"/>
    </x:row>
    <x:row r="49" ht="60" customHeight="1">
      <x:c r="A49" s="8" t="n">
        <x:v>47</x:v>
      </x:c>
      <x:c r="B49" s="8" t="n">
        <x:v>16</x:v>
      </x:c>
      <x:c r="C49" s="8" t="str">
        <x:v>3 — Matched control</x:v>
      </x:c>
      <x:c r="D49" s="8" t="str">
        <x:v>Matched manipulation control</x:v>
      </x:c>
      <x:c r="E49" s="7" t="str">
        <x:v>Category-only control after removing state competitor</x:v>
      </x:c>
      <x:c r="F49" s="8" t="str">
        <x:v>SR-F16</x:v>
      </x:c>
      <x:c r="G49" s="8" t="n">
        <x:v>45</x:v>
      </x:c>
      <x:c r="H49" s="7" t="str">
        <x:v>Place the brown cup in the bowl.</x:v>
      </x:c>
      <x:c r="I49" s="7" t="str">
        <x:v>P2 white cup A (O, UR); P3 yellow-white striped cup B (C, UD); P4 brown cup B (C, UD) [TARGET]</x:v>
      </x:c>
      <x:c r="J49" s="8" t="str">
        <x:v>brown cup B</x:v>
      </x:c>
      <x:c r="K49" s="8" t="str">
        <x:v>upside-down</x:v>
      </x:c>
      <x:c r="L49" s="8" t="str">
        <x:v>brown cup</x:v>
      </x:c>
      <x:c r="M49" s="8" t="str">
        <x:v>Same-task seen category</x:v>
      </x:c>
      <x:c r="N49" s="7" t="str">
        <x:v>Reset the target, then remove only the same-category state competitor. Keep target, other distractors, camera, and bowl fixed.</x:v>
      </x:c>
      <x:c r="O49" s="7" t="str">
        <x:v>This one-object removal is required because A/B labels are not grounded language. A prompt-only control is valid only if a stable visible descriptor is available and counterbalanced.</x:v>
      </x:c>
      <x:c r="P49" s="7"/>
    </x:row>
    <x:row r="50" ht="60" customHeight="1">
      <x:c r="A50" s="9" t="n">
        <x:v>48</x:v>
      </x:c>
      <x:c r="B50" s="9" t="n">
        <x:v>17</x:v>
      </x:c>
      <x:c r="C50" s="9" t="str">
        <x:v>1 — Canonical transfer</x:v>
      </x:c>
      <x:c r="D50" s="9" t="str">
        <x:v>Concept/compositional transfer</x:v>
      </x:c>
      <x:c r="E50" s="10" t="str">
        <x:v>Held-out state word + known category (closed)</x:v>
      </x:c>
      <x:c r="F50" s="9" t="str">
        <x:v>SR-F17</x:v>
      </x:c>
      <x:c r="G50" s="9"/>
      <x:c r="H50" s="10" t="str">
        <x:v>Put the closed white cup in the bowl.</x:v>
      </x:c>
      <x:c r="I50" s="10" t="str">
        <x:v>P1 white cup A (C, UR) [TARGET]; P2 white cup B (O, UR) [STATE COMPETITOR]; P3 yellow-white striped cup A (O, UR); P4 brown cup B (C, UD)</x:v>
      </x:c>
      <x:c r="J50" s="9" t="str">
        <x:v>white cup A</x:v>
      </x:c>
      <x:c r="K50" s="9" t="str">
        <x:v>closed</x:v>
      </x:c>
      <x:c r="L50" s="9" t="str">
        <x:v>white cup</x:v>
      </x:c>
      <x:c r="M50" s="9" t="str">
        <x:v>Same-task seen category</x:v>
      </x:c>
      <x:c r="N50" s="10" t="str">
        <x:v>Build the marked same-category discrimination scene. Save a first-frame image or filename.</x:v>
      </x:c>
      <x:c r="O50" s="10" t="str">
        <x:v>Two objects match the named category; only the state word selects the target. Target and competitor differ only on the queried state axis.</x:v>
      </x:c>
      <x:c r="P50" s="10"/>
    </x:row>
    <x:row r="51" ht="60" customHeight="1">
      <x:c r="A51" s="8" t="n">
        <x:v>49</x:v>
      </x:c>
      <x:c r="B51" s="8" t="n">
        <x:v>17</x:v>
      </x:c>
      <x:c r="C51" s="8" t="str">
        <x:v>2 — Exact-scene paraphrase</x:v>
      </x:c>
      <x:c r="D51" s="8" t="str">
        <x:v>Language robustness</x:v>
      </x:c>
      <x:c r="E51" s="7" t="str">
        <x:v>Meaning-preserving paraphrase on exact primary-transfer scene</x:v>
      </x:c>
      <x:c r="F51" s="8" t="str">
        <x:v>SR-F17</x:v>
      </x:c>
      <x:c r="G51" s="8" t="n">
        <x:v>48</x:v>
      </x:c>
      <x:c r="H51" s="7" t="str">
        <x:v>Move the closed white cup into the bowl.</x:v>
      </x:c>
      <x:c r="I51" s="7" t="str">
        <x:v>P1 white cup A (C, UR) [TARGET]; P2 white cup B (O, UR) [STATE COMPETITOR]; P3 yellow-white striped cup A (O, UR); P4 brown cup B (C, UD)</x:v>
      </x:c>
      <x:c r="J51" s="8" t="str">
        <x:v>white cup A</x:v>
      </x:c>
      <x:c r="K51" s="8" t="str">
        <x:v>closed</x:v>
      </x:c>
      <x:c r="L51" s="8" t="str">
        <x:v>white cup</x:v>
      </x:c>
      <x:c r="M51" s="8" t="str">
        <x:v>Same-task seen category; exact scene as preceding row</x:v>
      </x:c>
      <x:c r="N51" s="7" t="str">
        <x:v>Reset only the moved target. Do not change any object, state, position, camera, or lighting; only the prompt wording changes.</x:v>
      </x:c>
      <x:c r="O51" s="7" t="str">
        <x:v>Compare directly with the preceding canonical transfer. This isolates wording without adding novel-object difficulty.</x:v>
      </x:c>
      <x:c r="P51" s="7"/>
    </x:row>
    <x:row r="52" ht="60" customHeight="1">
      <x:c r="A52" s="8" t="n">
        <x:v>50</x:v>
      </x:c>
      <x:c r="B52" s="8" t="n">
        <x:v>17</x:v>
      </x:c>
      <x:c r="C52" s="8" t="str">
        <x:v>3 — Matched control</x:v>
      </x:c>
      <x:c r="D52" s="8" t="str">
        <x:v>Matched manipulation control</x:v>
      </x:c>
      <x:c r="E52" s="7" t="str">
        <x:v>Category-only control after removing state competitor</x:v>
      </x:c>
      <x:c r="F52" s="8" t="str">
        <x:v>SR-F17</x:v>
      </x:c>
      <x:c r="G52" s="8" t="n">
        <x:v>48</x:v>
      </x:c>
      <x:c r="H52" s="7" t="str">
        <x:v>Put the white cup in the bowl.</x:v>
      </x:c>
      <x:c r="I52" s="7" t="str">
        <x:v>P1 white cup A (C, UR) [TARGET]; P3 yellow-white striped cup A (O, UR); P4 brown cup B (C, UD)</x:v>
      </x:c>
      <x:c r="J52" s="8" t="str">
        <x:v>white cup A</x:v>
      </x:c>
      <x:c r="K52" s="8" t="str">
        <x:v>closed</x:v>
      </x:c>
      <x:c r="L52" s="8" t="str">
        <x:v>white cup</x:v>
      </x:c>
      <x:c r="M52" s="8" t="str">
        <x:v>Same-task seen category</x:v>
      </x:c>
      <x:c r="N52" s="7" t="str">
        <x:v>Reset the target, then remove only the same-category state competitor. Keep target, other distractors, camera, and bowl fixed.</x:v>
      </x:c>
      <x:c r="O52" s="7" t="str">
        <x:v>This one-object removal is required because A/B labels are not grounded language. A prompt-only control is valid only if a stable visible descriptor is available and counterbalanced.</x:v>
      </x:c>
      <x:c r="P52" s="7"/>
    </x:row>
    <x:row r="53" ht="60" customHeight="1">
      <x:c r="A53" s="9" t="n">
        <x:v>51</x:v>
      </x:c>
      <x:c r="B53" s="9" t="n">
        <x:v>18</x:v>
      </x:c>
      <x:c r="C53" s="9" t="str">
        <x:v>1 — Canonical transfer</x:v>
      </x:c>
      <x:c r="D53" s="9" t="str">
        <x:v>Concept/compositional transfer</x:v>
      </x:c>
      <x:c r="E53" s="10" t="str">
        <x:v>Seen state word in a new scene (open)</x:v>
      </x:c>
      <x:c r="F53" s="9" t="str">
        <x:v>SR-F18</x:v>
      </x:c>
      <x:c r="G53" s="9"/>
      <x:c r="H53" s="10" t="str">
        <x:v>Move the open yellow-white striped cup into the bowl.</x:v>
      </x:c>
      <x:c r="I53" s="10" t="str">
        <x:v>P1 white cup B (C, UD); P2 yellow-white striped cup B (O, UD) [TARGET]; P3 yellow-white striped cup A (C, UD) [STATE COMPETITOR]; P4 brown cup A (O, UR)</x:v>
      </x:c>
      <x:c r="J53" s="9" t="str">
        <x:v>yellow-white striped cup B</x:v>
      </x:c>
      <x:c r="K53" s="9" t="str">
        <x:v>open</x:v>
      </x:c>
      <x:c r="L53" s="9" t="str">
        <x:v>yellow-white striped cup</x:v>
      </x:c>
      <x:c r="M53" s="9" t="str">
        <x:v>Same-task seen category</x:v>
      </x:c>
      <x:c r="N53" s="10" t="str">
        <x:v>Build the marked same-category discrimination scene. Save a first-frame image or filename.</x:v>
      </x:c>
      <x:c r="O53" s="10" t="str">
        <x:v>Two objects match the named category; only the state word selects the target. Target and competitor differ only on the queried state axis.</x:v>
      </x:c>
      <x:c r="P53" s="10"/>
    </x:row>
    <x:row r="54" ht="60" customHeight="1">
      <x:c r="A54" s="8" t="n">
        <x:v>52</x:v>
      </x:c>
      <x:c r="B54" s="8" t="n">
        <x:v>18</x:v>
      </x:c>
      <x:c r="C54" s="8" t="str">
        <x:v>2 — Exact-scene paraphrase</x:v>
      </x:c>
      <x:c r="D54" s="8" t="str">
        <x:v>Language robustness</x:v>
      </x:c>
      <x:c r="E54" s="7" t="str">
        <x:v>Meaning-preserving paraphrase on exact primary-transfer scene</x:v>
      </x:c>
      <x:c r="F54" s="8" t="str">
        <x:v>SR-F18</x:v>
      </x:c>
      <x:c r="G54" s="8" t="n">
        <x:v>51</x:v>
      </x:c>
      <x:c r="H54" s="7" t="str">
        <x:v>Move the open yellow-white striped cup into the bowl.</x:v>
      </x:c>
      <x:c r="I54" s="7" t="str">
        <x:v>P1 white cup B (C, UD); P2 yellow-white striped cup B (O, UD) [TARGET]; P3 yellow-white striped cup A (C, UD) [STATE COMPETITOR]; P4 brown cup A (O, UR)</x:v>
      </x:c>
      <x:c r="J54" s="8" t="str">
        <x:v>yellow-white striped cup B</x:v>
      </x:c>
      <x:c r="K54" s="8" t="str">
        <x:v>open</x:v>
      </x:c>
      <x:c r="L54" s="8" t="str">
        <x:v>yellow-white striped cup</x:v>
      </x:c>
      <x:c r="M54" s="8" t="str">
        <x:v>Same-task seen category; exact scene as preceding row</x:v>
      </x:c>
      <x:c r="N54" s="7" t="str">
        <x:v>Reset only the moved target. Do not change any object, state, position, camera, or lighting; only the prompt wording changes.</x:v>
      </x:c>
      <x:c r="O54" s="7" t="str">
        <x:v>Compare directly with the preceding canonical transfer. This isolates wording without adding novel-object difficulty.</x:v>
      </x:c>
      <x:c r="P54" s="7"/>
    </x:row>
    <x:row r="55" ht="60" customHeight="1">
      <x:c r="A55" s="8" t="n">
        <x:v>53</x:v>
      </x:c>
      <x:c r="B55" s="8" t="n">
        <x:v>18</x:v>
      </x:c>
      <x:c r="C55" s="8" t="str">
        <x:v>3 — Matched control</x:v>
      </x:c>
      <x:c r="D55" s="8" t="str">
        <x:v>Matched manipulation control</x:v>
      </x:c>
      <x:c r="E55" s="7" t="str">
        <x:v>Category-only control after removing state competitor</x:v>
      </x:c>
      <x:c r="F55" s="8" t="str">
        <x:v>SR-F18</x:v>
      </x:c>
      <x:c r="G55" s="8" t="n">
        <x:v>51</x:v>
      </x:c>
      <x:c r="H55" s="7" t="str">
        <x:v>Move the yellow-white striped cup into the bowl.</x:v>
      </x:c>
      <x:c r="I55" s="7" t="str">
        <x:v>P1 white cup B (C, UD); P2 yellow-white striped cup B (O, UD) [TARGET]; P4 brown cup A (O, UR)</x:v>
      </x:c>
      <x:c r="J55" s="8" t="str">
        <x:v>yellow-white striped cup B</x:v>
      </x:c>
      <x:c r="K55" s="8" t="str">
        <x:v>open</x:v>
      </x:c>
      <x:c r="L55" s="8" t="str">
        <x:v>yellow-white striped cup</x:v>
      </x:c>
      <x:c r="M55" s="8" t="str">
        <x:v>Same-task seen category</x:v>
      </x:c>
      <x:c r="N55" s="7" t="str">
        <x:v>Reset the target, then remove only the same-category state competitor. Keep target, other distractors, camera, and bowl fixed.</x:v>
      </x:c>
      <x:c r="O55" s="7" t="str">
        <x:v>This one-object removal is required because A/B labels are not grounded language. A prompt-only control is valid only if a stable visible descriptor is available and counterbalanced.</x:v>
      </x:c>
      <x:c r="P55" s="7"/>
    </x:row>
    <x:row r="56" ht="60" customHeight="1">
      <x:c r="A56" s="9" t="n">
        <x:v>54</x:v>
      </x:c>
      <x:c r="B56" s="9" t="n">
        <x:v>19</x:v>
      </x:c>
      <x:c r="C56" s="9" t="str">
        <x:v>1 — Canonical transfer</x:v>
      </x:c>
      <x:c r="D56" s="9" t="str">
        <x:v>Concept/compositional transfer</x:v>
      </x:c>
      <x:c r="E56" s="10" t="str">
        <x:v>Held-out state word + known category (upright)</x:v>
      </x:c>
      <x:c r="F56" s="9" t="str">
        <x:v>SR-F19</x:v>
      </x:c>
      <x:c r="G56" s="9"/>
      <x:c r="H56" s="10" t="str">
        <x:v>Place the upright brown cup in the bowl.</x:v>
      </x:c>
      <x:c r="I56" s="10" t="str">
        <x:v>P1 white cup A (O, UR); P2 yellow-white striped cup B (C, UD); P3 brown cup A (O, UR) [TARGET]; P4 brown cup B (O, UD) [STATE COMPETITOR]</x:v>
      </x:c>
      <x:c r="J56" s="9" t="str">
        <x:v>brown cup A</x:v>
      </x:c>
      <x:c r="K56" s="9" t="str">
        <x:v>upright</x:v>
      </x:c>
      <x:c r="L56" s="9" t="str">
        <x:v>brown cup</x:v>
      </x:c>
      <x:c r="M56" s="9" t="str">
        <x:v>Same-task seen category</x:v>
      </x:c>
      <x:c r="N56" s="10" t="str">
        <x:v>Build the marked same-category discrimination scene. Save a first-frame image or filename.</x:v>
      </x:c>
      <x:c r="O56" s="10" t="str">
        <x:v>Two objects match the named category; only the state word selects the target. Target and competitor differ only on the queried state axis.</x:v>
      </x:c>
      <x:c r="P56" s="10"/>
    </x:row>
    <x:row r="57" ht="60" customHeight="1">
      <x:c r="A57" s="8" t="n">
        <x:v>55</x:v>
      </x:c>
      <x:c r="B57" s="8" t="n">
        <x:v>19</x:v>
      </x:c>
      <x:c r="C57" s="8" t="str">
        <x:v>2 — Exact-scene paraphrase</x:v>
      </x:c>
      <x:c r="D57" s="8" t="str">
        <x:v>Language robustness</x:v>
      </x:c>
      <x:c r="E57" s="7" t="str">
        <x:v>Meaning-preserving paraphrase on exact primary-transfer scene</x:v>
      </x:c>
      <x:c r="F57" s="8" t="str">
        <x:v>SR-F19</x:v>
      </x:c>
      <x:c r="G57" s="8" t="n">
        <x:v>54</x:v>
      </x:c>
      <x:c r="H57" s="7" t="str">
        <x:v>Move the upright brown cup into the bowl.</x:v>
      </x:c>
      <x:c r="I57" s="7" t="str">
        <x:v>P1 white cup A (O, UR); P2 yellow-white striped cup B (C, UD); P3 brown cup A (O, UR) [TARGET]; P4 brown cup B (O, UD) [STATE COMPETITOR]</x:v>
      </x:c>
      <x:c r="J57" s="8" t="str">
        <x:v>brown cup A</x:v>
      </x:c>
      <x:c r="K57" s="8" t="str">
        <x:v>upright</x:v>
      </x:c>
      <x:c r="L57" s="8" t="str">
        <x:v>brown cup</x:v>
      </x:c>
      <x:c r="M57" s="8" t="str">
        <x:v>Same-task seen category; exact scene as preceding row</x:v>
      </x:c>
      <x:c r="N57" s="7" t="str">
        <x:v>Reset only the moved target. Do not change any object, state, position, camera, or lighting; only the prompt wording changes.</x:v>
      </x:c>
      <x:c r="O57" s="7" t="str">
        <x:v>Compare directly with the preceding canonical transfer. This isolates wording without adding novel-object difficulty.</x:v>
      </x:c>
      <x:c r="P57" s="7"/>
    </x:row>
    <x:row r="58" ht="60" customHeight="1">
      <x:c r="A58" s="8" t="n">
        <x:v>56</x:v>
      </x:c>
      <x:c r="B58" s="8" t="n">
        <x:v>19</x:v>
      </x:c>
      <x:c r="C58" s="8" t="str">
        <x:v>3 — Matched control</x:v>
      </x:c>
      <x:c r="D58" s="8" t="str">
        <x:v>Matched manipulation control</x:v>
      </x:c>
      <x:c r="E58" s="7" t="str">
        <x:v>Category-only control after removing state competitor</x:v>
      </x:c>
      <x:c r="F58" s="8" t="str">
        <x:v>SR-F19</x:v>
      </x:c>
      <x:c r="G58" s="8" t="n">
        <x:v>54</x:v>
      </x:c>
      <x:c r="H58" s="7" t="str">
        <x:v>Place the brown cup in the bowl.</x:v>
      </x:c>
      <x:c r="I58" s="7" t="str">
        <x:v>P1 white cup A (O, UR); P2 yellow-white striped cup B (C, UD); P3 brown cup A (O, UR) [TARGET]</x:v>
      </x:c>
      <x:c r="J58" s="8" t="str">
        <x:v>brown cup A</x:v>
      </x:c>
      <x:c r="K58" s="8" t="str">
        <x:v>upright</x:v>
      </x:c>
      <x:c r="L58" s="8" t="str">
        <x:v>brown cup</x:v>
      </x:c>
      <x:c r="M58" s="8" t="str">
        <x:v>Same-task seen category</x:v>
      </x:c>
      <x:c r="N58" s="7" t="str">
        <x:v>Reset the target, then remove only the same-category state competitor. Keep target, other distractors, camera, and bowl fixed.</x:v>
      </x:c>
      <x:c r="O58" s="7" t="str">
        <x:v>This one-object removal is required because A/B labels are not grounded language. A prompt-only control is valid only if a stable visible descriptor is available and counterbalanced.</x:v>
      </x:c>
      <x:c r="P58" s="7"/>
    </x:row>
    <x:row r="59" ht="60" customHeight="1">
      <x:c r="A59" s="9" t="n">
        <x:v>57</x:v>
      </x:c>
      <x:c r="B59" s="9" t="n">
        <x:v>20</x:v>
      </x:c>
      <x:c r="C59" s="9" t="str">
        <x:v>1 — Canonical transfer</x:v>
      </x:c>
      <x:c r="D59" s="9" t="str">
        <x:v>Concept/compositional transfer</x:v>
      </x:c>
      <x:c r="E59" s="10" t="str">
        <x:v>Seen state word in a new scene (upside-down)</x:v>
      </x:c>
      <x:c r="F59" s="9" t="str">
        <x:v>SR-F20</x:v>
      </x:c>
      <x:c r="G59" s="9"/>
      <x:c r="H59" s="10" t="str">
        <x:v>Put the upside-down glass spice container in the bowl.</x:v>
      </x:c>
      <x:c r="I59" s="10" t="str">
        <x:v>P1 glass spice container A (C, UR) [STATE COMPETITOR]; P2 white cup A (O, UR); P3 yellow-white striped cup B (C, UD); P4 glass spice container B (C, UD) [TARGET]</x:v>
      </x:c>
      <x:c r="J59" s="9" t="str">
        <x:v>glass spice container B</x:v>
      </x:c>
      <x:c r="K59" s="9" t="str">
        <x:v>upside-down</x:v>
      </x:c>
      <x:c r="L59" s="9" t="str">
        <x:v>glass spice container</x:v>
      </x:c>
      <x:c r="M59" s="9" t="str">
        <x:v>Same-task seen category</x:v>
      </x:c>
      <x:c r="N59" s="10" t="str">
        <x:v>Build the marked same-category discrimination scene. Save a first-frame image or filename.</x:v>
      </x:c>
      <x:c r="O59" s="10" t="str">
        <x:v>Two objects match the named category; only the state word selects the target. Target and competitor differ only on the queried state axis.</x:v>
      </x:c>
      <x:c r="P59" s="10"/>
    </x:row>
    <x:row r="60" ht="60" customHeight="1">
      <x:c r="A60" s="8" t="n">
        <x:v>58</x:v>
      </x:c>
      <x:c r="B60" s="8" t="n">
        <x:v>20</x:v>
      </x:c>
      <x:c r="C60" s="8" t="str">
        <x:v>2 — Exact-scene paraphrase</x:v>
      </x:c>
      <x:c r="D60" s="8" t="str">
        <x:v>Language robustness</x:v>
      </x:c>
      <x:c r="E60" s="7" t="str">
        <x:v>Meaning-preserving paraphrase on exact primary-transfer scene</x:v>
      </x:c>
      <x:c r="F60" s="8" t="str">
        <x:v>SR-F20</x:v>
      </x:c>
      <x:c r="G60" s="8" t="n">
        <x:v>57</x:v>
      </x:c>
      <x:c r="H60" s="7" t="str">
        <x:v>Move the upside-down glass spice container into the bowl.</x:v>
      </x:c>
      <x:c r="I60" s="7" t="str">
        <x:v>P1 glass spice container A (C, UR) [STATE COMPETITOR]; P2 white cup A (O, UR); P3 yellow-white striped cup B (C, UD); P4 glass spice container B (C, UD) [TARGET]</x:v>
      </x:c>
      <x:c r="J60" s="8" t="str">
        <x:v>glass spice container B</x:v>
      </x:c>
      <x:c r="K60" s="8" t="str">
        <x:v>upside-down</x:v>
      </x:c>
      <x:c r="L60" s="8" t="str">
        <x:v>glass spice container</x:v>
      </x:c>
      <x:c r="M60" s="8" t="str">
        <x:v>Same-task seen category; exact scene as preceding row</x:v>
      </x:c>
      <x:c r="N60" s="7" t="str">
        <x:v>Reset only the moved target. Do not change any object, state, position, camera, or lighting; only the prompt wording changes.</x:v>
      </x:c>
      <x:c r="O60" s="7" t="str">
        <x:v>Compare directly with the preceding canonical transfer. This isolates wording without adding novel-object difficulty.</x:v>
      </x:c>
      <x:c r="P60" s="7"/>
    </x:row>
    <x:row r="61" ht="60" customHeight="1">
      <x:c r="A61" s="8" t="n">
        <x:v>59</x:v>
      </x:c>
      <x:c r="B61" s="8" t="n">
        <x:v>20</x:v>
      </x:c>
      <x:c r="C61" s="8" t="str">
        <x:v>3 — Matched control</x:v>
      </x:c>
      <x:c r="D61" s="8" t="str">
        <x:v>Matched manipulation control</x:v>
      </x:c>
      <x:c r="E61" s="7" t="str">
        <x:v>Category-only control after removing state competitor</x:v>
      </x:c>
      <x:c r="F61" s="8" t="str">
        <x:v>SR-F20</x:v>
      </x:c>
      <x:c r="G61" s="8" t="n">
        <x:v>57</x:v>
      </x:c>
      <x:c r="H61" s="7" t="str">
        <x:v>Put the glass spice container in the bowl.</x:v>
      </x:c>
      <x:c r="I61" s="7" t="str">
        <x:v>P2 white cup A (O, UR); P3 yellow-white striped cup B (C, UD); P4 glass spice container B (C, UD) [TARGET]</x:v>
      </x:c>
      <x:c r="J61" s="8" t="str">
        <x:v>glass spice container B</x:v>
      </x:c>
      <x:c r="K61" s="8" t="str">
        <x:v>upside-down</x:v>
      </x:c>
      <x:c r="L61" s="8" t="str">
        <x:v>glass spice container</x:v>
      </x:c>
      <x:c r="M61" s="8" t="str">
        <x:v>Same-task seen category</x:v>
      </x:c>
      <x:c r="N61" s="7" t="str">
        <x:v>Reset the target, then remove only the same-category state competitor. Keep target, other distractors, camera, and bowl fixed.</x:v>
      </x:c>
      <x:c r="O61" s="7" t="str">
        <x:v>This one-object removal is required because A/B labels are not grounded language. A prompt-only control is valid only if a stable visible descriptor is available and counterbalanced.</x:v>
      </x:c>
      <x:c r="P61" s="7"/>
    </x:row>
    <x:row r="62" ht="60" customHeight="1">
      <x:c r="A62" s="8" t="n">
        <x:v>60</x:v>
      </x:c>
      <x:c r="B62" s="8" t="n">
        <x:v>21</x:v>
      </x:c>
      <x:c r="C62" s="8" t="str">
        <x:v>Additional transfer</x:v>
      </x:c>
      <x:c r="D62" s="8" t="str">
        <x:v>Concept/compositional transfer</x:v>
      </x:c>
      <x:c r="E62" s="7" t="str">
        <x:v>Additional held-out state + category (closed)</x:v>
      </x:c>
      <x:c r="F62" s="8" t="str">
        <x:v>SR-X01</x:v>
      </x:c>
      <x:c r="G62" s="8"/>
      <x:c r="H62" s="7" t="str">
        <x:v>Move the closed yellow-white striped cup into the bowl.</x:v>
      </x:c>
      <x:c r="I62" s="7" t="str">
        <x:v>P1 yellow-white striped cup A (C, UR) [TARGET]; P2 yellow-white striped cup B (O, UR) [STATE COMPETITOR]; P3 white cup A (O, UR); P4 brown cup B (C, UD)</x:v>
      </x:c>
      <x:c r="J62" s="8" t="str">
        <x:v>yellow-white striped cup A</x:v>
      </x:c>
      <x:c r="K62" s="8" t="str">
        <x:v>closed</x:v>
      </x:c>
      <x:c r="L62" s="8" t="str">
        <x:v>yellow-white striped cup</x:v>
      </x:c>
      <x:c r="M62" s="8" t="str">
        <x:v>Same-task seen category</x:v>
      </x:c>
      <x:c r="N62" s="7" t="str">
        <x:v>Build the listed same-category discrimination scene; both category instances must remain present.</x:v>
      </x:c>
      <x:c r="O62" s="7" t="str">
        <x:v>Unpaired primary-transfer coverage. Category and state are both present in the prompt, matching the training prompt structure.</x:v>
      </x:c>
      <x:c r="P62" s="7"/>
    </x:row>
    <x:row r="63" ht="60" customHeight="1">
      <x:c r="A63" s="8" t="n">
        <x:v>61</x:v>
      </x:c>
      <x:c r="B63" s="8" t="n">
        <x:v>22</x:v>
      </x:c>
      <x:c r="C63" s="8" t="str">
        <x:v>Additional transfer</x:v>
      </x:c>
      <x:c r="D63" s="8" t="str">
        <x:v>Concept/compositional transfer</x:v>
      </x:c>
      <x:c r="E63" s="7" t="str">
        <x:v>Additional held-out state + category (closed)</x:v>
      </x:c>
      <x:c r="F63" s="8" t="str">
        <x:v>SR-X02</x:v>
      </x:c>
      <x:c r="G63" s="8"/>
      <x:c r="H63" s="7" t="str">
        <x:v>Place the closed brown cup in the bowl.</x:v>
      </x:c>
      <x:c r="I63" s="7" t="str">
        <x:v>P1 white cup B (C, UD); P2 brown cup B (C, UD) [TARGET]; P3 brown cup A (O, UD) [STATE COMPETITOR]; P4 yellow-white striped cup A (O, UR)</x:v>
      </x:c>
      <x:c r="J63" s="8" t="str">
        <x:v>brown cup B</x:v>
      </x:c>
      <x:c r="K63" s="8" t="str">
        <x:v>closed</x:v>
      </x:c>
      <x:c r="L63" s="8" t="str">
        <x:v>brown cup</x:v>
      </x:c>
      <x:c r="M63" s="8" t="str">
        <x:v>Same-task seen category</x:v>
      </x:c>
      <x:c r="N63" s="7" t="str">
        <x:v>Build the listed same-category discrimination scene; both category instances must remain present.</x:v>
      </x:c>
      <x:c r="O63" s="7" t="str">
        <x:v>Unpaired primary-transfer coverage. Category and state are both present in the prompt, matching the training prompt structure.</x:v>
      </x:c>
      <x:c r="P63" s="7"/>
    </x:row>
    <x:row r="64" ht="60" customHeight="1">
      <x:c r="A64" s="8" t="n">
        <x:v>62</x:v>
      </x:c>
      <x:c r="B64" s="8" t="n">
        <x:v>23</x:v>
      </x:c>
      <x:c r="C64" s="8" t="str">
        <x:v>Additional transfer</x:v>
      </x:c>
      <x:c r="D64" s="8" t="str">
        <x:v>Concept/compositional transfer</x:v>
      </x:c>
      <x:c r="E64" s="7" t="str">
        <x:v>Additional held-out state + category (closed)</x:v>
      </x:c>
      <x:c r="F64" s="8" t="str">
        <x:v>SR-X03</x:v>
      </x:c>
      <x:c r="G64" s="8"/>
      <x:c r="H64" s="7" t="str">
        <x:v>Put the closed glass spice container in the bowl.</x:v>
      </x:c>
      <x:c r="I64" s="7" t="str">
        <x:v>P1 white cup A (O, UR); P2 yellow-white striped cup B (C, UD); P3 glass spice container A (C, UR) [TARGET]; P4 glass spice container B (O, UR) [STATE COMPETITOR]</x:v>
      </x:c>
      <x:c r="J64" s="8" t="str">
        <x:v>glass spice container A</x:v>
      </x:c>
      <x:c r="K64" s="8" t="str">
        <x:v>closed</x:v>
      </x:c>
      <x:c r="L64" s="8" t="str">
        <x:v>glass spice container</x:v>
      </x:c>
      <x:c r="M64" s="8" t="str">
        <x:v>Same-task seen category</x:v>
      </x:c>
      <x:c r="N64" s="7" t="str">
        <x:v>Build the listed same-category discrimination scene; both category instances must remain present.</x:v>
      </x:c>
      <x:c r="O64" s="7" t="str">
        <x:v>Unpaired primary-transfer coverage. Category and state are both present in the prompt, matching the training prompt structure.</x:v>
      </x:c>
      <x:c r="P64" s="7"/>
    </x:row>
    <x:row r="65" ht="60" customHeight="1">
      <x:c r="A65" s="8" t="n">
        <x:v>63</x:v>
      </x:c>
      <x:c r="B65" s="8" t="n">
        <x:v>24</x:v>
      </x:c>
      <x:c r="C65" s="8" t="str">
        <x:v>Additional transfer</x:v>
      </x:c>
      <x:c r="D65" s="8" t="str">
        <x:v>Concept/compositional transfer</x:v>
      </x:c>
      <x:c r="E65" s="7" t="str">
        <x:v>Additional held-out state + category (closed)</x:v>
      </x:c>
      <x:c r="F65" s="8" t="str">
        <x:v>SR-X04</x:v>
      </x:c>
      <x:c r="G65" s="8"/>
      <x:c r="H65" s="7" t="str">
        <x:v>Move the closed white cup into the bowl.</x:v>
      </x:c>
      <x:c r="I65" s="7" t="str">
        <x:v>P1 white cup A (O, UD) [STATE COMPETITOR]; P2 yellow-white striped cup A (O, UR); P3 brown cup B (C, UD); P4 white cup B (C, UD) [TARGET]</x:v>
      </x:c>
      <x:c r="J65" s="8" t="str">
        <x:v>white cup B</x:v>
      </x:c>
      <x:c r="K65" s="8" t="str">
        <x:v>closed</x:v>
      </x:c>
      <x:c r="L65" s="8" t="str">
        <x:v>white cup</x:v>
      </x:c>
      <x:c r="M65" s="8" t="str">
        <x:v>Same-task seen category</x:v>
      </x:c>
      <x:c r="N65" s="7" t="str">
        <x:v>Build the listed same-category discrimination scene; both category instances must remain present.</x:v>
      </x:c>
      <x:c r="O65" s="7" t="str">
        <x:v>Unpaired primary-transfer coverage. Category and state are both present in the prompt, matching the training prompt structure.</x:v>
      </x:c>
      <x:c r="P65" s="7"/>
    </x:row>
    <x:row r="66" ht="60" customHeight="1">
      <x:c r="A66" s="8" t="n">
        <x:v>64</x:v>
      </x:c>
      <x:c r="B66" s="8" t="n">
        <x:v>25</x:v>
      </x:c>
      <x:c r="C66" s="8" t="str">
        <x:v>Additional transfer</x:v>
      </x:c>
      <x:c r="D66" s="8" t="str">
        <x:v>Concept/compositional transfer</x:v>
      </x:c>
      <x:c r="E66" s="7" t="str">
        <x:v>Additional held-out state + category (closed)</x:v>
      </x:c>
      <x:c r="F66" s="8" t="str">
        <x:v>SR-X05</x:v>
      </x:c>
      <x:c r="G66" s="8"/>
      <x:c r="H66" s="7" t="str">
        <x:v>Place the closed yellow-white striped cup in the bowl.</x:v>
      </x:c>
      <x:c r="I66" s="7" t="str">
        <x:v>P1 yellow-white striped cup A (C, UR) [TARGET]; P2 yellow-white striped cup B (O, UR) [STATE COMPETITOR]; P3 white cup A (O, UR); P4 brown cup B (C, UD)</x:v>
      </x:c>
      <x:c r="J66" s="8" t="str">
        <x:v>yellow-white striped cup A</x:v>
      </x:c>
      <x:c r="K66" s="8" t="str">
        <x:v>closed</x:v>
      </x:c>
      <x:c r="L66" s="8" t="str">
        <x:v>yellow-white striped cup</x:v>
      </x:c>
      <x:c r="M66" s="8" t="str">
        <x:v>Same-task seen category</x:v>
      </x:c>
      <x:c r="N66" s="7" t="str">
        <x:v>Build the listed same-category discrimination scene; both category instances must remain present.</x:v>
      </x:c>
      <x:c r="O66" s="7" t="str">
        <x:v>Unpaired primary-transfer coverage. Category and state are both present in the prompt, matching the training prompt structure.</x:v>
      </x:c>
      <x:c r="P66" s="7"/>
    </x:row>
    <x:row r="67" ht="60" customHeight="1">
      <x:c r="A67" s="8" t="n">
        <x:v>65</x:v>
      </x:c>
      <x:c r="B67" s="8" t="n">
        <x:v>26</x:v>
      </x:c>
      <x:c r="C67" s="8" t="str">
        <x:v>Additional transfer</x:v>
      </x:c>
      <x:c r="D67" s="8" t="str">
        <x:v>Concept/compositional transfer</x:v>
      </x:c>
      <x:c r="E67" s="7" t="str">
        <x:v>Additional held-out state + category (closed)</x:v>
      </x:c>
      <x:c r="F67" s="8" t="str">
        <x:v>SR-X06</x:v>
      </x:c>
      <x:c r="G67" s="8"/>
      <x:c r="H67" s="7" t="str">
        <x:v>Put the closed brown cup in the bowl.</x:v>
      </x:c>
      <x:c r="I67" s="7" t="str">
        <x:v>P1 white cup B (C, UD); P2 brown cup B (C, UD) [TARGET]; P3 brown cup A (O, UD) [STATE COMPETITOR]; P4 yellow-white striped cup A (O, UR)</x:v>
      </x:c>
      <x:c r="J67" s="8" t="str">
        <x:v>brown cup B</x:v>
      </x:c>
      <x:c r="K67" s="8" t="str">
        <x:v>closed</x:v>
      </x:c>
      <x:c r="L67" s="8" t="str">
        <x:v>brown cup</x:v>
      </x:c>
      <x:c r="M67" s="8" t="str">
        <x:v>Same-task seen category</x:v>
      </x:c>
      <x:c r="N67" s="7" t="str">
        <x:v>Build the listed same-category discrimination scene; both category instances must remain present.</x:v>
      </x:c>
      <x:c r="O67" s="7" t="str">
        <x:v>Unpaired primary-transfer coverage. Category and state are both present in the prompt, matching the training prompt structure.</x:v>
      </x:c>
      <x:c r="P67" s="7"/>
    </x:row>
    <x:row r="68" ht="60" customHeight="1">
      <x:c r="A68" s="8" t="n">
        <x:v>66</x:v>
      </x:c>
      <x:c r="B68" s="8" t="n">
        <x:v>27</x:v>
      </x:c>
      <x:c r="C68" s="8" t="str">
        <x:v>Additional transfer</x:v>
      </x:c>
      <x:c r="D68" s="8" t="str">
        <x:v>Concept/compositional transfer</x:v>
      </x:c>
      <x:c r="E68" s="7" t="str">
        <x:v>Additional held-out state + category (closed)</x:v>
      </x:c>
      <x:c r="F68" s="8" t="str">
        <x:v>SR-X07</x:v>
      </x:c>
      <x:c r="G68" s="8"/>
      <x:c r="H68" s="7" t="str">
        <x:v>Move the closed glass spice container into the bowl.</x:v>
      </x:c>
      <x:c r="I68" s="7" t="str">
        <x:v>P1 white cup A (O, UR); P2 yellow-white striped cup B (C, UD); P3 glass spice container A (C, UR) [TARGET]; P4 glass spice container B (O, UR) [STATE COMPETITOR]</x:v>
      </x:c>
      <x:c r="J68" s="8" t="str">
        <x:v>glass spice container A</x:v>
      </x:c>
      <x:c r="K68" s="8" t="str">
        <x:v>closed</x:v>
      </x:c>
      <x:c r="L68" s="8" t="str">
        <x:v>glass spice container</x:v>
      </x:c>
      <x:c r="M68" s="8" t="str">
        <x:v>Same-task seen category</x:v>
      </x:c>
      <x:c r="N68" s="7" t="str">
        <x:v>Build the listed same-category discrimination scene; both category instances must remain present.</x:v>
      </x:c>
      <x:c r="O68" s="7" t="str">
        <x:v>Unpaired primary-transfer coverage. Category and state are both present in the prompt, matching the training prompt structure.</x:v>
      </x:c>
      <x:c r="P68" s="7"/>
    </x:row>
    <x:row r="69" ht="60" customHeight="1">
      <x:c r="A69" s="8" t="n">
        <x:v>67</x:v>
      </x:c>
      <x:c r="B69" s="8" t="n">
        <x:v>28</x:v>
      </x:c>
      <x:c r="C69" s="8" t="str">
        <x:v>Additional transfer</x:v>
      </x:c>
      <x:c r="D69" s="8" t="str">
        <x:v>Concept/compositional transfer</x:v>
      </x:c>
      <x:c r="E69" s="7" t="str">
        <x:v>Additional held-out state + category (closed)</x:v>
      </x:c>
      <x:c r="F69" s="8" t="str">
        <x:v>SR-X08</x:v>
      </x:c>
      <x:c r="G69" s="8"/>
      <x:c r="H69" s="7" t="str">
        <x:v>Place the closed white cup in the bowl.</x:v>
      </x:c>
      <x:c r="I69" s="7" t="str">
        <x:v>P1 white cup A (O, UD) [STATE COMPETITOR]; P2 yellow-white striped cup A (O, UR); P3 brown cup B (C, UD); P4 white cup B (C, UD) [TARGET]</x:v>
      </x:c>
      <x:c r="J69" s="8" t="str">
        <x:v>white cup B</x:v>
      </x:c>
      <x:c r="K69" s="8" t="str">
        <x:v>closed</x:v>
      </x:c>
      <x:c r="L69" s="8" t="str">
        <x:v>white cup</x:v>
      </x:c>
      <x:c r="M69" s="8" t="str">
        <x:v>Same-task seen category</x:v>
      </x:c>
      <x:c r="N69" s="7" t="str">
        <x:v>Build the listed same-category discrimination scene; both category instances must remain present.</x:v>
      </x:c>
      <x:c r="O69" s="7" t="str">
        <x:v>Unpaired primary-transfer coverage. Category and state are both present in the prompt, matching the training prompt structure.</x:v>
      </x:c>
      <x:c r="P69" s="7"/>
    </x:row>
    <x:row r="70" ht="60" customHeight="1">
      <x:c r="A70" s="8" t="n">
        <x:v>68</x:v>
      </x:c>
      <x:c r="B70" s="8" t="n">
        <x:v>29</x:v>
      </x:c>
      <x:c r="C70" s="8" t="str">
        <x:v>Additional transfer</x:v>
      </x:c>
      <x:c r="D70" s="8" t="str">
        <x:v>Concept/compositional transfer</x:v>
      </x:c>
      <x:c r="E70" s="7" t="str">
        <x:v>Additional held-out state + category (closed)</x:v>
      </x:c>
      <x:c r="F70" s="8" t="str">
        <x:v>SR-X09</x:v>
      </x:c>
      <x:c r="G70" s="8"/>
      <x:c r="H70" s="7" t="str">
        <x:v>Put the closed yellow-white striped cup in the bowl.</x:v>
      </x:c>
      <x:c r="I70" s="7" t="str">
        <x:v>P1 yellow-white striped cup A (C, UR) [TARGET]; P2 yellow-white striped cup B (O, UR) [STATE COMPETITOR]; P3 white cup A (O, UR); P4 brown cup B (C, UD)</x:v>
      </x:c>
      <x:c r="J70" s="8" t="str">
        <x:v>yellow-white striped cup A</x:v>
      </x:c>
      <x:c r="K70" s="8" t="str">
        <x:v>closed</x:v>
      </x:c>
      <x:c r="L70" s="8" t="str">
        <x:v>yellow-white striped cup</x:v>
      </x:c>
      <x:c r="M70" s="8" t="str">
        <x:v>Same-task seen category</x:v>
      </x:c>
      <x:c r="N70" s="7" t="str">
        <x:v>Build the listed same-category discrimination scene; both category instances must remain present.</x:v>
      </x:c>
      <x:c r="O70" s="7" t="str">
        <x:v>Unpaired primary-transfer coverage. Category and state are both present in the prompt, matching the training prompt structure.</x:v>
      </x:c>
      <x:c r="P70" s="7"/>
    </x:row>
    <x:row r="71" ht="60" customHeight="1">
      <x:c r="A71" s="8" t="n">
        <x:v>69</x:v>
      </x:c>
      <x:c r="B71" s="8" t="n">
        <x:v>30</x:v>
      </x:c>
      <x:c r="C71" s="8" t="str">
        <x:v>Additional transfer</x:v>
      </x:c>
      <x:c r="D71" s="8" t="str">
        <x:v>Concept/compositional transfer</x:v>
      </x:c>
      <x:c r="E71" s="7" t="str">
        <x:v>Additional held-out state + category (closed)</x:v>
      </x:c>
      <x:c r="F71" s="8" t="str">
        <x:v>SR-X10</x:v>
      </x:c>
      <x:c r="G71" s="8"/>
      <x:c r="H71" s="7" t="str">
        <x:v>Move the closed brown cup into the bowl.</x:v>
      </x:c>
      <x:c r="I71" s="7" t="str">
        <x:v>P1 white cup B (C, UD); P2 brown cup B (C, UD) [TARGET]; P3 brown cup A (O, UD) [STATE COMPETITOR]; P4 yellow-white striped cup A (O, UR)</x:v>
      </x:c>
      <x:c r="J71" s="8" t="str">
        <x:v>brown cup B</x:v>
      </x:c>
      <x:c r="K71" s="8" t="str">
        <x:v>closed</x:v>
      </x:c>
      <x:c r="L71" s="8" t="str">
        <x:v>brown cup</x:v>
      </x:c>
      <x:c r="M71" s="8" t="str">
        <x:v>Same-task seen category</x:v>
      </x:c>
      <x:c r="N71" s="7" t="str">
        <x:v>Build the listed same-category discrimination scene; both category instances must remain present.</x:v>
      </x:c>
      <x:c r="O71" s="7" t="str">
        <x:v>Unpaired primary-transfer coverage. Category and state are both present in the prompt, matching the training prompt structure.</x:v>
      </x:c>
      <x:c r="P71" s="7"/>
    </x:row>
    <x:row r="72" ht="60" customHeight="1">
      <x:c r="A72" s="8" t="n">
        <x:v>70</x:v>
      </x:c>
      <x:c r="B72" s="8" t="n">
        <x:v>31</x:v>
      </x:c>
      <x:c r="C72" s="8" t="str">
        <x:v>Additional transfer</x:v>
      </x:c>
      <x:c r="D72" s="8" t="str">
        <x:v>Concept/compositional transfer</x:v>
      </x:c>
      <x:c r="E72" s="7" t="str">
        <x:v>Additional seen-state scene transfer (open)</x:v>
      </x:c>
      <x:c r="F72" s="8" t="str">
        <x:v>SR-X11</x:v>
      </x:c>
      <x:c r="G72" s="8"/>
      <x:c r="H72" s="7" t="str">
        <x:v>Place the open glass spice container in the bowl.</x:v>
      </x:c>
      <x:c r="I72" s="7" t="str">
        <x:v>P1 white cup A (O, UR); P2 yellow-white striped cup B (C, UD); P3 glass spice container A (O, UR) [TARGET]; P4 glass spice container B (C, UR) [STATE COMPETITOR]</x:v>
      </x:c>
      <x:c r="J72" s="8" t="str">
        <x:v>glass spice container A</x:v>
      </x:c>
      <x:c r="K72" s="8" t="str">
        <x:v>open</x:v>
      </x:c>
      <x:c r="L72" s="8" t="str">
        <x:v>glass spice container</x:v>
      </x:c>
      <x:c r="M72" s="8" t="str">
        <x:v>Same-task seen category</x:v>
      </x:c>
      <x:c r="N72" s="7" t="str">
        <x:v>Build the listed same-category discrimination scene; both category instances must remain present.</x:v>
      </x:c>
      <x:c r="O72" s="7" t="str">
        <x:v>Unpaired primary-transfer coverage. Category and state are both present in the prompt, matching the training prompt structure.</x:v>
      </x:c>
      <x:c r="P72" s="7"/>
    </x:row>
    <x:row r="73" ht="60" customHeight="1">
      <x:c r="A73" s="8" t="n">
        <x:v>71</x:v>
      </x:c>
      <x:c r="B73" s="8" t="n">
        <x:v>32</x:v>
      </x:c>
      <x:c r="C73" s="8" t="str">
        <x:v>Additional transfer</x:v>
      </x:c>
      <x:c r="D73" s="8" t="str">
        <x:v>Concept/compositional transfer</x:v>
      </x:c>
      <x:c r="E73" s="7" t="str">
        <x:v>Additional seen-state scene transfer (open)</x:v>
      </x:c>
      <x:c r="F73" s="8" t="str">
        <x:v>SR-X12</x:v>
      </x:c>
      <x:c r="G73" s="8"/>
      <x:c r="H73" s="7" t="str">
        <x:v>Put the open white cup in the bowl.</x:v>
      </x:c>
      <x:c r="I73" s="7" t="str">
        <x:v>P1 white cup A (C, UD) [STATE COMPETITOR]; P2 yellow-white striped cup A (O, UR); P3 brown cup B (C, UD); P4 white cup B (O, UD) [TARGET]</x:v>
      </x:c>
      <x:c r="J73" s="8" t="str">
        <x:v>white cup B</x:v>
      </x:c>
      <x:c r="K73" s="8" t="str">
        <x:v>open</x:v>
      </x:c>
      <x:c r="L73" s="8" t="str">
        <x:v>white cup</x:v>
      </x:c>
      <x:c r="M73" s="8" t="str">
        <x:v>Same-task seen category</x:v>
      </x:c>
      <x:c r="N73" s="7" t="str">
        <x:v>Build the listed same-category discrimination scene; both category instances must remain present.</x:v>
      </x:c>
      <x:c r="O73" s="7" t="str">
        <x:v>Unpaired primary-transfer coverage. Category and state are both present in the prompt, matching the training prompt structure.</x:v>
      </x:c>
      <x:c r="P73" s="7"/>
    </x:row>
    <x:row r="74" ht="60" customHeight="1">
      <x:c r="A74" s="8" t="n">
        <x:v>72</x:v>
      </x:c>
      <x:c r="B74" s="8" t="n">
        <x:v>33</x:v>
      </x:c>
      <x:c r="C74" s="8" t="str">
        <x:v>Additional transfer</x:v>
      </x:c>
      <x:c r="D74" s="8" t="str">
        <x:v>Concept/compositional transfer</x:v>
      </x:c>
      <x:c r="E74" s="7" t="str">
        <x:v>Additional seen-state scene transfer (open)</x:v>
      </x:c>
      <x:c r="F74" s="8" t="str">
        <x:v>SR-X13</x:v>
      </x:c>
      <x:c r="G74" s="8"/>
      <x:c r="H74" s="7" t="str">
        <x:v>Move the open yellow-white striped cup into the bowl.</x:v>
      </x:c>
      <x:c r="I74" s="7" t="str">
        <x:v>P1 yellow-white striped cup A (O, UR) [TARGET]; P2 yellow-white striped cup B (C, UR) [STATE COMPETITOR]; P3 white cup A (O, UR); P4 brown cup B (C, UD)</x:v>
      </x:c>
      <x:c r="J74" s="8" t="str">
        <x:v>yellow-white striped cup A</x:v>
      </x:c>
      <x:c r="K74" s="8" t="str">
        <x:v>open</x:v>
      </x:c>
      <x:c r="L74" s="8" t="str">
        <x:v>yellow-white striped cup</x:v>
      </x:c>
      <x:c r="M74" s="8" t="str">
        <x:v>Same-task seen category</x:v>
      </x:c>
      <x:c r="N74" s="7" t="str">
        <x:v>Build the listed same-category discrimination scene; both category instances must remain present.</x:v>
      </x:c>
      <x:c r="O74" s="7" t="str">
        <x:v>Unpaired primary-transfer coverage. Category and state are both present in the prompt, matching the training prompt structure.</x:v>
      </x:c>
      <x:c r="P74" s="7"/>
    </x:row>
    <x:row r="75" ht="60" customHeight="1">
      <x:c r="A75" s="8" t="n">
        <x:v>73</x:v>
      </x:c>
      <x:c r="B75" s="8" t="n">
        <x:v>34</x:v>
      </x:c>
      <x:c r="C75" s="8" t="str">
        <x:v>Additional transfer</x:v>
      </x:c>
      <x:c r="D75" s="8" t="str">
        <x:v>Concept/compositional transfer</x:v>
      </x:c>
      <x:c r="E75" s="7" t="str">
        <x:v>Additional seen-state scene transfer (open)</x:v>
      </x:c>
      <x:c r="F75" s="8" t="str">
        <x:v>SR-X14</x:v>
      </x:c>
      <x:c r="G75" s="8"/>
      <x:c r="H75" s="7" t="str">
        <x:v>Place the open brown cup in the bowl.</x:v>
      </x:c>
      <x:c r="I75" s="7" t="str">
        <x:v>P1 white cup B (C, UD); P2 brown cup B (O, UD) [TARGET]; P3 brown cup A (C, UD) [STATE COMPETITOR]; P4 yellow-white striped cup A (O, UR)</x:v>
      </x:c>
      <x:c r="J75" s="8" t="str">
        <x:v>brown cup B</x:v>
      </x:c>
      <x:c r="K75" s="8" t="str">
        <x:v>open</x:v>
      </x:c>
      <x:c r="L75" s="8" t="str">
        <x:v>brown cup</x:v>
      </x:c>
      <x:c r="M75" s="8" t="str">
        <x:v>Same-task seen category</x:v>
      </x:c>
      <x:c r="N75" s="7" t="str">
        <x:v>Build the listed same-category discrimination scene; both category instances must remain present.</x:v>
      </x:c>
      <x:c r="O75" s="7" t="str">
        <x:v>Unpaired primary-transfer coverage. Category and state are both present in the prompt, matching the training prompt structure.</x:v>
      </x:c>
      <x:c r="P75" s="7"/>
    </x:row>
    <x:row r="76" ht="60" customHeight="1">
      <x:c r="A76" s="8" t="n">
        <x:v>74</x:v>
      </x:c>
      <x:c r="B76" s="8" t="n">
        <x:v>35</x:v>
      </x:c>
      <x:c r="C76" s="8" t="str">
        <x:v>Additional transfer</x:v>
      </x:c>
      <x:c r="D76" s="8" t="str">
        <x:v>Concept/compositional transfer</x:v>
      </x:c>
      <x:c r="E76" s="7" t="str">
        <x:v>Additional seen-state scene transfer (open)</x:v>
      </x:c>
      <x:c r="F76" s="8" t="str">
        <x:v>SR-X15</x:v>
      </x:c>
      <x:c r="G76" s="8"/>
      <x:c r="H76" s="7" t="str">
        <x:v>Put the open glass spice container in the bowl.</x:v>
      </x:c>
      <x:c r="I76" s="7" t="str">
        <x:v>P1 white cup A (O, UR); P2 yellow-white striped cup B (C, UD); P3 glass spice container A (O, UR) [TARGET]; P4 glass spice container B (C, UR) [STATE COMPETITOR]</x:v>
      </x:c>
      <x:c r="J76" s="8" t="str">
        <x:v>glass spice container A</x:v>
      </x:c>
      <x:c r="K76" s="8" t="str">
        <x:v>open</x:v>
      </x:c>
      <x:c r="L76" s="8" t="str">
        <x:v>glass spice container</x:v>
      </x:c>
      <x:c r="M76" s="8" t="str">
        <x:v>Same-task seen category</x:v>
      </x:c>
      <x:c r="N76" s="7" t="str">
        <x:v>Build the listed same-category discrimination scene; both category instances must remain present.</x:v>
      </x:c>
      <x:c r="O76" s="7" t="str">
        <x:v>Unpaired primary-transfer coverage. Category and state are both present in the prompt, matching the training prompt structure.</x:v>
      </x:c>
      <x:c r="P76" s="7"/>
    </x:row>
    <x:row r="77" ht="60" customHeight="1">
      <x:c r="A77" s="8" t="n">
        <x:v>75</x:v>
      </x:c>
      <x:c r="B77" s="8" t="n">
        <x:v>36</x:v>
      </x:c>
      <x:c r="C77" s="8" t="str">
        <x:v>Additional transfer</x:v>
      </x:c>
      <x:c r="D77" s="8" t="str">
        <x:v>Concept/compositional transfer</x:v>
      </x:c>
      <x:c r="E77" s="7" t="str">
        <x:v>Additional held-out state + category (upright)</x:v>
      </x:c>
      <x:c r="F77" s="8" t="str">
        <x:v>SR-X16</x:v>
      </x:c>
      <x:c r="G77" s="8"/>
      <x:c r="H77" s="7" t="str">
        <x:v>Move the upright white cup into the bowl.</x:v>
      </x:c>
      <x:c r="I77" s="7" t="str">
        <x:v>P1 white cup A (C, UD) [STATE COMPETITOR]; P2 yellow-white striped cup A (O, UR); P3 brown cup B (C, UD); P4 white cup B (C, UR) [TARGET]</x:v>
      </x:c>
      <x:c r="J77" s="8" t="str">
        <x:v>white cup B</x:v>
      </x:c>
      <x:c r="K77" s="8" t="str">
        <x:v>upright</x:v>
      </x:c>
      <x:c r="L77" s="8" t="str">
        <x:v>white cup</x:v>
      </x:c>
      <x:c r="M77" s="8" t="str">
        <x:v>Same-task seen category</x:v>
      </x:c>
      <x:c r="N77" s="7" t="str">
        <x:v>Build the listed same-category discrimination scene; both category instances must remain present.</x:v>
      </x:c>
      <x:c r="O77" s="7" t="str">
        <x:v>Unpaired primary-transfer coverage. Category and state are both present in the prompt, matching the training prompt structure.</x:v>
      </x:c>
      <x:c r="P77" s="7"/>
    </x:row>
    <x:row r="78" ht="60" customHeight="1">
      <x:c r="A78" s="8" t="n">
        <x:v>76</x:v>
      </x:c>
      <x:c r="B78" s="8" t="n">
        <x:v>37</x:v>
      </x:c>
      <x:c r="C78" s="8" t="str">
        <x:v>Additional transfer</x:v>
      </x:c>
      <x:c r="D78" s="8" t="str">
        <x:v>Concept/compositional transfer</x:v>
      </x:c>
      <x:c r="E78" s="7" t="str">
        <x:v>Additional held-out state + category (upright)</x:v>
      </x:c>
      <x:c r="F78" s="8" t="str">
        <x:v>SR-X17</x:v>
      </x:c>
      <x:c r="G78" s="8"/>
      <x:c r="H78" s="7" t="str">
        <x:v>Place the upright yellow-white striped cup in the bowl.</x:v>
      </x:c>
      <x:c r="I78" s="7" t="str">
        <x:v>P1 yellow-white striped cup A (O, UR) [TARGET]; P2 yellow-white striped cup B (O, UD) [STATE COMPETITOR]; P3 white cup A (O, UR); P4 brown cup B (C, UD)</x:v>
      </x:c>
      <x:c r="J78" s="8" t="str">
        <x:v>yellow-white striped cup A</x:v>
      </x:c>
      <x:c r="K78" s="8" t="str">
        <x:v>upright</x:v>
      </x:c>
      <x:c r="L78" s="8" t="str">
        <x:v>yellow-white striped cup</x:v>
      </x:c>
      <x:c r="M78" s="8" t="str">
        <x:v>Same-task seen category</x:v>
      </x:c>
      <x:c r="N78" s="7" t="str">
        <x:v>Build the listed same-category discrimination scene; both category instances must remain present.</x:v>
      </x:c>
      <x:c r="O78" s="7" t="str">
        <x:v>Unpaired primary-transfer coverage. Category and state are both present in the prompt, matching the training prompt structure.</x:v>
      </x:c>
      <x:c r="P78" s="7"/>
    </x:row>
    <x:row r="79" ht="60" customHeight="1">
      <x:c r="A79" s="8" t="n">
        <x:v>77</x:v>
      </x:c>
      <x:c r="B79" s="8" t="n">
        <x:v>38</x:v>
      </x:c>
      <x:c r="C79" s="8" t="str">
        <x:v>Additional transfer</x:v>
      </x:c>
      <x:c r="D79" s="8" t="str">
        <x:v>Concept/compositional transfer</x:v>
      </x:c>
      <x:c r="E79" s="7" t="str">
        <x:v>Additional held-out state + category (upright)</x:v>
      </x:c>
      <x:c r="F79" s="8" t="str">
        <x:v>SR-X18</x:v>
      </x:c>
      <x:c r="G79" s="8"/>
      <x:c r="H79" s="7" t="str">
        <x:v>Put the upright brown cup in the bowl.</x:v>
      </x:c>
      <x:c r="I79" s="7" t="str">
        <x:v>P1 white cup B (C, UD); P2 brown cup B (C, UR) [TARGET]; P3 brown cup A (C, UD) [STATE COMPETITOR]; P4 yellow-white striped cup A (O, UR)</x:v>
      </x:c>
      <x:c r="J79" s="8" t="str">
        <x:v>brown cup B</x:v>
      </x:c>
      <x:c r="K79" s="8" t="str">
        <x:v>upright</x:v>
      </x:c>
      <x:c r="L79" s="8" t="str">
        <x:v>brown cup</x:v>
      </x:c>
      <x:c r="M79" s="8" t="str">
        <x:v>Same-task seen category</x:v>
      </x:c>
      <x:c r="N79" s="7" t="str">
        <x:v>Build the listed same-category discrimination scene; both category instances must remain present.</x:v>
      </x:c>
      <x:c r="O79" s="7" t="str">
        <x:v>Unpaired primary-transfer coverage. Category and state are both present in the prompt, matching the training prompt structure.</x:v>
      </x:c>
      <x:c r="P79" s="7"/>
    </x:row>
    <x:row r="80" ht="60" customHeight="1">
      <x:c r="A80" s="8" t="n">
        <x:v>78</x:v>
      </x:c>
      <x:c r="B80" s="8" t="n">
        <x:v>39</x:v>
      </x:c>
      <x:c r="C80" s="8" t="str">
        <x:v>Additional transfer</x:v>
      </x:c>
      <x:c r="D80" s="8" t="str">
        <x:v>Concept/compositional transfer</x:v>
      </x:c>
      <x:c r="E80" s="7" t="str">
        <x:v>Additional held-out state + category (upright)</x:v>
      </x:c>
      <x:c r="F80" s="8" t="str">
        <x:v>SR-X19</x:v>
      </x:c>
      <x:c r="G80" s="8"/>
      <x:c r="H80" s="7" t="str">
        <x:v>Move the upright glass spice container into the bowl.</x:v>
      </x:c>
      <x:c r="I80" s="7" t="str">
        <x:v>P1 white cup A (O, UR); P2 yellow-white striped cup B (C, UD); P3 glass spice container A (O, UR) [TARGET]; P4 glass spice container B (O, UD) [STATE COMPETITOR]</x:v>
      </x:c>
      <x:c r="J80" s="8" t="str">
        <x:v>glass spice container A</x:v>
      </x:c>
      <x:c r="K80" s="8" t="str">
        <x:v>upright</x:v>
      </x:c>
      <x:c r="L80" s="8" t="str">
        <x:v>glass spice container</x:v>
      </x:c>
      <x:c r="M80" s="8" t="str">
        <x:v>Same-task seen category</x:v>
      </x:c>
      <x:c r="N80" s="7" t="str">
        <x:v>Build the listed same-category discrimination scene; both category instances must remain present.</x:v>
      </x:c>
      <x:c r="O80" s="7" t="str">
        <x:v>Unpaired primary-transfer coverage. Category and state are both present in the prompt, matching the training prompt structure.</x:v>
      </x:c>
      <x:c r="P80" s="7"/>
    </x:row>
    <x:row r="81" ht="60" customHeight="1">
      <x:c r="A81" s="8" t="n">
        <x:v>79</x:v>
      </x:c>
      <x:c r="B81" s="8" t="n">
        <x:v>40</x:v>
      </x:c>
      <x:c r="C81" s="8" t="str">
        <x:v>Additional transfer</x:v>
      </x:c>
      <x:c r="D81" s="8" t="str">
        <x:v>Concept/compositional transfer</x:v>
      </x:c>
      <x:c r="E81" s="7" t="str">
        <x:v>Additional held-out state + category (upright)</x:v>
      </x:c>
      <x:c r="F81" s="8" t="str">
        <x:v>SR-X20</x:v>
      </x:c>
      <x:c r="G81" s="8"/>
      <x:c r="H81" s="7" t="str">
        <x:v>Place the upright white cup in the bowl.</x:v>
      </x:c>
      <x:c r="I81" s="7" t="str">
        <x:v>P1 white cup A (C, UD) [STATE COMPETITOR]; P2 yellow-white striped cup A (O, UR); P3 brown cup B (C, UD); P4 white cup B (C, UR) [TARGET]</x:v>
      </x:c>
      <x:c r="J81" s="8" t="str">
        <x:v>white cup B</x:v>
      </x:c>
      <x:c r="K81" s="8" t="str">
        <x:v>upright</x:v>
      </x:c>
      <x:c r="L81" s="8" t="str">
        <x:v>white cup</x:v>
      </x:c>
      <x:c r="M81" s="8" t="str">
        <x:v>Same-task seen category</x:v>
      </x:c>
      <x:c r="N81" s="7" t="str">
        <x:v>Build the listed same-category discrimination scene; both category instances must remain present.</x:v>
      </x:c>
      <x:c r="O81" s="7" t="str">
        <x:v>Unpaired primary-transfer coverage. Category and state are both present in the prompt, matching the training prompt structure.</x:v>
      </x:c>
      <x:c r="P81" s="7"/>
    </x:row>
    <x:row r="82" ht="60" customHeight="1">
      <x:c r="A82" s="8" t="n">
        <x:v>80</x:v>
      </x:c>
      <x:c r="B82" s="8" t="n">
        <x:v>41</x:v>
      </x:c>
      <x:c r="C82" s="8" t="str">
        <x:v>Additional transfer</x:v>
      </x:c>
      <x:c r="D82" s="8" t="str">
        <x:v>Concept/compositional transfer</x:v>
      </x:c>
      <x:c r="E82" s="7" t="str">
        <x:v>Additional seen-state scene transfer (upside-down)</x:v>
      </x:c>
      <x:c r="F82" s="8" t="str">
        <x:v>SR-X21</x:v>
      </x:c>
      <x:c r="G82" s="8"/>
      <x:c r="H82" s="7" t="str">
        <x:v>Put the upside-down yellow-white striped cup in the bowl.</x:v>
      </x:c>
      <x:c r="I82" s="7" t="str">
        <x:v>P1 yellow-white striped cup A (O, UD) [TARGET]; P2 yellow-white striped cup B (O, UR) [STATE COMPETITOR]; P3 white cup A (O, UR); P4 brown cup B (C, UD)</x:v>
      </x:c>
      <x:c r="J82" s="8" t="str">
        <x:v>yellow-white striped cup A</x:v>
      </x:c>
      <x:c r="K82" s="8" t="str">
        <x:v>upside-down</x:v>
      </x:c>
      <x:c r="L82" s="8" t="str">
        <x:v>yellow-white striped cup</x:v>
      </x:c>
      <x:c r="M82" s="8" t="str">
        <x:v>Same-task seen category</x:v>
      </x:c>
      <x:c r="N82" s="7" t="str">
        <x:v>Build the listed same-category discrimination scene; both category instances must remain present.</x:v>
      </x:c>
      <x:c r="O82" s="7" t="str">
        <x:v>Unpaired primary-transfer coverage. Category and state are both present in the prompt, matching the training prompt structure.</x:v>
      </x:c>
      <x:c r="P82" s="7"/>
    </x:row>
    <x:row r="83" ht="60" customHeight="1">
      <x:c r="A83" s="8" t="n">
        <x:v>81</x:v>
      </x:c>
      <x:c r="B83" s="8" t="n">
        <x:v>42</x:v>
      </x:c>
      <x:c r="C83" s="8" t="str">
        <x:v>Additional transfer</x:v>
      </x:c>
      <x:c r="D83" s="8" t="str">
        <x:v>Concept/compositional transfer</x:v>
      </x:c>
      <x:c r="E83" s="7" t="str">
        <x:v>Additional seen-state scene transfer (upside-down)</x:v>
      </x:c>
      <x:c r="F83" s="8" t="str">
        <x:v>SR-X22</x:v>
      </x:c>
      <x:c r="G83" s="8"/>
      <x:c r="H83" s="7" t="str">
        <x:v>Move the upside-down brown cup into the bowl.</x:v>
      </x:c>
      <x:c r="I83" s="7" t="str">
        <x:v>P1 white cup B (C, UD); P2 brown cup B (C, UD) [TARGET]; P3 brown cup A (C, UR) [STATE COMPETITOR]; P4 yellow-white striped cup A (O, UR)</x:v>
      </x:c>
      <x:c r="J83" s="8" t="str">
        <x:v>brown cup B</x:v>
      </x:c>
      <x:c r="K83" s="8" t="str">
        <x:v>upside-down</x:v>
      </x:c>
      <x:c r="L83" s="8" t="str">
        <x:v>brown cup</x:v>
      </x:c>
      <x:c r="M83" s="8" t="str">
        <x:v>Same-task seen category</x:v>
      </x:c>
      <x:c r="N83" s="7" t="str">
        <x:v>Build the listed same-category discrimination scene; both category instances must remain present.</x:v>
      </x:c>
      <x:c r="O83" s="7" t="str">
        <x:v>Unpaired primary-transfer coverage. Category and state are both present in the prompt, matching the training prompt structure.</x:v>
      </x:c>
      <x:c r="P83" s="7"/>
    </x:row>
    <x:row r="84" ht="60" customHeight="1">
      <x:c r="A84" s="8" t="n">
        <x:v>82</x:v>
      </x:c>
      <x:c r="B84" s="8" t="n">
        <x:v>43</x:v>
      </x:c>
      <x:c r="C84" s="8" t="str">
        <x:v>Additional transfer</x:v>
      </x:c>
      <x:c r="D84" s="8" t="str">
        <x:v>Concept/compositional transfer</x:v>
      </x:c>
      <x:c r="E84" s="7" t="str">
        <x:v>Cross-task object transfer — can orientation</x:v>
      </x:c>
      <x:c r="F84" s="8" t="str">
        <x:v>SR-CAN01</x:v>
      </x:c>
      <x:c r="G84" s="8"/>
      <x:c r="H84" s="7" t="str">
        <x:v>Put the upright can in the bowl.</x:v>
      </x:c>
      <x:c r="I84" s="7" t="str">
        <x:v>P1 crushed Coke can (UR) [TARGET]; P2 crushed Pepsi can (UD) [STATE COMPETITOR]; P3 white cup A (O, UD); P4 yellow-white striped cup B (C, UD)</x:v>
      </x:c>
      <x:c r="J84" s="8" t="str">
        <x:v>crushed Coke can</x:v>
      </x:c>
      <x:c r="K84" s="8" t="str">
        <x:v>upright</x:v>
      </x:c>
      <x:c r="L84" s="8" t="str">
        <x:v>can</x:v>
      </x:c>
      <x:c r="M84" s="8" t="str">
        <x:v>Cross-task seen; unseen in State Recognition</x:v>
      </x:c>
      <x:c r="N84" s="7" t="str">
        <x:v>Use both crushed cans. One must be upright and the other upside-down; the state word, not brand, selects the target.</x:v>
      </x:c>
      <x:c r="O84" s="7" t="str">
        <x:v>Cans were seen elsewhere in training, so these test cross-task composition rather than global visual novelty. Never assign open/closed to cans.</x:v>
      </x:c>
      <x:c r="P84" s="7"/>
    </x:row>
    <x:row r="85" ht="60" customHeight="1">
      <x:c r="A85" s="8" t="n">
        <x:v>83</x:v>
      </x:c>
      <x:c r="B85" s="8" t="n">
        <x:v>44</x:v>
      </x:c>
      <x:c r="C85" s="8" t="str">
        <x:v>Additional transfer</x:v>
      </x:c>
      <x:c r="D85" s="8" t="str">
        <x:v>Concept/compositional transfer</x:v>
      </x:c>
      <x:c r="E85" s="7" t="str">
        <x:v>Cross-task object transfer — can orientation</x:v>
      </x:c>
      <x:c r="F85" s="8" t="str">
        <x:v>SR-CAN02</x:v>
      </x:c>
      <x:c r="G85" s="8"/>
      <x:c r="H85" s="7" t="str">
        <x:v>Move the upright can into the bowl.</x:v>
      </x:c>
      <x:c r="I85" s="7" t="str">
        <x:v>P1 yellow-white striped cup B (C, UD); P2 crushed Pepsi can (UR) [TARGET]; P3 crushed Coke can (UD) [STATE COMPETITOR]; P4 brown cup A (O, UD)</x:v>
      </x:c>
      <x:c r="J85" s="8" t="str">
        <x:v>crushed Pepsi can</x:v>
      </x:c>
      <x:c r="K85" s="8" t="str">
        <x:v>upright</x:v>
      </x:c>
      <x:c r="L85" s="8" t="str">
        <x:v>can</x:v>
      </x:c>
      <x:c r="M85" s="8" t="str">
        <x:v>Cross-task seen; unseen in State Recognition</x:v>
      </x:c>
      <x:c r="N85" s="7" t="str">
        <x:v>Use both crushed cans. One must be upright and the other upside-down; the state word, not brand, selects the target.</x:v>
      </x:c>
      <x:c r="O85" s="7" t="str">
        <x:v>Cans were seen elsewhere in training, so these test cross-task composition rather than global visual novelty. Never assign open/closed to cans.</x:v>
      </x:c>
      <x:c r="P85" s="7"/>
    </x:row>
    <x:row r="86" ht="60" customHeight="1">
      <x:c r="A86" s="8" t="n">
        <x:v>84</x:v>
      </x:c>
      <x:c r="B86" s="8" t="n">
        <x:v>45</x:v>
      </x:c>
      <x:c r="C86" s="8" t="str">
        <x:v>Additional transfer</x:v>
      </x:c>
      <x:c r="D86" s="8" t="str">
        <x:v>Concept/compositional transfer</x:v>
      </x:c>
      <x:c r="E86" s="7" t="str">
        <x:v>Cross-task object transfer — can orientation</x:v>
      </x:c>
      <x:c r="F86" s="8" t="str">
        <x:v>SR-CAN03</x:v>
      </x:c>
      <x:c r="G86" s="8"/>
      <x:c r="H86" s="7" t="str">
        <x:v>Place the upright can in the bowl.</x:v>
      </x:c>
      <x:c r="I86" s="7" t="str">
        <x:v>P1 brown cup A (O, UD); P2 glass spice container B (C, UD); P3 crushed Coke can (UR) [TARGET]; P4 crushed Pepsi can (UD) [STATE COMPETITOR]</x:v>
      </x:c>
      <x:c r="J86" s="8" t="str">
        <x:v>crushed Coke can</x:v>
      </x:c>
      <x:c r="K86" s="8" t="str">
        <x:v>upright</x:v>
      </x:c>
      <x:c r="L86" s="8" t="str">
        <x:v>can</x:v>
      </x:c>
      <x:c r="M86" s="8" t="str">
        <x:v>Cross-task seen; unseen in State Recognition</x:v>
      </x:c>
      <x:c r="N86" s="7" t="str">
        <x:v>Use both crushed cans. One must be upright and the other upside-down; the state word, not brand, selects the target.</x:v>
      </x:c>
      <x:c r="O86" s="7" t="str">
        <x:v>Cans were seen elsewhere in training, so these test cross-task composition rather than global visual novelty. Never assign open/closed to cans.</x:v>
      </x:c>
      <x:c r="P86" s="7"/>
    </x:row>
    <x:row r="87" ht="60" customHeight="1">
      <x:c r="A87" s="8" t="n">
        <x:v>85</x:v>
      </x:c>
      <x:c r="B87" s="8" t="n">
        <x:v>46</x:v>
      </x:c>
      <x:c r="C87" s="8" t="str">
        <x:v>Additional transfer</x:v>
      </x:c>
      <x:c r="D87" s="8" t="str">
        <x:v>Concept/compositional transfer</x:v>
      </x:c>
      <x:c r="E87" s="7" t="str">
        <x:v>Cross-task object transfer — can orientation</x:v>
      </x:c>
      <x:c r="F87" s="8" t="str">
        <x:v>SR-CAN04</x:v>
      </x:c>
      <x:c r="G87" s="8"/>
      <x:c r="H87" s="7" t="str">
        <x:v>Put the upright can in the bowl.</x:v>
      </x:c>
      <x:c r="I87" s="7" t="str">
        <x:v>P1 crushed Coke can (UD) [STATE COMPETITOR]; P2 glass spice container A (O, UD); P3 white cup B (C, UD); P4 crushed Pepsi can (UR) [TARGET]</x:v>
      </x:c>
      <x:c r="J87" s="8" t="str">
        <x:v>crushed Pepsi can</x:v>
      </x:c>
      <x:c r="K87" s="8" t="str">
        <x:v>upright</x:v>
      </x:c>
      <x:c r="L87" s="8" t="str">
        <x:v>can</x:v>
      </x:c>
      <x:c r="M87" s="8" t="str">
        <x:v>Cross-task seen; unseen in State Recognition</x:v>
      </x:c>
      <x:c r="N87" s="7" t="str">
        <x:v>Use both crushed cans. One must be upright and the other upside-down; the state word, not brand, selects the target.</x:v>
      </x:c>
      <x:c r="O87" s="7" t="str">
        <x:v>Cans were seen elsewhere in training, so these test cross-task composition rather than global visual novelty. Never assign open/closed to cans.</x:v>
      </x:c>
      <x:c r="P87" s="7"/>
    </x:row>
    <x:row r="88" ht="60" customHeight="1">
      <x:c r="A88" s="8" t="n">
        <x:v>86</x:v>
      </x:c>
      <x:c r="B88" s="8" t="n">
        <x:v>47</x:v>
      </x:c>
      <x:c r="C88" s="8" t="str">
        <x:v>Additional transfer</x:v>
      </x:c>
      <x:c r="D88" s="8" t="str">
        <x:v>Concept/compositional transfer</x:v>
      </x:c>
      <x:c r="E88" s="7" t="str">
        <x:v>Cross-task object transfer — can orientation</x:v>
      </x:c>
      <x:c r="F88" s="8" t="str">
        <x:v>SR-CAN05</x:v>
      </x:c>
      <x:c r="G88" s="8"/>
      <x:c r="H88" s="7" t="str">
        <x:v>Move the upright can into the bowl.</x:v>
      </x:c>
      <x:c r="I88" s="7" t="str">
        <x:v>P1 crushed Coke can (UR) [TARGET]; P2 crushed Pepsi can (UD) [STATE COMPETITOR]; P3 white cup A (O, UD); P4 yellow-white striped cup B (C, UD)</x:v>
      </x:c>
      <x:c r="J88" s="8" t="str">
        <x:v>crushed Coke can</x:v>
      </x:c>
      <x:c r="K88" s="8" t="str">
        <x:v>upright</x:v>
      </x:c>
      <x:c r="L88" s="8" t="str">
        <x:v>can</x:v>
      </x:c>
      <x:c r="M88" s="8" t="str">
        <x:v>Cross-task seen; unseen in State Recognition</x:v>
      </x:c>
      <x:c r="N88" s="7" t="str">
        <x:v>Use both crushed cans. One must be upright and the other upside-down; the state word, not brand, selects the target.</x:v>
      </x:c>
      <x:c r="O88" s="7" t="str">
        <x:v>Cans were seen elsewhere in training, so these test cross-task composition rather than global visual novelty. Never assign open/closed to cans.</x:v>
      </x:c>
      <x:c r="P88" s="7"/>
    </x:row>
    <x:row r="89" ht="60" customHeight="1">
      <x:c r="A89" s="8" t="n">
        <x:v>87</x:v>
      </x:c>
      <x:c r="B89" s="8" t="n">
        <x:v>48</x:v>
      </x:c>
      <x:c r="C89" s="8" t="str">
        <x:v>Additional transfer</x:v>
      </x:c>
      <x:c r="D89" s="8" t="str">
        <x:v>Concept/compositional transfer</x:v>
      </x:c>
      <x:c r="E89" s="7" t="str">
        <x:v>Cross-task object transfer — can orientation</x:v>
      </x:c>
      <x:c r="F89" s="8" t="str">
        <x:v>SR-CAN06</x:v>
      </x:c>
      <x:c r="G89" s="8"/>
      <x:c r="H89" s="7" t="str">
        <x:v>Place the upside-down can in the bowl.</x:v>
      </x:c>
      <x:c r="I89" s="7" t="str">
        <x:v>P1 yellow-white striped cup B (C, UR); P2 crushed Pepsi can (UD) [TARGET]; P3 crushed Coke can (UR) [STATE COMPETITOR]; P4 brown cup A (O, UR)</x:v>
      </x:c>
      <x:c r="J89" s="8" t="str">
        <x:v>crushed Pepsi can</x:v>
      </x:c>
      <x:c r="K89" s="8" t="str">
        <x:v>upside-down</x:v>
      </x:c>
      <x:c r="L89" s="8" t="str">
        <x:v>can</x:v>
      </x:c>
      <x:c r="M89" s="8" t="str">
        <x:v>Cross-task seen; unseen in State Recognition</x:v>
      </x:c>
      <x:c r="N89" s="7" t="str">
        <x:v>Use both crushed cans. One must be upright and the other upside-down; the state word, not brand, selects the target.</x:v>
      </x:c>
      <x:c r="O89" s="7" t="str">
        <x:v>Cans were seen elsewhere in training, so these test cross-task composition rather than global visual novelty. Never assign open/closed to cans.</x:v>
      </x:c>
      <x:c r="P89" s="7"/>
    </x:row>
    <x:row r="90" ht="60" customHeight="1">
      <x:c r="A90" s="8" t="n">
        <x:v>88</x:v>
      </x:c>
      <x:c r="B90" s="8" t="n">
        <x:v>49</x:v>
      </x:c>
      <x:c r="C90" s="8" t="str">
        <x:v>Additional transfer</x:v>
      </x:c>
      <x:c r="D90" s="8" t="str">
        <x:v>Concept/compositional transfer</x:v>
      </x:c>
      <x:c r="E90" s="7" t="str">
        <x:v>Cross-task object transfer — can orientation</x:v>
      </x:c>
      <x:c r="F90" s="8" t="str">
        <x:v>SR-CAN07</x:v>
      </x:c>
      <x:c r="G90" s="8"/>
      <x:c r="H90" s="7" t="str">
        <x:v>Put the upside-down can in the bowl.</x:v>
      </x:c>
      <x:c r="I90" s="7" t="str">
        <x:v>P1 brown cup A (O, UR); P2 glass spice container B (C, UR); P3 crushed Coke can (UD) [TARGET]; P4 crushed Pepsi can (UR) [STATE COMPETITOR]</x:v>
      </x:c>
      <x:c r="J90" s="8" t="str">
        <x:v>crushed Coke can</x:v>
      </x:c>
      <x:c r="K90" s="8" t="str">
        <x:v>upside-down</x:v>
      </x:c>
      <x:c r="L90" s="8" t="str">
        <x:v>can</x:v>
      </x:c>
      <x:c r="M90" s="8" t="str">
        <x:v>Cross-task seen; unseen in State Recognition</x:v>
      </x:c>
      <x:c r="N90" s="7" t="str">
        <x:v>Use both crushed cans. One must be upright and the other upside-down; the state word, not brand, selects the target.</x:v>
      </x:c>
      <x:c r="O90" s="7" t="str">
        <x:v>Cans were seen elsewhere in training, so these test cross-task composition rather than global visual novelty. Never assign open/closed to cans.</x:v>
      </x:c>
      <x:c r="P90" s="7"/>
    </x:row>
    <x:row r="91" ht="60" customHeight="1">
      <x:c r="A91" s="8" t="n">
        <x:v>89</x:v>
      </x:c>
      <x:c r="B91" s="8" t="n">
        <x:v>50</x:v>
      </x:c>
      <x:c r="C91" s="8" t="str">
        <x:v>Additional transfer</x:v>
      </x:c>
      <x:c r="D91" s="8" t="str">
        <x:v>Concept/compositional transfer</x:v>
      </x:c>
      <x:c r="E91" s="7" t="str">
        <x:v>Cross-task object transfer — can orientation</x:v>
      </x:c>
      <x:c r="F91" s="8" t="str">
        <x:v>SR-CAN08</x:v>
      </x:c>
      <x:c r="G91" s="8"/>
      <x:c r="H91" s="7" t="str">
        <x:v>Move the upside-down can into the bowl.</x:v>
      </x:c>
      <x:c r="I91" s="7" t="str">
        <x:v>P1 crushed Coke can (UR) [STATE COMPETITOR]; P2 glass spice container A (O, UR); P3 white cup B (C, UR); P4 crushed Pepsi can (UD) [TARGET]</x:v>
      </x:c>
      <x:c r="J91" s="8" t="str">
        <x:v>crushed Pepsi can</x:v>
      </x:c>
      <x:c r="K91" s="8" t="str">
        <x:v>upside-down</x:v>
      </x:c>
      <x:c r="L91" s="8" t="str">
        <x:v>can</x:v>
      </x:c>
      <x:c r="M91" s="8" t="str">
        <x:v>Cross-task seen; unseen in State Recognition</x:v>
      </x:c>
      <x:c r="N91" s="7" t="str">
        <x:v>Use both crushed cans. One must be upright and the other upside-down; the state word, not brand, selects the target.</x:v>
      </x:c>
      <x:c r="O91" s="7" t="str">
        <x:v>Cans were seen elsewhere in training, so these test cross-task composition rather than global visual novelty. Never assign open/closed to cans.</x:v>
      </x:c>
      <x:c r="P91" s="7"/>
    </x:row>
    <x:row r="92" ht="60" customHeight="1">
      <x:c r="A92" s="8" t="n">
        <x:v>90</x:v>
      </x:c>
      <x:c r="B92" s="8" t="n">
        <x:v>51</x:v>
      </x:c>
      <x:c r="C92" s="8" t="str">
        <x:v>Exploratory black-cup pilot</x:v>
      </x:c>
      <x:c r="D92" s="8" t="str">
        <x:v>Exploratory visual OOD</x:v>
      </x:c>
      <x:c r="E92" s="7" t="str">
        <x:v>Single globally unseen black-cup manipulation pilot</x:v>
      </x:c>
      <x:c r="F92" s="8" t="str">
        <x:v>SR-BLK01</x:v>
      </x:c>
      <x:c r="G92" s="8"/>
      <x:c r="H92" s="7" t="str">
        <x:v>Place the closed black cup in the bowl.</x:v>
      </x:c>
      <x:c r="I92" s="7" t="str">
        <x:v>P1 black cup (C, UR) [TARGET]; P2 brown cup B (C, UD); P3 glass spice container A (O, UR); P4 white cup B (C, UD)</x:v>
      </x:c>
      <x:c r="J92" s="8" t="str">
        <x:v>black cup</x:v>
      </x:c>
      <x:c r="K92" s="8" t="str">
        <x:v>closed</x:v>
      </x:c>
      <x:c r="L92" s="8" t="str">
        <x:v>black cup</x:v>
      </x:c>
      <x:c r="M92" s="8" t="str">
        <x:v>One globally unseen physical object — confirm absent from all training</x:v>
      </x:c>
      <x:c r="N92" s="7" t="str">
        <x:v>Use the same black cup in the listed state and position. Keep the ordinary training objects as distractors.</x:v>
      </x:c>
      <x:c r="O92" s="7" t="str">
        <x:v>Exploratory only: because there is only one black cup, the model can select it without using the state word. Do not count these rows as evidence of state grounding or object-level generalization.</x:v>
      </x:c>
      <x:c r="P92" s="7"/>
    </x:row>
    <x:row r="93" ht="60" customHeight="1">
      <x:c r="A93" s="8" t="n">
        <x:v>91</x:v>
      </x:c>
      <x:c r="B93" s="8" t="n">
        <x:v>52</x:v>
      </x:c>
      <x:c r="C93" s="8" t="str">
        <x:v>Exploratory black-cup pilot</x:v>
      </x:c>
      <x:c r="D93" s="8" t="str">
        <x:v>Exploratory visual OOD</x:v>
      </x:c>
      <x:c r="E93" s="7" t="str">
        <x:v>Single globally unseen black-cup manipulation pilot</x:v>
      </x:c>
      <x:c r="F93" s="8" t="str">
        <x:v>SR-BLK02</x:v>
      </x:c>
      <x:c r="G93" s="8"/>
      <x:c r="H93" s="7" t="str">
        <x:v>Put the closed black cup in the bowl.</x:v>
      </x:c>
      <x:c r="I93" s="7" t="str">
        <x:v>P1 glass spice container B (C, UD); P2 black cup (C, UD) [TARGET]; P3 white cup B (C, UD); P4 yellow-white striped cup A (O, UR)</x:v>
      </x:c>
      <x:c r="J93" s="8" t="str">
        <x:v>black cup</x:v>
      </x:c>
      <x:c r="K93" s="8" t="str">
        <x:v>closed</x:v>
      </x:c>
      <x:c r="L93" s="8" t="str">
        <x:v>black cup</x:v>
      </x:c>
      <x:c r="M93" s="8" t="str">
        <x:v>One globally unseen physical object — confirm absent from all training</x:v>
      </x:c>
      <x:c r="N93" s="7" t="str">
        <x:v>Use the same black cup in the listed state and position. Keep the ordinary training objects as distractors.</x:v>
      </x:c>
      <x:c r="O93" s="7" t="str">
        <x:v>Exploratory only: because there is only one black cup, the model can select it without using the state word. Do not count these rows as evidence of state grounding or object-level generalization.</x:v>
      </x:c>
      <x:c r="P93" s="7"/>
    </x:row>
    <x:row r="94" ht="60" customHeight="1">
      <x:c r="A94" s="8" t="n">
        <x:v>92</x:v>
      </x:c>
      <x:c r="B94" s="8" t="n">
        <x:v>53</x:v>
      </x:c>
      <x:c r="C94" s="8" t="str">
        <x:v>Exploratory black-cup pilot</x:v>
      </x:c>
      <x:c r="D94" s="8" t="str">
        <x:v>Exploratory visual OOD</x:v>
      </x:c>
      <x:c r="E94" s="7" t="str">
        <x:v>Single globally unseen black-cup manipulation pilot</x:v>
      </x:c>
      <x:c r="F94" s="8" t="str">
        <x:v>SR-BLK03</x:v>
      </x:c>
      <x:c r="G94" s="8"/>
      <x:c r="H94" s="7" t="str">
        <x:v>Move the open black cup into the bowl.</x:v>
      </x:c>
      <x:c r="I94" s="7" t="str">
        <x:v>P1 white cup A (O, UR); P2 yellow-white striped cup B (C, UD); P3 black cup (O, UR) [TARGET]; P4 brown cup B (C, UD)</x:v>
      </x:c>
      <x:c r="J94" s="8" t="str">
        <x:v>black cup</x:v>
      </x:c>
      <x:c r="K94" s="8" t="str">
        <x:v>open</x:v>
      </x:c>
      <x:c r="L94" s="8" t="str">
        <x:v>black cup</x:v>
      </x:c>
      <x:c r="M94" s="8" t="str">
        <x:v>One globally unseen physical object — confirm absent from all training</x:v>
      </x:c>
      <x:c r="N94" s="7" t="str">
        <x:v>Use the same black cup in the listed state and position. Keep the ordinary training objects as distractors.</x:v>
      </x:c>
      <x:c r="O94" s="7" t="str">
        <x:v>Exploratory only: because there is only one black cup, the model can select it without using the state word. Do not count these rows as evidence of state grounding or object-level generalization.</x:v>
      </x:c>
      <x:c r="P94" s="7"/>
    </x:row>
    <x:row r="95" ht="60" customHeight="1">
      <x:c r="A95" s="8" t="n">
        <x:v>93</x:v>
      </x:c>
      <x:c r="B95" s="8" t="n">
        <x:v>54</x:v>
      </x:c>
      <x:c r="C95" s="8" t="str">
        <x:v>Exploratory black-cup pilot</x:v>
      </x:c>
      <x:c r="D95" s="8" t="str">
        <x:v>Exploratory visual OOD</x:v>
      </x:c>
      <x:c r="E95" s="7" t="str">
        <x:v>Single globally unseen black-cup manipulation pilot</x:v>
      </x:c>
      <x:c r="F95" s="8" t="str">
        <x:v>SR-BLK04</x:v>
      </x:c>
      <x:c r="G95" s="8"/>
      <x:c r="H95" s="7" t="str">
        <x:v>Place the open black cup in the bowl.</x:v>
      </x:c>
      <x:c r="I95" s="7" t="str">
        <x:v>P1 yellow-white striped cup B (C, UD); P2 brown cup A (O, UR); P3 glass spice container B (C, UD); P4 black cup (O, UD) [TARGET]</x:v>
      </x:c>
      <x:c r="J95" s="8" t="str">
        <x:v>black cup</x:v>
      </x:c>
      <x:c r="K95" s="8" t="str">
        <x:v>open</x:v>
      </x:c>
      <x:c r="L95" s="8" t="str">
        <x:v>black cup</x:v>
      </x:c>
      <x:c r="M95" s="8" t="str">
        <x:v>One globally unseen physical object — confirm absent from all training</x:v>
      </x:c>
      <x:c r="N95" s="7" t="str">
        <x:v>Use the same black cup in the listed state and position. Keep the ordinary training objects as distractors.</x:v>
      </x:c>
      <x:c r="O95" s="7" t="str">
        <x:v>Exploratory only: because there is only one black cup, the model can select it without using the state word. Do not count these rows as evidence of state grounding or object-level generalization.</x:v>
      </x:c>
      <x:c r="P95" s="7"/>
    </x:row>
    <x:row r="96" ht="60" customHeight="1">
      <x:c r="A96" s="8" t="n">
        <x:v>94</x:v>
      </x:c>
      <x:c r="B96" s="8" t="n">
        <x:v>55</x:v>
      </x:c>
      <x:c r="C96" s="8" t="str">
        <x:v>Exploratory black-cup pilot</x:v>
      </x:c>
      <x:c r="D96" s="8" t="str">
        <x:v>Exploratory visual OOD</x:v>
      </x:c>
      <x:c r="E96" s="7" t="str">
        <x:v>Single globally unseen black-cup manipulation pilot</x:v>
      </x:c>
      <x:c r="F96" s="8" t="str">
        <x:v>SR-BLK05</x:v>
      </x:c>
      <x:c r="G96" s="8"/>
      <x:c r="H96" s="7" t="str">
        <x:v>Put the upright black cup in the bowl.</x:v>
      </x:c>
      <x:c r="I96" s="7" t="str">
        <x:v>P1 black cup (O, UR) [TARGET]; P2 brown cup B (C, UD); P3 glass spice container A (O, UR); P4 white cup B (C, UD)</x:v>
      </x:c>
      <x:c r="J96" s="8" t="str">
        <x:v>black cup</x:v>
      </x:c>
      <x:c r="K96" s="8" t="str">
        <x:v>upright</x:v>
      </x:c>
      <x:c r="L96" s="8" t="str">
        <x:v>black cup</x:v>
      </x:c>
      <x:c r="M96" s="8" t="str">
        <x:v>One globally unseen physical object — confirm absent from all training</x:v>
      </x:c>
      <x:c r="N96" s="7" t="str">
        <x:v>Use the same black cup in the listed state and position. Keep the ordinary training objects as distractors.</x:v>
      </x:c>
      <x:c r="O96" s="7" t="str">
        <x:v>Exploratory only: because there is only one black cup, the model can select it without using the state word. Do not count these rows as evidence of state grounding or object-level generalization.</x:v>
      </x:c>
      <x:c r="P96" s="7"/>
    </x:row>
    <x:row r="97" ht="60" customHeight="1">
      <x:c r="A97" s="8" t="n">
        <x:v>95</x:v>
      </x:c>
      <x:c r="B97" s="8" t="n">
        <x:v>56</x:v>
      </x:c>
      <x:c r="C97" s="8" t="str">
        <x:v>Exploratory black-cup pilot</x:v>
      </x:c>
      <x:c r="D97" s="8" t="str">
        <x:v>Exploratory visual OOD</x:v>
      </x:c>
      <x:c r="E97" s="7" t="str">
        <x:v>Single globally unseen black-cup manipulation pilot</x:v>
      </x:c>
      <x:c r="F97" s="8" t="str">
        <x:v>SR-BLK06</x:v>
      </x:c>
      <x:c r="G97" s="8"/>
      <x:c r="H97" s="7" t="str">
        <x:v>Move the upright black cup into the bowl.</x:v>
      </x:c>
      <x:c r="I97" s="7" t="str">
        <x:v>P1 glass spice container B (C, UD); P2 black cup (C, UR) [TARGET]; P3 white cup B (C, UD); P4 yellow-white striped cup A (O, UR)</x:v>
      </x:c>
      <x:c r="J97" s="8" t="str">
        <x:v>black cup</x:v>
      </x:c>
      <x:c r="K97" s="8" t="str">
        <x:v>upright</x:v>
      </x:c>
      <x:c r="L97" s="8" t="str">
        <x:v>black cup</x:v>
      </x:c>
      <x:c r="M97" s="8" t="str">
        <x:v>One globally unseen physical object — confirm absent from all training</x:v>
      </x:c>
      <x:c r="N97" s="7" t="str">
        <x:v>Use the same black cup in the listed state and position. Keep the ordinary training objects as distractors.</x:v>
      </x:c>
      <x:c r="O97" s="7" t="str">
        <x:v>Exploratory only: because there is only one black cup, the model can select it without using the state word. Do not count these rows as evidence of state grounding or object-level generalization.</x:v>
      </x:c>
      <x:c r="P97" s="7"/>
    </x:row>
    <x:row r="98" ht="60" customHeight="1">
      <x:c r="A98" s="8" t="n">
        <x:v>96</x:v>
      </x:c>
      <x:c r="B98" s="8" t="n">
        <x:v>57</x:v>
      </x:c>
      <x:c r="C98" s="8" t="str">
        <x:v>Exploratory black-cup pilot</x:v>
      </x:c>
      <x:c r="D98" s="8" t="str">
        <x:v>Exploratory visual OOD</x:v>
      </x:c>
      <x:c r="E98" s="7" t="str">
        <x:v>Single globally unseen black-cup manipulation pilot</x:v>
      </x:c>
      <x:c r="F98" s="8" t="str">
        <x:v>SR-BLK07</x:v>
      </x:c>
      <x:c r="G98" s="8"/>
      <x:c r="H98" s="7" t="str">
        <x:v>Place the upside-down black cup in the bowl.</x:v>
      </x:c>
      <x:c r="I98" s="7" t="str">
        <x:v>P1 white cup A (O, UR); P2 yellow-white striped cup B (C, UD); P3 black cup (O, UD) [TARGET]; P4 brown cup B (C, UD)</x:v>
      </x:c>
      <x:c r="J98" s="8" t="str">
        <x:v>black cup</x:v>
      </x:c>
      <x:c r="K98" s="8" t="str">
        <x:v>upside-down</x:v>
      </x:c>
      <x:c r="L98" s="8" t="str">
        <x:v>black cup</x:v>
      </x:c>
      <x:c r="M98" s="8" t="str">
        <x:v>One globally unseen physical object — confirm absent from all training</x:v>
      </x:c>
      <x:c r="N98" s="7" t="str">
        <x:v>Use the same black cup in the listed state and position. Keep the ordinary training objects as distractors.</x:v>
      </x:c>
      <x:c r="O98" s="7" t="str">
        <x:v>Exploratory only: because there is only one black cup, the model can select it without using the state word. Do not count these rows as evidence of state grounding or object-level generalization.</x:v>
      </x:c>
      <x:c r="P98" s="7"/>
    </x:row>
    <x:row r="99" ht="60" customHeight="1">
      <x:c r="A99" s="8" t="n">
        <x:v>97</x:v>
      </x:c>
      <x:c r="B99" s="8" t="n">
        <x:v>58</x:v>
      </x:c>
      <x:c r="C99" s="8" t="str">
        <x:v>Exploratory black-cup pilot</x:v>
      </x:c>
      <x:c r="D99" s="8" t="str">
        <x:v>Exploratory visual OOD</x:v>
      </x:c>
      <x:c r="E99" s="7" t="str">
        <x:v>Single globally unseen black-cup manipulation pilot</x:v>
      </x:c>
      <x:c r="F99" s="8" t="str">
        <x:v>SR-BLK08</x:v>
      </x:c>
      <x:c r="G99" s="8"/>
      <x:c r="H99" s="7" t="str">
        <x:v>Put the upside-down black cup in the bowl.</x:v>
      </x:c>
      <x:c r="I99" s="7" t="str">
        <x:v>P1 yellow-white striped cup B (C, UD); P2 brown cup A (O, UR); P3 glass spice container B (C, UD); P4 black cup (C, UD) [TARGET]</x:v>
      </x:c>
      <x:c r="J99" s="8" t="str">
        <x:v>black cup</x:v>
      </x:c>
      <x:c r="K99" s="8" t="str">
        <x:v>upside-down</x:v>
      </x:c>
      <x:c r="L99" s="8" t="str">
        <x:v>black cup</x:v>
      </x:c>
      <x:c r="M99" s="8" t="str">
        <x:v>One globally unseen physical object — confirm absent from all training</x:v>
      </x:c>
      <x:c r="N99" s="7" t="str">
        <x:v>Use the same black cup in the listed state and position. Keep the ordinary training objects as distractors.</x:v>
      </x:c>
      <x:c r="O99" s="7" t="str">
        <x:v>Exploratory only: because there is only one black cup, the model can select it without using the state word. Do not count these rows as evidence of state grounding or object-level generalization.</x:v>
      </x:c>
      <x:c r="P99" s="7"/>
    </x:row>
  </x:sheetData>
  <x:conditionalFormatting sqref="D2:D99">
    <x:cfRule type="containsText" dxfId="0" priority="1" operator="containsText" text="Concept/compositional transfer"/>
    <x:cfRule type="containsText" dxfId="1" priority="2" operator="containsText" text="Matched manipulation control"/>
    <x:cfRule type="containsText" dxfId="2" priority="3" operator="containsText" text="Exploratory visual OOD"/>
    <x:cfRule type="containsText" dxfId="3" priority="4" operator="containsText" text="Language robustness"/>
  </x:conditionalFormatting>
  <x:conditionalFormatting sqref="M2:M99">
    <x:cfRule type="containsText" dxfId="4" priority="5" operator="containsText" text="confirm absent"/>
  </x:conditionalFormatting>
  <x:pageMargins left="0.7" right="0.7" top="0.75" bottom="0.75" header="0.3" footer="0.3"/>
  <x:tableParts count="1">
    <x:tablePart xmlns:r="http://schemas.openxmlformats.org/officeDocument/2006/relationships" r:id="R2f05a1f6c2e7471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29" hidden="0" customWidth="1"/>
    <x:col min="3" max="3" width="30" hidden="0" customWidth="1"/>
    <x:col min="4" max="4" width="32" hidden="0" customWidth="1"/>
    <x:col min="5" max="5" width="31" hidden="0" customWidth="1"/>
    <x:col min="6" max="6" width="42" hidden="0" customWidth="1"/>
    <x:col min="7" max="7" width="28" hidden="0" customWidth="1"/>
    <x:col min="8" max="8" width="62" hidden="0" customWidth="1"/>
  </x:cols>
  <x:sheetData>
    <x:row r="1" ht="34" customHeight="1">
      <x:c r="A1" s="4" t="str">
        <x:v>Slot / Object</x:v>
      </x:c>
      <x:c r="B1" s="4" t="str">
        <x:v>Prompt Category Phrase</x:v>
      </x:c>
      <x:c r="C1" s="4" t="str">
        <x:v>Instance A</x:v>
      </x:c>
      <x:c r="D1" s="4" t="str">
        <x:v>Instance B</x:v>
      </x:c>
      <x:c r="E1" s="4" t="str">
        <x:v>Valid States</x:v>
      </x:c>
      <x:c r="F1" s="4" t="str">
        <x:v>Training Exposure</x:v>
      </x:c>
      <x:c r="G1" s="4" t="str">
        <x:v>Visual Tier</x:v>
      </x:c>
      <x:c r="H1" s="4" t="str">
        <x:v>Rule</x:v>
      </x:c>
    </x:row>
    <x:row r="2" ht="56" customHeight="1">
      <x:c r="A2" s="7" t="str">
        <x:v>white cup A/B</x:v>
      </x:c>
      <x:c r="B2" s="7" t="str">
        <x:v>white cup</x:v>
      </x:c>
      <x:c r="C2" s="7" t="str">
        <x:v>white cup A</x:v>
      </x:c>
      <x:c r="D2" s="7" t="str">
        <x:v>white cup B</x:v>
      </x:c>
      <x:c r="E2" s="7" t="str">
        <x:v>open/closed and upright/upside-down</x:v>
      </x:c>
      <x:c r="F2" s="7" t="str">
        <x:v>Seen in State Recognition</x:v>
      </x:c>
      <x:c r="G2" s="7" t="str">
        <x:v>Known</x:v>
      </x:c>
      <x:c r="H2" s="7" t="str">
        <x:v>Two same-category instances</x:v>
      </x:c>
    </x:row>
    <x:row r="3" ht="56" customHeight="1">
      <x:c r="A3" s="7" t="str">
        <x:v>striped cup A/B</x:v>
      </x:c>
      <x:c r="B3" s="7" t="str">
        <x:v>yellow-white striped cup</x:v>
      </x:c>
      <x:c r="C3" s="7" t="str">
        <x:v>yellow-white striped cup A</x:v>
      </x:c>
      <x:c r="D3" s="7" t="str">
        <x:v>yellow-white striped cup B</x:v>
      </x:c>
      <x:c r="E3" s="7" t="str">
        <x:v>open/closed and upright/upside-down</x:v>
      </x:c>
      <x:c r="F3" s="7" t="str">
        <x:v>Seen in State Recognition</x:v>
      </x:c>
      <x:c r="G3" s="7" t="str">
        <x:v>Known</x:v>
      </x:c>
      <x:c r="H3" s="7" t="str">
        <x:v>Two same-category instances</x:v>
      </x:c>
    </x:row>
    <x:row r="4" ht="56" customHeight="1">
      <x:c r="A4" s="7" t="str">
        <x:v>brown cup A/B</x:v>
      </x:c>
      <x:c r="B4" s="7" t="str">
        <x:v>brown cup</x:v>
      </x:c>
      <x:c r="C4" s="7" t="str">
        <x:v>brown cup A</x:v>
      </x:c>
      <x:c r="D4" s="7" t="str">
        <x:v>brown cup B</x:v>
      </x:c>
      <x:c r="E4" s="7" t="str">
        <x:v>open/closed and upright/upside-down</x:v>
      </x:c>
      <x:c r="F4" s="7" t="str">
        <x:v>Seen in State Recognition</x:v>
      </x:c>
      <x:c r="G4" s="7" t="str">
        <x:v>Known</x:v>
      </x:c>
      <x:c r="H4" s="7" t="str">
        <x:v>Two same-category instances</x:v>
      </x:c>
    </x:row>
    <x:row r="5" ht="56" customHeight="1">
      <x:c r="A5" s="7" t="str">
        <x:v>glass spice container A/B</x:v>
      </x:c>
      <x:c r="B5" s="7" t="str">
        <x:v>glass spice container</x:v>
      </x:c>
      <x:c r="C5" s="7" t="str">
        <x:v>glass spice container A</x:v>
      </x:c>
      <x:c r="D5" s="7" t="str">
        <x:v>glass spice container B</x:v>
      </x:c>
      <x:c r="E5" s="7" t="str">
        <x:v>open/closed and upright/upside-down</x:v>
      </x:c>
      <x:c r="F5" s="7" t="str">
        <x:v>Seen in State Recognition</x:v>
      </x:c>
      <x:c r="G5" s="7" t="str">
        <x:v>Known</x:v>
      </x:c>
      <x:c r="H5" s="7" t="str">
        <x:v>Two same-category instances</x:v>
      </x:c>
    </x:row>
    <x:row r="6" ht="56" customHeight="1">
      <x:c r="A6" s="7" t="str">
        <x:v>crushed Coke can</x:v>
      </x:c>
      <x:c r="B6" s="7" t="str">
        <x:v>can</x:v>
      </x:c>
      <x:c r="C6" s="7" t="str">
        <x:v>crushed Coke can</x:v>
      </x:c>
      <x:c r="D6" s="7"/>
      <x:c r="E6" s="7" t="str">
        <x:v>upright/upside-down only</x:v>
      </x:c>
      <x:c r="F6" s="7" t="str">
        <x:v>Seen in another training task</x:v>
      </x:c>
      <x:c r="G6" s="7" t="str">
        <x:v>Cross-task seen</x:v>
      </x:c>
      <x:c r="H6" s="7" t="str">
        <x:v>Never label open/closed</x:v>
      </x:c>
    </x:row>
    <x:row r="7" ht="56" customHeight="1">
      <x:c r="A7" s="7" t="str">
        <x:v>crushed Pepsi can</x:v>
      </x:c>
      <x:c r="B7" s="7" t="str">
        <x:v>can</x:v>
      </x:c>
      <x:c r="C7" s="7" t="str">
        <x:v>crushed Pepsi can</x:v>
      </x:c>
      <x:c r="D7" s="7"/>
      <x:c r="E7" s="7" t="str">
        <x:v>upright/upside-down only</x:v>
      </x:c>
      <x:c r="F7" s="7" t="str">
        <x:v>Seen in another training task</x:v>
      </x:c>
      <x:c r="G7" s="7" t="str">
        <x:v>Cross-task seen</x:v>
      </x:c>
      <x:c r="H7" s="7" t="str">
        <x:v>Never label open/closed</x:v>
      </x:c>
    </x:row>
    <x:row r="8" ht="56" customHeight="1">
      <x:c r="A8" s="11" t="str">
        <x:v>Black cup pilot</x:v>
      </x:c>
      <x:c r="B8" s="11" t="str">
        <x:v>black cup</x:v>
      </x:c>
      <x:c r="C8" s="11" t="str">
        <x:v>one black cup</x:v>
      </x:c>
      <x:c r="D8" s="11"/>
      <x:c r="E8" s="11" t="str">
        <x:v>open/closed and upright/upside-down if visually unambiguous</x:v>
      </x:c>
      <x:c r="F8" s="11" t="str">
        <x:v>Must be absent from all 1,200 training episodes</x:v>
      </x:c>
      <x:c r="G8" s="11" t="str">
        <x:v>Globally unseen single-object pilot</x:v>
      </x:c>
      <x:c r="H8" s="11" t="str">
        <x:v>Category uniquely identifies it, so these rows test OOD manipulation/prompt tolerance—not whether the state word caused selection</x:v>
      </x:c>
    </x:row>
    <x:row r="9" ht="56" customHeight="1">
      <x:c r="A9" s="12" t="str">
        <x:v>Optional orange block</x:v>
      </x:c>
      <x:c r="B9" s="12" t="str">
        <x:v>orange block</x:v>
      </x:c>
      <x:c r="C9" s="12" t="str">
        <x:v>orange block</x:v>
      </x:c>
      <x:c r="D9" s="12"/>
      <x:c r="E9" s="12" t="str">
        <x:v>orientation only if visually asymmetric</x:v>
      </x:c>
      <x:c r="F9" s="12" t="str">
        <x:v>Same shape as a seen block</x:v>
      </x:c>
      <x:c r="G9" s="12" t="str">
        <x:v>Near-OOD color-only</x:v>
      </x:c>
      <x:c r="H9" s="12" t="str">
        <x:v>Not globally unseen; do not use for orientation if rotation looks identical</x:v>
      </x:c>
    </x:row>
  </x:sheetData>
  <x:pageMargins left="0.7" right="0.7" top="0.75" bottom="0.75" header="0.3" footer="0.3"/>
  <x:tableParts count="1">
    <x:tablePart xmlns:r="http://schemas.openxmlformats.org/officeDocument/2006/relationships" r:id="R6aa76a723536488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8" hidden="0" customWidth="1"/>
    <x:col min="2" max="2" width="55" hidden="0" customWidth="1"/>
    <x:col min="3" max="3" width="78" hidden="0" customWidth="1"/>
  </x:cols>
  <x:sheetData>
    <x:row r="1" ht="34" customHeight="1">
      <x:c r="A1" s="4" t="str">
        <x:v>Training / Evaluation Feature</x:v>
      </x:c>
      <x:c r="B1" s="4" t="str">
        <x:v>Observed in planned State Recognition training</x:v>
      </x:c>
      <x:c r="C1" s="4" t="str">
        <x:v>Evaluation consequence</x:v>
      </x:c>
    </x:row>
    <x:row r="2" ht="50" customHeight="1">
      <x:c r="A2" s="7" t="str">
        <x:v>State Recognition episodes</x:v>
      </x:c>
      <x:c r="B2" s="7" t="n">
        <x:v>200</x:v>
      </x:c>
      <x:c r="C2" s="7" t="str">
        <x:v>Focused evaluation uses 98 trials per model.</x:v>
      </x:c>
    </x:row>
    <x:row r="3" ht="50" customHeight="1">
      <x:c r="A3" s="7" t="str">
        <x:v>Explicit open prompts</x:v>
      </x:c>
      <x:c r="B3" s="7" t="n">
        <x:v>33</x:v>
      </x:c>
      <x:c r="C3" s="7" t="str">
        <x:v>Use state + category as the canonical seen-language structure.</x:v>
      </x:c>
    </x:row>
    <x:row r="4" ht="50" customHeight="1">
      <x:c r="A4" s="7" t="str">
        <x:v>Explicit upside-down prompts</x:v>
      </x:c>
      <x:c r="B4" s="7" t="n">
        <x:v>16</x:v>
      </x:c>
      <x:c r="C4" s="7" t="str">
        <x:v>Use state + category as the canonical seen-language structure.</x:v>
      </x:c>
    </x:row>
    <x:row r="5" ht="50" customHeight="1">
      <x:c r="A5" s="7" t="str">
        <x:v>Explicit closed prompts</x:v>
      </x:c>
      <x:c r="B5" s="7" t="n">
        <x:v>0</x:v>
      </x:c>
      <x:c r="C5" s="7" t="str">
        <x:v>Closed remains a fine-tuning-held-out state word.</x:v>
      </x:c>
    </x:row>
    <x:row r="6" ht="50" customHeight="1">
      <x:c r="A6" s="7" t="str">
        <x:v>Explicit upright prompts</x:v>
      </x:c>
      <x:c r="B6" s="7" t="n">
        <x:v>0</x:v>
      </x:c>
      <x:c r="C6" s="7" t="str">
        <x:v>Upright remains a fine-tuning-held-out state word.</x:v>
      </x:c>
    </x:row>
    <x:row r="7" ht="50" customHeight="1">
      <x:c r="A7" s="7" t="str">
        <x:v>State prompts using object/item</x:v>
      </x:c>
      <x:c r="B7" s="7" t="n">
        <x:v>0</x:v>
      </x:c>
      <x:c r="C7" s="7" t="str">
        <x:v>Generic-object prompts were removed from the focused evaluation.</x:v>
      </x:c>
    </x:row>
    <x:row r="8" ht="50" customHeight="1">
      <x:c r="A8" s="7" t="str">
        <x:v>Explicit state scene structure</x:v>
      </x:c>
      <x:c r="B8" s="7" t="str">
        <x:v>Same-category discrimination</x:v>
      </x:c>
      <x:c r="C8" s="7" t="str">
        <x:v>Primary transfer and language trials contain two objects matching the prompted category in opposite states.</x:v>
      </x:c>
    </x:row>
    <x:row r="9" ht="50" customHeight="1">
      <x:c r="A9" s="7" t="str">
        <x:v>Planned 61 recollections</x:v>
      </x:c>
      <x:c r="B9" s="7" t="str">
        <x:v>Generic category prompts; one target-category object</x:v>
      </x:c>
      <x:c r="C9" s="7" t="str">
        <x:v>They remove ambiguous supervision but do not create generic state-word training prompts.</x:v>
      </x:c>
    </x:row>
    <x:row r="10" ht="50" customHeight="1">
      <x:c r="A10" s="7" t="str">
        <x:v>Source workbook</x:v>
      </x:c>
      <x:c r="B10" s="7" t="str">
        <x:v>/Users/justintiensmith/Downloads/VLA_Reasoning_Dataset_Info_Planned_After_61_Recollections.xlsx</x:v>
      </x:c>
      <x:c r="C10" s="7" t="str">
        <x:v>Counts and prompt structure checked before this revision.</x:v>
      </x:c>
    </x:row>
  </x:sheetData>
  <x:pageMargins left="0.7" right="0.7" top="0.75" bottom="0.75" header="0.3" footer="0.3"/>
  <x:tableParts count="1">
    <x:tablePart xmlns:r="http://schemas.openxmlformats.org/officeDocument/2006/relationships" r:id="Rb4e8bfb62ac942b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1" hidden="0" customWidth="1"/>
    <x:col min="2" max="2" width="110" hidden="0" customWidth="1"/>
  </x:cols>
  <x:sheetData>
    <x:row r="1" ht="36" customHeight="1">
      <x:c r="A1" s="20" t="str">
        <x:v>STATE RECOGNITION EVALUATION — FOCUSED DESIGN</x:v>
      </x:c>
      <x:c r="B1" s="20"/>
    </x:row>
    <x:row r="2" ht="54" customHeight="1">
      <x:c r="A2" s="21" t="str">
        <x:v>Rows 0-59</x:v>
      </x:c>
      <x:c r="B2" s="22" t="str">
        <x:v>Twenty three-row blocks: canonical transfer → exact-scene paraphrase → matched control.</x:v>
      </x:c>
    </x:row>
    <x:row r="3" ht="54" customHeight="1">
      <x:c r="A3" s="21" t="str">
        <x:v>Step 1</x:v>
      </x:c>
      <x:c r="B3" s="22" t="str">
        <x:v>Two objects match the prompted category and differ only on the queried state axis. Use prompts such as ‘Place the closed white cup in the bowl.’</x:v>
      </x:c>
    </x:row>
    <x:row r="4" ht="54" customHeight="1">
      <x:c r="A4" s="21" t="str">
        <x:v>Step 2</x:v>
      </x:c>
      <x:c r="B4" s="22" t="str">
        <x:v>Reset only the moved target and keep the exact Step 1 scene. Change only the prompt wording; Reference Episode points to Step 1.</x:v>
      </x:c>
    </x:row>
    <x:row r="5" ht="54" customHeight="1">
      <x:c r="A5" s="21" t="str">
        <x:v>Step 3</x:v>
      </x:c>
      <x:c r="B5" s="22" t="str">
        <x:v>Remove only the same-category state competitor and use the category-only prompt. Keep target, other distractors, camera, and bowl fixed. A prompt-only control is invalid unless a visible descriptor is grounded and counterbalanced.</x:v>
      </x:c>
    </x:row>
    <x:row r="6" ht="54" customHeight="1">
      <x:c r="A6" s="21" t="str">
        <x:v>Primary endpoint</x:v>
      </x:c>
      <x:c r="B6" s="22" t="str">
        <x:v>Episodes 0-89 contain 50 state/compositional-transfer trials, 20 exact-scene paraphrases, and 20 matched controls. These drive the paper’s State Recognition claim.</x:v>
      </x:c>
    </x:row>
    <x:row r="7" ht="54" customHeight="1">
      <x:c r="A7" s="21" t="str">
        <x:v>Cross-task objects</x:v>
      </x:c>
      <x:c r="B7" s="22" t="str">
        <x:v>Episodes 82-89 use both crushed cans and only upright/upside-down. They test cross-task composition without adding global visual novelty. They do not establish open/closed cross-task transfer.</x:v>
      </x:c>
    </x:row>
    <x:row r="8" ht="54" customHeight="1">
      <x:c r="A8" s="21" t="str">
        <x:v>Black cup pilot</x:v>
      </x:c>
      <x:c r="B8" s="22" t="str">
        <x:v>Episodes 90-97 use one globally unseen black cup. ‘Place the open black cup…’ is acceptable as an OOD manipulation prompt, but with one black cup the state word is not required to identify the target.</x:v>
      </x:c>
    </x:row>
    <x:row r="9" ht="54" customHeight="1">
      <x:c r="A9" s="21" t="str">
        <x:v>Interpretation</x:v>
      </x:c>
      <x:c r="B9" s="22" t="str">
        <x:v>Report the eight black-cup rows separately and descriptively. They are not evidence of generalization across unseen object categories because there is only one unseen object identity.</x:v>
      </x:c>
    </x:row>
    <x:row r="10" ht="54" customHeight="1">
      <x:c r="A10" s="21" t="str">
        <x:v>Why no generic-object trials</x:v>
      </x:c>
      <x:c r="B10" s="22" t="str">
        <x:v>‘Open/closed/upright/upside-down object’ is absent from fine-tuning. Removing it keeps the main endpoint aligned and avoids a second language-distribution shift.</x:v>
      </x:c>
    </x:row>
    <x:row r="11" ht="54" customHeight="1">
      <x:c r="A11" s="21" t="str">
        <x:v>Cross-model reproducibility</x:v>
      </x:c>
      <x:c r="B11" s="22" t="str">
        <x:v>Use marked P1-P4 locations, fixed camera/bowl/lighting/horizon, and the same episode order. Save each first-frame reference filename.</x:v>
      </x:c>
    </x:row>
    <x:row r="12" ht="54" customHeight="1">
      <x:c r="A12" s="21" t="str">
        <x:v>Scoring</x:v>
      </x:c>
      <x:c r="B12" s="22" t="str">
        <x:v>Success = specified target in bowl within fixed horizon. Wrong target, timeout, no grasp, or drop outside bowl = Failure. Setup/hardware faults = Invalid / Repeat.</x:v>
      </x:c>
    </x:row>
    <x:row r="13" ht="54" customHeight="1">
      <x:c r="A13" s="21" t="str">
        <x:v>Statistical unit</x:v>
      </x:c>
      <x:c r="B13" s="22" t="str">
        <x:v>Cluster by Scene Family and compare models on identical episode specifications. Language and control rows pair with canonical transfer. Treat black-cup repetitions as repeated trials on one object, not eight independent object samples.</x:v>
      </x:c>
    </x:row>
  </x:sheetData>
  <x:mergeCells>
    <x:mergeCell ref="A1:B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44" hidden="0" customWidth="1"/>
    <x:col min="2" max="2" width="14" hidden="0" customWidth="1"/>
    <x:col min="3" max="3" width="14" hidden="0" customWidth="1"/>
    <x:col min="4" max="4" width="14" hidden="0" customWidth="1"/>
    <x:col min="5" max="5" width="68" hidden="0" customWidth="1"/>
  </x:cols>
  <x:sheetData>
    <x:row r="1" ht="32" customHeight="1">
      <x:c r="A1" s="4" t="str">
        <x:v>Check</x:v>
      </x:c>
      <x:c r="B1" s="4" t="str">
        <x:v>Observed</x:v>
      </x:c>
      <x:c r="C1" s="4" t="str">
        <x:v>Expected</x:v>
      </x:c>
      <x:c r="D1" s="4" t="str">
        <x:v>Status</x:v>
      </x:c>
      <x:c r="E1" s="4" t="str">
        <x:v>Notes</x:v>
      </x:c>
    </x:row>
    <x:row r="2" ht="38" customHeight="1">
      <x:c r="A2" s="7" t="str">
        <x:v>Total trials</x:v>
      </x:c>
      <x:c r="B2" s="7" t="n">
        <x:f>COUNTA('Evaluation Plan'!$A$2:$A$99)</x:f>
        <x:v>98</x:v>
      </x:c>
      <x:c r="C2" s="7" t="n">
        <x:v>98</x:v>
      </x:c>
      <x:c r="D2" s="7" t="str">
        <x:f>IF(B2=C2,"PASS","CHECK")</x:f>
        <x:v>PASS</x:v>
      </x:c>
      <x:c r="E2" s="7"/>
    </x:row>
    <x:row r="3" ht="38" customHeight="1">
      <x:c r="A3" s="7" t="str">
        <x:v>Concept/compositional transfer</x:v>
      </x:c>
      <x:c r="B3" s="7" t="n">
        <x:f>COUNTIF('Evaluation Plan'!$D$2:$D$99,"Concept/compositional transfer")</x:f>
        <x:v>50</x:v>
      </x:c>
      <x:c r="C3" s="7" t="n">
        <x:v>50</x:v>
      </x:c>
      <x:c r="D3" s="7" t="str">
        <x:f>IF(B3=C3,"PASS","CHECK")</x:f>
        <x:v>PASS</x:v>
      </x:c>
      <x:c r="E3" s="7" t="str">
        <x:v>Primary prompt-aligned transfer endpoint</x:v>
      </x:c>
    </x:row>
    <x:row r="4" ht="38" customHeight="1">
      <x:c r="A4" s="7" t="str">
        <x:v>Matched manipulation control</x:v>
      </x:c>
      <x:c r="B4" s="7" t="n">
        <x:f>COUNTIF('Evaluation Plan'!$D$2:$D$99,"Matched manipulation control")</x:f>
        <x:v>20</x:v>
      </x:c>
      <x:c r="C4" s="7" t="n">
        <x:v>20</x:v>
      </x:c>
      <x:c r="D4" s="7" t="str">
        <x:f>IF(B4=C4,"PASS","CHECK")</x:f>
        <x:v>PASS</x:v>
      </x:c>
      <x:c r="E4" s="7"/>
    </x:row>
    <x:row r="5" ht="38" customHeight="1">
      <x:c r="A5" s="7" t="str">
        <x:v>Language robustness</x:v>
      </x:c>
      <x:c r="B5" s="7" t="n">
        <x:f>COUNTIF('Evaluation Plan'!$D$2:$D$99,"Language robustness")</x:f>
        <x:v>20</x:v>
      </x:c>
      <x:c r="C5" s="7" t="n">
        <x:v>20</x:v>
      </x:c>
      <x:c r="D5" s="7" t="str">
        <x:f>IF(B5=C5,"PASS","CHECK")</x:f>
        <x:v>PASS</x:v>
      </x:c>
      <x:c r="E5" s="7"/>
    </x:row>
    <x:row r="6" ht="38" customHeight="1">
      <x:c r="A6" s="7" t="str">
        <x:v>Exploratory visual OOD</x:v>
      </x:c>
      <x:c r="B6" s="7" t="n">
        <x:f>COUNTIF('Evaluation Plan'!$D$2:$D$99,"Exploratory visual OOD")</x:f>
        <x:v>8</x:v>
      </x:c>
      <x:c r="C6" s="7" t="n">
        <x:v>8</x:v>
      </x:c>
      <x:c r="D6" s="7" t="str">
        <x:f>IF(B6=C6,"PASS","CHECK")</x:f>
        <x:v>PASS</x:v>
      </x:c>
      <x:c r="E6" s="7" t="str">
        <x:v>One black cup; report separately</x:v>
      </x:c>
    </x:row>
    <x:row r="7" ht="38" customHeight="1">
      <x:c r="A7" s="7" t="str">
        <x:v>Canonical transfer steps in episodes 0-59</x:v>
      </x:c>
      <x:c r="B7" s="7" t="n">
        <x:f>COUNTIF('Evaluation Plan'!$C$2:$C$61,"1 — Canonical transfer")</x:f>
        <x:v>20</x:v>
      </x:c>
      <x:c r="C7" s="7" t="n">
        <x:v>20</x:v>
      </x:c>
      <x:c r="D7" s="7" t="str">
        <x:f>IF(B7=C7,"PASS","CHECK")</x:f>
        <x:v>PASS</x:v>
      </x:c>
      <x:c r="E7" s="7" t="str">
        <x:v>First row of each three-row block</x:v>
      </x:c>
    </x:row>
    <x:row r="8" ht="38" customHeight="1">
      <x:c r="A8" s="7" t="str">
        <x:v>Exact-scene language steps in episodes 0-59</x:v>
      </x:c>
      <x:c r="B8" s="7" t="n">
        <x:f>COUNTIF('Evaluation Plan'!$C$2:$C$61,"2 — Exact-scene paraphrase")</x:f>
        <x:v>20</x:v>
      </x:c>
      <x:c r="C8" s="7" t="n">
        <x:v>20</x:v>
      </x:c>
      <x:c r="D8" s="7" t="str">
        <x:f>IF(B8=C8,"PASS","CHECK")</x:f>
        <x:v>PASS</x:v>
      </x:c>
      <x:c r="E8" s="7" t="str">
        <x:v>Second row</x:v>
      </x:c>
    </x:row>
    <x:row r="9" ht="38" customHeight="1">
      <x:c r="A9" s="7" t="str">
        <x:v>Matched control steps in episodes 0-59</x:v>
      </x:c>
      <x:c r="B9" s="7" t="n">
        <x:f>COUNTIF('Evaluation Plan'!$C$2:$C$61,"3 — Matched control")</x:f>
        <x:v>20</x:v>
      </x:c>
      <x:c r="C9" s="7" t="n">
        <x:v>20</x:v>
      </x:c>
      <x:c r="D9" s="7" t="str">
        <x:f>IF(B9=C9,"PASS","CHECK")</x:f>
        <x:v>PASS</x:v>
      </x:c>
      <x:c r="E9" s="7" t="str">
        <x:v>Third row</x:v>
      </x:c>
    </x:row>
    <x:row r="10" ht="38" customHeight="1">
      <x:c r="A10" s="7" t="str">
        <x:v>Closed transfer queries</x:v>
      </x:c>
      <x:c r="B10" s="7" t="n">
        <x:f>COUNTIFS('Evaluation Plan'!$D$2:$D$99,"Concept/compositional transfer",'Evaluation Plan'!$K$2:$K$99,"closed")</x:f>
        <x:v>15</x:v>
      </x:c>
      <x:c r="C10" s="7" t="n">
        <x:v>15</x:v>
      </x:c>
      <x:c r="D10" s="7" t="str">
        <x:f>IF(B10=C10,"PASS","CHECK")</x:f>
        <x:v>PASS</x:v>
      </x:c>
      <x:c r="E10" s="7"/>
    </x:row>
    <x:row r="11" ht="38" customHeight="1">
      <x:c r="A11" s="7" t="str">
        <x:v>Upright transfer queries</x:v>
      </x:c>
      <x:c r="B11" s="7" t="n">
        <x:f>COUNTIFS('Evaluation Plan'!$D$2:$D$99,"Concept/compositional transfer",'Evaluation Plan'!$K$2:$K$99,"upright")</x:f>
        <x:v>15</x:v>
      </x:c>
      <x:c r="C11" s="7" t="n">
        <x:v>15</x:v>
      </x:c>
      <x:c r="D11" s="7" t="str">
        <x:f>IF(B11=C11,"PASS","CHECK")</x:f>
        <x:v>PASS</x:v>
      </x:c>
      <x:c r="E11" s="7"/>
    </x:row>
    <x:row r="12" ht="38" customHeight="1">
      <x:c r="A12" s="7" t="str">
        <x:v>Open transfer queries</x:v>
      </x:c>
      <x:c r="B12" s="7" t="n">
        <x:f>COUNTIFS('Evaluation Plan'!$D$2:$D$99,"Concept/compositional transfer",'Evaluation Plan'!$K$2:$K$99,"open")</x:f>
        <x:v>10</x:v>
      </x:c>
      <x:c r="C12" s="7" t="n">
        <x:v>10</x:v>
      </x:c>
      <x:c r="D12" s="7" t="str">
        <x:f>IF(B12=C12,"PASS","CHECK")</x:f>
        <x:v>PASS</x:v>
      </x:c>
      <x:c r="E12" s="7"/>
    </x:row>
    <x:row r="13" ht="38" customHeight="1">
      <x:c r="A13" s="7" t="str">
        <x:v>Upside-down transfer queries</x:v>
      </x:c>
      <x:c r="B13" s="7" t="n">
        <x:f>COUNTIFS('Evaluation Plan'!$D$2:$D$99,"Concept/compositional transfer",'Evaluation Plan'!$K$2:$K$99,"upside-down")</x:f>
        <x:v>10</x:v>
      </x:c>
      <x:c r="C13" s="7" t="n">
        <x:v>10</x:v>
      </x:c>
      <x:c r="D13" s="7" t="str">
        <x:f>IF(B13=C13,"PASS","CHECK")</x:f>
        <x:v>PASS</x:v>
      </x:c>
      <x:c r="E13" s="7"/>
    </x:row>
    <x:row r="14" ht="38" customHeight="1">
      <x:c r="A14" s="7" t="str">
        <x:v>Category-bearing primary transfer</x:v>
      </x:c>
      <x:c r="B14" s="7" t="n">
        <x:f>COUNTIFS('Evaluation Plan'!$D$2:$D$99,"Concept/compositional transfer",'Evaluation Plan'!$L$2:$L$99,"&lt;&gt;")</x:f>
        <x:v>50</x:v>
      </x:c>
      <x:c r="C14" s="7" t="n">
        <x:v>50</x:v>
      </x:c>
      <x:c r="D14" s="7" t="str">
        <x:f>IF(B14=C14,"PASS","CHECK")</x:f>
        <x:v>PASS</x:v>
      </x:c>
      <x:c r="E14" s="7" t="str">
        <x:v>All primary transfer prompts name a category</x:v>
      </x:c>
    </x:row>
    <x:row r="15" ht="38" customHeight="1">
      <x:c r="A15" s="7" t="str">
        <x:v>Cross-task can transfer</x:v>
      </x:c>
      <x:c r="B15" s="7" t="n">
        <x:f>COUNTIF('Evaluation Plan'!$E$2:$E$99,"Cross-task object transfer — can orientation")</x:f>
        <x:v>8</x:v>
      </x:c>
      <x:c r="C15" s="7" t="n">
        <x:v>8</x:v>
      </x:c>
      <x:c r="D15" s="7" t="str">
        <x:f>IF(B15=C15,"PASS","CHECK")</x:f>
        <x:v>PASS</x:v>
      </x:c>
      <x:c r="E15" s="7" t="str">
        <x:v>Orientation only</x:v>
      </x:c>
    </x:row>
    <x:row r="16" ht="38" customHeight="1">
      <x:c r="A16" s="7" t="str">
        <x:v>Generic-object prompts</x:v>
      </x:c>
      <x:c r="B16" s="7" t="n">
        <x:f>COUNTIF('Evaluation Plan'!$L$2:$L$99,"object")</x:f>
        <x:v>0</x:v>
      </x:c>
      <x:c r="C16" s="7" t="n">
        <x:v>0</x:v>
      </x:c>
      <x:c r="D16" s="7" t="str">
        <x:f>IF(B16=C16,"PASS","CHECK")</x:f>
        <x:v>PASS</x:v>
      </x:c>
      <x:c r="E16" s="7" t="str">
        <x:v>Removed from focused design</x:v>
      </x:c>
    </x:row>
    <x:row r="17" ht="38" customHeight="1">
      <x:c r="A17" s="7" t="str">
        <x:v>Black-cup pilot rows</x:v>
      </x:c>
      <x:c r="B17" s="7" t="n">
        <x:f>COUNTIF('Evaluation Plan'!$L$2:$L$99,"black cup")</x:f>
        <x:v>8</x:v>
      </x:c>
      <x:c r="C17" s="7" t="n">
        <x:v>8</x:v>
      </x:c>
      <x:c r="D17" s="7" t="str">
        <x:f>IF(B17=C17,"PASS","CHECK")</x:f>
        <x:v>PASS</x:v>
      </x:c>
      <x:c r="E17" s="7" t="str">
        <x:v>Not part of primary endpoint</x:v>
      </x:c>
    </x:row>
    <x:row r="18" ht="38" customHeight="1">
      <x:c r="A18" s="7" t="str">
        <x:v>Globally unseen object identities</x:v>
      </x:c>
      <x:c r="B18" s="7" t="n">
        <x:f>COUNTIF('Object Inventory'!$G$2:$G$9,"Globally unseen single-object pilot")</x:f>
        <x:v>1</x:v>
      </x:c>
      <x:c r="C18" s="7" t="n">
        <x:v>1</x:v>
      </x:c>
      <x:c r="D18" s="7" t="str">
        <x:f>IF(B18=C18,"PASS","CHECK")</x:f>
        <x:v>PASS</x:v>
      </x:c>
      <x:c r="E18" s="7" t="str">
        <x:v>One physical black cup</x:v>
      </x:c>
    </x:row>
    <x:row r="19" ht="38" customHeight="1">
      <x:c r="A19" s="7" t="str">
        <x:v>Language rows referencing canonical transfer</x:v>
      </x:c>
      <x:c r="B19" s="7" t="n">
        <x:f>COUNTIFS('Evaluation Plan'!$D$2:$D$99,"Language robustness",'Evaluation Plan'!$G$2:$G$99,"&gt;=0")</x:f>
        <x:v>20</x:v>
      </x:c>
      <x:c r="C19" s="7" t="n">
        <x:v>20</x:v>
      </x:c>
      <x:c r="D19" s="7" t="str">
        <x:f>IF(B19=C19,"PASS","CHECK")</x:f>
        <x:v>PASS</x:v>
      </x:c>
      <x:c r="E19" s="7"/>
    </x:row>
    <x:row r="20" ht="38" customHeight="1">
      <x:c r="A20" s="7" t="str">
        <x:v>Control rows referencing canonical transfer</x:v>
      </x:c>
      <x:c r="B20" s="7" t="n">
        <x:f>COUNTIFS('Evaluation Plan'!$D$2:$D$99,"Matched manipulation control",'Evaluation Plan'!$G$2:$G$99,"&gt;=0")</x:f>
        <x:v>20</x:v>
      </x:c>
      <x:c r="C20" s="7" t="n">
        <x:v>20</x:v>
      </x:c>
      <x:c r="D20" s="7" t="str">
        <x:f>IF(B20=C20,"PASS","CHECK")</x:f>
        <x:v>PASS</x:v>
      </x:c>
      <x:c r="E20" s="7"/>
    </x:row>
    <x:row r="21" ht="38" customHeight="1">
      <x:c r="A21" s="7" t="str">
        <x:v>Primary endpoint rows</x:v>
      </x:c>
      <x:c r="B21" s="7" t="n">
        <x:f>COUNTIF('Evaluation Plan'!$D$2:$D$99,"&lt;&gt;Exploratory visual OOD")</x:f>
        <x:v>90</x:v>
      </x:c>
      <x:c r="C21" s="7" t="n">
        <x:v>90</x:v>
      </x:c>
      <x:c r="D21" s="7" t="str">
        <x:f>IF(B21=C21,"PASS","CHECK")</x:f>
        <x:v>PASS</x:v>
      </x:c>
      <x:c r="E21" s="7" t="str">
        <x:v>50 transfer + 20 language + 20 controls</x:v>
      </x:c>
    </x:row>
  </x:sheetData>
  <x:conditionalFormatting sqref="D2:D21">
    <x:cfRule type="containsText" dxfId="5" priority="1" operator="containsText" text="PASS"/>
    <x:cfRule type="containsText" dxfId="6" priority="2" operator="containsText" text="CHECK"/>
  </x:conditionalFormatting>
  <x:pageMargins left="0.7" right="0.7" top="0.75" bottom="0.75" header="0.3" footer="0.3"/>
  <x:tableParts count="1">
    <x:tablePart xmlns:r="http://schemas.openxmlformats.org/officeDocument/2006/relationships" r:id="Rcc58ae76656c43e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2" hidden="0" customWidth="1"/>
    <x:col min="3" max="3" width="29" hidden="0" customWidth="1"/>
    <x:col min="4" max="4" width="28" hidden="0" customWidth="1"/>
    <x:col min="5" max="5" width="13" hidden="0" customWidth="1"/>
    <x:col min="6" max="6" width="12" hidden="0" customWidth="1"/>
    <x:col min="7" max="7" width="42" hidden="0" customWidth="1"/>
    <x:col min="8" max="8" width="82" hidden="0" customWidth="1"/>
    <x:col min="9" max="9" width="25" hidden="0" customWidth="1"/>
    <x:col min="10" max="10" width="14" hidden="0" customWidth="1"/>
    <x:col min="11" max="11" width="17" hidden="0" customWidth="1"/>
    <x:col min="12" max="12" width="24" hidden="0" customWidth="1"/>
    <x:col min="13" max="13" width="42" hidden="0" customWidth="1"/>
  </x:cols>
  <x:sheetData>
    <x:row r="1" ht="36" customHeight="1">
      <x:c r="A1" s="5" t="str">
        <x:v>Episode</x:v>
      </x:c>
      <x:c r="B1" s="5" t="str">
        <x:v>Collection Block</x:v>
      </x:c>
      <x:c r="C1" s="5" t="str">
        <x:v>Within-Block Step</x:v>
      </x:c>
      <x:c r="D1" s="5" t="str">
        <x:v>Condition</x:v>
      </x:c>
      <x:c r="E1" s="5" t="str">
        <x:v>Scene Family</x:v>
      </x:c>
      <x:c r="F1" s="5" t="str">
        <x:v>Reference Episode</x:v>
      </x:c>
      <x:c r="G1" s="5" t="str">
        <x:v>Prompt</x:v>
      </x:c>
      <x:c r="H1" s="5" t="str">
        <x:v>Scene Setup</x:v>
      </x:c>
      <x:c r="I1" s="5" t="str">
        <x:v>Expected Target</x:v>
      </x:c>
      <x:c r="J1" s="5" t="str">
        <x:v>Status</x:v>
      </x:c>
      <x:c r="K1" s="5" t="str">
        <x:v>Outcome</x:v>
      </x:c>
      <x:c r="L1" s="5" t="str">
        <x:v>Failure Mode</x:v>
      </x:c>
      <x:c r="M1" s="5" t="str">
        <x:v>Notes</x:v>
      </x:c>
    </x:row>
    <x:row r="2" ht="58" customHeight="1">
      <x:c r="A2" s="9" t="n">
        <x:f>'Evaluation Plan'!A2</x:f>
        <x:v>0</x:v>
      </x:c>
      <x:c r="B2" s="9" t="n">
        <x:f>'Evaluation Plan'!B2</x:f>
        <x:v>1</x:v>
      </x:c>
      <x:c r="C2" s="9" t="str">
        <x:f>'Evaluation Plan'!C2</x:f>
        <x:v>1 — Canonical transfer</x:v>
      </x:c>
      <x:c r="D2" s="9" t="str">
        <x:f>'Evaluation Plan'!D2</x:f>
        <x:v>Concept/compositional transfer</x:v>
      </x:c>
      <x:c r="E2" s="9" t="str">
        <x:f>'Evaluation Plan'!F2</x:f>
        <x:v>SR-F01</x:v>
      </x:c>
      <x:c r="F2" s="9" t="str">
        <x:f>IF('Evaluation Plan'!D2="Language robustness",'Evaluation Plan'!G2,IF('Evaluation Plan'!D2="Matched manipulation control",'Evaluation Plan'!G2,""))</x:f>
      </x:c>
      <x:c r="G2" s="10" t="str">
        <x:f>'Evaluation Plan'!H2</x:f>
        <x:v>Place the closed white cup in the bowl.</x:v>
      </x:c>
      <x:c r="H2" s="10" t="str">
        <x:f>'Evaluation Plan'!I2</x:f>
        <x:v>P1 white cup A (C, UR) [TARGET]; P2 white cup B (O, UR) [STATE COMPETITOR]; P3 yellow-white striped cup A (O, UR); P4 brown cup B (C, UD)</x:v>
      </x:c>
      <x:c r="I2" s="9" t="str">
        <x:f>'Evaluation Plan'!J2</x:f>
        <x:v>white cup A</x:v>
      </x:c>
      <x:c r="J2" s="9" t="str">
        <x:v>Not started</x:v>
      </x:c>
      <x:c r="K2" s="9"/>
      <x:c r="L2" s="9"/>
      <x:c r="M2" s="10"/>
    </x:row>
    <x:row r="3" ht="58" customHeight="1">
      <x:c r="A3" s="8" t="n">
        <x:f>'Evaluation Plan'!A3</x:f>
        <x:v>1</x:v>
      </x:c>
      <x:c r="B3" s="8" t="n">
        <x:f>'Evaluation Plan'!B3</x:f>
        <x:v>1</x:v>
      </x:c>
      <x:c r="C3" s="8" t="str">
        <x:f>'Evaluation Plan'!C3</x:f>
        <x:v>2 — Exact-scene paraphrase</x:v>
      </x:c>
      <x:c r="D3" s="8" t="str">
        <x:f>'Evaluation Plan'!D3</x:f>
        <x:v>Language robustness</x:v>
      </x:c>
      <x:c r="E3" s="8" t="str">
        <x:f>'Evaluation Plan'!F3</x:f>
        <x:v>SR-F01</x:v>
      </x:c>
      <x:c r="F3" s="8" t="n">
        <x:f>IF('Evaluation Plan'!D3="Language robustness",'Evaluation Plan'!G3,IF('Evaluation Plan'!D3="Matched manipulation control",'Evaluation Plan'!G3,""))</x:f>
        <x:v>0</x:v>
      </x:c>
      <x:c r="G3" s="7" t="str">
        <x:f>'Evaluation Plan'!H3</x:f>
        <x:v>Move the white cup that is closed into the bowl.</x:v>
      </x:c>
      <x:c r="H3" s="7" t="str">
        <x:f>'Evaluation Plan'!I3</x:f>
        <x:v>P1 white cup A (C, UR) [TARGET]; P2 white cup B (O, UR) [STATE COMPETITOR]; P3 yellow-white striped cup A (O, UR); P4 brown cup B (C, UD)</x:v>
      </x:c>
      <x:c r="I3" s="8" t="str">
        <x:f>'Evaluation Plan'!J3</x:f>
        <x:v>white cup A</x:v>
      </x:c>
      <x:c r="J3" s="8" t="str">
        <x:v>Not started</x:v>
      </x:c>
      <x:c r="K3" s="8"/>
      <x:c r="L3" s="8"/>
      <x:c r="M3" s="7"/>
    </x:row>
    <x:row r="4" ht="58" customHeight="1">
      <x:c r="A4" s="8" t="n">
        <x:f>'Evaluation Plan'!A4</x:f>
        <x:v>2</x:v>
      </x:c>
      <x:c r="B4" s="8" t="n">
        <x:f>'Evaluation Plan'!B4</x:f>
        <x:v>1</x:v>
      </x:c>
      <x:c r="C4" s="8" t="str">
        <x:f>'Evaluation Plan'!C4</x:f>
        <x:v>3 — Matched control</x:v>
      </x:c>
      <x:c r="D4" s="8" t="str">
        <x:f>'Evaluation Plan'!D4</x:f>
        <x:v>Matched manipulation control</x:v>
      </x:c>
      <x:c r="E4" s="8" t="str">
        <x:f>'Evaluation Plan'!F4</x:f>
        <x:v>SR-F01</x:v>
      </x:c>
      <x:c r="F4" s="8" t="n">
        <x:f>IF('Evaluation Plan'!D4="Language robustness",'Evaluation Plan'!G4,IF('Evaluation Plan'!D4="Matched manipulation control",'Evaluation Plan'!G4,""))</x:f>
        <x:v>0</x:v>
      </x:c>
      <x:c r="G4" s="7" t="str">
        <x:f>'Evaluation Plan'!H4</x:f>
        <x:v>Place the white cup in the bowl.</x:v>
      </x:c>
      <x:c r="H4" s="7" t="str">
        <x:f>'Evaluation Plan'!I4</x:f>
        <x:v>P1 white cup A (C, UR) [TARGET]; P3 yellow-white striped cup A (O, UR); P4 brown cup B (C, UD)</x:v>
      </x:c>
      <x:c r="I4" s="8" t="str">
        <x:f>'Evaluation Plan'!J4</x:f>
        <x:v>white cup A</x:v>
      </x:c>
      <x:c r="J4" s="8" t="str">
        <x:v>Not started</x:v>
      </x:c>
      <x:c r="K4" s="8"/>
      <x:c r="L4" s="8"/>
      <x:c r="M4" s="7"/>
    </x:row>
    <x:row r="5" ht="58" customHeight="1">
      <x:c r="A5" s="9" t="n">
        <x:f>'Evaluation Plan'!A5</x:f>
        <x:v>3</x:v>
      </x:c>
      <x:c r="B5" s="9" t="n">
        <x:f>'Evaluation Plan'!B5</x:f>
        <x:v>2</x:v>
      </x:c>
      <x:c r="C5" s="9" t="str">
        <x:f>'Evaluation Plan'!C5</x:f>
        <x:v>1 — Canonical transfer</x:v>
      </x:c>
      <x:c r="D5" s="9" t="str">
        <x:f>'Evaluation Plan'!D5</x:f>
        <x:v>Concept/compositional transfer</x:v>
      </x:c>
      <x:c r="E5" s="9" t="str">
        <x:f>'Evaluation Plan'!F5</x:f>
        <x:v>SR-F02</x:v>
      </x:c>
      <x:c r="F5" s="9" t="str">
        <x:f>IF('Evaluation Plan'!D5="Language robustness",'Evaluation Plan'!G5,IF('Evaluation Plan'!D5="Matched manipulation control",'Evaluation Plan'!G5,""))</x:f>
      </x:c>
      <x:c r="G5" s="10" t="str">
        <x:f>'Evaluation Plan'!H5</x:f>
        <x:v>Put the open yellow-white striped cup in the bowl.</x:v>
      </x:c>
      <x:c r="H5" s="10" t="str">
        <x:f>'Evaluation Plan'!I5</x:f>
        <x:v>P1 white cup B (C, UD); P2 yellow-white striped cup B (O, UD) [TARGET]; P3 yellow-white striped cup A (C, UD) [STATE COMPETITOR]; P4 brown cup A (O, UR)</x:v>
      </x:c>
      <x:c r="I5" s="9" t="str">
        <x:f>'Evaluation Plan'!J5</x:f>
        <x:v>yellow-white striped cup B</x:v>
      </x:c>
      <x:c r="J5" s="9" t="str">
        <x:v>Not started</x:v>
      </x:c>
      <x:c r="K5" s="9"/>
      <x:c r="L5" s="9"/>
      <x:c r="M5" s="10"/>
    </x:row>
    <x:row r="6" ht="58" customHeight="1">
      <x:c r="A6" s="8" t="n">
        <x:f>'Evaluation Plan'!A6</x:f>
        <x:v>4</x:v>
      </x:c>
      <x:c r="B6" s="8" t="n">
        <x:f>'Evaluation Plan'!B6</x:f>
        <x:v>2</x:v>
      </x:c>
      <x:c r="C6" s="8" t="str">
        <x:f>'Evaluation Plan'!C6</x:f>
        <x:v>2 — Exact-scene paraphrase</x:v>
      </x:c>
      <x:c r="D6" s="8" t="str">
        <x:f>'Evaluation Plan'!D6</x:f>
        <x:v>Language robustness</x:v>
      </x:c>
      <x:c r="E6" s="8" t="str">
        <x:f>'Evaluation Plan'!F6</x:f>
        <x:v>SR-F02</x:v>
      </x:c>
      <x:c r="F6" s="8" t="n">
        <x:f>IF('Evaluation Plan'!D6="Language robustness",'Evaluation Plan'!G6,IF('Evaluation Plan'!D6="Matched manipulation control",'Evaluation Plan'!G6,""))</x:f>
        <x:v>3</x:v>
      </x:c>
      <x:c r="G6" s="7" t="str">
        <x:f>'Evaluation Plan'!H6</x:f>
        <x:v>Move the yellow-white striped cup that is open into the bowl.</x:v>
      </x:c>
      <x:c r="H6" s="7" t="str">
        <x:f>'Evaluation Plan'!I6</x:f>
        <x:v>P1 white cup B (C, UD); P2 yellow-white striped cup B (O, UD) [TARGET]; P3 yellow-white striped cup A (C, UD) [STATE COMPETITOR]; P4 brown cup A (O, UR)</x:v>
      </x:c>
      <x:c r="I6" s="8" t="str">
        <x:f>'Evaluation Plan'!J6</x:f>
        <x:v>yellow-white striped cup B</x:v>
      </x:c>
      <x:c r="J6" s="8" t="str">
        <x:v>Not started</x:v>
      </x:c>
      <x:c r="K6" s="8"/>
      <x:c r="L6" s="8"/>
      <x:c r="M6" s="7"/>
    </x:row>
    <x:row r="7" ht="58" customHeight="1">
      <x:c r="A7" s="8" t="n">
        <x:f>'Evaluation Plan'!A7</x:f>
        <x:v>5</x:v>
      </x:c>
      <x:c r="B7" s="8" t="n">
        <x:f>'Evaluation Plan'!B7</x:f>
        <x:v>2</x:v>
      </x:c>
      <x:c r="C7" s="8" t="str">
        <x:f>'Evaluation Plan'!C7</x:f>
        <x:v>3 — Matched control</x:v>
      </x:c>
      <x:c r="D7" s="8" t="str">
        <x:f>'Evaluation Plan'!D7</x:f>
        <x:v>Matched manipulation control</x:v>
      </x:c>
      <x:c r="E7" s="8" t="str">
        <x:f>'Evaluation Plan'!F7</x:f>
        <x:v>SR-F02</x:v>
      </x:c>
      <x:c r="F7" s="8" t="n">
        <x:f>IF('Evaluation Plan'!D7="Language robustness",'Evaluation Plan'!G7,IF('Evaluation Plan'!D7="Matched manipulation control",'Evaluation Plan'!G7,""))</x:f>
        <x:v>3</x:v>
      </x:c>
      <x:c r="G7" s="7" t="str">
        <x:f>'Evaluation Plan'!H7</x:f>
        <x:v>Put the yellow-white striped cup in the bowl.</x:v>
      </x:c>
      <x:c r="H7" s="7" t="str">
        <x:f>'Evaluation Plan'!I7</x:f>
        <x:v>P1 white cup B (C, UD); P2 yellow-white striped cup B (O, UD) [TARGET]; P4 brown cup A (O, UR)</x:v>
      </x:c>
      <x:c r="I7" s="8" t="str">
        <x:f>'Evaluation Plan'!J7</x:f>
        <x:v>yellow-white striped cup B</x:v>
      </x:c>
      <x:c r="J7" s="8" t="str">
        <x:v>Not started</x:v>
      </x:c>
      <x:c r="K7" s="8"/>
      <x:c r="L7" s="8"/>
      <x:c r="M7" s="7"/>
    </x:row>
    <x:row r="8" ht="58" customHeight="1">
      <x:c r="A8" s="9" t="n">
        <x:f>'Evaluation Plan'!A8</x:f>
        <x:v>6</x:v>
      </x:c>
      <x:c r="B8" s="9" t="n">
        <x:f>'Evaluation Plan'!B8</x:f>
        <x:v>3</x:v>
      </x:c>
      <x:c r="C8" s="9" t="str">
        <x:f>'Evaluation Plan'!C8</x:f>
        <x:v>1 — Canonical transfer</x:v>
      </x:c>
      <x:c r="D8" s="9" t="str">
        <x:f>'Evaluation Plan'!D8</x:f>
        <x:v>Concept/compositional transfer</x:v>
      </x:c>
      <x:c r="E8" s="9" t="str">
        <x:f>'Evaluation Plan'!F8</x:f>
        <x:v>SR-F03</x:v>
      </x:c>
      <x:c r="F8" s="9" t="str">
        <x:f>IF('Evaluation Plan'!D8="Language robustness",'Evaluation Plan'!G8,IF('Evaluation Plan'!D8="Matched manipulation control",'Evaluation Plan'!G8,""))</x:f>
      </x:c>
      <x:c r="G8" s="10" t="str">
        <x:f>'Evaluation Plan'!H8</x:f>
        <x:v>Move the upright brown cup into the bowl.</x:v>
      </x:c>
      <x:c r="H8" s="10" t="str">
        <x:f>'Evaluation Plan'!I8</x:f>
        <x:v>P1 white cup A (O, UR); P2 yellow-white striped cup B (C, UD); P3 brown cup A (O, UR) [TARGET]; P4 brown cup B (O, UD) [STATE COMPETITOR]</x:v>
      </x:c>
      <x:c r="I8" s="9" t="str">
        <x:f>'Evaluation Plan'!J8</x:f>
        <x:v>brown cup A</x:v>
      </x:c>
      <x:c r="J8" s="9" t="str">
        <x:v>Not started</x:v>
      </x:c>
      <x:c r="K8" s="9"/>
      <x:c r="L8" s="9"/>
      <x:c r="M8" s="10"/>
    </x:row>
    <x:row r="9" ht="58" customHeight="1">
      <x:c r="A9" s="8" t="n">
        <x:f>'Evaluation Plan'!A9</x:f>
        <x:v>7</x:v>
      </x:c>
      <x:c r="B9" s="8" t="n">
        <x:f>'Evaluation Plan'!B9</x:f>
        <x:v>3</x:v>
      </x:c>
      <x:c r="C9" s="8" t="str">
        <x:f>'Evaluation Plan'!C9</x:f>
        <x:v>2 — Exact-scene paraphrase</x:v>
      </x:c>
      <x:c r="D9" s="8" t="str">
        <x:f>'Evaluation Plan'!D9</x:f>
        <x:v>Language robustness</x:v>
      </x:c>
      <x:c r="E9" s="8" t="str">
        <x:f>'Evaluation Plan'!F9</x:f>
        <x:v>SR-F03</x:v>
      </x:c>
      <x:c r="F9" s="8" t="n">
        <x:f>IF('Evaluation Plan'!D9="Language robustness",'Evaluation Plan'!G9,IF('Evaluation Plan'!D9="Matched manipulation control",'Evaluation Plan'!G9,""))</x:f>
        <x:v>6</x:v>
      </x:c>
      <x:c r="G9" s="7" t="str">
        <x:f>'Evaluation Plan'!H9</x:f>
        <x:v>Move the brown cup that is standing upright into the bowl.</x:v>
      </x:c>
      <x:c r="H9" s="7" t="str">
        <x:f>'Evaluation Plan'!I9</x:f>
        <x:v>P1 white cup A (O, UR); P2 yellow-white striped cup B (C, UD); P3 brown cup A (O, UR) [TARGET]; P4 brown cup B (O, UD) [STATE COMPETITOR]</x:v>
      </x:c>
      <x:c r="I9" s="8" t="str">
        <x:f>'Evaluation Plan'!J9</x:f>
        <x:v>brown cup A</x:v>
      </x:c>
      <x:c r="J9" s="8" t="str">
        <x:v>Not started</x:v>
      </x:c>
      <x:c r="K9" s="8"/>
      <x:c r="L9" s="8"/>
      <x:c r="M9" s="7"/>
    </x:row>
    <x:row r="10" ht="58" customHeight="1">
      <x:c r="A10" s="8" t="n">
        <x:f>'Evaluation Plan'!A10</x:f>
        <x:v>8</x:v>
      </x:c>
      <x:c r="B10" s="8" t="n">
        <x:f>'Evaluation Plan'!B10</x:f>
        <x:v>3</x:v>
      </x:c>
      <x:c r="C10" s="8" t="str">
        <x:f>'Evaluation Plan'!C10</x:f>
        <x:v>3 — Matched control</x:v>
      </x:c>
      <x:c r="D10" s="8" t="str">
        <x:f>'Evaluation Plan'!D10</x:f>
        <x:v>Matched manipulation control</x:v>
      </x:c>
      <x:c r="E10" s="8" t="str">
        <x:f>'Evaluation Plan'!F10</x:f>
        <x:v>SR-F03</x:v>
      </x:c>
      <x:c r="F10" s="8" t="n">
        <x:f>IF('Evaluation Plan'!D10="Language robustness",'Evaluation Plan'!G10,IF('Evaluation Plan'!D10="Matched manipulation control",'Evaluation Plan'!G10,""))</x:f>
        <x:v>6</x:v>
      </x:c>
      <x:c r="G10" s="7" t="str">
        <x:f>'Evaluation Plan'!H10</x:f>
        <x:v>Move the brown cup into the bowl.</x:v>
      </x:c>
      <x:c r="H10" s="7" t="str">
        <x:f>'Evaluation Plan'!I10</x:f>
        <x:v>P1 white cup A (O, UR); P2 yellow-white striped cup B (C, UD); P3 brown cup A (O, UR) [TARGET]</x:v>
      </x:c>
      <x:c r="I10" s="8" t="str">
        <x:f>'Evaluation Plan'!J10</x:f>
        <x:v>brown cup A</x:v>
      </x:c>
      <x:c r="J10" s="8" t="str">
        <x:v>Not started</x:v>
      </x:c>
      <x:c r="K10" s="8"/>
      <x:c r="L10" s="8"/>
      <x:c r="M10" s="7"/>
    </x:row>
    <x:row r="11" ht="58" customHeight="1">
      <x:c r="A11" s="9" t="n">
        <x:f>'Evaluation Plan'!A11</x:f>
        <x:v>9</x:v>
      </x:c>
      <x:c r="B11" s="9" t="n">
        <x:f>'Evaluation Plan'!B11</x:f>
        <x:v>4</x:v>
      </x:c>
      <x:c r="C11" s="9" t="str">
        <x:f>'Evaluation Plan'!C11</x:f>
        <x:v>1 — Canonical transfer</x:v>
      </x:c>
      <x:c r="D11" s="9" t="str">
        <x:f>'Evaluation Plan'!D11</x:f>
        <x:v>Concept/compositional transfer</x:v>
      </x:c>
      <x:c r="E11" s="9" t="str">
        <x:f>'Evaluation Plan'!F11</x:f>
        <x:v>SR-F04</x:v>
      </x:c>
      <x:c r="F11" s="9" t="str">
        <x:f>IF('Evaluation Plan'!D11="Language robustness",'Evaluation Plan'!G11,IF('Evaluation Plan'!D11="Matched manipulation control",'Evaluation Plan'!G11,""))</x:f>
      </x:c>
      <x:c r="G11" s="10" t="str">
        <x:f>'Evaluation Plan'!H11</x:f>
        <x:v>Place the upside-down glass spice container in the bowl.</x:v>
      </x:c>
      <x:c r="H11" s="10" t="str">
        <x:f>'Evaluation Plan'!I11</x:f>
        <x:v>P1 glass spice container A (C, UR) [STATE COMPETITOR]; P2 white cup A (O, UR); P3 yellow-white striped cup B (C, UD); P4 glass spice container B (C, UD) [TARGET]</x:v>
      </x:c>
      <x:c r="I11" s="9" t="str">
        <x:f>'Evaluation Plan'!J11</x:f>
        <x:v>glass spice container B</x:v>
      </x:c>
      <x:c r="J11" s="9" t="str">
        <x:v>Not started</x:v>
      </x:c>
      <x:c r="K11" s="9"/>
      <x:c r="L11" s="9"/>
      <x:c r="M11" s="10"/>
    </x:row>
    <x:row r="12" ht="58" customHeight="1">
      <x:c r="A12" s="8" t="n">
        <x:f>'Evaluation Plan'!A12</x:f>
        <x:v>10</x:v>
      </x:c>
      <x:c r="B12" s="8" t="n">
        <x:f>'Evaluation Plan'!B12</x:f>
        <x:v>4</x:v>
      </x:c>
      <x:c r="C12" s="8" t="str">
        <x:f>'Evaluation Plan'!C12</x:f>
        <x:v>2 — Exact-scene paraphrase</x:v>
      </x:c>
      <x:c r="D12" s="8" t="str">
        <x:f>'Evaluation Plan'!D12</x:f>
        <x:v>Language robustness</x:v>
      </x:c>
      <x:c r="E12" s="8" t="str">
        <x:f>'Evaluation Plan'!F12</x:f>
        <x:v>SR-F04</x:v>
      </x:c>
      <x:c r="F12" s="8" t="n">
        <x:f>IF('Evaluation Plan'!D12="Language robustness",'Evaluation Plan'!G12,IF('Evaluation Plan'!D12="Matched manipulation control",'Evaluation Plan'!G12,""))</x:f>
        <x:v>9</x:v>
      </x:c>
      <x:c r="G12" s="7" t="str">
        <x:f>'Evaluation Plan'!H12</x:f>
        <x:v>Move the glass spice container that is turned upside down into the bowl.</x:v>
      </x:c>
      <x:c r="H12" s="7" t="str">
        <x:f>'Evaluation Plan'!I12</x:f>
        <x:v>P1 glass spice container A (C, UR) [STATE COMPETITOR]; P2 white cup A (O, UR); P3 yellow-white striped cup B (C, UD); P4 glass spice container B (C, UD) [TARGET]</x:v>
      </x:c>
      <x:c r="I12" s="8" t="str">
        <x:f>'Evaluation Plan'!J12</x:f>
        <x:v>glass spice container B</x:v>
      </x:c>
      <x:c r="J12" s="8" t="str">
        <x:v>Not started</x:v>
      </x:c>
      <x:c r="K12" s="8"/>
      <x:c r="L12" s="8"/>
      <x:c r="M12" s="7"/>
    </x:row>
    <x:row r="13" ht="58" customHeight="1">
      <x:c r="A13" s="8" t="n">
        <x:f>'Evaluation Plan'!A13</x:f>
        <x:v>11</x:v>
      </x:c>
      <x:c r="B13" s="8" t="n">
        <x:f>'Evaluation Plan'!B13</x:f>
        <x:v>4</x:v>
      </x:c>
      <x:c r="C13" s="8" t="str">
        <x:f>'Evaluation Plan'!C13</x:f>
        <x:v>3 — Matched control</x:v>
      </x:c>
      <x:c r="D13" s="8" t="str">
        <x:f>'Evaluation Plan'!D13</x:f>
        <x:v>Matched manipulation control</x:v>
      </x:c>
      <x:c r="E13" s="8" t="str">
        <x:f>'Evaluation Plan'!F13</x:f>
        <x:v>SR-F04</x:v>
      </x:c>
      <x:c r="F13" s="8" t="n">
        <x:f>IF('Evaluation Plan'!D13="Language robustness",'Evaluation Plan'!G13,IF('Evaluation Plan'!D13="Matched manipulation control",'Evaluation Plan'!G13,""))</x:f>
        <x:v>9</x:v>
      </x:c>
      <x:c r="G13" s="7" t="str">
        <x:f>'Evaluation Plan'!H13</x:f>
        <x:v>Place the glass spice container in the bowl.</x:v>
      </x:c>
      <x:c r="H13" s="7" t="str">
        <x:f>'Evaluation Plan'!I13</x:f>
        <x:v>P2 white cup A (O, UR); P3 yellow-white striped cup B (C, UD); P4 glass spice container B (C, UD) [TARGET]</x:v>
      </x:c>
      <x:c r="I13" s="8" t="str">
        <x:f>'Evaluation Plan'!J13</x:f>
        <x:v>glass spice container B</x:v>
      </x:c>
      <x:c r="J13" s="8" t="str">
        <x:v>Not started</x:v>
      </x:c>
      <x:c r="K13" s="8"/>
      <x:c r="L13" s="8"/>
      <x:c r="M13" s="7"/>
    </x:row>
    <x:row r="14" ht="58" customHeight="1">
      <x:c r="A14" s="9" t="n">
        <x:f>'Evaluation Plan'!A14</x:f>
        <x:v>12</x:v>
      </x:c>
      <x:c r="B14" s="9" t="n">
        <x:f>'Evaluation Plan'!B14</x:f>
        <x:v>5</x:v>
      </x:c>
      <x:c r="C14" s="9" t="str">
        <x:f>'Evaluation Plan'!C14</x:f>
        <x:v>1 — Canonical transfer</x:v>
      </x:c>
      <x:c r="D14" s="9" t="str">
        <x:f>'Evaluation Plan'!D14</x:f>
        <x:v>Concept/compositional transfer</x:v>
      </x:c>
      <x:c r="E14" s="9" t="str">
        <x:f>'Evaluation Plan'!F14</x:f>
        <x:v>SR-F05</x:v>
      </x:c>
      <x:c r="F14" s="9" t="str">
        <x:f>IF('Evaluation Plan'!D14="Language robustness",'Evaluation Plan'!G14,IF('Evaluation Plan'!D14="Matched manipulation control",'Evaluation Plan'!G14,""))</x:f>
      </x:c>
      <x:c r="G14" s="10" t="str">
        <x:f>'Evaluation Plan'!H14</x:f>
        <x:v>Put the closed yellow-white striped cup in the bowl.</x:v>
      </x:c>
      <x:c r="H14" s="10" t="str">
        <x:f>'Evaluation Plan'!I14</x:f>
        <x:v>P1 yellow-white striped cup A (C, UR) [TARGET]; P2 yellow-white striped cup B (O, UR) [STATE COMPETITOR]; P3 white cup A (O, UR); P4 brown cup B (C, UD)</x:v>
      </x:c>
      <x:c r="I14" s="9" t="str">
        <x:f>'Evaluation Plan'!J14</x:f>
        <x:v>yellow-white striped cup A</x:v>
      </x:c>
      <x:c r="J14" s="9" t="str">
        <x:v>Not started</x:v>
      </x:c>
      <x:c r="K14" s="9"/>
      <x:c r="L14" s="9"/>
      <x:c r="M14" s="10"/>
    </x:row>
    <x:row r="15" ht="58" customHeight="1">
      <x:c r="A15" s="8" t="n">
        <x:f>'Evaluation Plan'!A15</x:f>
        <x:v>13</x:v>
      </x:c>
      <x:c r="B15" s="8" t="n">
        <x:f>'Evaluation Plan'!B15</x:f>
        <x:v>5</x:v>
      </x:c>
      <x:c r="C15" s="8" t="str">
        <x:f>'Evaluation Plan'!C15</x:f>
        <x:v>2 — Exact-scene paraphrase</x:v>
      </x:c>
      <x:c r="D15" s="8" t="str">
        <x:f>'Evaluation Plan'!D15</x:f>
        <x:v>Language robustness</x:v>
      </x:c>
      <x:c r="E15" s="8" t="str">
        <x:f>'Evaluation Plan'!F15</x:f>
        <x:v>SR-F05</x:v>
      </x:c>
      <x:c r="F15" s="8" t="n">
        <x:f>IF('Evaluation Plan'!D15="Language robustness",'Evaluation Plan'!G15,IF('Evaluation Plan'!D15="Matched manipulation control",'Evaluation Plan'!G15,""))</x:f>
        <x:v>12</x:v>
      </x:c>
      <x:c r="G15" s="7" t="str">
        <x:f>'Evaluation Plan'!H15</x:f>
        <x:v>Put the yellow-white striped cup with its opening covered in the bowl.</x:v>
      </x:c>
      <x:c r="H15" s="7" t="str">
        <x:f>'Evaluation Plan'!I15</x:f>
        <x:v>P1 yellow-white striped cup A (C, UR) [TARGET]; P2 yellow-white striped cup B (O, UR) [STATE COMPETITOR]; P3 white cup A (O, UR); P4 brown cup B (C, UD)</x:v>
      </x:c>
      <x:c r="I15" s="8" t="str">
        <x:f>'Evaluation Plan'!J15</x:f>
        <x:v>yellow-white striped cup A</x:v>
      </x:c>
      <x:c r="J15" s="8" t="str">
        <x:v>Not started</x:v>
      </x:c>
      <x:c r="K15" s="8"/>
      <x:c r="L15" s="8"/>
      <x:c r="M15" s="7"/>
    </x:row>
    <x:row r="16" ht="58" customHeight="1">
      <x:c r="A16" s="8" t="n">
        <x:f>'Evaluation Plan'!A16</x:f>
        <x:v>14</x:v>
      </x:c>
      <x:c r="B16" s="8" t="n">
        <x:f>'Evaluation Plan'!B16</x:f>
        <x:v>5</x:v>
      </x:c>
      <x:c r="C16" s="8" t="str">
        <x:f>'Evaluation Plan'!C16</x:f>
        <x:v>3 — Matched control</x:v>
      </x:c>
      <x:c r="D16" s="8" t="str">
        <x:f>'Evaluation Plan'!D16</x:f>
        <x:v>Matched manipulation control</x:v>
      </x:c>
      <x:c r="E16" s="8" t="str">
        <x:f>'Evaluation Plan'!F16</x:f>
        <x:v>SR-F05</x:v>
      </x:c>
      <x:c r="F16" s="8" t="n">
        <x:f>IF('Evaluation Plan'!D16="Language robustness",'Evaluation Plan'!G16,IF('Evaluation Plan'!D16="Matched manipulation control",'Evaluation Plan'!G16,""))</x:f>
        <x:v>12</x:v>
      </x:c>
      <x:c r="G16" s="7" t="str">
        <x:f>'Evaluation Plan'!H16</x:f>
        <x:v>Put the yellow-white striped cup in the bowl.</x:v>
      </x:c>
      <x:c r="H16" s="7" t="str">
        <x:f>'Evaluation Plan'!I16</x:f>
        <x:v>P1 yellow-white striped cup A (C, UR) [TARGET]; P3 white cup A (O, UR); P4 brown cup B (C, UD)</x:v>
      </x:c>
      <x:c r="I16" s="8" t="str">
        <x:f>'Evaluation Plan'!J16</x:f>
        <x:v>yellow-white striped cup A</x:v>
      </x:c>
      <x:c r="J16" s="8" t="str">
        <x:v>Not started</x:v>
      </x:c>
      <x:c r="K16" s="8"/>
      <x:c r="L16" s="8"/>
      <x:c r="M16" s="7"/>
    </x:row>
    <x:row r="17" ht="58" customHeight="1">
      <x:c r="A17" s="9" t="n">
        <x:f>'Evaluation Plan'!A17</x:f>
        <x:v>15</x:v>
      </x:c>
      <x:c r="B17" s="9" t="n">
        <x:f>'Evaluation Plan'!B17</x:f>
        <x:v>6</x:v>
      </x:c>
      <x:c r="C17" s="9" t="str">
        <x:f>'Evaluation Plan'!C17</x:f>
        <x:v>1 — Canonical transfer</x:v>
      </x:c>
      <x:c r="D17" s="9" t="str">
        <x:f>'Evaluation Plan'!D17</x:f>
        <x:v>Concept/compositional transfer</x:v>
      </x:c>
      <x:c r="E17" s="9" t="str">
        <x:f>'Evaluation Plan'!F17</x:f>
        <x:v>SR-F06</x:v>
      </x:c>
      <x:c r="F17" s="9" t="str">
        <x:f>IF('Evaluation Plan'!D17="Language robustness",'Evaluation Plan'!G17,IF('Evaluation Plan'!D17="Matched manipulation control",'Evaluation Plan'!G17,""))</x:f>
      </x:c>
      <x:c r="G17" s="10" t="str">
        <x:f>'Evaluation Plan'!H17</x:f>
        <x:v>Move the open brown cup into the bowl.</x:v>
      </x:c>
      <x:c r="H17" s="10" t="str">
        <x:f>'Evaluation Plan'!I17</x:f>
        <x:v>P1 white cup B (C, UD); P2 brown cup B (O, UD) [TARGET]; P3 brown cup A (C, UD) [STATE COMPETITOR]; P4 yellow-white striped cup A (O, UR)</x:v>
      </x:c>
      <x:c r="I17" s="9" t="str">
        <x:f>'Evaluation Plan'!J17</x:f>
        <x:v>brown cup B</x:v>
      </x:c>
      <x:c r="J17" s="9" t="str">
        <x:v>Not started</x:v>
      </x:c>
      <x:c r="K17" s="9"/>
      <x:c r="L17" s="9"/>
      <x:c r="M17" s="10"/>
    </x:row>
    <x:row r="18" ht="58" customHeight="1">
      <x:c r="A18" s="8" t="n">
        <x:f>'Evaluation Plan'!A18</x:f>
        <x:v>16</x:v>
      </x:c>
      <x:c r="B18" s="8" t="n">
        <x:f>'Evaluation Plan'!B18</x:f>
        <x:v>6</x:v>
      </x:c>
      <x:c r="C18" s="8" t="str">
        <x:f>'Evaluation Plan'!C18</x:f>
        <x:v>2 — Exact-scene paraphrase</x:v>
      </x:c>
      <x:c r="D18" s="8" t="str">
        <x:f>'Evaluation Plan'!D18</x:f>
        <x:v>Language robustness</x:v>
      </x:c>
      <x:c r="E18" s="8" t="str">
        <x:f>'Evaluation Plan'!F18</x:f>
        <x:v>SR-F06</x:v>
      </x:c>
      <x:c r="F18" s="8" t="n">
        <x:f>IF('Evaluation Plan'!D18="Language robustness",'Evaluation Plan'!G18,IF('Evaluation Plan'!D18="Matched manipulation control",'Evaluation Plan'!G18,""))</x:f>
        <x:v>15</x:v>
      </x:c>
      <x:c r="G18" s="7" t="str">
        <x:f>'Evaluation Plan'!H18</x:f>
        <x:v>Put the brown cup with its opening uncovered in the bowl.</x:v>
      </x:c>
      <x:c r="H18" s="7" t="str">
        <x:f>'Evaluation Plan'!I18</x:f>
        <x:v>P1 white cup B (C, UD); P2 brown cup B (O, UD) [TARGET]; P3 brown cup A (C, UD) [STATE COMPETITOR]; P4 yellow-white striped cup A (O, UR)</x:v>
      </x:c>
      <x:c r="I18" s="8" t="str">
        <x:f>'Evaluation Plan'!J18</x:f>
        <x:v>brown cup B</x:v>
      </x:c>
      <x:c r="J18" s="8" t="str">
        <x:v>Not started</x:v>
      </x:c>
      <x:c r="K18" s="8"/>
      <x:c r="L18" s="8"/>
      <x:c r="M18" s="7"/>
    </x:row>
    <x:row r="19" ht="58" customHeight="1">
      <x:c r="A19" s="8" t="n">
        <x:f>'Evaluation Plan'!A19</x:f>
        <x:v>17</x:v>
      </x:c>
      <x:c r="B19" s="8" t="n">
        <x:f>'Evaluation Plan'!B19</x:f>
        <x:v>6</x:v>
      </x:c>
      <x:c r="C19" s="8" t="str">
        <x:f>'Evaluation Plan'!C19</x:f>
        <x:v>3 — Matched control</x:v>
      </x:c>
      <x:c r="D19" s="8" t="str">
        <x:f>'Evaluation Plan'!D19</x:f>
        <x:v>Matched manipulation control</x:v>
      </x:c>
      <x:c r="E19" s="8" t="str">
        <x:f>'Evaluation Plan'!F19</x:f>
        <x:v>SR-F06</x:v>
      </x:c>
      <x:c r="F19" s="8" t="n">
        <x:f>IF('Evaluation Plan'!D19="Language robustness",'Evaluation Plan'!G19,IF('Evaluation Plan'!D19="Matched manipulation control",'Evaluation Plan'!G19,""))</x:f>
        <x:v>15</x:v>
      </x:c>
      <x:c r="G19" s="7" t="str">
        <x:f>'Evaluation Plan'!H19</x:f>
        <x:v>Move the brown cup into the bowl.</x:v>
      </x:c>
      <x:c r="H19" s="7" t="str">
        <x:f>'Evaluation Plan'!I19</x:f>
        <x:v>P1 white cup B (C, UD); P2 brown cup B (O, UD) [TARGET]; P4 yellow-white striped cup A (O, UR)</x:v>
      </x:c>
      <x:c r="I19" s="8" t="str">
        <x:f>'Evaluation Plan'!J19</x:f>
        <x:v>brown cup B</x:v>
      </x:c>
      <x:c r="J19" s="8" t="str">
        <x:v>Not started</x:v>
      </x:c>
      <x:c r="K19" s="8"/>
      <x:c r="L19" s="8"/>
      <x:c r="M19" s="7"/>
    </x:row>
    <x:row r="20" ht="58" customHeight="1">
      <x:c r="A20" s="9" t="n">
        <x:f>'Evaluation Plan'!A20</x:f>
        <x:v>18</x:v>
      </x:c>
      <x:c r="B20" s="9" t="n">
        <x:f>'Evaluation Plan'!B20</x:f>
        <x:v>7</x:v>
      </x:c>
      <x:c r="C20" s="9" t="str">
        <x:f>'Evaluation Plan'!C20</x:f>
        <x:v>1 — Canonical transfer</x:v>
      </x:c>
      <x:c r="D20" s="9" t="str">
        <x:f>'Evaluation Plan'!D20</x:f>
        <x:v>Concept/compositional transfer</x:v>
      </x:c>
      <x:c r="E20" s="9" t="str">
        <x:f>'Evaluation Plan'!F20</x:f>
        <x:v>SR-F07</x:v>
      </x:c>
      <x:c r="F20" s="9" t="str">
        <x:f>IF('Evaluation Plan'!D20="Language robustness",'Evaluation Plan'!G20,IF('Evaluation Plan'!D20="Matched manipulation control",'Evaluation Plan'!G20,""))</x:f>
      </x:c>
      <x:c r="G20" s="10" t="str">
        <x:f>'Evaluation Plan'!H20</x:f>
        <x:v>Place the upright glass spice container in the bowl.</x:v>
      </x:c>
      <x:c r="H20" s="10" t="str">
        <x:f>'Evaluation Plan'!I20</x:f>
        <x:v>P1 white cup A (O, UR); P2 yellow-white striped cup B (C, UD); P3 glass spice container A (O, UR) [TARGET]; P4 glass spice container B (O, UD) [STATE COMPETITOR]</x:v>
      </x:c>
      <x:c r="I20" s="9" t="str">
        <x:f>'Evaluation Plan'!J20</x:f>
        <x:v>glass spice container A</x:v>
      </x:c>
      <x:c r="J20" s="9" t="str">
        <x:v>Not started</x:v>
      </x:c>
      <x:c r="K20" s="9"/>
      <x:c r="L20" s="9"/>
      <x:c r="M20" s="10"/>
    </x:row>
    <x:row r="21" ht="58" customHeight="1">
      <x:c r="A21" s="8" t="n">
        <x:f>'Evaluation Plan'!A21</x:f>
        <x:v>19</x:v>
      </x:c>
      <x:c r="B21" s="8" t="n">
        <x:f>'Evaluation Plan'!B21</x:f>
        <x:v>7</x:v>
      </x:c>
      <x:c r="C21" s="8" t="str">
        <x:f>'Evaluation Plan'!C21</x:f>
        <x:v>2 — Exact-scene paraphrase</x:v>
      </x:c>
      <x:c r="D21" s="8" t="str">
        <x:f>'Evaluation Plan'!D21</x:f>
        <x:v>Language robustness</x:v>
      </x:c>
      <x:c r="E21" s="8" t="str">
        <x:f>'Evaluation Plan'!F21</x:f>
        <x:v>SR-F07</x:v>
      </x:c>
      <x:c r="F21" s="8" t="n">
        <x:f>IF('Evaluation Plan'!D21="Language robustness",'Evaluation Plan'!G21,IF('Evaluation Plan'!D21="Matched manipulation control",'Evaluation Plan'!G21,""))</x:f>
        <x:v>18</x:v>
      </x:c>
      <x:c r="G21" s="7" t="str">
        <x:f>'Evaluation Plan'!H21</x:f>
        <x:v>Put the right-side-up glass spice container in the bowl.</x:v>
      </x:c>
      <x:c r="H21" s="7" t="str">
        <x:f>'Evaluation Plan'!I21</x:f>
        <x:v>P1 white cup A (O, UR); P2 yellow-white striped cup B (C, UD); P3 glass spice container A (O, UR) [TARGET]; P4 glass spice container B (O, UD) [STATE COMPETITOR]</x:v>
      </x:c>
      <x:c r="I21" s="8" t="str">
        <x:f>'Evaluation Plan'!J21</x:f>
        <x:v>glass spice container A</x:v>
      </x:c>
      <x:c r="J21" s="8" t="str">
        <x:v>Not started</x:v>
      </x:c>
      <x:c r="K21" s="8"/>
      <x:c r="L21" s="8"/>
      <x:c r="M21" s="7"/>
    </x:row>
    <x:row r="22" ht="58" customHeight="1">
      <x:c r="A22" s="8" t="n">
        <x:f>'Evaluation Plan'!A22</x:f>
        <x:v>20</x:v>
      </x:c>
      <x:c r="B22" s="8" t="n">
        <x:f>'Evaluation Plan'!B22</x:f>
        <x:v>7</x:v>
      </x:c>
      <x:c r="C22" s="8" t="str">
        <x:f>'Evaluation Plan'!C22</x:f>
        <x:v>3 — Matched control</x:v>
      </x:c>
      <x:c r="D22" s="8" t="str">
        <x:f>'Evaluation Plan'!D22</x:f>
        <x:v>Matched manipulation control</x:v>
      </x:c>
      <x:c r="E22" s="8" t="str">
        <x:f>'Evaluation Plan'!F22</x:f>
        <x:v>SR-F07</x:v>
      </x:c>
      <x:c r="F22" s="8" t="n">
        <x:f>IF('Evaluation Plan'!D22="Language robustness",'Evaluation Plan'!G22,IF('Evaluation Plan'!D22="Matched manipulation control",'Evaluation Plan'!G22,""))</x:f>
        <x:v>18</x:v>
      </x:c>
      <x:c r="G22" s="7" t="str">
        <x:f>'Evaluation Plan'!H22</x:f>
        <x:v>Place the glass spice container in the bowl.</x:v>
      </x:c>
      <x:c r="H22" s="7" t="str">
        <x:f>'Evaluation Plan'!I22</x:f>
        <x:v>P1 white cup A (O, UR); P2 yellow-white striped cup B (C, UD); P3 glass spice container A (O, UR) [TARGET]</x:v>
      </x:c>
      <x:c r="I22" s="8" t="str">
        <x:f>'Evaluation Plan'!J22</x:f>
        <x:v>glass spice container A</x:v>
      </x:c>
      <x:c r="J22" s="8" t="str">
        <x:v>Not started</x:v>
      </x:c>
      <x:c r="K22" s="8"/>
      <x:c r="L22" s="8"/>
      <x:c r="M22" s="7"/>
    </x:row>
    <x:row r="23" ht="58" customHeight="1">
      <x:c r="A23" s="9" t="n">
        <x:f>'Evaluation Plan'!A23</x:f>
        <x:v>21</x:v>
      </x:c>
      <x:c r="B23" s="9" t="n">
        <x:f>'Evaluation Plan'!B23</x:f>
        <x:v>8</x:v>
      </x:c>
      <x:c r="C23" s="9" t="str">
        <x:f>'Evaluation Plan'!C23</x:f>
        <x:v>1 — Canonical transfer</x:v>
      </x:c>
      <x:c r="D23" s="9" t="str">
        <x:f>'Evaluation Plan'!D23</x:f>
        <x:v>Concept/compositional transfer</x:v>
      </x:c>
      <x:c r="E23" s="9" t="str">
        <x:f>'Evaluation Plan'!F23</x:f>
        <x:v>SR-F08</x:v>
      </x:c>
      <x:c r="F23" s="9" t="str">
        <x:f>IF('Evaluation Plan'!D23="Language robustness",'Evaluation Plan'!G23,IF('Evaluation Plan'!D23="Matched manipulation control",'Evaluation Plan'!G23,""))</x:f>
      </x:c>
      <x:c r="G23" s="10" t="str">
        <x:f>'Evaluation Plan'!H23</x:f>
        <x:v>Put the upside-down white cup in the bowl.</x:v>
      </x:c>
      <x:c r="H23" s="10" t="str">
        <x:f>'Evaluation Plan'!I23</x:f>
        <x:v>P1 white cup A (C, UR) [STATE COMPETITOR]; P2 yellow-white striped cup A (O, UR); P3 brown cup B (C, UD); P4 white cup B (C, UD) [TARGET]</x:v>
      </x:c>
      <x:c r="I23" s="9" t="str">
        <x:f>'Evaluation Plan'!J23</x:f>
        <x:v>white cup B</x:v>
      </x:c>
      <x:c r="J23" s="9" t="str">
        <x:v>Not started</x:v>
      </x:c>
      <x:c r="K23" s="9"/>
      <x:c r="L23" s="9"/>
      <x:c r="M23" s="10"/>
    </x:row>
    <x:row r="24" ht="58" customHeight="1">
      <x:c r="A24" s="8" t="n">
        <x:f>'Evaluation Plan'!A24</x:f>
        <x:v>22</x:v>
      </x:c>
      <x:c r="B24" s="8" t="n">
        <x:f>'Evaluation Plan'!B24</x:f>
        <x:v>8</x:v>
      </x:c>
      <x:c r="C24" s="8" t="str">
        <x:f>'Evaluation Plan'!C24</x:f>
        <x:v>2 — Exact-scene paraphrase</x:v>
      </x:c>
      <x:c r="D24" s="8" t="str">
        <x:f>'Evaluation Plan'!D24</x:f>
        <x:v>Language robustness</x:v>
      </x:c>
      <x:c r="E24" s="8" t="str">
        <x:f>'Evaluation Plan'!F24</x:f>
        <x:v>SR-F08</x:v>
      </x:c>
      <x:c r="F24" s="8" t="n">
        <x:f>IF('Evaluation Plan'!D24="Language robustness",'Evaluation Plan'!G24,IF('Evaluation Plan'!D24="Matched manipulation control",'Evaluation Plan'!G24,""))</x:f>
        <x:v>21</x:v>
      </x:c>
      <x:c r="G24" s="7" t="str">
        <x:f>'Evaluation Plan'!H24</x:f>
        <x:v>Put the inverted white cup in the bowl.</x:v>
      </x:c>
      <x:c r="H24" s="7" t="str">
        <x:f>'Evaluation Plan'!I24</x:f>
        <x:v>P1 white cup A (C, UR) [STATE COMPETITOR]; P2 yellow-white striped cup A (O, UR); P3 brown cup B (C, UD); P4 white cup B (C, UD) [TARGET]</x:v>
      </x:c>
      <x:c r="I24" s="8" t="str">
        <x:f>'Evaluation Plan'!J24</x:f>
        <x:v>white cup B</x:v>
      </x:c>
      <x:c r="J24" s="8" t="str">
        <x:v>Not started</x:v>
      </x:c>
      <x:c r="K24" s="8"/>
      <x:c r="L24" s="8"/>
      <x:c r="M24" s="7"/>
    </x:row>
    <x:row r="25" ht="58" customHeight="1">
      <x:c r="A25" s="8" t="n">
        <x:f>'Evaluation Plan'!A25</x:f>
        <x:v>23</x:v>
      </x:c>
      <x:c r="B25" s="8" t="n">
        <x:f>'Evaluation Plan'!B25</x:f>
        <x:v>8</x:v>
      </x:c>
      <x:c r="C25" s="8" t="str">
        <x:f>'Evaluation Plan'!C25</x:f>
        <x:v>3 — Matched control</x:v>
      </x:c>
      <x:c r="D25" s="8" t="str">
        <x:f>'Evaluation Plan'!D25</x:f>
        <x:v>Matched manipulation control</x:v>
      </x:c>
      <x:c r="E25" s="8" t="str">
        <x:f>'Evaluation Plan'!F25</x:f>
        <x:v>SR-F08</x:v>
      </x:c>
      <x:c r="F25" s="8" t="n">
        <x:f>IF('Evaluation Plan'!D25="Language robustness",'Evaluation Plan'!G25,IF('Evaluation Plan'!D25="Matched manipulation control",'Evaluation Plan'!G25,""))</x:f>
        <x:v>21</x:v>
      </x:c>
      <x:c r="G25" s="7" t="str">
        <x:f>'Evaluation Plan'!H25</x:f>
        <x:v>Put the white cup in the bowl.</x:v>
      </x:c>
      <x:c r="H25" s="7" t="str">
        <x:f>'Evaluation Plan'!I25</x:f>
        <x:v>P2 yellow-white striped cup A (O, UR); P3 brown cup B (C, UD); P4 white cup B (C, UD) [TARGET]</x:v>
      </x:c>
      <x:c r="I25" s="8" t="str">
        <x:f>'Evaluation Plan'!J25</x:f>
        <x:v>white cup B</x:v>
      </x:c>
      <x:c r="J25" s="8" t="str">
        <x:v>Not started</x:v>
      </x:c>
      <x:c r="K25" s="8"/>
      <x:c r="L25" s="8"/>
      <x:c r="M25" s="7"/>
    </x:row>
    <x:row r="26" ht="58" customHeight="1">
      <x:c r="A26" s="9" t="n">
        <x:f>'Evaluation Plan'!A26</x:f>
        <x:v>24</x:v>
      </x:c>
      <x:c r="B26" s="9" t="n">
        <x:f>'Evaluation Plan'!B26</x:f>
        <x:v>9</x:v>
      </x:c>
      <x:c r="C26" s="9" t="str">
        <x:f>'Evaluation Plan'!C26</x:f>
        <x:v>1 — Canonical transfer</x:v>
      </x:c>
      <x:c r="D26" s="9" t="str">
        <x:f>'Evaluation Plan'!D26</x:f>
        <x:v>Concept/compositional transfer</x:v>
      </x:c>
      <x:c r="E26" s="9" t="str">
        <x:f>'Evaluation Plan'!F26</x:f>
        <x:v>SR-F09</x:v>
      </x:c>
      <x:c r="F26" s="9" t="str">
        <x:f>IF('Evaluation Plan'!D26="Language robustness",'Evaluation Plan'!G26,IF('Evaluation Plan'!D26="Matched manipulation control",'Evaluation Plan'!G26,""))</x:f>
      </x:c>
      <x:c r="G26" s="10" t="str">
        <x:f>'Evaluation Plan'!H26</x:f>
        <x:v>Move the closed brown cup into the bowl.</x:v>
      </x:c>
      <x:c r="H26" s="10" t="str">
        <x:f>'Evaluation Plan'!I26</x:f>
        <x:v>P1 brown cup A (C, UR) [TARGET]; P2 brown cup B (O, UR) [STATE COMPETITOR]; P3 white cup A (O, UR); P4 yellow-white striped cup B (C, UD)</x:v>
      </x:c>
      <x:c r="I26" s="9" t="str">
        <x:f>'Evaluation Plan'!J26</x:f>
        <x:v>brown cup A</x:v>
      </x:c>
      <x:c r="J26" s="9" t="str">
        <x:v>Not started</x:v>
      </x:c>
      <x:c r="K26" s="9"/>
      <x:c r="L26" s="9"/>
      <x:c r="M26" s="10"/>
    </x:row>
    <x:row r="27" ht="58" customHeight="1">
      <x:c r="A27" s="8" t="n">
        <x:f>'Evaluation Plan'!A27</x:f>
        <x:v>25</x:v>
      </x:c>
      <x:c r="B27" s="8" t="n">
        <x:f>'Evaluation Plan'!B27</x:f>
        <x:v>9</x:v>
      </x:c>
      <x:c r="C27" s="8" t="str">
        <x:f>'Evaluation Plan'!C27</x:f>
        <x:v>2 — Exact-scene paraphrase</x:v>
      </x:c>
      <x:c r="D27" s="8" t="str">
        <x:f>'Evaluation Plan'!D27</x:f>
        <x:v>Language robustness</x:v>
      </x:c>
      <x:c r="E27" s="8" t="str">
        <x:f>'Evaluation Plan'!F27</x:f>
        <x:v>SR-F09</x:v>
      </x:c>
      <x:c r="F27" s="8" t="n">
        <x:f>IF('Evaluation Plan'!D27="Language robustness",'Evaluation Plan'!G27,IF('Evaluation Plan'!D27="Matched manipulation control",'Evaluation Plan'!G27,""))</x:f>
        <x:v>24</x:v>
      </x:c>
      <x:c r="G27" s="7" t="str">
        <x:f>'Evaluation Plan'!H27</x:f>
        <x:v>Find the closed brown cup and place it in the bowl.</x:v>
      </x:c>
      <x:c r="H27" s="7" t="str">
        <x:f>'Evaluation Plan'!I27</x:f>
        <x:v>P1 brown cup A (C, UR) [TARGET]; P2 brown cup B (O, UR) [STATE COMPETITOR]; P3 white cup A (O, UR); P4 yellow-white striped cup B (C, UD)</x:v>
      </x:c>
      <x:c r="I27" s="8" t="str">
        <x:f>'Evaluation Plan'!J27</x:f>
        <x:v>brown cup A</x:v>
      </x:c>
      <x:c r="J27" s="8" t="str">
        <x:v>Not started</x:v>
      </x:c>
      <x:c r="K27" s="8"/>
      <x:c r="L27" s="8"/>
      <x:c r="M27" s="7"/>
    </x:row>
    <x:row r="28" ht="58" customHeight="1">
      <x:c r="A28" s="8" t="n">
        <x:f>'Evaluation Plan'!A28</x:f>
        <x:v>26</x:v>
      </x:c>
      <x:c r="B28" s="8" t="n">
        <x:f>'Evaluation Plan'!B28</x:f>
        <x:v>9</x:v>
      </x:c>
      <x:c r="C28" s="8" t="str">
        <x:f>'Evaluation Plan'!C28</x:f>
        <x:v>3 — Matched control</x:v>
      </x:c>
      <x:c r="D28" s="8" t="str">
        <x:f>'Evaluation Plan'!D28</x:f>
        <x:v>Matched manipulation control</x:v>
      </x:c>
      <x:c r="E28" s="8" t="str">
        <x:f>'Evaluation Plan'!F28</x:f>
        <x:v>SR-F09</x:v>
      </x:c>
      <x:c r="F28" s="8" t="n">
        <x:f>IF('Evaluation Plan'!D28="Language robustness",'Evaluation Plan'!G28,IF('Evaluation Plan'!D28="Matched manipulation control",'Evaluation Plan'!G28,""))</x:f>
        <x:v>24</x:v>
      </x:c>
      <x:c r="G28" s="7" t="str">
        <x:f>'Evaluation Plan'!H28</x:f>
        <x:v>Move the brown cup into the bowl.</x:v>
      </x:c>
      <x:c r="H28" s="7" t="str">
        <x:f>'Evaluation Plan'!I28</x:f>
        <x:v>P1 brown cup A (C, UR) [TARGET]; P3 white cup A (O, UR); P4 yellow-white striped cup B (C, UD)</x:v>
      </x:c>
      <x:c r="I28" s="8" t="str">
        <x:f>'Evaluation Plan'!J28</x:f>
        <x:v>brown cup A</x:v>
      </x:c>
      <x:c r="J28" s="8" t="str">
        <x:v>Not started</x:v>
      </x:c>
      <x:c r="K28" s="8"/>
      <x:c r="L28" s="8"/>
      <x:c r="M28" s="7"/>
    </x:row>
    <x:row r="29" ht="58" customHeight="1">
      <x:c r="A29" s="9" t="n">
        <x:f>'Evaluation Plan'!A29</x:f>
        <x:v>27</x:v>
      </x:c>
      <x:c r="B29" s="9" t="n">
        <x:f>'Evaluation Plan'!B29</x:f>
        <x:v>10</x:v>
      </x:c>
      <x:c r="C29" s="9" t="str">
        <x:f>'Evaluation Plan'!C29</x:f>
        <x:v>1 — Canonical transfer</x:v>
      </x:c>
      <x:c r="D29" s="9" t="str">
        <x:f>'Evaluation Plan'!D29</x:f>
        <x:v>Concept/compositional transfer</x:v>
      </x:c>
      <x:c r="E29" s="9" t="str">
        <x:f>'Evaluation Plan'!F29</x:f>
        <x:v>SR-F10</x:v>
      </x:c>
      <x:c r="F29" s="9" t="str">
        <x:f>IF('Evaluation Plan'!D29="Language robustness",'Evaluation Plan'!G29,IF('Evaluation Plan'!D29="Matched manipulation control",'Evaluation Plan'!G29,""))</x:f>
      </x:c>
      <x:c r="G29" s="10" t="str">
        <x:f>'Evaluation Plan'!H29</x:f>
        <x:v>Place the open glass spice container in the bowl.</x:v>
      </x:c>
      <x:c r="H29" s="10" t="str">
        <x:f>'Evaluation Plan'!I29</x:f>
        <x:v>P1 white cup B (C, UD); P2 glass spice container B (O, UD) [TARGET]; P3 glass spice container A (C, UD) [STATE COMPETITOR]; P4 yellow-white striped cup A (O, UR)</x:v>
      </x:c>
      <x:c r="I29" s="9" t="str">
        <x:f>'Evaluation Plan'!J29</x:f>
        <x:v>glass spice container B</x:v>
      </x:c>
      <x:c r="J29" s="9" t="str">
        <x:v>Not started</x:v>
      </x:c>
      <x:c r="K29" s="9"/>
      <x:c r="L29" s="9"/>
      <x:c r="M29" s="10"/>
    </x:row>
    <x:row r="30" ht="58" customHeight="1">
      <x:c r="A30" s="8" t="n">
        <x:f>'Evaluation Plan'!A30</x:f>
        <x:v>28</x:v>
      </x:c>
      <x:c r="B30" s="8" t="n">
        <x:f>'Evaluation Plan'!B30</x:f>
        <x:v>10</x:v>
      </x:c>
      <x:c r="C30" s="8" t="str">
        <x:f>'Evaluation Plan'!C30</x:f>
        <x:v>2 — Exact-scene paraphrase</x:v>
      </x:c>
      <x:c r="D30" s="8" t="str">
        <x:f>'Evaluation Plan'!D30</x:f>
        <x:v>Language robustness</x:v>
      </x:c>
      <x:c r="E30" s="8" t="str">
        <x:f>'Evaluation Plan'!F30</x:f>
        <x:v>SR-F10</x:v>
      </x:c>
      <x:c r="F30" s="8" t="n">
        <x:f>IF('Evaluation Plan'!D30="Language robustness",'Evaluation Plan'!G30,IF('Evaluation Plan'!D30="Matched manipulation control",'Evaluation Plan'!G30,""))</x:f>
        <x:v>27</x:v>
      </x:c>
      <x:c r="G30" s="7" t="str">
        <x:f>'Evaluation Plan'!H30</x:f>
        <x:v>Find the open glass spice container and place it in the bowl.</x:v>
      </x:c>
      <x:c r="H30" s="7" t="str">
        <x:f>'Evaluation Plan'!I30</x:f>
        <x:v>P1 white cup B (C, UD); P2 glass spice container B (O, UD) [TARGET]; P3 glass spice container A (C, UD) [STATE COMPETITOR]; P4 yellow-white striped cup A (O, UR)</x:v>
      </x:c>
      <x:c r="I30" s="8" t="str">
        <x:f>'Evaluation Plan'!J30</x:f>
        <x:v>glass spice container B</x:v>
      </x:c>
      <x:c r="J30" s="8" t="str">
        <x:v>Not started</x:v>
      </x:c>
      <x:c r="K30" s="8"/>
      <x:c r="L30" s="8"/>
      <x:c r="M30" s="7"/>
    </x:row>
    <x:row r="31" ht="58" customHeight="1">
      <x:c r="A31" s="8" t="n">
        <x:f>'Evaluation Plan'!A31</x:f>
        <x:v>29</x:v>
      </x:c>
      <x:c r="B31" s="8" t="n">
        <x:f>'Evaluation Plan'!B31</x:f>
        <x:v>10</x:v>
      </x:c>
      <x:c r="C31" s="8" t="str">
        <x:f>'Evaluation Plan'!C31</x:f>
        <x:v>3 — Matched control</x:v>
      </x:c>
      <x:c r="D31" s="8" t="str">
        <x:f>'Evaluation Plan'!D31</x:f>
        <x:v>Matched manipulation control</x:v>
      </x:c>
      <x:c r="E31" s="8" t="str">
        <x:f>'Evaluation Plan'!F31</x:f>
        <x:v>SR-F10</x:v>
      </x:c>
      <x:c r="F31" s="8" t="n">
        <x:f>IF('Evaluation Plan'!D31="Language robustness",'Evaluation Plan'!G31,IF('Evaluation Plan'!D31="Matched manipulation control",'Evaluation Plan'!G31,""))</x:f>
        <x:v>27</x:v>
      </x:c>
      <x:c r="G31" s="7" t="str">
        <x:f>'Evaluation Plan'!H31</x:f>
        <x:v>Place the glass spice container in the bowl.</x:v>
      </x:c>
      <x:c r="H31" s="7" t="str">
        <x:f>'Evaluation Plan'!I31</x:f>
        <x:v>P1 white cup B (C, UD); P2 glass spice container B (O, UD) [TARGET]; P4 yellow-white striped cup A (O, UR)</x:v>
      </x:c>
      <x:c r="I31" s="8" t="str">
        <x:f>'Evaluation Plan'!J31</x:f>
        <x:v>glass spice container B</x:v>
      </x:c>
      <x:c r="J31" s="8" t="str">
        <x:v>Not started</x:v>
      </x:c>
      <x:c r="K31" s="8"/>
      <x:c r="L31" s="8"/>
      <x:c r="M31" s="7"/>
    </x:row>
    <x:row r="32" ht="58" customHeight="1">
      <x:c r="A32" s="9" t="n">
        <x:f>'Evaluation Plan'!A32</x:f>
        <x:v>30</x:v>
      </x:c>
      <x:c r="B32" s="9" t="n">
        <x:f>'Evaluation Plan'!B32</x:f>
        <x:v>11</x:v>
      </x:c>
      <x:c r="C32" s="9" t="str">
        <x:f>'Evaluation Plan'!C32</x:f>
        <x:v>1 — Canonical transfer</x:v>
      </x:c>
      <x:c r="D32" s="9" t="str">
        <x:f>'Evaluation Plan'!D32</x:f>
        <x:v>Concept/compositional transfer</x:v>
      </x:c>
      <x:c r="E32" s="9" t="str">
        <x:f>'Evaluation Plan'!F32</x:f>
        <x:v>SR-F11</x:v>
      </x:c>
      <x:c r="F32" s="9" t="str">
        <x:f>IF('Evaluation Plan'!D32="Language robustness",'Evaluation Plan'!G32,IF('Evaluation Plan'!D32="Matched manipulation control",'Evaluation Plan'!G32,""))</x:f>
      </x:c>
      <x:c r="G32" s="10" t="str">
        <x:f>'Evaluation Plan'!H32</x:f>
        <x:v>Put the upright white cup in the bowl.</x:v>
      </x:c>
      <x:c r="H32" s="10" t="str">
        <x:f>'Evaluation Plan'!I32</x:f>
        <x:v>P1 yellow-white striped cup A (O, UR); P2 brown cup B (C, UD); P3 white cup A (O, UR) [TARGET]; P4 white cup B (O, UD) [STATE COMPETITOR]</x:v>
      </x:c>
      <x:c r="I32" s="9" t="str">
        <x:f>'Evaluation Plan'!J32</x:f>
        <x:v>white cup A</x:v>
      </x:c>
      <x:c r="J32" s="9" t="str">
        <x:v>Not started</x:v>
      </x:c>
      <x:c r="K32" s="9"/>
      <x:c r="L32" s="9"/>
      <x:c r="M32" s="10"/>
    </x:row>
    <x:row r="33" ht="58" customHeight="1">
      <x:c r="A33" s="8" t="n">
        <x:f>'Evaluation Plan'!A33</x:f>
        <x:v>31</x:v>
      </x:c>
      <x:c r="B33" s="8" t="n">
        <x:f>'Evaluation Plan'!B33</x:f>
        <x:v>11</x:v>
      </x:c>
      <x:c r="C33" s="8" t="str">
        <x:f>'Evaluation Plan'!C33</x:f>
        <x:v>2 — Exact-scene paraphrase</x:v>
      </x:c>
      <x:c r="D33" s="8" t="str">
        <x:f>'Evaluation Plan'!D33</x:f>
        <x:v>Language robustness</x:v>
      </x:c>
      <x:c r="E33" s="8" t="str">
        <x:f>'Evaluation Plan'!F33</x:f>
        <x:v>SR-F11</x:v>
      </x:c>
      <x:c r="F33" s="8" t="n">
        <x:f>IF('Evaluation Plan'!D33="Language robustness",'Evaluation Plan'!G33,IF('Evaluation Plan'!D33="Matched manipulation control",'Evaluation Plan'!G33,""))</x:f>
        <x:v>30</x:v>
      </x:c>
      <x:c r="G33" s="7" t="str">
        <x:f>'Evaluation Plan'!H33</x:f>
        <x:v>Find the upright white cup and place it in the bowl.</x:v>
      </x:c>
      <x:c r="H33" s="7" t="str">
        <x:f>'Evaluation Plan'!I33</x:f>
        <x:v>P1 yellow-white striped cup A (O, UR); P2 brown cup B (C, UD); P3 white cup A (O, UR) [TARGET]; P4 white cup B (O, UD) [STATE COMPETITOR]</x:v>
      </x:c>
      <x:c r="I33" s="8" t="str">
        <x:f>'Evaluation Plan'!J33</x:f>
        <x:v>white cup A</x:v>
      </x:c>
      <x:c r="J33" s="8" t="str">
        <x:v>Not started</x:v>
      </x:c>
      <x:c r="K33" s="8"/>
      <x:c r="L33" s="8"/>
      <x:c r="M33" s="7"/>
    </x:row>
    <x:row r="34" ht="58" customHeight="1">
      <x:c r="A34" s="8" t="n">
        <x:f>'Evaluation Plan'!A34</x:f>
        <x:v>32</x:v>
      </x:c>
      <x:c r="B34" s="8" t="n">
        <x:f>'Evaluation Plan'!B34</x:f>
        <x:v>11</x:v>
      </x:c>
      <x:c r="C34" s="8" t="str">
        <x:f>'Evaluation Plan'!C34</x:f>
        <x:v>3 — Matched control</x:v>
      </x:c>
      <x:c r="D34" s="8" t="str">
        <x:f>'Evaluation Plan'!D34</x:f>
        <x:v>Matched manipulation control</x:v>
      </x:c>
      <x:c r="E34" s="8" t="str">
        <x:f>'Evaluation Plan'!F34</x:f>
        <x:v>SR-F11</x:v>
      </x:c>
      <x:c r="F34" s="8" t="n">
        <x:f>IF('Evaluation Plan'!D34="Language robustness",'Evaluation Plan'!G34,IF('Evaluation Plan'!D34="Matched manipulation control",'Evaluation Plan'!G34,""))</x:f>
        <x:v>30</x:v>
      </x:c>
      <x:c r="G34" s="7" t="str">
        <x:f>'Evaluation Plan'!H34</x:f>
        <x:v>Put the white cup in the bowl.</x:v>
      </x:c>
      <x:c r="H34" s="7" t="str">
        <x:f>'Evaluation Plan'!I34</x:f>
        <x:v>P1 yellow-white striped cup A (O, UR); P2 brown cup B (C, UD); P3 white cup A (O, UR) [TARGET]</x:v>
      </x:c>
      <x:c r="I34" s="8" t="str">
        <x:f>'Evaluation Plan'!J34</x:f>
        <x:v>white cup A</x:v>
      </x:c>
      <x:c r="J34" s="8" t="str">
        <x:v>Not started</x:v>
      </x:c>
      <x:c r="K34" s="8"/>
      <x:c r="L34" s="8"/>
      <x:c r="M34" s="7"/>
    </x:row>
    <x:row r="35" ht="58" customHeight="1">
      <x:c r="A35" s="9" t="n">
        <x:f>'Evaluation Plan'!A35</x:f>
        <x:v>33</x:v>
      </x:c>
      <x:c r="B35" s="9" t="n">
        <x:f>'Evaluation Plan'!B35</x:f>
        <x:v>12</x:v>
      </x:c>
      <x:c r="C35" s="9" t="str">
        <x:f>'Evaluation Plan'!C35</x:f>
        <x:v>1 — Canonical transfer</x:v>
      </x:c>
      <x:c r="D35" s="9" t="str">
        <x:f>'Evaluation Plan'!D35</x:f>
        <x:v>Concept/compositional transfer</x:v>
      </x:c>
      <x:c r="E35" s="9" t="str">
        <x:f>'Evaluation Plan'!F35</x:f>
        <x:v>SR-F12</x:v>
      </x:c>
      <x:c r="F35" s="9" t="str">
        <x:f>IF('Evaluation Plan'!D35="Language robustness",'Evaluation Plan'!G35,IF('Evaluation Plan'!D35="Matched manipulation control",'Evaluation Plan'!G35,""))</x:f>
      </x:c>
      <x:c r="G35" s="10" t="str">
        <x:f>'Evaluation Plan'!H35</x:f>
        <x:v>Move the upside-down yellow-white striped cup into the bowl.</x:v>
      </x:c>
      <x:c r="H35" s="10" t="str">
        <x:f>'Evaluation Plan'!I35</x:f>
        <x:v>P1 yellow-white striped cup A (C, UR) [STATE COMPETITOR]; P2 white cup A (O, UR); P3 brown cup B (C, UD); P4 yellow-white striped cup B (C, UD) [TARGET]</x:v>
      </x:c>
      <x:c r="I35" s="9" t="str">
        <x:f>'Evaluation Plan'!J35</x:f>
        <x:v>yellow-white striped cup B</x:v>
      </x:c>
      <x:c r="J35" s="9" t="str">
        <x:v>Not started</x:v>
      </x:c>
      <x:c r="K35" s="9"/>
      <x:c r="L35" s="9"/>
      <x:c r="M35" s="10"/>
    </x:row>
    <x:row r="36" ht="58" customHeight="1">
      <x:c r="A36" s="8" t="n">
        <x:f>'Evaluation Plan'!A36</x:f>
        <x:v>34</x:v>
      </x:c>
      <x:c r="B36" s="8" t="n">
        <x:f>'Evaluation Plan'!B36</x:f>
        <x:v>12</x:v>
      </x:c>
      <x:c r="C36" s="8" t="str">
        <x:f>'Evaluation Plan'!C36</x:f>
        <x:v>2 — Exact-scene paraphrase</x:v>
      </x:c>
      <x:c r="D36" s="8" t="str">
        <x:f>'Evaluation Plan'!D36</x:f>
        <x:v>Language robustness</x:v>
      </x:c>
      <x:c r="E36" s="8" t="str">
        <x:f>'Evaluation Plan'!F36</x:f>
        <x:v>SR-F12</x:v>
      </x:c>
      <x:c r="F36" s="8" t="n">
        <x:f>IF('Evaluation Plan'!D36="Language robustness",'Evaluation Plan'!G36,IF('Evaluation Plan'!D36="Matched manipulation control",'Evaluation Plan'!G36,""))</x:f>
        <x:v>33</x:v>
      </x:c>
      <x:c r="G36" s="7" t="str">
        <x:f>'Evaluation Plan'!H36</x:f>
        <x:v>Find the upside-down yellow-white striped cup and place it in the bowl.</x:v>
      </x:c>
      <x:c r="H36" s="7" t="str">
        <x:f>'Evaluation Plan'!I36</x:f>
        <x:v>P1 yellow-white striped cup A (C, UR) [STATE COMPETITOR]; P2 white cup A (O, UR); P3 brown cup B (C, UD); P4 yellow-white striped cup B (C, UD) [TARGET]</x:v>
      </x:c>
      <x:c r="I36" s="8" t="str">
        <x:f>'Evaluation Plan'!J36</x:f>
        <x:v>yellow-white striped cup B</x:v>
      </x:c>
      <x:c r="J36" s="8" t="str">
        <x:v>Not started</x:v>
      </x:c>
      <x:c r="K36" s="8"/>
      <x:c r="L36" s="8"/>
      <x:c r="M36" s="7"/>
    </x:row>
    <x:row r="37" ht="58" customHeight="1">
      <x:c r="A37" s="8" t="n">
        <x:f>'Evaluation Plan'!A37</x:f>
        <x:v>35</x:v>
      </x:c>
      <x:c r="B37" s="8" t="n">
        <x:f>'Evaluation Plan'!B37</x:f>
        <x:v>12</x:v>
      </x:c>
      <x:c r="C37" s="8" t="str">
        <x:f>'Evaluation Plan'!C37</x:f>
        <x:v>3 — Matched control</x:v>
      </x:c>
      <x:c r="D37" s="8" t="str">
        <x:f>'Evaluation Plan'!D37</x:f>
        <x:v>Matched manipulation control</x:v>
      </x:c>
      <x:c r="E37" s="8" t="str">
        <x:f>'Evaluation Plan'!F37</x:f>
        <x:v>SR-F12</x:v>
      </x:c>
      <x:c r="F37" s="8" t="n">
        <x:f>IF('Evaluation Plan'!D37="Language robustness",'Evaluation Plan'!G37,IF('Evaluation Plan'!D37="Matched manipulation control",'Evaluation Plan'!G37,""))</x:f>
        <x:v>33</x:v>
      </x:c>
      <x:c r="G37" s="7" t="str">
        <x:f>'Evaluation Plan'!H37</x:f>
        <x:v>Move the yellow-white striped cup into the bowl.</x:v>
      </x:c>
      <x:c r="H37" s="7" t="str">
        <x:f>'Evaluation Plan'!I37</x:f>
        <x:v>P2 white cup A (O, UR); P3 brown cup B (C, UD); P4 yellow-white striped cup B (C, UD) [TARGET]</x:v>
      </x:c>
      <x:c r="I37" s="8" t="str">
        <x:f>'Evaluation Plan'!J37</x:f>
        <x:v>yellow-white striped cup B</x:v>
      </x:c>
      <x:c r="J37" s="8" t="str">
        <x:v>Not started</x:v>
      </x:c>
      <x:c r="K37" s="8"/>
      <x:c r="L37" s="8"/>
      <x:c r="M37" s="7"/>
    </x:row>
    <x:row r="38" ht="58" customHeight="1">
      <x:c r="A38" s="9" t="n">
        <x:f>'Evaluation Plan'!A38</x:f>
        <x:v>36</x:v>
      </x:c>
      <x:c r="B38" s="9" t="n">
        <x:f>'Evaluation Plan'!B38</x:f>
        <x:v>13</x:v>
      </x:c>
      <x:c r="C38" s="9" t="str">
        <x:f>'Evaluation Plan'!C38</x:f>
        <x:v>1 — Canonical transfer</x:v>
      </x:c>
      <x:c r="D38" s="9" t="str">
        <x:f>'Evaluation Plan'!D38</x:f>
        <x:v>Concept/compositional transfer</x:v>
      </x:c>
      <x:c r="E38" s="9" t="str">
        <x:f>'Evaluation Plan'!F38</x:f>
        <x:v>SR-F13</x:v>
      </x:c>
      <x:c r="F38" s="9" t="str">
        <x:f>IF('Evaluation Plan'!D38="Language robustness",'Evaluation Plan'!G38,IF('Evaluation Plan'!D38="Matched manipulation control",'Evaluation Plan'!G38,""))</x:f>
      </x:c>
      <x:c r="G38" s="10" t="str">
        <x:f>'Evaluation Plan'!H38</x:f>
        <x:v>Place the closed glass spice container in the bowl.</x:v>
      </x:c>
      <x:c r="H38" s="10" t="str">
        <x:f>'Evaluation Plan'!I38</x:f>
        <x:v>P1 glass spice container A (C, UR) [TARGET]; P2 glass spice container B (O, UR) [STATE COMPETITOR]; P3 white cup A (O, UR); P4 yellow-white striped cup B (C, UD)</x:v>
      </x:c>
      <x:c r="I38" s="9" t="str">
        <x:f>'Evaluation Plan'!J38</x:f>
        <x:v>glass spice container A</x:v>
      </x:c>
      <x:c r="J38" s="9" t="str">
        <x:v>Not started</x:v>
      </x:c>
      <x:c r="K38" s="9"/>
      <x:c r="L38" s="9"/>
      <x:c r="M38" s="10"/>
    </x:row>
    <x:row r="39" ht="58" customHeight="1">
      <x:c r="A39" s="8" t="n">
        <x:f>'Evaluation Plan'!A39</x:f>
        <x:v>37</x:v>
      </x:c>
      <x:c r="B39" s="8" t="n">
        <x:f>'Evaluation Plan'!B39</x:f>
        <x:v>13</x:v>
      </x:c>
      <x:c r="C39" s="8" t="str">
        <x:f>'Evaluation Plan'!C39</x:f>
        <x:v>2 — Exact-scene paraphrase</x:v>
      </x:c>
      <x:c r="D39" s="8" t="str">
        <x:f>'Evaluation Plan'!D39</x:f>
        <x:v>Language robustness</x:v>
      </x:c>
      <x:c r="E39" s="8" t="str">
        <x:f>'Evaluation Plan'!F39</x:f>
        <x:v>SR-F13</x:v>
      </x:c>
      <x:c r="F39" s="8" t="n">
        <x:f>IF('Evaluation Plan'!D39="Language robustness",'Evaluation Plan'!G39,IF('Evaluation Plan'!D39="Matched manipulation control",'Evaluation Plan'!G39,""))</x:f>
        <x:v>36</x:v>
      </x:c>
      <x:c r="G39" s="7" t="str">
        <x:f>'Evaluation Plan'!H39</x:f>
        <x:v>Place the glass spice container that is not open in the bowl.</x:v>
      </x:c>
      <x:c r="H39" s="7" t="str">
        <x:f>'Evaluation Plan'!I39</x:f>
        <x:v>P1 glass spice container A (C, UR) [TARGET]; P2 glass spice container B (O, UR) [STATE COMPETITOR]; P3 white cup A (O, UR); P4 yellow-white striped cup B (C, UD)</x:v>
      </x:c>
      <x:c r="I39" s="8" t="str">
        <x:f>'Evaluation Plan'!J39</x:f>
        <x:v>glass spice container A</x:v>
      </x:c>
      <x:c r="J39" s="8" t="str">
        <x:v>Not started</x:v>
      </x:c>
      <x:c r="K39" s="8"/>
      <x:c r="L39" s="8"/>
      <x:c r="M39" s="7"/>
    </x:row>
    <x:row r="40" ht="58" customHeight="1">
      <x:c r="A40" s="8" t="n">
        <x:f>'Evaluation Plan'!A40</x:f>
        <x:v>38</x:v>
      </x:c>
      <x:c r="B40" s="8" t="n">
        <x:f>'Evaluation Plan'!B40</x:f>
        <x:v>13</x:v>
      </x:c>
      <x:c r="C40" s="8" t="str">
        <x:f>'Evaluation Plan'!C40</x:f>
        <x:v>3 — Matched control</x:v>
      </x:c>
      <x:c r="D40" s="8" t="str">
        <x:f>'Evaluation Plan'!D40</x:f>
        <x:v>Matched manipulation control</x:v>
      </x:c>
      <x:c r="E40" s="8" t="str">
        <x:f>'Evaluation Plan'!F40</x:f>
        <x:v>SR-F13</x:v>
      </x:c>
      <x:c r="F40" s="8" t="n">
        <x:f>IF('Evaluation Plan'!D40="Language robustness",'Evaluation Plan'!G40,IF('Evaluation Plan'!D40="Matched manipulation control",'Evaluation Plan'!G40,""))</x:f>
        <x:v>36</x:v>
      </x:c>
      <x:c r="G40" s="7" t="str">
        <x:f>'Evaluation Plan'!H40</x:f>
        <x:v>Place the glass spice container in the bowl.</x:v>
      </x:c>
      <x:c r="H40" s="7" t="str">
        <x:f>'Evaluation Plan'!I40</x:f>
        <x:v>P1 glass spice container A (C, UR) [TARGET]; P3 white cup A (O, UR); P4 yellow-white striped cup B (C, UD)</x:v>
      </x:c>
      <x:c r="I40" s="8" t="str">
        <x:f>'Evaluation Plan'!J40</x:f>
        <x:v>glass spice container A</x:v>
      </x:c>
      <x:c r="J40" s="8" t="str">
        <x:v>Not started</x:v>
      </x:c>
      <x:c r="K40" s="8"/>
      <x:c r="L40" s="8"/>
      <x:c r="M40" s="7"/>
    </x:row>
    <x:row r="41" ht="58" customHeight="1">
      <x:c r="A41" s="9" t="n">
        <x:f>'Evaluation Plan'!A41</x:f>
        <x:v>39</x:v>
      </x:c>
      <x:c r="B41" s="9" t="n">
        <x:f>'Evaluation Plan'!B41</x:f>
        <x:v>14</x:v>
      </x:c>
      <x:c r="C41" s="9" t="str">
        <x:f>'Evaluation Plan'!C41</x:f>
        <x:v>1 — Canonical transfer</x:v>
      </x:c>
      <x:c r="D41" s="9" t="str">
        <x:f>'Evaluation Plan'!D41</x:f>
        <x:v>Concept/compositional transfer</x:v>
      </x:c>
      <x:c r="E41" s="9" t="str">
        <x:f>'Evaluation Plan'!F41</x:f>
        <x:v>SR-F14</x:v>
      </x:c>
      <x:c r="F41" s="9" t="str">
        <x:f>IF('Evaluation Plan'!D41="Language robustness",'Evaluation Plan'!G41,IF('Evaluation Plan'!D41="Matched manipulation control",'Evaluation Plan'!G41,""))</x:f>
      </x:c>
      <x:c r="G41" s="10" t="str">
        <x:f>'Evaluation Plan'!H41</x:f>
        <x:v>Put the open white cup in the bowl.</x:v>
      </x:c>
      <x:c r="H41" s="10" t="str">
        <x:f>'Evaluation Plan'!I41</x:f>
        <x:v>P1 yellow-white striped cup B (C, UD); P2 white cup B (O, UD) [TARGET]; P3 white cup A (C, UD) [STATE COMPETITOR]; P4 brown cup A (O, UR)</x:v>
      </x:c>
      <x:c r="I41" s="9" t="str">
        <x:f>'Evaluation Plan'!J41</x:f>
        <x:v>white cup B</x:v>
      </x:c>
      <x:c r="J41" s="9" t="str">
        <x:v>Not started</x:v>
      </x:c>
      <x:c r="K41" s="9"/>
      <x:c r="L41" s="9"/>
      <x:c r="M41" s="10"/>
    </x:row>
    <x:row r="42" ht="58" customHeight="1">
      <x:c r="A42" s="8" t="n">
        <x:f>'Evaluation Plan'!A42</x:f>
        <x:v>40</x:v>
      </x:c>
      <x:c r="B42" s="8" t="n">
        <x:f>'Evaluation Plan'!B42</x:f>
        <x:v>14</x:v>
      </x:c>
      <x:c r="C42" s="8" t="str">
        <x:f>'Evaluation Plan'!C42</x:f>
        <x:v>2 — Exact-scene paraphrase</x:v>
      </x:c>
      <x:c r="D42" s="8" t="str">
        <x:f>'Evaluation Plan'!D42</x:f>
        <x:v>Language robustness</x:v>
      </x:c>
      <x:c r="E42" s="8" t="str">
        <x:f>'Evaluation Plan'!F42</x:f>
        <x:v>SR-F14</x:v>
      </x:c>
      <x:c r="F42" s="8" t="n">
        <x:f>IF('Evaluation Plan'!D42="Language robustness",'Evaluation Plan'!G42,IF('Evaluation Plan'!D42="Matched manipulation control",'Evaluation Plan'!G42,""))</x:f>
        <x:v>39</x:v>
      </x:c>
      <x:c r="G42" s="7" t="str">
        <x:f>'Evaluation Plan'!H42</x:f>
        <x:v>Place the white cup that is not closed in the bowl.</x:v>
      </x:c>
      <x:c r="H42" s="7" t="str">
        <x:f>'Evaluation Plan'!I42</x:f>
        <x:v>P1 yellow-white striped cup B (C, UD); P2 white cup B (O, UD) [TARGET]; P3 white cup A (C, UD) [STATE COMPETITOR]; P4 brown cup A (O, UR)</x:v>
      </x:c>
      <x:c r="I42" s="8" t="str">
        <x:f>'Evaluation Plan'!J42</x:f>
        <x:v>white cup B</x:v>
      </x:c>
      <x:c r="J42" s="8" t="str">
        <x:v>Not started</x:v>
      </x:c>
      <x:c r="K42" s="8"/>
      <x:c r="L42" s="8"/>
      <x:c r="M42" s="7"/>
    </x:row>
    <x:row r="43" ht="58" customHeight="1">
      <x:c r="A43" s="8" t="n">
        <x:f>'Evaluation Plan'!A43</x:f>
        <x:v>41</x:v>
      </x:c>
      <x:c r="B43" s="8" t="n">
        <x:f>'Evaluation Plan'!B43</x:f>
        <x:v>14</x:v>
      </x:c>
      <x:c r="C43" s="8" t="str">
        <x:f>'Evaluation Plan'!C43</x:f>
        <x:v>3 — Matched control</x:v>
      </x:c>
      <x:c r="D43" s="8" t="str">
        <x:f>'Evaluation Plan'!D43</x:f>
        <x:v>Matched manipulation control</x:v>
      </x:c>
      <x:c r="E43" s="8" t="str">
        <x:f>'Evaluation Plan'!F43</x:f>
        <x:v>SR-F14</x:v>
      </x:c>
      <x:c r="F43" s="8" t="n">
        <x:f>IF('Evaluation Plan'!D43="Language robustness",'Evaluation Plan'!G43,IF('Evaluation Plan'!D43="Matched manipulation control",'Evaluation Plan'!G43,""))</x:f>
        <x:v>39</x:v>
      </x:c>
      <x:c r="G43" s="7" t="str">
        <x:f>'Evaluation Plan'!H43</x:f>
        <x:v>Put the white cup in the bowl.</x:v>
      </x:c>
      <x:c r="H43" s="7" t="str">
        <x:f>'Evaluation Plan'!I43</x:f>
        <x:v>P1 yellow-white striped cup B (C, UD); P2 white cup B (O, UD) [TARGET]; P4 brown cup A (O, UR)</x:v>
      </x:c>
      <x:c r="I43" s="8" t="str">
        <x:f>'Evaluation Plan'!J43</x:f>
        <x:v>white cup B</x:v>
      </x:c>
      <x:c r="J43" s="8" t="str">
        <x:v>Not started</x:v>
      </x:c>
      <x:c r="K43" s="8"/>
      <x:c r="L43" s="8"/>
      <x:c r="M43" s="7"/>
    </x:row>
    <x:row r="44" ht="58" customHeight="1">
      <x:c r="A44" s="9" t="n">
        <x:f>'Evaluation Plan'!A44</x:f>
        <x:v>42</x:v>
      </x:c>
      <x:c r="B44" s="9" t="n">
        <x:f>'Evaluation Plan'!B44</x:f>
        <x:v>15</x:v>
      </x:c>
      <x:c r="C44" s="9" t="str">
        <x:f>'Evaluation Plan'!C44</x:f>
        <x:v>1 — Canonical transfer</x:v>
      </x:c>
      <x:c r="D44" s="9" t="str">
        <x:f>'Evaluation Plan'!D44</x:f>
        <x:v>Concept/compositional transfer</x:v>
      </x:c>
      <x:c r="E44" s="9" t="str">
        <x:f>'Evaluation Plan'!F44</x:f>
        <x:v>SR-F15</x:v>
      </x:c>
      <x:c r="F44" s="9" t="str">
        <x:f>IF('Evaluation Plan'!D44="Language robustness",'Evaluation Plan'!G44,IF('Evaluation Plan'!D44="Matched manipulation control",'Evaluation Plan'!G44,""))</x:f>
      </x:c>
      <x:c r="G44" s="10" t="str">
        <x:f>'Evaluation Plan'!H44</x:f>
        <x:v>Move the upright yellow-white striped cup into the bowl.</x:v>
      </x:c>
      <x:c r="H44" s="10" t="str">
        <x:f>'Evaluation Plan'!I44</x:f>
        <x:v>P1 white cup A (O, UR); P2 brown cup B (C, UD); P3 yellow-white striped cup A (O, UR) [TARGET]; P4 yellow-white striped cup B (O, UD) [STATE COMPETITOR]</x:v>
      </x:c>
      <x:c r="I44" s="9" t="str">
        <x:f>'Evaluation Plan'!J44</x:f>
        <x:v>yellow-white striped cup A</x:v>
      </x:c>
      <x:c r="J44" s="9" t="str">
        <x:v>Not started</x:v>
      </x:c>
      <x:c r="K44" s="9"/>
      <x:c r="L44" s="9"/>
      <x:c r="M44" s="10"/>
    </x:row>
    <x:row r="45" ht="58" customHeight="1">
      <x:c r="A45" s="8" t="n">
        <x:f>'Evaluation Plan'!A45</x:f>
        <x:v>43</x:v>
      </x:c>
      <x:c r="B45" s="8" t="n">
        <x:f>'Evaluation Plan'!B45</x:f>
        <x:v>15</x:v>
      </x:c>
      <x:c r="C45" s="8" t="str">
        <x:f>'Evaluation Plan'!C45</x:f>
        <x:v>2 — Exact-scene paraphrase</x:v>
      </x:c>
      <x:c r="D45" s="8" t="str">
        <x:f>'Evaluation Plan'!D45</x:f>
        <x:v>Language robustness</x:v>
      </x:c>
      <x:c r="E45" s="8" t="str">
        <x:f>'Evaluation Plan'!F45</x:f>
        <x:v>SR-F15</x:v>
      </x:c>
      <x:c r="F45" s="8" t="n">
        <x:f>IF('Evaluation Plan'!D45="Language robustness",'Evaluation Plan'!G45,IF('Evaluation Plan'!D45="Matched manipulation control",'Evaluation Plan'!G45,""))</x:f>
        <x:v>42</x:v>
      </x:c>
      <x:c r="G45" s="7" t="str">
        <x:f>'Evaluation Plan'!H45</x:f>
        <x:v>Place the yellow-white striped cup that is not overturned in the bowl.</x:v>
      </x:c>
      <x:c r="H45" s="7" t="str">
        <x:f>'Evaluation Plan'!I45</x:f>
        <x:v>P1 white cup A (O, UR); P2 brown cup B (C, UD); P3 yellow-white striped cup A (O, UR) [TARGET]; P4 yellow-white striped cup B (O, UD) [STATE COMPETITOR]</x:v>
      </x:c>
      <x:c r="I45" s="8" t="str">
        <x:f>'Evaluation Plan'!J45</x:f>
        <x:v>yellow-white striped cup A</x:v>
      </x:c>
      <x:c r="J45" s="8" t="str">
        <x:v>Not started</x:v>
      </x:c>
      <x:c r="K45" s="8"/>
      <x:c r="L45" s="8"/>
      <x:c r="M45" s="7"/>
    </x:row>
    <x:row r="46" ht="58" customHeight="1">
      <x:c r="A46" s="8" t="n">
        <x:f>'Evaluation Plan'!A46</x:f>
        <x:v>44</x:v>
      </x:c>
      <x:c r="B46" s="8" t="n">
        <x:f>'Evaluation Plan'!B46</x:f>
        <x:v>15</x:v>
      </x:c>
      <x:c r="C46" s="8" t="str">
        <x:f>'Evaluation Plan'!C46</x:f>
        <x:v>3 — Matched control</x:v>
      </x:c>
      <x:c r="D46" s="8" t="str">
        <x:f>'Evaluation Plan'!D46</x:f>
        <x:v>Matched manipulation control</x:v>
      </x:c>
      <x:c r="E46" s="8" t="str">
        <x:f>'Evaluation Plan'!F46</x:f>
        <x:v>SR-F15</x:v>
      </x:c>
      <x:c r="F46" s="8" t="n">
        <x:f>IF('Evaluation Plan'!D46="Language robustness",'Evaluation Plan'!G46,IF('Evaluation Plan'!D46="Matched manipulation control",'Evaluation Plan'!G46,""))</x:f>
        <x:v>42</x:v>
      </x:c>
      <x:c r="G46" s="7" t="str">
        <x:f>'Evaluation Plan'!H46</x:f>
        <x:v>Move the yellow-white striped cup into the bowl.</x:v>
      </x:c>
      <x:c r="H46" s="7" t="str">
        <x:f>'Evaluation Plan'!I46</x:f>
        <x:v>P1 white cup A (O, UR); P2 brown cup B (C, UD); P3 yellow-white striped cup A (O, UR) [TARGET]</x:v>
      </x:c>
      <x:c r="I46" s="8" t="str">
        <x:f>'Evaluation Plan'!J46</x:f>
        <x:v>yellow-white striped cup A</x:v>
      </x:c>
      <x:c r="J46" s="8" t="str">
        <x:v>Not started</x:v>
      </x:c>
      <x:c r="K46" s="8"/>
      <x:c r="L46" s="8"/>
      <x:c r="M46" s="7"/>
    </x:row>
    <x:row r="47" ht="58" customHeight="1">
      <x:c r="A47" s="9" t="n">
        <x:f>'Evaluation Plan'!A47</x:f>
        <x:v>45</x:v>
      </x:c>
      <x:c r="B47" s="9" t="n">
        <x:f>'Evaluation Plan'!B47</x:f>
        <x:v>16</x:v>
      </x:c>
      <x:c r="C47" s="9" t="str">
        <x:f>'Evaluation Plan'!C47</x:f>
        <x:v>1 — Canonical transfer</x:v>
      </x:c>
      <x:c r="D47" s="9" t="str">
        <x:f>'Evaluation Plan'!D47</x:f>
        <x:v>Concept/compositional transfer</x:v>
      </x:c>
      <x:c r="E47" s="9" t="str">
        <x:f>'Evaluation Plan'!F47</x:f>
        <x:v>SR-F16</x:v>
      </x:c>
      <x:c r="F47" s="9" t="str">
        <x:f>IF('Evaluation Plan'!D47="Language robustness",'Evaluation Plan'!G47,IF('Evaluation Plan'!D47="Matched manipulation control",'Evaluation Plan'!G47,""))</x:f>
      </x:c>
      <x:c r="G47" s="10" t="str">
        <x:f>'Evaluation Plan'!H47</x:f>
        <x:v>Place the upside-down brown cup in the bowl.</x:v>
      </x:c>
      <x:c r="H47" s="10" t="str">
        <x:f>'Evaluation Plan'!I47</x:f>
        <x:v>P1 brown cup A (C, UR) [STATE COMPETITOR]; P2 white cup A (O, UR); P3 yellow-white striped cup B (C, UD); P4 brown cup B (C, UD) [TARGET]</x:v>
      </x:c>
      <x:c r="I47" s="9" t="str">
        <x:f>'Evaluation Plan'!J47</x:f>
        <x:v>brown cup B</x:v>
      </x:c>
      <x:c r="J47" s="9" t="str">
        <x:v>Not started</x:v>
      </x:c>
      <x:c r="K47" s="9"/>
      <x:c r="L47" s="9"/>
      <x:c r="M47" s="10"/>
    </x:row>
    <x:row r="48" ht="58" customHeight="1">
      <x:c r="A48" s="8" t="n">
        <x:f>'Evaluation Plan'!A48</x:f>
        <x:v>46</x:v>
      </x:c>
      <x:c r="B48" s="8" t="n">
        <x:f>'Evaluation Plan'!B48</x:f>
        <x:v>16</x:v>
      </x:c>
      <x:c r="C48" s="8" t="str">
        <x:f>'Evaluation Plan'!C48</x:f>
        <x:v>2 — Exact-scene paraphrase</x:v>
      </x:c>
      <x:c r="D48" s="8" t="str">
        <x:f>'Evaluation Plan'!D48</x:f>
        <x:v>Language robustness</x:v>
      </x:c>
      <x:c r="E48" s="8" t="str">
        <x:f>'Evaluation Plan'!F48</x:f>
        <x:v>SR-F16</x:v>
      </x:c>
      <x:c r="F48" s="8" t="n">
        <x:f>IF('Evaluation Plan'!D48="Language robustness",'Evaluation Plan'!G48,IF('Evaluation Plan'!D48="Matched manipulation control",'Evaluation Plan'!G48,""))</x:f>
        <x:v>45</x:v>
      </x:c>
      <x:c r="G48" s="7" t="str">
        <x:f>'Evaluation Plan'!H48</x:f>
        <x:v>Place the overturned brown cup in the bowl.</x:v>
      </x:c>
      <x:c r="H48" s="7" t="str">
        <x:f>'Evaluation Plan'!I48</x:f>
        <x:v>P1 brown cup A (C, UR) [STATE COMPETITOR]; P2 white cup A (O, UR); P3 yellow-white striped cup B (C, UD); P4 brown cup B (C, UD) [TARGET]</x:v>
      </x:c>
      <x:c r="I48" s="8" t="str">
        <x:f>'Evaluation Plan'!J48</x:f>
        <x:v>brown cup B</x:v>
      </x:c>
      <x:c r="J48" s="8" t="str">
        <x:v>Not started</x:v>
      </x:c>
      <x:c r="K48" s="8"/>
      <x:c r="L48" s="8"/>
      <x:c r="M48" s="7"/>
    </x:row>
    <x:row r="49" ht="58" customHeight="1">
      <x:c r="A49" s="8" t="n">
        <x:f>'Evaluation Plan'!A49</x:f>
        <x:v>47</x:v>
      </x:c>
      <x:c r="B49" s="8" t="n">
        <x:f>'Evaluation Plan'!B49</x:f>
        <x:v>16</x:v>
      </x:c>
      <x:c r="C49" s="8" t="str">
        <x:f>'Evaluation Plan'!C49</x:f>
        <x:v>3 — Matched control</x:v>
      </x:c>
      <x:c r="D49" s="8" t="str">
        <x:f>'Evaluation Plan'!D49</x:f>
        <x:v>Matched manipulation control</x:v>
      </x:c>
      <x:c r="E49" s="8" t="str">
        <x:f>'Evaluation Plan'!F49</x:f>
        <x:v>SR-F16</x:v>
      </x:c>
      <x:c r="F49" s="8" t="n">
        <x:f>IF('Evaluation Plan'!D49="Language robustness",'Evaluation Plan'!G49,IF('Evaluation Plan'!D49="Matched manipulation control",'Evaluation Plan'!G49,""))</x:f>
        <x:v>45</x:v>
      </x:c>
      <x:c r="G49" s="7" t="str">
        <x:f>'Evaluation Plan'!H49</x:f>
        <x:v>Place the brown cup in the bowl.</x:v>
      </x:c>
      <x:c r="H49" s="7" t="str">
        <x:f>'Evaluation Plan'!I49</x:f>
        <x:v>P2 white cup A (O, UR); P3 yellow-white striped cup B (C, UD); P4 brown cup B (C, UD) [TARGET]</x:v>
      </x:c>
      <x:c r="I49" s="8" t="str">
        <x:f>'Evaluation Plan'!J49</x:f>
        <x:v>brown cup B</x:v>
      </x:c>
      <x:c r="J49" s="8" t="str">
        <x:v>Not started</x:v>
      </x:c>
      <x:c r="K49" s="8"/>
      <x:c r="L49" s="8"/>
      <x:c r="M49" s="7"/>
    </x:row>
    <x:row r="50" ht="58" customHeight="1">
      <x:c r="A50" s="9" t="n">
        <x:f>'Evaluation Plan'!A50</x:f>
        <x:v>48</x:v>
      </x:c>
      <x:c r="B50" s="9" t="n">
        <x:f>'Evaluation Plan'!B50</x:f>
        <x:v>17</x:v>
      </x:c>
      <x:c r="C50" s="9" t="str">
        <x:f>'Evaluation Plan'!C50</x:f>
        <x:v>1 — Canonical transfer</x:v>
      </x:c>
      <x:c r="D50" s="9" t="str">
        <x:f>'Evaluation Plan'!D50</x:f>
        <x:v>Concept/compositional transfer</x:v>
      </x:c>
      <x:c r="E50" s="9" t="str">
        <x:f>'Evaluation Plan'!F50</x:f>
        <x:v>SR-F17</x:v>
      </x:c>
      <x:c r="F50" s="9" t="str">
        <x:f>IF('Evaluation Plan'!D50="Language robustness",'Evaluation Plan'!G50,IF('Evaluation Plan'!D50="Matched manipulation control",'Evaluation Plan'!G50,""))</x:f>
      </x:c>
      <x:c r="G50" s="10" t="str">
        <x:f>'Evaluation Plan'!H50</x:f>
        <x:v>Put the closed white cup in the bowl.</x:v>
      </x:c>
      <x:c r="H50" s="10" t="str">
        <x:f>'Evaluation Plan'!I50</x:f>
        <x:v>P1 white cup A (C, UR) [TARGET]; P2 white cup B (O, UR) [STATE COMPETITOR]; P3 yellow-white striped cup A (O, UR); P4 brown cup B (C, UD)</x:v>
      </x:c>
      <x:c r="I50" s="9" t="str">
        <x:f>'Evaluation Plan'!J50</x:f>
        <x:v>white cup A</x:v>
      </x:c>
      <x:c r="J50" s="9" t="str">
        <x:v>Not started</x:v>
      </x:c>
      <x:c r="K50" s="9"/>
      <x:c r="L50" s="9"/>
      <x:c r="M50" s="10"/>
    </x:row>
    <x:row r="51" ht="58" customHeight="1">
      <x:c r="A51" s="8" t="n">
        <x:f>'Evaluation Plan'!A51</x:f>
        <x:v>49</x:v>
      </x:c>
      <x:c r="B51" s="8" t="n">
        <x:f>'Evaluation Plan'!B51</x:f>
        <x:v>17</x:v>
      </x:c>
      <x:c r="C51" s="8" t="str">
        <x:f>'Evaluation Plan'!C51</x:f>
        <x:v>2 — Exact-scene paraphrase</x:v>
      </x:c>
      <x:c r="D51" s="8" t="str">
        <x:f>'Evaluation Plan'!D51</x:f>
        <x:v>Language robustness</x:v>
      </x:c>
      <x:c r="E51" s="8" t="str">
        <x:f>'Evaluation Plan'!F51</x:f>
        <x:v>SR-F17</x:v>
      </x:c>
      <x:c r="F51" s="8" t="n">
        <x:f>IF('Evaluation Plan'!D51="Language robustness",'Evaluation Plan'!G51,IF('Evaluation Plan'!D51="Matched manipulation control",'Evaluation Plan'!G51,""))</x:f>
        <x:v>48</x:v>
      </x:c>
      <x:c r="G51" s="7" t="str">
        <x:f>'Evaluation Plan'!H51</x:f>
        <x:v>Move the closed white cup into the bowl.</x:v>
      </x:c>
      <x:c r="H51" s="7" t="str">
        <x:f>'Evaluation Plan'!I51</x:f>
        <x:v>P1 white cup A (C, UR) [TARGET]; P2 white cup B (O, UR) [STATE COMPETITOR]; P3 yellow-white striped cup A (O, UR); P4 brown cup B (C, UD)</x:v>
      </x:c>
      <x:c r="I51" s="8" t="str">
        <x:f>'Evaluation Plan'!J51</x:f>
        <x:v>white cup A</x:v>
      </x:c>
      <x:c r="J51" s="8" t="str">
        <x:v>Not started</x:v>
      </x:c>
      <x:c r="K51" s="8"/>
      <x:c r="L51" s="8"/>
      <x:c r="M51" s="7"/>
    </x:row>
    <x:row r="52" ht="58" customHeight="1">
      <x:c r="A52" s="8" t="n">
        <x:f>'Evaluation Plan'!A52</x:f>
        <x:v>50</x:v>
      </x:c>
      <x:c r="B52" s="8" t="n">
        <x:f>'Evaluation Plan'!B52</x:f>
        <x:v>17</x:v>
      </x:c>
      <x:c r="C52" s="8" t="str">
        <x:f>'Evaluation Plan'!C52</x:f>
        <x:v>3 — Matched control</x:v>
      </x:c>
      <x:c r="D52" s="8" t="str">
        <x:f>'Evaluation Plan'!D52</x:f>
        <x:v>Matched manipulation control</x:v>
      </x:c>
      <x:c r="E52" s="8" t="str">
        <x:f>'Evaluation Plan'!F52</x:f>
        <x:v>SR-F17</x:v>
      </x:c>
      <x:c r="F52" s="8" t="n">
        <x:f>IF('Evaluation Plan'!D52="Language robustness",'Evaluation Plan'!G52,IF('Evaluation Plan'!D52="Matched manipulation control",'Evaluation Plan'!G52,""))</x:f>
        <x:v>48</x:v>
      </x:c>
      <x:c r="G52" s="7" t="str">
        <x:f>'Evaluation Plan'!H52</x:f>
        <x:v>Put the white cup in the bowl.</x:v>
      </x:c>
      <x:c r="H52" s="7" t="str">
        <x:f>'Evaluation Plan'!I52</x:f>
        <x:v>P1 white cup A (C, UR) [TARGET]; P3 yellow-white striped cup A (O, UR); P4 brown cup B (C, UD)</x:v>
      </x:c>
      <x:c r="I52" s="8" t="str">
        <x:f>'Evaluation Plan'!J52</x:f>
        <x:v>white cup A</x:v>
      </x:c>
      <x:c r="J52" s="8" t="str">
        <x:v>Not started</x:v>
      </x:c>
      <x:c r="K52" s="8"/>
      <x:c r="L52" s="8"/>
      <x:c r="M52" s="7"/>
    </x:row>
    <x:row r="53" ht="58" customHeight="1">
      <x:c r="A53" s="9" t="n">
        <x:f>'Evaluation Plan'!A53</x:f>
        <x:v>51</x:v>
      </x:c>
      <x:c r="B53" s="9" t="n">
        <x:f>'Evaluation Plan'!B53</x:f>
        <x:v>18</x:v>
      </x:c>
      <x:c r="C53" s="9" t="str">
        <x:f>'Evaluation Plan'!C53</x:f>
        <x:v>1 — Canonical transfer</x:v>
      </x:c>
      <x:c r="D53" s="9" t="str">
        <x:f>'Evaluation Plan'!D53</x:f>
        <x:v>Concept/compositional transfer</x:v>
      </x:c>
      <x:c r="E53" s="9" t="str">
        <x:f>'Evaluation Plan'!F53</x:f>
        <x:v>SR-F18</x:v>
      </x:c>
      <x:c r="F53" s="9" t="str">
        <x:f>IF('Evaluation Plan'!D53="Language robustness",'Evaluation Plan'!G53,IF('Evaluation Plan'!D53="Matched manipulation control",'Evaluation Plan'!G53,""))</x:f>
      </x:c>
      <x:c r="G53" s="10" t="str">
        <x:f>'Evaluation Plan'!H53</x:f>
        <x:v>Move the open yellow-white striped cup into the bowl.</x:v>
      </x:c>
      <x:c r="H53" s="10" t="str">
        <x:f>'Evaluation Plan'!I53</x:f>
        <x:v>P1 white cup B (C, UD); P2 yellow-white striped cup B (O, UD) [TARGET]; P3 yellow-white striped cup A (C, UD) [STATE COMPETITOR]; P4 brown cup A (O, UR)</x:v>
      </x:c>
      <x:c r="I53" s="9" t="str">
        <x:f>'Evaluation Plan'!J53</x:f>
        <x:v>yellow-white striped cup B</x:v>
      </x:c>
      <x:c r="J53" s="9" t="str">
        <x:v>Not started</x:v>
      </x:c>
      <x:c r="K53" s="9"/>
      <x:c r="L53" s="9"/>
      <x:c r="M53" s="10"/>
    </x:row>
    <x:row r="54" ht="58" customHeight="1">
      <x:c r="A54" s="8" t="n">
        <x:f>'Evaluation Plan'!A54</x:f>
        <x:v>52</x:v>
      </x:c>
      <x:c r="B54" s="8" t="n">
        <x:f>'Evaluation Plan'!B54</x:f>
        <x:v>18</x:v>
      </x:c>
      <x:c r="C54" s="8" t="str">
        <x:f>'Evaluation Plan'!C54</x:f>
        <x:v>2 — Exact-scene paraphrase</x:v>
      </x:c>
      <x:c r="D54" s="8" t="str">
        <x:f>'Evaluation Plan'!D54</x:f>
        <x:v>Language robustness</x:v>
      </x:c>
      <x:c r="E54" s="8" t="str">
        <x:f>'Evaluation Plan'!F54</x:f>
        <x:v>SR-F18</x:v>
      </x:c>
      <x:c r="F54" s="8" t="n">
        <x:f>IF('Evaluation Plan'!D54="Language robustness",'Evaluation Plan'!G54,IF('Evaluation Plan'!D54="Matched manipulation control",'Evaluation Plan'!G54,""))</x:f>
        <x:v>51</x:v>
      </x:c>
      <x:c r="G54" s="7" t="str">
        <x:f>'Evaluation Plan'!H54</x:f>
        <x:v>Move the open yellow-white striped cup into the bowl.</x:v>
      </x:c>
      <x:c r="H54" s="7" t="str">
        <x:f>'Evaluation Plan'!I54</x:f>
        <x:v>P1 white cup B (C, UD); P2 yellow-white striped cup B (O, UD) [TARGET]; P3 yellow-white striped cup A (C, UD) [STATE COMPETITOR]; P4 brown cup A (O, UR)</x:v>
      </x:c>
      <x:c r="I54" s="8" t="str">
        <x:f>'Evaluation Plan'!J54</x:f>
        <x:v>yellow-white striped cup B</x:v>
      </x:c>
      <x:c r="J54" s="8" t="str">
        <x:v>Not started</x:v>
      </x:c>
      <x:c r="K54" s="8"/>
      <x:c r="L54" s="8"/>
      <x:c r="M54" s="7"/>
    </x:row>
    <x:row r="55" ht="58" customHeight="1">
      <x:c r="A55" s="8" t="n">
        <x:f>'Evaluation Plan'!A55</x:f>
        <x:v>53</x:v>
      </x:c>
      <x:c r="B55" s="8" t="n">
        <x:f>'Evaluation Plan'!B55</x:f>
        <x:v>18</x:v>
      </x:c>
      <x:c r="C55" s="8" t="str">
        <x:f>'Evaluation Plan'!C55</x:f>
        <x:v>3 — Matched control</x:v>
      </x:c>
      <x:c r="D55" s="8" t="str">
        <x:f>'Evaluation Plan'!D55</x:f>
        <x:v>Matched manipulation control</x:v>
      </x:c>
      <x:c r="E55" s="8" t="str">
        <x:f>'Evaluation Plan'!F55</x:f>
        <x:v>SR-F18</x:v>
      </x:c>
      <x:c r="F55" s="8" t="n">
        <x:f>IF('Evaluation Plan'!D55="Language robustness",'Evaluation Plan'!G55,IF('Evaluation Plan'!D55="Matched manipulation control",'Evaluation Plan'!G55,""))</x:f>
        <x:v>51</x:v>
      </x:c>
      <x:c r="G55" s="7" t="str">
        <x:f>'Evaluation Plan'!H55</x:f>
        <x:v>Move the yellow-white striped cup into the bowl.</x:v>
      </x:c>
      <x:c r="H55" s="7" t="str">
        <x:f>'Evaluation Plan'!I55</x:f>
        <x:v>P1 white cup B (C, UD); P2 yellow-white striped cup B (O, UD) [TARGET]; P4 brown cup A (O, UR)</x:v>
      </x:c>
      <x:c r="I55" s="8" t="str">
        <x:f>'Evaluation Plan'!J55</x:f>
        <x:v>yellow-white striped cup B</x:v>
      </x:c>
      <x:c r="J55" s="8" t="str">
        <x:v>Not started</x:v>
      </x:c>
      <x:c r="K55" s="8"/>
      <x:c r="L55" s="8"/>
      <x:c r="M55" s="7"/>
    </x:row>
    <x:row r="56" ht="58" customHeight="1">
      <x:c r="A56" s="9" t="n">
        <x:f>'Evaluation Plan'!A56</x:f>
        <x:v>54</x:v>
      </x:c>
      <x:c r="B56" s="9" t="n">
        <x:f>'Evaluation Plan'!B56</x:f>
        <x:v>19</x:v>
      </x:c>
      <x:c r="C56" s="9" t="str">
        <x:f>'Evaluation Plan'!C56</x:f>
        <x:v>1 — Canonical transfer</x:v>
      </x:c>
      <x:c r="D56" s="9" t="str">
        <x:f>'Evaluation Plan'!D56</x:f>
        <x:v>Concept/compositional transfer</x:v>
      </x:c>
      <x:c r="E56" s="9" t="str">
        <x:f>'Evaluation Plan'!F56</x:f>
        <x:v>SR-F19</x:v>
      </x:c>
      <x:c r="F56" s="9" t="str">
        <x:f>IF('Evaluation Plan'!D56="Language robustness",'Evaluation Plan'!G56,IF('Evaluation Plan'!D56="Matched manipulation control",'Evaluation Plan'!G56,""))</x:f>
      </x:c>
      <x:c r="G56" s="10" t="str">
        <x:f>'Evaluation Plan'!H56</x:f>
        <x:v>Place the upright brown cup in the bowl.</x:v>
      </x:c>
      <x:c r="H56" s="10" t="str">
        <x:f>'Evaluation Plan'!I56</x:f>
        <x:v>P1 white cup A (O, UR); P2 yellow-white striped cup B (C, UD); P3 brown cup A (O, UR) [TARGET]; P4 brown cup B (O, UD) [STATE COMPETITOR]</x:v>
      </x:c>
      <x:c r="I56" s="9" t="str">
        <x:f>'Evaluation Plan'!J56</x:f>
        <x:v>brown cup A</x:v>
      </x:c>
      <x:c r="J56" s="9" t="str">
        <x:v>Not started</x:v>
      </x:c>
      <x:c r="K56" s="9"/>
      <x:c r="L56" s="9"/>
      <x:c r="M56" s="10"/>
    </x:row>
    <x:row r="57" ht="58" customHeight="1">
      <x:c r="A57" s="8" t="n">
        <x:f>'Evaluation Plan'!A57</x:f>
        <x:v>55</x:v>
      </x:c>
      <x:c r="B57" s="8" t="n">
        <x:f>'Evaluation Plan'!B57</x:f>
        <x:v>19</x:v>
      </x:c>
      <x:c r="C57" s="8" t="str">
        <x:f>'Evaluation Plan'!C57</x:f>
        <x:v>2 — Exact-scene paraphrase</x:v>
      </x:c>
      <x:c r="D57" s="8" t="str">
        <x:f>'Evaluation Plan'!D57</x:f>
        <x:v>Language robustness</x:v>
      </x:c>
      <x:c r="E57" s="8" t="str">
        <x:f>'Evaluation Plan'!F57</x:f>
        <x:v>SR-F19</x:v>
      </x:c>
      <x:c r="F57" s="8" t="n">
        <x:f>IF('Evaluation Plan'!D57="Language robustness",'Evaluation Plan'!G57,IF('Evaluation Plan'!D57="Matched manipulation control",'Evaluation Plan'!G57,""))</x:f>
        <x:v>54</x:v>
      </x:c>
      <x:c r="G57" s="7" t="str">
        <x:f>'Evaluation Plan'!H57</x:f>
        <x:v>Move the upright brown cup into the bowl.</x:v>
      </x:c>
      <x:c r="H57" s="7" t="str">
        <x:f>'Evaluation Plan'!I57</x:f>
        <x:v>P1 white cup A (O, UR); P2 yellow-white striped cup B (C, UD); P3 brown cup A (O, UR) [TARGET]; P4 brown cup B (O, UD) [STATE COMPETITOR]</x:v>
      </x:c>
      <x:c r="I57" s="8" t="str">
        <x:f>'Evaluation Plan'!J57</x:f>
        <x:v>brown cup A</x:v>
      </x:c>
      <x:c r="J57" s="8" t="str">
        <x:v>Not started</x:v>
      </x:c>
      <x:c r="K57" s="8"/>
      <x:c r="L57" s="8"/>
      <x:c r="M57" s="7"/>
    </x:row>
    <x:row r="58" ht="58" customHeight="1">
      <x:c r="A58" s="8" t="n">
        <x:f>'Evaluation Plan'!A58</x:f>
        <x:v>56</x:v>
      </x:c>
      <x:c r="B58" s="8" t="n">
        <x:f>'Evaluation Plan'!B58</x:f>
        <x:v>19</x:v>
      </x:c>
      <x:c r="C58" s="8" t="str">
        <x:f>'Evaluation Plan'!C58</x:f>
        <x:v>3 — Matched control</x:v>
      </x:c>
      <x:c r="D58" s="8" t="str">
        <x:f>'Evaluation Plan'!D58</x:f>
        <x:v>Matched manipulation control</x:v>
      </x:c>
      <x:c r="E58" s="8" t="str">
        <x:f>'Evaluation Plan'!F58</x:f>
        <x:v>SR-F19</x:v>
      </x:c>
      <x:c r="F58" s="8" t="n">
        <x:f>IF('Evaluation Plan'!D58="Language robustness",'Evaluation Plan'!G58,IF('Evaluation Plan'!D58="Matched manipulation control",'Evaluation Plan'!G58,""))</x:f>
        <x:v>54</x:v>
      </x:c>
      <x:c r="G58" s="7" t="str">
        <x:f>'Evaluation Plan'!H58</x:f>
        <x:v>Place the brown cup in the bowl.</x:v>
      </x:c>
      <x:c r="H58" s="7" t="str">
        <x:f>'Evaluation Plan'!I58</x:f>
        <x:v>P1 white cup A (O, UR); P2 yellow-white striped cup B (C, UD); P3 brown cup A (O, UR) [TARGET]</x:v>
      </x:c>
      <x:c r="I58" s="8" t="str">
        <x:f>'Evaluation Plan'!J58</x:f>
        <x:v>brown cup A</x:v>
      </x:c>
      <x:c r="J58" s="8" t="str">
        <x:v>Not started</x:v>
      </x:c>
      <x:c r="K58" s="8"/>
      <x:c r="L58" s="8"/>
      <x:c r="M58" s="7"/>
    </x:row>
    <x:row r="59" ht="58" customHeight="1">
      <x:c r="A59" s="9" t="n">
        <x:f>'Evaluation Plan'!A59</x:f>
        <x:v>57</x:v>
      </x:c>
      <x:c r="B59" s="9" t="n">
        <x:f>'Evaluation Plan'!B59</x:f>
        <x:v>20</x:v>
      </x:c>
      <x:c r="C59" s="9" t="str">
        <x:f>'Evaluation Plan'!C59</x:f>
        <x:v>1 — Canonical transfer</x:v>
      </x:c>
      <x:c r="D59" s="9" t="str">
        <x:f>'Evaluation Plan'!D59</x:f>
        <x:v>Concept/compositional transfer</x:v>
      </x:c>
      <x:c r="E59" s="9" t="str">
        <x:f>'Evaluation Plan'!F59</x:f>
        <x:v>SR-F20</x:v>
      </x:c>
      <x:c r="F59" s="9" t="str">
        <x:f>IF('Evaluation Plan'!D59="Language robustness",'Evaluation Plan'!G59,IF('Evaluation Plan'!D59="Matched manipulation control",'Evaluation Plan'!G59,""))</x:f>
      </x:c>
      <x:c r="G59" s="10" t="str">
        <x:f>'Evaluation Plan'!H59</x:f>
        <x:v>Put the upside-down glass spice container in the bowl.</x:v>
      </x:c>
      <x:c r="H59" s="10" t="str">
        <x:f>'Evaluation Plan'!I59</x:f>
        <x:v>P1 glass spice container A (C, UR) [STATE COMPETITOR]; P2 white cup A (O, UR); P3 yellow-white striped cup B (C, UD); P4 glass spice container B (C, UD) [TARGET]</x:v>
      </x:c>
      <x:c r="I59" s="9" t="str">
        <x:f>'Evaluation Plan'!J59</x:f>
        <x:v>glass spice container B</x:v>
      </x:c>
      <x:c r="J59" s="9" t="str">
        <x:v>Not started</x:v>
      </x:c>
      <x:c r="K59" s="9"/>
      <x:c r="L59" s="9"/>
      <x:c r="M59" s="10"/>
    </x:row>
    <x:row r="60" ht="58" customHeight="1">
      <x:c r="A60" s="8" t="n">
        <x:f>'Evaluation Plan'!A60</x:f>
        <x:v>58</x:v>
      </x:c>
      <x:c r="B60" s="8" t="n">
        <x:f>'Evaluation Plan'!B60</x:f>
        <x:v>20</x:v>
      </x:c>
      <x:c r="C60" s="8" t="str">
        <x:f>'Evaluation Plan'!C60</x:f>
        <x:v>2 — Exact-scene paraphrase</x:v>
      </x:c>
      <x:c r="D60" s="8" t="str">
        <x:f>'Evaluation Plan'!D60</x:f>
        <x:v>Language robustness</x:v>
      </x:c>
      <x:c r="E60" s="8" t="str">
        <x:f>'Evaluation Plan'!F60</x:f>
        <x:v>SR-F20</x:v>
      </x:c>
      <x:c r="F60" s="8" t="n">
        <x:f>IF('Evaluation Plan'!D60="Language robustness",'Evaluation Plan'!G60,IF('Evaluation Plan'!D60="Matched manipulation control",'Evaluation Plan'!G60,""))</x:f>
        <x:v>57</x:v>
      </x:c>
      <x:c r="G60" s="7" t="str">
        <x:f>'Evaluation Plan'!H60</x:f>
        <x:v>Move the upside-down glass spice container into the bowl.</x:v>
      </x:c>
      <x:c r="H60" s="7" t="str">
        <x:f>'Evaluation Plan'!I60</x:f>
        <x:v>P1 glass spice container A (C, UR) [STATE COMPETITOR]; P2 white cup A (O, UR); P3 yellow-white striped cup B (C, UD); P4 glass spice container B (C, UD) [TARGET]</x:v>
      </x:c>
      <x:c r="I60" s="8" t="str">
        <x:f>'Evaluation Plan'!J60</x:f>
        <x:v>glass spice container B</x:v>
      </x:c>
      <x:c r="J60" s="8" t="str">
        <x:v>Not started</x:v>
      </x:c>
      <x:c r="K60" s="8"/>
      <x:c r="L60" s="8"/>
      <x:c r="M60" s="7"/>
    </x:row>
    <x:row r="61" ht="58" customHeight="1">
      <x:c r="A61" s="8" t="n">
        <x:f>'Evaluation Plan'!A61</x:f>
        <x:v>59</x:v>
      </x:c>
      <x:c r="B61" s="8" t="n">
        <x:f>'Evaluation Plan'!B61</x:f>
        <x:v>20</x:v>
      </x:c>
      <x:c r="C61" s="8" t="str">
        <x:f>'Evaluation Plan'!C61</x:f>
        <x:v>3 — Matched control</x:v>
      </x:c>
      <x:c r="D61" s="8" t="str">
        <x:f>'Evaluation Plan'!D61</x:f>
        <x:v>Matched manipulation control</x:v>
      </x:c>
      <x:c r="E61" s="8" t="str">
        <x:f>'Evaluation Plan'!F61</x:f>
        <x:v>SR-F20</x:v>
      </x:c>
      <x:c r="F61" s="8" t="n">
        <x:f>IF('Evaluation Plan'!D61="Language robustness",'Evaluation Plan'!G61,IF('Evaluation Plan'!D61="Matched manipulation control",'Evaluation Plan'!G61,""))</x:f>
        <x:v>57</x:v>
      </x:c>
      <x:c r="G61" s="7" t="str">
        <x:f>'Evaluation Plan'!H61</x:f>
        <x:v>Put the glass spice container in the bowl.</x:v>
      </x:c>
      <x:c r="H61" s="7" t="str">
        <x:f>'Evaluation Plan'!I61</x:f>
        <x:v>P2 white cup A (O, UR); P3 yellow-white striped cup B (C, UD); P4 glass spice container B (C, UD) [TARGET]</x:v>
      </x:c>
      <x:c r="I61" s="8" t="str">
        <x:f>'Evaluation Plan'!J61</x:f>
        <x:v>glass spice container B</x:v>
      </x:c>
      <x:c r="J61" s="8" t="str">
        <x:v>Not started</x:v>
      </x:c>
      <x:c r="K61" s="8"/>
      <x:c r="L61" s="8"/>
      <x:c r="M61" s="7"/>
    </x:row>
    <x:row r="62" ht="58" customHeight="1">
      <x:c r="A62" s="8" t="n">
        <x:f>'Evaluation Plan'!A62</x:f>
        <x:v>60</x:v>
      </x:c>
      <x:c r="B62" s="8" t="n">
        <x:f>'Evaluation Plan'!B62</x:f>
        <x:v>21</x:v>
      </x:c>
      <x:c r="C62" s="8" t="str">
        <x:f>'Evaluation Plan'!C62</x:f>
        <x:v>Additional transfer</x:v>
      </x:c>
      <x:c r="D62" s="8" t="str">
        <x:f>'Evaluation Plan'!D62</x:f>
        <x:v>Concept/compositional transfer</x:v>
      </x:c>
      <x:c r="E62" s="8" t="str">
        <x:f>'Evaluation Plan'!F62</x:f>
        <x:v>SR-X01</x:v>
      </x:c>
      <x:c r="F62" s="8" t="str">
        <x:f>IF('Evaluation Plan'!D62="Language robustness",'Evaluation Plan'!G62,IF('Evaluation Plan'!D62="Matched manipulation control",'Evaluation Plan'!G62,""))</x:f>
      </x:c>
      <x:c r="G62" s="7" t="str">
        <x:f>'Evaluation Plan'!H62</x:f>
        <x:v>Move the closed yellow-white striped cup into the bowl.</x:v>
      </x:c>
      <x:c r="H62" s="7" t="str">
        <x:f>'Evaluation Plan'!I62</x:f>
        <x:v>P1 yellow-white striped cup A (C, UR) [TARGET]; P2 yellow-white striped cup B (O, UR) [STATE COMPETITOR]; P3 white cup A (O, UR); P4 brown cup B (C, UD)</x:v>
      </x:c>
      <x:c r="I62" s="8" t="str">
        <x:f>'Evaluation Plan'!J62</x:f>
        <x:v>yellow-white striped cup A</x:v>
      </x:c>
      <x:c r="J62" s="8" t="str">
        <x:v>Not started</x:v>
      </x:c>
      <x:c r="K62" s="8"/>
      <x:c r="L62" s="8"/>
      <x:c r="M62" s="7"/>
    </x:row>
    <x:row r="63" ht="58" customHeight="1">
      <x:c r="A63" s="8" t="n">
        <x:f>'Evaluation Plan'!A63</x:f>
        <x:v>61</x:v>
      </x:c>
      <x:c r="B63" s="8" t="n">
        <x:f>'Evaluation Plan'!B63</x:f>
        <x:v>22</x:v>
      </x:c>
      <x:c r="C63" s="8" t="str">
        <x:f>'Evaluation Plan'!C63</x:f>
        <x:v>Additional transfer</x:v>
      </x:c>
      <x:c r="D63" s="8" t="str">
        <x:f>'Evaluation Plan'!D63</x:f>
        <x:v>Concept/compositional transfer</x:v>
      </x:c>
      <x:c r="E63" s="8" t="str">
        <x:f>'Evaluation Plan'!F63</x:f>
        <x:v>SR-X02</x:v>
      </x:c>
      <x:c r="F63" s="8" t="str">
        <x:f>IF('Evaluation Plan'!D63="Language robustness",'Evaluation Plan'!G63,IF('Evaluation Plan'!D63="Matched manipulation control",'Evaluation Plan'!G63,""))</x:f>
      </x:c>
      <x:c r="G63" s="7" t="str">
        <x:f>'Evaluation Plan'!H63</x:f>
        <x:v>Place the closed brown cup in the bowl.</x:v>
      </x:c>
      <x:c r="H63" s="7" t="str">
        <x:f>'Evaluation Plan'!I63</x:f>
        <x:v>P1 white cup B (C, UD); P2 brown cup B (C, UD) [TARGET]; P3 brown cup A (O, UD) [STATE COMPETITOR]; P4 yellow-white striped cup A (O, UR)</x:v>
      </x:c>
      <x:c r="I63" s="8" t="str">
        <x:f>'Evaluation Plan'!J63</x:f>
        <x:v>brown cup B</x:v>
      </x:c>
      <x:c r="J63" s="8" t="str">
        <x:v>Not started</x:v>
      </x:c>
      <x:c r="K63" s="8"/>
      <x:c r="L63" s="8"/>
      <x:c r="M63" s="7"/>
    </x:row>
    <x:row r="64" ht="58" customHeight="1">
      <x:c r="A64" s="8" t="n">
        <x:f>'Evaluation Plan'!A64</x:f>
        <x:v>62</x:v>
      </x:c>
      <x:c r="B64" s="8" t="n">
        <x:f>'Evaluation Plan'!B64</x:f>
        <x:v>23</x:v>
      </x:c>
      <x:c r="C64" s="8" t="str">
        <x:f>'Evaluation Plan'!C64</x:f>
        <x:v>Additional transfer</x:v>
      </x:c>
      <x:c r="D64" s="8" t="str">
        <x:f>'Evaluation Plan'!D64</x:f>
        <x:v>Concept/compositional transfer</x:v>
      </x:c>
      <x:c r="E64" s="8" t="str">
        <x:f>'Evaluation Plan'!F64</x:f>
        <x:v>SR-X03</x:v>
      </x:c>
      <x:c r="F64" s="8" t="str">
        <x:f>IF('Evaluation Plan'!D64="Language robustness",'Evaluation Plan'!G64,IF('Evaluation Plan'!D64="Matched manipulation control",'Evaluation Plan'!G64,""))</x:f>
      </x:c>
      <x:c r="G64" s="7" t="str">
        <x:f>'Evaluation Plan'!H64</x:f>
        <x:v>Put the closed glass spice container in the bowl.</x:v>
      </x:c>
      <x:c r="H64" s="7" t="str">
        <x:f>'Evaluation Plan'!I64</x:f>
        <x:v>P1 white cup A (O, UR); P2 yellow-white striped cup B (C, UD); P3 glass spice container A (C, UR) [TARGET]; P4 glass spice container B (O, UR) [STATE COMPETITOR]</x:v>
      </x:c>
      <x:c r="I64" s="8" t="str">
        <x:f>'Evaluation Plan'!J64</x:f>
        <x:v>glass spice container A</x:v>
      </x:c>
      <x:c r="J64" s="8" t="str">
        <x:v>Not started</x:v>
      </x:c>
      <x:c r="K64" s="8"/>
      <x:c r="L64" s="8"/>
      <x:c r="M64" s="7"/>
    </x:row>
    <x:row r="65" ht="58" customHeight="1">
      <x:c r="A65" s="8" t="n">
        <x:f>'Evaluation Plan'!A65</x:f>
        <x:v>63</x:v>
      </x:c>
      <x:c r="B65" s="8" t="n">
        <x:f>'Evaluation Plan'!B65</x:f>
        <x:v>24</x:v>
      </x:c>
      <x:c r="C65" s="8" t="str">
        <x:f>'Evaluation Plan'!C65</x:f>
        <x:v>Additional transfer</x:v>
      </x:c>
      <x:c r="D65" s="8" t="str">
        <x:f>'Evaluation Plan'!D65</x:f>
        <x:v>Concept/compositional transfer</x:v>
      </x:c>
      <x:c r="E65" s="8" t="str">
        <x:f>'Evaluation Plan'!F65</x:f>
        <x:v>SR-X04</x:v>
      </x:c>
      <x:c r="F65" s="8" t="str">
        <x:f>IF('Evaluation Plan'!D65="Language robustness",'Evaluation Plan'!G65,IF('Evaluation Plan'!D65="Matched manipulation control",'Evaluation Plan'!G65,""))</x:f>
      </x:c>
      <x:c r="G65" s="7" t="str">
        <x:f>'Evaluation Plan'!H65</x:f>
        <x:v>Move the closed white cup into the bowl.</x:v>
      </x:c>
      <x:c r="H65" s="7" t="str">
        <x:f>'Evaluation Plan'!I65</x:f>
        <x:v>P1 white cup A (O, UD) [STATE COMPETITOR]; P2 yellow-white striped cup A (O, UR); P3 brown cup B (C, UD); P4 white cup B (C, UD) [TARGET]</x:v>
      </x:c>
      <x:c r="I65" s="8" t="str">
        <x:f>'Evaluation Plan'!J65</x:f>
        <x:v>white cup B</x:v>
      </x:c>
      <x:c r="J65" s="8" t="str">
        <x:v>Not started</x:v>
      </x:c>
      <x:c r="K65" s="8"/>
      <x:c r="L65" s="8"/>
      <x:c r="M65" s="7"/>
    </x:row>
    <x:row r="66" ht="58" customHeight="1">
      <x:c r="A66" s="8" t="n">
        <x:f>'Evaluation Plan'!A66</x:f>
        <x:v>64</x:v>
      </x:c>
      <x:c r="B66" s="8" t="n">
        <x:f>'Evaluation Plan'!B66</x:f>
        <x:v>25</x:v>
      </x:c>
      <x:c r="C66" s="8" t="str">
        <x:f>'Evaluation Plan'!C66</x:f>
        <x:v>Additional transfer</x:v>
      </x:c>
      <x:c r="D66" s="8" t="str">
        <x:f>'Evaluation Plan'!D66</x:f>
        <x:v>Concept/compositional transfer</x:v>
      </x:c>
      <x:c r="E66" s="8" t="str">
        <x:f>'Evaluation Plan'!F66</x:f>
        <x:v>SR-X05</x:v>
      </x:c>
      <x:c r="F66" s="8" t="str">
        <x:f>IF('Evaluation Plan'!D66="Language robustness",'Evaluation Plan'!G66,IF('Evaluation Plan'!D66="Matched manipulation control",'Evaluation Plan'!G66,""))</x:f>
      </x:c>
      <x:c r="G66" s="7" t="str">
        <x:f>'Evaluation Plan'!H66</x:f>
        <x:v>Place the closed yellow-white striped cup in the bowl.</x:v>
      </x:c>
      <x:c r="H66" s="7" t="str">
        <x:f>'Evaluation Plan'!I66</x:f>
        <x:v>P1 yellow-white striped cup A (C, UR) [TARGET]; P2 yellow-white striped cup B (O, UR) [STATE COMPETITOR]; P3 white cup A (O, UR); P4 brown cup B (C, UD)</x:v>
      </x:c>
      <x:c r="I66" s="8" t="str">
        <x:f>'Evaluation Plan'!J66</x:f>
        <x:v>yellow-white striped cup A</x:v>
      </x:c>
      <x:c r="J66" s="8" t="str">
        <x:v>Not started</x:v>
      </x:c>
      <x:c r="K66" s="8"/>
      <x:c r="L66" s="8"/>
      <x:c r="M66" s="7"/>
    </x:row>
    <x:row r="67" ht="58" customHeight="1">
      <x:c r="A67" s="8" t="n">
        <x:f>'Evaluation Plan'!A67</x:f>
        <x:v>65</x:v>
      </x:c>
      <x:c r="B67" s="8" t="n">
        <x:f>'Evaluation Plan'!B67</x:f>
        <x:v>26</x:v>
      </x:c>
      <x:c r="C67" s="8" t="str">
        <x:f>'Evaluation Plan'!C67</x:f>
        <x:v>Additional transfer</x:v>
      </x:c>
      <x:c r="D67" s="8" t="str">
        <x:f>'Evaluation Plan'!D67</x:f>
        <x:v>Concept/compositional transfer</x:v>
      </x:c>
      <x:c r="E67" s="8" t="str">
        <x:f>'Evaluation Plan'!F67</x:f>
        <x:v>SR-X06</x:v>
      </x:c>
      <x:c r="F67" s="8" t="str">
        <x:f>IF('Evaluation Plan'!D67="Language robustness",'Evaluation Plan'!G67,IF('Evaluation Plan'!D67="Matched manipulation control",'Evaluation Plan'!G67,""))</x:f>
      </x:c>
      <x:c r="G67" s="7" t="str">
        <x:f>'Evaluation Plan'!H67</x:f>
        <x:v>Put the closed brown cup in the bowl.</x:v>
      </x:c>
      <x:c r="H67" s="7" t="str">
        <x:f>'Evaluation Plan'!I67</x:f>
        <x:v>P1 white cup B (C, UD); P2 brown cup B (C, UD) [TARGET]; P3 brown cup A (O, UD) [STATE COMPETITOR]; P4 yellow-white striped cup A (O, UR)</x:v>
      </x:c>
      <x:c r="I67" s="8" t="str">
        <x:f>'Evaluation Plan'!J67</x:f>
        <x:v>brown cup B</x:v>
      </x:c>
      <x:c r="J67" s="8" t="str">
        <x:v>Not started</x:v>
      </x:c>
      <x:c r="K67" s="8"/>
      <x:c r="L67" s="8"/>
      <x:c r="M67" s="7"/>
    </x:row>
    <x:row r="68" ht="58" customHeight="1">
      <x:c r="A68" s="8" t="n">
        <x:f>'Evaluation Plan'!A68</x:f>
        <x:v>66</x:v>
      </x:c>
      <x:c r="B68" s="8" t="n">
        <x:f>'Evaluation Plan'!B68</x:f>
        <x:v>27</x:v>
      </x:c>
      <x:c r="C68" s="8" t="str">
        <x:f>'Evaluation Plan'!C68</x:f>
        <x:v>Additional transfer</x:v>
      </x:c>
      <x:c r="D68" s="8" t="str">
        <x:f>'Evaluation Plan'!D68</x:f>
        <x:v>Concept/compositional transfer</x:v>
      </x:c>
      <x:c r="E68" s="8" t="str">
        <x:f>'Evaluation Plan'!F68</x:f>
        <x:v>SR-X07</x:v>
      </x:c>
      <x:c r="F68" s="8" t="str">
        <x:f>IF('Evaluation Plan'!D68="Language robustness",'Evaluation Plan'!G68,IF('Evaluation Plan'!D68="Matched manipulation control",'Evaluation Plan'!G68,""))</x:f>
      </x:c>
      <x:c r="G68" s="7" t="str">
        <x:f>'Evaluation Plan'!H68</x:f>
        <x:v>Move the closed glass spice container into the bowl.</x:v>
      </x:c>
      <x:c r="H68" s="7" t="str">
        <x:f>'Evaluation Plan'!I68</x:f>
        <x:v>P1 white cup A (O, UR); P2 yellow-white striped cup B (C, UD); P3 glass spice container A (C, UR) [TARGET]; P4 glass spice container B (O, UR) [STATE COMPETITOR]</x:v>
      </x:c>
      <x:c r="I68" s="8" t="str">
        <x:f>'Evaluation Plan'!J68</x:f>
        <x:v>glass spice container A</x:v>
      </x:c>
      <x:c r="J68" s="8" t="str">
        <x:v>Not started</x:v>
      </x:c>
      <x:c r="K68" s="8"/>
      <x:c r="L68" s="8"/>
      <x:c r="M68" s="7"/>
    </x:row>
    <x:row r="69" ht="58" customHeight="1">
      <x:c r="A69" s="8" t="n">
        <x:f>'Evaluation Plan'!A69</x:f>
        <x:v>67</x:v>
      </x:c>
      <x:c r="B69" s="8" t="n">
        <x:f>'Evaluation Plan'!B69</x:f>
        <x:v>28</x:v>
      </x:c>
      <x:c r="C69" s="8" t="str">
        <x:f>'Evaluation Plan'!C69</x:f>
        <x:v>Additional transfer</x:v>
      </x:c>
      <x:c r="D69" s="8" t="str">
        <x:f>'Evaluation Plan'!D69</x:f>
        <x:v>Concept/compositional transfer</x:v>
      </x:c>
      <x:c r="E69" s="8" t="str">
        <x:f>'Evaluation Plan'!F69</x:f>
        <x:v>SR-X08</x:v>
      </x:c>
      <x:c r="F69" s="8" t="str">
        <x:f>IF('Evaluation Plan'!D69="Language robustness",'Evaluation Plan'!G69,IF('Evaluation Plan'!D69="Matched manipulation control",'Evaluation Plan'!G69,""))</x:f>
      </x:c>
      <x:c r="G69" s="7" t="str">
        <x:f>'Evaluation Plan'!H69</x:f>
        <x:v>Place the closed white cup in the bowl.</x:v>
      </x:c>
      <x:c r="H69" s="7" t="str">
        <x:f>'Evaluation Plan'!I69</x:f>
        <x:v>P1 white cup A (O, UD) [STATE COMPETITOR]; P2 yellow-white striped cup A (O, UR); P3 brown cup B (C, UD); P4 white cup B (C, UD) [TARGET]</x:v>
      </x:c>
      <x:c r="I69" s="8" t="str">
        <x:f>'Evaluation Plan'!J69</x:f>
        <x:v>white cup B</x:v>
      </x:c>
      <x:c r="J69" s="8" t="str">
        <x:v>Not started</x:v>
      </x:c>
      <x:c r="K69" s="8"/>
      <x:c r="L69" s="8"/>
      <x:c r="M69" s="7"/>
    </x:row>
    <x:row r="70" ht="58" customHeight="1">
      <x:c r="A70" s="8" t="n">
        <x:f>'Evaluation Plan'!A70</x:f>
        <x:v>68</x:v>
      </x:c>
      <x:c r="B70" s="8" t="n">
        <x:f>'Evaluation Plan'!B70</x:f>
        <x:v>29</x:v>
      </x:c>
      <x:c r="C70" s="8" t="str">
        <x:f>'Evaluation Plan'!C70</x:f>
        <x:v>Additional transfer</x:v>
      </x:c>
      <x:c r="D70" s="8" t="str">
        <x:f>'Evaluation Plan'!D70</x:f>
        <x:v>Concept/compositional transfer</x:v>
      </x:c>
      <x:c r="E70" s="8" t="str">
        <x:f>'Evaluation Plan'!F70</x:f>
        <x:v>SR-X09</x:v>
      </x:c>
      <x:c r="F70" s="8" t="str">
        <x:f>IF('Evaluation Plan'!D70="Language robustness",'Evaluation Plan'!G70,IF('Evaluation Plan'!D70="Matched manipulation control",'Evaluation Plan'!G70,""))</x:f>
      </x:c>
      <x:c r="G70" s="7" t="str">
        <x:f>'Evaluation Plan'!H70</x:f>
        <x:v>Put the closed yellow-white striped cup in the bowl.</x:v>
      </x:c>
      <x:c r="H70" s="7" t="str">
        <x:f>'Evaluation Plan'!I70</x:f>
        <x:v>P1 yellow-white striped cup A (C, UR) [TARGET]; P2 yellow-white striped cup B (O, UR) [STATE COMPETITOR]; P3 white cup A (O, UR); P4 brown cup B (C, UD)</x:v>
      </x:c>
      <x:c r="I70" s="8" t="str">
        <x:f>'Evaluation Plan'!J70</x:f>
        <x:v>yellow-white striped cup A</x:v>
      </x:c>
      <x:c r="J70" s="8" t="str">
        <x:v>Not started</x:v>
      </x:c>
      <x:c r="K70" s="8"/>
      <x:c r="L70" s="8"/>
      <x:c r="M70" s="7"/>
    </x:row>
    <x:row r="71" ht="58" customHeight="1">
      <x:c r="A71" s="8" t="n">
        <x:f>'Evaluation Plan'!A71</x:f>
        <x:v>69</x:v>
      </x:c>
      <x:c r="B71" s="8" t="n">
        <x:f>'Evaluation Plan'!B71</x:f>
        <x:v>30</x:v>
      </x:c>
      <x:c r="C71" s="8" t="str">
        <x:f>'Evaluation Plan'!C71</x:f>
        <x:v>Additional transfer</x:v>
      </x:c>
      <x:c r="D71" s="8" t="str">
        <x:f>'Evaluation Plan'!D71</x:f>
        <x:v>Concept/compositional transfer</x:v>
      </x:c>
      <x:c r="E71" s="8" t="str">
        <x:f>'Evaluation Plan'!F71</x:f>
        <x:v>SR-X10</x:v>
      </x:c>
      <x:c r="F71" s="8" t="str">
        <x:f>IF('Evaluation Plan'!D71="Language robustness",'Evaluation Plan'!G71,IF('Evaluation Plan'!D71="Matched manipulation control",'Evaluation Plan'!G71,""))</x:f>
      </x:c>
      <x:c r="G71" s="7" t="str">
        <x:f>'Evaluation Plan'!H71</x:f>
        <x:v>Move the closed brown cup into the bowl.</x:v>
      </x:c>
      <x:c r="H71" s="7" t="str">
        <x:f>'Evaluation Plan'!I71</x:f>
        <x:v>P1 white cup B (C, UD); P2 brown cup B (C, UD) [TARGET]; P3 brown cup A (O, UD) [STATE COMPETITOR]; P4 yellow-white striped cup A (O, UR)</x:v>
      </x:c>
      <x:c r="I71" s="8" t="str">
        <x:f>'Evaluation Plan'!J71</x:f>
        <x:v>brown cup B</x:v>
      </x:c>
      <x:c r="J71" s="8" t="str">
        <x:v>Not started</x:v>
      </x:c>
      <x:c r="K71" s="8"/>
      <x:c r="L71" s="8"/>
      <x:c r="M71" s="7"/>
    </x:row>
    <x:row r="72" ht="58" customHeight="1">
      <x:c r="A72" s="8" t="n">
        <x:f>'Evaluation Plan'!A72</x:f>
        <x:v>70</x:v>
      </x:c>
      <x:c r="B72" s="8" t="n">
        <x:f>'Evaluation Plan'!B72</x:f>
        <x:v>31</x:v>
      </x:c>
      <x:c r="C72" s="8" t="str">
        <x:f>'Evaluation Plan'!C72</x:f>
        <x:v>Additional transfer</x:v>
      </x:c>
      <x:c r="D72" s="8" t="str">
        <x:f>'Evaluation Plan'!D72</x:f>
        <x:v>Concept/compositional transfer</x:v>
      </x:c>
      <x:c r="E72" s="8" t="str">
        <x:f>'Evaluation Plan'!F72</x:f>
        <x:v>SR-X11</x:v>
      </x:c>
      <x:c r="F72" s="8" t="str">
        <x:f>IF('Evaluation Plan'!D72="Language robustness",'Evaluation Plan'!G72,IF('Evaluation Plan'!D72="Matched manipulation control",'Evaluation Plan'!G72,""))</x:f>
      </x:c>
      <x:c r="G72" s="7" t="str">
        <x:f>'Evaluation Plan'!H72</x:f>
        <x:v>Place the open glass spice container in the bowl.</x:v>
      </x:c>
      <x:c r="H72" s="7" t="str">
        <x:f>'Evaluation Plan'!I72</x:f>
        <x:v>P1 white cup A (O, UR); P2 yellow-white striped cup B (C, UD); P3 glass spice container A (O, UR) [TARGET]; P4 glass spice container B (C, UR) [STATE COMPETITOR]</x:v>
      </x:c>
      <x:c r="I72" s="8" t="str">
        <x:f>'Evaluation Plan'!J72</x:f>
        <x:v>glass spice container A</x:v>
      </x:c>
      <x:c r="J72" s="8" t="str">
        <x:v>Not started</x:v>
      </x:c>
      <x:c r="K72" s="8"/>
      <x:c r="L72" s="8"/>
      <x:c r="M72" s="7"/>
    </x:row>
    <x:row r="73" ht="58" customHeight="1">
      <x:c r="A73" s="8" t="n">
        <x:f>'Evaluation Plan'!A73</x:f>
        <x:v>71</x:v>
      </x:c>
      <x:c r="B73" s="8" t="n">
        <x:f>'Evaluation Plan'!B73</x:f>
        <x:v>32</x:v>
      </x:c>
      <x:c r="C73" s="8" t="str">
        <x:f>'Evaluation Plan'!C73</x:f>
        <x:v>Additional transfer</x:v>
      </x:c>
      <x:c r="D73" s="8" t="str">
        <x:f>'Evaluation Plan'!D73</x:f>
        <x:v>Concept/compositional transfer</x:v>
      </x:c>
      <x:c r="E73" s="8" t="str">
        <x:f>'Evaluation Plan'!F73</x:f>
        <x:v>SR-X12</x:v>
      </x:c>
      <x:c r="F73" s="8" t="str">
        <x:f>IF('Evaluation Plan'!D73="Language robustness",'Evaluation Plan'!G73,IF('Evaluation Plan'!D73="Matched manipulation control",'Evaluation Plan'!G73,""))</x:f>
      </x:c>
      <x:c r="G73" s="7" t="str">
        <x:f>'Evaluation Plan'!H73</x:f>
        <x:v>Put the open white cup in the bowl.</x:v>
      </x:c>
      <x:c r="H73" s="7" t="str">
        <x:f>'Evaluation Plan'!I73</x:f>
        <x:v>P1 white cup A (C, UD) [STATE COMPETITOR]; P2 yellow-white striped cup A (O, UR); P3 brown cup B (C, UD); P4 white cup B (O, UD) [TARGET]</x:v>
      </x:c>
      <x:c r="I73" s="8" t="str">
        <x:f>'Evaluation Plan'!J73</x:f>
        <x:v>white cup B</x:v>
      </x:c>
      <x:c r="J73" s="8" t="str">
        <x:v>Not started</x:v>
      </x:c>
      <x:c r="K73" s="8"/>
      <x:c r="L73" s="8"/>
      <x:c r="M73" s="7"/>
    </x:row>
    <x:row r="74" ht="58" customHeight="1">
      <x:c r="A74" s="8" t="n">
        <x:f>'Evaluation Plan'!A74</x:f>
        <x:v>72</x:v>
      </x:c>
      <x:c r="B74" s="8" t="n">
        <x:f>'Evaluation Plan'!B74</x:f>
        <x:v>33</x:v>
      </x:c>
      <x:c r="C74" s="8" t="str">
        <x:f>'Evaluation Plan'!C74</x:f>
        <x:v>Additional transfer</x:v>
      </x:c>
      <x:c r="D74" s="8" t="str">
        <x:f>'Evaluation Plan'!D74</x:f>
        <x:v>Concept/compositional transfer</x:v>
      </x:c>
      <x:c r="E74" s="8" t="str">
        <x:f>'Evaluation Plan'!F74</x:f>
        <x:v>SR-X13</x:v>
      </x:c>
      <x:c r="F74" s="8" t="str">
        <x:f>IF('Evaluation Plan'!D74="Language robustness",'Evaluation Plan'!G74,IF('Evaluation Plan'!D74="Matched manipulation control",'Evaluation Plan'!G74,""))</x:f>
      </x:c>
      <x:c r="G74" s="7" t="str">
        <x:f>'Evaluation Plan'!H74</x:f>
        <x:v>Move the open yellow-white striped cup into the bowl.</x:v>
      </x:c>
      <x:c r="H74" s="7" t="str">
        <x:f>'Evaluation Plan'!I74</x:f>
        <x:v>P1 yellow-white striped cup A (O, UR) [TARGET]; P2 yellow-white striped cup B (C, UR) [STATE COMPETITOR]; P3 white cup A (O, UR); P4 brown cup B (C, UD)</x:v>
      </x:c>
      <x:c r="I74" s="8" t="str">
        <x:f>'Evaluation Plan'!J74</x:f>
        <x:v>yellow-white striped cup A</x:v>
      </x:c>
      <x:c r="J74" s="8" t="str">
        <x:v>Not started</x:v>
      </x:c>
      <x:c r="K74" s="8"/>
      <x:c r="L74" s="8"/>
      <x:c r="M74" s="7"/>
    </x:row>
    <x:row r="75" ht="58" customHeight="1">
      <x:c r="A75" s="8" t="n">
        <x:f>'Evaluation Plan'!A75</x:f>
        <x:v>73</x:v>
      </x:c>
      <x:c r="B75" s="8" t="n">
        <x:f>'Evaluation Plan'!B75</x:f>
        <x:v>34</x:v>
      </x:c>
      <x:c r="C75" s="8" t="str">
        <x:f>'Evaluation Plan'!C75</x:f>
        <x:v>Additional transfer</x:v>
      </x:c>
      <x:c r="D75" s="8" t="str">
        <x:f>'Evaluation Plan'!D75</x:f>
        <x:v>Concept/compositional transfer</x:v>
      </x:c>
      <x:c r="E75" s="8" t="str">
        <x:f>'Evaluation Plan'!F75</x:f>
        <x:v>SR-X14</x:v>
      </x:c>
      <x:c r="F75" s="8" t="str">
        <x:f>IF('Evaluation Plan'!D75="Language robustness",'Evaluation Plan'!G75,IF('Evaluation Plan'!D75="Matched manipulation control",'Evaluation Plan'!G75,""))</x:f>
      </x:c>
      <x:c r="G75" s="7" t="str">
        <x:f>'Evaluation Plan'!H75</x:f>
        <x:v>Place the open brown cup in the bowl.</x:v>
      </x:c>
      <x:c r="H75" s="7" t="str">
        <x:f>'Evaluation Plan'!I75</x:f>
        <x:v>P1 white cup B (C, UD); P2 brown cup B (O, UD) [TARGET]; P3 brown cup A (C, UD) [STATE COMPETITOR]; P4 yellow-white striped cup A (O, UR)</x:v>
      </x:c>
      <x:c r="I75" s="8" t="str">
        <x:f>'Evaluation Plan'!J75</x:f>
        <x:v>brown cup B</x:v>
      </x:c>
      <x:c r="J75" s="8" t="str">
        <x:v>Not started</x:v>
      </x:c>
      <x:c r="K75" s="8"/>
      <x:c r="L75" s="8"/>
      <x:c r="M75" s="7"/>
    </x:row>
    <x:row r="76" ht="58" customHeight="1">
      <x:c r="A76" s="8" t="n">
        <x:f>'Evaluation Plan'!A76</x:f>
        <x:v>74</x:v>
      </x:c>
      <x:c r="B76" s="8" t="n">
        <x:f>'Evaluation Plan'!B76</x:f>
        <x:v>35</x:v>
      </x:c>
      <x:c r="C76" s="8" t="str">
        <x:f>'Evaluation Plan'!C76</x:f>
        <x:v>Additional transfer</x:v>
      </x:c>
      <x:c r="D76" s="8" t="str">
        <x:f>'Evaluation Plan'!D76</x:f>
        <x:v>Concept/compositional transfer</x:v>
      </x:c>
      <x:c r="E76" s="8" t="str">
        <x:f>'Evaluation Plan'!F76</x:f>
        <x:v>SR-X15</x:v>
      </x:c>
      <x:c r="F76" s="8" t="str">
        <x:f>IF('Evaluation Plan'!D76="Language robustness",'Evaluation Plan'!G76,IF('Evaluation Plan'!D76="Matched manipulation control",'Evaluation Plan'!G76,""))</x:f>
      </x:c>
      <x:c r="G76" s="7" t="str">
        <x:f>'Evaluation Plan'!H76</x:f>
        <x:v>Put the open glass spice container in the bowl.</x:v>
      </x:c>
      <x:c r="H76" s="7" t="str">
        <x:f>'Evaluation Plan'!I76</x:f>
        <x:v>P1 white cup A (O, UR); P2 yellow-white striped cup B (C, UD); P3 glass spice container A (O, UR) [TARGET]; P4 glass spice container B (C, UR) [STATE COMPETITOR]</x:v>
      </x:c>
      <x:c r="I76" s="8" t="str">
        <x:f>'Evaluation Plan'!J76</x:f>
        <x:v>glass spice container A</x:v>
      </x:c>
      <x:c r="J76" s="8" t="str">
        <x:v>Not started</x:v>
      </x:c>
      <x:c r="K76" s="8"/>
      <x:c r="L76" s="8"/>
      <x:c r="M76" s="7"/>
    </x:row>
    <x:row r="77" ht="58" customHeight="1">
      <x:c r="A77" s="8" t="n">
        <x:f>'Evaluation Plan'!A77</x:f>
        <x:v>75</x:v>
      </x:c>
      <x:c r="B77" s="8" t="n">
        <x:f>'Evaluation Plan'!B77</x:f>
        <x:v>36</x:v>
      </x:c>
      <x:c r="C77" s="8" t="str">
        <x:f>'Evaluation Plan'!C77</x:f>
        <x:v>Additional transfer</x:v>
      </x:c>
      <x:c r="D77" s="8" t="str">
        <x:f>'Evaluation Plan'!D77</x:f>
        <x:v>Concept/compositional transfer</x:v>
      </x:c>
      <x:c r="E77" s="8" t="str">
        <x:f>'Evaluation Plan'!F77</x:f>
        <x:v>SR-X16</x:v>
      </x:c>
      <x:c r="F77" s="8" t="str">
        <x:f>IF('Evaluation Plan'!D77="Language robustness",'Evaluation Plan'!G77,IF('Evaluation Plan'!D77="Matched manipulation control",'Evaluation Plan'!G77,""))</x:f>
      </x:c>
      <x:c r="G77" s="7" t="str">
        <x:f>'Evaluation Plan'!H77</x:f>
        <x:v>Move the upright white cup into the bowl.</x:v>
      </x:c>
      <x:c r="H77" s="7" t="str">
        <x:f>'Evaluation Plan'!I77</x:f>
        <x:v>P1 white cup A (C, UD) [STATE COMPETITOR]; P2 yellow-white striped cup A (O, UR); P3 brown cup B (C, UD); P4 white cup B (C, UR) [TARGET]</x:v>
      </x:c>
      <x:c r="I77" s="8" t="str">
        <x:f>'Evaluation Plan'!J77</x:f>
        <x:v>white cup B</x:v>
      </x:c>
      <x:c r="J77" s="8" t="str">
        <x:v>Not started</x:v>
      </x:c>
      <x:c r="K77" s="8"/>
      <x:c r="L77" s="8"/>
      <x:c r="M77" s="7"/>
    </x:row>
    <x:row r="78" ht="58" customHeight="1">
      <x:c r="A78" s="8" t="n">
        <x:f>'Evaluation Plan'!A78</x:f>
        <x:v>76</x:v>
      </x:c>
      <x:c r="B78" s="8" t="n">
        <x:f>'Evaluation Plan'!B78</x:f>
        <x:v>37</x:v>
      </x:c>
      <x:c r="C78" s="8" t="str">
        <x:f>'Evaluation Plan'!C78</x:f>
        <x:v>Additional transfer</x:v>
      </x:c>
      <x:c r="D78" s="8" t="str">
        <x:f>'Evaluation Plan'!D78</x:f>
        <x:v>Concept/compositional transfer</x:v>
      </x:c>
      <x:c r="E78" s="8" t="str">
        <x:f>'Evaluation Plan'!F78</x:f>
        <x:v>SR-X17</x:v>
      </x:c>
      <x:c r="F78" s="8" t="str">
        <x:f>IF('Evaluation Plan'!D78="Language robustness",'Evaluation Plan'!G78,IF('Evaluation Plan'!D78="Matched manipulation control",'Evaluation Plan'!G78,""))</x:f>
      </x:c>
      <x:c r="G78" s="7" t="str">
        <x:f>'Evaluation Plan'!H78</x:f>
        <x:v>Place the upright yellow-white striped cup in the bowl.</x:v>
      </x:c>
      <x:c r="H78" s="7" t="str">
        <x:f>'Evaluation Plan'!I78</x:f>
        <x:v>P1 yellow-white striped cup A (O, UR) [TARGET]; P2 yellow-white striped cup B (O, UD) [STATE COMPETITOR]; P3 white cup A (O, UR); P4 brown cup B (C, UD)</x:v>
      </x:c>
      <x:c r="I78" s="8" t="str">
        <x:f>'Evaluation Plan'!J78</x:f>
        <x:v>yellow-white striped cup A</x:v>
      </x:c>
      <x:c r="J78" s="8" t="str">
        <x:v>Not started</x:v>
      </x:c>
      <x:c r="K78" s="8"/>
      <x:c r="L78" s="8"/>
      <x:c r="M78" s="7"/>
    </x:row>
    <x:row r="79" ht="58" customHeight="1">
      <x:c r="A79" s="8" t="n">
        <x:f>'Evaluation Plan'!A79</x:f>
        <x:v>77</x:v>
      </x:c>
      <x:c r="B79" s="8" t="n">
        <x:f>'Evaluation Plan'!B79</x:f>
        <x:v>38</x:v>
      </x:c>
      <x:c r="C79" s="8" t="str">
        <x:f>'Evaluation Plan'!C79</x:f>
        <x:v>Additional transfer</x:v>
      </x:c>
      <x:c r="D79" s="8" t="str">
        <x:f>'Evaluation Plan'!D79</x:f>
        <x:v>Concept/compositional transfer</x:v>
      </x:c>
      <x:c r="E79" s="8" t="str">
        <x:f>'Evaluation Plan'!F79</x:f>
        <x:v>SR-X18</x:v>
      </x:c>
      <x:c r="F79" s="8" t="str">
        <x:f>IF('Evaluation Plan'!D79="Language robustness",'Evaluation Plan'!G79,IF('Evaluation Plan'!D79="Matched manipulation control",'Evaluation Plan'!G79,""))</x:f>
      </x:c>
      <x:c r="G79" s="7" t="str">
        <x:f>'Evaluation Plan'!H79</x:f>
        <x:v>Put the upright brown cup in the bowl.</x:v>
      </x:c>
      <x:c r="H79" s="7" t="str">
        <x:f>'Evaluation Plan'!I79</x:f>
        <x:v>P1 white cup B (C, UD); P2 brown cup B (C, UR) [TARGET]; P3 brown cup A (C, UD) [STATE COMPETITOR]; P4 yellow-white striped cup A (O, UR)</x:v>
      </x:c>
      <x:c r="I79" s="8" t="str">
        <x:f>'Evaluation Plan'!J79</x:f>
        <x:v>brown cup B</x:v>
      </x:c>
      <x:c r="J79" s="8" t="str">
        <x:v>Not started</x:v>
      </x:c>
      <x:c r="K79" s="8"/>
      <x:c r="L79" s="8"/>
      <x:c r="M79" s="7"/>
    </x:row>
    <x:row r="80" ht="58" customHeight="1">
      <x:c r="A80" s="8" t="n">
        <x:f>'Evaluation Plan'!A80</x:f>
        <x:v>78</x:v>
      </x:c>
      <x:c r="B80" s="8" t="n">
        <x:f>'Evaluation Plan'!B80</x:f>
        <x:v>39</x:v>
      </x:c>
      <x:c r="C80" s="8" t="str">
        <x:f>'Evaluation Plan'!C80</x:f>
        <x:v>Additional transfer</x:v>
      </x:c>
      <x:c r="D80" s="8" t="str">
        <x:f>'Evaluation Plan'!D80</x:f>
        <x:v>Concept/compositional transfer</x:v>
      </x:c>
      <x:c r="E80" s="8" t="str">
        <x:f>'Evaluation Plan'!F80</x:f>
        <x:v>SR-X19</x:v>
      </x:c>
      <x:c r="F80" s="8" t="str">
        <x:f>IF('Evaluation Plan'!D80="Language robustness",'Evaluation Plan'!G80,IF('Evaluation Plan'!D80="Matched manipulation control",'Evaluation Plan'!G80,""))</x:f>
      </x:c>
      <x:c r="G80" s="7" t="str">
        <x:f>'Evaluation Plan'!H80</x:f>
        <x:v>Move the upright glass spice container into the bowl.</x:v>
      </x:c>
      <x:c r="H80" s="7" t="str">
        <x:f>'Evaluation Plan'!I80</x:f>
        <x:v>P1 white cup A (O, UR); P2 yellow-white striped cup B (C, UD); P3 glass spice container A (O, UR) [TARGET]; P4 glass spice container B (O, UD) [STATE COMPETITOR]</x:v>
      </x:c>
      <x:c r="I80" s="8" t="str">
        <x:f>'Evaluation Plan'!J80</x:f>
        <x:v>glass spice container A</x:v>
      </x:c>
      <x:c r="J80" s="8" t="str">
        <x:v>Not started</x:v>
      </x:c>
      <x:c r="K80" s="8"/>
      <x:c r="L80" s="8"/>
      <x:c r="M80" s="7"/>
    </x:row>
    <x:row r="81" ht="58" customHeight="1">
      <x:c r="A81" s="8" t="n">
        <x:f>'Evaluation Plan'!A81</x:f>
        <x:v>79</x:v>
      </x:c>
      <x:c r="B81" s="8" t="n">
        <x:f>'Evaluation Plan'!B81</x:f>
        <x:v>40</x:v>
      </x:c>
      <x:c r="C81" s="8" t="str">
        <x:f>'Evaluation Plan'!C81</x:f>
        <x:v>Additional transfer</x:v>
      </x:c>
      <x:c r="D81" s="8" t="str">
        <x:f>'Evaluation Plan'!D81</x:f>
        <x:v>Concept/compositional transfer</x:v>
      </x:c>
      <x:c r="E81" s="8" t="str">
        <x:f>'Evaluation Plan'!F81</x:f>
        <x:v>SR-X20</x:v>
      </x:c>
      <x:c r="F81" s="8" t="str">
        <x:f>IF('Evaluation Plan'!D81="Language robustness",'Evaluation Plan'!G81,IF('Evaluation Plan'!D81="Matched manipulation control",'Evaluation Plan'!G81,""))</x:f>
      </x:c>
      <x:c r="G81" s="7" t="str">
        <x:f>'Evaluation Plan'!H81</x:f>
        <x:v>Place the upright white cup in the bowl.</x:v>
      </x:c>
      <x:c r="H81" s="7" t="str">
        <x:f>'Evaluation Plan'!I81</x:f>
        <x:v>P1 white cup A (C, UD) [STATE COMPETITOR]; P2 yellow-white striped cup A (O, UR); P3 brown cup B (C, UD); P4 white cup B (C, UR) [TARGET]</x:v>
      </x:c>
      <x:c r="I81" s="8" t="str">
        <x:f>'Evaluation Plan'!J81</x:f>
        <x:v>white cup B</x:v>
      </x:c>
      <x:c r="J81" s="8" t="str">
        <x:v>Not started</x:v>
      </x:c>
      <x:c r="K81" s="8"/>
      <x:c r="L81" s="8"/>
      <x:c r="M81" s="7"/>
    </x:row>
    <x:row r="82" ht="58" customHeight="1">
      <x:c r="A82" s="8" t="n">
        <x:f>'Evaluation Plan'!A82</x:f>
        <x:v>80</x:v>
      </x:c>
      <x:c r="B82" s="8" t="n">
        <x:f>'Evaluation Plan'!B82</x:f>
        <x:v>41</x:v>
      </x:c>
      <x:c r="C82" s="8" t="str">
        <x:f>'Evaluation Plan'!C82</x:f>
        <x:v>Additional transfer</x:v>
      </x:c>
      <x:c r="D82" s="8" t="str">
        <x:f>'Evaluation Plan'!D82</x:f>
        <x:v>Concept/compositional transfer</x:v>
      </x:c>
      <x:c r="E82" s="8" t="str">
        <x:f>'Evaluation Plan'!F82</x:f>
        <x:v>SR-X21</x:v>
      </x:c>
      <x:c r="F82" s="8" t="str">
        <x:f>IF('Evaluation Plan'!D82="Language robustness",'Evaluation Plan'!G82,IF('Evaluation Plan'!D82="Matched manipulation control",'Evaluation Plan'!G82,""))</x:f>
      </x:c>
      <x:c r="G82" s="7" t="str">
        <x:f>'Evaluation Plan'!H82</x:f>
        <x:v>Put the upside-down yellow-white striped cup in the bowl.</x:v>
      </x:c>
      <x:c r="H82" s="7" t="str">
        <x:f>'Evaluation Plan'!I82</x:f>
        <x:v>P1 yellow-white striped cup A (O, UD) [TARGET]; P2 yellow-white striped cup B (O, UR) [STATE COMPETITOR]; P3 white cup A (O, UR); P4 brown cup B (C, UD)</x:v>
      </x:c>
      <x:c r="I82" s="8" t="str">
        <x:f>'Evaluation Plan'!J82</x:f>
        <x:v>yellow-white striped cup A</x:v>
      </x:c>
      <x:c r="J82" s="8" t="str">
        <x:v>Not started</x:v>
      </x:c>
      <x:c r="K82" s="8"/>
      <x:c r="L82" s="8"/>
      <x:c r="M82" s="7"/>
    </x:row>
    <x:row r="83" ht="58" customHeight="1">
      <x:c r="A83" s="8" t="n">
        <x:f>'Evaluation Plan'!A83</x:f>
        <x:v>81</x:v>
      </x:c>
      <x:c r="B83" s="8" t="n">
        <x:f>'Evaluation Plan'!B83</x:f>
        <x:v>42</x:v>
      </x:c>
      <x:c r="C83" s="8" t="str">
        <x:f>'Evaluation Plan'!C83</x:f>
        <x:v>Additional transfer</x:v>
      </x:c>
      <x:c r="D83" s="8" t="str">
        <x:f>'Evaluation Plan'!D83</x:f>
        <x:v>Concept/compositional transfer</x:v>
      </x:c>
      <x:c r="E83" s="8" t="str">
        <x:f>'Evaluation Plan'!F83</x:f>
        <x:v>SR-X22</x:v>
      </x:c>
      <x:c r="F83" s="8" t="str">
        <x:f>IF('Evaluation Plan'!D83="Language robustness",'Evaluation Plan'!G83,IF('Evaluation Plan'!D83="Matched manipulation control",'Evaluation Plan'!G83,""))</x:f>
      </x:c>
      <x:c r="G83" s="7" t="str">
        <x:f>'Evaluation Plan'!H83</x:f>
        <x:v>Move the upside-down brown cup into the bowl.</x:v>
      </x:c>
      <x:c r="H83" s="7" t="str">
        <x:f>'Evaluation Plan'!I83</x:f>
        <x:v>P1 white cup B (C, UD); P2 brown cup B (C, UD) [TARGET]; P3 brown cup A (C, UR) [STATE COMPETITOR]; P4 yellow-white striped cup A (O, UR)</x:v>
      </x:c>
      <x:c r="I83" s="8" t="str">
        <x:f>'Evaluation Plan'!J83</x:f>
        <x:v>brown cup B</x:v>
      </x:c>
      <x:c r="J83" s="8" t="str">
        <x:v>Not started</x:v>
      </x:c>
      <x:c r="K83" s="8"/>
      <x:c r="L83" s="8"/>
      <x:c r="M83" s="7"/>
    </x:row>
    <x:row r="84" ht="58" customHeight="1">
      <x:c r="A84" s="8" t="n">
        <x:f>'Evaluation Plan'!A84</x:f>
        <x:v>82</x:v>
      </x:c>
      <x:c r="B84" s="8" t="n">
        <x:f>'Evaluation Plan'!B84</x:f>
        <x:v>43</x:v>
      </x:c>
      <x:c r="C84" s="8" t="str">
        <x:f>'Evaluation Plan'!C84</x:f>
        <x:v>Additional transfer</x:v>
      </x:c>
      <x:c r="D84" s="8" t="str">
        <x:f>'Evaluation Plan'!D84</x:f>
        <x:v>Concept/compositional transfer</x:v>
      </x:c>
      <x:c r="E84" s="8" t="str">
        <x:f>'Evaluation Plan'!F84</x:f>
        <x:v>SR-CAN01</x:v>
      </x:c>
      <x:c r="F84" s="8" t="str">
        <x:f>IF('Evaluation Plan'!D84="Language robustness",'Evaluation Plan'!G84,IF('Evaluation Plan'!D84="Matched manipulation control",'Evaluation Plan'!G84,""))</x:f>
      </x:c>
      <x:c r="G84" s="7" t="str">
        <x:f>'Evaluation Plan'!H84</x:f>
        <x:v>Put the upright can in the bowl.</x:v>
      </x:c>
      <x:c r="H84" s="7" t="str">
        <x:f>'Evaluation Plan'!I84</x:f>
        <x:v>P1 crushed Coke can (UR) [TARGET]; P2 crushed Pepsi can (UD) [STATE COMPETITOR]; P3 white cup A (O, UD); P4 yellow-white striped cup B (C, UD)</x:v>
      </x:c>
      <x:c r="I84" s="8" t="str">
        <x:f>'Evaluation Plan'!J84</x:f>
        <x:v>crushed Coke can</x:v>
      </x:c>
      <x:c r="J84" s="8" t="str">
        <x:v>Not started</x:v>
      </x:c>
      <x:c r="K84" s="8"/>
      <x:c r="L84" s="8"/>
      <x:c r="M84" s="7"/>
    </x:row>
    <x:row r="85" ht="58" customHeight="1">
      <x:c r="A85" s="8" t="n">
        <x:f>'Evaluation Plan'!A85</x:f>
        <x:v>83</x:v>
      </x:c>
      <x:c r="B85" s="8" t="n">
        <x:f>'Evaluation Plan'!B85</x:f>
        <x:v>44</x:v>
      </x:c>
      <x:c r="C85" s="8" t="str">
        <x:f>'Evaluation Plan'!C85</x:f>
        <x:v>Additional transfer</x:v>
      </x:c>
      <x:c r="D85" s="8" t="str">
        <x:f>'Evaluation Plan'!D85</x:f>
        <x:v>Concept/compositional transfer</x:v>
      </x:c>
      <x:c r="E85" s="8" t="str">
        <x:f>'Evaluation Plan'!F85</x:f>
        <x:v>SR-CAN02</x:v>
      </x:c>
      <x:c r="F85" s="8" t="str">
        <x:f>IF('Evaluation Plan'!D85="Language robustness",'Evaluation Plan'!G85,IF('Evaluation Plan'!D85="Matched manipulation control",'Evaluation Plan'!G85,""))</x:f>
      </x:c>
      <x:c r="G85" s="7" t="str">
        <x:f>'Evaluation Plan'!H85</x:f>
        <x:v>Move the upright can into the bowl.</x:v>
      </x:c>
      <x:c r="H85" s="7" t="str">
        <x:f>'Evaluation Plan'!I85</x:f>
        <x:v>P1 yellow-white striped cup B (C, UD); P2 crushed Pepsi can (UR) [TARGET]; P3 crushed Coke can (UD) [STATE COMPETITOR]; P4 brown cup A (O, UD)</x:v>
      </x:c>
      <x:c r="I85" s="8" t="str">
        <x:f>'Evaluation Plan'!J85</x:f>
        <x:v>crushed Pepsi can</x:v>
      </x:c>
      <x:c r="J85" s="8" t="str">
        <x:v>Not started</x:v>
      </x:c>
      <x:c r="K85" s="8"/>
      <x:c r="L85" s="8"/>
      <x:c r="M85" s="7"/>
    </x:row>
    <x:row r="86" ht="58" customHeight="1">
      <x:c r="A86" s="8" t="n">
        <x:f>'Evaluation Plan'!A86</x:f>
        <x:v>84</x:v>
      </x:c>
      <x:c r="B86" s="8" t="n">
        <x:f>'Evaluation Plan'!B86</x:f>
        <x:v>45</x:v>
      </x:c>
      <x:c r="C86" s="8" t="str">
        <x:f>'Evaluation Plan'!C86</x:f>
        <x:v>Additional transfer</x:v>
      </x:c>
      <x:c r="D86" s="8" t="str">
        <x:f>'Evaluation Plan'!D86</x:f>
        <x:v>Concept/compositional transfer</x:v>
      </x:c>
      <x:c r="E86" s="8" t="str">
        <x:f>'Evaluation Plan'!F86</x:f>
        <x:v>SR-CAN03</x:v>
      </x:c>
      <x:c r="F86" s="8" t="str">
        <x:f>IF('Evaluation Plan'!D86="Language robustness",'Evaluation Plan'!G86,IF('Evaluation Plan'!D86="Matched manipulation control",'Evaluation Plan'!G86,""))</x:f>
      </x:c>
      <x:c r="G86" s="7" t="str">
        <x:f>'Evaluation Plan'!H86</x:f>
        <x:v>Place the upright can in the bowl.</x:v>
      </x:c>
      <x:c r="H86" s="7" t="str">
        <x:f>'Evaluation Plan'!I86</x:f>
        <x:v>P1 brown cup A (O, UD); P2 glass spice container B (C, UD); P3 crushed Coke can (UR) [TARGET]; P4 crushed Pepsi can (UD) [STATE COMPETITOR]</x:v>
      </x:c>
      <x:c r="I86" s="8" t="str">
        <x:f>'Evaluation Plan'!J86</x:f>
        <x:v>crushed Coke can</x:v>
      </x:c>
      <x:c r="J86" s="8" t="str">
        <x:v>Not started</x:v>
      </x:c>
      <x:c r="K86" s="8"/>
      <x:c r="L86" s="8"/>
      <x:c r="M86" s="7"/>
    </x:row>
    <x:row r="87" ht="58" customHeight="1">
      <x:c r="A87" s="8" t="n">
        <x:f>'Evaluation Plan'!A87</x:f>
        <x:v>85</x:v>
      </x:c>
      <x:c r="B87" s="8" t="n">
        <x:f>'Evaluation Plan'!B87</x:f>
        <x:v>46</x:v>
      </x:c>
      <x:c r="C87" s="8" t="str">
        <x:f>'Evaluation Plan'!C87</x:f>
        <x:v>Additional transfer</x:v>
      </x:c>
      <x:c r="D87" s="8" t="str">
        <x:f>'Evaluation Plan'!D87</x:f>
        <x:v>Concept/compositional transfer</x:v>
      </x:c>
      <x:c r="E87" s="8" t="str">
        <x:f>'Evaluation Plan'!F87</x:f>
        <x:v>SR-CAN04</x:v>
      </x:c>
      <x:c r="F87" s="8" t="str">
        <x:f>IF('Evaluation Plan'!D87="Language robustness",'Evaluation Plan'!G87,IF('Evaluation Plan'!D87="Matched manipulation control",'Evaluation Plan'!G87,""))</x:f>
      </x:c>
      <x:c r="G87" s="7" t="str">
        <x:f>'Evaluation Plan'!H87</x:f>
        <x:v>Put the upright can in the bowl.</x:v>
      </x:c>
      <x:c r="H87" s="7" t="str">
        <x:f>'Evaluation Plan'!I87</x:f>
        <x:v>P1 crushed Coke can (UD) [STATE COMPETITOR]; P2 glass spice container A (O, UD); P3 white cup B (C, UD); P4 crushed Pepsi can (UR) [TARGET]</x:v>
      </x:c>
      <x:c r="I87" s="8" t="str">
        <x:f>'Evaluation Plan'!J87</x:f>
        <x:v>crushed Pepsi can</x:v>
      </x:c>
      <x:c r="J87" s="8" t="str">
        <x:v>Not started</x:v>
      </x:c>
      <x:c r="K87" s="8"/>
      <x:c r="L87" s="8"/>
      <x:c r="M87" s="7"/>
    </x:row>
    <x:row r="88" ht="58" customHeight="1">
      <x:c r="A88" s="8" t="n">
        <x:f>'Evaluation Plan'!A88</x:f>
        <x:v>86</x:v>
      </x:c>
      <x:c r="B88" s="8" t="n">
        <x:f>'Evaluation Plan'!B88</x:f>
        <x:v>47</x:v>
      </x:c>
      <x:c r="C88" s="8" t="str">
        <x:f>'Evaluation Plan'!C88</x:f>
        <x:v>Additional transfer</x:v>
      </x:c>
      <x:c r="D88" s="8" t="str">
        <x:f>'Evaluation Plan'!D88</x:f>
        <x:v>Concept/compositional transfer</x:v>
      </x:c>
      <x:c r="E88" s="8" t="str">
        <x:f>'Evaluation Plan'!F88</x:f>
        <x:v>SR-CAN05</x:v>
      </x:c>
      <x:c r="F88" s="8" t="str">
        <x:f>IF('Evaluation Plan'!D88="Language robustness",'Evaluation Plan'!G88,IF('Evaluation Plan'!D88="Matched manipulation control",'Evaluation Plan'!G88,""))</x:f>
      </x:c>
      <x:c r="G88" s="7" t="str">
        <x:f>'Evaluation Plan'!H88</x:f>
        <x:v>Move the upright can into the bowl.</x:v>
      </x:c>
      <x:c r="H88" s="7" t="str">
        <x:f>'Evaluation Plan'!I88</x:f>
        <x:v>P1 crushed Coke can (UR) [TARGET]; P2 crushed Pepsi can (UD) [STATE COMPETITOR]; P3 white cup A (O, UD); P4 yellow-white striped cup B (C, UD)</x:v>
      </x:c>
      <x:c r="I88" s="8" t="str">
        <x:f>'Evaluation Plan'!J88</x:f>
        <x:v>crushed Coke can</x:v>
      </x:c>
      <x:c r="J88" s="8" t="str">
        <x:v>Not started</x:v>
      </x:c>
      <x:c r="K88" s="8"/>
      <x:c r="L88" s="8"/>
      <x:c r="M88" s="7"/>
    </x:row>
    <x:row r="89" ht="58" customHeight="1">
      <x:c r="A89" s="8" t="n">
        <x:f>'Evaluation Plan'!A89</x:f>
        <x:v>87</x:v>
      </x:c>
      <x:c r="B89" s="8" t="n">
        <x:f>'Evaluation Plan'!B89</x:f>
        <x:v>48</x:v>
      </x:c>
      <x:c r="C89" s="8" t="str">
        <x:f>'Evaluation Plan'!C89</x:f>
        <x:v>Additional transfer</x:v>
      </x:c>
      <x:c r="D89" s="8" t="str">
        <x:f>'Evaluation Plan'!D89</x:f>
        <x:v>Concept/compositional transfer</x:v>
      </x:c>
      <x:c r="E89" s="8" t="str">
        <x:f>'Evaluation Plan'!F89</x:f>
        <x:v>SR-CAN06</x:v>
      </x:c>
      <x:c r="F89" s="8" t="str">
        <x:f>IF('Evaluation Plan'!D89="Language robustness",'Evaluation Plan'!G89,IF('Evaluation Plan'!D89="Matched manipulation control",'Evaluation Plan'!G89,""))</x:f>
      </x:c>
      <x:c r="G89" s="7" t="str">
        <x:f>'Evaluation Plan'!H89</x:f>
        <x:v>Place the upside-down can in the bowl.</x:v>
      </x:c>
      <x:c r="H89" s="7" t="str">
        <x:f>'Evaluation Plan'!I89</x:f>
        <x:v>P1 yellow-white striped cup B (C, UR); P2 crushed Pepsi can (UD) [TARGET]; P3 crushed Coke can (UR) [STATE COMPETITOR]; P4 brown cup A (O, UR)</x:v>
      </x:c>
      <x:c r="I89" s="8" t="str">
        <x:f>'Evaluation Plan'!J89</x:f>
        <x:v>crushed Pepsi can</x:v>
      </x:c>
      <x:c r="J89" s="8" t="str">
        <x:v>Not started</x:v>
      </x:c>
      <x:c r="K89" s="8"/>
      <x:c r="L89" s="8"/>
      <x:c r="M89" s="7"/>
    </x:row>
    <x:row r="90" ht="58" customHeight="1">
      <x:c r="A90" s="8" t="n">
        <x:f>'Evaluation Plan'!A90</x:f>
        <x:v>88</x:v>
      </x:c>
      <x:c r="B90" s="8" t="n">
        <x:f>'Evaluation Plan'!B90</x:f>
        <x:v>49</x:v>
      </x:c>
      <x:c r="C90" s="8" t="str">
        <x:f>'Evaluation Plan'!C90</x:f>
        <x:v>Additional transfer</x:v>
      </x:c>
      <x:c r="D90" s="8" t="str">
        <x:f>'Evaluation Plan'!D90</x:f>
        <x:v>Concept/compositional transfer</x:v>
      </x:c>
      <x:c r="E90" s="8" t="str">
        <x:f>'Evaluation Plan'!F90</x:f>
        <x:v>SR-CAN07</x:v>
      </x:c>
      <x:c r="F90" s="8" t="str">
        <x:f>IF('Evaluation Plan'!D90="Language robustness",'Evaluation Plan'!G90,IF('Evaluation Plan'!D90="Matched manipulation control",'Evaluation Plan'!G90,""))</x:f>
      </x:c>
      <x:c r="G90" s="7" t="str">
        <x:f>'Evaluation Plan'!H90</x:f>
        <x:v>Put the upside-down can in the bowl.</x:v>
      </x:c>
      <x:c r="H90" s="7" t="str">
        <x:f>'Evaluation Plan'!I90</x:f>
        <x:v>P1 brown cup A (O, UR); P2 glass spice container B (C, UR); P3 crushed Coke can (UD) [TARGET]; P4 crushed Pepsi can (UR) [STATE COMPETITOR]</x:v>
      </x:c>
      <x:c r="I90" s="8" t="str">
        <x:f>'Evaluation Plan'!J90</x:f>
        <x:v>crushed Coke can</x:v>
      </x:c>
      <x:c r="J90" s="8" t="str">
        <x:v>Not started</x:v>
      </x:c>
      <x:c r="K90" s="8"/>
      <x:c r="L90" s="8"/>
      <x:c r="M90" s="7"/>
    </x:row>
    <x:row r="91" ht="58" customHeight="1">
      <x:c r="A91" s="8" t="n">
        <x:f>'Evaluation Plan'!A91</x:f>
        <x:v>89</x:v>
      </x:c>
      <x:c r="B91" s="8" t="n">
        <x:f>'Evaluation Plan'!B91</x:f>
        <x:v>50</x:v>
      </x:c>
      <x:c r="C91" s="8" t="str">
        <x:f>'Evaluation Plan'!C91</x:f>
        <x:v>Additional transfer</x:v>
      </x:c>
      <x:c r="D91" s="8" t="str">
        <x:f>'Evaluation Plan'!D91</x:f>
        <x:v>Concept/compositional transfer</x:v>
      </x:c>
      <x:c r="E91" s="8" t="str">
        <x:f>'Evaluation Plan'!F91</x:f>
        <x:v>SR-CAN08</x:v>
      </x:c>
      <x:c r="F91" s="8" t="str">
        <x:f>IF('Evaluation Plan'!D91="Language robustness",'Evaluation Plan'!G91,IF('Evaluation Plan'!D91="Matched manipulation control",'Evaluation Plan'!G91,""))</x:f>
      </x:c>
      <x:c r="G91" s="7" t="str">
        <x:f>'Evaluation Plan'!H91</x:f>
        <x:v>Move the upside-down can into the bowl.</x:v>
      </x:c>
      <x:c r="H91" s="7" t="str">
        <x:f>'Evaluation Plan'!I91</x:f>
        <x:v>P1 crushed Coke can (UR) [STATE COMPETITOR]; P2 glass spice container A (O, UR); P3 white cup B (C, UR); P4 crushed Pepsi can (UD) [TARGET]</x:v>
      </x:c>
      <x:c r="I91" s="8" t="str">
        <x:f>'Evaluation Plan'!J91</x:f>
        <x:v>crushed Pepsi can</x:v>
      </x:c>
      <x:c r="J91" s="8" t="str">
        <x:v>Not started</x:v>
      </x:c>
      <x:c r="K91" s="8"/>
      <x:c r="L91" s="8"/>
      <x:c r="M91" s="7"/>
    </x:row>
    <x:row r="92" ht="58" customHeight="1">
      <x:c r="A92" s="8" t="n">
        <x:f>'Evaluation Plan'!A92</x:f>
        <x:v>90</x:v>
      </x:c>
      <x:c r="B92" s="8" t="n">
        <x:f>'Evaluation Plan'!B92</x:f>
        <x:v>51</x:v>
      </x:c>
      <x:c r="C92" s="8" t="str">
        <x:f>'Evaluation Plan'!C92</x:f>
        <x:v>Exploratory black-cup pilot</x:v>
      </x:c>
      <x:c r="D92" s="8" t="str">
        <x:f>'Evaluation Plan'!D92</x:f>
        <x:v>Exploratory visual OOD</x:v>
      </x:c>
      <x:c r="E92" s="8" t="str">
        <x:f>'Evaluation Plan'!F92</x:f>
        <x:v>SR-BLK01</x:v>
      </x:c>
      <x:c r="F92" s="8" t="str">
        <x:f>IF('Evaluation Plan'!D92="Language robustness",'Evaluation Plan'!G92,IF('Evaluation Plan'!D92="Matched manipulation control",'Evaluation Plan'!G92,""))</x:f>
      </x:c>
      <x:c r="G92" s="7" t="str">
        <x:f>'Evaluation Plan'!H92</x:f>
        <x:v>Place the closed black cup in the bowl.</x:v>
      </x:c>
      <x:c r="H92" s="7" t="str">
        <x:f>'Evaluation Plan'!I92</x:f>
        <x:v>P1 black cup (C, UR) [TARGET]; P2 brown cup B (C, UD); P3 glass spice container A (O, UR); P4 white cup B (C, UD)</x:v>
      </x:c>
      <x:c r="I92" s="8" t="str">
        <x:f>'Evaluation Plan'!J92</x:f>
        <x:v>black cup</x:v>
      </x:c>
      <x:c r="J92" s="8" t="str">
        <x:v>Not started</x:v>
      </x:c>
      <x:c r="K92" s="8"/>
      <x:c r="L92" s="8"/>
      <x:c r="M92" s="7"/>
    </x:row>
    <x:row r="93" ht="58" customHeight="1">
      <x:c r="A93" s="8" t="n">
        <x:f>'Evaluation Plan'!A93</x:f>
        <x:v>91</x:v>
      </x:c>
      <x:c r="B93" s="8" t="n">
        <x:f>'Evaluation Plan'!B93</x:f>
        <x:v>52</x:v>
      </x:c>
      <x:c r="C93" s="8" t="str">
        <x:f>'Evaluation Plan'!C93</x:f>
        <x:v>Exploratory black-cup pilot</x:v>
      </x:c>
      <x:c r="D93" s="8" t="str">
        <x:f>'Evaluation Plan'!D93</x:f>
        <x:v>Exploratory visual OOD</x:v>
      </x:c>
      <x:c r="E93" s="8" t="str">
        <x:f>'Evaluation Plan'!F93</x:f>
        <x:v>SR-BLK02</x:v>
      </x:c>
      <x:c r="F93" s="8" t="str">
        <x:f>IF('Evaluation Plan'!D93="Language robustness",'Evaluation Plan'!G93,IF('Evaluation Plan'!D93="Matched manipulation control",'Evaluation Plan'!G93,""))</x:f>
      </x:c>
      <x:c r="G93" s="7" t="str">
        <x:f>'Evaluation Plan'!H93</x:f>
        <x:v>Put the closed black cup in the bowl.</x:v>
      </x:c>
      <x:c r="H93" s="7" t="str">
        <x:f>'Evaluation Plan'!I93</x:f>
        <x:v>P1 glass spice container B (C, UD); P2 black cup (C, UD) [TARGET]; P3 white cup B (C, UD); P4 yellow-white striped cup A (O, UR)</x:v>
      </x:c>
      <x:c r="I93" s="8" t="str">
        <x:f>'Evaluation Plan'!J93</x:f>
        <x:v>black cup</x:v>
      </x:c>
      <x:c r="J93" s="8" t="str">
        <x:v>Not started</x:v>
      </x:c>
      <x:c r="K93" s="8"/>
      <x:c r="L93" s="8"/>
      <x:c r="M93" s="7"/>
    </x:row>
    <x:row r="94" ht="58" customHeight="1">
      <x:c r="A94" s="8" t="n">
        <x:f>'Evaluation Plan'!A94</x:f>
        <x:v>92</x:v>
      </x:c>
      <x:c r="B94" s="8" t="n">
        <x:f>'Evaluation Plan'!B94</x:f>
        <x:v>53</x:v>
      </x:c>
      <x:c r="C94" s="8" t="str">
        <x:f>'Evaluation Plan'!C94</x:f>
        <x:v>Exploratory black-cup pilot</x:v>
      </x:c>
      <x:c r="D94" s="8" t="str">
        <x:f>'Evaluation Plan'!D94</x:f>
        <x:v>Exploratory visual OOD</x:v>
      </x:c>
      <x:c r="E94" s="8" t="str">
        <x:f>'Evaluation Plan'!F94</x:f>
        <x:v>SR-BLK03</x:v>
      </x:c>
      <x:c r="F94" s="8" t="str">
        <x:f>IF('Evaluation Plan'!D94="Language robustness",'Evaluation Plan'!G94,IF('Evaluation Plan'!D94="Matched manipulation control",'Evaluation Plan'!G94,""))</x:f>
      </x:c>
      <x:c r="G94" s="7" t="str">
        <x:f>'Evaluation Plan'!H94</x:f>
        <x:v>Move the open black cup into the bowl.</x:v>
      </x:c>
      <x:c r="H94" s="7" t="str">
        <x:f>'Evaluation Plan'!I94</x:f>
        <x:v>P1 white cup A (O, UR); P2 yellow-white striped cup B (C, UD); P3 black cup (O, UR) [TARGET]; P4 brown cup B (C, UD)</x:v>
      </x:c>
      <x:c r="I94" s="8" t="str">
        <x:f>'Evaluation Plan'!J94</x:f>
        <x:v>black cup</x:v>
      </x:c>
      <x:c r="J94" s="8" t="str">
        <x:v>Not started</x:v>
      </x:c>
      <x:c r="K94" s="8"/>
      <x:c r="L94" s="8"/>
      <x:c r="M94" s="7"/>
    </x:row>
    <x:row r="95" ht="58" customHeight="1">
      <x:c r="A95" s="8" t="n">
        <x:f>'Evaluation Plan'!A95</x:f>
        <x:v>93</x:v>
      </x:c>
      <x:c r="B95" s="8" t="n">
        <x:f>'Evaluation Plan'!B95</x:f>
        <x:v>54</x:v>
      </x:c>
      <x:c r="C95" s="8" t="str">
        <x:f>'Evaluation Plan'!C95</x:f>
        <x:v>Exploratory black-cup pilot</x:v>
      </x:c>
      <x:c r="D95" s="8" t="str">
        <x:f>'Evaluation Plan'!D95</x:f>
        <x:v>Exploratory visual OOD</x:v>
      </x:c>
      <x:c r="E95" s="8" t="str">
        <x:f>'Evaluation Plan'!F95</x:f>
        <x:v>SR-BLK04</x:v>
      </x:c>
      <x:c r="F95" s="8" t="str">
        <x:f>IF('Evaluation Plan'!D95="Language robustness",'Evaluation Plan'!G95,IF('Evaluation Plan'!D95="Matched manipulation control",'Evaluation Plan'!G95,""))</x:f>
      </x:c>
      <x:c r="G95" s="7" t="str">
        <x:f>'Evaluation Plan'!H95</x:f>
        <x:v>Place the open black cup in the bowl.</x:v>
      </x:c>
      <x:c r="H95" s="7" t="str">
        <x:f>'Evaluation Plan'!I95</x:f>
        <x:v>P1 yellow-white striped cup B (C, UD); P2 brown cup A (O, UR); P3 glass spice container B (C, UD); P4 black cup (O, UD) [TARGET]</x:v>
      </x:c>
      <x:c r="I95" s="8" t="str">
        <x:f>'Evaluation Plan'!J95</x:f>
        <x:v>black cup</x:v>
      </x:c>
      <x:c r="J95" s="8" t="str">
        <x:v>Not started</x:v>
      </x:c>
      <x:c r="K95" s="8"/>
      <x:c r="L95" s="8"/>
      <x:c r="M95" s="7"/>
    </x:row>
    <x:row r="96" ht="58" customHeight="1">
      <x:c r="A96" s="8" t="n">
        <x:f>'Evaluation Plan'!A96</x:f>
        <x:v>94</x:v>
      </x:c>
      <x:c r="B96" s="8" t="n">
        <x:f>'Evaluation Plan'!B96</x:f>
        <x:v>55</x:v>
      </x:c>
      <x:c r="C96" s="8" t="str">
        <x:f>'Evaluation Plan'!C96</x:f>
        <x:v>Exploratory black-cup pilot</x:v>
      </x:c>
      <x:c r="D96" s="8" t="str">
        <x:f>'Evaluation Plan'!D96</x:f>
        <x:v>Exploratory visual OOD</x:v>
      </x:c>
      <x:c r="E96" s="8" t="str">
        <x:f>'Evaluation Plan'!F96</x:f>
        <x:v>SR-BLK05</x:v>
      </x:c>
      <x:c r="F96" s="8" t="str">
        <x:f>IF('Evaluation Plan'!D96="Language robustness",'Evaluation Plan'!G96,IF('Evaluation Plan'!D96="Matched manipulation control",'Evaluation Plan'!G96,""))</x:f>
      </x:c>
      <x:c r="G96" s="7" t="str">
        <x:f>'Evaluation Plan'!H96</x:f>
        <x:v>Put the upright black cup in the bowl.</x:v>
      </x:c>
      <x:c r="H96" s="7" t="str">
        <x:f>'Evaluation Plan'!I96</x:f>
        <x:v>P1 black cup (O, UR) [TARGET]; P2 brown cup B (C, UD); P3 glass spice container A (O, UR); P4 white cup B (C, UD)</x:v>
      </x:c>
      <x:c r="I96" s="8" t="str">
        <x:f>'Evaluation Plan'!J96</x:f>
        <x:v>black cup</x:v>
      </x:c>
      <x:c r="J96" s="8" t="str">
        <x:v>Not started</x:v>
      </x:c>
      <x:c r="K96" s="8"/>
      <x:c r="L96" s="8"/>
      <x:c r="M96" s="7"/>
    </x:row>
    <x:row r="97" ht="58" customHeight="1">
      <x:c r="A97" s="8" t="n">
        <x:f>'Evaluation Plan'!A97</x:f>
        <x:v>95</x:v>
      </x:c>
      <x:c r="B97" s="8" t="n">
        <x:f>'Evaluation Plan'!B97</x:f>
        <x:v>56</x:v>
      </x:c>
      <x:c r="C97" s="8" t="str">
        <x:f>'Evaluation Plan'!C97</x:f>
        <x:v>Exploratory black-cup pilot</x:v>
      </x:c>
      <x:c r="D97" s="8" t="str">
        <x:f>'Evaluation Plan'!D97</x:f>
        <x:v>Exploratory visual OOD</x:v>
      </x:c>
      <x:c r="E97" s="8" t="str">
        <x:f>'Evaluation Plan'!F97</x:f>
        <x:v>SR-BLK06</x:v>
      </x:c>
      <x:c r="F97" s="8" t="str">
        <x:f>IF('Evaluation Plan'!D97="Language robustness",'Evaluation Plan'!G97,IF('Evaluation Plan'!D97="Matched manipulation control",'Evaluation Plan'!G97,""))</x:f>
      </x:c>
      <x:c r="G97" s="7" t="str">
        <x:f>'Evaluation Plan'!H97</x:f>
        <x:v>Move the upright black cup into the bowl.</x:v>
      </x:c>
      <x:c r="H97" s="7" t="str">
        <x:f>'Evaluation Plan'!I97</x:f>
        <x:v>P1 glass spice container B (C, UD); P2 black cup (C, UR) [TARGET]; P3 white cup B (C, UD); P4 yellow-white striped cup A (O, UR)</x:v>
      </x:c>
      <x:c r="I97" s="8" t="str">
        <x:f>'Evaluation Plan'!J97</x:f>
        <x:v>black cup</x:v>
      </x:c>
      <x:c r="J97" s="8" t="str">
        <x:v>Not started</x:v>
      </x:c>
      <x:c r="K97" s="8"/>
      <x:c r="L97" s="8"/>
      <x:c r="M97" s="7"/>
    </x:row>
    <x:row r="98" ht="58" customHeight="1">
      <x:c r="A98" s="8" t="n">
        <x:f>'Evaluation Plan'!A98</x:f>
        <x:v>96</x:v>
      </x:c>
      <x:c r="B98" s="8" t="n">
        <x:f>'Evaluation Plan'!B98</x:f>
        <x:v>57</x:v>
      </x:c>
      <x:c r="C98" s="8" t="str">
        <x:f>'Evaluation Plan'!C98</x:f>
        <x:v>Exploratory black-cup pilot</x:v>
      </x:c>
      <x:c r="D98" s="8" t="str">
        <x:f>'Evaluation Plan'!D98</x:f>
        <x:v>Exploratory visual OOD</x:v>
      </x:c>
      <x:c r="E98" s="8" t="str">
        <x:f>'Evaluation Plan'!F98</x:f>
        <x:v>SR-BLK07</x:v>
      </x:c>
      <x:c r="F98" s="8" t="str">
        <x:f>IF('Evaluation Plan'!D98="Language robustness",'Evaluation Plan'!G98,IF('Evaluation Plan'!D98="Matched manipulation control",'Evaluation Plan'!G98,""))</x:f>
      </x:c>
      <x:c r="G98" s="7" t="str">
        <x:f>'Evaluation Plan'!H98</x:f>
        <x:v>Place the upside-down black cup in the bowl.</x:v>
      </x:c>
      <x:c r="H98" s="7" t="str">
        <x:f>'Evaluation Plan'!I98</x:f>
        <x:v>P1 white cup A (O, UR); P2 yellow-white striped cup B (C, UD); P3 black cup (O, UD) [TARGET]; P4 brown cup B (C, UD)</x:v>
      </x:c>
      <x:c r="I98" s="8" t="str">
        <x:f>'Evaluation Plan'!J98</x:f>
        <x:v>black cup</x:v>
      </x:c>
      <x:c r="J98" s="8" t="str">
        <x:v>Not started</x:v>
      </x:c>
      <x:c r="K98" s="8"/>
      <x:c r="L98" s="8"/>
      <x:c r="M98" s="7"/>
    </x:row>
    <x:row r="99" ht="58" customHeight="1">
      <x:c r="A99" s="8" t="n">
        <x:f>'Evaluation Plan'!A99</x:f>
        <x:v>97</x:v>
      </x:c>
      <x:c r="B99" s="8" t="n">
        <x:f>'Evaluation Plan'!B99</x:f>
        <x:v>58</x:v>
      </x:c>
      <x:c r="C99" s="8" t="str">
        <x:f>'Evaluation Plan'!C99</x:f>
        <x:v>Exploratory black-cup pilot</x:v>
      </x:c>
      <x:c r="D99" s="8" t="str">
        <x:f>'Evaluation Plan'!D99</x:f>
        <x:v>Exploratory visual OOD</x:v>
      </x:c>
      <x:c r="E99" s="8" t="str">
        <x:f>'Evaluation Plan'!F99</x:f>
        <x:v>SR-BLK08</x:v>
      </x:c>
      <x:c r="F99" s="8" t="str">
        <x:f>IF('Evaluation Plan'!D99="Language robustness",'Evaluation Plan'!G99,IF('Evaluation Plan'!D99="Matched manipulation control",'Evaluation Plan'!G99,""))</x:f>
      </x:c>
      <x:c r="G99" s="7" t="str">
        <x:f>'Evaluation Plan'!H99</x:f>
        <x:v>Put the upside-down black cup in the bowl.</x:v>
      </x:c>
      <x:c r="H99" s="7" t="str">
        <x:f>'Evaluation Plan'!I99</x:f>
        <x:v>P1 yellow-white striped cup B (C, UD); P2 brown cup A (O, UR); P3 glass spice container B (C, UD); P4 black cup (C, UD) [TARGET]</x:v>
      </x:c>
      <x:c r="I99" s="8" t="str">
        <x:f>'Evaluation Plan'!J99</x:f>
        <x:v>black cup</x:v>
      </x:c>
      <x:c r="J99" s="8" t="str">
        <x:v>Not started</x:v>
      </x:c>
      <x:c r="K99" s="8"/>
      <x:c r="L99" s="8"/>
      <x:c r="M99" s="7"/>
    </x:row>
  </x:sheetData>
  <x:conditionalFormatting sqref="A2:M99">
    <x:cfRule type="expression" dxfId="7" priority="1">
      <x:formula>$J2="Complete"</x:formula>
    </x:cfRule>
    <x:cfRule type="expression" dxfId="8" priority="2">
      <x:formula>$J2="Redo"</x:formula>
    </x:cfRule>
  </x:conditionalFormatting>
  <x:conditionalFormatting sqref="K2:K99">
    <x:cfRule type="containsText" dxfId="9" priority="3" operator="containsText" text="Success"/>
    <x:cfRule type="containsText" dxfId="10" priority="4" operator="containsText" text="Failure"/>
  </x:conditionalFormatting>
  <x:dataValidations count="3">
    <x:dataValidation type="list" sqref="J2:J99">
      <x:formula1>"Not started,Complete,Redo"</x:formula1>
    </x:dataValidation>
    <x:dataValidation type="list" sqref="K2:K99">
      <x:formula1>"Success,Failure,Invalid / Repeat"</x:formula1>
    </x:dataValidation>
    <x:dataValidation type="list" sqref="L2:L99">
      <x:formula1>"Wrong target,No grasp,Drop outside bowl,Timeout,Setup deviation,Hardware fault,Other"</x:formula1>
    </x:dataValidation>
  </x:dataValidations>
  <x:pageMargins left="0.7" right="0.7" top="0.75" bottom="0.75" header="0.3" footer="0.3"/>
  <x:tableParts count="1">
    <x:tablePart xmlns:r="http://schemas.openxmlformats.org/officeDocument/2006/relationships" r:id="R7bc62c617e6547a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9" hidden="0" customWidth="1"/>
    <x:col min="2" max="2" width="12" hidden="0" customWidth="1"/>
    <x:col min="3" max="3" width="29" hidden="0" customWidth="1"/>
    <x:col min="4" max="4" width="28" hidden="0" customWidth="1"/>
    <x:col min="5" max="5" width="13" hidden="0" customWidth="1"/>
    <x:col min="6" max="6" width="12" hidden="0" customWidth="1"/>
    <x:col min="7" max="7" width="42" hidden="0" customWidth="1"/>
    <x:col min="8" max="8" width="82" hidden="0" customWidth="1"/>
    <x:col min="9" max="9" width="25" hidden="0" customWidth="1"/>
    <x:col min="10" max="10" width="14" hidden="0" customWidth="1"/>
    <x:col min="11" max="11" width="17" hidden="0" customWidth="1"/>
    <x:col min="12" max="12" width="24" hidden="0" customWidth="1"/>
    <x:col min="13" max="13" width="42" hidden="0" customWidth="1"/>
  </x:cols>
  <x:sheetData>
    <x:row r="1" ht="36" customHeight="1">
      <x:c r="A1" s="5" t="str">
        <x:v>Episode</x:v>
      </x:c>
      <x:c r="B1" s="5" t="str">
        <x:v>Collection Block</x:v>
      </x:c>
      <x:c r="C1" s="5" t="str">
        <x:v>Within-Block Step</x:v>
      </x:c>
      <x:c r="D1" s="5" t="str">
        <x:v>Condition</x:v>
      </x:c>
      <x:c r="E1" s="5" t="str">
        <x:v>Scene Family</x:v>
      </x:c>
      <x:c r="F1" s="5" t="str">
        <x:v>Reference Episode</x:v>
      </x:c>
      <x:c r="G1" s="5" t="str">
        <x:v>Prompt</x:v>
      </x:c>
      <x:c r="H1" s="5" t="str">
        <x:v>Scene Setup</x:v>
      </x:c>
      <x:c r="I1" s="5" t="str">
        <x:v>Expected Target</x:v>
      </x:c>
      <x:c r="J1" s="5" t="str">
        <x:v>Status</x:v>
      </x:c>
      <x:c r="K1" s="5" t="str">
        <x:v>Outcome</x:v>
      </x:c>
      <x:c r="L1" s="5" t="str">
        <x:v>Failure Mode</x:v>
      </x:c>
      <x:c r="M1" s="5" t="str">
        <x:v>Notes</x:v>
      </x:c>
    </x:row>
    <x:row r="2" ht="58" customHeight="1">
      <x:c r="A2" s="9" t="n">
        <x:f>'Evaluation Plan'!A2</x:f>
        <x:v>0</x:v>
      </x:c>
      <x:c r="B2" s="9" t="n">
        <x:f>'Evaluation Plan'!B2</x:f>
        <x:v>1</x:v>
      </x:c>
      <x:c r="C2" s="9" t="str">
        <x:f>'Evaluation Plan'!C2</x:f>
        <x:v>1 — Canonical transfer</x:v>
      </x:c>
      <x:c r="D2" s="9" t="str">
        <x:f>'Evaluation Plan'!D2</x:f>
        <x:v>Concept/compositional transfer</x:v>
      </x:c>
      <x:c r="E2" s="9" t="str">
        <x:f>'Evaluation Plan'!F2</x:f>
        <x:v>SR-F01</x:v>
      </x:c>
      <x:c r="F2" s="9" t="str">
        <x:f>IF('Evaluation Plan'!D2="Language robustness",'Evaluation Plan'!G2,IF('Evaluation Plan'!D2="Matched manipulation control",'Evaluation Plan'!G2,""))</x:f>
      </x:c>
      <x:c r="G2" s="10" t="str">
        <x:f>'Evaluation Plan'!H2</x:f>
        <x:v>Place the closed white cup in the bowl.</x:v>
      </x:c>
      <x:c r="H2" s="10" t="str">
        <x:f>'Evaluation Plan'!I2</x:f>
        <x:v>P1 white cup A (C, UR) [TARGET]; P2 white cup B (O, UR) [STATE COMPETITOR]; P3 yellow-white striped cup A (O, UR); P4 brown cup B (C, UD)</x:v>
      </x:c>
      <x:c r="I2" s="9" t="str">
        <x:f>'Evaluation Plan'!J2</x:f>
        <x:v>white cup A</x:v>
      </x:c>
      <x:c r="J2" s="9" t="str">
        <x:v>Not started</x:v>
      </x:c>
      <x:c r="K2" s="9"/>
      <x:c r="L2" s="9"/>
      <x:c r="M2" s="10"/>
    </x:row>
    <x:row r="3" ht="58" customHeight="1">
      <x:c r="A3" s="8" t="n">
        <x:f>'Evaluation Plan'!A3</x:f>
        <x:v>1</x:v>
      </x:c>
      <x:c r="B3" s="8" t="n">
        <x:f>'Evaluation Plan'!B3</x:f>
        <x:v>1</x:v>
      </x:c>
      <x:c r="C3" s="8" t="str">
        <x:f>'Evaluation Plan'!C3</x:f>
        <x:v>2 — Exact-scene paraphrase</x:v>
      </x:c>
      <x:c r="D3" s="8" t="str">
        <x:f>'Evaluation Plan'!D3</x:f>
        <x:v>Language robustness</x:v>
      </x:c>
      <x:c r="E3" s="8" t="str">
        <x:f>'Evaluation Plan'!F3</x:f>
        <x:v>SR-F01</x:v>
      </x:c>
      <x:c r="F3" s="8" t="n">
        <x:f>IF('Evaluation Plan'!D3="Language robustness",'Evaluation Plan'!G3,IF('Evaluation Plan'!D3="Matched manipulation control",'Evaluation Plan'!G3,""))</x:f>
        <x:v>0</x:v>
      </x:c>
      <x:c r="G3" s="7" t="str">
        <x:f>'Evaluation Plan'!H3</x:f>
        <x:v>Move the white cup that is closed into the bowl.</x:v>
      </x:c>
      <x:c r="H3" s="7" t="str">
        <x:f>'Evaluation Plan'!I3</x:f>
        <x:v>P1 white cup A (C, UR) [TARGET]; P2 white cup B (O, UR) [STATE COMPETITOR]; P3 yellow-white striped cup A (O, UR); P4 brown cup B (C, UD)</x:v>
      </x:c>
      <x:c r="I3" s="8" t="str">
        <x:f>'Evaluation Plan'!J3</x:f>
        <x:v>white cup A</x:v>
      </x:c>
      <x:c r="J3" s="8" t="str">
        <x:v>Not started</x:v>
      </x:c>
      <x:c r="K3" s="8"/>
      <x:c r="L3" s="8"/>
      <x:c r="M3" s="7"/>
    </x:row>
    <x:row r="4" ht="58" customHeight="1">
      <x:c r="A4" s="8" t="n">
        <x:f>'Evaluation Plan'!A4</x:f>
        <x:v>2</x:v>
      </x:c>
      <x:c r="B4" s="8" t="n">
        <x:f>'Evaluation Plan'!B4</x:f>
        <x:v>1</x:v>
      </x:c>
      <x:c r="C4" s="8" t="str">
        <x:f>'Evaluation Plan'!C4</x:f>
        <x:v>3 — Matched control</x:v>
      </x:c>
      <x:c r="D4" s="8" t="str">
        <x:f>'Evaluation Plan'!D4</x:f>
        <x:v>Matched manipulation control</x:v>
      </x:c>
      <x:c r="E4" s="8" t="str">
        <x:f>'Evaluation Plan'!F4</x:f>
        <x:v>SR-F01</x:v>
      </x:c>
      <x:c r="F4" s="8" t="n">
        <x:f>IF('Evaluation Plan'!D4="Language robustness",'Evaluation Plan'!G4,IF('Evaluation Plan'!D4="Matched manipulation control",'Evaluation Plan'!G4,""))</x:f>
        <x:v>0</x:v>
      </x:c>
      <x:c r="G4" s="7" t="str">
        <x:f>'Evaluation Plan'!H4</x:f>
        <x:v>Place the white cup in the bowl.</x:v>
      </x:c>
      <x:c r="H4" s="7" t="str">
        <x:f>'Evaluation Plan'!I4</x:f>
        <x:v>P1 white cup A (C, UR) [TARGET]; P3 yellow-white striped cup A (O, UR); P4 brown cup B (C, UD)</x:v>
      </x:c>
      <x:c r="I4" s="8" t="str">
        <x:f>'Evaluation Plan'!J4</x:f>
        <x:v>white cup A</x:v>
      </x:c>
      <x:c r="J4" s="8" t="str">
        <x:v>Not started</x:v>
      </x:c>
      <x:c r="K4" s="8"/>
      <x:c r="L4" s="8"/>
      <x:c r="M4" s="7"/>
    </x:row>
    <x:row r="5" ht="58" customHeight="1">
      <x:c r="A5" s="9" t="n">
        <x:f>'Evaluation Plan'!A5</x:f>
        <x:v>3</x:v>
      </x:c>
      <x:c r="B5" s="9" t="n">
        <x:f>'Evaluation Plan'!B5</x:f>
        <x:v>2</x:v>
      </x:c>
      <x:c r="C5" s="9" t="str">
        <x:f>'Evaluation Plan'!C5</x:f>
        <x:v>1 — Canonical transfer</x:v>
      </x:c>
      <x:c r="D5" s="9" t="str">
        <x:f>'Evaluation Plan'!D5</x:f>
        <x:v>Concept/compositional transfer</x:v>
      </x:c>
      <x:c r="E5" s="9" t="str">
        <x:f>'Evaluation Plan'!F5</x:f>
        <x:v>SR-F02</x:v>
      </x:c>
      <x:c r="F5" s="9" t="str">
        <x:f>IF('Evaluation Plan'!D5="Language robustness",'Evaluation Plan'!G5,IF('Evaluation Plan'!D5="Matched manipulation control",'Evaluation Plan'!G5,""))</x:f>
      </x:c>
      <x:c r="G5" s="10" t="str">
        <x:f>'Evaluation Plan'!H5</x:f>
        <x:v>Put the open yellow-white striped cup in the bowl.</x:v>
      </x:c>
      <x:c r="H5" s="10" t="str">
        <x:f>'Evaluation Plan'!I5</x:f>
        <x:v>P1 white cup B (C, UD); P2 yellow-white striped cup B (O, UD) [TARGET]; P3 yellow-white striped cup A (C, UD) [STATE COMPETITOR]; P4 brown cup A (O, UR)</x:v>
      </x:c>
      <x:c r="I5" s="9" t="str">
        <x:f>'Evaluation Plan'!J5</x:f>
        <x:v>yellow-white striped cup B</x:v>
      </x:c>
      <x:c r="J5" s="9" t="str">
        <x:v>Not started</x:v>
      </x:c>
      <x:c r="K5" s="9"/>
      <x:c r="L5" s="9"/>
      <x:c r="M5" s="10"/>
    </x:row>
    <x:row r="6" ht="58" customHeight="1">
      <x:c r="A6" s="8" t="n">
        <x:f>'Evaluation Plan'!A6</x:f>
        <x:v>4</x:v>
      </x:c>
      <x:c r="B6" s="8" t="n">
        <x:f>'Evaluation Plan'!B6</x:f>
        <x:v>2</x:v>
      </x:c>
      <x:c r="C6" s="8" t="str">
        <x:f>'Evaluation Plan'!C6</x:f>
        <x:v>2 — Exact-scene paraphrase</x:v>
      </x:c>
      <x:c r="D6" s="8" t="str">
        <x:f>'Evaluation Plan'!D6</x:f>
        <x:v>Language robustness</x:v>
      </x:c>
      <x:c r="E6" s="8" t="str">
        <x:f>'Evaluation Plan'!F6</x:f>
        <x:v>SR-F02</x:v>
      </x:c>
      <x:c r="F6" s="8" t="n">
        <x:f>IF('Evaluation Plan'!D6="Language robustness",'Evaluation Plan'!G6,IF('Evaluation Plan'!D6="Matched manipulation control",'Evaluation Plan'!G6,""))</x:f>
        <x:v>3</x:v>
      </x:c>
      <x:c r="G6" s="7" t="str">
        <x:f>'Evaluation Plan'!H6</x:f>
        <x:v>Move the yellow-white striped cup that is open into the bowl.</x:v>
      </x:c>
      <x:c r="H6" s="7" t="str">
        <x:f>'Evaluation Plan'!I6</x:f>
        <x:v>P1 white cup B (C, UD); P2 yellow-white striped cup B (O, UD) [TARGET]; P3 yellow-white striped cup A (C, UD) [STATE COMPETITOR]; P4 brown cup A (O, UR)</x:v>
      </x:c>
      <x:c r="I6" s="8" t="str">
        <x:f>'Evaluation Plan'!J6</x:f>
        <x:v>yellow-white striped cup B</x:v>
      </x:c>
      <x:c r="J6" s="8" t="str">
        <x:v>Not started</x:v>
      </x:c>
      <x:c r="K6" s="8"/>
      <x:c r="L6" s="8"/>
      <x:c r="M6" s="7"/>
    </x:row>
    <x:row r="7" ht="58" customHeight="1">
      <x:c r="A7" s="8" t="n">
        <x:f>'Evaluation Plan'!A7</x:f>
        <x:v>5</x:v>
      </x:c>
      <x:c r="B7" s="8" t="n">
        <x:f>'Evaluation Plan'!B7</x:f>
        <x:v>2</x:v>
      </x:c>
      <x:c r="C7" s="8" t="str">
        <x:f>'Evaluation Plan'!C7</x:f>
        <x:v>3 — Matched control</x:v>
      </x:c>
      <x:c r="D7" s="8" t="str">
        <x:f>'Evaluation Plan'!D7</x:f>
        <x:v>Matched manipulation control</x:v>
      </x:c>
      <x:c r="E7" s="8" t="str">
        <x:f>'Evaluation Plan'!F7</x:f>
        <x:v>SR-F02</x:v>
      </x:c>
      <x:c r="F7" s="8" t="n">
        <x:f>IF('Evaluation Plan'!D7="Language robustness",'Evaluation Plan'!G7,IF('Evaluation Plan'!D7="Matched manipulation control",'Evaluation Plan'!G7,""))</x:f>
        <x:v>3</x:v>
      </x:c>
      <x:c r="G7" s="7" t="str">
        <x:f>'Evaluation Plan'!H7</x:f>
        <x:v>Put the yellow-white striped cup in the bowl.</x:v>
      </x:c>
      <x:c r="H7" s="7" t="str">
        <x:f>'Evaluation Plan'!I7</x:f>
        <x:v>P1 white cup B (C, UD); P2 yellow-white striped cup B (O, UD) [TARGET]; P4 brown cup A (O, UR)</x:v>
      </x:c>
      <x:c r="I7" s="8" t="str">
        <x:f>'Evaluation Plan'!J7</x:f>
        <x:v>yellow-white striped cup B</x:v>
      </x:c>
      <x:c r="J7" s="8" t="str">
        <x:v>Not started</x:v>
      </x:c>
      <x:c r="K7" s="8"/>
      <x:c r="L7" s="8"/>
      <x:c r="M7" s="7"/>
    </x:row>
    <x:row r="8" ht="58" customHeight="1">
      <x:c r="A8" s="9" t="n">
        <x:f>'Evaluation Plan'!A8</x:f>
        <x:v>6</x:v>
      </x:c>
      <x:c r="B8" s="9" t="n">
        <x:f>'Evaluation Plan'!B8</x:f>
        <x:v>3</x:v>
      </x:c>
      <x:c r="C8" s="9" t="str">
        <x:f>'Evaluation Plan'!C8</x:f>
        <x:v>1 — Canonical transfer</x:v>
      </x:c>
      <x:c r="D8" s="9" t="str">
        <x:f>'Evaluation Plan'!D8</x:f>
        <x:v>Concept/compositional transfer</x:v>
      </x:c>
      <x:c r="E8" s="9" t="str">
        <x:f>'Evaluation Plan'!F8</x:f>
        <x:v>SR-F03</x:v>
      </x:c>
      <x:c r="F8" s="9" t="str">
        <x:f>IF('Evaluation Plan'!D8="Language robustness",'Evaluation Plan'!G8,IF('Evaluation Plan'!D8="Matched manipulation control",'Evaluation Plan'!G8,""))</x:f>
      </x:c>
      <x:c r="G8" s="10" t="str">
        <x:f>'Evaluation Plan'!H8</x:f>
        <x:v>Move the upright brown cup into the bowl.</x:v>
      </x:c>
      <x:c r="H8" s="10" t="str">
        <x:f>'Evaluation Plan'!I8</x:f>
        <x:v>P1 white cup A (O, UR); P2 yellow-white striped cup B (C, UD); P3 brown cup A (O, UR) [TARGET]; P4 brown cup B (O, UD) [STATE COMPETITOR]</x:v>
      </x:c>
      <x:c r="I8" s="9" t="str">
        <x:f>'Evaluation Plan'!J8</x:f>
        <x:v>brown cup A</x:v>
      </x:c>
      <x:c r="J8" s="9" t="str">
        <x:v>Not started</x:v>
      </x:c>
      <x:c r="K8" s="9"/>
      <x:c r="L8" s="9"/>
      <x:c r="M8" s="10"/>
    </x:row>
    <x:row r="9" ht="58" customHeight="1">
      <x:c r="A9" s="8" t="n">
        <x:f>'Evaluation Plan'!A9</x:f>
        <x:v>7</x:v>
      </x:c>
      <x:c r="B9" s="8" t="n">
        <x:f>'Evaluation Plan'!B9</x:f>
        <x:v>3</x:v>
      </x:c>
      <x:c r="C9" s="8" t="str">
        <x:f>'Evaluation Plan'!C9</x:f>
        <x:v>2 — Exact-scene paraphrase</x:v>
      </x:c>
      <x:c r="D9" s="8" t="str">
        <x:f>'Evaluation Plan'!D9</x:f>
        <x:v>Language robustness</x:v>
      </x:c>
      <x:c r="E9" s="8" t="str">
        <x:f>'Evaluation Plan'!F9</x:f>
        <x:v>SR-F03</x:v>
      </x:c>
      <x:c r="F9" s="8" t="n">
        <x:f>IF('Evaluation Plan'!D9="Language robustness",'Evaluation Plan'!G9,IF('Evaluation Plan'!D9="Matched manipulation control",'Evaluation Plan'!G9,""))</x:f>
        <x:v>6</x:v>
      </x:c>
      <x:c r="G9" s="7" t="str">
        <x:f>'Evaluation Plan'!H9</x:f>
        <x:v>Move the brown cup that is standing upright into the bowl.</x:v>
      </x:c>
      <x:c r="H9" s="7" t="str">
        <x:f>'Evaluation Plan'!I9</x:f>
        <x:v>P1 white cup A (O, UR); P2 yellow-white striped cup B (C, UD); P3 brown cup A (O, UR) [TARGET]; P4 brown cup B (O, UD) [STATE COMPETITOR]</x:v>
      </x:c>
      <x:c r="I9" s="8" t="str">
        <x:f>'Evaluation Plan'!J9</x:f>
        <x:v>brown cup A</x:v>
      </x:c>
      <x:c r="J9" s="8" t="str">
        <x:v>Not started</x:v>
      </x:c>
      <x:c r="K9" s="8"/>
      <x:c r="L9" s="8"/>
      <x:c r="M9" s="7"/>
    </x:row>
    <x:row r="10" ht="58" customHeight="1">
      <x:c r="A10" s="8" t="n">
        <x:f>'Evaluation Plan'!A10</x:f>
        <x:v>8</x:v>
      </x:c>
      <x:c r="B10" s="8" t="n">
        <x:f>'Evaluation Plan'!B10</x:f>
        <x:v>3</x:v>
      </x:c>
      <x:c r="C10" s="8" t="str">
        <x:f>'Evaluation Plan'!C10</x:f>
        <x:v>3 — Matched control</x:v>
      </x:c>
      <x:c r="D10" s="8" t="str">
        <x:f>'Evaluation Plan'!D10</x:f>
        <x:v>Matched manipulation control</x:v>
      </x:c>
      <x:c r="E10" s="8" t="str">
        <x:f>'Evaluation Plan'!F10</x:f>
        <x:v>SR-F03</x:v>
      </x:c>
      <x:c r="F10" s="8" t="n">
        <x:f>IF('Evaluation Plan'!D10="Language robustness",'Evaluation Plan'!G10,IF('Evaluation Plan'!D10="Matched manipulation control",'Evaluation Plan'!G10,""))</x:f>
        <x:v>6</x:v>
      </x:c>
      <x:c r="G10" s="7" t="str">
        <x:f>'Evaluation Plan'!H10</x:f>
        <x:v>Move the brown cup into the bowl.</x:v>
      </x:c>
      <x:c r="H10" s="7" t="str">
        <x:f>'Evaluation Plan'!I10</x:f>
        <x:v>P1 white cup A (O, UR); P2 yellow-white striped cup B (C, UD); P3 brown cup A (O, UR) [TARGET]</x:v>
      </x:c>
      <x:c r="I10" s="8" t="str">
        <x:f>'Evaluation Plan'!J10</x:f>
        <x:v>brown cup A</x:v>
      </x:c>
      <x:c r="J10" s="8" t="str">
        <x:v>Not started</x:v>
      </x:c>
      <x:c r="K10" s="8"/>
      <x:c r="L10" s="8"/>
      <x:c r="M10" s="7"/>
    </x:row>
    <x:row r="11" ht="58" customHeight="1">
      <x:c r="A11" s="9" t="n">
        <x:f>'Evaluation Plan'!A11</x:f>
        <x:v>9</x:v>
      </x:c>
      <x:c r="B11" s="9" t="n">
        <x:f>'Evaluation Plan'!B11</x:f>
        <x:v>4</x:v>
      </x:c>
      <x:c r="C11" s="9" t="str">
        <x:f>'Evaluation Plan'!C11</x:f>
        <x:v>1 — Canonical transfer</x:v>
      </x:c>
      <x:c r="D11" s="9" t="str">
        <x:f>'Evaluation Plan'!D11</x:f>
        <x:v>Concept/compositional transfer</x:v>
      </x:c>
      <x:c r="E11" s="9" t="str">
        <x:f>'Evaluation Plan'!F11</x:f>
        <x:v>SR-F04</x:v>
      </x:c>
      <x:c r="F11" s="9" t="str">
        <x:f>IF('Evaluation Plan'!D11="Language robustness",'Evaluation Plan'!G11,IF('Evaluation Plan'!D11="Matched manipulation control",'Evaluation Plan'!G11,""))</x:f>
      </x:c>
      <x:c r="G11" s="10" t="str">
        <x:f>'Evaluation Plan'!H11</x:f>
        <x:v>Place the upside-down glass spice container in the bowl.</x:v>
      </x:c>
      <x:c r="H11" s="10" t="str">
        <x:f>'Evaluation Plan'!I11</x:f>
        <x:v>P1 glass spice container A (C, UR) [STATE COMPETITOR]; P2 white cup A (O, UR); P3 yellow-white striped cup B (C, UD); P4 glass spice container B (C, UD) [TARGET]</x:v>
      </x:c>
      <x:c r="I11" s="9" t="str">
        <x:f>'Evaluation Plan'!J11</x:f>
        <x:v>glass spice container B</x:v>
      </x:c>
      <x:c r="J11" s="9" t="str">
        <x:v>Not started</x:v>
      </x:c>
      <x:c r="K11" s="9"/>
      <x:c r="L11" s="9"/>
      <x:c r="M11" s="10"/>
    </x:row>
    <x:row r="12" ht="58" customHeight="1">
      <x:c r="A12" s="8" t="n">
        <x:f>'Evaluation Plan'!A12</x:f>
        <x:v>10</x:v>
      </x:c>
      <x:c r="B12" s="8" t="n">
        <x:f>'Evaluation Plan'!B12</x:f>
        <x:v>4</x:v>
      </x:c>
      <x:c r="C12" s="8" t="str">
        <x:f>'Evaluation Plan'!C12</x:f>
        <x:v>2 — Exact-scene paraphrase</x:v>
      </x:c>
      <x:c r="D12" s="8" t="str">
        <x:f>'Evaluation Plan'!D12</x:f>
        <x:v>Language robustness</x:v>
      </x:c>
      <x:c r="E12" s="8" t="str">
        <x:f>'Evaluation Plan'!F12</x:f>
        <x:v>SR-F04</x:v>
      </x:c>
      <x:c r="F12" s="8" t="n">
        <x:f>IF('Evaluation Plan'!D12="Language robustness",'Evaluation Plan'!G12,IF('Evaluation Plan'!D12="Matched manipulation control",'Evaluation Plan'!G12,""))</x:f>
        <x:v>9</x:v>
      </x:c>
      <x:c r="G12" s="7" t="str">
        <x:f>'Evaluation Plan'!H12</x:f>
        <x:v>Move the glass spice container that is turned upside down into the bowl.</x:v>
      </x:c>
      <x:c r="H12" s="7" t="str">
        <x:f>'Evaluation Plan'!I12</x:f>
        <x:v>P1 glass spice container A (C, UR) [STATE COMPETITOR]; P2 white cup A (O, UR); P3 yellow-white striped cup B (C, UD); P4 glass spice container B (C, UD) [TARGET]</x:v>
      </x:c>
      <x:c r="I12" s="8" t="str">
        <x:f>'Evaluation Plan'!J12</x:f>
        <x:v>glass spice container B</x:v>
      </x:c>
      <x:c r="J12" s="8" t="str">
        <x:v>Not started</x:v>
      </x:c>
      <x:c r="K12" s="8"/>
      <x:c r="L12" s="8"/>
      <x:c r="M12" s="7"/>
    </x:row>
    <x:row r="13" ht="58" customHeight="1">
      <x:c r="A13" s="8" t="n">
        <x:f>'Evaluation Plan'!A13</x:f>
        <x:v>11</x:v>
      </x:c>
      <x:c r="B13" s="8" t="n">
        <x:f>'Evaluation Plan'!B13</x:f>
        <x:v>4</x:v>
      </x:c>
      <x:c r="C13" s="8" t="str">
        <x:f>'Evaluation Plan'!C13</x:f>
        <x:v>3 — Matched control</x:v>
      </x:c>
      <x:c r="D13" s="8" t="str">
        <x:f>'Evaluation Plan'!D13</x:f>
        <x:v>Matched manipulation control</x:v>
      </x:c>
      <x:c r="E13" s="8" t="str">
        <x:f>'Evaluation Plan'!F13</x:f>
        <x:v>SR-F04</x:v>
      </x:c>
      <x:c r="F13" s="8" t="n">
        <x:f>IF('Evaluation Plan'!D13="Language robustness",'Evaluation Plan'!G13,IF('Evaluation Plan'!D13="Matched manipulation control",'Evaluation Plan'!G13,""))</x:f>
        <x:v>9</x:v>
      </x:c>
      <x:c r="G13" s="7" t="str">
        <x:f>'Evaluation Plan'!H13</x:f>
        <x:v>Place the glass spice container in the bowl.</x:v>
      </x:c>
      <x:c r="H13" s="7" t="str">
        <x:f>'Evaluation Plan'!I13</x:f>
        <x:v>P2 white cup A (O, UR); P3 yellow-white striped cup B (C, UD); P4 glass spice container B (C, UD) [TARGET]</x:v>
      </x:c>
      <x:c r="I13" s="8" t="str">
        <x:f>'Evaluation Plan'!J13</x:f>
        <x:v>glass spice container B</x:v>
      </x:c>
      <x:c r="J13" s="8" t="str">
        <x:v>Not started</x:v>
      </x:c>
      <x:c r="K13" s="8"/>
      <x:c r="L13" s="8"/>
      <x:c r="M13" s="7"/>
    </x:row>
    <x:row r="14" ht="58" customHeight="1">
      <x:c r="A14" s="9" t="n">
        <x:f>'Evaluation Plan'!A14</x:f>
        <x:v>12</x:v>
      </x:c>
      <x:c r="B14" s="9" t="n">
        <x:f>'Evaluation Plan'!B14</x:f>
        <x:v>5</x:v>
      </x:c>
      <x:c r="C14" s="9" t="str">
        <x:f>'Evaluation Plan'!C14</x:f>
        <x:v>1 — Canonical transfer</x:v>
      </x:c>
      <x:c r="D14" s="9" t="str">
        <x:f>'Evaluation Plan'!D14</x:f>
        <x:v>Concept/compositional transfer</x:v>
      </x:c>
      <x:c r="E14" s="9" t="str">
        <x:f>'Evaluation Plan'!F14</x:f>
        <x:v>SR-F05</x:v>
      </x:c>
      <x:c r="F14" s="9" t="str">
        <x:f>IF('Evaluation Plan'!D14="Language robustness",'Evaluation Plan'!G14,IF('Evaluation Plan'!D14="Matched manipulation control",'Evaluation Plan'!G14,""))</x:f>
      </x:c>
      <x:c r="G14" s="10" t="str">
        <x:f>'Evaluation Plan'!H14</x:f>
        <x:v>Put the closed yellow-white striped cup in the bowl.</x:v>
      </x:c>
      <x:c r="H14" s="10" t="str">
        <x:f>'Evaluation Plan'!I14</x:f>
        <x:v>P1 yellow-white striped cup A (C, UR) [TARGET]; P2 yellow-white striped cup B (O, UR) [STATE COMPETITOR]; P3 white cup A (O, UR); P4 brown cup B (C, UD)</x:v>
      </x:c>
      <x:c r="I14" s="9" t="str">
        <x:f>'Evaluation Plan'!J14</x:f>
        <x:v>yellow-white striped cup A</x:v>
      </x:c>
      <x:c r="J14" s="9" t="str">
        <x:v>Not started</x:v>
      </x:c>
      <x:c r="K14" s="9"/>
      <x:c r="L14" s="9"/>
      <x:c r="M14" s="10"/>
    </x:row>
    <x:row r="15" ht="58" customHeight="1">
      <x:c r="A15" s="8" t="n">
        <x:f>'Evaluation Plan'!A15</x:f>
        <x:v>13</x:v>
      </x:c>
      <x:c r="B15" s="8" t="n">
        <x:f>'Evaluation Plan'!B15</x:f>
        <x:v>5</x:v>
      </x:c>
      <x:c r="C15" s="8" t="str">
        <x:f>'Evaluation Plan'!C15</x:f>
        <x:v>2 — Exact-scene paraphrase</x:v>
      </x:c>
      <x:c r="D15" s="8" t="str">
        <x:f>'Evaluation Plan'!D15</x:f>
        <x:v>Language robustness</x:v>
      </x:c>
      <x:c r="E15" s="8" t="str">
        <x:f>'Evaluation Plan'!F15</x:f>
        <x:v>SR-F05</x:v>
      </x:c>
      <x:c r="F15" s="8" t="n">
        <x:f>IF('Evaluation Plan'!D15="Language robustness",'Evaluation Plan'!G15,IF('Evaluation Plan'!D15="Matched manipulation control",'Evaluation Plan'!G15,""))</x:f>
        <x:v>12</x:v>
      </x:c>
      <x:c r="G15" s="7" t="str">
        <x:f>'Evaluation Plan'!H15</x:f>
        <x:v>Put the yellow-white striped cup with its opening covered in the bowl.</x:v>
      </x:c>
      <x:c r="H15" s="7" t="str">
        <x:f>'Evaluation Plan'!I15</x:f>
        <x:v>P1 yellow-white striped cup A (C, UR) [TARGET]; P2 yellow-white striped cup B (O, UR) [STATE COMPETITOR]; P3 white cup A (O, UR); P4 brown cup B (C, UD)</x:v>
      </x:c>
      <x:c r="I15" s="8" t="str">
        <x:f>'Evaluation Plan'!J15</x:f>
        <x:v>yellow-white striped cup A</x:v>
      </x:c>
      <x:c r="J15" s="8" t="str">
        <x:v>Not started</x:v>
      </x:c>
      <x:c r="K15" s="8"/>
      <x:c r="L15" s="8"/>
      <x:c r="M15" s="7"/>
    </x:row>
    <x:row r="16" ht="58" customHeight="1">
      <x:c r="A16" s="8" t="n">
        <x:f>'Evaluation Plan'!A16</x:f>
        <x:v>14</x:v>
      </x:c>
      <x:c r="B16" s="8" t="n">
        <x:f>'Evaluation Plan'!B16</x:f>
        <x:v>5</x:v>
      </x:c>
      <x:c r="C16" s="8" t="str">
        <x:f>'Evaluation Plan'!C16</x:f>
        <x:v>3 — Matched control</x:v>
      </x:c>
      <x:c r="D16" s="8" t="str">
        <x:f>'Evaluation Plan'!D16</x:f>
        <x:v>Matched manipulation control</x:v>
      </x:c>
      <x:c r="E16" s="8" t="str">
        <x:f>'Evaluation Plan'!F16</x:f>
        <x:v>SR-F05</x:v>
      </x:c>
      <x:c r="F16" s="8" t="n">
        <x:f>IF('Evaluation Plan'!D16="Language robustness",'Evaluation Plan'!G16,IF('Evaluation Plan'!D16="Matched manipulation control",'Evaluation Plan'!G16,""))</x:f>
        <x:v>12</x:v>
      </x:c>
      <x:c r="G16" s="7" t="str">
        <x:f>'Evaluation Plan'!H16</x:f>
        <x:v>Put the yellow-white striped cup in the bowl.</x:v>
      </x:c>
      <x:c r="H16" s="7" t="str">
        <x:f>'Evaluation Plan'!I16</x:f>
        <x:v>P1 yellow-white striped cup A (C, UR) [TARGET]; P3 white cup A (O, UR); P4 brown cup B (C, UD)</x:v>
      </x:c>
      <x:c r="I16" s="8" t="str">
        <x:f>'Evaluation Plan'!J16</x:f>
        <x:v>yellow-white striped cup A</x:v>
      </x:c>
      <x:c r="J16" s="8" t="str">
        <x:v>Not started</x:v>
      </x:c>
      <x:c r="K16" s="8"/>
      <x:c r="L16" s="8"/>
      <x:c r="M16" s="7"/>
    </x:row>
    <x:row r="17" ht="58" customHeight="1">
      <x:c r="A17" s="9" t="n">
        <x:f>'Evaluation Plan'!A17</x:f>
        <x:v>15</x:v>
      </x:c>
      <x:c r="B17" s="9" t="n">
        <x:f>'Evaluation Plan'!B17</x:f>
        <x:v>6</x:v>
      </x:c>
      <x:c r="C17" s="9" t="str">
        <x:f>'Evaluation Plan'!C17</x:f>
        <x:v>1 — Canonical transfer</x:v>
      </x:c>
      <x:c r="D17" s="9" t="str">
        <x:f>'Evaluation Plan'!D17</x:f>
        <x:v>Concept/compositional transfer</x:v>
      </x:c>
      <x:c r="E17" s="9" t="str">
        <x:f>'Evaluation Plan'!F17</x:f>
        <x:v>SR-F06</x:v>
      </x:c>
      <x:c r="F17" s="9" t="str">
        <x:f>IF('Evaluation Plan'!D17="Language robustness",'Evaluation Plan'!G17,IF('Evaluation Plan'!D17="Matched manipulation control",'Evaluation Plan'!G17,""))</x:f>
      </x:c>
      <x:c r="G17" s="10" t="str">
        <x:f>'Evaluation Plan'!H17</x:f>
        <x:v>Move the open brown cup into the bowl.</x:v>
      </x:c>
      <x:c r="H17" s="10" t="str">
        <x:f>'Evaluation Plan'!I17</x:f>
        <x:v>P1 white cup B (C, UD); P2 brown cup B (O, UD) [TARGET]; P3 brown cup A (C, UD) [STATE COMPETITOR]; P4 yellow-white striped cup A (O, UR)</x:v>
      </x:c>
      <x:c r="I17" s="9" t="str">
        <x:f>'Evaluation Plan'!J17</x:f>
        <x:v>brown cup B</x:v>
      </x:c>
      <x:c r="J17" s="9" t="str">
        <x:v>Not started</x:v>
      </x:c>
      <x:c r="K17" s="9"/>
      <x:c r="L17" s="9"/>
      <x:c r="M17" s="10"/>
    </x:row>
    <x:row r="18" ht="58" customHeight="1">
      <x:c r="A18" s="8" t="n">
        <x:f>'Evaluation Plan'!A18</x:f>
        <x:v>16</x:v>
      </x:c>
      <x:c r="B18" s="8" t="n">
        <x:f>'Evaluation Plan'!B18</x:f>
        <x:v>6</x:v>
      </x:c>
      <x:c r="C18" s="8" t="str">
        <x:f>'Evaluation Plan'!C18</x:f>
        <x:v>2 — Exact-scene paraphrase</x:v>
      </x:c>
      <x:c r="D18" s="8" t="str">
        <x:f>'Evaluation Plan'!D18</x:f>
        <x:v>Language robustness</x:v>
      </x:c>
      <x:c r="E18" s="8" t="str">
        <x:f>'Evaluation Plan'!F18</x:f>
        <x:v>SR-F06</x:v>
      </x:c>
      <x:c r="F18" s="8" t="n">
        <x:f>IF('Evaluation Plan'!D18="Language robustness",'Evaluation Plan'!G18,IF('Evaluation Plan'!D18="Matched manipulation control",'Evaluation Plan'!G18,""))</x:f>
        <x:v>15</x:v>
      </x:c>
      <x:c r="G18" s="7" t="str">
        <x:f>'Evaluation Plan'!H18</x:f>
        <x:v>Put the brown cup with its opening uncovered in the bowl.</x:v>
      </x:c>
      <x:c r="H18" s="7" t="str">
        <x:f>'Evaluation Plan'!I18</x:f>
        <x:v>P1 white cup B (C, UD); P2 brown cup B (O, UD) [TARGET]; P3 brown cup A (C, UD) [STATE COMPETITOR]; P4 yellow-white striped cup A (O, UR)</x:v>
      </x:c>
      <x:c r="I18" s="8" t="str">
        <x:f>'Evaluation Plan'!J18</x:f>
        <x:v>brown cup B</x:v>
      </x:c>
      <x:c r="J18" s="8" t="str">
        <x:v>Not started</x:v>
      </x:c>
      <x:c r="K18" s="8"/>
      <x:c r="L18" s="8"/>
      <x:c r="M18" s="7"/>
    </x:row>
    <x:row r="19" ht="58" customHeight="1">
      <x:c r="A19" s="8" t="n">
        <x:f>'Evaluation Plan'!A19</x:f>
        <x:v>17</x:v>
      </x:c>
      <x:c r="B19" s="8" t="n">
        <x:f>'Evaluation Plan'!B19</x:f>
        <x:v>6</x:v>
      </x:c>
      <x:c r="C19" s="8" t="str">
        <x:f>'Evaluation Plan'!C19</x:f>
        <x:v>3 — Matched control</x:v>
      </x:c>
      <x:c r="D19" s="8" t="str">
        <x:f>'Evaluation Plan'!D19</x:f>
        <x:v>Matched manipulation control</x:v>
      </x:c>
      <x:c r="E19" s="8" t="str">
        <x:f>'Evaluation Plan'!F19</x:f>
        <x:v>SR-F06</x:v>
      </x:c>
      <x:c r="F19" s="8" t="n">
        <x:f>IF('Evaluation Plan'!D19="Language robustness",'Evaluation Plan'!G19,IF('Evaluation Plan'!D19="Matched manipulation control",'Evaluation Plan'!G19,""))</x:f>
        <x:v>15</x:v>
      </x:c>
      <x:c r="G19" s="7" t="str">
        <x:f>'Evaluation Plan'!H19</x:f>
        <x:v>Move the brown cup into the bowl.</x:v>
      </x:c>
      <x:c r="H19" s="7" t="str">
        <x:f>'Evaluation Plan'!I19</x:f>
        <x:v>P1 white cup B (C, UD); P2 brown cup B (O, UD) [TARGET]; P4 yellow-white striped cup A (O, UR)</x:v>
      </x:c>
      <x:c r="I19" s="8" t="str">
        <x:f>'Evaluation Plan'!J19</x:f>
        <x:v>brown cup B</x:v>
      </x:c>
      <x:c r="J19" s="8" t="str">
        <x:v>Not started</x:v>
      </x:c>
      <x:c r="K19" s="8"/>
      <x:c r="L19" s="8"/>
      <x:c r="M19" s="7"/>
    </x:row>
    <x:row r="20" ht="58" customHeight="1">
      <x:c r="A20" s="9" t="n">
        <x:f>'Evaluation Plan'!A20</x:f>
        <x:v>18</x:v>
      </x:c>
      <x:c r="B20" s="9" t="n">
        <x:f>'Evaluation Plan'!B20</x:f>
        <x:v>7</x:v>
      </x:c>
      <x:c r="C20" s="9" t="str">
        <x:f>'Evaluation Plan'!C20</x:f>
        <x:v>1 — Canonical transfer</x:v>
      </x:c>
      <x:c r="D20" s="9" t="str">
        <x:f>'Evaluation Plan'!D20</x:f>
        <x:v>Concept/compositional transfer</x:v>
      </x:c>
      <x:c r="E20" s="9" t="str">
        <x:f>'Evaluation Plan'!F20</x:f>
        <x:v>SR-F07</x:v>
      </x:c>
      <x:c r="F20" s="9" t="str">
        <x:f>IF('Evaluation Plan'!D20="Language robustness",'Evaluation Plan'!G20,IF('Evaluation Plan'!D20="Matched manipulation control",'Evaluation Plan'!G20,""))</x:f>
      </x:c>
      <x:c r="G20" s="10" t="str">
        <x:f>'Evaluation Plan'!H20</x:f>
        <x:v>Place the upright glass spice container in the bowl.</x:v>
      </x:c>
      <x:c r="H20" s="10" t="str">
        <x:f>'Evaluation Plan'!I20</x:f>
        <x:v>P1 white cup A (O, UR); P2 yellow-white striped cup B (C, UD); P3 glass spice container A (O, UR) [TARGET]; P4 glass spice container B (O, UD) [STATE COMPETITOR]</x:v>
      </x:c>
      <x:c r="I20" s="9" t="str">
        <x:f>'Evaluation Plan'!J20</x:f>
        <x:v>glass spice container A</x:v>
      </x:c>
      <x:c r="J20" s="9" t="str">
        <x:v>Not started</x:v>
      </x:c>
      <x:c r="K20" s="9"/>
      <x:c r="L20" s="9"/>
      <x:c r="M20" s="10"/>
    </x:row>
    <x:row r="21" ht="58" customHeight="1">
      <x:c r="A21" s="8" t="n">
        <x:f>'Evaluation Plan'!A21</x:f>
        <x:v>19</x:v>
      </x:c>
      <x:c r="B21" s="8" t="n">
        <x:f>'Evaluation Plan'!B21</x:f>
        <x:v>7</x:v>
      </x:c>
      <x:c r="C21" s="8" t="str">
        <x:f>'Evaluation Plan'!C21</x:f>
        <x:v>2 — Exact-scene paraphrase</x:v>
      </x:c>
      <x:c r="D21" s="8" t="str">
        <x:f>'Evaluation Plan'!D21</x:f>
        <x:v>Language robustness</x:v>
      </x:c>
      <x:c r="E21" s="8" t="str">
        <x:f>'Evaluation Plan'!F21</x:f>
        <x:v>SR-F07</x:v>
      </x:c>
      <x:c r="F21" s="8" t="n">
        <x:f>IF('Evaluation Plan'!D21="Language robustness",'Evaluation Plan'!G21,IF('Evaluation Plan'!D21="Matched manipulation control",'Evaluation Plan'!G21,""))</x:f>
        <x:v>18</x:v>
      </x:c>
      <x:c r="G21" s="7" t="str">
        <x:f>'Evaluation Plan'!H21</x:f>
        <x:v>Put the right-side-up glass spice container in the bowl.</x:v>
      </x:c>
      <x:c r="H21" s="7" t="str">
        <x:f>'Evaluation Plan'!I21</x:f>
        <x:v>P1 white cup A (O, UR); P2 yellow-white striped cup B (C, UD); P3 glass spice container A (O, UR) [TARGET]; P4 glass spice container B (O, UD) [STATE COMPETITOR]</x:v>
      </x:c>
      <x:c r="I21" s="8" t="str">
        <x:f>'Evaluation Plan'!J21</x:f>
        <x:v>glass spice container A</x:v>
      </x:c>
      <x:c r="J21" s="8" t="str">
        <x:v>Not started</x:v>
      </x:c>
      <x:c r="K21" s="8"/>
      <x:c r="L21" s="8"/>
      <x:c r="M21" s="7"/>
    </x:row>
    <x:row r="22" ht="58" customHeight="1">
      <x:c r="A22" s="8" t="n">
        <x:f>'Evaluation Plan'!A22</x:f>
        <x:v>20</x:v>
      </x:c>
      <x:c r="B22" s="8" t="n">
        <x:f>'Evaluation Plan'!B22</x:f>
        <x:v>7</x:v>
      </x:c>
      <x:c r="C22" s="8" t="str">
        <x:f>'Evaluation Plan'!C22</x:f>
        <x:v>3 — Matched control</x:v>
      </x:c>
      <x:c r="D22" s="8" t="str">
        <x:f>'Evaluation Plan'!D22</x:f>
        <x:v>Matched manipulation control</x:v>
      </x:c>
      <x:c r="E22" s="8" t="str">
        <x:f>'Evaluation Plan'!F22</x:f>
        <x:v>SR-F07</x:v>
      </x:c>
      <x:c r="F22" s="8" t="n">
        <x:f>IF('Evaluation Plan'!D22="Language robustness",'Evaluation Plan'!G22,IF('Evaluation Plan'!D22="Matched manipulation control",'Evaluation Plan'!G22,""))</x:f>
        <x:v>18</x:v>
      </x:c>
      <x:c r="G22" s="7" t="str">
        <x:f>'Evaluation Plan'!H22</x:f>
        <x:v>Place the glass spice container in the bowl.</x:v>
      </x:c>
      <x:c r="H22" s="7" t="str">
        <x:f>'Evaluation Plan'!I22</x:f>
        <x:v>P1 white cup A (O, UR); P2 yellow-white striped cup B (C, UD); P3 glass spice container A (O, UR) [TARGET]</x:v>
      </x:c>
      <x:c r="I22" s="8" t="str">
        <x:f>'Evaluation Plan'!J22</x:f>
        <x:v>glass spice container A</x:v>
      </x:c>
      <x:c r="J22" s="8" t="str">
        <x:v>Not started</x:v>
      </x:c>
      <x:c r="K22" s="8"/>
      <x:c r="L22" s="8"/>
      <x:c r="M22" s="7"/>
    </x:row>
    <x:row r="23" ht="58" customHeight="1">
      <x:c r="A23" s="9" t="n">
        <x:f>'Evaluation Plan'!A23</x:f>
        <x:v>21</x:v>
      </x:c>
      <x:c r="B23" s="9" t="n">
        <x:f>'Evaluation Plan'!B23</x:f>
        <x:v>8</x:v>
      </x:c>
      <x:c r="C23" s="9" t="str">
        <x:f>'Evaluation Plan'!C23</x:f>
        <x:v>1 — Canonical transfer</x:v>
      </x:c>
      <x:c r="D23" s="9" t="str">
        <x:f>'Evaluation Plan'!D23</x:f>
        <x:v>Concept/compositional transfer</x:v>
      </x:c>
      <x:c r="E23" s="9" t="str">
        <x:f>'Evaluation Plan'!F23</x:f>
        <x:v>SR-F08</x:v>
      </x:c>
      <x:c r="F23" s="9" t="str">
        <x:f>IF('Evaluation Plan'!D23="Language robustness",'Evaluation Plan'!G23,IF('Evaluation Plan'!D23="Matched manipulation control",'Evaluation Plan'!G23,""))</x:f>
      </x:c>
      <x:c r="G23" s="10" t="str">
        <x:f>'Evaluation Plan'!H23</x:f>
        <x:v>Put the upside-down white cup in the bowl.</x:v>
      </x:c>
      <x:c r="H23" s="10" t="str">
        <x:f>'Evaluation Plan'!I23</x:f>
        <x:v>P1 white cup A (C, UR) [STATE COMPETITOR]; P2 yellow-white striped cup A (O, UR); P3 brown cup B (C, UD); P4 white cup B (C, UD) [TARGET]</x:v>
      </x:c>
      <x:c r="I23" s="9" t="str">
        <x:f>'Evaluation Plan'!J23</x:f>
        <x:v>white cup B</x:v>
      </x:c>
      <x:c r="J23" s="9" t="str">
        <x:v>Not started</x:v>
      </x:c>
      <x:c r="K23" s="9"/>
      <x:c r="L23" s="9"/>
      <x:c r="M23" s="10"/>
    </x:row>
    <x:row r="24" ht="58" customHeight="1">
      <x:c r="A24" s="8" t="n">
        <x:f>'Evaluation Plan'!A24</x:f>
        <x:v>22</x:v>
      </x:c>
      <x:c r="B24" s="8" t="n">
        <x:f>'Evaluation Plan'!B24</x:f>
        <x:v>8</x:v>
      </x:c>
      <x:c r="C24" s="8" t="str">
        <x:f>'Evaluation Plan'!C24</x:f>
        <x:v>2 — Exact-scene paraphrase</x:v>
      </x:c>
      <x:c r="D24" s="8" t="str">
        <x:f>'Evaluation Plan'!D24</x:f>
        <x:v>Language robustness</x:v>
      </x:c>
      <x:c r="E24" s="8" t="str">
        <x:f>'Evaluation Plan'!F24</x:f>
        <x:v>SR-F08</x:v>
      </x:c>
      <x:c r="F24" s="8" t="n">
        <x:f>IF('Evaluation Plan'!D24="Language robustness",'Evaluation Plan'!G24,IF('Evaluation Plan'!D24="Matched manipulation control",'Evaluation Plan'!G24,""))</x:f>
        <x:v>21</x:v>
      </x:c>
      <x:c r="G24" s="7" t="str">
        <x:f>'Evaluation Plan'!H24</x:f>
        <x:v>Put the inverted white cup in the bowl.</x:v>
      </x:c>
      <x:c r="H24" s="7" t="str">
        <x:f>'Evaluation Plan'!I24</x:f>
        <x:v>P1 white cup A (C, UR) [STATE COMPETITOR]; P2 yellow-white striped cup A (O, UR); P3 brown cup B (C, UD); P4 white cup B (C, UD) [TARGET]</x:v>
      </x:c>
      <x:c r="I24" s="8" t="str">
        <x:f>'Evaluation Plan'!J24</x:f>
        <x:v>white cup B</x:v>
      </x:c>
      <x:c r="J24" s="8" t="str">
        <x:v>Not started</x:v>
      </x:c>
      <x:c r="K24" s="8"/>
      <x:c r="L24" s="8"/>
      <x:c r="M24" s="7"/>
    </x:row>
    <x:row r="25" ht="58" customHeight="1">
      <x:c r="A25" s="8" t="n">
        <x:f>'Evaluation Plan'!A25</x:f>
        <x:v>23</x:v>
      </x:c>
      <x:c r="B25" s="8" t="n">
        <x:f>'Evaluation Plan'!B25</x:f>
        <x:v>8</x:v>
      </x:c>
      <x:c r="C25" s="8" t="str">
        <x:f>'Evaluation Plan'!C25</x:f>
        <x:v>3 — Matched control</x:v>
      </x:c>
      <x:c r="D25" s="8" t="str">
        <x:f>'Evaluation Plan'!D25</x:f>
        <x:v>Matched manipulation control</x:v>
      </x:c>
      <x:c r="E25" s="8" t="str">
        <x:f>'Evaluation Plan'!F25</x:f>
        <x:v>SR-F08</x:v>
      </x:c>
      <x:c r="F25" s="8" t="n">
        <x:f>IF('Evaluation Plan'!D25="Language robustness",'Evaluation Plan'!G25,IF('Evaluation Plan'!D25="Matched manipulation control",'Evaluation Plan'!G25,""))</x:f>
        <x:v>21</x:v>
      </x:c>
      <x:c r="G25" s="7" t="str">
        <x:f>'Evaluation Plan'!H25</x:f>
        <x:v>Put the white cup in the bowl.</x:v>
      </x:c>
      <x:c r="H25" s="7" t="str">
        <x:f>'Evaluation Plan'!I25</x:f>
        <x:v>P2 yellow-white striped cup A (O, UR); P3 brown cup B (C, UD); P4 white cup B (C, UD) [TARGET]</x:v>
      </x:c>
      <x:c r="I25" s="8" t="str">
        <x:f>'Evaluation Plan'!J25</x:f>
        <x:v>white cup B</x:v>
      </x:c>
      <x:c r="J25" s="8" t="str">
        <x:v>Not started</x:v>
      </x:c>
      <x:c r="K25" s="8"/>
      <x:c r="L25" s="8"/>
      <x:c r="M25" s="7"/>
    </x:row>
    <x:row r="26" ht="58" customHeight="1">
      <x:c r="A26" s="9" t="n">
        <x:f>'Evaluation Plan'!A26</x:f>
        <x:v>24</x:v>
      </x:c>
      <x:c r="B26" s="9" t="n">
        <x:f>'Evaluation Plan'!B26</x:f>
        <x:v>9</x:v>
      </x:c>
      <x:c r="C26" s="9" t="str">
        <x:f>'Evaluation Plan'!C26</x:f>
        <x:v>1 — Canonical transfer</x:v>
      </x:c>
      <x:c r="D26" s="9" t="str">
        <x:f>'Evaluation Plan'!D26</x:f>
        <x:v>Concept/compositional transfer</x:v>
      </x:c>
      <x:c r="E26" s="9" t="str">
        <x:f>'Evaluation Plan'!F26</x:f>
        <x:v>SR-F09</x:v>
      </x:c>
      <x:c r="F26" s="9" t="str">
        <x:f>IF('Evaluation Plan'!D26="Language robustness",'Evaluation Plan'!G26,IF('Evaluation Plan'!D26="Matched manipulation control",'Evaluation Plan'!G26,""))</x:f>
      </x:c>
      <x:c r="G26" s="10" t="str">
        <x:f>'Evaluation Plan'!H26</x:f>
        <x:v>Move the closed brown cup into the bowl.</x:v>
      </x:c>
      <x:c r="H26" s="10" t="str">
        <x:f>'Evaluation Plan'!I26</x:f>
        <x:v>P1 brown cup A (C, UR) [TARGET]; P2 brown cup B (O, UR) [STATE COMPETITOR]; P3 white cup A (O, UR); P4 yellow-white striped cup B (C, UD)</x:v>
      </x:c>
      <x:c r="I26" s="9" t="str">
        <x:f>'Evaluation Plan'!J26</x:f>
        <x:v>brown cup A</x:v>
      </x:c>
      <x:c r="J26" s="9" t="str">
        <x:v>Not started</x:v>
      </x:c>
      <x:c r="K26" s="9"/>
      <x:c r="L26" s="9"/>
      <x:c r="M26" s="10"/>
    </x:row>
    <x:row r="27" ht="58" customHeight="1">
      <x:c r="A27" s="8" t="n">
        <x:f>'Evaluation Plan'!A27</x:f>
        <x:v>25</x:v>
      </x:c>
      <x:c r="B27" s="8" t="n">
        <x:f>'Evaluation Plan'!B27</x:f>
        <x:v>9</x:v>
      </x:c>
      <x:c r="C27" s="8" t="str">
        <x:f>'Evaluation Plan'!C27</x:f>
        <x:v>2 — Exact-scene paraphrase</x:v>
      </x:c>
      <x:c r="D27" s="8" t="str">
        <x:f>'Evaluation Plan'!D27</x:f>
        <x:v>Language robustness</x:v>
      </x:c>
      <x:c r="E27" s="8" t="str">
        <x:f>'Evaluation Plan'!F27</x:f>
        <x:v>SR-F09</x:v>
      </x:c>
      <x:c r="F27" s="8" t="n">
        <x:f>IF('Evaluation Plan'!D27="Language robustness",'Evaluation Plan'!G27,IF('Evaluation Plan'!D27="Matched manipulation control",'Evaluation Plan'!G27,""))</x:f>
        <x:v>24</x:v>
      </x:c>
      <x:c r="G27" s="7" t="str">
        <x:f>'Evaluation Plan'!H27</x:f>
        <x:v>Find the closed brown cup and place it in the bowl.</x:v>
      </x:c>
      <x:c r="H27" s="7" t="str">
        <x:f>'Evaluation Plan'!I27</x:f>
        <x:v>P1 brown cup A (C, UR) [TARGET]; P2 brown cup B (O, UR) [STATE COMPETITOR]; P3 white cup A (O, UR); P4 yellow-white striped cup B (C, UD)</x:v>
      </x:c>
      <x:c r="I27" s="8" t="str">
        <x:f>'Evaluation Plan'!J27</x:f>
        <x:v>brown cup A</x:v>
      </x:c>
      <x:c r="J27" s="8" t="str">
        <x:v>Not started</x:v>
      </x:c>
      <x:c r="K27" s="8"/>
      <x:c r="L27" s="8"/>
      <x:c r="M27" s="7"/>
    </x:row>
    <x:row r="28" ht="58" customHeight="1">
      <x:c r="A28" s="8" t="n">
        <x:f>'Evaluation Plan'!A28</x:f>
        <x:v>26</x:v>
      </x:c>
      <x:c r="B28" s="8" t="n">
        <x:f>'Evaluation Plan'!B28</x:f>
        <x:v>9</x:v>
      </x:c>
      <x:c r="C28" s="8" t="str">
        <x:f>'Evaluation Plan'!C28</x:f>
        <x:v>3 — Matched control</x:v>
      </x:c>
      <x:c r="D28" s="8" t="str">
        <x:f>'Evaluation Plan'!D28</x:f>
        <x:v>Matched manipulation control</x:v>
      </x:c>
      <x:c r="E28" s="8" t="str">
        <x:f>'Evaluation Plan'!F28</x:f>
        <x:v>SR-F09</x:v>
      </x:c>
      <x:c r="F28" s="8" t="n">
        <x:f>IF('Evaluation Plan'!D28="Language robustness",'Evaluation Plan'!G28,IF('Evaluation Plan'!D28="Matched manipulation control",'Evaluation Plan'!G28,""))</x:f>
        <x:v>24</x:v>
      </x:c>
      <x:c r="G28" s="7" t="str">
        <x:f>'Evaluation Plan'!H28</x:f>
        <x:v>Move the brown cup into the bowl.</x:v>
      </x:c>
      <x:c r="H28" s="7" t="str">
        <x:f>'Evaluation Plan'!I28</x:f>
        <x:v>P1 brown cup A (C, UR) [TARGET]; P3 white cup A (O, UR); P4 yellow-white striped cup B (C, UD)</x:v>
      </x:c>
      <x:c r="I28" s="8" t="str">
        <x:f>'Evaluation Plan'!J28</x:f>
        <x:v>brown cup A</x:v>
      </x:c>
      <x:c r="J28" s="8" t="str">
        <x:v>Not started</x:v>
      </x:c>
      <x:c r="K28" s="8"/>
      <x:c r="L28" s="8"/>
      <x:c r="M28" s="7"/>
    </x:row>
    <x:row r="29" ht="58" customHeight="1">
      <x:c r="A29" s="9" t="n">
        <x:f>'Evaluation Plan'!A29</x:f>
        <x:v>27</x:v>
      </x:c>
      <x:c r="B29" s="9" t="n">
        <x:f>'Evaluation Plan'!B29</x:f>
        <x:v>10</x:v>
      </x:c>
      <x:c r="C29" s="9" t="str">
        <x:f>'Evaluation Plan'!C29</x:f>
        <x:v>1 — Canonical transfer</x:v>
      </x:c>
      <x:c r="D29" s="9" t="str">
        <x:f>'Evaluation Plan'!D29</x:f>
        <x:v>Concept/compositional transfer</x:v>
      </x:c>
      <x:c r="E29" s="9" t="str">
        <x:f>'Evaluation Plan'!F29</x:f>
        <x:v>SR-F10</x:v>
      </x:c>
      <x:c r="F29" s="9" t="str">
        <x:f>IF('Evaluation Plan'!D29="Language robustness",'Evaluation Plan'!G29,IF('Evaluation Plan'!D29="Matched manipulation control",'Evaluation Plan'!G29,""))</x:f>
      </x:c>
      <x:c r="G29" s="10" t="str">
        <x:f>'Evaluation Plan'!H29</x:f>
        <x:v>Place the open glass spice container in the bowl.</x:v>
      </x:c>
      <x:c r="H29" s="10" t="str">
        <x:f>'Evaluation Plan'!I29</x:f>
        <x:v>P1 white cup B (C, UD); P2 glass spice container B (O, UD) [TARGET]; P3 glass spice container A (C, UD) [STATE COMPETITOR]; P4 yellow-white striped cup A (O, UR)</x:v>
      </x:c>
      <x:c r="I29" s="9" t="str">
        <x:f>'Evaluation Plan'!J29</x:f>
        <x:v>glass spice container B</x:v>
      </x:c>
      <x:c r="J29" s="9" t="str">
        <x:v>Not started</x:v>
      </x:c>
      <x:c r="K29" s="9"/>
      <x:c r="L29" s="9"/>
      <x:c r="M29" s="10"/>
    </x:row>
    <x:row r="30" ht="58" customHeight="1">
      <x:c r="A30" s="8" t="n">
        <x:f>'Evaluation Plan'!A30</x:f>
        <x:v>28</x:v>
      </x:c>
      <x:c r="B30" s="8" t="n">
        <x:f>'Evaluation Plan'!B30</x:f>
        <x:v>10</x:v>
      </x:c>
      <x:c r="C30" s="8" t="str">
        <x:f>'Evaluation Plan'!C30</x:f>
        <x:v>2 — Exact-scene paraphrase</x:v>
      </x:c>
      <x:c r="D30" s="8" t="str">
        <x:f>'Evaluation Plan'!D30</x:f>
        <x:v>Language robustness</x:v>
      </x:c>
      <x:c r="E30" s="8" t="str">
        <x:f>'Evaluation Plan'!F30</x:f>
        <x:v>SR-F10</x:v>
      </x:c>
      <x:c r="F30" s="8" t="n">
        <x:f>IF('Evaluation Plan'!D30="Language robustness",'Evaluation Plan'!G30,IF('Evaluation Plan'!D30="Matched manipulation control",'Evaluation Plan'!G30,""))</x:f>
        <x:v>27</x:v>
      </x:c>
      <x:c r="G30" s="7" t="str">
        <x:f>'Evaluation Plan'!H30</x:f>
        <x:v>Find the open glass spice container and place it in the bowl.</x:v>
      </x:c>
      <x:c r="H30" s="7" t="str">
        <x:f>'Evaluation Plan'!I30</x:f>
        <x:v>P1 white cup B (C, UD); P2 glass spice container B (O, UD) [TARGET]; P3 glass spice container A (C, UD) [STATE COMPETITOR]; P4 yellow-white striped cup A (O, UR)</x:v>
      </x:c>
      <x:c r="I30" s="8" t="str">
        <x:f>'Evaluation Plan'!J30</x:f>
        <x:v>glass spice container B</x:v>
      </x:c>
      <x:c r="J30" s="8" t="str">
        <x:v>Not started</x:v>
      </x:c>
      <x:c r="K30" s="8"/>
      <x:c r="L30" s="8"/>
      <x:c r="M30" s="7"/>
    </x:row>
    <x:row r="31" ht="58" customHeight="1">
      <x:c r="A31" s="8" t="n">
        <x:f>'Evaluation Plan'!A31</x:f>
        <x:v>29</x:v>
      </x:c>
      <x:c r="B31" s="8" t="n">
        <x:f>'Evaluation Plan'!B31</x:f>
        <x:v>10</x:v>
      </x:c>
      <x:c r="C31" s="8" t="str">
        <x:f>'Evaluation Plan'!C31</x:f>
        <x:v>3 — Matched control</x:v>
      </x:c>
      <x:c r="D31" s="8" t="str">
        <x:f>'Evaluation Plan'!D31</x:f>
        <x:v>Matched manipulation control</x:v>
      </x:c>
      <x:c r="E31" s="8" t="str">
        <x:f>'Evaluation Plan'!F31</x:f>
        <x:v>SR-F10</x:v>
      </x:c>
      <x:c r="F31" s="8" t="n">
        <x:f>IF('Evaluation Plan'!D31="Language robustness",'Evaluation Plan'!G31,IF('Evaluation Plan'!D31="Matched manipulation control",'Evaluation Plan'!G31,""))</x:f>
        <x:v>27</x:v>
      </x:c>
      <x:c r="G31" s="7" t="str">
        <x:f>'Evaluation Plan'!H31</x:f>
        <x:v>Place the glass spice container in the bowl.</x:v>
      </x:c>
      <x:c r="H31" s="7" t="str">
        <x:f>'Evaluation Plan'!I31</x:f>
        <x:v>P1 white cup B (C, UD); P2 glass spice container B (O, UD) [TARGET]; P4 yellow-white striped cup A (O, UR)</x:v>
      </x:c>
      <x:c r="I31" s="8" t="str">
        <x:f>'Evaluation Plan'!J31</x:f>
        <x:v>glass spice container B</x:v>
      </x:c>
      <x:c r="J31" s="8" t="str">
        <x:v>Not started</x:v>
      </x:c>
      <x:c r="K31" s="8"/>
      <x:c r="L31" s="8"/>
      <x:c r="M31" s="7"/>
    </x:row>
    <x:row r="32" ht="58" customHeight="1">
      <x:c r="A32" s="9" t="n">
        <x:f>'Evaluation Plan'!A32</x:f>
        <x:v>30</x:v>
      </x:c>
      <x:c r="B32" s="9" t="n">
        <x:f>'Evaluation Plan'!B32</x:f>
        <x:v>11</x:v>
      </x:c>
      <x:c r="C32" s="9" t="str">
        <x:f>'Evaluation Plan'!C32</x:f>
        <x:v>1 — Canonical transfer</x:v>
      </x:c>
      <x:c r="D32" s="9" t="str">
        <x:f>'Evaluation Plan'!D32</x:f>
        <x:v>Concept/compositional transfer</x:v>
      </x:c>
      <x:c r="E32" s="9" t="str">
        <x:f>'Evaluation Plan'!F32</x:f>
        <x:v>SR-F11</x:v>
      </x:c>
      <x:c r="F32" s="9" t="str">
        <x:f>IF('Evaluation Plan'!D32="Language robustness",'Evaluation Plan'!G32,IF('Evaluation Plan'!D32="Matched manipulation control",'Evaluation Plan'!G32,""))</x:f>
      </x:c>
      <x:c r="G32" s="10" t="str">
        <x:f>'Evaluation Plan'!H32</x:f>
        <x:v>Put the upright white cup in the bowl.</x:v>
      </x:c>
      <x:c r="H32" s="10" t="str">
        <x:f>'Evaluation Plan'!I32</x:f>
        <x:v>P1 yellow-white striped cup A (O, UR); P2 brown cup B (C, UD); P3 white cup A (O, UR) [TARGET]; P4 white cup B (O, UD) [STATE COMPETITOR]</x:v>
      </x:c>
      <x:c r="I32" s="9" t="str">
        <x:f>'Evaluation Plan'!J32</x:f>
        <x:v>white cup A</x:v>
      </x:c>
      <x:c r="J32" s="9" t="str">
        <x:v>Not started</x:v>
      </x:c>
      <x:c r="K32" s="9"/>
      <x:c r="L32" s="9"/>
      <x:c r="M32" s="10"/>
    </x:row>
    <x:row r="33" ht="58" customHeight="1">
      <x:c r="A33" s="8" t="n">
        <x:f>'Evaluation Plan'!A33</x:f>
        <x:v>31</x:v>
      </x:c>
      <x:c r="B33" s="8" t="n">
        <x:f>'Evaluation Plan'!B33</x:f>
        <x:v>11</x:v>
      </x:c>
      <x:c r="C33" s="8" t="str">
        <x:f>'Evaluation Plan'!C33</x:f>
        <x:v>2 — Exact-scene paraphrase</x:v>
      </x:c>
      <x:c r="D33" s="8" t="str">
        <x:f>'Evaluation Plan'!D33</x:f>
        <x:v>Language robustness</x:v>
      </x:c>
      <x:c r="E33" s="8" t="str">
        <x:f>'Evaluation Plan'!F33</x:f>
        <x:v>SR-F11</x:v>
      </x:c>
      <x:c r="F33" s="8" t="n">
        <x:f>IF('Evaluation Plan'!D33="Language robustness",'Evaluation Plan'!G33,IF('Evaluation Plan'!D33="Matched manipulation control",'Evaluation Plan'!G33,""))</x:f>
        <x:v>30</x:v>
      </x:c>
      <x:c r="G33" s="7" t="str">
        <x:f>'Evaluation Plan'!H33</x:f>
        <x:v>Find the upright white cup and place it in the bowl.</x:v>
      </x:c>
      <x:c r="H33" s="7" t="str">
        <x:f>'Evaluation Plan'!I33</x:f>
        <x:v>P1 yellow-white striped cup A (O, UR); P2 brown cup B (C, UD); P3 white cup A (O, UR) [TARGET]; P4 white cup B (O, UD) [STATE COMPETITOR]</x:v>
      </x:c>
      <x:c r="I33" s="8" t="str">
        <x:f>'Evaluation Plan'!J33</x:f>
        <x:v>white cup A</x:v>
      </x:c>
      <x:c r="J33" s="8" t="str">
        <x:v>Not started</x:v>
      </x:c>
      <x:c r="K33" s="8"/>
      <x:c r="L33" s="8"/>
      <x:c r="M33" s="7"/>
    </x:row>
    <x:row r="34" ht="58" customHeight="1">
      <x:c r="A34" s="8" t="n">
        <x:f>'Evaluation Plan'!A34</x:f>
        <x:v>32</x:v>
      </x:c>
      <x:c r="B34" s="8" t="n">
        <x:f>'Evaluation Plan'!B34</x:f>
        <x:v>11</x:v>
      </x:c>
      <x:c r="C34" s="8" t="str">
        <x:f>'Evaluation Plan'!C34</x:f>
        <x:v>3 — Matched control</x:v>
      </x:c>
      <x:c r="D34" s="8" t="str">
        <x:f>'Evaluation Plan'!D34</x:f>
        <x:v>Matched manipulation control</x:v>
      </x:c>
      <x:c r="E34" s="8" t="str">
        <x:f>'Evaluation Plan'!F34</x:f>
        <x:v>SR-F11</x:v>
      </x:c>
      <x:c r="F34" s="8" t="n">
        <x:f>IF('Evaluation Plan'!D34="Language robustness",'Evaluation Plan'!G34,IF('Evaluation Plan'!D34="Matched manipulation control",'Evaluation Plan'!G34,""))</x:f>
        <x:v>30</x:v>
      </x:c>
      <x:c r="G34" s="7" t="str">
        <x:f>'Evaluation Plan'!H34</x:f>
        <x:v>Put the white cup in the bowl.</x:v>
      </x:c>
      <x:c r="H34" s="7" t="str">
        <x:f>'Evaluation Plan'!I34</x:f>
        <x:v>P1 yellow-white striped cup A (O, UR); P2 brown cup B (C, UD); P3 white cup A (O, UR) [TARGET]</x:v>
      </x:c>
      <x:c r="I34" s="8" t="str">
        <x:f>'Evaluation Plan'!J34</x:f>
        <x:v>white cup A</x:v>
      </x:c>
      <x:c r="J34" s="8" t="str">
        <x:v>Not started</x:v>
      </x:c>
      <x:c r="K34" s="8"/>
      <x:c r="L34" s="8"/>
      <x:c r="M34" s="7"/>
    </x:row>
    <x:row r="35" ht="58" customHeight="1">
      <x:c r="A35" s="9" t="n">
        <x:f>'Evaluation Plan'!A35</x:f>
        <x:v>33</x:v>
      </x:c>
      <x:c r="B35" s="9" t="n">
        <x:f>'Evaluation Plan'!B35</x:f>
        <x:v>12</x:v>
      </x:c>
      <x:c r="C35" s="9" t="str">
        <x:f>'Evaluation Plan'!C35</x:f>
        <x:v>1 — Canonical transfer</x:v>
      </x:c>
      <x:c r="D35" s="9" t="str">
        <x:f>'Evaluation Plan'!D35</x:f>
        <x:v>Concept/compositional transfer</x:v>
      </x:c>
      <x:c r="E35" s="9" t="str">
        <x:f>'Evaluation Plan'!F35</x:f>
        <x:v>SR-F12</x:v>
      </x:c>
      <x:c r="F35" s="9" t="str">
        <x:f>IF('Evaluation Plan'!D35="Language robustness",'Evaluation Plan'!G35,IF('Evaluation Plan'!D35="Matched manipulation control",'Evaluation Plan'!G35,""))</x:f>
      </x:c>
      <x:c r="G35" s="10" t="str">
        <x:f>'Evaluation Plan'!H35</x:f>
        <x:v>Move the upside-down yellow-white striped cup into the bowl.</x:v>
      </x:c>
      <x:c r="H35" s="10" t="str">
        <x:f>'Evaluation Plan'!I35</x:f>
        <x:v>P1 yellow-white striped cup A (C, UR) [STATE COMPETITOR]; P2 white cup A (O, UR); P3 brown cup B (C, UD); P4 yellow-white striped cup B (C, UD) [TARGET]</x:v>
      </x:c>
      <x:c r="I35" s="9" t="str">
        <x:f>'Evaluation Plan'!J35</x:f>
        <x:v>yellow-white striped cup B</x:v>
      </x:c>
      <x:c r="J35" s="9" t="str">
        <x:v>Not started</x:v>
      </x:c>
      <x:c r="K35" s="9"/>
      <x:c r="L35" s="9"/>
      <x:c r="M35" s="10"/>
    </x:row>
    <x:row r="36" ht="58" customHeight="1">
      <x:c r="A36" s="8" t="n">
        <x:f>'Evaluation Plan'!A36</x:f>
        <x:v>34</x:v>
      </x:c>
      <x:c r="B36" s="8" t="n">
        <x:f>'Evaluation Plan'!B36</x:f>
        <x:v>12</x:v>
      </x:c>
      <x:c r="C36" s="8" t="str">
        <x:f>'Evaluation Plan'!C36</x:f>
        <x:v>2 — Exact-scene paraphrase</x:v>
      </x:c>
      <x:c r="D36" s="8" t="str">
        <x:f>'Evaluation Plan'!D36</x:f>
        <x:v>Language robustness</x:v>
      </x:c>
      <x:c r="E36" s="8" t="str">
        <x:f>'Evaluation Plan'!F36</x:f>
        <x:v>SR-F12</x:v>
      </x:c>
      <x:c r="F36" s="8" t="n">
        <x:f>IF('Evaluation Plan'!D36="Language robustness",'Evaluation Plan'!G36,IF('Evaluation Plan'!D36="Matched manipulation control",'Evaluation Plan'!G36,""))</x:f>
        <x:v>33</x:v>
      </x:c>
      <x:c r="G36" s="7" t="str">
        <x:f>'Evaluation Plan'!H36</x:f>
        <x:v>Find the upside-down yellow-white striped cup and place it in the bowl.</x:v>
      </x:c>
      <x:c r="H36" s="7" t="str">
        <x:f>'Evaluation Plan'!I36</x:f>
        <x:v>P1 yellow-white striped cup A (C, UR) [STATE COMPETITOR]; P2 white cup A (O, UR); P3 brown cup B (C, UD); P4 yellow-white striped cup B (C, UD) [TARGET]</x:v>
      </x:c>
      <x:c r="I36" s="8" t="str">
        <x:f>'Evaluation Plan'!J36</x:f>
        <x:v>yellow-white striped cup B</x:v>
      </x:c>
      <x:c r="J36" s="8" t="str">
        <x:v>Not started</x:v>
      </x:c>
      <x:c r="K36" s="8"/>
      <x:c r="L36" s="8"/>
      <x:c r="M36" s="7"/>
    </x:row>
    <x:row r="37" ht="58" customHeight="1">
      <x:c r="A37" s="8" t="n">
        <x:f>'Evaluation Plan'!A37</x:f>
        <x:v>35</x:v>
      </x:c>
      <x:c r="B37" s="8" t="n">
        <x:f>'Evaluation Plan'!B37</x:f>
        <x:v>12</x:v>
      </x:c>
      <x:c r="C37" s="8" t="str">
        <x:f>'Evaluation Plan'!C37</x:f>
        <x:v>3 — Matched control</x:v>
      </x:c>
      <x:c r="D37" s="8" t="str">
        <x:f>'Evaluation Plan'!D37</x:f>
        <x:v>Matched manipulation control</x:v>
      </x:c>
      <x:c r="E37" s="8" t="str">
        <x:f>'Evaluation Plan'!F37</x:f>
        <x:v>SR-F12</x:v>
      </x:c>
      <x:c r="F37" s="8" t="n">
        <x:f>IF('Evaluation Plan'!D37="Language robustness",'Evaluation Plan'!G37,IF('Evaluation Plan'!D37="Matched manipulation control",'Evaluation Plan'!G37,""))</x:f>
        <x:v>33</x:v>
      </x:c>
      <x:c r="G37" s="7" t="str">
        <x:f>'Evaluation Plan'!H37</x:f>
        <x:v>Move the yellow-white striped cup into the bowl.</x:v>
      </x:c>
      <x:c r="H37" s="7" t="str">
        <x:f>'Evaluation Plan'!I37</x:f>
        <x:v>P2 white cup A (O, UR); P3 brown cup B (C, UD); P4 yellow-white striped cup B (C, UD) [TARGET]</x:v>
      </x:c>
      <x:c r="I37" s="8" t="str">
        <x:f>'Evaluation Plan'!J37</x:f>
        <x:v>yellow-white striped cup B</x:v>
      </x:c>
      <x:c r="J37" s="8" t="str">
        <x:v>Not started</x:v>
      </x:c>
      <x:c r="K37" s="8"/>
      <x:c r="L37" s="8"/>
      <x:c r="M37" s="7"/>
    </x:row>
    <x:row r="38" ht="58" customHeight="1">
      <x:c r="A38" s="9" t="n">
        <x:f>'Evaluation Plan'!A38</x:f>
        <x:v>36</x:v>
      </x:c>
      <x:c r="B38" s="9" t="n">
        <x:f>'Evaluation Plan'!B38</x:f>
        <x:v>13</x:v>
      </x:c>
      <x:c r="C38" s="9" t="str">
        <x:f>'Evaluation Plan'!C38</x:f>
        <x:v>1 — Canonical transfer</x:v>
      </x:c>
      <x:c r="D38" s="9" t="str">
        <x:f>'Evaluation Plan'!D38</x:f>
        <x:v>Concept/compositional transfer</x:v>
      </x:c>
      <x:c r="E38" s="9" t="str">
        <x:f>'Evaluation Plan'!F38</x:f>
        <x:v>SR-F13</x:v>
      </x:c>
      <x:c r="F38" s="9" t="str">
        <x:f>IF('Evaluation Plan'!D38="Language robustness",'Evaluation Plan'!G38,IF('Evaluation Plan'!D38="Matched manipulation control",'Evaluation Plan'!G38,""))</x:f>
      </x:c>
      <x:c r="G38" s="10" t="str">
        <x:f>'Evaluation Plan'!H38</x:f>
        <x:v>Place the closed glass spice container in the bowl.</x:v>
      </x:c>
      <x:c r="H38" s="10" t="str">
        <x:f>'Evaluation Plan'!I38</x:f>
        <x:v>P1 glass spice container A (C, UR) [TARGET]; P2 glass spice container B (O, UR) [STATE COMPETITOR]; P3 white cup A (O, UR); P4 yellow-white striped cup B (C, UD)</x:v>
      </x:c>
      <x:c r="I38" s="9" t="str">
        <x:f>'Evaluation Plan'!J38</x:f>
        <x:v>glass spice container A</x:v>
      </x:c>
      <x:c r="J38" s="9" t="str">
        <x:v>Not started</x:v>
      </x:c>
      <x:c r="K38" s="9"/>
      <x:c r="L38" s="9"/>
      <x:c r="M38" s="10"/>
    </x:row>
    <x:row r="39" ht="58" customHeight="1">
      <x:c r="A39" s="8" t="n">
        <x:f>'Evaluation Plan'!A39</x:f>
        <x:v>37</x:v>
      </x:c>
      <x:c r="B39" s="8" t="n">
        <x:f>'Evaluation Plan'!B39</x:f>
        <x:v>13</x:v>
      </x:c>
      <x:c r="C39" s="8" t="str">
        <x:f>'Evaluation Plan'!C39</x:f>
        <x:v>2 — Exact-scene paraphrase</x:v>
      </x:c>
      <x:c r="D39" s="8" t="str">
        <x:f>'Evaluation Plan'!D39</x:f>
        <x:v>Language robustness</x:v>
      </x:c>
      <x:c r="E39" s="8" t="str">
        <x:f>'Evaluation Plan'!F39</x:f>
        <x:v>SR-F13</x:v>
      </x:c>
      <x:c r="F39" s="8" t="n">
        <x:f>IF('Evaluation Plan'!D39="Language robustness",'Evaluation Plan'!G39,IF('Evaluation Plan'!D39="Matched manipulation control",'Evaluation Plan'!G39,""))</x:f>
        <x:v>36</x:v>
      </x:c>
      <x:c r="G39" s="7" t="str">
        <x:f>'Evaluation Plan'!H39</x:f>
        <x:v>Place the glass spice container that is not open in the bowl.</x:v>
      </x:c>
      <x:c r="H39" s="7" t="str">
        <x:f>'Evaluation Plan'!I39</x:f>
        <x:v>P1 glass spice container A (C, UR) [TARGET]; P2 glass spice container B (O, UR) [STATE COMPETITOR]; P3 white cup A (O, UR); P4 yellow-white striped cup B (C, UD)</x:v>
      </x:c>
      <x:c r="I39" s="8" t="str">
        <x:f>'Evaluation Plan'!J39</x:f>
        <x:v>glass spice container A</x:v>
      </x:c>
      <x:c r="J39" s="8" t="str">
        <x:v>Not started</x:v>
      </x:c>
      <x:c r="K39" s="8"/>
      <x:c r="L39" s="8"/>
      <x:c r="M39" s="7"/>
    </x:row>
    <x:row r="40" ht="58" customHeight="1">
      <x:c r="A40" s="8" t="n">
        <x:f>'Evaluation Plan'!A40</x:f>
        <x:v>38</x:v>
      </x:c>
      <x:c r="B40" s="8" t="n">
        <x:f>'Evaluation Plan'!B40</x:f>
        <x:v>13</x:v>
      </x:c>
      <x:c r="C40" s="8" t="str">
        <x:f>'Evaluation Plan'!C40</x:f>
        <x:v>3 — Matched control</x:v>
      </x:c>
      <x:c r="D40" s="8" t="str">
        <x:f>'Evaluation Plan'!D40</x:f>
        <x:v>Matched manipulation control</x:v>
      </x:c>
      <x:c r="E40" s="8" t="str">
        <x:f>'Evaluation Plan'!F40</x:f>
        <x:v>SR-F13</x:v>
      </x:c>
      <x:c r="F40" s="8" t="n">
        <x:f>IF('Evaluation Plan'!D40="Language robustness",'Evaluation Plan'!G40,IF('Evaluation Plan'!D40="Matched manipulation control",'Evaluation Plan'!G40,""))</x:f>
        <x:v>36</x:v>
      </x:c>
      <x:c r="G40" s="7" t="str">
        <x:f>'Evaluation Plan'!H40</x:f>
        <x:v>Place the glass spice container in the bowl.</x:v>
      </x:c>
      <x:c r="H40" s="7" t="str">
        <x:f>'Evaluation Plan'!I40</x:f>
        <x:v>P1 glass spice container A (C, UR) [TARGET]; P3 white cup A (O, UR); P4 yellow-white striped cup B (C, UD)</x:v>
      </x:c>
      <x:c r="I40" s="8" t="str">
        <x:f>'Evaluation Plan'!J40</x:f>
        <x:v>glass spice container A</x:v>
      </x:c>
      <x:c r="J40" s="8" t="str">
        <x:v>Not started</x:v>
      </x:c>
      <x:c r="K40" s="8"/>
      <x:c r="L40" s="8"/>
      <x:c r="M40" s="7"/>
    </x:row>
    <x:row r="41" ht="58" customHeight="1">
      <x:c r="A41" s="9" t="n">
        <x:f>'Evaluation Plan'!A41</x:f>
        <x:v>39</x:v>
      </x:c>
      <x:c r="B41" s="9" t="n">
        <x:f>'Evaluation Plan'!B41</x:f>
        <x:v>14</x:v>
      </x:c>
      <x:c r="C41" s="9" t="str">
        <x:f>'Evaluation Plan'!C41</x:f>
        <x:v>1 — Canonical transfer</x:v>
      </x:c>
      <x:c r="D41" s="9" t="str">
        <x:f>'Evaluation Plan'!D41</x:f>
        <x:v>Concept/compositional transfer</x:v>
      </x:c>
      <x:c r="E41" s="9" t="str">
        <x:f>'Evaluation Plan'!F41</x:f>
        <x:v>SR-F14</x:v>
      </x:c>
      <x:c r="F41" s="9" t="str">
        <x:f>IF('Evaluation Plan'!D41="Language robustness",'Evaluation Plan'!G41,IF('Evaluation Plan'!D41="Matched manipulation control",'Evaluation Plan'!G41,""))</x:f>
      </x:c>
      <x:c r="G41" s="10" t="str">
        <x:f>'Evaluation Plan'!H41</x:f>
        <x:v>Put the open white cup in the bowl.</x:v>
      </x:c>
      <x:c r="H41" s="10" t="str">
        <x:f>'Evaluation Plan'!I41</x:f>
        <x:v>P1 yellow-white striped cup B (C, UD); P2 white cup B (O, UD) [TARGET]; P3 white cup A (C, UD) [STATE COMPETITOR]; P4 brown cup A (O, UR)</x:v>
      </x:c>
      <x:c r="I41" s="9" t="str">
        <x:f>'Evaluation Plan'!J41</x:f>
        <x:v>white cup B</x:v>
      </x:c>
      <x:c r="J41" s="9" t="str">
        <x:v>Not started</x:v>
      </x:c>
      <x:c r="K41" s="9"/>
      <x:c r="L41" s="9"/>
      <x:c r="M41" s="10"/>
    </x:row>
    <x:row r="42" ht="58" customHeight="1">
      <x:c r="A42" s="8" t="n">
        <x:f>'Evaluation Plan'!A42</x:f>
        <x:v>40</x:v>
      </x:c>
      <x:c r="B42" s="8" t="n">
        <x:f>'Evaluation Plan'!B42</x:f>
        <x:v>14</x:v>
      </x:c>
      <x:c r="C42" s="8" t="str">
        <x:f>'Evaluation Plan'!C42</x:f>
        <x:v>2 — Exact-scene paraphrase</x:v>
      </x:c>
      <x:c r="D42" s="8" t="str">
        <x:f>'Evaluation Plan'!D42</x:f>
        <x:v>Language robustness</x:v>
      </x:c>
      <x:c r="E42" s="8" t="str">
        <x:f>'Evaluation Plan'!F42</x:f>
        <x:v>SR-F14</x:v>
      </x:c>
      <x:c r="F42" s="8" t="n">
        <x:f>IF('Evaluation Plan'!D42="Language robustness",'Evaluation Plan'!G42,IF('Evaluation Plan'!D42="Matched manipulation control",'Evaluation Plan'!G42,""))</x:f>
        <x:v>39</x:v>
      </x:c>
      <x:c r="G42" s="7" t="str">
        <x:f>'Evaluation Plan'!H42</x:f>
        <x:v>Place the white cup that is not closed in the bowl.</x:v>
      </x:c>
      <x:c r="H42" s="7" t="str">
        <x:f>'Evaluation Plan'!I42</x:f>
        <x:v>P1 yellow-white striped cup B (C, UD); P2 white cup B (O, UD) [TARGET]; P3 white cup A (C, UD) [STATE COMPETITOR]; P4 brown cup A (O, UR)</x:v>
      </x:c>
      <x:c r="I42" s="8" t="str">
        <x:f>'Evaluation Plan'!J42</x:f>
        <x:v>white cup B</x:v>
      </x:c>
      <x:c r="J42" s="8" t="str">
        <x:v>Not started</x:v>
      </x:c>
      <x:c r="K42" s="8"/>
      <x:c r="L42" s="8"/>
      <x:c r="M42" s="7"/>
    </x:row>
    <x:row r="43" ht="58" customHeight="1">
      <x:c r="A43" s="8" t="n">
        <x:f>'Evaluation Plan'!A43</x:f>
        <x:v>41</x:v>
      </x:c>
      <x:c r="B43" s="8" t="n">
        <x:f>'Evaluation Plan'!B43</x:f>
        <x:v>14</x:v>
      </x:c>
      <x:c r="C43" s="8" t="str">
        <x:f>'Evaluation Plan'!C43</x:f>
        <x:v>3 — Matched control</x:v>
      </x:c>
      <x:c r="D43" s="8" t="str">
        <x:f>'Evaluation Plan'!D43</x:f>
        <x:v>Matched manipulation control</x:v>
      </x:c>
      <x:c r="E43" s="8" t="str">
        <x:f>'Evaluation Plan'!F43</x:f>
        <x:v>SR-F14</x:v>
      </x:c>
      <x:c r="F43" s="8" t="n">
        <x:f>IF('Evaluation Plan'!D43="Language robustness",'Evaluation Plan'!G43,IF('Evaluation Plan'!D43="Matched manipulation control",'Evaluation Plan'!G43,""))</x:f>
        <x:v>39</x:v>
      </x:c>
      <x:c r="G43" s="7" t="str">
        <x:f>'Evaluation Plan'!H43</x:f>
        <x:v>Put the white cup in the bowl.</x:v>
      </x:c>
      <x:c r="H43" s="7" t="str">
        <x:f>'Evaluation Plan'!I43</x:f>
        <x:v>P1 yellow-white striped cup B (C, UD); P2 white cup B (O, UD) [TARGET]; P4 brown cup A (O, UR)</x:v>
      </x:c>
      <x:c r="I43" s="8" t="str">
        <x:f>'Evaluation Plan'!J43</x:f>
        <x:v>white cup B</x:v>
      </x:c>
      <x:c r="J43" s="8" t="str">
        <x:v>Not started</x:v>
      </x:c>
      <x:c r="K43" s="8"/>
      <x:c r="L43" s="8"/>
      <x:c r="M43" s="7"/>
    </x:row>
    <x:row r="44" ht="58" customHeight="1">
      <x:c r="A44" s="9" t="n">
        <x:f>'Evaluation Plan'!A44</x:f>
        <x:v>42</x:v>
      </x:c>
      <x:c r="B44" s="9" t="n">
        <x:f>'Evaluation Plan'!B44</x:f>
        <x:v>15</x:v>
      </x:c>
      <x:c r="C44" s="9" t="str">
        <x:f>'Evaluation Plan'!C44</x:f>
        <x:v>1 — Canonical transfer</x:v>
      </x:c>
      <x:c r="D44" s="9" t="str">
        <x:f>'Evaluation Plan'!D44</x:f>
        <x:v>Concept/compositional transfer</x:v>
      </x:c>
      <x:c r="E44" s="9" t="str">
        <x:f>'Evaluation Plan'!F44</x:f>
        <x:v>SR-F15</x:v>
      </x:c>
      <x:c r="F44" s="9" t="str">
        <x:f>IF('Evaluation Plan'!D44="Language robustness",'Evaluation Plan'!G44,IF('Evaluation Plan'!D44="Matched manipulation control",'Evaluation Plan'!G44,""))</x:f>
      </x:c>
      <x:c r="G44" s="10" t="str">
        <x:f>'Evaluation Plan'!H44</x:f>
        <x:v>Move the upright yellow-white striped cup into the bowl.</x:v>
      </x:c>
      <x:c r="H44" s="10" t="str">
        <x:f>'Evaluation Plan'!I44</x:f>
        <x:v>P1 white cup A (O, UR); P2 brown cup B (C, UD); P3 yellow-white striped cup A (O, UR) [TARGET]; P4 yellow-white striped cup B (O, UD) [STATE COMPETITOR]</x:v>
      </x:c>
      <x:c r="I44" s="9" t="str">
        <x:f>'Evaluation Plan'!J44</x:f>
        <x:v>yellow-white striped cup A</x:v>
      </x:c>
      <x:c r="J44" s="9" t="str">
        <x:v>Not started</x:v>
      </x:c>
      <x:c r="K44" s="9"/>
      <x:c r="L44" s="9"/>
      <x:c r="M44" s="10"/>
    </x:row>
    <x:row r="45" ht="58" customHeight="1">
      <x:c r="A45" s="8" t="n">
        <x:f>'Evaluation Plan'!A45</x:f>
        <x:v>43</x:v>
      </x:c>
      <x:c r="B45" s="8" t="n">
        <x:f>'Evaluation Plan'!B45</x:f>
        <x:v>15</x:v>
      </x:c>
      <x:c r="C45" s="8" t="str">
        <x:f>'Evaluation Plan'!C45</x:f>
        <x:v>2 — Exact-scene paraphrase</x:v>
      </x:c>
      <x:c r="D45" s="8" t="str">
        <x:f>'Evaluation Plan'!D45</x:f>
        <x:v>Language robustness</x:v>
      </x:c>
      <x:c r="E45" s="8" t="str">
        <x:f>'Evaluation Plan'!F45</x:f>
        <x:v>SR-F15</x:v>
      </x:c>
      <x:c r="F45" s="8" t="n">
        <x:f>IF('Evaluation Plan'!D45="Language robustness",'Evaluation Plan'!G45,IF('Evaluation Plan'!D45="Matched manipulation control",'Evaluation Plan'!G45,""))</x:f>
        <x:v>42</x:v>
      </x:c>
      <x:c r="G45" s="7" t="str">
        <x:f>'Evaluation Plan'!H45</x:f>
        <x:v>Place the yellow-white striped cup that is not overturned in the bowl.</x:v>
      </x:c>
      <x:c r="H45" s="7" t="str">
        <x:f>'Evaluation Plan'!I45</x:f>
        <x:v>P1 white cup A (O, UR); P2 brown cup B (C, UD); P3 yellow-white striped cup A (O, UR) [TARGET]; P4 yellow-white striped cup B (O, UD) [STATE COMPETITOR]</x:v>
      </x:c>
      <x:c r="I45" s="8" t="str">
        <x:f>'Evaluation Plan'!J45</x:f>
        <x:v>yellow-white striped cup A</x:v>
      </x:c>
      <x:c r="J45" s="8" t="str">
        <x:v>Not started</x:v>
      </x:c>
      <x:c r="K45" s="8"/>
      <x:c r="L45" s="8"/>
      <x:c r="M45" s="7"/>
    </x:row>
    <x:row r="46" ht="58" customHeight="1">
      <x:c r="A46" s="8" t="n">
        <x:f>'Evaluation Plan'!A46</x:f>
        <x:v>44</x:v>
      </x:c>
      <x:c r="B46" s="8" t="n">
        <x:f>'Evaluation Plan'!B46</x:f>
        <x:v>15</x:v>
      </x:c>
      <x:c r="C46" s="8" t="str">
        <x:f>'Evaluation Plan'!C46</x:f>
        <x:v>3 — Matched control</x:v>
      </x:c>
      <x:c r="D46" s="8" t="str">
        <x:f>'Evaluation Plan'!D46</x:f>
        <x:v>Matched manipulation control</x:v>
      </x:c>
      <x:c r="E46" s="8" t="str">
        <x:f>'Evaluation Plan'!F46</x:f>
        <x:v>SR-F15</x:v>
      </x:c>
      <x:c r="F46" s="8" t="n">
        <x:f>IF('Evaluation Plan'!D46="Language robustness",'Evaluation Plan'!G46,IF('Evaluation Plan'!D46="Matched manipulation control",'Evaluation Plan'!G46,""))</x:f>
        <x:v>42</x:v>
      </x:c>
      <x:c r="G46" s="7" t="str">
        <x:f>'Evaluation Plan'!H46</x:f>
        <x:v>Move the yellow-white striped cup into the bowl.</x:v>
      </x:c>
      <x:c r="H46" s="7" t="str">
        <x:f>'Evaluation Plan'!I46</x:f>
        <x:v>P1 white cup A (O, UR); P2 brown cup B (C, UD); P3 yellow-white striped cup A (O, UR) [TARGET]</x:v>
      </x:c>
      <x:c r="I46" s="8" t="str">
        <x:f>'Evaluation Plan'!J46</x:f>
        <x:v>yellow-white striped cup A</x:v>
      </x:c>
      <x:c r="J46" s="8" t="str">
        <x:v>Not started</x:v>
      </x:c>
      <x:c r="K46" s="8"/>
      <x:c r="L46" s="8"/>
      <x:c r="M46" s="7"/>
    </x:row>
    <x:row r="47" ht="58" customHeight="1">
      <x:c r="A47" s="9" t="n">
        <x:f>'Evaluation Plan'!A47</x:f>
        <x:v>45</x:v>
      </x:c>
      <x:c r="B47" s="9" t="n">
        <x:f>'Evaluation Plan'!B47</x:f>
        <x:v>16</x:v>
      </x:c>
      <x:c r="C47" s="9" t="str">
        <x:f>'Evaluation Plan'!C47</x:f>
        <x:v>1 — Canonical transfer</x:v>
      </x:c>
      <x:c r="D47" s="9" t="str">
        <x:f>'Evaluation Plan'!D47</x:f>
        <x:v>Concept/compositional transfer</x:v>
      </x:c>
      <x:c r="E47" s="9" t="str">
        <x:f>'Evaluation Plan'!F47</x:f>
        <x:v>SR-F16</x:v>
      </x:c>
      <x:c r="F47" s="9" t="str">
        <x:f>IF('Evaluation Plan'!D47="Language robustness",'Evaluation Plan'!G47,IF('Evaluation Plan'!D47="Matched manipulation control",'Evaluation Plan'!G47,""))</x:f>
      </x:c>
      <x:c r="G47" s="10" t="str">
        <x:f>'Evaluation Plan'!H47</x:f>
        <x:v>Place the upside-down brown cup in the bowl.</x:v>
      </x:c>
      <x:c r="H47" s="10" t="str">
        <x:f>'Evaluation Plan'!I47</x:f>
        <x:v>P1 brown cup A (C, UR) [STATE COMPETITOR]; P2 white cup A (O, UR); P3 yellow-white striped cup B (C, UD); P4 brown cup B (C, UD) [TARGET]</x:v>
      </x:c>
      <x:c r="I47" s="9" t="str">
        <x:f>'Evaluation Plan'!J47</x:f>
        <x:v>brown cup B</x:v>
      </x:c>
      <x:c r="J47" s="9" t="str">
        <x:v>Not started</x:v>
      </x:c>
      <x:c r="K47" s="9"/>
      <x:c r="L47" s="9"/>
      <x:c r="M47" s="10"/>
    </x:row>
    <x:row r="48" ht="58" customHeight="1">
      <x:c r="A48" s="8" t="n">
        <x:f>'Evaluation Plan'!A48</x:f>
        <x:v>46</x:v>
      </x:c>
      <x:c r="B48" s="8" t="n">
        <x:f>'Evaluation Plan'!B48</x:f>
        <x:v>16</x:v>
      </x:c>
      <x:c r="C48" s="8" t="str">
        <x:f>'Evaluation Plan'!C48</x:f>
        <x:v>2 — Exact-scene paraphrase</x:v>
      </x:c>
      <x:c r="D48" s="8" t="str">
        <x:f>'Evaluation Plan'!D48</x:f>
        <x:v>Language robustness</x:v>
      </x:c>
      <x:c r="E48" s="8" t="str">
        <x:f>'Evaluation Plan'!F48</x:f>
        <x:v>SR-F16</x:v>
      </x:c>
      <x:c r="F48" s="8" t="n">
        <x:f>IF('Evaluation Plan'!D48="Language robustness",'Evaluation Plan'!G48,IF('Evaluation Plan'!D48="Matched manipulation control",'Evaluation Plan'!G48,""))</x:f>
        <x:v>45</x:v>
      </x:c>
      <x:c r="G48" s="7" t="str">
        <x:f>'Evaluation Plan'!H48</x:f>
        <x:v>Place the overturned brown cup in the bowl.</x:v>
      </x:c>
      <x:c r="H48" s="7" t="str">
        <x:f>'Evaluation Plan'!I48</x:f>
        <x:v>P1 brown cup A (C, UR) [STATE COMPETITOR]; P2 white cup A (O, UR); P3 yellow-white striped cup B (C, UD); P4 brown cup B (C, UD) [TARGET]</x:v>
      </x:c>
      <x:c r="I48" s="8" t="str">
        <x:f>'Evaluation Plan'!J48</x:f>
        <x:v>brown cup B</x:v>
      </x:c>
      <x:c r="J48" s="8" t="str">
        <x:v>Not started</x:v>
      </x:c>
      <x:c r="K48" s="8"/>
      <x:c r="L48" s="8"/>
      <x:c r="M48" s="7"/>
    </x:row>
    <x:row r="49" ht="58" customHeight="1">
      <x:c r="A49" s="8" t="n">
        <x:f>'Evaluation Plan'!A49</x:f>
        <x:v>47</x:v>
      </x:c>
      <x:c r="B49" s="8" t="n">
        <x:f>'Evaluation Plan'!B49</x:f>
        <x:v>16</x:v>
      </x:c>
      <x:c r="C49" s="8" t="str">
        <x:f>'Evaluation Plan'!C49</x:f>
        <x:v>3 — Matched control</x:v>
      </x:c>
      <x:c r="D49" s="8" t="str">
        <x:f>'Evaluation Plan'!D49</x:f>
        <x:v>Matched manipulation control</x:v>
      </x:c>
      <x:c r="E49" s="8" t="str">
        <x:f>'Evaluation Plan'!F49</x:f>
        <x:v>SR-F16</x:v>
      </x:c>
      <x:c r="F49" s="8" t="n">
        <x:f>IF('Evaluation Plan'!D49="Language robustness",'Evaluation Plan'!G49,IF('Evaluation Plan'!D49="Matched manipulation control",'Evaluation Plan'!G49,""))</x:f>
        <x:v>45</x:v>
      </x:c>
      <x:c r="G49" s="7" t="str">
        <x:f>'Evaluation Plan'!H49</x:f>
        <x:v>Place the brown cup in the bowl.</x:v>
      </x:c>
      <x:c r="H49" s="7" t="str">
        <x:f>'Evaluation Plan'!I49</x:f>
        <x:v>P2 white cup A (O, UR); P3 yellow-white striped cup B (C, UD); P4 brown cup B (C, UD) [TARGET]</x:v>
      </x:c>
      <x:c r="I49" s="8" t="str">
        <x:f>'Evaluation Plan'!J49</x:f>
        <x:v>brown cup B</x:v>
      </x:c>
      <x:c r="J49" s="8" t="str">
        <x:v>Not started</x:v>
      </x:c>
      <x:c r="K49" s="8"/>
      <x:c r="L49" s="8"/>
      <x:c r="M49" s="7"/>
    </x:row>
    <x:row r="50" ht="58" customHeight="1">
      <x:c r="A50" s="9" t="n">
        <x:f>'Evaluation Plan'!A50</x:f>
        <x:v>48</x:v>
      </x:c>
      <x:c r="B50" s="9" t="n">
        <x:f>'Evaluation Plan'!B50</x:f>
        <x:v>17</x:v>
      </x:c>
      <x:c r="C50" s="9" t="str">
        <x:f>'Evaluation Plan'!C50</x:f>
        <x:v>1 — Canonical transfer</x:v>
      </x:c>
      <x:c r="D50" s="9" t="str">
        <x:f>'Evaluation Plan'!D50</x:f>
        <x:v>Concept/compositional transfer</x:v>
      </x:c>
      <x:c r="E50" s="9" t="str">
        <x:f>'Evaluation Plan'!F50</x:f>
        <x:v>SR-F17</x:v>
      </x:c>
      <x:c r="F50" s="9" t="str">
        <x:f>IF('Evaluation Plan'!D50="Language robustness",'Evaluation Plan'!G50,IF('Evaluation Plan'!D50="Matched manipulation control",'Evaluation Plan'!G50,""))</x:f>
      </x:c>
      <x:c r="G50" s="10" t="str">
        <x:f>'Evaluation Plan'!H50</x:f>
        <x:v>Put the closed white cup in the bowl.</x:v>
      </x:c>
      <x:c r="H50" s="10" t="str">
        <x:f>'Evaluation Plan'!I50</x:f>
        <x:v>P1 white cup A (C, UR) [TARGET]; P2 white cup B (O, UR) [STATE COMPETITOR]; P3 yellow-white striped cup A (O, UR); P4 brown cup B (C, UD)</x:v>
      </x:c>
      <x:c r="I50" s="9" t="str">
        <x:f>'Evaluation Plan'!J50</x:f>
        <x:v>white cup A</x:v>
      </x:c>
      <x:c r="J50" s="9" t="str">
        <x:v>Not started</x:v>
      </x:c>
      <x:c r="K50" s="9"/>
      <x:c r="L50" s="9"/>
      <x:c r="M50" s="10"/>
    </x:row>
    <x:row r="51" ht="58" customHeight="1">
      <x:c r="A51" s="8" t="n">
        <x:f>'Evaluation Plan'!A51</x:f>
        <x:v>49</x:v>
      </x:c>
      <x:c r="B51" s="8" t="n">
        <x:f>'Evaluation Plan'!B51</x:f>
        <x:v>17</x:v>
      </x:c>
      <x:c r="C51" s="8" t="str">
        <x:f>'Evaluation Plan'!C51</x:f>
        <x:v>2 — Exact-scene paraphrase</x:v>
      </x:c>
      <x:c r="D51" s="8" t="str">
        <x:f>'Evaluation Plan'!D51</x:f>
        <x:v>Language robustness</x:v>
      </x:c>
      <x:c r="E51" s="8" t="str">
        <x:f>'Evaluation Plan'!F51</x:f>
        <x:v>SR-F17</x:v>
      </x:c>
      <x:c r="F51" s="8" t="n">
        <x:f>IF('Evaluation Plan'!D51="Language robustness",'Evaluation Plan'!G51,IF('Evaluation Plan'!D51="Matched manipulation control",'Evaluation Plan'!G51,""))</x:f>
        <x:v>48</x:v>
      </x:c>
      <x:c r="G51" s="7" t="str">
        <x:f>'Evaluation Plan'!H51</x:f>
        <x:v>Move the closed white cup into the bowl.</x:v>
      </x:c>
      <x:c r="H51" s="7" t="str">
        <x:f>'Evaluation Plan'!I51</x:f>
        <x:v>P1 white cup A (C, UR) [TARGET]; P2 white cup B (O, UR) [STATE COMPETITOR]; P3 yellow-white striped cup A (O, UR); P4 brown cup B (C, UD)</x:v>
      </x:c>
      <x:c r="I51" s="8" t="str">
        <x:f>'Evaluation Plan'!J51</x:f>
        <x:v>white cup A</x:v>
      </x:c>
      <x:c r="J51" s="8" t="str">
        <x:v>Not started</x:v>
      </x:c>
      <x:c r="K51" s="8"/>
      <x:c r="L51" s="8"/>
      <x:c r="M51" s="7"/>
    </x:row>
    <x:row r="52" ht="58" customHeight="1">
      <x:c r="A52" s="8" t="n">
        <x:f>'Evaluation Plan'!A52</x:f>
        <x:v>50</x:v>
      </x:c>
      <x:c r="B52" s="8" t="n">
        <x:f>'Evaluation Plan'!B52</x:f>
        <x:v>17</x:v>
      </x:c>
      <x:c r="C52" s="8" t="str">
        <x:f>'Evaluation Plan'!C52</x:f>
        <x:v>3 — Matched control</x:v>
      </x:c>
      <x:c r="D52" s="8" t="str">
        <x:f>'Evaluation Plan'!D52</x:f>
        <x:v>Matched manipulation control</x:v>
      </x:c>
      <x:c r="E52" s="8" t="str">
        <x:f>'Evaluation Plan'!F52</x:f>
        <x:v>SR-F17</x:v>
      </x:c>
      <x:c r="F52" s="8" t="n">
        <x:f>IF('Evaluation Plan'!D52="Language robustness",'Evaluation Plan'!G52,IF('Evaluation Plan'!D52="Matched manipulation control",'Evaluation Plan'!G52,""))</x:f>
        <x:v>48</x:v>
      </x:c>
      <x:c r="G52" s="7" t="str">
        <x:f>'Evaluation Plan'!H52</x:f>
        <x:v>Put the white cup in the bowl.</x:v>
      </x:c>
      <x:c r="H52" s="7" t="str">
        <x:f>'Evaluation Plan'!I52</x:f>
        <x:v>P1 white cup A (C, UR) [TARGET]; P3 yellow-white striped cup A (O, UR); P4 brown cup B (C, UD)</x:v>
      </x:c>
      <x:c r="I52" s="8" t="str">
        <x:f>'Evaluation Plan'!J52</x:f>
        <x:v>white cup A</x:v>
      </x:c>
      <x:c r="J52" s="8" t="str">
        <x:v>Not started</x:v>
      </x:c>
      <x:c r="K52" s="8"/>
      <x:c r="L52" s="8"/>
      <x:c r="M52" s="7"/>
    </x:row>
    <x:row r="53" ht="58" customHeight="1">
      <x:c r="A53" s="9" t="n">
        <x:f>'Evaluation Plan'!A53</x:f>
        <x:v>51</x:v>
      </x:c>
      <x:c r="B53" s="9" t="n">
        <x:f>'Evaluation Plan'!B53</x:f>
        <x:v>18</x:v>
      </x:c>
      <x:c r="C53" s="9" t="str">
        <x:f>'Evaluation Plan'!C53</x:f>
        <x:v>1 — Canonical transfer</x:v>
      </x:c>
      <x:c r="D53" s="9" t="str">
        <x:f>'Evaluation Plan'!D53</x:f>
        <x:v>Concept/compositional transfer</x:v>
      </x:c>
      <x:c r="E53" s="9" t="str">
        <x:f>'Evaluation Plan'!F53</x:f>
        <x:v>SR-F18</x:v>
      </x:c>
      <x:c r="F53" s="9" t="str">
        <x:f>IF('Evaluation Plan'!D53="Language robustness",'Evaluation Plan'!G53,IF('Evaluation Plan'!D53="Matched manipulation control",'Evaluation Plan'!G53,""))</x:f>
      </x:c>
      <x:c r="G53" s="10" t="str">
        <x:f>'Evaluation Plan'!H53</x:f>
        <x:v>Move the open yellow-white striped cup into the bowl.</x:v>
      </x:c>
      <x:c r="H53" s="10" t="str">
        <x:f>'Evaluation Plan'!I53</x:f>
        <x:v>P1 white cup B (C, UD); P2 yellow-white striped cup B (O, UD) [TARGET]; P3 yellow-white striped cup A (C, UD) [STATE COMPETITOR]; P4 brown cup A (O, UR)</x:v>
      </x:c>
      <x:c r="I53" s="9" t="str">
        <x:f>'Evaluation Plan'!J53</x:f>
        <x:v>yellow-white striped cup B</x:v>
      </x:c>
      <x:c r="J53" s="9" t="str">
        <x:v>Not started</x:v>
      </x:c>
      <x:c r="K53" s="9"/>
      <x:c r="L53" s="9"/>
      <x:c r="M53" s="10"/>
    </x:row>
    <x:row r="54" ht="58" customHeight="1">
      <x:c r="A54" s="8" t="n">
        <x:f>'Evaluation Plan'!A54</x:f>
        <x:v>52</x:v>
      </x:c>
      <x:c r="B54" s="8" t="n">
        <x:f>'Evaluation Plan'!B54</x:f>
        <x:v>18</x:v>
      </x:c>
      <x:c r="C54" s="8" t="str">
        <x:f>'Evaluation Plan'!C54</x:f>
        <x:v>2 — Exact-scene paraphrase</x:v>
      </x:c>
      <x:c r="D54" s="8" t="str">
        <x:f>'Evaluation Plan'!D54</x:f>
        <x:v>Language robustness</x:v>
      </x:c>
      <x:c r="E54" s="8" t="str">
        <x:f>'Evaluation Plan'!F54</x:f>
        <x:v>SR-F18</x:v>
      </x:c>
      <x:c r="F54" s="8" t="n">
        <x:f>IF('Evaluation Plan'!D54="Language robustness",'Evaluation Plan'!G54,IF('Evaluation Plan'!D54="Matched manipulation control",'Evaluation Plan'!G54,""))</x:f>
        <x:v>51</x:v>
      </x:c>
      <x:c r="G54" s="7" t="str">
        <x:f>'Evaluation Plan'!H54</x:f>
        <x:v>Move the open yellow-white striped cup into the bowl.</x:v>
      </x:c>
      <x:c r="H54" s="7" t="str">
        <x:f>'Evaluation Plan'!I54</x:f>
        <x:v>P1 white cup B (C, UD); P2 yellow-white striped cup B (O, UD) [TARGET]; P3 yellow-white striped cup A (C, UD) [STATE COMPETITOR]; P4 brown cup A (O, UR)</x:v>
      </x:c>
      <x:c r="I54" s="8" t="str">
        <x:f>'Evaluation Plan'!J54</x:f>
        <x:v>yellow-white striped cup B</x:v>
      </x:c>
      <x:c r="J54" s="8" t="str">
        <x:v>Not started</x:v>
      </x:c>
      <x:c r="K54" s="8"/>
      <x:c r="L54" s="8"/>
      <x:c r="M54" s="7"/>
    </x:row>
    <x:row r="55" ht="58" customHeight="1">
      <x:c r="A55" s="8" t="n">
        <x:f>'Evaluation Plan'!A55</x:f>
        <x:v>53</x:v>
      </x:c>
      <x:c r="B55" s="8" t="n">
        <x:f>'Evaluation Plan'!B55</x:f>
        <x:v>18</x:v>
      </x:c>
      <x:c r="C55" s="8" t="str">
        <x:f>'Evaluation Plan'!C55</x:f>
        <x:v>3 — Matched control</x:v>
      </x:c>
      <x:c r="D55" s="8" t="str">
        <x:f>'Evaluation Plan'!D55</x:f>
        <x:v>Matched manipulation control</x:v>
      </x:c>
      <x:c r="E55" s="8" t="str">
        <x:f>'Evaluation Plan'!F55</x:f>
        <x:v>SR-F18</x:v>
      </x:c>
      <x:c r="F55" s="8" t="n">
        <x:f>IF('Evaluation Plan'!D55="Language robustness",'Evaluation Plan'!G55,IF('Evaluation Plan'!D55="Matched manipulation control",'Evaluation Plan'!G55,""))</x:f>
        <x:v>51</x:v>
      </x:c>
      <x:c r="G55" s="7" t="str">
        <x:f>'Evaluation Plan'!H55</x:f>
        <x:v>Move the yellow-white striped cup into the bowl.</x:v>
      </x:c>
      <x:c r="H55" s="7" t="str">
        <x:f>'Evaluation Plan'!I55</x:f>
        <x:v>P1 white cup B (C, UD); P2 yellow-white striped cup B (O, UD) [TARGET]; P4 brown cup A (O, UR)</x:v>
      </x:c>
      <x:c r="I55" s="8" t="str">
        <x:f>'Evaluation Plan'!J55</x:f>
        <x:v>yellow-white striped cup B</x:v>
      </x:c>
      <x:c r="J55" s="8" t="str">
        <x:v>Not started</x:v>
      </x:c>
      <x:c r="K55" s="8"/>
      <x:c r="L55" s="8"/>
      <x:c r="M55" s="7"/>
    </x:row>
    <x:row r="56" ht="58" customHeight="1">
      <x:c r="A56" s="9" t="n">
        <x:f>'Evaluation Plan'!A56</x:f>
        <x:v>54</x:v>
      </x:c>
      <x:c r="B56" s="9" t="n">
        <x:f>'Evaluation Plan'!B56</x:f>
        <x:v>19</x:v>
      </x:c>
      <x:c r="C56" s="9" t="str">
        <x:f>'Evaluation Plan'!C56</x:f>
        <x:v>1 — Canonical transfer</x:v>
      </x:c>
      <x:c r="D56" s="9" t="str">
        <x:f>'Evaluation Plan'!D56</x:f>
        <x:v>Concept/compositional transfer</x:v>
      </x:c>
      <x:c r="E56" s="9" t="str">
        <x:f>'Evaluation Plan'!F56</x:f>
        <x:v>SR-F19</x:v>
      </x:c>
      <x:c r="F56" s="9" t="str">
        <x:f>IF('Evaluation Plan'!D56="Language robustness",'Evaluation Plan'!G56,IF('Evaluation Plan'!D56="Matched manipulation control",'Evaluation Plan'!G56,""))</x:f>
      </x:c>
      <x:c r="G56" s="10" t="str">
        <x:f>'Evaluation Plan'!H56</x:f>
        <x:v>Place the upright brown cup in the bowl.</x:v>
      </x:c>
      <x:c r="H56" s="10" t="str">
        <x:f>'Evaluation Plan'!I56</x:f>
        <x:v>P1 white cup A (O, UR); P2 yellow-white striped cup B (C, UD); P3 brown cup A (O, UR) [TARGET]; P4 brown cup B (O, UD) [STATE COMPETITOR]</x:v>
      </x:c>
      <x:c r="I56" s="9" t="str">
        <x:f>'Evaluation Plan'!J56</x:f>
        <x:v>brown cup A</x:v>
      </x:c>
      <x:c r="J56" s="9" t="str">
        <x:v>Not started</x:v>
      </x:c>
      <x:c r="K56" s="9"/>
      <x:c r="L56" s="9"/>
      <x:c r="M56" s="10"/>
    </x:row>
    <x:row r="57" ht="58" customHeight="1">
      <x:c r="A57" s="8" t="n">
        <x:f>'Evaluation Plan'!A57</x:f>
        <x:v>55</x:v>
      </x:c>
      <x:c r="B57" s="8" t="n">
        <x:f>'Evaluation Plan'!B57</x:f>
        <x:v>19</x:v>
      </x:c>
      <x:c r="C57" s="8" t="str">
        <x:f>'Evaluation Plan'!C57</x:f>
        <x:v>2 — Exact-scene paraphrase</x:v>
      </x:c>
      <x:c r="D57" s="8" t="str">
        <x:f>'Evaluation Plan'!D57</x:f>
        <x:v>Language robustness</x:v>
      </x:c>
      <x:c r="E57" s="8" t="str">
        <x:f>'Evaluation Plan'!F57</x:f>
        <x:v>SR-F19</x:v>
      </x:c>
      <x:c r="F57" s="8" t="n">
        <x:f>IF('Evaluation Plan'!D57="Language robustness",'Evaluation Plan'!G57,IF('Evaluation Plan'!D57="Matched manipulation control",'Evaluation Plan'!G57,""))</x:f>
        <x:v>54</x:v>
      </x:c>
      <x:c r="G57" s="7" t="str">
        <x:f>'Evaluation Plan'!H57</x:f>
        <x:v>Move the upright brown cup into the bowl.</x:v>
      </x:c>
      <x:c r="H57" s="7" t="str">
        <x:f>'Evaluation Plan'!I57</x:f>
        <x:v>P1 white cup A (O, UR); P2 yellow-white striped cup B (C, UD); P3 brown cup A (O, UR) [TARGET]; P4 brown cup B (O, UD) [STATE COMPETITOR]</x:v>
      </x:c>
      <x:c r="I57" s="8" t="str">
        <x:f>'Evaluation Plan'!J57</x:f>
        <x:v>brown cup A</x:v>
      </x:c>
      <x:c r="J57" s="8" t="str">
        <x:v>Not started</x:v>
      </x:c>
      <x:c r="K57" s="8"/>
      <x:c r="L57" s="8"/>
      <x:c r="M57" s="7"/>
    </x:row>
    <x:row r="58" ht="58" customHeight="1">
      <x:c r="A58" s="8" t="n">
        <x:f>'Evaluation Plan'!A58</x:f>
        <x:v>56</x:v>
      </x:c>
      <x:c r="B58" s="8" t="n">
        <x:f>'Evaluation Plan'!B58</x:f>
        <x:v>19</x:v>
      </x:c>
      <x:c r="C58" s="8" t="str">
        <x:f>'Evaluation Plan'!C58</x:f>
        <x:v>3 — Matched control</x:v>
      </x:c>
      <x:c r="D58" s="8" t="str">
        <x:f>'Evaluation Plan'!D58</x:f>
        <x:v>Matched manipulation control</x:v>
      </x:c>
      <x:c r="E58" s="8" t="str">
        <x:f>'Evaluation Plan'!F58</x:f>
        <x:v>SR-F19</x:v>
      </x:c>
      <x:c r="F58" s="8" t="n">
        <x:f>IF('Evaluation Plan'!D58="Language robustness",'Evaluation Plan'!G58,IF('Evaluation Plan'!D58="Matched manipulation control",'Evaluation Plan'!G58,""))</x:f>
        <x:v>54</x:v>
      </x:c>
      <x:c r="G58" s="7" t="str">
        <x:f>'Evaluation Plan'!H58</x:f>
        <x:v>Place the brown cup in the bowl.</x:v>
      </x:c>
      <x:c r="H58" s="7" t="str">
        <x:f>'Evaluation Plan'!I58</x:f>
        <x:v>P1 white cup A (O, UR); P2 yellow-white striped cup B (C, UD); P3 brown cup A (O, UR) [TARGET]</x:v>
      </x:c>
      <x:c r="I58" s="8" t="str">
        <x:f>'Evaluation Plan'!J58</x:f>
        <x:v>brown cup A</x:v>
      </x:c>
      <x:c r="J58" s="8" t="str">
        <x:v>Not started</x:v>
      </x:c>
      <x:c r="K58" s="8"/>
      <x:c r="L58" s="8"/>
      <x:c r="M58" s="7"/>
    </x:row>
    <x:row r="59" ht="58" customHeight="1">
      <x:c r="A59" s="9" t="n">
        <x:f>'Evaluation Plan'!A59</x:f>
        <x:v>57</x:v>
      </x:c>
      <x:c r="B59" s="9" t="n">
        <x:f>'Evaluation Plan'!B59</x:f>
        <x:v>20</x:v>
      </x:c>
      <x:c r="C59" s="9" t="str">
        <x:f>'Evaluation Plan'!C59</x:f>
        <x:v>1 — Canonical transfer</x:v>
      </x:c>
      <x:c r="D59" s="9" t="str">
        <x:f>'Evaluation Plan'!D59</x:f>
        <x:v>Concept/compositional transfer</x:v>
      </x:c>
      <x:c r="E59" s="9" t="str">
        <x:f>'Evaluation Plan'!F59</x:f>
        <x:v>SR-F20</x:v>
      </x:c>
      <x:c r="F59" s="9" t="str">
        <x:f>IF('Evaluation Plan'!D59="Language robustness",'Evaluation Plan'!G59,IF('Evaluation Plan'!D59="Matched manipulation control",'Evaluation Plan'!G59,""))</x:f>
      </x:c>
      <x:c r="G59" s="10" t="str">
        <x:f>'Evaluation Plan'!H59</x:f>
        <x:v>Put the upside-down glass spice container in the bowl.</x:v>
      </x:c>
      <x:c r="H59" s="10" t="str">
        <x:f>'Evaluation Plan'!I59</x:f>
        <x:v>P1 glass spice container A (C, UR) [STATE COMPETITOR]; P2 white cup A (O, UR); P3 yellow-white striped cup B (C, UD); P4 glass spice container B (C, UD) [TARGET]</x:v>
      </x:c>
      <x:c r="I59" s="9" t="str">
        <x:f>'Evaluation Plan'!J59</x:f>
        <x:v>glass spice container B</x:v>
      </x:c>
      <x:c r="J59" s="9" t="str">
        <x:v>Not started</x:v>
      </x:c>
      <x:c r="K59" s="9"/>
      <x:c r="L59" s="9"/>
      <x:c r="M59" s="10"/>
    </x:row>
    <x:row r="60" ht="58" customHeight="1">
      <x:c r="A60" s="8" t="n">
        <x:f>'Evaluation Plan'!A60</x:f>
        <x:v>58</x:v>
      </x:c>
      <x:c r="B60" s="8" t="n">
        <x:f>'Evaluation Plan'!B60</x:f>
        <x:v>20</x:v>
      </x:c>
      <x:c r="C60" s="8" t="str">
        <x:f>'Evaluation Plan'!C60</x:f>
        <x:v>2 — Exact-scene paraphrase</x:v>
      </x:c>
      <x:c r="D60" s="8" t="str">
        <x:f>'Evaluation Plan'!D60</x:f>
        <x:v>Language robustness</x:v>
      </x:c>
      <x:c r="E60" s="8" t="str">
        <x:f>'Evaluation Plan'!F60</x:f>
        <x:v>SR-F20</x:v>
      </x:c>
      <x:c r="F60" s="8" t="n">
        <x:f>IF('Evaluation Plan'!D60="Language robustness",'Evaluation Plan'!G60,IF('Evaluation Plan'!D60="Matched manipulation control",'Evaluation Plan'!G60,""))</x:f>
        <x:v>57</x:v>
      </x:c>
      <x:c r="G60" s="7" t="str">
        <x:f>'Evaluation Plan'!H60</x:f>
        <x:v>Move the upside-down glass spice container into the bowl.</x:v>
      </x:c>
      <x:c r="H60" s="7" t="str">
        <x:f>'Evaluation Plan'!I60</x:f>
        <x:v>P1 glass spice container A (C, UR) [STATE COMPETITOR]; P2 white cup A (O, UR); P3 yellow-white striped cup B (C, UD); P4 glass spice container B (C, UD) [TARGET]</x:v>
      </x:c>
      <x:c r="I60" s="8" t="str">
        <x:f>'Evaluation Plan'!J60</x:f>
        <x:v>glass spice container B</x:v>
      </x:c>
      <x:c r="J60" s="8" t="str">
        <x:v>Not started</x:v>
      </x:c>
      <x:c r="K60" s="8"/>
      <x:c r="L60" s="8"/>
      <x:c r="M60" s="7"/>
    </x:row>
    <x:row r="61" ht="58" customHeight="1">
      <x:c r="A61" s="8" t="n">
        <x:f>'Evaluation Plan'!A61</x:f>
        <x:v>59</x:v>
      </x:c>
      <x:c r="B61" s="8" t="n">
        <x:f>'Evaluation Plan'!B61</x:f>
        <x:v>20</x:v>
      </x:c>
      <x:c r="C61" s="8" t="str">
        <x:f>'Evaluation Plan'!C61</x:f>
        <x:v>3 — Matched control</x:v>
      </x:c>
      <x:c r="D61" s="8" t="str">
        <x:f>'Evaluation Plan'!D61</x:f>
        <x:v>Matched manipulation control</x:v>
      </x:c>
      <x:c r="E61" s="8" t="str">
        <x:f>'Evaluation Plan'!F61</x:f>
        <x:v>SR-F20</x:v>
      </x:c>
      <x:c r="F61" s="8" t="n">
        <x:f>IF('Evaluation Plan'!D61="Language robustness",'Evaluation Plan'!G61,IF('Evaluation Plan'!D61="Matched manipulation control",'Evaluation Plan'!G61,""))</x:f>
        <x:v>57</x:v>
      </x:c>
      <x:c r="G61" s="7" t="str">
        <x:f>'Evaluation Plan'!H61</x:f>
        <x:v>Put the glass spice container in the bowl.</x:v>
      </x:c>
      <x:c r="H61" s="7" t="str">
        <x:f>'Evaluation Plan'!I61</x:f>
        <x:v>P2 white cup A (O, UR); P3 yellow-white striped cup B (C, UD); P4 glass spice container B (C, UD) [TARGET]</x:v>
      </x:c>
      <x:c r="I61" s="8" t="str">
        <x:f>'Evaluation Plan'!J61</x:f>
        <x:v>glass spice container B</x:v>
      </x:c>
      <x:c r="J61" s="8" t="str">
        <x:v>Not started</x:v>
      </x:c>
      <x:c r="K61" s="8"/>
      <x:c r="L61" s="8"/>
      <x:c r="M61" s="7"/>
    </x:row>
    <x:row r="62" ht="58" customHeight="1">
      <x:c r="A62" s="8" t="n">
        <x:f>'Evaluation Plan'!A62</x:f>
        <x:v>60</x:v>
      </x:c>
      <x:c r="B62" s="8" t="n">
        <x:f>'Evaluation Plan'!B62</x:f>
        <x:v>21</x:v>
      </x:c>
      <x:c r="C62" s="8" t="str">
        <x:f>'Evaluation Plan'!C62</x:f>
        <x:v>Additional transfer</x:v>
      </x:c>
      <x:c r="D62" s="8" t="str">
        <x:f>'Evaluation Plan'!D62</x:f>
        <x:v>Concept/compositional transfer</x:v>
      </x:c>
      <x:c r="E62" s="8" t="str">
        <x:f>'Evaluation Plan'!F62</x:f>
        <x:v>SR-X01</x:v>
      </x:c>
      <x:c r="F62" s="8" t="str">
        <x:f>IF('Evaluation Plan'!D62="Language robustness",'Evaluation Plan'!G62,IF('Evaluation Plan'!D62="Matched manipulation control",'Evaluation Plan'!G62,""))</x:f>
      </x:c>
      <x:c r="G62" s="7" t="str">
        <x:f>'Evaluation Plan'!H62</x:f>
        <x:v>Move the closed yellow-white striped cup into the bowl.</x:v>
      </x:c>
      <x:c r="H62" s="7" t="str">
        <x:f>'Evaluation Plan'!I62</x:f>
        <x:v>P1 yellow-white striped cup A (C, UR) [TARGET]; P2 yellow-white striped cup B (O, UR) [STATE COMPETITOR]; P3 white cup A (O, UR); P4 brown cup B (C, UD)</x:v>
      </x:c>
      <x:c r="I62" s="8" t="str">
        <x:f>'Evaluation Plan'!J62</x:f>
        <x:v>yellow-white striped cup A</x:v>
      </x:c>
      <x:c r="J62" s="8" t="str">
        <x:v>Not started</x:v>
      </x:c>
      <x:c r="K62" s="8"/>
      <x:c r="L62" s="8"/>
      <x:c r="M62" s="7"/>
    </x:row>
    <x:row r="63" ht="58" customHeight="1">
      <x:c r="A63" s="8" t="n">
        <x:f>'Evaluation Plan'!A63</x:f>
        <x:v>61</x:v>
      </x:c>
      <x:c r="B63" s="8" t="n">
        <x:f>'Evaluation Plan'!B63</x:f>
        <x:v>22</x:v>
      </x:c>
      <x:c r="C63" s="8" t="str">
        <x:f>'Evaluation Plan'!C63</x:f>
        <x:v>Additional transfer</x:v>
      </x:c>
      <x:c r="D63" s="8" t="str">
        <x:f>'Evaluation Plan'!D63</x:f>
        <x:v>Concept/compositional transfer</x:v>
      </x:c>
      <x:c r="E63" s="8" t="str">
        <x:f>'Evaluation Plan'!F63</x:f>
        <x:v>SR-X02</x:v>
      </x:c>
      <x:c r="F63" s="8" t="str">
        <x:f>IF('Evaluation Plan'!D63="Language robustness",'Evaluation Plan'!G63,IF('Evaluation Plan'!D63="Matched manipulation control",'Evaluation Plan'!G63,""))</x:f>
      </x:c>
      <x:c r="G63" s="7" t="str">
        <x:f>'Evaluation Plan'!H63</x:f>
        <x:v>Place the closed brown cup in the bowl.</x:v>
      </x:c>
      <x:c r="H63" s="7" t="str">
        <x:f>'Evaluation Plan'!I63</x:f>
        <x:v>P1 white cup B (C, UD); P2 brown cup B (C, UD) [TARGET]; P3 brown cup A (O, UD) [STATE COMPETITOR]; P4 yellow-white striped cup A (O, UR)</x:v>
      </x:c>
      <x:c r="I63" s="8" t="str">
        <x:f>'Evaluation Plan'!J63</x:f>
        <x:v>brown cup B</x:v>
      </x:c>
      <x:c r="J63" s="8" t="str">
        <x:v>Not started</x:v>
      </x:c>
      <x:c r="K63" s="8"/>
      <x:c r="L63" s="8"/>
      <x:c r="M63" s="7"/>
    </x:row>
    <x:row r="64" ht="58" customHeight="1">
      <x:c r="A64" s="8" t="n">
        <x:f>'Evaluation Plan'!A64</x:f>
        <x:v>62</x:v>
      </x:c>
      <x:c r="B64" s="8" t="n">
        <x:f>'Evaluation Plan'!B64</x:f>
        <x:v>23</x:v>
      </x:c>
      <x:c r="C64" s="8" t="str">
        <x:f>'Evaluation Plan'!C64</x:f>
        <x:v>Additional transfer</x:v>
      </x:c>
      <x:c r="D64" s="8" t="str">
        <x:f>'Evaluation Plan'!D64</x:f>
        <x:v>Concept/compositional transfer</x:v>
      </x:c>
      <x:c r="E64" s="8" t="str">
        <x:f>'Evaluation Plan'!F64</x:f>
        <x:v>SR-X03</x:v>
      </x:c>
      <x:c r="F64" s="8" t="str">
        <x:f>IF('Evaluation Plan'!D64="Language robustness",'Evaluation Plan'!G64,IF('Evaluation Plan'!D64="Matched manipulation control",'Evaluation Plan'!G64,""))</x:f>
      </x:c>
      <x:c r="G64" s="7" t="str">
        <x:f>'Evaluation Plan'!H64</x:f>
        <x:v>Put the closed glass spice container in the bowl.</x:v>
      </x:c>
      <x:c r="H64" s="7" t="str">
        <x:f>'Evaluation Plan'!I64</x:f>
        <x:v>P1 white cup A (O, UR); P2 yellow-white striped cup B (C, UD); P3 glass spice container A (C, UR) [TARGET]; P4 glass spice container B (O, UR) [STATE COMPETITOR]</x:v>
      </x:c>
      <x:c r="I64" s="8" t="str">
        <x:f>'Evaluation Plan'!J64</x:f>
        <x:v>glass spice container A</x:v>
      </x:c>
      <x:c r="J64" s="8" t="str">
        <x:v>Not started</x:v>
      </x:c>
      <x:c r="K64" s="8"/>
      <x:c r="L64" s="8"/>
      <x:c r="M64" s="7"/>
    </x:row>
    <x:row r="65" ht="58" customHeight="1">
      <x:c r="A65" s="8" t="n">
        <x:f>'Evaluation Plan'!A65</x:f>
        <x:v>63</x:v>
      </x:c>
      <x:c r="B65" s="8" t="n">
        <x:f>'Evaluation Plan'!B65</x:f>
        <x:v>24</x:v>
      </x:c>
      <x:c r="C65" s="8" t="str">
        <x:f>'Evaluation Plan'!C65</x:f>
        <x:v>Additional transfer</x:v>
      </x:c>
      <x:c r="D65" s="8" t="str">
        <x:f>'Evaluation Plan'!D65</x:f>
        <x:v>Concept/compositional transfer</x:v>
      </x:c>
      <x:c r="E65" s="8" t="str">
        <x:f>'Evaluation Plan'!F65</x:f>
        <x:v>SR-X04</x:v>
      </x:c>
      <x:c r="F65" s="8" t="str">
        <x:f>IF('Evaluation Plan'!D65="Language robustness",'Evaluation Plan'!G65,IF('Evaluation Plan'!D65="Matched manipulation control",'Evaluation Plan'!G65,""))</x:f>
      </x:c>
      <x:c r="G65" s="7" t="str">
        <x:f>'Evaluation Plan'!H65</x:f>
        <x:v>Move the closed white cup into the bowl.</x:v>
      </x:c>
      <x:c r="H65" s="7" t="str">
        <x:f>'Evaluation Plan'!I65</x:f>
        <x:v>P1 white cup A (O, UD) [STATE COMPETITOR]; P2 yellow-white striped cup A (O, UR); P3 brown cup B (C, UD); P4 white cup B (C, UD) [TARGET]</x:v>
      </x:c>
      <x:c r="I65" s="8" t="str">
        <x:f>'Evaluation Plan'!J65</x:f>
        <x:v>white cup B</x:v>
      </x:c>
      <x:c r="J65" s="8" t="str">
        <x:v>Not started</x:v>
      </x:c>
      <x:c r="K65" s="8"/>
      <x:c r="L65" s="8"/>
      <x:c r="M65" s="7"/>
    </x:row>
    <x:row r="66" ht="58" customHeight="1">
      <x:c r="A66" s="8" t="n">
        <x:f>'Evaluation Plan'!A66</x:f>
        <x:v>64</x:v>
      </x:c>
      <x:c r="B66" s="8" t="n">
        <x:f>'Evaluation Plan'!B66</x:f>
        <x:v>25</x:v>
      </x:c>
      <x:c r="C66" s="8" t="str">
        <x:f>'Evaluation Plan'!C66</x:f>
        <x:v>Additional transfer</x:v>
      </x:c>
      <x:c r="D66" s="8" t="str">
        <x:f>'Evaluation Plan'!D66</x:f>
        <x:v>Concept/compositional transfer</x:v>
      </x:c>
      <x:c r="E66" s="8" t="str">
        <x:f>'Evaluation Plan'!F66</x:f>
        <x:v>SR-X05</x:v>
      </x:c>
      <x:c r="F66" s="8" t="str">
        <x:f>IF('Evaluation Plan'!D66="Language robustness",'Evaluation Plan'!G66,IF('Evaluation Plan'!D66="Matched manipulation control",'Evaluation Plan'!G66,""))</x:f>
      </x:c>
      <x:c r="G66" s="7" t="str">
        <x:f>'Evaluation Plan'!H66</x:f>
        <x:v>Place the closed yellow-white striped cup in the bowl.</x:v>
      </x:c>
      <x:c r="H66" s="7" t="str">
        <x:f>'Evaluation Plan'!I66</x:f>
        <x:v>P1 yellow-white striped cup A (C, UR) [TARGET]; P2 yellow-white striped cup B (O, UR) [STATE COMPETITOR]; P3 white cup A (O, UR); P4 brown cup B (C, UD)</x:v>
      </x:c>
      <x:c r="I66" s="8" t="str">
        <x:f>'Evaluation Plan'!J66</x:f>
        <x:v>yellow-white striped cup A</x:v>
      </x:c>
      <x:c r="J66" s="8" t="str">
        <x:v>Not started</x:v>
      </x:c>
      <x:c r="K66" s="8"/>
      <x:c r="L66" s="8"/>
      <x:c r="M66" s="7"/>
    </x:row>
    <x:row r="67" ht="58" customHeight="1">
      <x:c r="A67" s="8" t="n">
        <x:f>'Evaluation Plan'!A67</x:f>
        <x:v>65</x:v>
      </x:c>
      <x:c r="B67" s="8" t="n">
        <x:f>'Evaluation Plan'!B67</x:f>
        <x:v>26</x:v>
      </x:c>
      <x:c r="C67" s="8" t="str">
        <x:f>'Evaluation Plan'!C67</x:f>
        <x:v>Additional transfer</x:v>
      </x:c>
      <x:c r="D67" s="8" t="str">
        <x:f>'Evaluation Plan'!D67</x:f>
        <x:v>Concept/compositional transfer</x:v>
      </x:c>
      <x:c r="E67" s="8" t="str">
        <x:f>'Evaluation Plan'!F67</x:f>
        <x:v>SR-X06</x:v>
      </x:c>
      <x:c r="F67" s="8" t="str">
        <x:f>IF('Evaluation Plan'!D67="Language robustness",'Evaluation Plan'!G67,IF('Evaluation Plan'!D67="Matched manipulation control",'Evaluation Plan'!G67,""))</x:f>
      </x:c>
      <x:c r="G67" s="7" t="str">
        <x:f>'Evaluation Plan'!H67</x:f>
        <x:v>Put the closed brown cup in the bowl.</x:v>
      </x:c>
      <x:c r="H67" s="7" t="str">
        <x:f>'Evaluation Plan'!I67</x:f>
        <x:v>P1 white cup B (C, UD); P2 brown cup B (C, UD) [TARGET]; P3 brown cup A (O, UD) [STATE COMPETITOR]; P4 yellow-white striped cup A (O, UR)</x:v>
      </x:c>
      <x:c r="I67" s="8" t="str">
        <x:f>'Evaluation Plan'!J67</x:f>
        <x:v>brown cup B</x:v>
      </x:c>
      <x:c r="J67" s="8" t="str">
        <x:v>Not started</x:v>
      </x:c>
      <x:c r="K67" s="8"/>
      <x:c r="L67" s="8"/>
      <x:c r="M67" s="7"/>
    </x:row>
    <x:row r="68" ht="58" customHeight="1">
      <x:c r="A68" s="8" t="n">
        <x:f>'Evaluation Plan'!A68</x:f>
        <x:v>66</x:v>
      </x:c>
      <x:c r="B68" s="8" t="n">
        <x:f>'Evaluation Plan'!B68</x:f>
        <x:v>27</x:v>
      </x:c>
      <x:c r="C68" s="8" t="str">
        <x:f>'Evaluation Plan'!C68</x:f>
        <x:v>Additional transfer</x:v>
      </x:c>
      <x:c r="D68" s="8" t="str">
        <x:f>'Evaluation Plan'!D68</x:f>
        <x:v>Concept/compositional transfer</x:v>
      </x:c>
      <x:c r="E68" s="8" t="str">
        <x:f>'Evaluation Plan'!F68</x:f>
        <x:v>SR-X07</x:v>
      </x:c>
      <x:c r="F68" s="8" t="str">
        <x:f>IF('Evaluation Plan'!D68="Language robustness",'Evaluation Plan'!G68,IF('Evaluation Plan'!D68="Matched manipulation control",'Evaluation Plan'!G68,""))</x:f>
      </x:c>
      <x:c r="G68" s="7" t="str">
        <x:f>'Evaluation Plan'!H68</x:f>
        <x:v>Move the closed glass spice container into the bowl.</x:v>
      </x:c>
      <x:c r="H68" s="7" t="str">
        <x:f>'Evaluation Plan'!I68</x:f>
        <x:v>P1 white cup A (O, UR); P2 yellow-white striped cup B (C, UD); P3 glass spice container A (C, UR) [TARGET]; P4 glass spice container B (O, UR) [STATE COMPETITOR]</x:v>
      </x:c>
      <x:c r="I68" s="8" t="str">
        <x:f>'Evaluation Plan'!J68</x:f>
        <x:v>glass spice container A</x:v>
      </x:c>
      <x:c r="J68" s="8" t="str">
        <x:v>Not started</x:v>
      </x:c>
      <x:c r="K68" s="8"/>
      <x:c r="L68" s="8"/>
      <x:c r="M68" s="7"/>
    </x:row>
    <x:row r="69" ht="58" customHeight="1">
      <x:c r="A69" s="8" t="n">
        <x:f>'Evaluation Plan'!A69</x:f>
        <x:v>67</x:v>
      </x:c>
      <x:c r="B69" s="8" t="n">
        <x:f>'Evaluation Plan'!B69</x:f>
        <x:v>28</x:v>
      </x:c>
      <x:c r="C69" s="8" t="str">
        <x:f>'Evaluation Plan'!C69</x:f>
        <x:v>Additional transfer</x:v>
      </x:c>
      <x:c r="D69" s="8" t="str">
        <x:f>'Evaluation Plan'!D69</x:f>
        <x:v>Concept/compositional transfer</x:v>
      </x:c>
      <x:c r="E69" s="8" t="str">
        <x:f>'Evaluation Plan'!F69</x:f>
        <x:v>SR-X08</x:v>
      </x:c>
      <x:c r="F69" s="8" t="str">
        <x:f>IF('Evaluation Plan'!D69="Language robustness",'Evaluation Plan'!G69,IF('Evaluation Plan'!D69="Matched manipulation control",'Evaluation Plan'!G69,""))</x:f>
      </x:c>
      <x:c r="G69" s="7" t="str">
        <x:f>'Evaluation Plan'!H69</x:f>
        <x:v>Place the closed white cup in the bowl.</x:v>
      </x:c>
      <x:c r="H69" s="7" t="str">
        <x:f>'Evaluation Plan'!I69</x:f>
        <x:v>P1 white cup A (O, UD) [STATE COMPETITOR]; P2 yellow-white striped cup A (O, UR); P3 brown cup B (C, UD); P4 white cup B (C, UD) [TARGET]</x:v>
      </x:c>
      <x:c r="I69" s="8" t="str">
        <x:f>'Evaluation Plan'!J69</x:f>
        <x:v>white cup B</x:v>
      </x:c>
      <x:c r="J69" s="8" t="str">
        <x:v>Not started</x:v>
      </x:c>
      <x:c r="K69" s="8"/>
      <x:c r="L69" s="8"/>
      <x:c r="M69" s="7"/>
    </x:row>
    <x:row r="70" ht="58" customHeight="1">
      <x:c r="A70" s="8" t="n">
        <x:f>'Evaluation Plan'!A70</x:f>
        <x:v>68</x:v>
      </x:c>
      <x:c r="B70" s="8" t="n">
        <x:f>'Evaluation Plan'!B70</x:f>
        <x:v>29</x:v>
      </x:c>
      <x:c r="C70" s="8" t="str">
        <x:f>'Evaluation Plan'!C70</x:f>
        <x:v>Additional transfer</x:v>
      </x:c>
      <x:c r="D70" s="8" t="str">
        <x:f>'Evaluation Plan'!D70</x:f>
        <x:v>Concept/compositional transfer</x:v>
      </x:c>
      <x:c r="E70" s="8" t="str">
        <x:f>'Evaluation Plan'!F70</x:f>
        <x:v>SR-X09</x:v>
      </x:c>
      <x:c r="F70" s="8" t="str">
        <x:f>IF('Evaluation Plan'!D70="Language robustness",'Evaluation Plan'!G70,IF('Evaluation Plan'!D70="Matched manipulation control",'Evaluation Plan'!G70,""))</x:f>
      </x:c>
      <x:c r="G70" s="7" t="str">
        <x:f>'Evaluation Plan'!H70</x:f>
        <x:v>Put the closed yellow-white striped cup in the bowl.</x:v>
      </x:c>
      <x:c r="H70" s="7" t="str">
        <x:f>'Evaluation Plan'!I70</x:f>
        <x:v>P1 yellow-white striped cup A (C, UR) [TARGET]; P2 yellow-white striped cup B (O, UR) [STATE COMPETITOR]; P3 white cup A (O, UR); P4 brown cup B (C, UD)</x:v>
      </x:c>
      <x:c r="I70" s="8" t="str">
        <x:f>'Evaluation Plan'!J70</x:f>
        <x:v>yellow-white striped cup A</x:v>
      </x:c>
      <x:c r="J70" s="8" t="str">
        <x:v>Not started</x:v>
      </x:c>
      <x:c r="K70" s="8"/>
      <x:c r="L70" s="8"/>
      <x:c r="M70" s="7"/>
    </x:row>
    <x:row r="71" ht="58" customHeight="1">
      <x:c r="A71" s="8" t="n">
        <x:f>'Evaluation Plan'!A71</x:f>
        <x:v>69</x:v>
      </x:c>
      <x:c r="B71" s="8" t="n">
        <x:f>'Evaluation Plan'!B71</x:f>
        <x:v>30</x:v>
      </x:c>
      <x:c r="C71" s="8" t="str">
        <x:f>'Evaluation Plan'!C71</x:f>
        <x:v>Additional transfer</x:v>
      </x:c>
      <x:c r="D71" s="8" t="str">
        <x:f>'Evaluation Plan'!D71</x:f>
        <x:v>Concept/compositional transfer</x:v>
      </x:c>
      <x:c r="E71" s="8" t="str">
        <x:f>'Evaluation Plan'!F71</x:f>
        <x:v>SR-X10</x:v>
      </x:c>
      <x:c r="F71" s="8" t="str">
        <x:f>IF('Evaluation Plan'!D71="Language robustness",'Evaluation Plan'!G71,IF('Evaluation Plan'!D71="Matched manipulation control",'Evaluation Plan'!G71,""))</x:f>
      </x:c>
      <x:c r="G71" s="7" t="str">
        <x:f>'Evaluation Plan'!H71</x:f>
        <x:v>Move the closed brown cup into the bowl.</x:v>
      </x:c>
      <x:c r="H71" s="7" t="str">
        <x:f>'Evaluation Plan'!I71</x:f>
        <x:v>P1 white cup B (C, UD); P2 brown cup B (C, UD) [TARGET]; P3 brown cup A (O, UD) [STATE COMPETITOR]; P4 yellow-white striped cup A (O, UR)</x:v>
      </x:c>
      <x:c r="I71" s="8" t="str">
        <x:f>'Evaluation Plan'!J71</x:f>
        <x:v>brown cup B</x:v>
      </x:c>
      <x:c r="J71" s="8" t="str">
        <x:v>Not started</x:v>
      </x:c>
      <x:c r="K71" s="8"/>
      <x:c r="L71" s="8"/>
      <x:c r="M71" s="7"/>
    </x:row>
    <x:row r="72" ht="58" customHeight="1">
      <x:c r="A72" s="8" t="n">
        <x:f>'Evaluation Plan'!A72</x:f>
        <x:v>70</x:v>
      </x:c>
      <x:c r="B72" s="8" t="n">
        <x:f>'Evaluation Plan'!B72</x:f>
        <x:v>31</x:v>
      </x:c>
      <x:c r="C72" s="8" t="str">
        <x:f>'Evaluation Plan'!C72</x:f>
        <x:v>Additional transfer</x:v>
      </x:c>
      <x:c r="D72" s="8" t="str">
        <x:f>'Evaluation Plan'!D72</x:f>
        <x:v>Concept/compositional transfer</x:v>
      </x:c>
      <x:c r="E72" s="8" t="str">
        <x:f>'Evaluation Plan'!F72</x:f>
        <x:v>SR-X11</x:v>
      </x:c>
      <x:c r="F72" s="8" t="str">
        <x:f>IF('Evaluation Plan'!D72="Language robustness",'Evaluation Plan'!G72,IF('Evaluation Plan'!D72="Matched manipulation control",'Evaluation Plan'!G72,""))</x:f>
      </x:c>
      <x:c r="G72" s="7" t="str">
        <x:f>'Evaluation Plan'!H72</x:f>
        <x:v>Place the open glass spice container in the bowl.</x:v>
      </x:c>
      <x:c r="H72" s="7" t="str">
        <x:f>'Evaluation Plan'!I72</x:f>
        <x:v>P1 white cup A (O, UR); P2 yellow-white striped cup B (C, UD); P3 glass spice container A (O, UR) [TARGET]; P4 glass spice container B (C, UR) [STATE COMPETITOR]</x:v>
      </x:c>
      <x:c r="I72" s="8" t="str">
        <x:f>'Evaluation Plan'!J72</x:f>
        <x:v>glass spice container A</x:v>
      </x:c>
      <x:c r="J72" s="8" t="str">
        <x:v>Not started</x:v>
      </x:c>
      <x:c r="K72" s="8"/>
      <x:c r="L72" s="8"/>
      <x:c r="M72" s="7"/>
    </x:row>
    <x:row r="73" ht="58" customHeight="1">
      <x:c r="A73" s="8" t="n">
        <x:f>'Evaluation Plan'!A73</x:f>
        <x:v>71</x:v>
      </x:c>
      <x:c r="B73" s="8" t="n">
        <x:f>'Evaluation Plan'!B73</x:f>
        <x:v>32</x:v>
      </x:c>
      <x:c r="C73" s="8" t="str">
        <x:f>'Evaluation Plan'!C73</x:f>
        <x:v>Additional transfer</x:v>
      </x:c>
      <x:c r="D73" s="8" t="str">
        <x:f>'Evaluation Plan'!D73</x:f>
        <x:v>Concept/compositional transfer</x:v>
      </x:c>
      <x:c r="E73" s="8" t="str">
        <x:f>'Evaluation Plan'!F73</x:f>
        <x:v>SR-X12</x:v>
      </x:c>
      <x:c r="F73" s="8" t="str">
        <x:f>IF('Evaluation Plan'!D73="Language robustness",'Evaluation Plan'!G73,IF('Evaluation Plan'!D73="Matched manipulation control",'Evaluation Plan'!G73,""))</x:f>
      </x:c>
      <x:c r="G73" s="7" t="str">
        <x:f>'Evaluation Plan'!H73</x:f>
        <x:v>Put the open white cup in the bowl.</x:v>
      </x:c>
      <x:c r="H73" s="7" t="str">
        <x:f>'Evaluation Plan'!I73</x:f>
        <x:v>P1 white cup A (C, UD) [STATE COMPETITOR]; P2 yellow-white striped cup A (O, UR); P3 brown cup B (C, UD); P4 white cup B (O, UD) [TARGET]</x:v>
      </x:c>
      <x:c r="I73" s="8" t="str">
        <x:f>'Evaluation Plan'!J73</x:f>
        <x:v>white cup B</x:v>
      </x:c>
      <x:c r="J73" s="8" t="str">
        <x:v>Not started</x:v>
      </x:c>
      <x:c r="K73" s="8"/>
      <x:c r="L73" s="8"/>
      <x:c r="M73" s="7"/>
    </x:row>
    <x:row r="74" ht="58" customHeight="1">
      <x:c r="A74" s="8" t="n">
        <x:f>'Evaluation Plan'!A74</x:f>
        <x:v>72</x:v>
      </x:c>
      <x:c r="B74" s="8" t="n">
        <x:f>'Evaluation Plan'!B74</x:f>
        <x:v>33</x:v>
      </x:c>
      <x:c r="C74" s="8" t="str">
        <x:f>'Evaluation Plan'!C74</x:f>
        <x:v>Additional transfer</x:v>
      </x:c>
      <x:c r="D74" s="8" t="str">
        <x:f>'Evaluation Plan'!D74</x:f>
        <x:v>Concept/compositional transfer</x:v>
      </x:c>
      <x:c r="E74" s="8" t="str">
        <x:f>'Evaluation Plan'!F74</x:f>
        <x:v>SR-X13</x:v>
      </x:c>
      <x:c r="F74" s="8" t="str">
        <x:f>IF('Evaluation Plan'!D74="Language robustness",'Evaluation Plan'!G74,IF('Evaluation Plan'!D74="Matched manipulation control",'Evaluation Plan'!G74,""))</x:f>
      </x:c>
      <x:c r="G74" s="7" t="str">
        <x:f>'Evaluation Plan'!H74</x:f>
        <x:v>Move the open yellow-white striped cup into the bowl.</x:v>
      </x:c>
      <x:c r="H74" s="7" t="str">
        <x:f>'Evaluation Plan'!I74</x:f>
        <x:v>P1 yellow-white striped cup A (O, UR) [TARGET]; P2 yellow-white striped cup B (C, UR) [STATE COMPETITOR]; P3 white cup A (O, UR); P4 brown cup B (C, UD)</x:v>
      </x:c>
      <x:c r="I74" s="8" t="str">
        <x:f>'Evaluation Plan'!J74</x:f>
        <x:v>yellow-white striped cup A</x:v>
      </x:c>
      <x:c r="J74" s="8" t="str">
        <x:v>Not started</x:v>
      </x:c>
      <x:c r="K74" s="8"/>
      <x:c r="L74" s="8"/>
      <x:c r="M74" s="7"/>
    </x:row>
    <x:row r="75" ht="58" customHeight="1">
      <x:c r="A75" s="8" t="n">
        <x:f>'Evaluation Plan'!A75</x:f>
        <x:v>73</x:v>
      </x:c>
      <x:c r="B75" s="8" t="n">
        <x:f>'Evaluation Plan'!B75</x:f>
        <x:v>34</x:v>
      </x:c>
      <x:c r="C75" s="8" t="str">
        <x:f>'Evaluation Plan'!C75</x:f>
        <x:v>Additional transfer</x:v>
      </x:c>
      <x:c r="D75" s="8" t="str">
        <x:f>'Evaluation Plan'!D75</x:f>
        <x:v>Concept/compositional transfer</x:v>
      </x:c>
      <x:c r="E75" s="8" t="str">
        <x:f>'Evaluation Plan'!F75</x:f>
        <x:v>SR-X14</x:v>
      </x:c>
      <x:c r="F75" s="8" t="str">
        <x:f>IF('Evaluation Plan'!D75="Language robustness",'Evaluation Plan'!G75,IF('Evaluation Plan'!D75="Matched manipulation control",'Evaluation Plan'!G75,""))</x:f>
      </x:c>
      <x:c r="G75" s="7" t="str">
        <x:f>'Evaluation Plan'!H75</x:f>
        <x:v>Place the open brown cup in the bowl.</x:v>
      </x:c>
      <x:c r="H75" s="7" t="str">
        <x:f>'Evaluation Plan'!I75</x:f>
        <x:v>P1 white cup B (C, UD); P2 brown cup B (O, UD) [TARGET]; P3 brown cup A (C, UD) [STATE COMPETITOR]; P4 yellow-white striped cup A (O, UR)</x:v>
      </x:c>
      <x:c r="I75" s="8" t="str">
        <x:f>'Evaluation Plan'!J75</x:f>
        <x:v>brown cup B</x:v>
      </x:c>
      <x:c r="J75" s="8" t="str">
        <x:v>Not started</x:v>
      </x:c>
      <x:c r="K75" s="8"/>
      <x:c r="L75" s="8"/>
      <x:c r="M75" s="7"/>
    </x:row>
    <x:row r="76" ht="58" customHeight="1">
      <x:c r="A76" s="8" t="n">
        <x:f>'Evaluation Plan'!A76</x:f>
        <x:v>74</x:v>
      </x:c>
      <x:c r="B76" s="8" t="n">
        <x:f>'Evaluation Plan'!B76</x:f>
        <x:v>35</x:v>
      </x:c>
      <x:c r="C76" s="8" t="str">
        <x:f>'Evaluation Plan'!C76</x:f>
        <x:v>Additional transfer</x:v>
      </x:c>
      <x:c r="D76" s="8" t="str">
        <x:f>'Evaluation Plan'!D76</x:f>
        <x:v>Concept/compositional transfer</x:v>
      </x:c>
      <x:c r="E76" s="8" t="str">
        <x:f>'Evaluation Plan'!F76</x:f>
        <x:v>SR-X15</x:v>
      </x:c>
      <x:c r="F76" s="8" t="str">
        <x:f>IF('Evaluation Plan'!D76="Language robustness",'Evaluation Plan'!G76,IF('Evaluation Plan'!D76="Matched manipulation control",'Evaluation Plan'!G76,""))</x:f>
      </x:c>
      <x:c r="G76" s="7" t="str">
        <x:f>'Evaluation Plan'!H76</x:f>
        <x:v>Put the open glass spice container in the bowl.</x:v>
      </x:c>
      <x:c r="H76" s="7" t="str">
        <x:f>'Evaluation Plan'!I76</x:f>
        <x:v>P1 white cup A (O, UR); P2 yellow-white striped cup B (C, UD); P3 glass spice container A (O, UR) [TARGET]; P4 glass spice container B (C, UR) [STATE COMPETITOR]</x:v>
      </x:c>
      <x:c r="I76" s="8" t="str">
        <x:f>'Evaluation Plan'!J76</x:f>
        <x:v>glass spice container A</x:v>
      </x:c>
      <x:c r="J76" s="8" t="str">
        <x:v>Not started</x:v>
      </x:c>
      <x:c r="K76" s="8"/>
      <x:c r="L76" s="8"/>
      <x:c r="M76" s="7"/>
    </x:row>
    <x:row r="77" ht="58" customHeight="1">
      <x:c r="A77" s="8" t="n">
        <x:f>'Evaluation Plan'!A77</x:f>
        <x:v>75</x:v>
      </x:c>
      <x:c r="B77" s="8" t="n">
        <x:f>'Evaluation Plan'!B77</x:f>
        <x:v>36</x:v>
      </x:c>
      <x:c r="C77" s="8" t="str">
        <x:f>'Evaluation Plan'!C77</x:f>
        <x:v>Additional transfer</x:v>
      </x:c>
      <x:c r="D77" s="8" t="str">
        <x:f>'Evaluation Plan'!D77</x:f>
        <x:v>Concept/compositional transfer</x:v>
      </x:c>
      <x:c r="E77" s="8" t="str">
        <x:f>'Evaluation Plan'!F77</x:f>
        <x:v>SR-X16</x:v>
      </x:c>
      <x:c r="F77" s="8" t="str">
        <x:f>IF('Evaluation Plan'!D77="Language robustness",'Evaluation Plan'!G77,IF('Evaluation Plan'!D77="Matched manipulation control",'Evaluation Plan'!G77,""))</x:f>
      </x:c>
      <x:c r="G77" s="7" t="str">
        <x:f>'Evaluation Plan'!H77</x:f>
        <x:v>Move the upright white cup into the bowl.</x:v>
      </x:c>
      <x:c r="H77" s="7" t="str">
        <x:f>'Evaluation Plan'!I77</x:f>
        <x:v>P1 white cup A (C, UD) [STATE COMPETITOR]; P2 yellow-white striped cup A (O, UR); P3 brown cup B (C, UD); P4 white cup B (C, UR) [TARGET]</x:v>
      </x:c>
      <x:c r="I77" s="8" t="str">
        <x:f>'Evaluation Plan'!J77</x:f>
        <x:v>white cup B</x:v>
      </x:c>
      <x:c r="J77" s="8" t="str">
        <x:v>Not started</x:v>
      </x:c>
      <x:c r="K77" s="8"/>
      <x:c r="L77" s="8"/>
      <x:c r="M77" s="7"/>
    </x:row>
    <x:row r="78" ht="58" customHeight="1">
      <x:c r="A78" s="8" t="n">
        <x:f>'Evaluation Plan'!A78</x:f>
        <x:v>76</x:v>
      </x:c>
      <x:c r="B78" s="8" t="n">
        <x:f>'Evaluation Plan'!B78</x:f>
        <x:v>37</x:v>
      </x:c>
      <x:c r="C78" s="8" t="str">
        <x:f>'Evaluation Plan'!C78</x:f>
        <x:v>Additional transfer</x:v>
      </x:c>
      <x:c r="D78" s="8" t="str">
        <x:f>'Evaluation Plan'!D78</x:f>
        <x:v>Concept/compositional transfer</x:v>
      </x:c>
      <x:c r="E78" s="8" t="str">
        <x:f>'Evaluation Plan'!F78</x:f>
        <x:v>SR-X17</x:v>
      </x:c>
      <x:c r="F78" s="8" t="str">
        <x:f>IF('Evaluation Plan'!D78="Language robustness",'Evaluation Plan'!G78,IF('Evaluation Plan'!D78="Matched manipulation control",'Evaluation Plan'!G78,""))</x:f>
      </x:c>
      <x:c r="G78" s="7" t="str">
        <x:f>'Evaluation Plan'!H78</x:f>
        <x:v>Place the upright yellow-white striped cup in the bowl.</x:v>
      </x:c>
      <x:c r="H78" s="7" t="str">
        <x:f>'Evaluation Plan'!I78</x:f>
        <x:v>P1 yellow-white striped cup A (O, UR) [TARGET]; P2 yellow-white striped cup B (O, UD) [STATE COMPETITOR]; P3 white cup A (O, UR); P4 brown cup B (C, UD)</x:v>
      </x:c>
      <x:c r="I78" s="8" t="str">
        <x:f>'Evaluation Plan'!J78</x:f>
        <x:v>yellow-white striped cup A</x:v>
      </x:c>
      <x:c r="J78" s="8" t="str">
        <x:v>Not started</x:v>
      </x:c>
      <x:c r="K78" s="8"/>
      <x:c r="L78" s="8"/>
      <x:c r="M78" s="7"/>
    </x:row>
    <x:row r="79" ht="58" customHeight="1">
      <x:c r="A79" s="8" t="n">
        <x:f>'Evaluation Plan'!A79</x:f>
        <x:v>77</x:v>
      </x:c>
      <x:c r="B79" s="8" t="n">
        <x:f>'Evaluation Plan'!B79</x:f>
        <x:v>38</x:v>
      </x:c>
      <x:c r="C79" s="8" t="str">
        <x:f>'Evaluation Plan'!C79</x:f>
        <x:v>Additional transfer</x:v>
      </x:c>
      <x:c r="D79" s="8" t="str">
        <x:f>'Evaluation Plan'!D79</x:f>
        <x:v>Concept/compositional transfer</x:v>
      </x:c>
      <x:c r="E79" s="8" t="str">
        <x:f>'Evaluation Plan'!F79</x:f>
        <x:v>SR-X18</x:v>
      </x:c>
      <x:c r="F79" s="8" t="str">
        <x:f>IF('Evaluation Plan'!D79="Language robustness",'Evaluation Plan'!G79,IF('Evaluation Plan'!D79="Matched manipulation control",'Evaluation Plan'!G79,""))</x:f>
      </x:c>
      <x:c r="G79" s="7" t="str">
        <x:f>'Evaluation Plan'!H79</x:f>
        <x:v>Put the upright brown cup in the bowl.</x:v>
      </x:c>
      <x:c r="H79" s="7" t="str">
        <x:f>'Evaluation Plan'!I79</x:f>
        <x:v>P1 white cup B (C, UD); P2 brown cup B (C, UR) [TARGET]; P3 brown cup A (C, UD) [STATE COMPETITOR]; P4 yellow-white striped cup A (O, UR)</x:v>
      </x:c>
      <x:c r="I79" s="8" t="str">
        <x:f>'Evaluation Plan'!J79</x:f>
        <x:v>brown cup B</x:v>
      </x:c>
      <x:c r="J79" s="8" t="str">
        <x:v>Not started</x:v>
      </x:c>
      <x:c r="K79" s="8"/>
      <x:c r="L79" s="8"/>
      <x:c r="M79" s="7"/>
    </x:row>
    <x:row r="80" ht="58" customHeight="1">
      <x:c r="A80" s="8" t="n">
        <x:f>'Evaluation Plan'!A80</x:f>
        <x:v>78</x:v>
      </x:c>
      <x:c r="B80" s="8" t="n">
        <x:f>'Evaluation Plan'!B80</x:f>
        <x:v>39</x:v>
      </x:c>
      <x:c r="C80" s="8" t="str">
        <x:f>'Evaluation Plan'!C80</x:f>
        <x:v>Additional transfer</x:v>
      </x:c>
      <x:c r="D80" s="8" t="str">
        <x:f>'Evaluation Plan'!D80</x:f>
        <x:v>Concept/compositional transfer</x:v>
      </x:c>
      <x:c r="E80" s="8" t="str">
        <x:f>'Evaluation Plan'!F80</x:f>
        <x:v>SR-X19</x:v>
      </x:c>
      <x:c r="F80" s="8" t="str">
        <x:f>IF('Evaluation Plan'!D80="Language robustness",'Evaluation Plan'!G80,IF('Evaluation Plan'!D80="Matched manipulation control",'Evaluation Plan'!G80,""))</x:f>
      </x:c>
      <x:c r="G80" s="7" t="str">
        <x:f>'Evaluation Plan'!H80</x:f>
        <x:v>Move the upright glass spice container into the bowl.</x:v>
      </x:c>
      <x:c r="H80" s="7" t="str">
        <x:f>'Evaluation Plan'!I80</x:f>
        <x:v>P1 white cup A (O, UR); P2 yellow-white striped cup B (C, UD); P3 glass spice container A (O, UR) [TARGET]; P4 glass spice container B (O, UD) [STATE COMPETITOR]</x:v>
      </x:c>
      <x:c r="I80" s="8" t="str">
        <x:f>'Evaluation Plan'!J80</x:f>
        <x:v>glass spice container A</x:v>
      </x:c>
      <x:c r="J80" s="8" t="str">
        <x:v>Not started</x:v>
      </x:c>
      <x:c r="K80" s="8"/>
      <x:c r="L80" s="8"/>
      <x:c r="M80" s="7"/>
    </x:row>
    <x:row r="81" ht="58" customHeight="1">
      <x:c r="A81" s="8" t="n">
        <x:f>'Evaluation Plan'!A81</x:f>
        <x:v>79</x:v>
      </x:c>
      <x:c r="B81" s="8" t="n">
        <x:f>'Evaluation Plan'!B81</x:f>
        <x:v>40</x:v>
      </x:c>
      <x:c r="C81" s="8" t="str">
        <x:f>'Evaluation Plan'!C81</x:f>
        <x:v>Additional transfer</x:v>
      </x:c>
      <x:c r="D81" s="8" t="str">
        <x:f>'Evaluation Plan'!D81</x:f>
        <x:v>Concept/compositional transfer</x:v>
      </x:c>
      <x:c r="E81" s="8" t="str">
        <x:f>'Evaluation Plan'!F81</x:f>
        <x:v>SR-X20</x:v>
      </x:c>
      <x:c r="F81" s="8" t="str">
        <x:f>IF('Evaluation Plan'!D81="Language robustness",'Evaluation Plan'!G81,IF('Evaluation Plan'!D81="Matched manipulation control",'Evaluation Plan'!G81,""))</x:f>
      </x:c>
      <x:c r="G81" s="7" t="str">
        <x:f>'Evaluation Plan'!H81</x:f>
        <x:v>Place the upright white cup in the bowl.</x:v>
      </x:c>
      <x:c r="H81" s="7" t="str">
        <x:f>'Evaluation Plan'!I81</x:f>
        <x:v>P1 white cup A (C, UD) [STATE COMPETITOR]; P2 yellow-white striped cup A (O, UR); P3 brown cup B (C, UD); P4 white cup B (C, UR) [TARGET]</x:v>
      </x:c>
      <x:c r="I81" s="8" t="str">
        <x:f>'Evaluation Plan'!J81</x:f>
        <x:v>white cup B</x:v>
      </x:c>
      <x:c r="J81" s="8" t="str">
        <x:v>Not started</x:v>
      </x:c>
      <x:c r="K81" s="8"/>
      <x:c r="L81" s="8"/>
      <x:c r="M81" s="7"/>
    </x:row>
    <x:row r="82" ht="58" customHeight="1">
      <x:c r="A82" s="8" t="n">
        <x:f>'Evaluation Plan'!A82</x:f>
        <x:v>80</x:v>
      </x:c>
      <x:c r="B82" s="8" t="n">
        <x:f>'Evaluation Plan'!B82</x:f>
        <x:v>41</x:v>
      </x:c>
      <x:c r="C82" s="8" t="str">
        <x:f>'Evaluation Plan'!C82</x:f>
        <x:v>Additional transfer</x:v>
      </x:c>
      <x:c r="D82" s="8" t="str">
        <x:f>'Evaluation Plan'!D82</x:f>
        <x:v>Concept/compositional transfer</x:v>
      </x:c>
      <x:c r="E82" s="8" t="str">
        <x:f>'Evaluation Plan'!F82</x:f>
        <x:v>SR-X21</x:v>
      </x:c>
      <x:c r="F82" s="8" t="str">
        <x:f>IF('Evaluation Plan'!D82="Language robustness",'Evaluation Plan'!G82,IF('Evaluation Plan'!D82="Matched manipulation control",'Evaluation Plan'!G82,""))</x:f>
      </x:c>
      <x:c r="G82" s="7" t="str">
        <x:f>'Evaluation Plan'!H82</x:f>
        <x:v>Put the upside-down yellow-white striped cup in the bowl.</x:v>
      </x:c>
      <x:c r="H82" s="7" t="str">
        <x:f>'Evaluation Plan'!I82</x:f>
        <x:v>P1 yellow-white striped cup A (O, UD) [TARGET]; P2 yellow-white striped cup B (O, UR) [STATE COMPETITOR]; P3 white cup A (O, UR); P4 brown cup B (C, UD)</x:v>
      </x:c>
      <x:c r="I82" s="8" t="str">
        <x:f>'Evaluation Plan'!J82</x:f>
        <x:v>yellow-white striped cup A</x:v>
      </x:c>
      <x:c r="J82" s="8" t="str">
        <x:v>Not started</x:v>
      </x:c>
      <x:c r="K82" s="8"/>
      <x:c r="L82" s="8"/>
      <x:c r="M82" s="7"/>
    </x:row>
    <x:row r="83" ht="58" customHeight="1">
      <x:c r="A83" s="8" t="n">
        <x:f>'Evaluation Plan'!A83</x:f>
        <x:v>81</x:v>
      </x:c>
      <x:c r="B83" s="8" t="n">
        <x:f>'Evaluation Plan'!B83</x:f>
        <x:v>42</x:v>
      </x:c>
      <x:c r="C83" s="8" t="str">
        <x:f>'Evaluation Plan'!C83</x:f>
        <x:v>Additional transfer</x:v>
      </x:c>
      <x:c r="D83" s="8" t="str">
        <x:f>'Evaluation Plan'!D83</x:f>
        <x:v>Concept/compositional transfer</x:v>
      </x:c>
      <x:c r="E83" s="8" t="str">
        <x:f>'Evaluation Plan'!F83</x:f>
        <x:v>SR-X22</x:v>
      </x:c>
      <x:c r="F83" s="8" t="str">
        <x:f>IF('Evaluation Plan'!D83="Language robustness",'Evaluation Plan'!G83,IF('Evaluation Plan'!D83="Matched manipulation control",'Evaluation Plan'!G83,""))</x:f>
      </x:c>
      <x:c r="G83" s="7" t="str">
        <x:f>'Evaluation Plan'!H83</x:f>
        <x:v>Move the upside-down brown cup into the bowl.</x:v>
      </x:c>
      <x:c r="H83" s="7" t="str">
        <x:f>'Evaluation Plan'!I83</x:f>
        <x:v>P1 white cup B (C, UD); P2 brown cup B (C, UD) [TARGET]; P3 brown cup A (C, UR) [STATE COMPETITOR]; P4 yellow-white striped cup A (O, UR)</x:v>
      </x:c>
      <x:c r="I83" s="8" t="str">
        <x:f>'Evaluation Plan'!J83</x:f>
        <x:v>brown cup B</x:v>
      </x:c>
      <x:c r="J83" s="8" t="str">
        <x:v>Not started</x:v>
      </x:c>
      <x:c r="K83" s="8"/>
      <x:c r="L83" s="8"/>
      <x:c r="M83" s="7"/>
    </x:row>
    <x:row r="84" ht="58" customHeight="1">
      <x:c r="A84" s="8" t="n">
        <x:f>'Evaluation Plan'!A84</x:f>
        <x:v>82</x:v>
      </x:c>
      <x:c r="B84" s="8" t="n">
        <x:f>'Evaluation Plan'!B84</x:f>
        <x:v>43</x:v>
      </x:c>
      <x:c r="C84" s="8" t="str">
        <x:f>'Evaluation Plan'!C84</x:f>
        <x:v>Additional transfer</x:v>
      </x:c>
      <x:c r="D84" s="8" t="str">
        <x:f>'Evaluation Plan'!D84</x:f>
        <x:v>Concept/compositional transfer</x:v>
      </x:c>
      <x:c r="E84" s="8" t="str">
        <x:f>'Evaluation Plan'!F84</x:f>
        <x:v>SR-CAN01</x:v>
      </x:c>
      <x:c r="F84" s="8" t="str">
        <x:f>IF('Evaluation Plan'!D84="Language robustness",'Evaluation Plan'!G84,IF('Evaluation Plan'!D84="Matched manipulation control",'Evaluation Plan'!G84,""))</x:f>
      </x:c>
      <x:c r="G84" s="7" t="str">
        <x:f>'Evaluation Plan'!H84</x:f>
        <x:v>Put the upright can in the bowl.</x:v>
      </x:c>
      <x:c r="H84" s="7" t="str">
        <x:f>'Evaluation Plan'!I84</x:f>
        <x:v>P1 crushed Coke can (UR) [TARGET]; P2 crushed Pepsi can (UD) [STATE COMPETITOR]; P3 white cup A (O, UD); P4 yellow-white striped cup B (C, UD)</x:v>
      </x:c>
      <x:c r="I84" s="8" t="str">
        <x:f>'Evaluation Plan'!J84</x:f>
        <x:v>crushed Coke can</x:v>
      </x:c>
      <x:c r="J84" s="8" t="str">
        <x:v>Not started</x:v>
      </x:c>
      <x:c r="K84" s="8"/>
      <x:c r="L84" s="8"/>
      <x:c r="M84" s="7"/>
    </x:row>
    <x:row r="85" ht="58" customHeight="1">
      <x:c r="A85" s="8" t="n">
        <x:f>'Evaluation Plan'!A85</x:f>
        <x:v>83</x:v>
      </x:c>
      <x:c r="B85" s="8" t="n">
        <x:f>'Evaluation Plan'!B85</x:f>
        <x:v>44</x:v>
      </x:c>
      <x:c r="C85" s="8" t="str">
        <x:f>'Evaluation Plan'!C85</x:f>
        <x:v>Additional transfer</x:v>
      </x:c>
      <x:c r="D85" s="8" t="str">
        <x:f>'Evaluation Plan'!D85</x:f>
        <x:v>Concept/compositional transfer</x:v>
      </x:c>
      <x:c r="E85" s="8" t="str">
        <x:f>'Evaluation Plan'!F85</x:f>
        <x:v>SR-CAN02</x:v>
      </x:c>
      <x:c r="F85" s="8" t="str">
        <x:f>IF('Evaluation Plan'!D85="Language robustness",'Evaluation Plan'!G85,IF('Evaluation Plan'!D85="Matched manipulation control",'Evaluation Plan'!G85,""))</x:f>
      </x:c>
      <x:c r="G85" s="7" t="str">
        <x:f>'Evaluation Plan'!H85</x:f>
        <x:v>Move the upright can into the bowl.</x:v>
      </x:c>
      <x:c r="H85" s="7" t="str">
        <x:f>'Evaluation Plan'!I85</x:f>
        <x:v>P1 yellow-white striped cup B (C, UD); P2 crushed Pepsi can (UR) [TARGET]; P3 crushed Coke can (UD) [STATE COMPETITOR]; P4 brown cup A (O, UD)</x:v>
      </x:c>
      <x:c r="I85" s="8" t="str">
        <x:f>'Evaluation Plan'!J85</x:f>
        <x:v>crushed Pepsi can</x:v>
      </x:c>
      <x:c r="J85" s="8" t="str">
        <x:v>Not started</x:v>
      </x:c>
      <x:c r="K85" s="8"/>
      <x:c r="L85" s="8"/>
      <x:c r="M85" s="7"/>
    </x:row>
    <x:row r="86" ht="58" customHeight="1">
      <x:c r="A86" s="8" t="n">
        <x:f>'Evaluation Plan'!A86</x:f>
        <x:v>84</x:v>
      </x:c>
      <x:c r="B86" s="8" t="n">
        <x:f>'Evaluation Plan'!B86</x:f>
        <x:v>45</x:v>
      </x:c>
      <x:c r="C86" s="8" t="str">
        <x:f>'Evaluation Plan'!C86</x:f>
        <x:v>Additional transfer</x:v>
      </x:c>
      <x:c r="D86" s="8" t="str">
        <x:f>'Evaluation Plan'!D86</x:f>
        <x:v>Concept/compositional transfer</x:v>
      </x:c>
      <x:c r="E86" s="8" t="str">
        <x:f>'Evaluation Plan'!F86</x:f>
        <x:v>SR-CAN03</x:v>
      </x:c>
      <x:c r="F86" s="8" t="str">
        <x:f>IF('Evaluation Plan'!D86="Language robustness",'Evaluation Plan'!G86,IF('Evaluation Plan'!D86="Matched manipulation control",'Evaluation Plan'!G86,""))</x:f>
      </x:c>
      <x:c r="G86" s="7" t="str">
        <x:f>'Evaluation Plan'!H86</x:f>
        <x:v>Place the upright can in the bowl.</x:v>
      </x:c>
      <x:c r="H86" s="7" t="str">
        <x:f>'Evaluation Plan'!I86</x:f>
        <x:v>P1 brown cup A (O, UD); P2 glass spice container B (C, UD); P3 crushed Coke can (UR) [TARGET]; P4 crushed Pepsi can (UD) [STATE COMPETITOR]</x:v>
      </x:c>
      <x:c r="I86" s="8" t="str">
        <x:f>'Evaluation Plan'!J86</x:f>
        <x:v>crushed Coke can</x:v>
      </x:c>
      <x:c r="J86" s="8" t="str">
        <x:v>Not started</x:v>
      </x:c>
      <x:c r="K86" s="8"/>
      <x:c r="L86" s="8"/>
      <x:c r="M86" s="7"/>
    </x:row>
    <x:row r="87" ht="58" customHeight="1">
      <x:c r="A87" s="8" t="n">
        <x:f>'Evaluation Plan'!A87</x:f>
        <x:v>85</x:v>
      </x:c>
      <x:c r="B87" s="8" t="n">
        <x:f>'Evaluation Plan'!B87</x:f>
        <x:v>46</x:v>
      </x:c>
      <x:c r="C87" s="8" t="str">
        <x:f>'Evaluation Plan'!C87</x:f>
        <x:v>Additional transfer</x:v>
      </x:c>
      <x:c r="D87" s="8" t="str">
        <x:f>'Evaluation Plan'!D87</x:f>
        <x:v>Concept/compositional transfer</x:v>
      </x:c>
      <x:c r="E87" s="8" t="str">
        <x:f>'Evaluation Plan'!F87</x:f>
        <x:v>SR-CAN04</x:v>
      </x:c>
      <x:c r="F87" s="8" t="str">
        <x:f>IF('Evaluation Plan'!D87="Language robustness",'Evaluation Plan'!G87,IF('Evaluation Plan'!D87="Matched manipulation control",'Evaluation Plan'!G87,""))</x:f>
      </x:c>
      <x:c r="G87" s="7" t="str">
        <x:f>'Evaluation Plan'!H87</x:f>
        <x:v>Put the upright can in the bowl.</x:v>
      </x:c>
      <x:c r="H87" s="7" t="str">
        <x:f>'Evaluation Plan'!I87</x:f>
        <x:v>P1 crushed Coke can (UD) [STATE COMPETITOR]; P2 glass spice container A (O, UD); P3 white cup B (C, UD); P4 crushed Pepsi can (UR) [TARGET]</x:v>
      </x:c>
      <x:c r="I87" s="8" t="str">
        <x:f>'Evaluation Plan'!J87</x:f>
        <x:v>crushed Pepsi can</x:v>
      </x:c>
      <x:c r="J87" s="8" t="str">
        <x:v>Not started</x:v>
      </x:c>
      <x:c r="K87" s="8"/>
      <x:c r="L87" s="8"/>
      <x:c r="M87" s="7"/>
    </x:row>
    <x:row r="88" ht="58" customHeight="1">
      <x:c r="A88" s="8" t="n">
        <x:f>'Evaluation Plan'!A88</x:f>
        <x:v>86</x:v>
      </x:c>
      <x:c r="B88" s="8" t="n">
        <x:f>'Evaluation Plan'!B88</x:f>
        <x:v>47</x:v>
      </x:c>
      <x:c r="C88" s="8" t="str">
        <x:f>'Evaluation Plan'!C88</x:f>
        <x:v>Additional transfer</x:v>
      </x:c>
      <x:c r="D88" s="8" t="str">
        <x:f>'Evaluation Plan'!D88</x:f>
        <x:v>Concept/compositional transfer</x:v>
      </x:c>
      <x:c r="E88" s="8" t="str">
        <x:f>'Evaluation Plan'!F88</x:f>
        <x:v>SR-CAN05</x:v>
      </x:c>
      <x:c r="F88" s="8" t="str">
        <x:f>IF('Evaluation Plan'!D88="Language robustness",'Evaluation Plan'!G88,IF('Evaluation Plan'!D88="Matched manipulation control",'Evaluation Plan'!G88,""))</x:f>
      </x:c>
      <x:c r="G88" s="7" t="str">
        <x:f>'Evaluation Plan'!H88</x:f>
        <x:v>Move the upright can into the bowl.</x:v>
      </x:c>
      <x:c r="H88" s="7" t="str">
        <x:f>'Evaluation Plan'!I88</x:f>
        <x:v>P1 crushed Coke can (UR) [TARGET]; P2 crushed Pepsi can (UD) [STATE COMPETITOR]; P3 white cup A (O, UD); P4 yellow-white striped cup B (C, UD)</x:v>
      </x:c>
      <x:c r="I88" s="8" t="str">
        <x:f>'Evaluation Plan'!J88</x:f>
        <x:v>crushed Coke can</x:v>
      </x:c>
      <x:c r="J88" s="8" t="str">
        <x:v>Not started</x:v>
      </x:c>
      <x:c r="K88" s="8"/>
      <x:c r="L88" s="8"/>
      <x:c r="M88" s="7"/>
    </x:row>
    <x:row r="89" ht="58" customHeight="1">
      <x:c r="A89" s="8" t="n">
        <x:f>'Evaluation Plan'!A89</x:f>
        <x:v>87</x:v>
      </x:c>
      <x:c r="B89" s="8" t="n">
        <x:f>'Evaluation Plan'!B89</x:f>
        <x:v>48</x:v>
      </x:c>
      <x:c r="C89" s="8" t="str">
        <x:f>'Evaluation Plan'!C89</x:f>
        <x:v>Additional transfer</x:v>
      </x:c>
      <x:c r="D89" s="8" t="str">
        <x:f>'Evaluation Plan'!D89</x:f>
        <x:v>Concept/compositional transfer</x:v>
      </x:c>
      <x:c r="E89" s="8" t="str">
        <x:f>'Evaluation Plan'!F89</x:f>
        <x:v>SR-CAN06</x:v>
      </x:c>
      <x:c r="F89" s="8" t="str">
        <x:f>IF('Evaluation Plan'!D89="Language robustness",'Evaluation Plan'!G89,IF('Evaluation Plan'!D89="Matched manipulation control",'Evaluation Plan'!G89,""))</x:f>
      </x:c>
      <x:c r="G89" s="7" t="str">
        <x:f>'Evaluation Plan'!H89</x:f>
        <x:v>Place the upside-down can in the bowl.</x:v>
      </x:c>
      <x:c r="H89" s="7" t="str">
        <x:f>'Evaluation Plan'!I89</x:f>
        <x:v>P1 yellow-white striped cup B (C, UR); P2 crushed Pepsi can (UD) [TARGET]; P3 crushed Coke can (UR) [STATE COMPETITOR]; P4 brown cup A (O, UR)</x:v>
      </x:c>
      <x:c r="I89" s="8" t="str">
        <x:f>'Evaluation Plan'!J89</x:f>
        <x:v>crushed Pepsi can</x:v>
      </x:c>
      <x:c r="J89" s="8" t="str">
        <x:v>Not started</x:v>
      </x:c>
      <x:c r="K89" s="8"/>
      <x:c r="L89" s="8"/>
      <x:c r="M89" s="7"/>
    </x:row>
    <x:row r="90" ht="58" customHeight="1">
      <x:c r="A90" s="8" t="n">
        <x:f>'Evaluation Plan'!A90</x:f>
        <x:v>88</x:v>
      </x:c>
      <x:c r="B90" s="8" t="n">
        <x:f>'Evaluation Plan'!B90</x:f>
        <x:v>49</x:v>
      </x:c>
      <x:c r="C90" s="8" t="str">
        <x:f>'Evaluation Plan'!C90</x:f>
        <x:v>Additional transfer</x:v>
      </x:c>
      <x:c r="D90" s="8" t="str">
        <x:f>'Evaluation Plan'!D90</x:f>
        <x:v>Concept/compositional transfer</x:v>
      </x:c>
      <x:c r="E90" s="8" t="str">
        <x:f>'Evaluation Plan'!F90</x:f>
        <x:v>SR-CAN07</x:v>
      </x:c>
      <x:c r="F90" s="8" t="str">
        <x:f>IF('Evaluation Plan'!D90="Language robustness",'Evaluation Plan'!G90,IF('Evaluation Plan'!D90="Matched manipulation control",'Evaluation Plan'!G90,""))</x:f>
      </x:c>
      <x:c r="G90" s="7" t="str">
        <x:f>'Evaluation Plan'!H90</x:f>
        <x:v>Put the upside-down can in the bowl.</x:v>
      </x:c>
      <x:c r="H90" s="7" t="str">
        <x:f>'Evaluation Plan'!I90</x:f>
        <x:v>P1 brown cup A (O, UR); P2 glass spice container B (C, UR); P3 crushed Coke can (UD) [TARGET]; P4 crushed Pepsi can (UR) [STATE COMPETITOR]</x:v>
      </x:c>
      <x:c r="I90" s="8" t="str">
        <x:f>'Evaluation Plan'!J90</x:f>
        <x:v>crushed Coke can</x:v>
      </x:c>
      <x:c r="J90" s="8" t="str">
        <x:v>Not started</x:v>
      </x:c>
      <x:c r="K90" s="8"/>
      <x:c r="L90" s="8"/>
      <x:c r="M90" s="7"/>
    </x:row>
    <x:row r="91" ht="58" customHeight="1">
      <x:c r="A91" s="8" t="n">
        <x:f>'Evaluation Plan'!A91</x:f>
        <x:v>89</x:v>
      </x:c>
      <x:c r="B91" s="8" t="n">
        <x:f>'Evaluation Plan'!B91</x:f>
        <x:v>50</x:v>
      </x:c>
      <x:c r="C91" s="8" t="str">
        <x:f>'Evaluation Plan'!C91</x:f>
        <x:v>Additional transfer</x:v>
      </x:c>
      <x:c r="D91" s="8" t="str">
        <x:f>'Evaluation Plan'!D91</x:f>
        <x:v>Concept/compositional transfer</x:v>
      </x:c>
      <x:c r="E91" s="8" t="str">
        <x:f>'Evaluation Plan'!F91</x:f>
        <x:v>SR-CAN08</x:v>
      </x:c>
      <x:c r="F91" s="8" t="str">
        <x:f>IF('Evaluation Plan'!D91="Language robustness",'Evaluation Plan'!G91,IF('Evaluation Plan'!D91="Matched manipulation control",'Evaluation Plan'!G91,""))</x:f>
      </x:c>
      <x:c r="G91" s="7" t="str">
        <x:f>'Evaluation Plan'!H91</x:f>
        <x:v>Move the upside-down can into the bowl.</x:v>
      </x:c>
      <x:c r="H91" s="7" t="str">
        <x:f>'Evaluation Plan'!I91</x:f>
        <x:v>P1 crushed Coke can (UR) [STATE COMPETITOR]; P2 glass spice container A (O, UR); P3 white cup B (C, UR); P4 crushed Pepsi can (UD) [TARGET]</x:v>
      </x:c>
      <x:c r="I91" s="8" t="str">
        <x:f>'Evaluation Plan'!J91</x:f>
        <x:v>crushed Pepsi can</x:v>
      </x:c>
      <x:c r="J91" s="8" t="str">
        <x:v>Not started</x:v>
      </x:c>
      <x:c r="K91" s="8"/>
      <x:c r="L91" s="8"/>
      <x:c r="M91" s="7"/>
    </x:row>
    <x:row r="92" ht="58" customHeight="1">
      <x:c r="A92" s="8" t="n">
        <x:f>'Evaluation Plan'!A92</x:f>
        <x:v>90</x:v>
      </x:c>
      <x:c r="B92" s="8" t="n">
        <x:f>'Evaluation Plan'!B92</x:f>
        <x:v>51</x:v>
      </x:c>
      <x:c r="C92" s="8" t="str">
        <x:f>'Evaluation Plan'!C92</x:f>
        <x:v>Exploratory black-cup pilot</x:v>
      </x:c>
      <x:c r="D92" s="8" t="str">
        <x:f>'Evaluation Plan'!D92</x:f>
        <x:v>Exploratory visual OOD</x:v>
      </x:c>
      <x:c r="E92" s="8" t="str">
        <x:f>'Evaluation Plan'!F92</x:f>
        <x:v>SR-BLK01</x:v>
      </x:c>
      <x:c r="F92" s="8" t="str">
        <x:f>IF('Evaluation Plan'!D92="Language robustness",'Evaluation Plan'!G92,IF('Evaluation Plan'!D92="Matched manipulation control",'Evaluation Plan'!G92,""))</x:f>
      </x:c>
      <x:c r="G92" s="7" t="str">
        <x:f>'Evaluation Plan'!H92</x:f>
        <x:v>Place the closed black cup in the bowl.</x:v>
      </x:c>
      <x:c r="H92" s="7" t="str">
        <x:f>'Evaluation Plan'!I92</x:f>
        <x:v>P1 black cup (C, UR) [TARGET]; P2 brown cup B (C, UD); P3 glass spice container A (O, UR); P4 white cup B (C, UD)</x:v>
      </x:c>
      <x:c r="I92" s="8" t="str">
        <x:f>'Evaluation Plan'!J92</x:f>
        <x:v>black cup</x:v>
      </x:c>
      <x:c r="J92" s="8" t="str">
        <x:v>Not started</x:v>
      </x:c>
      <x:c r="K92" s="8"/>
      <x:c r="L92" s="8"/>
      <x:c r="M92" s="7"/>
    </x:row>
    <x:row r="93" ht="58" customHeight="1">
      <x:c r="A93" s="8" t="n">
        <x:f>'Evaluation Plan'!A93</x:f>
        <x:v>91</x:v>
      </x:c>
      <x:c r="B93" s="8" t="n">
        <x:f>'Evaluation Plan'!B93</x:f>
        <x:v>52</x:v>
      </x:c>
      <x:c r="C93" s="8" t="str">
        <x:f>'Evaluation Plan'!C93</x:f>
        <x:v>Exploratory black-cup pilot</x:v>
      </x:c>
      <x:c r="D93" s="8" t="str">
        <x:f>'Evaluation Plan'!D93</x:f>
        <x:v>Exploratory visual OOD</x:v>
      </x:c>
      <x:c r="E93" s="8" t="str">
        <x:f>'Evaluation Plan'!F93</x:f>
        <x:v>SR-BLK02</x:v>
      </x:c>
      <x:c r="F93" s="8" t="str">
        <x:f>IF('Evaluation Plan'!D93="Language robustness",'Evaluation Plan'!G93,IF('Evaluation Plan'!D93="Matched manipulation control",'Evaluation Plan'!G93,""))</x:f>
      </x:c>
      <x:c r="G93" s="7" t="str">
        <x:f>'Evaluation Plan'!H93</x:f>
        <x:v>Put the closed black cup in the bowl.</x:v>
      </x:c>
      <x:c r="H93" s="7" t="str">
        <x:f>'Evaluation Plan'!I93</x:f>
        <x:v>P1 glass spice container B (C, UD); P2 black cup (C, UD) [TARGET]; P3 white cup B (C, UD); P4 yellow-white striped cup A (O, UR)</x:v>
      </x:c>
      <x:c r="I93" s="8" t="str">
        <x:f>'Evaluation Plan'!J93</x:f>
        <x:v>black cup</x:v>
      </x:c>
      <x:c r="J93" s="8" t="str">
        <x:v>Not started</x:v>
      </x:c>
      <x:c r="K93" s="8"/>
      <x:c r="L93" s="8"/>
      <x:c r="M93" s="7"/>
    </x:row>
    <x:row r="94" ht="58" customHeight="1">
      <x:c r="A94" s="8" t="n">
        <x:f>'Evaluation Plan'!A94</x:f>
        <x:v>92</x:v>
      </x:c>
      <x:c r="B94" s="8" t="n">
        <x:f>'Evaluation Plan'!B94</x:f>
        <x:v>53</x:v>
      </x:c>
      <x:c r="C94" s="8" t="str">
        <x:f>'Evaluation Plan'!C94</x:f>
        <x:v>Exploratory black-cup pilot</x:v>
      </x:c>
      <x:c r="D94" s="8" t="str">
        <x:f>'Evaluation Plan'!D94</x:f>
        <x:v>Exploratory visual OOD</x:v>
      </x:c>
      <x:c r="E94" s="8" t="str">
        <x:f>'Evaluation Plan'!F94</x:f>
        <x:v>SR-BLK03</x:v>
      </x:c>
      <x:c r="F94" s="8" t="str">
        <x:f>IF('Evaluation Plan'!D94="Language robustness",'Evaluation Plan'!G94,IF('Evaluation Plan'!D94="Matched manipulation control",'Evaluation Plan'!G94,""))</x:f>
      </x:c>
      <x:c r="G94" s="7" t="str">
        <x:f>'Evaluation Plan'!H94</x:f>
        <x:v>Move the open black cup into the bowl.</x:v>
      </x:c>
      <x:c r="H94" s="7" t="str">
        <x:f>'Evaluation Plan'!I94</x:f>
        <x:v>P1 white cup A (O, UR); P2 yellow-white striped cup B (C, UD); P3 black cup (O, UR) [TARGET]; P4 brown cup B (C, UD)</x:v>
      </x:c>
      <x:c r="I94" s="8" t="str">
        <x:f>'Evaluation Plan'!J94</x:f>
        <x:v>black cup</x:v>
      </x:c>
      <x:c r="J94" s="8" t="str">
        <x:v>Not started</x:v>
      </x:c>
      <x:c r="K94" s="8"/>
      <x:c r="L94" s="8"/>
      <x:c r="M94" s="7"/>
    </x:row>
    <x:row r="95" ht="58" customHeight="1">
      <x:c r="A95" s="8" t="n">
        <x:f>'Evaluation Plan'!A95</x:f>
        <x:v>93</x:v>
      </x:c>
      <x:c r="B95" s="8" t="n">
        <x:f>'Evaluation Plan'!B95</x:f>
        <x:v>54</x:v>
      </x:c>
      <x:c r="C95" s="8" t="str">
        <x:f>'Evaluation Plan'!C95</x:f>
        <x:v>Exploratory black-cup pilot</x:v>
      </x:c>
      <x:c r="D95" s="8" t="str">
        <x:f>'Evaluation Plan'!D95</x:f>
        <x:v>Exploratory visual OOD</x:v>
      </x:c>
      <x:c r="E95" s="8" t="str">
        <x:f>'Evaluation Plan'!F95</x:f>
        <x:v>SR-BLK04</x:v>
      </x:c>
      <x:c r="F95" s="8" t="str">
        <x:f>IF('Evaluation Plan'!D95="Language robustness",'Evaluation Plan'!G95,IF('Evaluation Plan'!D95="Matched manipulation control",'Evaluation Plan'!G95,""))</x:f>
      </x:c>
      <x:c r="G95" s="7" t="str">
        <x:f>'Evaluation Plan'!H95</x:f>
        <x:v>Place the open black cup in the bowl.</x:v>
      </x:c>
      <x:c r="H95" s="7" t="str">
        <x:f>'Evaluation Plan'!I95</x:f>
        <x:v>P1 yellow-white striped cup B (C, UD); P2 brown cup A (O, UR); P3 glass spice container B (C, UD); P4 black cup (O, UD) [TARGET]</x:v>
      </x:c>
      <x:c r="I95" s="8" t="str">
        <x:f>'Evaluation Plan'!J95</x:f>
        <x:v>black cup</x:v>
      </x:c>
      <x:c r="J95" s="8" t="str">
        <x:v>Not started</x:v>
      </x:c>
      <x:c r="K95" s="8"/>
      <x:c r="L95" s="8"/>
      <x:c r="M95" s="7"/>
    </x:row>
    <x:row r="96" ht="58" customHeight="1">
      <x:c r="A96" s="8" t="n">
        <x:f>'Evaluation Plan'!A96</x:f>
        <x:v>94</x:v>
      </x:c>
      <x:c r="B96" s="8" t="n">
        <x:f>'Evaluation Plan'!B96</x:f>
        <x:v>55</x:v>
      </x:c>
      <x:c r="C96" s="8" t="str">
        <x:f>'Evaluation Plan'!C96</x:f>
        <x:v>Exploratory black-cup pilot</x:v>
      </x:c>
      <x:c r="D96" s="8" t="str">
        <x:f>'Evaluation Plan'!D96</x:f>
        <x:v>Exploratory visual OOD</x:v>
      </x:c>
      <x:c r="E96" s="8" t="str">
        <x:f>'Evaluation Plan'!F96</x:f>
        <x:v>SR-BLK05</x:v>
      </x:c>
      <x:c r="F96" s="8" t="str">
        <x:f>IF('Evaluation Plan'!D96="Language robustness",'Evaluation Plan'!G96,IF('Evaluation Plan'!D96="Matched manipulation control",'Evaluation Plan'!G96,""))</x:f>
      </x:c>
      <x:c r="G96" s="7" t="str">
        <x:f>'Evaluation Plan'!H96</x:f>
        <x:v>Put the upright black cup in the bowl.</x:v>
      </x:c>
      <x:c r="H96" s="7" t="str">
        <x:f>'Evaluation Plan'!I96</x:f>
        <x:v>P1 black cup (O, UR) [TARGET]; P2 brown cup B (C, UD); P3 glass spice container A (O, UR); P4 white cup B (C, UD)</x:v>
      </x:c>
      <x:c r="I96" s="8" t="str">
        <x:f>'Evaluation Plan'!J96</x:f>
        <x:v>black cup</x:v>
      </x:c>
      <x:c r="J96" s="8" t="str">
        <x:v>Not started</x:v>
      </x:c>
      <x:c r="K96" s="8"/>
      <x:c r="L96" s="8"/>
      <x:c r="M96" s="7"/>
    </x:row>
    <x:row r="97" ht="58" customHeight="1">
      <x:c r="A97" s="8" t="n">
        <x:f>'Evaluation Plan'!A97</x:f>
        <x:v>95</x:v>
      </x:c>
      <x:c r="B97" s="8" t="n">
        <x:f>'Evaluation Plan'!B97</x:f>
        <x:v>56</x:v>
      </x:c>
      <x:c r="C97" s="8" t="str">
        <x:f>'Evaluation Plan'!C97</x:f>
        <x:v>Exploratory black-cup pilot</x:v>
      </x:c>
      <x:c r="D97" s="8" t="str">
        <x:f>'Evaluation Plan'!D97</x:f>
        <x:v>Exploratory visual OOD</x:v>
      </x:c>
      <x:c r="E97" s="8" t="str">
        <x:f>'Evaluation Plan'!F97</x:f>
        <x:v>SR-BLK06</x:v>
      </x:c>
      <x:c r="F97" s="8" t="str">
        <x:f>IF('Evaluation Plan'!D97="Language robustness",'Evaluation Plan'!G97,IF('Evaluation Plan'!D97="Matched manipulation control",'Evaluation Plan'!G97,""))</x:f>
      </x:c>
      <x:c r="G97" s="7" t="str">
        <x:f>'Evaluation Plan'!H97</x:f>
        <x:v>Move the upright black cup into the bowl.</x:v>
      </x:c>
      <x:c r="H97" s="7" t="str">
        <x:f>'Evaluation Plan'!I97</x:f>
        <x:v>P1 glass spice container B (C, UD); P2 black cup (C, UR) [TARGET]; P3 white cup B (C, UD); P4 yellow-white striped cup A (O, UR)</x:v>
      </x:c>
      <x:c r="I97" s="8" t="str">
        <x:f>'Evaluation Plan'!J97</x:f>
        <x:v>black cup</x:v>
      </x:c>
      <x:c r="J97" s="8" t="str">
        <x:v>Not started</x:v>
      </x:c>
      <x:c r="K97" s="8"/>
      <x:c r="L97" s="8"/>
      <x:c r="M97" s="7"/>
    </x:row>
    <x:row r="98" ht="58" customHeight="1">
      <x:c r="A98" s="8" t="n">
        <x:f>'Evaluation Plan'!A98</x:f>
        <x:v>96</x:v>
      </x:c>
      <x:c r="B98" s="8" t="n">
        <x:f>'Evaluation Plan'!B98</x:f>
        <x:v>57</x:v>
      </x:c>
      <x:c r="C98" s="8" t="str">
        <x:f>'Evaluation Plan'!C98</x:f>
        <x:v>Exploratory black-cup pilot</x:v>
      </x:c>
      <x:c r="D98" s="8" t="str">
        <x:f>'Evaluation Plan'!D98</x:f>
        <x:v>Exploratory visual OOD</x:v>
      </x:c>
      <x:c r="E98" s="8" t="str">
        <x:f>'Evaluation Plan'!F98</x:f>
        <x:v>SR-BLK07</x:v>
      </x:c>
      <x:c r="F98" s="8" t="str">
        <x:f>IF('Evaluation Plan'!D98="Language robustness",'Evaluation Plan'!G98,IF('Evaluation Plan'!D98="Matched manipulation control",'Evaluation Plan'!G98,""))</x:f>
      </x:c>
      <x:c r="G98" s="7" t="str">
        <x:f>'Evaluation Plan'!H98</x:f>
        <x:v>Place the upside-down black cup in the bowl.</x:v>
      </x:c>
      <x:c r="H98" s="7" t="str">
        <x:f>'Evaluation Plan'!I98</x:f>
        <x:v>P1 white cup A (O, UR); P2 yellow-white striped cup B (C, UD); P3 black cup (O, UD) [TARGET]; P4 brown cup B (C, UD)</x:v>
      </x:c>
      <x:c r="I98" s="8" t="str">
        <x:f>'Evaluation Plan'!J98</x:f>
        <x:v>black cup</x:v>
      </x:c>
      <x:c r="J98" s="8" t="str">
        <x:v>Not started</x:v>
      </x:c>
      <x:c r="K98" s="8"/>
      <x:c r="L98" s="8"/>
      <x:c r="M98" s="7"/>
    </x:row>
    <x:row r="99" ht="58" customHeight="1">
      <x:c r="A99" s="8" t="n">
        <x:f>'Evaluation Plan'!A99</x:f>
        <x:v>97</x:v>
      </x:c>
      <x:c r="B99" s="8" t="n">
        <x:f>'Evaluation Plan'!B99</x:f>
        <x:v>58</x:v>
      </x:c>
      <x:c r="C99" s="8" t="str">
        <x:f>'Evaluation Plan'!C99</x:f>
        <x:v>Exploratory black-cup pilot</x:v>
      </x:c>
      <x:c r="D99" s="8" t="str">
        <x:f>'Evaluation Plan'!D99</x:f>
        <x:v>Exploratory visual OOD</x:v>
      </x:c>
      <x:c r="E99" s="8" t="str">
        <x:f>'Evaluation Plan'!F99</x:f>
        <x:v>SR-BLK08</x:v>
      </x:c>
      <x:c r="F99" s="8" t="str">
        <x:f>IF('Evaluation Plan'!D99="Language robustness",'Evaluation Plan'!G99,IF('Evaluation Plan'!D99="Matched manipulation control",'Evaluation Plan'!G99,""))</x:f>
      </x:c>
      <x:c r="G99" s="7" t="str">
        <x:f>'Evaluation Plan'!H99</x:f>
        <x:v>Put the upside-down black cup in the bowl.</x:v>
      </x:c>
      <x:c r="H99" s="7" t="str">
        <x:f>'Evaluation Plan'!I99</x:f>
        <x:v>P1 yellow-white striped cup B (C, UD); P2 brown cup A (O, UR); P3 glass spice container B (C, UD); P4 black cup (C, UD) [TARGET]</x:v>
      </x:c>
      <x:c r="I99" s="8" t="str">
        <x:f>'Evaluation Plan'!J99</x:f>
        <x:v>black cup</x:v>
      </x:c>
      <x:c r="J99" s="8" t="str">
        <x:v>Not started</x:v>
      </x:c>
      <x:c r="K99" s="8"/>
      <x:c r="L99" s="8"/>
      <x:c r="M99" s="7"/>
    </x:row>
  </x:sheetData>
  <x:conditionalFormatting sqref="A2:M99">
    <x:cfRule type="expression" dxfId="11" priority="1">
      <x:formula>$J2="Complete"</x:formula>
    </x:cfRule>
    <x:cfRule type="expression" dxfId="12" priority="2">
      <x:formula>$J2="Redo"</x:formula>
    </x:cfRule>
  </x:conditionalFormatting>
  <x:conditionalFormatting sqref="K2:K99">
    <x:cfRule type="containsText" dxfId="13" priority="3" operator="containsText" text="Success"/>
    <x:cfRule type="containsText" dxfId="14" priority="4" operator="containsText" text="Failure"/>
  </x:conditionalFormatting>
  <x:dataValidations count="3">
    <x:dataValidation type="list" sqref="J2:J99">
      <x:formula1>"Not started,Complete,Redo"</x:formula1>
    </x:dataValidation>
    <x:dataValidation type="list" sqref="K2:K99">
      <x:formula1>"Success,Failure,Invalid / Repeat"</x:formula1>
    </x:dataValidation>
    <x:dataValidation type="list" sqref="L2:L99">
      <x:formula1>"Wrong target,No grasp,Drop outside bowl,Timeout,Setup deviation,Hardware fault,Other"</x:formula1>
    </x:dataValidation>
  </x:dataValidations>
  <x:pageMargins left="0.7" right="0.7" top="0.75" bottom="0.75" header="0.3" footer="0.3"/>
  <x:tableParts count="1">
    <x:tablePart xmlns:r="http://schemas.openxmlformats.org/officeDocument/2006/relationships" r:id="R4c4f8de513fb41d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9" hidden="0" customWidth="1"/>
    <x:col min="2" max="2" width="12" hidden="0" customWidth="1"/>
    <x:col min="3" max="3" width="29" hidden="0" customWidth="1"/>
    <x:col min="4" max="4" width="28" hidden="0" customWidth="1"/>
    <x:col min="5" max="5" width="13" hidden="0" customWidth="1"/>
    <x:col min="6" max="6" width="12" hidden="0" customWidth="1"/>
    <x:col min="7" max="7" width="42" hidden="0" customWidth="1"/>
    <x:col min="8" max="8" width="82" hidden="0" customWidth="1"/>
    <x:col min="9" max="9" width="25" hidden="0" customWidth="1"/>
    <x:col min="10" max="10" width="14" hidden="0" customWidth="1"/>
    <x:col min="11" max="11" width="17" hidden="0" customWidth="1"/>
    <x:col min="12" max="12" width="24" hidden="0" customWidth="1"/>
    <x:col min="13" max="13" width="42" hidden="0" customWidth="1"/>
  </x:cols>
  <x:sheetData>
    <x:row r="1" ht="36" customHeight="1">
      <x:c r="A1" s="5" t="str">
        <x:v>Episode</x:v>
      </x:c>
      <x:c r="B1" s="5" t="str">
        <x:v>Collection Block</x:v>
      </x:c>
      <x:c r="C1" s="5" t="str">
        <x:v>Within-Block Step</x:v>
      </x:c>
      <x:c r="D1" s="5" t="str">
        <x:v>Condition</x:v>
      </x:c>
      <x:c r="E1" s="5" t="str">
        <x:v>Scene Family</x:v>
      </x:c>
      <x:c r="F1" s="5" t="str">
        <x:v>Reference Episode</x:v>
      </x:c>
      <x:c r="G1" s="5" t="str">
        <x:v>Prompt</x:v>
      </x:c>
      <x:c r="H1" s="5" t="str">
        <x:v>Scene Setup</x:v>
      </x:c>
      <x:c r="I1" s="5" t="str">
        <x:v>Expected Target</x:v>
      </x:c>
      <x:c r="J1" s="5" t="str">
        <x:v>Status</x:v>
      </x:c>
      <x:c r="K1" s="5" t="str">
        <x:v>Outcome</x:v>
      </x:c>
      <x:c r="L1" s="5" t="str">
        <x:v>Failure Mode</x:v>
      </x:c>
      <x:c r="M1" s="5" t="str">
        <x:v>Notes</x:v>
      </x:c>
    </x:row>
    <x:row r="2" ht="58" customHeight="1">
      <x:c r="A2" s="9" t="n">
        <x:f>'Evaluation Plan'!A2</x:f>
        <x:v>0</x:v>
      </x:c>
      <x:c r="B2" s="9" t="n">
        <x:f>'Evaluation Plan'!B2</x:f>
        <x:v>1</x:v>
      </x:c>
      <x:c r="C2" s="9" t="str">
        <x:f>'Evaluation Plan'!C2</x:f>
        <x:v>1 — Canonical transfer</x:v>
      </x:c>
      <x:c r="D2" s="9" t="str">
        <x:f>'Evaluation Plan'!D2</x:f>
        <x:v>Concept/compositional transfer</x:v>
      </x:c>
      <x:c r="E2" s="9" t="str">
        <x:f>'Evaluation Plan'!F2</x:f>
        <x:v>SR-F01</x:v>
      </x:c>
      <x:c r="F2" s="9" t="str">
        <x:f>IF('Evaluation Plan'!D2="Language robustness",'Evaluation Plan'!G2,IF('Evaluation Plan'!D2="Matched manipulation control",'Evaluation Plan'!G2,""))</x:f>
      </x:c>
      <x:c r="G2" s="10" t="str">
        <x:f>'Evaluation Plan'!H2</x:f>
        <x:v>Place the closed white cup in the bowl.</x:v>
      </x:c>
      <x:c r="H2" s="10" t="str">
        <x:f>'Evaluation Plan'!I2</x:f>
        <x:v>P1 white cup A (C, UR) [TARGET]; P2 white cup B (O, UR) [STATE COMPETITOR]; P3 yellow-white striped cup A (O, UR); P4 brown cup B (C, UD)</x:v>
      </x:c>
      <x:c r="I2" s="9" t="str">
        <x:f>'Evaluation Plan'!J2</x:f>
        <x:v>white cup A</x:v>
      </x:c>
      <x:c r="J2" s="9" t="str">
        <x:v>Not started</x:v>
      </x:c>
      <x:c r="K2" s="9"/>
      <x:c r="L2" s="9"/>
      <x:c r="M2" s="10"/>
    </x:row>
    <x:row r="3" ht="58" customHeight="1">
      <x:c r="A3" s="8" t="n">
        <x:f>'Evaluation Plan'!A3</x:f>
        <x:v>1</x:v>
      </x:c>
      <x:c r="B3" s="8" t="n">
        <x:f>'Evaluation Plan'!B3</x:f>
        <x:v>1</x:v>
      </x:c>
      <x:c r="C3" s="8" t="str">
        <x:f>'Evaluation Plan'!C3</x:f>
        <x:v>2 — Exact-scene paraphrase</x:v>
      </x:c>
      <x:c r="D3" s="8" t="str">
        <x:f>'Evaluation Plan'!D3</x:f>
        <x:v>Language robustness</x:v>
      </x:c>
      <x:c r="E3" s="8" t="str">
        <x:f>'Evaluation Plan'!F3</x:f>
        <x:v>SR-F01</x:v>
      </x:c>
      <x:c r="F3" s="8" t="n">
        <x:f>IF('Evaluation Plan'!D3="Language robustness",'Evaluation Plan'!G3,IF('Evaluation Plan'!D3="Matched manipulation control",'Evaluation Plan'!G3,""))</x:f>
        <x:v>0</x:v>
      </x:c>
      <x:c r="G3" s="7" t="str">
        <x:f>'Evaluation Plan'!H3</x:f>
        <x:v>Move the white cup that is closed into the bowl.</x:v>
      </x:c>
      <x:c r="H3" s="7" t="str">
        <x:f>'Evaluation Plan'!I3</x:f>
        <x:v>P1 white cup A (C, UR) [TARGET]; P2 white cup B (O, UR) [STATE COMPETITOR]; P3 yellow-white striped cup A (O, UR); P4 brown cup B (C, UD)</x:v>
      </x:c>
      <x:c r="I3" s="8" t="str">
        <x:f>'Evaluation Plan'!J3</x:f>
        <x:v>white cup A</x:v>
      </x:c>
      <x:c r="J3" s="8" t="str">
        <x:v>Not started</x:v>
      </x:c>
      <x:c r="K3" s="8"/>
      <x:c r="L3" s="8"/>
      <x:c r="M3" s="7"/>
    </x:row>
    <x:row r="4" ht="58" customHeight="1">
      <x:c r="A4" s="8" t="n">
        <x:f>'Evaluation Plan'!A4</x:f>
        <x:v>2</x:v>
      </x:c>
      <x:c r="B4" s="8" t="n">
        <x:f>'Evaluation Plan'!B4</x:f>
        <x:v>1</x:v>
      </x:c>
      <x:c r="C4" s="8" t="str">
        <x:f>'Evaluation Plan'!C4</x:f>
        <x:v>3 — Matched control</x:v>
      </x:c>
      <x:c r="D4" s="8" t="str">
        <x:f>'Evaluation Plan'!D4</x:f>
        <x:v>Matched manipulation control</x:v>
      </x:c>
      <x:c r="E4" s="8" t="str">
        <x:f>'Evaluation Plan'!F4</x:f>
        <x:v>SR-F01</x:v>
      </x:c>
      <x:c r="F4" s="8" t="n">
        <x:f>IF('Evaluation Plan'!D4="Language robustness",'Evaluation Plan'!G4,IF('Evaluation Plan'!D4="Matched manipulation control",'Evaluation Plan'!G4,""))</x:f>
        <x:v>0</x:v>
      </x:c>
      <x:c r="G4" s="7" t="str">
        <x:f>'Evaluation Plan'!H4</x:f>
        <x:v>Place the white cup in the bowl.</x:v>
      </x:c>
      <x:c r="H4" s="7" t="str">
        <x:f>'Evaluation Plan'!I4</x:f>
        <x:v>P1 white cup A (C, UR) [TARGET]; P3 yellow-white striped cup A (O, UR); P4 brown cup B (C, UD)</x:v>
      </x:c>
      <x:c r="I4" s="8" t="str">
        <x:f>'Evaluation Plan'!J4</x:f>
        <x:v>white cup A</x:v>
      </x:c>
      <x:c r="J4" s="8" t="str">
        <x:v>Not started</x:v>
      </x:c>
      <x:c r="K4" s="8"/>
      <x:c r="L4" s="8"/>
      <x:c r="M4" s="7"/>
    </x:row>
    <x:row r="5" ht="58" customHeight="1">
      <x:c r="A5" s="9" t="n">
        <x:f>'Evaluation Plan'!A5</x:f>
        <x:v>3</x:v>
      </x:c>
      <x:c r="B5" s="9" t="n">
        <x:f>'Evaluation Plan'!B5</x:f>
        <x:v>2</x:v>
      </x:c>
      <x:c r="C5" s="9" t="str">
        <x:f>'Evaluation Plan'!C5</x:f>
        <x:v>1 — Canonical transfer</x:v>
      </x:c>
      <x:c r="D5" s="9" t="str">
        <x:f>'Evaluation Plan'!D5</x:f>
        <x:v>Concept/compositional transfer</x:v>
      </x:c>
      <x:c r="E5" s="9" t="str">
        <x:f>'Evaluation Plan'!F5</x:f>
        <x:v>SR-F02</x:v>
      </x:c>
      <x:c r="F5" s="9" t="str">
        <x:f>IF('Evaluation Plan'!D5="Language robustness",'Evaluation Plan'!G5,IF('Evaluation Plan'!D5="Matched manipulation control",'Evaluation Plan'!G5,""))</x:f>
      </x:c>
      <x:c r="G5" s="10" t="str">
        <x:f>'Evaluation Plan'!H5</x:f>
        <x:v>Put the open yellow-white striped cup in the bowl.</x:v>
      </x:c>
      <x:c r="H5" s="10" t="str">
        <x:f>'Evaluation Plan'!I5</x:f>
        <x:v>P1 white cup B (C, UD); P2 yellow-white striped cup B (O, UD) [TARGET]; P3 yellow-white striped cup A (C, UD) [STATE COMPETITOR]; P4 brown cup A (O, UR)</x:v>
      </x:c>
      <x:c r="I5" s="9" t="str">
        <x:f>'Evaluation Plan'!J5</x:f>
        <x:v>yellow-white striped cup B</x:v>
      </x:c>
      <x:c r="J5" s="9" t="str">
        <x:v>Not started</x:v>
      </x:c>
      <x:c r="K5" s="9"/>
      <x:c r="L5" s="9"/>
      <x:c r="M5" s="10"/>
    </x:row>
    <x:row r="6" ht="58" customHeight="1">
      <x:c r="A6" s="8" t="n">
        <x:f>'Evaluation Plan'!A6</x:f>
        <x:v>4</x:v>
      </x:c>
      <x:c r="B6" s="8" t="n">
        <x:f>'Evaluation Plan'!B6</x:f>
        <x:v>2</x:v>
      </x:c>
      <x:c r="C6" s="8" t="str">
        <x:f>'Evaluation Plan'!C6</x:f>
        <x:v>2 — Exact-scene paraphrase</x:v>
      </x:c>
      <x:c r="D6" s="8" t="str">
        <x:f>'Evaluation Plan'!D6</x:f>
        <x:v>Language robustness</x:v>
      </x:c>
      <x:c r="E6" s="8" t="str">
        <x:f>'Evaluation Plan'!F6</x:f>
        <x:v>SR-F02</x:v>
      </x:c>
      <x:c r="F6" s="8" t="n">
        <x:f>IF('Evaluation Plan'!D6="Language robustness",'Evaluation Plan'!G6,IF('Evaluation Plan'!D6="Matched manipulation control",'Evaluation Plan'!G6,""))</x:f>
        <x:v>3</x:v>
      </x:c>
      <x:c r="G6" s="7" t="str">
        <x:f>'Evaluation Plan'!H6</x:f>
        <x:v>Move the yellow-white striped cup that is open into the bowl.</x:v>
      </x:c>
      <x:c r="H6" s="7" t="str">
        <x:f>'Evaluation Plan'!I6</x:f>
        <x:v>P1 white cup B (C, UD); P2 yellow-white striped cup B (O, UD) [TARGET]; P3 yellow-white striped cup A (C, UD) [STATE COMPETITOR]; P4 brown cup A (O, UR)</x:v>
      </x:c>
      <x:c r="I6" s="8" t="str">
        <x:f>'Evaluation Plan'!J6</x:f>
        <x:v>yellow-white striped cup B</x:v>
      </x:c>
      <x:c r="J6" s="8" t="str">
        <x:v>Not started</x:v>
      </x:c>
      <x:c r="K6" s="8"/>
      <x:c r="L6" s="8"/>
      <x:c r="M6" s="7"/>
    </x:row>
    <x:row r="7" ht="58" customHeight="1">
      <x:c r="A7" s="8" t="n">
        <x:f>'Evaluation Plan'!A7</x:f>
        <x:v>5</x:v>
      </x:c>
      <x:c r="B7" s="8" t="n">
        <x:f>'Evaluation Plan'!B7</x:f>
        <x:v>2</x:v>
      </x:c>
      <x:c r="C7" s="8" t="str">
        <x:f>'Evaluation Plan'!C7</x:f>
        <x:v>3 — Matched control</x:v>
      </x:c>
      <x:c r="D7" s="8" t="str">
        <x:f>'Evaluation Plan'!D7</x:f>
        <x:v>Matched manipulation control</x:v>
      </x:c>
      <x:c r="E7" s="8" t="str">
        <x:f>'Evaluation Plan'!F7</x:f>
        <x:v>SR-F02</x:v>
      </x:c>
      <x:c r="F7" s="8" t="n">
        <x:f>IF('Evaluation Plan'!D7="Language robustness",'Evaluation Plan'!G7,IF('Evaluation Plan'!D7="Matched manipulation control",'Evaluation Plan'!G7,""))</x:f>
        <x:v>3</x:v>
      </x:c>
      <x:c r="G7" s="7" t="str">
        <x:f>'Evaluation Plan'!H7</x:f>
        <x:v>Put the yellow-white striped cup in the bowl.</x:v>
      </x:c>
      <x:c r="H7" s="7" t="str">
        <x:f>'Evaluation Plan'!I7</x:f>
        <x:v>P1 white cup B (C, UD); P2 yellow-white striped cup B (O, UD) [TARGET]; P4 brown cup A (O, UR)</x:v>
      </x:c>
      <x:c r="I7" s="8" t="str">
        <x:f>'Evaluation Plan'!J7</x:f>
        <x:v>yellow-white striped cup B</x:v>
      </x:c>
      <x:c r="J7" s="8" t="str">
        <x:v>Not started</x:v>
      </x:c>
      <x:c r="K7" s="8"/>
      <x:c r="L7" s="8"/>
      <x:c r="M7" s="7"/>
    </x:row>
    <x:row r="8" ht="58" customHeight="1">
      <x:c r="A8" s="9" t="n">
        <x:f>'Evaluation Plan'!A8</x:f>
        <x:v>6</x:v>
      </x:c>
      <x:c r="B8" s="9" t="n">
        <x:f>'Evaluation Plan'!B8</x:f>
        <x:v>3</x:v>
      </x:c>
      <x:c r="C8" s="9" t="str">
        <x:f>'Evaluation Plan'!C8</x:f>
        <x:v>1 — Canonical transfer</x:v>
      </x:c>
      <x:c r="D8" s="9" t="str">
        <x:f>'Evaluation Plan'!D8</x:f>
        <x:v>Concept/compositional transfer</x:v>
      </x:c>
      <x:c r="E8" s="9" t="str">
        <x:f>'Evaluation Plan'!F8</x:f>
        <x:v>SR-F03</x:v>
      </x:c>
      <x:c r="F8" s="9" t="str">
        <x:f>IF('Evaluation Plan'!D8="Language robustness",'Evaluation Plan'!G8,IF('Evaluation Plan'!D8="Matched manipulation control",'Evaluation Plan'!G8,""))</x:f>
      </x:c>
      <x:c r="G8" s="10" t="str">
        <x:f>'Evaluation Plan'!H8</x:f>
        <x:v>Move the upright brown cup into the bowl.</x:v>
      </x:c>
      <x:c r="H8" s="10" t="str">
        <x:f>'Evaluation Plan'!I8</x:f>
        <x:v>P1 white cup A (O, UR); P2 yellow-white striped cup B (C, UD); P3 brown cup A (O, UR) [TARGET]; P4 brown cup B (O, UD) [STATE COMPETITOR]</x:v>
      </x:c>
      <x:c r="I8" s="9" t="str">
        <x:f>'Evaluation Plan'!J8</x:f>
        <x:v>brown cup A</x:v>
      </x:c>
      <x:c r="J8" s="9" t="str">
        <x:v>Not started</x:v>
      </x:c>
      <x:c r="K8" s="9"/>
      <x:c r="L8" s="9"/>
      <x:c r="M8" s="10"/>
    </x:row>
    <x:row r="9" ht="58" customHeight="1">
      <x:c r="A9" s="8" t="n">
        <x:f>'Evaluation Plan'!A9</x:f>
        <x:v>7</x:v>
      </x:c>
      <x:c r="B9" s="8" t="n">
        <x:f>'Evaluation Plan'!B9</x:f>
        <x:v>3</x:v>
      </x:c>
      <x:c r="C9" s="8" t="str">
        <x:f>'Evaluation Plan'!C9</x:f>
        <x:v>2 — Exact-scene paraphrase</x:v>
      </x:c>
      <x:c r="D9" s="8" t="str">
        <x:f>'Evaluation Plan'!D9</x:f>
        <x:v>Language robustness</x:v>
      </x:c>
      <x:c r="E9" s="8" t="str">
        <x:f>'Evaluation Plan'!F9</x:f>
        <x:v>SR-F03</x:v>
      </x:c>
      <x:c r="F9" s="8" t="n">
        <x:f>IF('Evaluation Plan'!D9="Language robustness",'Evaluation Plan'!G9,IF('Evaluation Plan'!D9="Matched manipulation control",'Evaluation Plan'!G9,""))</x:f>
        <x:v>6</x:v>
      </x:c>
      <x:c r="G9" s="7" t="str">
        <x:f>'Evaluation Plan'!H9</x:f>
        <x:v>Move the brown cup that is standing upright into the bowl.</x:v>
      </x:c>
      <x:c r="H9" s="7" t="str">
        <x:f>'Evaluation Plan'!I9</x:f>
        <x:v>P1 white cup A (O, UR); P2 yellow-white striped cup B (C, UD); P3 brown cup A (O, UR) [TARGET]; P4 brown cup B (O, UD) [STATE COMPETITOR]</x:v>
      </x:c>
      <x:c r="I9" s="8" t="str">
        <x:f>'Evaluation Plan'!J9</x:f>
        <x:v>brown cup A</x:v>
      </x:c>
      <x:c r="J9" s="8" t="str">
        <x:v>Not started</x:v>
      </x:c>
      <x:c r="K9" s="8"/>
      <x:c r="L9" s="8"/>
      <x:c r="M9" s="7"/>
    </x:row>
    <x:row r="10" ht="58" customHeight="1">
      <x:c r="A10" s="8" t="n">
        <x:f>'Evaluation Plan'!A10</x:f>
        <x:v>8</x:v>
      </x:c>
      <x:c r="B10" s="8" t="n">
        <x:f>'Evaluation Plan'!B10</x:f>
        <x:v>3</x:v>
      </x:c>
      <x:c r="C10" s="8" t="str">
        <x:f>'Evaluation Plan'!C10</x:f>
        <x:v>3 — Matched control</x:v>
      </x:c>
      <x:c r="D10" s="8" t="str">
        <x:f>'Evaluation Plan'!D10</x:f>
        <x:v>Matched manipulation control</x:v>
      </x:c>
      <x:c r="E10" s="8" t="str">
        <x:f>'Evaluation Plan'!F10</x:f>
        <x:v>SR-F03</x:v>
      </x:c>
      <x:c r="F10" s="8" t="n">
        <x:f>IF('Evaluation Plan'!D10="Language robustness",'Evaluation Plan'!G10,IF('Evaluation Plan'!D10="Matched manipulation control",'Evaluation Plan'!G10,""))</x:f>
        <x:v>6</x:v>
      </x:c>
      <x:c r="G10" s="7" t="str">
        <x:f>'Evaluation Plan'!H10</x:f>
        <x:v>Move the brown cup into the bowl.</x:v>
      </x:c>
      <x:c r="H10" s="7" t="str">
        <x:f>'Evaluation Plan'!I10</x:f>
        <x:v>P1 white cup A (O, UR); P2 yellow-white striped cup B (C, UD); P3 brown cup A (O, UR) [TARGET]</x:v>
      </x:c>
      <x:c r="I10" s="8" t="str">
        <x:f>'Evaluation Plan'!J10</x:f>
        <x:v>brown cup A</x:v>
      </x:c>
      <x:c r="J10" s="8" t="str">
        <x:v>Not started</x:v>
      </x:c>
      <x:c r="K10" s="8"/>
      <x:c r="L10" s="8"/>
      <x:c r="M10" s="7"/>
    </x:row>
    <x:row r="11" ht="58" customHeight="1">
      <x:c r="A11" s="9" t="n">
        <x:f>'Evaluation Plan'!A11</x:f>
        <x:v>9</x:v>
      </x:c>
      <x:c r="B11" s="9" t="n">
        <x:f>'Evaluation Plan'!B11</x:f>
        <x:v>4</x:v>
      </x:c>
      <x:c r="C11" s="9" t="str">
        <x:f>'Evaluation Plan'!C11</x:f>
        <x:v>1 — Canonical transfer</x:v>
      </x:c>
      <x:c r="D11" s="9" t="str">
        <x:f>'Evaluation Plan'!D11</x:f>
        <x:v>Concept/compositional transfer</x:v>
      </x:c>
      <x:c r="E11" s="9" t="str">
        <x:f>'Evaluation Plan'!F11</x:f>
        <x:v>SR-F04</x:v>
      </x:c>
      <x:c r="F11" s="9" t="str">
        <x:f>IF('Evaluation Plan'!D11="Language robustness",'Evaluation Plan'!G11,IF('Evaluation Plan'!D11="Matched manipulation control",'Evaluation Plan'!G11,""))</x:f>
      </x:c>
      <x:c r="G11" s="10" t="str">
        <x:f>'Evaluation Plan'!H11</x:f>
        <x:v>Place the upside-down glass spice container in the bowl.</x:v>
      </x:c>
      <x:c r="H11" s="10" t="str">
        <x:f>'Evaluation Plan'!I11</x:f>
        <x:v>P1 glass spice container A (C, UR) [STATE COMPETITOR]; P2 white cup A (O, UR); P3 yellow-white striped cup B (C, UD); P4 glass spice container B (C, UD) [TARGET]</x:v>
      </x:c>
      <x:c r="I11" s="9" t="str">
        <x:f>'Evaluation Plan'!J11</x:f>
        <x:v>glass spice container B</x:v>
      </x:c>
      <x:c r="J11" s="9" t="str">
        <x:v>Not started</x:v>
      </x:c>
      <x:c r="K11" s="9"/>
      <x:c r="L11" s="9"/>
      <x:c r="M11" s="10"/>
    </x:row>
    <x:row r="12" ht="58" customHeight="1">
      <x:c r="A12" s="8" t="n">
        <x:f>'Evaluation Plan'!A12</x:f>
        <x:v>10</x:v>
      </x:c>
      <x:c r="B12" s="8" t="n">
        <x:f>'Evaluation Plan'!B12</x:f>
        <x:v>4</x:v>
      </x:c>
      <x:c r="C12" s="8" t="str">
        <x:f>'Evaluation Plan'!C12</x:f>
        <x:v>2 — Exact-scene paraphrase</x:v>
      </x:c>
      <x:c r="D12" s="8" t="str">
        <x:f>'Evaluation Plan'!D12</x:f>
        <x:v>Language robustness</x:v>
      </x:c>
      <x:c r="E12" s="8" t="str">
        <x:f>'Evaluation Plan'!F12</x:f>
        <x:v>SR-F04</x:v>
      </x:c>
      <x:c r="F12" s="8" t="n">
        <x:f>IF('Evaluation Plan'!D12="Language robustness",'Evaluation Plan'!G12,IF('Evaluation Plan'!D12="Matched manipulation control",'Evaluation Plan'!G12,""))</x:f>
        <x:v>9</x:v>
      </x:c>
      <x:c r="G12" s="7" t="str">
        <x:f>'Evaluation Plan'!H12</x:f>
        <x:v>Move the glass spice container that is turned upside down into the bowl.</x:v>
      </x:c>
      <x:c r="H12" s="7" t="str">
        <x:f>'Evaluation Plan'!I12</x:f>
        <x:v>P1 glass spice container A (C, UR) [STATE COMPETITOR]; P2 white cup A (O, UR); P3 yellow-white striped cup B (C, UD); P4 glass spice container B (C, UD) [TARGET]</x:v>
      </x:c>
      <x:c r="I12" s="8" t="str">
        <x:f>'Evaluation Plan'!J12</x:f>
        <x:v>glass spice container B</x:v>
      </x:c>
      <x:c r="J12" s="8" t="str">
        <x:v>Not started</x:v>
      </x:c>
      <x:c r="K12" s="8"/>
      <x:c r="L12" s="8"/>
      <x:c r="M12" s="7"/>
    </x:row>
    <x:row r="13" ht="58" customHeight="1">
      <x:c r="A13" s="8" t="n">
        <x:f>'Evaluation Plan'!A13</x:f>
        <x:v>11</x:v>
      </x:c>
      <x:c r="B13" s="8" t="n">
        <x:f>'Evaluation Plan'!B13</x:f>
        <x:v>4</x:v>
      </x:c>
      <x:c r="C13" s="8" t="str">
        <x:f>'Evaluation Plan'!C13</x:f>
        <x:v>3 — Matched control</x:v>
      </x:c>
      <x:c r="D13" s="8" t="str">
        <x:f>'Evaluation Plan'!D13</x:f>
        <x:v>Matched manipulation control</x:v>
      </x:c>
      <x:c r="E13" s="8" t="str">
        <x:f>'Evaluation Plan'!F13</x:f>
        <x:v>SR-F04</x:v>
      </x:c>
      <x:c r="F13" s="8" t="n">
        <x:f>IF('Evaluation Plan'!D13="Language robustness",'Evaluation Plan'!G13,IF('Evaluation Plan'!D13="Matched manipulation control",'Evaluation Plan'!G13,""))</x:f>
        <x:v>9</x:v>
      </x:c>
      <x:c r="G13" s="7" t="str">
        <x:f>'Evaluation Plan'!H13</x:f>
        <x:v>Place the glass spice container in the bowl.</x:v>
      </x:c>
      <x:c r="H13" s="7" t="str">
        <x:f>'Evaluation Plan'!I13</x:f>
        <x:v>P2 white cup A (O, UR); P3 yellow-white striped cup B (C, UD); P4 glass spice container B (C, UD) [TARGET]</x:v>
      </x:c>
      <x:c r="I13" s="8" t="str">
        <x:f>'Evaluation Plan'!J13</x:f>
        <x:v>glass spice container B</x:v>
      </x:c>
      <x:c r="J13" s="8" t="str">
        <x:v>Not started</x:v>
      </x:c>
      <x:c r="K13" s="8"/>
      <x:c r="L13" s="8"/>
      <x:c r="M13" s="7"/>
    </x:row>
    <x:row r="14" ht="58" customHeight="1">
      <x:c r="A14" s="9" t="n">
        <x:f>'Evaluation Plan'!A14</x:f>
        <x:v>12</x:v>
      </x:c>
      <x:c r="B14" s="9" t="n">
        <x:f>'Evaluation Plan'!B14</x:f>
        <x:v>5</x:v>
      </x:c>
      <x:c r="C14" s="9" t="str">
        <x:f>'Evaluation Plan'!C14</x:f>
        <x:v>1 — Canonical transfer</x:v>
      </x:c>
      <x:c r="D14" s="9" t="str">
        <x:f>'Evaluation Plan'!D14</x:f>
        <x:v>Concept/compositional transfer</x:v>
      </x:c>
      <x:c r="E14" s="9" t="str">
        <x:f>'Evaluation Plan'!F14</x:f>
        <x:v>SR-F05</x:v>
      </x:c>
      <x:c r="F14" s="9" t="str">
        <x:f>IF('Evaluation Plan'!D14="Language robustness",'Evaluation Plan'!G14,IF('Evaluation Plan'!D14="Matched manipulation control",'Evaluation Plan'!G14,""))</x:f>
      </x:c>
      <x:c r="G14" s="10" t="str">
        <x:f>'Evaluation Plan'!H14</x:f>
        <x:v>Put the closed yellow-white striped cup in the bowl.</x:v>
      </x:c>
      <x:c r="H14" s="10" t="str">
        <x:f>'Evaluation Plan'!I14</x:f>
        <x:v>P1 yellow-white striped cup A (C, UR) [TARGET]; P2 yellow-white striped cup B (O, UR) [STATE COMPETITOR]; P3 white cup A (O, UR); P4 brown cup B (C, UD)</x:v>
      </x:c>
      <x:c r="I14" s="9" t="str">
        <x:f>'Evaluation Plan'!J14</x:f>
        <x:v>yellow-white striped cup A</x:v>
      </x:c>
      <x:c r="J14" s="9" t="str">
        <x:v>Not started</x:v>
      </x:c>
      <x:c r="K14" s="9"/>
      <x:c r="L14" s="9"/>
      <x:c r="M14" s="10"/>
    </x:row>
    <x:row r="15" ht="58" customHeight="1">
      <x:c r="A15" s="8" t="n">
        <x:f>'Evaluation Plan'!A15</x:f>
        <x:v>13</x:v>
      </x:c>
      <x:c r="B15" s="8" t="n">
        <x:f>'Evaluation Plan'!B15</x:f>
        <x:v>5</x:v>
      </x:c>
      <x:c r="C15" s="8" t="str">
        <x:f>'Evaluation Plan'!C15</x:f>
        <x:v>2 — Exact-scene paraphrase</x:v>
      </x:c>
      <x:c r="D15" s="8" t="str">
        <x:f>'Evaluation Plan'!D15</x:f>
        <x:v>Language robustness</x:v>
      </x:c>
      <x:c r="E15" s="8" t="str">
        <x:f>'Evaluation Plan'!F15</x:f>
        <x:v>SR-F05</x:v>
      </x:c>
      <x:c r="F15" s="8" t="n">
        <x:f>IF('Evaluation Plan'!D15="Language robustness",'Evaluation Plan'!G15,IF('Evaluation Plan'!D15="Matched manipulation control",'Evaluation Plan'!G15,""))</x:f>
        <x:v>12</x:v>
      </x:c>
      <x:c r="G15" s="7" t="str">
        <x:f>'Evaluation Plan'!H15</x:f>
        <x:v>Put the yellow-white striped cup with its opening covered in the bowl.</x:v>
      </x:c>
      <x:c r="H15" s="7" t="str">
        <x:f>'Evaluation Plan'!I15</x:f>
        <x:v>P1 yellow-white striped cup A (C, UR) [TARGET]; P2 yellow-white striped cup B (O, UR) [STATE COMPETITOR]; P3 white cup A (O, UR); P4 brown cup B (C, UD)</x:v>
      </x:c>
      <x:c r="I15" s="8" t="str">
        <x:f>'Evaluation Plan'!J15</x:f>
        <x:v>yellow-white striped cup A</x:v>
      </x:c>
      <x:c r="J15" s="8" t="str">
        <x:v>Not started</x:v>
      </x:c>
      <x:c r="K15" s="8"/>
      <x:c r="L15" s="8"/>
      <x:c r="M15" s="7"/>
    </x:row>
    <x:row r="16" ht="58" customHeight="1">
      <x:c r="A16" s="8" t="n">
        <x:f>'Evaluation Plan'!A16</x:f>
        <x:v>14</x:v>
      </x:c>
      <x:c r="B16" s="8" t="n">
        <x:f>'Evaluation Plan'!B16</x:f>
        <x:v>5</x:v>
      </x:c>
      <x:c r="C16" s="8" t="str">
        <x:f>'Evaluation Plan'!C16</x:f>
        <x:v>3 — Matched control</x:v>
      </x:c>
      <x:c r="D16" s="8" t="str">
        <x:f>'Evaluation Plan'!D16</x:f>
        <x:v>Matched manipulation control</x:v>
      </x:c>
      <x:c r="E16" s="8" t="str">
        <x:f>'Evaluation Plan'!F16</x:f>
        <x:v>SR-F05</x:v>
      </x:c>
      <x:c r="F16" s="8" t="n">
        <x:f>IF('Evaluation Plan'!D16="Language robustness",'Evaluation Plan'!G16,IF('Evaluation Plan'!D16="Matched manipulation control",'Evaluation Plan'!G16,""))</x:f>
        <x:v>12</x:v>
      </x:c>
      <x:c r="G16" s="7" t="str">
        <x:f>'Evaluation Plan'!H16</x:f>
        <x:v>Put the yellow-white striped cup in the bowl.</x:v>
      </x:c>
      <x:c r="H16" s="7" t="str">
        <x:f>'Evaluation Plan'!I16</x:f>
        <x:v>P1 yellow-white striped cup A (C, UR) [TARGET]; P3 white cup A (O, UR); P4 brown cup B (C, UD)</x:v>
      </x:c>
      <x:c r="I16" s="8" t="str">
        <x:f>'Evaluation Plan'!J16</x:f>
        <x:v>yellow-white striped cup A</x:v>
      </x:c>
      <x:c r="J16" s="8" t="str">
        <x:v>Not started</x:v>
      </x:c>
      <x:c r="K16" s="8"/>
      <x:c r="L16" s="8"/>
      <x:c r="M16" s="7"/>
    </x:row>
    <x:row r="17" ht="58" customHeight="1">
      <x:c r="A17" s="9" t="n">
        <x:f>'Evaluation Plan'!A17</x:f>
        <x:v>15</x:v>
      </x:c>
      <x:c r="B17" s="9" t="n">
        <x:f>'Evaluation Plan'!B17</x:f>
        <x:v>6</x:v>
      </x:c>
      <x:c r="C17" s="9" t="str">
        <x:f>'Evaluation Plan'!C17</x:f>
        <x:v>1 — Canonical transfer</x:v>
      </x:c>
      <x:c r="D17" s="9" t="str">
        <x:f>'Evaluation Plan'!D17</x:f>
        <x:v>Concept/compositional transfer</x:v>
      </x:c>
      <x:c r="E17" s="9" t="str">
        <x:f>'Evaluation Plan'!F17</x:f>
        <x:v>SR-F06</x:v>
      </x:c>
      <x:c r="F17" s="9" t="str">
        <x:f>IF('Evaluation Plan'!D17="Language robustness",'Evaluation Plan'!G17,IF('Evaluation Plan'!D17="Matched manipulation control",'Evaluation Plan'!G17,""))</x:f>
      </x:c>
      <x:c r="G17" s="10" t="str">
        <x:f>'Evaluation Plan'!H17</x:f>
        <x:v>Move the open brown cup into the bowl.</x:v>
      </x:c>
      <x:c r="H17" s="10" t="str">
        <x:f>'Evaluation Plan'!I17</x:f>
        <x:v>P1 white cup B (C, UD); P2 brown cup B (O, UD) [TARGET]; P3 brown cup A (C, UD) [STATE COMPETITOR]; P4 yellow-white striped cup A (O, UR)</x:v>
      </x:c>
      <x:c r="I17" s="9" t="str">
        <x:f>'Evaluation Plan'!J17</x:f>
        <x:v>brown cup B</x:v>
      </x:c>
      <x:c r="J17" s="9" t="str">
        <x:v>Not started</x:v>
      </x:c>
      <x:c r="K17" s="9"/>
      <x:c r="L17" s="9"/>
      <x:c r="M17" s="10"/>
    </x:row>
    <x:row r="18" ht="58" customHeight="1">
      <x:c r="A18" s="8" t="n">
        <x:f>'Evaluation Plan'!A18</x:f>
        <x:v>16</x:v>
      </x:c>
      <x:c r="B18" s="8" t="n">
        <x:f>'Evaluation Plan'!B18</x:f>
        <x:v>6</x:v>
      </x:c>
      <x:c r="C18" s="8" t="str">
        <x:f>'Evaluation Plan'!C18</x:f>
        <x:v>2 — Exact-scene paraphrase</x:v>
      </x:c>
      <x:c r="D18" s="8" t="str">
        <x:f>'Evaluation Plan'!D18</x:f>
        <x:v>Language robustness</x:v>
      </x:c>
      <x:c r="E18" s="8" t="str">
        <x:f>'Evaluation Plan'!F18</x:f>
        <x:v>SR-F06</x:v>
      </x:c>
      <x:c r="F18" s="8" t="n">
        <x:f>IF('Evaluation Plan'!D18="Language robustness",'Evaluation Plan'!G18,IF('Evaluation Plan'!D18="Matched manipulation control",'Evaluation Plan'!G18,""))</x:f>
        <x:v>15</x:v>
      </x:c>
      <x:c r="G18" s="7" t="str">
        <x:f>'Evaluation Plan'!H18</x:f>
        <x:v>Put the brown cup with its opening uncovered in the bowl.</x:v>
      </x:c>
      <x:c r="H18" s="7" t="str">
        <x:f>'Evaluation Plan'!I18</x:f>
        <x:v>P1 white cup B (C, UD); P2 brown cup B (O, UD) [TARGET]; P3 brown cup A (C, UD) [STATE COMPETITOR]; P4 yellow-white striped cup A (O, UR)</x:v>
      </x:c>
      <x:c r="I18" s="8" t="str">
        <x:f>'Evaluation Plan'!J18</x:f>
        <x:v>brown cup B</x:v>
      </x:c>
      <x:c r="J18" s="8" t="str">
        <x:v>Not started</x:v>
      </x:c>
      <x:c r="K18" s="8"/>
      <x:c r="L18" s="8"/>
      <x:c r="M18" s="7"/>
    </x:row>
    <x:row r="19" ht="58" customHeight="1">
      <x:c r="A19" s="8" t="n">
        <x:f>'Evaluation Plan'!A19</x:f>
        <x:v>17</x:v>
      </x:c>
      <x:c r="B19" s="8" t="n">
        <x:f>'Evaluation Plan'!B19</x:f>
        <x:v>6</x:v>
      </x:c>
      <x:c r="C19" s="8" t="str">
        <x:f>'Evaluation Plan'!C19</x:f>
        <x:v>3 — Matched control</x:v>
      </x:c>
      <x:c r="D19" s="8" t="str">
        <x:f>'Evaluation Plan'!D19</x:f>
        <x:v>Matched manipulation control</x:v>
      </x:c>
      <x:c r="E19" s="8" t="str">
        <x:f>'Evaluation Plan'!F19</x:f>
        <x:v>SR-F06</x:v>
      </x:c>
      <x:c r="F19" s="8" t="n">
        <x:f>IF('Evaluation Plan'!D19="Language robustness",'Evaluation Plan'!G19,IF('Evaluation Plan'!D19="Matched manipulation control",'Evaluation Plan'!G19,""))</x:f>
        <x:v>15</x:v>
      </x:c>
      <x:c r="G19" s="7" t="str">
        <x:f>'Evaluation Plan'!H19</x:f>
        <x:v>Move the brown cup into the bowl.</x:v>
      </x:c>
      <x:c r="H19" s="7" t="str">
        <x:f>'Evaluation Plan'!I19</x:f>
        <x:v>P1 white cup B (C, UD); P2 brown cup B (O, UD) [TARGET]; P4 yellow-white striped cup A (O, UR)</x:v>
      </x:c>
      <x:c r="I19" s="8" t="str">
        <x:f>'Evaluation Plan'!J19</x:f>
        <x:v>brown cup B</x:v>
      </x:c>
      <x:c r="J19" s="8" t="str">
        <x:v>Not started</x:v>
      </x:c>
      <x:c r="K19" s="8"/>
      <x:c r="L19" s="8"/>
      <x:c r="M19" s="7"/>
    </x:row>
    <x:row r="20" ht="58" customHeight="1">
      <x:c r="A20" s="9" t="n">
        <x:f>'Evaluation Plan'!A20</x:f>
        <x:v>18</x:v>
      </x:c>
      <x:c r="B20" s="9" t="n">
        <x:f>'Evaluation Plan'!B20</x:f>
        <x:v>7</x:v>
      </x:c>
      <x:c r="C20" s="9" t="str">
        <x:f>'Evaluation Plan'!C20</x:f>
        <x:v>1 — Canonical transfer</x:v>
      </x:c>
      <x:c r="D20" s="9" t="str">
        <x:f>'Evaluation Plan'!D20</x:f>
        <x:v>Concept/compositional transfer</x:v>
      </x:c>
      <x:c r="E20" s="9" t="str">
        <x:f>'Evaluation Plan'!F20</x:f>
        <x:v>SR-F07</x:v>
      </x:c>
      <x:c r="F20" s="9" t="str">
        <x:f>IF('Evaluation Plan'!D20="Language robustness",'Evaluation Plan'!G20,IF('Evaluation Plan'!D20="Matched manipulation control",'Evaluation Plan'!G20,""))</x:f>
      </x:c>
      <x:c r="G20" s="10" t="str">
        <x:f>'Evaluation Plan'!H20</x:f>
        <x:v>Place the upright glass spice container in the bowl.</x:v>
      </x:c>
      <x:c r="H20" s="10" t="str">
        <x:f>'Evaluation Plan'!I20</x:f>
        <x:v>P1 white cup A (O, UR); P2 yellow-white striped cup B (C, UD); P3 glass spice container A (O, UR) [TARGET]; P4 glass spice container B (O, UD) [STATE COMPETITOR]</x:v>
      </x:c>
      <x:c r="I20" s="9" t="str">
        <x:f>'Evaluation Plan'!J20</x:f>
        <x:v>glass spice container A</x:v>
      </x:c>
      <x:c r="J20" s="9" t="str">
        <x:v>Not started</x:v>
      </x:c>
      <x:c r="K20" s="9"/>
      <x:c r="L20" s="9"/>
      <x:c r="M20" s="10"/>
    </x:row>
    <x:row r="21" ht="58" customHeight="1">
      <x:c r="A21" s="8" t="n">
        <x:f>'Evaluation Plan'!A21</x:f>
        <x:v>19</x:v>
      </x:c>
      <x:c r="B21" s="8" t="n">
        <x:f>'Evaluation Plan'!B21</x:f>
        <x:v>7</x:v>
      </x:c>
      <x:c r="C21" s="8" t="str">
        <x:f>'Evaluation Plan'!C21</x:f>
        <x:v>2 — Exact-scene paraphrase</x:v>
      </x:c>
      <x:c r="D21" s="8" t="str">
        <x:f>'Evaluation Plan'!D21</x:f>
        <x:v>Language robustness</x:v>
      </x:c>
      <x:c r="E21" s="8" t="str">
        <x:f>'Evaluation Plan'!F21</x:f>
        <x:v>SR-F07</x:v>
      </x:c>
      <x:c r="F21" s="8" t="n">
        <x:f>IF('Evaluation Plan'!D21="Language robustness",'Evaluation Plan'!G21,IF('Evaluation Plan'!D21="Matched manipulation control",'Evaluation Plan'!G21,""))</x:f>
        <x:v>18</x:v>
      </x:c>
      <x:c r="G21" s="7" t="str">
        <x:f>'Evaluation Plan'!H21</x:f>
        <x:v>Put the right-side-up glass spice container in the bowl.</x:v>
      </x:c>
      <x:c r="H21" s="7" t="str">
        <x:f>'Evaluation Plan'!I21</x:f>
        <x:v>P1 white cup A (O, UR); P2 yellow-white striped cup B (C, UD); P3 glass spice container A (O, UR) [TARGET]; P4 glass spice container B (O, UD) [STATE COMPETITOR]</x:v>
      </x:c>
      <x:c r="I21" s="8" t="str">
        <x:f>'Evaluation Plan'!J21</x:f>
        <x:v>glass spice container A</x:v>
      </x:c>
      <x:c r="J21" s="8" t="str">
        <x:v>Not started</x:v>
      </x:c>
      <x:c r="K21" s="8"/>
      <x:c r="L21" s="8"/>
      <x:c r="M21" s="7"/>
    </x:row>
    <x:row r="22" ht="58" customHeight="1">
      <x:c r="A22" s="8" t="n">
        <x:f>'Evaluation Plan'!A22</x:f>
        <x:v>20</x:v>
      </x:c>
      <x:c r="B22" s="8" t="n">
        <x:f>'Evaluation Plan'!B22</x:f>
        <x:v>7</x:v>
      </x:c>
      <x:c r="C22" s="8" t="str">
        <x:f>'Evaluation Plan'!C22</x:f>
        <x:v>3 — Matched control</x:v>
      </x:c>
      <x:c r="D22" s="8" t="str">
        <x:f>'Evaluation Plan'!D22</x:f>
        <x:v>Matched manipulation control</x:v>
      </x:c>
      <x:c r="E22" s="8" t="str">
        <x:f>'Evaluation Plan'!F22</x:f>
        <x:v>SR-F07</x:v>
      </x:c>
      <x:c r="F22" s="8" t="n">
        <x:f>IF('Evaluation Plan'!D22="Language robustness",'Evaluation Plan'!G22,IF('Evaluation Plan'!D22="Matched manipulation control",'Evaluation Plan'!G22,""))</x:f>
        <x:v>18</x:v>
      </x:c>
      <x:c r="G22" s="7" t="str">
        <x:f>'Evaluation Plan'!H22</x:f>
        <x:v>Place the glass spice container in the bowl.</x:v>
      </x:c>
      <x:c r="H22" s="7" t="str">
        <x:f>'Evaluation Plan'!I22</x:f>
        <x:v>P1 white cup A (O, UR); P2 yellow-white striped cup B (C, UD); P3 glass spice container A (O, UR) [TARGET]</x:v>
      </x:c>
      <x:c r="I22" s="8" t="str">
        <x:f>'Evaluation Plan'!J22</x:f>
        <x:v>glass spice container A</x:v>
      </x:c>
      <x:c r="J22" s="8" t="str">
        <x:v>Not started</x:v>
      </x:c>
      <x:c r="K22" s="8"/>
      <x:c r="L22" s="8"/>
      <x:c r="M22" s="7"/>
    </x:row>
    <x:row r="23" ht="58" customHeight="1">
      <x:c r="A23" s="9" t="n">
        <x:f>'Evaluation Plan'!A23</x:f>
        <x:v>21</x:v>
      </x:c>
      <x:c r="B23" s="9" t="n">
        <x:f>'Evaluation Plan'!B23</x:f>
        <x:v>8</x:v>
      </x:c>
      <x:c r="C23" s="9" t="str">
        <x:f>'Evaluation Plan'!C23</x:f>
        <x:v>1 — Canonical transfer</x:v>
      </x:c>
      <x:c r="D23" s="9" t="str">
        <x:f>'Evaluation Plan'!D23</x:f>
        <x:v>Concept/compositional transfer</x:v>
      </x:c>
      <x:c r="E23" s="9" t="str">
        <x:f>'Evaluation Plan'!F23</x:f>
        <x:v>SR-F08</x:v>
      </x:c>
      <x:c r="F23" s="9" t="str">
        <x:f>IF('Evaluation Plan'!D23="Language robustness",'Evaluation Plan'!G23,IF('Evaluation Plan'!D23="Matched manipulation control",'Evaluation Plan'!G23,""))</x:f>
      </x:c>
      <x:c r="G23" s="10" t="str">
        <x:f>'Evaluation Plan'!H23</x:f>
        <x:v>Put the upside-down white cup in the bowl.</x:v>
      </x:c>
      <x:c r="H23" s="10" t="str">
        <x:f>'Evaluation Plan'!I23</x:f>
        <x:v>P1 white cup A (C, UR) [STATE COMPETITOR]; P2 yellow-white striped cup A (O, UR); P3 brown cup B (C, UD); P4 white cup B (C, UD) [TARGET]</x:v>
      </x:c>
      <x:c r="I23" s="9" t="str">
        <x:f>'Evaluation Plan'!J23</x:f>
        <x:v>white cup B</x:v>
      </x:c>
      <x:c r="J23" s="9" t="str">
        <x:v>Not started</x:v>
      </x:c>
      <x:c r="K23" s="9"/>
      <x:c r="L23" s="9"/>
      <x:c r="M23" s="10"/>
    </x:row>
    <x:row r="24" ht="58" customHeight="1">
      <x:c r="A24" s="8" t="n">
        <x:f>'Evaluation Plan'!A24</x:f>
        <x:v>22</x:v>
      </x:c>
      <x:c r="B24" s="8" t="n">
        <x:f>'Evaluation Plan'!B24</x:f>
        <x:v>8</x:v>
      </x:c>
      <x:c r="C24" s="8" t="str">
        <x:f>'Evaluation Plan'!C24</x:f>
        <x:v>2 — Exact-scene paraphrase</x:v>
      </x:c>
      <x:c r="D24" s="8" t="str">
        <x:f>'Evaluation Plan'!D24</x:f>
        <x:v>Language robustness</x:v>
      </x:c>
      <x:c r="E24" s="8" t="str">
        <x:f>'Evaluation Plan'!F24</x:f>
        <x:v>SR-F08</x:v>
      </x:c>
      <x:c r="F24" s="8" t="n">
        <x:f>IF('Evaluation Plan'!D24="Language robustness",'Evaluation Plan'!G24,IF('Evaluation Plan'!D24="Matched manipulation control",'Evaluation Plan'!G24,""))</x:f>
        <x:v>21</x:v>
      </x:c>
      <x:c r="G24" s="7" t="str">
        <x:f>'Evaluation Plan'!H24</x:f>
        <x:v>Put the inverted white cup in the bowl.</x:v>
      </x:c>
      <x:c r="H24" s="7" t="str">
        <x:f>'Evaluation Plan'!I24</x:f>
        <x:v>P1 white cup A (C, UR) [STATE COMPETITOR]; P2 yellow-white striped cup A (O, UR); P3 brown cup B (C, UD); P4 white cup B (C, UD) [TARGET]</x:v>
      </x:c>
      <x:c r="I24" s="8" t="str">
        <x:f>'Evaluation Plan'!J24</x:f>
        <x:v>white cup B</x:v>
      </x:c>
      <x:c r="J24" s="8" t="str">
        <x:v>Not started</x:v>
      </x:c>
      <x:c r="K24" s="8"/>
      <x:c r="L24" s="8"/>
      <x:c r="M24" s="7"/>
    </x:row>
    <x:row r="25" ht="58" customHeight="1">
      <x:c r="A25" s="8" t="n">
        <x:f>'Evaluation Plan'!A25</x:f>
        <x:v>23</x:v>
      </x:c>
      <x:c r="B25" s="8" t="n">
        <x:f>'Evaluation Plan'!B25</x:f>
        <x:v>8</x:v>
      </x:c>
      <x:c r="C25" s="8" t="str">
        <x:f>'Evaluation Plan'!C25</x:f>
        <x:v>3 — Matched control</x:v>
      </x:c>
      <x:c r="D25" s="8" t="str">
        <x:f>'Evaluation Plan'!D25</x:f>
        <x:v>Matched manipulation control</x:v>
      </x:c>
      <x:c r="E25" s="8" t="str">
        <x:f>'Evaluation Plan'!F25</x:f>
        <x:v>SR-F08</x:v>
      </x:c>
      <x:c r="F25" s="8" t="n">
        <x:f>IF('Evaluation Plan'!D25="Language robustness",'Evaluation Plan'!G25,IF('Evaluation Plan'!D25="Matched manipulation control",'Evaluation Plan'!G25,""))</x:f>
        <x:v>21</x:v>
      </x:c>
      <x:c r="G25" s="7" t="str">
        <x:f>'Evaluation Plan'!H25</x:f>
        <x:v>Put the white cup in the bowl.</x:v>
      </x:c>
      <x:c r="H25" s="7" t="str">
        <x:f>'Evaluation Plan'!I25</x:f>
        <x:v>P2 yellow-white striped cup A (O, UR); P3 brown cup B (C, UD); P4 white cup B (C, UD) [TARGET]</x:v>
      </x:c>
      <x:c r="I25" s="8" t="str">
        <x:f>'Evaluation Plan'!J25</x:f>
        <x:v>white cup B</x:v>
      </x:c>
      <x:c r="J25" s="8" t="str">
        <x:v>Not started</x:v>
      </x:c>
      <x:c r="K25" s="8"/>
      <x:c r="L25" s="8"/>
      <x:c r="M25" s="7"/>
    </x:row>
    <x:row r="26" ht="58" customHeight="1">
      <x:c r="A26" s="9" t="n">
        <x:f>'Evaluation Plan'!A26</x:f>
        <x:v>24</x:v>
      </x:c>
      <x:c r="B26" s="9" t="n">
        <x:f>'Evaluation Plan'!B26</x:f>
        <x:v>9</x:v>
      </x:c>
      <x:c r="C26" s="9" t="str">
        <x:f>'Evaluation Plan'!C26</x:f>
        <x:v>1 — Canonical transfer</x:v>
      </x:c>
      <x:c r="D26" s="9" t="str">
        <x:f>'Evaluation Plan'!D26</x:f>
        <x:v>Concept/compositional transfer</x:v>
      </x:c>
      <x:c r="E26" s="9" t="str">
        <x:f>'Evaluation Plan'!F26</x:f>
        <x:v>SR-F09</x:v>
      </x:c>
      <x:c r="F26" s="9" t="str">
        <x:f>IF('Evaluation Plan'!D26="Language robustness",'Evaluation Plan'!G26,IF('Evaluation Plan'!D26="Matched manipulation control",'Evaluation Plan'!G26,""))</x:f>
      </x:c>
      <x:c r="G26" s="10" t="str">
        <x:f>'Evaluation Plan'!H26</x:f>
        <x:v>Move the closed brown cup into the bowl.</x:v>
      </x:c>
      <x:c r="H26" s="10" t="str">
        <x:f>'Evaluation Plan'!I26</x:f>
        <x:v>P1 brown cup A (C, UR) [TARGET]; P2 brown cup B (O, UR) [STATE COMPETITOR]; P3 white cup A (O, UR); P4 yellow-white striped cup B (C, UD)</x:v>
      </x:c>
      <x:c r="I26" s="9" t="str">
        <x:f>'Evaluation Plan'!J26</x:f>
        <x:v>brown cup A</x:v>
      </x:c>
      <x:c r="J26" s="9" t="str">
        <x:v>Not started</x:v>
      </x:c>
      <x:c r="K26" s="9"/>
      <x:c r="L26" s="9"/>
      <x:c r="M26" s="10"/>
    </x:row>
    <x:row r="27" ht="58" customHeight="1">
      <x:c r="A27" s="8" t="n">
        <x:f>'Evaluation Plan'!A27</x:f>
        <x:v>25</x:v>
      </x:c>
      <x:c r="B27" s="8" t="n">
        <x:f>'Evaluation Plan'!B27</x:f>
        <x:v>9</x:v>
      </x:c>
      <x:c r="C27" s="8" t="str">
        <x:f>'Evaluation Plan'!C27</x:f>
        <x:v>2 — Exact-scene paraphrase</x:v>
      </x:c>
      <x:c r="D27" s="8" t="str">
        <x:f>'Evaluation Plan'!D27</x:f>
        <x:v>Language robustness</x:v>
      </x:c>
      <x:c r="E27" s="8" t="str">
        <x:f>'Evaluation Plan'!F27</x:f>
        <x:v>SR-F09</x:v>
      </x:c>
      <x:c r="F27" s="8" t="n">
        <x:f>IF('Evaluation Plan'!D27="Language robustness",'Evaluation Plan'!G27,IF('Evaluation Plan'!D27="Matched manipulation control",'Evaluation Plan'!G27,""))</x:f>
        <x:v>24</x:v>
      </x:c>
      <x:c r="G27" s="7" t="str">
        <x:f>'Evaluation Plan'!H27</x:f>
        <x:v>Find the closed brown cup and place it in the bowl.</x:v>
      </x:c>
      <x:c r="H27" s="7" t="str">
        <x:f>'Evaluation Plan'!I27</x:f>
        <x:v>P1 brown cup A (C, UR) [TARGET]; P2 brown cup B (O, UR) [STATE COMPETITOR]; P3 white cup A (O, UR); P4 yellow-white striped cup B (C, UD)</x:v>
      </x:c>
      <x:c r="I27" s="8" t="str">
        <x:f>'Evaluation Plan'!J27</x:f>
        <x:v>brown cup A</x:v>
      </x:c>
      <x:c r="J27" s="8" t="str">
        <x:v>Not started</x:v>
      </x:c>
      <x:c r="K27" s="8"/>
      <x:c r="L27" s="8"/>
      <x:c r="M27" s="7"/>
    </x:row>
    <x:row r="28" ht="58" customHeight="1">
      <x:c r="A28" s="8" t="n">
        <x:f>'Evaluation Plan'!A28</x:f>
        <x:v>26</x:v>
      </x:c>
      <x:c r="B28" s="8" t="n">
        <x:f>'Evaluation Plan'!B28</x:f>
        <x:v>9</x:v>
      </x:c>
      <x:c r="C28" s="8" t="str">
        <x:f>'Evaluation Plan'!C28</x:f>
        <x:v>3 — Matched control</x:v>
      </x:c>
      <x:c r="D28" s="8" t="str">
        <x:f>'Evaluation Plan'!D28</x:f>
        <x:v>Matched manipulation control</x:v>
      </x:c>
      <x:c r="E28" s="8" t="str">
        <x:f>'Evaluation Plan'!F28</x:f>
        <x:v>SR-F09</x:v>
      </x:c>
      <x:c r="F28" s="8" t="n">
        <x:f>IF('Evaluation Plan'!D28="Language robustness",'Evaluation Plan'!G28,IF('Evaluation Plan'!D28="Matched manipulation control",'Evaluation Plan'!G28,""))</x:f>
        <x:v>24</x:v>
      </x:c>
      <x:c r="G28" s="7" t="str">
        <x:f>'Evaluation Plan'!H28</x:f>
        <x:v>Move the brown cup into the bowl.</x:v>
      </x:c>
      <x:c r="H28" s="7" t="str">
        <x:f>'Evaluation Plan'!I28</x:f>
        <x:v>P1 brown cup A (C, UR) [TARGET]; P3 white cup A (O, UR); P4 yellow-white striped cup B (C, UD)</x:v>
      </x:c>
      <x:c r="I28" s="8" t="str">
        <x:f>'Evaluation Plan'!J28</x:f>
        <x:v>brown cup A</x:v>
      </x:c>
      <x:c r="J28" s="8" t="str">
        <x:v>Not started</x:v>
      </x:c>
      <x:c r="K28" s="8"/>
      <x:c r="L28" s="8"/>
      <x:c r="M28" s="7"/>
    </x:row>
    <x:row r="29" ht="58" customHeight="1">
      <x:c r="A29" s="9" t="n">
        <x:f>'Evaluation Plan'!A29</x:f>
        <x:v>27</x:v>
      </x:c>
      <x:c r="B29" s="9" t="n">
        <x:f>'Evaluation Plan'!B29</x:f>
        <x:v>10</x:v>
      </x:c>
      <x:c r="C29" s="9" t="str">
        <x:f>'Evaluation Plan'!C29</x:f>
        <x:v>1 — Canonical transfer</x:v>
      </x:c>
      <x:c r="D29" s="9" t="str">
        <x:f>'Evaluation Plan'!D29</x:f>
        <x:v>Concept/compositional transfer</x:v>
      </x:c>
      <x:c r="E29" s="9" t="str">
        <x:f>'Evaluation Plan'!F29</x:f>
        <x:v>SR-F10</x:v>
      </x:c>
      <x:c r="F29" s="9" t="str">
        <x:f>IF('Evaluation Plan'!D29="Language robustness",'Evaluation Plan'!G29,IF('Evaluation Plan'!D29="Matched manipulation control",'Evaluation Plan'!G29,""))</x:f>
      </x:c>
      <x:c r="G29" s="10" t="str">
        <x:f>'Evaluation Plan'!H29</x:f>
        <x:v>Place the open glass spice container in the bowl.</x:v>
      </x:c>
      <x:c r="H29" s="10" t="str">
        <x:f>'Evaluation Plan'!I29</x:f>
        <x:v>P1 white cup B (C, UD); P2 glass spice container B (O, UD) [TARGET]; P3 glass spice container A (C, UD) [STATE COMPETITOR]; P4 yellow-white striped cup A (O, UR)</x:v>
      </x:c>
      <x:c r="I29" s="9" t="str">
        <x:f>'Evaluation Plan'!J29</x:f>
        <x:v>glass spice container B</x:v>
      </x:c>
      <x:c r="J29" s="9" t="str">
        <x:v>Not started</x:v>
      </x:c>
      <x:c r="K29" s="9"/>
      <x:c r="L29" s="9"/>
      <x:c r="M29" s="10"/>
    </x:row>
    <x:row r="30" ht="58" customHeight="1">
      <x:c r="A30" s="8" t="n">
        <x:f>'Evaluation Plan'!A30</x:f>
        <x:v>28</x:v>
      </x:c>
      <x:c r="B30" s="8" t="n">
        <x:f>'Evaluation Plan'!B30</x:f>
        <x:v>10</x:v>
      </x:c>
      <x:c r="C30" s="8" t="str">
        <x:f>'Evaluation Plan'!C30</x:f>
        <x:v>2 — Exact-scene paraphrase</x:v>
      </x:c>
      <x:c r="D30" s="8" t="str">
        <x:f>'Evaluation Plan'!D30</x:f>
        <x:v>Language robustness</x:v>
      </x:c>
      <x:c r="E30" s="8" t="str">
        <x:f>'Evaluation Plan'!F30</x:f>
        <x:v>SR-F10</x:v>
      </x:c>
      <x:c r="F30" s="8" t="n">
        <x:f>IF('Evaluation Plan'!D30="Language robustness",'Evaluation Plan'!G30,IF('Evaluation Plan'!D30="Matched manipulation control",'Evaluation Plan'!G30,""))</x:f>
        <x:v>27</x:v>
      </x:c>
      <x:c r="G30" s="7" t="str">
        <x:f>'Evaluation Plan'!H30</x:f>
        <x:v>Find the open glass spice container and place it in the bowl.</x:v>
      </x:c>
      <x:c r="H30" s="7" t="str">
        <x:f>'Evaluation Plan'!I30</x:f>
        <x:v>P1 white cup B (C, UD); P2 glass spice container B (O, UD) [TARGET]; P3 glass spice container A (C, UD) [STATE COMPETITOR]; P4 yellow-white striped cup A (O, UR)</x:v>
      </x:c>
      <x:c r="I30" s="8" t="str">
        <x:f>'Evaluation Plan'!J30</x:f>
        <x:v>glass spice container B</x:v>
      </x:c>
      <x:c r="J30" s="8" t="str">
        <x:v>Not started</x:v>
      </x:c>
      <x:c r="K30" s="8"/>
      <x:c r="L30" s="8"/>
      <x:c r="M30" s="7"/>
    </x:row>
    <x:row r="31" ht="58" customHeight="1">
      <x:c r="A31" s="8" t="n">
        <x:f>'Evaluation Plan'!A31</x:f>
        <x:v>29</x:v>
      </x:c>
      <x:c r="B31" s="8" t="n">
        <x:f>'Evaluation Plan'!B31</x:f>
        <x:v>10</x:v>
      </x:c>
      <x:c r="C31" s="8" t="str">
        <x:f>'Evaluation Plan'!C31</x:f>
        <x:v>3 — Matched control</x:v>
      </x:c>
      <x:c r="D31" s="8" t="str">
        <x:f>'Evaluation Plan'!D31</x:f>
        <x:v>Matched manipulation control</x:v>
      </x:c>
      <x:c r="E31" s="8" t="str">
        <x:f>'Evaluation Plan'!F31</x:f>
        <x:v>SR-F10</x:v>
      </x:c>
      <x:c r="F31" s="8" t="n">
        <x:f>IF('Evaluation Plan'!D31="Language robustness",'Evaluation Plan'!G31,IF('Evaluation Plan'!D31="Matched manipulation control",'Evaluation Plan'!G31,""))</x:f>
        <x:v>27</x:v>
      </x:c>
      <x:c r="G31" s="7" t="str">
        <x:f>'Evaluation Plan'!H31</x:f>
        <x:v>Place the glass spice container in the bowl.</x:v>
      </x:c>
      <x:c r="H31" s="7" t="str">
        <x:f>'Evaluation Plan'!I31</x:f>
        <x:v>P1 white cup B (C, UD); P2 glass spice container B (O, UD) [TARGET]; P4 yellow-white striped cup A (O, UR)</x:v>
      </x:c>
      <x:c r="I31" s="8" t="str">
        <x:f>'Evaluation Plan'!J31</x:f>
        <x:v>glass spice container B</x:v>
      </x:c>
      <x:c r="J31" s="8" t="str">
        <x:v>Not started</x:v>
      </x:c>
      <x:c r="K31" s="8"/>
      <x:c r="L31" s="8"/>
      <x:c r="M31" s="7"/>
    </x:row>
    <x:row r="32" ht="58" customHeight="1">
      <x:c r="A32" s="9" t="n">
        <x:f>'Evaluation Plan'!A32</x:f>
        <x:v>30</x:v>
      </x:c>
      <x:c r="B32" s="9" t="n">
        <x:f>'Evaluation Plan'!B32</x:f>
        <x:v>11</x:v>
      </x:c>
      <x:c r="C32" s="9" t="str">
        <x:f>'Evaluation Plan'!C32</x:f>
        <x:v>1 — Canonical transfer</x:v>
      </x:c>
      <x:c r="D32" s="9" t="str">
        <x:f>'Evaluation Plan'!D32</x:f>
        <x:v>Concept/compositional transfer</x:v>
      </x:c>
      <x:c r="E32" s="9" t="str">
        <x:f>'Evaluation Plan'!F32</x:f>
        <x:v>SR-F11</x:v>
      </x:c>
      <x:c r="F32" s="9" t="str">
        <x:f>IF('Evaluation Plan'!D32="Language robustness",'Evaluation Plan'!G32,IF('Evaluation Plan'!D32="Matched manipulation control",'Evaluation Plan'!G32,""))</x:f>
      </x:c>
      <x:c r="G32" s="10" t="str">
        <x:f>'Evaluation Plan'!H32</x:f>
        <x:v>Put the upright white cup in the bowl.</x:v>
      </x:c>
      <x:c r="H32" s="10" t="str">
        <x:f>'Evaluation Plan'!I32</x:f>
        <x:v>P1 yellow-white striped cup A (O, UR); P2 brown cup B (C, UD); P3 white cup A (O, UR) [TARGET]; P4 white cup B (O, UD) [STATE COMPETITOR]</x:v>
      </x:c>
      <x:c r="I32" s="9" t="str">
        <x:f>'Evaluation Plan'!J32</x:f>
        <x:v>white cup A</x:v>
      </x:c>
      <x:c r="J32" s="9" t="str">
        <x:v>Not started</x:v>
      </x:c>
      <x:c r="K32" s="9"/>
      <x:c r="L32" s="9"/>
      <x:c r="M32" s="10"/>
    </x:row>
    <x:row r="33" ht="58" customHeight="1">
      <x:c r="A33" s="8" t="n">
        <x:f>'Evaluation Plan'!A33</x:f>
        <x:v>31</x:v>
      </x:c>
      <x:c r="B33" s="8" t="n">
        <x:f>'Evaluation Plan'!B33</x:f>
        <x:v>11</x:v>
      </x:c>
      <x:c r="C33" s="8" t="str">
        <x:f>'Evaluation Plan'!C33</x:f>
        <x:v>2 — Exact-scene paraphrase</x:v>
      </x:c>
      <x:c r="D33" s="8" t="str">
        <x:f>'Evaluation Plan'!D33</x:f>
        <x:v>Language robustness</x:v>
      </x:c>
      <x:c r="E33" s="8" t="str">
        <x:f>'Evaluation Plan'!F33</x:f>
        <x:v>SR-F11</x:v>
      </x:c>
      <x:c r="F33" s="8" t="n">
        <x:f>IF('Evaluation Plan'!D33="Language robustness",'Evaluation Plan'!G33,IF('Evaluation Plan'!D33="Matched manipulation control",'Evaluation Plan'!G33,""))</x:f>
        <x:v>30</x:v>
      </x:c>
      <x:c r="G33" s="7" t="str">
        <x:f>'Evaluation Plan'!H33</x:f>
        <x:v>Find the upright white cup and place it in the bowl.</x:v>
      </x:c>
      <x:c r="H33" s="7" t="str">
        <x:f>'Evaluation Plan'!I33</x:f>
        <x:v>P1 yellow-white striped cup A (O, UR); P2 brown cup B (C, UD); P3 white cup A (O, UR) [TARGET]; P4 white cup B (O, UD) [STATE COMPETITOR]</x:v>
      </x:c>
      <x:c r="I33" s="8" t="str">
        <x:f>'Evaluation Plan'!J33</x:f>
        <x:v>white cup A</x:v>
      </x:c>
      <x:c r="J33" s="8" t="str">
        <x:v>Not started</x:v>
      </x:c>
      <x:c r="K33" s="8"/>
      <x:c r="L33" s="8"/>
      <x:c r="M33" s="7"/>
    </x:row>
    <x:row r="34" ht="58" customHeight="1">
      <x:c r="A34" s="8" t="n">
        <x:f>'Evaluation Plan'!A34</x:f>
        <x:v>32</x:v>
      </x:c>
      <x:c r="B34" s="8" t="n">
        <x:f>'Evaluation Plan'!B34</x:f>
        <x:v>11</x:v>
      </x:c>
      <x:c r="C34" s="8" t="str">
        <x:f>'Evaluation Plan'!C34</x:f>
        <x:v>3 — Matched control</x:v>
      </x:c>
      <x:c r="D34" s="8" t="str">
        <x:f>'Evaluation Plan'!D34</x:f>
        <x:v>Matched manipulation control</x:v>
      </x:c>
      <x:c r="E34" s="8" t="str">
        <x:f>'Evaluation Plan'!F34</x:f>
        <x:v>SR-F11</x:v>
      </x:c>
      <x:c r="F34" s="8" t="n">
        <x:f>IF('Evaluation Plan'!D34="Language robustness",'Evaluation Plan'!G34,IF('Evaluation Plan'!D34="Matched manipulation control",'Evaluation Plan'!G34,""))</x:f>
        <x:v>30</x:v>
      </x:c>
      <x:c r="G34" s="7" t="str">
        <x:f>'Evaluation Plan'!H34</x:f>
        <x:v>Put the white cup in the bowl.</x:v>
      </x:c>
      <x:c r="H34" s="7" t="str">
        <x:f>'Evaluation Plan'!I34</x:f>
        <x:v>P1 yellow-white striped cup A (O, UR); P2 brown cup B (C, UD); P3 white cup A (O, UR) [TARGET]</x:v>
      </x:c>
      <x:c r="I34" s="8" t="str">
        <x:f>'Evaluation Plan'!J34</x:f>
        <x:v>white cup A</x:v>
      </x:c>
      <x:c r="J34" s="8" t="str">
        <x:v>Not started</x:v>
      </x:c>
      <x:c r="K34" s="8"/>
      <x:c r="L34" s="8"/>
      <x:c r="M34" s="7"/>
    </x:row>
    <x:row r="35" ht="58" customHeight="1">
      <x:c r="A35" s="9" t="n">
        <x:f>'Evaluation Plan'!A35</x:f>
        <x:v>33</x:v>
      </x:c>
      <x:c r="B35" s="9" t="n">
        <x:f>'Evaluation Plan'!B35</x:f>
        <x:v>12</x:v>
      </x:c>
      <x:c r="C35" s="9" t="str">
        <x:f>'Evaluation Plan'!C35</x:f>
        <x:v>1 — Canonical transfer</x:v>
      </x:c>
      <x:c r="D35" s="9" t="str">
        <x:f>'Evaluation Plan'!D35</x:f>
        <x:v>Concept/compositional transfer</x:v>
      </x:c>
      <x:c r="E35" s="9" t="str">
        <x:f>'Evaluation Plan'!F35</x:f>
        <x:v>SR-F12</x:v>
      </x:c>
      <x:c r="F35" s="9" t="str">
        <x:f>IF('Evaluation Plan'!D35="Language robustness",'Evaluation Plan'!G35,IF('Evaluation Plan'!D35="Matched manipulation control",'Evaluation Plan'!G35,""))</x:f>
      </x:c>
      <x:c r="G35" s="10" t="str">
        <x:f>'Evaluation Plan'!H35</x:f>
        <x:v>Move the upside-down yellow-white striped cup into the bowl.</x:v>
      </x:c>
      <x:c r="H35" s="10" t="str">
        <x:f>'Evaluation Plan'!I35</x:f>
        <x:v>P1 yellow-white striped cup A (C, UR) [STATE COMPETITOR]; P2 white cup A (O, UR); P3 brown cup B (C, UD); P4 yellow-white striped cup B (C, UD) [TARGET]</x:v>
      </x:c>
      <x:c r="I35" s="9" t="str">
        <x:f>'Evaluation Plan'!J35</x:f>
        <x:v>yellow-white striped cup B</x:v>
      </x:c>
      <x:c r="J35" s="9" t="str">
        <x:v>Not started</x:v>
      </x:c>
      <x:c r="K35" s="9"/>
      <x:c r="L35" s="9"/>
      <x:c r="M35" s="10"/>
    </x:row>
    <x:row r="36" ht="58" customHeight="1">
      <x:c r="A36" s="8" t="n">
        <x:f>'Evaluation Plan'!A36</x:f>
        <x:v>34</x:v>
      </x:c>
      <x:c r="B36" s="8" t="n">
        <x:f>'Evaluation Plan'!B36</x:f>
        <x:v>12</x:v>
      </x:c>
      <x:c r="C36" s="8" t="str">
        <x:f>'Evaluation Plan'!C36</x:f>
        <x:v>2 — Exact-scene paraphrase</x:v>
      </x:c>
      <x:c r="D36" s="8" t="str">
        <x:f>'Evaluation Plan'!D36</x:f>
        <x:v>Language robustness</x:v>
      </x:c>
      <x:c r="E36" s="8" t="str">
        <x:f>'Evaluation Plan'!F36</x:f>
        <x:v>SR-F12</x:v>
      </x:c>
      <x:c r="F36" s="8" t="n">
        <x:f>IF('Evaluation Plan'!D36="Language robustness",'Evaluation Plan'!G36,IF('Evaluation Plan'!D36="Matched manipulation control",'Evaluation Plan'!G36,""))</x:f>
        <x:v>33</x:v>
      </x:c>
      <x:c r="G36" s="7" t="str">
        <x:f>'Evaluation Plan'!H36</x:f>
        <x:v>Find the upside-down yellow-white striped cup and place it in the bowl.</x:v>
      </x:c>
      <x:c r="H36" s="7" t="str">
        <x:f>'Evaluation Plan'!I36</x:f>
        <x:v>P1 yellow-white striped cup A (C, UR) [STATE COMPETITOR]; P2 white cup A (O, UR); P3 brown cup B (C, UD); P4 yellow-white striped cup B (C, UD) [TARGET]</x:v>
      </x:c>
      <x:c r="I36" s="8" t="str">
        <x:f>'Evaluation Plan'!J36</x:f>
        <x:v>yellow-white striped cup B</x:v>
      </x:c>
      <x:c r="J36" s="8" t="str">
        <x:v>Not started</x:v>
      </x:c>
      <x:c r="K36" s="8"/>
      <x:c r="L36" s="8"/>
      <x:c r="M36" s="7"/>
    </x:row>
    <x:row r="37" ht="58" customHeight="1">
      <x:c r="A37" s="8" t="n">
        <x:f>'Evaluation Plan'!A37</x:f>
        <x:v>35</x:v>
      </x:c>
      <x:c r="B37" s="8" t="n">
        <x:f>'Evaluation Plan'!B37</x:f>
        <x:v>12</x:v>
      </x:c>
      <x:c r="C37" s="8" t="str">
        <x:f>'Evaluation Plan'!C37</x:f>
        <x:v>3 — Matched control</x:v>
      </x:c>
      <x:c r="D37" s="8" t="str">
        <x:f>'Evaluation Plan'!D37</x:f>
        <x:v>Matched manipulation control</x:v>
      </x:c>
      <x:c r="E37" s="8" t="str">
        <x:f>'Evaluation Plan'!F37</x:f>
        <x:v>SR-F12</x:v>
      </x:c>
      <x:c r="F37" s="8" t="n">
        <x:f>IF('Evaluation Plan'!D37="Language robustness",'Evaluation Plan'!G37,IF('Evaluation Plan'!D37="Matched manipulation control",'Evaluation Plan'!G37,""))</x:f>
        <x:v>33</x:v>
      </x:c>
      <x:c r="G37" s="7" t="str">
        <x:f>'Evaluation Plan'!H37</x:f>
        <x:v>Move the yellow-white striped cup into the bowl.</x:v>
      </x:c>
      <x:c r="H37" s="7" t="str">
        <x:f>'Evaluation Plan'!I37</x:f>
        <x:v>P2 white cup A (O, UR); P3 brown cup B (C, UD); P4 yellow-white striped cup B (C, UD) [TARGET]</x:v>
      </x:c>
      <x:c r="I37" s="8" t="str">
        <x:f>'Evaluation Plan'!J37</x:f>
        <x:v>yellow-white striped cup B</x:v>
      </x:c>
      <x:c r="J37" s="8" t="str">
        <x:v>Not started</x:v>
      </x:c>
      <x:c r="K37" s="8"/>
      <x:c r="L37" s="8"/>
      <x:c r="M37" s="7"/>
    </x:row>
    <x:row r="38" ht="58" customHeight="1">
      <x:c r="A38" s="9" t="n">
        <x:f>'Evaluation Plan'!A38</x:f>
        <x:v>36</x:v>
      </x:c>
      <x:c r="B38" s="9" t="n">
        <x:f>'Evaluation Plan'!B38</x:f>
        <x:v>13</x:v>
      </x:c>
      <x:c r="C38" s="9" t="str">
        <x:f>'Evaluation Plan'!C38</x:f>
        <x:v>1 — Canonical transfer</x:v>
      </x:c>
      <x:c r="D38" s="9" t="str">
        <x:f>'Evaluation Plan'!D38</x:f>
        <x:v>Concept/compositional transfer</x:v>
      </x:c>
      <x:c r="E38" s="9" t="str">
        <x:f>'Evaluation Plan'!F38</x:f>
        <x:v>SR-F13</x:v>
      </x:c>
      <x:c r="F38" s="9" t="str">
        <x:f>IF('Evaluation Plan'!D38="Language robustness",'Evaluation Plan'!G38,IF('Evaluation Plan'!D38="Matched manipulation control",'Evaluation Plan'!G38,""))</x:f>
      </x:c>
      <x:c r="G38" s="10" t="str">
        <x:f>'Evaluation Plan'!H38</x:f>
        <x:v>Place the closed glass spice container in the bowl.</x:v>
      </x:c>
      <x:c r="H38" s="10" t="str">
        <x:f>'Evaluation Plan'!I38</x:f>
        <x:v>P1 glass spice container A (C, UR) [TARGET]; P2 glass spice container B (O, UR) [STATE COMPETITOR]; P3 white cup A (O, UR); P4 yellow-white striped cup B (C, UD)</x:v>
      </x:c>
      <x:c r="I38" s="9" t="str">
        <x:f>'Evaluation Plan'!J38</x:f>
        <x:v>glass spice container A</x:v>
      </x:c>
      <x:c r="J38" s="9" t="str">
        <x:v>Not started</x:v>
      </x:c>
      <x:c r="K38" s="9"/>
      <x:c r="L38" s="9"/>
      <x:c r="M38" s="10"/>
    </x:row>
    <x:row r="39" ht="58" customHeight="1">
      <x:c r="A39" s="8" t="n">
        <x:f>'Evaluation Plan'!A39</x:f>
        <x:v>37</x:v>
      </x:c>
      <x:c r="B39" s="8" t="n">
        <x:f>'Evaluation Plan'!B39</x:f>
        <x:v>13</x:v>
      </x:c>
      <x:c r="C39" s="8" t="str">
        <x:f>'Evaluation Plan'!C39</x:f>
        <x:v>2 — Exact-scene paraphrase</x:v>
      </x:c>
      <x:c r="D39" s="8" t="str">
        <x:f>'Evaluation Plan'!D39</x:f>
        <x:v>Language robustness</x:v>
      </x:c>
      <x:c r="E39" s="8" t="str">
        <x:f>'Evaluation Plan'!F39</x:f>
        <x:v>SR-F13</x:v>
      </x:c>
      <x:c r="F39" s="8" t="n">
        <x:f>IF('Evaluation Plan'!D39="Language robustness",'Evaluation Plan'!G39,IF('Evaluation Plan'!D39="Matched manipulation control",'Evaluation Plan'!G39,""))</x:f>
        <x:v>36</x:v>
      </x:c>
      <x:c r="G39" s="7" t="str">
        <x:f>'Evaluation Plan'!H39</x:f>
        <x:v>Place the glass spice container that is not open in the bowl.</x:v>
      </x:c>
      <x:c r="H39" s="7" t="str">
        <x:f>'Evaluation Plan'!I39</x:f>
        <x:v>P1 glass spice container A (C, UR) [TARGET]; P2 glass spice container B (O, UR) [STATE COMPETITOR]; P3 white cup A (O, UR); P4 yellow-white striped cup B (C, UD)</x:v>
      </x:c>
      <x:c r="I39" s="8" t="str">
        <x:f>'Evaluation Plan'!J39</x:f>
        <x:v>glass spice container A</x:v>
      </x:c>
      <x:c r="J39" s="8" t="str">
        <x:v>Not started</x:v>
      </x:c>
      <x:c r="K39" s="8"/>
      <x:c r="L39" s="8"/>
      <x:c r="M39" s="7"/>
    </x:row>
    <x:row r="40" ht="58" customHeight="1">
      <x:c r="A40" s="8" t="n">
        <x:f>'Evaluation Plan'!A40</x:f>
        <x:v>38</x:v>
      </x:c>
      <x:c r="B40" s="8" t="n">
        <x:f>'Evaluation Plan'!B40</x:f>
        <x:v>13</x:v>
      </x:c>
      <x:c r="C40" s="8" t="str">
        <x:f>'Evaluation Plan'!C40</x:f>
        <x:v>3 — Matched control</x:v>
      </x:c>
      <x:c r="D40" s="8" t="str">
        <x:f>'Evaluation Plan'!D40</x:f>
        <x:v>Matched manipulation control</x:v>
      </x:c>
      <x:c r="E40" s="8" t="str">
        <x:f>'Evaluation Plan'!F40</x:f>
        <x:v>SR-F13</x:v>
      </x:c>
      <x:c r="F40" s="8" t="n">
        <x:f>IF('Evaluation Plan'!D40="Language robustness",'Evaluation Plan'!G40,IF('Evaluation Plan'!D40="Matched manipulation control",'Evaluation Plan'!G40,""))</x:f>
        <x:v>36</x:v>
      </x:c>
      <x:c r="G40" s="7" t="str">
        <x:f>'Evaluation Plan'!H40</x:f>
        <x:v>Place the glass spice container in the bowl.</x:v>
      </x:c>
      <x:c r="H40" s="7" t="str">
        <x:f>'Evaluation Plan'!I40</x:f>
        <x:v>P1 glass spice container A (C, UR) [TARGET]; P3 white cup A (O, UR); P4 yellow-white striped cup B (C, UD)</x:v>
      </x:c>
      <x:c r="I40" s="8" t="str">
        <x:f>'Evaluation Plan'!J40</x:f>
        <x:v>glass spice container A</x:v>
      </x:c>
      <x:c r="J40" s="8" t="str">
        <x:v>Not started</x:v>
      </x:c>
      <x:c r="K40" s="8"/>
      <x:c r="L40" s="8"/>
      <x:c r="M40" s="7"/>
    </x:row>
    <x:row r="41" ht="58" customHeight="1">
      <x:c r="A41" s="9" t="n">
        <x:f>'Evaluation Plan'!A41</x:f>
        <x:v>39</x:v>
      </x:c>
      <x:c r="B41" s="9" t="n">
        <x:f>'Evaluation Plan'!B41</x:f>
        <x:v>14</x:v>
      </x:c>
      <x:c r="C41" s="9" t="str">
        <x:f>'Evaluation Plan'!C41</x:f>
        <x:v>1 — Canonical transfer</x:v>
      </x:c>
      <x:c r="D41" s="9" t="str">
        <x:f>'Evaluation Plan'!D41</x:f>
        <x:v>Concept/compositional transfer</x:v>
      </x:c>
      <x:c r="E41" s="9" t="str">
        <x:f>'Evaluation Plan'!F41</x:f>
        <x:v>SR-F14</x:v>
      </x:c>
      <x:c r="F41" s="9" t="str">
        <x:f>IF('Evaluation Plan'!D41="Language robustness",'Evaluation Plan'!G41,IF('Evaluation Plan'!D41="Matched manipulation control",'Evaluation Plan'!G41,""))</x:f>
      </x:c>
      <x:c r="G41" s="10" t="str">
        <x:f>'Evaluation Plan'!H41</x:f>
        <x:v>Put the open white cup in the bowl.</x:v>
      </x:c>
      <x:c r="H41" s="10" t="str">
        <x:f>'Evaluation Plan'!I41</x:f>
        <x:v>P1 yellow-white striped cup B (C, UD); P2 white cup B (O, UD) [TARGET]; P3 white cup A (C, UD) [STATE COMPETITOR]; P4 brown cup A (O, UR)</x:v>
      </x:c>
      <x:c r="I41" s="9" t="str">
        <x:f>'Evaluation Plan'!J41</x:f>
        <x:v>white cup B</x:v>
      </x:c>
      <x:c r="J41" s="9" t="str">
        <x:v>Not started</x:v>
      </x:c>
      <x:c r="K41" s="9"/>
      <x:c r="L41" s="9"/>
      <x:c r="M41" s="10"/>
    </x:row>
    <x:row r="42" ht="58" customHeight="1">
      <x:c r="A42" s="8" t="n">
        <x:f>'Evaluation Plan'!A42</x:f>
        <x:v>40</x:v>
      </x:c>
      <x:c r="B42" s="8" t="n">
        <x:f>'Evaluation Plan'!B42</x:f>
        <x:v>14</x:v>
      </x:c>
      <x:c r="C42" s="8" t="str">
        <x:f>'Evaluation Plan'!C42</x:f>
        <x:v>2 — Exact-scene paraphrase</x:v>
      </x:c>
      <x:c r="D42" s="8" t="str">
        <x:f>'Evaluation Plan'!D42</x:f>
        <x:v>Language robustness</x:v>
      </x:c>
      <x:c r="E42" s="8" t="str">
        <x:f>'Evaluation Plan'!F42</x:f>
        <x:v>SR-F14</x:v>
      </x:c>
      <x:c r="F42" s="8" t="n">
        <x:f>IF('Evaluation Plan'!D42="Language robustness",'Evaluation Plan'!G42,IF('Evaluation Plan'!D42="Matched manipulation control",'Evaluation Plan'!G42,""))</x:f>
        <x:v>39</x:v>
      </x:c>
      <x:c r="G42" s="7" t="str">
        <x:f>'Evaluation Plan'!H42</x:f>
        <x:v>Place the white cup that is not closed in the bowl.</x:v>
      </x:c>
      <x:c r="H42" s="7" t="str">
        <x:f>'Evaluation Plan'!I42</x:f>
        <x:v>P1 yellow-white striped cup B (C, UD); P2 white cup B (O, UD) [TARGET]; P3 white cup A (C, UD) [STATE COMPETITOR]; P4 brown cup A (O, UR)</x:v>
      </x:c>
      <x:c r="I42" s="8" t="str">
        <x:f>'Evaluation Plan'!J42</x:f>
        <x:v>white cup B</x:v>
      </x:c>
      <x:c r="J42" s="8" t="str">
        <x:v>Not started</x:v>
      </x:c>
      <x:c r="K42" s="8"/>
      <x:c r="L42" s="8"/>
      <x:c r="M42" s="7"/>
    </x:row>
    <x:row r="43" ht="58" customHeight="1">
      <x:c r="A43" s="8" t="n">
        <x:f>'Evaluation Plan'!A43</x:f>
        <x:v>41</x:v>
      </x:c>
      <x:c r="B43" s="8" t="n">
        <x:f>'Evaluation Plan'!B43</x:f>
        <x:v>14</x:v>
      </x:c>
      <x:c r="C43" s="8" t="str">
        <x:f>'Evaluation Plan'!C43</x:f>
        <x:v>3 — Matched control</x:v>
      </x:c>
      <x:c r="D43" s="8" t="str">
        <x:f>'Evaluation Plan'!D43</x:f>
        <x:v>Matched manipulation control</x:v>
      </x:c>
      <x:c r="E43" s="8" t="str">
        <x:f>'Evaluation Plan'!F43</x:f>
        <x:v>SR-F14</x:v>
      </x:c>
      <x:c r="F43" s="8" t="n">
        <x:f>IF('Evaluation Plan'!D43="Language robustness",'Evaluation Plan'!G43,IF('Evaluation Plan'!D43="Matched manipulation control",'Evaluation Plan'!G43,""))</x:f>
        <x:v>39</x:v>
      </x:c>
      <x:c r="G43" s="7" t="str">
        <x:f>'Evaluation Plan'!H43</x:f>
        <x:v>Put the white cup in the bowl.</x:v>
      </x:c>
      <x:c r="H43" s="7" t="str">
        <x:f>'Evaluation Plan'!I43</x:f>
        <x:v>P1 yellow-white striped cup B (C, UD); P2 white cup B (O, UD) [TARGET]; P4 brown cup A (O, UR)</x:v>
      </x:c>
      <x:c r="I43" s="8" t="str">
        <x:f>'Evaluation Plan'!J43</x:f>
        <x:v>white cup B</x:v>
      </x:c>
      <x:c r="J43" s="8" t="str">
        <x:v>Not started</x:v>
      </x:c>
      <x:c r="K43" s="8"/>
      <x:c r="L43" s="8"/>
      <x:c r="M43" s="7"/>
    </x:row>
    <x:row r="44" ht="58" customHeight="1">
      <x:c r="A44" s="9" t="n">
        <x:f>'Evaluation Plan'!A44</x:f>
        <x:v>42</x:v>
      </x:c>
      <x:c r="B44" s="9" t="n">
        <x:f>'Evaluation Plan'!B44</x:f>
        <x:v>15</x:v>
      </x:c>
      <x:c r="C44" s="9" t="str">
        <x:f>'Evaluation Plan'!C44</x:f>
        <x:v>1 — Canonical transfer</x:v>
      </x:c>
      <x:c r="D44" s="9" t="str">
        <x:f>'Evaluation Plan'!D44</x:f>
        <x:v>Concept/compositional transfer</x:v>
      </x:c>
      <x:c r="E44" s="9" t="str">
        <x:f>'Evaluation Plan'!F44</x:f>
        <x:v>SR-F15</x:v>
      </x:c>
      <x:c r="F44" s="9" t="str">
        <x:f>IF('Evaluation Plan'!D44="Language robustness",'Evaluation Plan'!G44,IF('Evaluation Plan'!D44="Matched manipulation control",'Evaluation Plan'!G44,""))</x:f>
      </x:c>
      <x:c r="G44" s="10" t="str">
        <x:f>'Evaluation Plan'!H44</x:f>
        <x:v>Move the upright yellow-white striped cup into the bowl.</x:v>
      </x:c>
      <x:c r="H44" s="10" t="str">
        <x:f>'Evaluation Plan'!I44</x:f>
        <x:v>P1 white cup A (O, UR); P2 brown cup B (C, UD); P3 yellow-white striped cup A (O, UR) [TARGET]; P4 yellow-white striped cup B (O, UD) [STATE COMPETITOR]</x:v>
      </x:c>
      <x:c r="I44" s="9" t="str">
        <x:f>'Evaluation Plan'!J44</x:f>
        <x:v>yellow-white striped cup A</x:v>
      </x:c>
      <x:c r="J44" s="9" t="str">
        <x:v>Not started</x:v>
      </x:c>
      <x:c r="K44" s="9"/>
      <x:c r="L44" s="9"/>
      <x:c r="M44" s="10"/>
    </x:row>
    <x:row r="45" ht="58" customHeight="1">
      <x:c r="A45" s="8" t="n">
        <x:f>'Evaluation Plan'!A45</x:f>
        <x:v>43</x:v>
      </x:c>
      <x:c r="B45" s="8" t="n">
        <x:f>'Evaluation Plan'!B45</x:f>
        <x:v>15</x:v>
      </x:c>
      <x:c r="C45" s="8" t="str">
        <x:f>'Evaluation Plan'!C45</x:f>
        <x:v>2 — Exact-scene paraphrase</x:v>
      </x:c>
      <x:c r="D45" s="8" t="str">
        <x:f>'Evaluation Plan'!D45</x:f>
        <x:v>Language robustness</x:v>
      </x:c>
      <x:c r="E45" s="8" t="str">
        <x:f>'Evaluation Plan'!F45</x:f>
        <x:v>SR-F15</x:v>
      </x:c>
      <x:c r="F45" s="8" t="n">
        <x:f>IF('Evaluation Plan'!D45="Language robustness",'Evaluation Plan'!G45,IF('Evaluation Plan'!D45="Matched manipulation control",'Evaluation Plan'!G45,""))</x:f>
        <x:v>42</x:v>
      </x:c>
      <x:c r="G45" s="7" t="str">
        <x:f>'Evaluation Plan'!H45</x:f>
        <x:v>Place the yellow-white striped cup that is not overturned in the bowl.</x:v>
      </x:c>
      <x:c r="H45" s="7" t="str">
        <x:f>'Evaluation Plan'!I45</x:f>
        <x:v>P1 white cup A (O, UR); P2 brown cup B (C, UD); P3 yellow-white striped cup A (O, UR) [TARGET]; P4 yellow-white striped cup B (O, UD) [STATE COMPETITOR]</x:v>
      </x:c>
      <x:c r="I45" s="8" t="str">
        <x:f>'Evaluation Plan'!J45</x:f>
        <x:v>yellow-white striped cup A</x:v>
      </x:c>
      <x:c r="J45" s="8" t="str">
        <x:v>Not started</x:v>
      </x:c>
      <x:c r="K45" s="8"/>
      <x:c r="L45" s="8"/>
      <x:c r="M45" s="7"/>
    </x:row>
    <x:row r="46" ht="58" customHeight="1">
      <x:c r="A46" s="8" t="n">
        <x:f>'Evaluation Plan'!A46</x:f>
        <x:v>44</x:v>
      </x:c>
      <x:c r="B46" s="8" t="n">
        <x:f>'Evaluation Plan'!B46</x:f>
        <x:v>15</x:v>
      </x:c>
      <x:c r="C46" s="8" t="str">
        <x:f>'Evaluation Plan'!C46</x:f>
        <x:v>3 — Matched control</x:v>
      </x:c>
      <x:c r="D46" s="8" t="str">
        <x:f>'Evaluation Plan'!D46</x:f>
        <x:v>Matched manipulation control</x:v>
      </x:c>
      <x:c r="E46" s="8" t="str">
        <x:f>'Evaluation Plan'!F46</x:f>
        <x:v>SR-F15</x:v>
      </x:c>
      <x:c r="F46" s="8" t="n">
        <x:f>IF('Evaluation Plan'!D46="Language robustness",'Evaluation Plan'!G46,IF('Evaluation Plan'!D46="Matched manipulation control",'Evaluation Plan'!G46,""))</x:f>
        <x:v>42</x:v>
      </x:c>
      <x:c r="G46" s="7" t="str">
        <x:f>'Evaluation Plan'!H46</x:f>
        <x:v>Move the yellow-white striped cup into the bowl.</x:v>
      </x:c>
      <x:c r="H46" s="7" t="str">
        <x:f>'Evaluation Plan'!I46</x:f>
        <x:v>P1 white cup A (O, UR); P2 brown cup B (C, UD); P3 yellow-white striped cup A (O, UR) [TARGET]</x:v>
      </x:c>
      <x:c r="I46" s="8" t="str">
        <x:f>'Evaluation Plan'!J46</x:f>
        <x:v>yellow-white striped cup A</x:v>
      </x:c>
      <x:c r="J46" s="8" t="str">
        <x:v>Not started</x:v>
      </x:c>
      <x:c r="K46" s="8"/>
      <x:c r="L46" s="8"/>
      <x:c r="M46" s="7"/>
    </x:row>
    <x:row r="47" ht="58" customHeight="1">
      <x:c r="A47" s="9" t="n">
        <x:f>'Evaluation Plan'!A47</x:f>
        <x:v>45</x:v>
      </x:c>
      <x:c r="B47" s="9" t="n">
        <x:f>'Evaluation Plan'!B47</x:f>
        <x:v>16</x:v>
      </x:c>
      <x:c r="C47" s="9" t="str">
        <x:f>'Evaluation Plan'!C47</x:f>
        <x:v>1 — Canonical transfer</x:v>
      </x:c>
      <x:c r="D47" s="9" t="str">
        <x:f>'Evaluation Plan'!D47</x:f>
        <x:v>Concept/compositional transfer</x:v>
      </x:c>
      <x:c r="E47" s="9" t="str">
        <x:f>'Evaluation Plan'!F47</x:f>
        <x:v>SR-F16</x:v>
      </x:c>
      <x:c r="F47" s="9" t="str">
        <x:f>IF('Evaluation Plan'!D47="Language robustness",'Evaluation Plan'!G47,IF('Evaluation Plan'!D47="Matched manipulation control",'Evaluation Plan'!G47,""))</x:f>
      </x:c>
      <x:c r="G47" s="10" t="str">
        <x:f>'Evaluation Plan'!H47</x:f>
        <x:v>Place the upside-down brown cup in the bowl.</x:v>
      </x:c>
      <x:c r="H47" s="10" t="str">
        <x:f>'Evaluation Plan'!I47</x:f>
        <x:v>P1 brown cup A (C, UR) [STATE COMPETITOR]; P2 white cup A (O, UR); P3 yellow-white striped cup B (C, UD); P4 brown cup B (C, UD) [TARGET]</x:v>
      </x:c>
      <x:c r="I47" s="9" t="str">
        <x:f>'Evaluation Plan'!J47</x:f>
        <x:v>brown cup B</x:v>
      </x:c>
      <x:c r="J47" s="9" t="str">
        <x:v>Not started</x:v>
      </x:c>
      <x:c r="K47" s="9"/>
      <x:c r="L47" s="9"/>
      <x:c r="M47" s="10"/>
    </x:row>
    <x:row r="48" ht="58" customHeight="1">
      <x:c r="A48" s="8" t="n">
        <x:f>'Evaluation Plan'!A48</x:f>
        <x:v>46</x:v>
      </x:c>
      <x:c r="B48" s="8" t="n">
        <x:f>'Evaluation Plan'!B48</x:f>
        <x:v>16</x:v>
      </x:c>
      <x:c r="C48" s="8" t="str">
        <x:f>'Evaluation Plan'!C48</x:f>
        <x:v>2 — Exact-scene paraphrase</x:v>
      </x:c>
      <x:c r="D48" s="8" t="str">
        <x:f>'Evaluation Plan'!D48</x:f>
        <x:v>Language robustness</x:v>
      </x:c>
      <x:c r="E48" s="8" t="str">
        <x:f>'Evaluation Plan'!F48</x:f>
        <x:v>SR-F16</x:v>
      </x:c>
      <x:c r="F48" s="8" t="n">
        <x:f>IF('Evaluation Plan'!D48="Language robustness",'Evaluation Plan'!G48,IF('Evaluation Plan'!D48="Matched manipulation control",'Evaluation Plan'!G48,""))</x:f>
        <x:v>45</x:v>
      </x:c>
      <x:c r="G48" s="7" t="str">
        <x:f>'Evaluation Plan'!H48</x:f>
        <x:v>Place the overturned brown cup in the bowl.</x:v>
      </x:c>
      <x:c r="H48" s="7" t="str">
        <x:f>'Evaluation Plan'!I48</x:f>
        <x:v>P1 brown cup A (C, UR) [STATE COMPETITOR]; P2 white cup A (O, UR); P3 yellow-white striped cup B (C, UD); P4 brown cup B (C, UD) [TARGET]</x:v>
      </x:c>
      <x:c r="I48" s="8" t="str">
        <x:f>'Evaluation Plan'!J48</x:f>
        <x:v>brown cup B</x:v>
      </x:c>
      <x:c r="J48" s="8" t="str">
        <x:v>Not started</x:v>
      </x:c>
      <x:c r="K48" s="8"/>
      <x:c r="L48" s="8"/>
      <x:c r="M48" s="7"/>
    </x:row>
    <x:row r="49" ht="58" customHeight="1">
      <x:c r="A49" s="8" t="n">
        <x:f>'Evaluation Plan'!A49</x:f>
        <x:v>47</x:v>
      </x:c>
      <x:c r="B49" s="8" t="n">
        <x:f>'Evaluation Plan'!B49</x:f>
        <x:v>16</x:v>
      </x:c>
      <x:c r="C49" s="8" t="str">
        <x:f>'Evaluation Plan'!C49</x:f>
        <x:v>3 — Matched control</x:v>
      </x:c>
      <x:c r="D49" s="8" t="str">
        <x:f>'Evaluation Plan'!D49</x:f>
        <x:v>Matched manipulation control</x:v>
      </x:c>
      <x:c r="E49" s="8" t="str">
        <x:f>'Evaluation Plan'!F49</x:f>
        <x:v>SR-F16</x:v>
      </x:c>
      <x:c r="F49" s="8" t="n">
        <x:f>IF('Evaluation Plan'!D49="Language robustness",'Evaluation Plan'!G49,IF('Evaluation Plan'!D49="Matched manipulation control",'Evaluation Plan'!G49,""))</x:f>
        <x:v>45</x:v>
      </x:c>
      <x:c r="G49" s="7" t="str">
        <x:f>'Evaluation Plan'!H49</x:f>
        <x:v>Place the brown cup in the bowl.</x:v>
      </x:c>
      <x:c r="H49" s="7" t="str">
        <x:f>'Evaluation Plan'!I49</x:f>
        <x:v>P2 white cup A (O, UR); P3 yellow-white striped cup B (C, UD); P4 brown cup B (C, UD) [TARGET]</x:v>
      </x:c>
      <x:c r="I49" s="8" t="str">
        <x:f>'Evaluation Plan'!J49</x:f>
        <x:v>brown cup B</x:v>
      </x:c>
      <x:c r="J49" s="8" t="str">
        <x:v>Not started</x:v>
      </x:c>
      <x:c r="K49" s="8"/>
      <x:c r="L49" s="8"/>
      <x:c r="M49" s="7"/>
    </x:row>
    <x:row r="50" ht="58" customHeight="1">
      <x:c r="A50" s="9" t="n">
        <x:f>'Evaluation Plan'!A50</x:f>
        <x:v>48</x:v>
      </x:c>
      <x:c r="B50" s="9" t="n">
        <x:f>'Evaluation Plan'!B50</x:f>
        <x:v>17</x:v>
      </x:c>
      <x:c r="C50" s="9" t="str">
        <x:f>'Evaluation Plan'!C50</x:f>
        <x:v>1 — Canonical transfer</x:v>
      </x:c>
      <x:c r="D50" s="9" t="str">
        <x:f>'Evaluation Plan'!D50</x:f>
        <x:v>Concept/compositional transfer</x:v>
      </x:c>
      <x:c r="E50" s="9" t="str">
        <x:f>'Evaluation Plan'!F50</x:f>
        <x:v>SR-F17</x:v>
      </x:c>
      <x:c r="F50" s="9" t="str">
        <x:f>IF('Evaluation Plan'!D50="Language robustness",'Evaluation Plan'!G50,IF('Evaluation Plan'!D50="Matched manipulation control",'Evaluation Plan'!G50,""))</x:f>
      </x:c>
      <x:c r="G50" s="10" t="str">
        <x:f>'Evaluation Plan'!H50</x:f>
        <x:v>Put the closed white cup in the bowl.</x:v>
      </x:c>
      <x:c r="H50" s="10" t="str">
        <x:f>'Evaluation Plan'!I50</x:f>
        <x:v>P1 white cup A (C, UR) [TARGET]; P2 white cup B (O, UR) [STATE COMPETITOR]; P3 yellow-white striped cup A (O, UR); P4 brown cup B (C, UD)</x:v>
      </x:c>
      <x:c r="I50" s="9" t="str">
        <x:f>'Evaluation Plan'!J50</x:f>
        <x:v>white cup A</x:v>
      </x:c>
      <x:c r="J50" s="9" t="str">
        <x:v>Not started</x:v>
      </x:c>
      <x:c r="K50" s="9"/>
      <x:c r="L50" s="9"/>
      <x:c r="M50" s="10"/>
    </x:row>
    <x:row r="51" ht="58" customHeight="1">
      <x:c r="A51" s="8" t="n">
        <x:f>'Evaluation Plan'!A51</x:f>
        <x:v>49</x:v>
      </x:c>
      <x:c r="B51" s="8" t="n">
        <x:f>'Evaluation Plan'!B51</x:f>
        <x:v>17</x:v>
      </x:c>
      <x:c r="C51" s="8" t="str">
        <x:f>'Evaluation Plan'!C51</x:f>
        <x:v>2 — Exact-scene paraphrase</x:v>
      </x:c>
      <x:c r="D51" s="8" t="str">
        <x:f>'Evaluation Plan'!D51</x:f>
        <x:v>Language robustness</x:v>
      </x:c>
      <x:c r="E51" s="8" t="str">
        <x:f>'Evaluation Plan'!F51</x:f>
        <x:v>SR-F17</x:v>
      </x:c>
      <x:c r="F51" s="8" t="n">
        <x:f>IF('Evaluation Plan'!D51="Language robustness",'Evaluation Plan'!G51,IF('Evaluation Plan'!D51="Matched manipulation control",'Evaluation Plan'!G51,""))</x:f>
        <x:v>48</x:v>
      </x:c>
      <x:c r="G51" s="7" t="str">
        <x:f>'Evaluation Plan'!H51</x:f>
        <x:v>Move the closed white cup into the bowl.</x:v>
      </x:c>
      <x:c r="H51" s="7" t="str">
        <x:f>'Evaluation Plan'!I51</x:f>
        <x:v>P1 white cup A (C, UR) [TARGET]; P2 white cup B (O, UR) [STATE COMPETITOR]; P3 yellow-white striped cup A (O, UR); P4 brown cup B (C, UD)</x:v>
      </x:c>
      <x:c r="I51" s="8" t="str">
        <x:f>'Evaluation Plan'!J51</x:f>
        <x:v>white cup A</x:v>
      </x:c>
      <x:c r="J51" s="8" t="str">
        <x:v>Not started</x:v>
      </x:c>
      <x:c r="K51" s="8"/>
      <x:c r="L51" s="8"/>
      <x:c r="M51" s="7"/>
    </x:row>
    <x:row r="52" ht="58" customHeight="1">
      <x:c r="A52" s="8" t="n">
        <x:f>'Evaluation Plan'!A52</x:f>
        <x:v>50</x:v>
      </x:c>
      <x:c r="B52" s="8" t="n">
        <x:f>'Evaluation Plan'!B52</x:f>
        <x:v>17</x:v>
      </x:c>
      <x:c r="C52" s="8" t="str">
        <x:f>'Evaluation Plan'!C52</x:f>
        <x:v>3 — Matched control</x:v>
      </x:c>
      <x:c r="D52" s="8" t="str">
        <x:f>'Evaluation Plan'!D52</x:f>
        <x:v>Matched manipulation control</x:v>
      </x:c>
      <x:c r="E52" s="8" t="str">
        <x:f>'Evaluation Plan'!F52</x:f>
        <x:v>SR-F17</x:v>
      </x:c>
      <x:c r="F52" s="8" t="n">
        <x:f>IF('Evaluation Plan'!D52="Language robustness",'Evaluation Plan'!G52,IF('Evaluation Plan'!D52="Matched manipulation control",'Evaluation Plan'!G52,""))</x:f>
        <x:v>48</x:v>
      </x:c>
      <x:c r="G52" s="7" t="str">
        <x:f>'Evaluation Plan'!H52</x:f>
        <x:v>Put the white cup in the bowl.</x:v>
      </x:c>
      <x:c r="H52" s="7" t="str">
        <x:f>'Evaluation Plan'!I52</x:f>
        <x:v>P1 white cup A (C, UR) [TARGET]; P3 yellow-white striped cup A (O, UR); P4 brown cup B (C, UD)</x:v>
      </x:c>
      <x:c r="I52" s="8" t="str">
        <x:f>'Evaluation Plan'!J52</x:f>
        <x:v>white cup A</x:v>
      </x:c>
      <x:c r="J52" s="8" t="str">
        <x:v>Not started</x:v>
      </x:c>
      <x:c r="K52" s="8"/>
      <x:c r="L52" s="8"/>
      <x:c r="M52" s="7"/>
    </x:row>
    <x:row r="53" ht="58" customHeight="1">
      <x:c r="A53" s="9" t="n">
        <x:f>'Evaluation Plan'!A53</x:f>
        <x:v>51</x:v>
      </x:c>
      <x:c r="B53" s="9" t="n">
        <x:f>'Evaluation Plan'!B53</x:f>
        <x:v>18</x:v>
      </x:c>
      <x:c r="C53" s="9" t="str">
        <x:f>'Evaluation Plan'!C53</x:f>
        <x:v>1 — Canonical transfer</x:v>
      </x:c>
      <x:c r="D53" s="9" t="str">
        <x:f>'Evaluation Plan'!D53</x:f>
        <x:v>Concept/compositional transfer</x:v>
      </x:c>
      <x:c r="E53" s="9" t="str">
        <x:f>'Evaluation Plan'!F53</x:f>
        <x:v>SR-F18</x:v>
      </x:c>
      <x:c r="F53" s="9" t="str">
        <x:f>IF('Evaluation Plan'!D53="Language robustness",'Evaluation Plan'!G53,IF('Evaluation Plan'!D53="Matched manipulation control",'Evaluation Plan'!G53,""))</x:f>
      </x:c>
      <x:c r="G53" s="10" t="str">
        <x:f>'Evaluation Plan'!H53</x:f>
        <x:v>Move the open yellow-white striped cup into the bowl.</x:v>
      </x:c>
      <x:c r="H53" s="10" t="str">
        <x:f>'Evaluation Plan'!I53</x:f>
        <x:v>P1 white cup B (C, UD); P2 yellow-white striped cup B (O, UD) [TARGET]; P3 yellow-white striped cup A (C, UD) [STATE COMPETITOR]; P4 brown cup A (O, UR)</x:v>
      </x:c>
      <x:c r="I53" s="9" t="str">
        <x:f>'Evaluation Plan'!J53</x:f>
        <x:v>yellow-white striped cup B</x:v>
      </x:c>
      <x:c r="J53" s="9" t="str">
        <x:v>Not started</x:v>
      </x:c>
      <x:c r="K53" s="9"/>
      <x:c r="L53" s="9"/>
      <x:c r="M53" s="10"/>
    </x:row>
    <x:row r="54" ht="58" customHeight="1">
      <x:c r="A54" s="8" t="n">
        <x:f>'Evaluation Plan'!A54</x:f>
        <x:v>52</x:v>
      </x:c>
      <x:c r="B54" s="8" t="n">
        <x:f>'Evaluation Plan'!B54</x:f>
        <x:v>18</x:v>
      </x:c>
      <x:c r="C54" s="8" t="str">
        <x:f>'Evaluation Plan'!C54</x:f>
        <x:v>2 — Exact-scene paraphrase</x:v>
      </x:c>
      <x:c r="D54" s="8" t="str">
        <x:f>'Evaluation Plan'!D54</x:f>
        <x:v>Language robustness</x:v>
      </x:c>
      <x:c r="E54" s="8" t="str">
        <x:f>'Evaluation Plan'!F54</x:f>
        <x:v>SR-F18</x:v>
      </x:c>
      <x:c r="F54" s="8" t="n">
        <x:f>IF('Evaluation Plan'!D54="Language robustness",'Evaluation Plan'!G54,IF('Evaluation Plan'!D54="Matched manipulation control",'Evaluation Plan'!G54,""))</x:f>
        <x:v>51</x:v>
      </x:c>
      <x:c r="G54" s="7" t="str">
        <x:f>'Evaluation Plan'!H54</x:f>
        <x:v>Move the open yellow-white striped cup into the bowl.</x:v>
      </x:c>
      <x:c r="H54" s="7" t="str">
        <x:f>'Evaluation Plan'!I54</x:f>
        <x:v>P1 white cup B (C, UD); P2 yellow-white striped cup B (O, UD) [TARGET]; P3 yellow-white striped cup A (C, UD) [STATE COMPETITOR]; P4 brown cup A (O, UR)</x:v>
      </x:c>
      <x:c r="I54" s="8" t="str">
        <x:f>'Evaluation Plan'!J54</x:f>
        <x:v>yellow-white striped cup B</x:v>
      </x:c>
      <x:c r="J54" s="8" t="str">
        <x:v>Not started</x:v>
      </x:c>
      <x:c r="K54" s="8"/>
      <x:c r="L54" s="8"/>
      <x:c r="M54" s="7"/>
    </x:row>
    <x:row r="55" ht="58" customHeight="1">
      <x:c r="A55" s="8" t="n">
        <x:f>'Evaluation Plan'!A55</x:f>
        <x:v>53</x:v>
      </x:c>
      <x:c r="B55" s="8" t="n">
        <x:f>'Evaluation Plan'!B55</x:f>
        <x:v>18</x:v>
      </x:c>
      <x:c r="C55" s="8" t="str">
        <x:f>'Evaluation Plan'!C55</x:f>
        <x:v>3 — Matched control</x:v>
      </x:c>
      <x:c r="D55" s="8" t="str">
        <x:f>'Evaluation Plan'!D55</x:f>
        <x:v>Matched manipulation control</x:v>
      </x:c>
      <x:c r="E55" s="8" t="str">
        <x:f>'Evaluation Plan'!F55</x:f>
        <x:v>SR-F18</x:v>
      </x:c>
      <x:c r="F55" s="8" t="n">
        <x:f>IF('Evaluation Plan'!D55="Language robustness",'Evaluation Plan'!G55,IF('Evaluation Plan'!D55="Matched manipulation control",'Evaluation Plan'!G55,""))</x:f>
        <x:v>51</x:v>
      </x:c>
      <x:c r="G55" s="7" t="str">
        <x:f>'Evaluation Plan'!H55</x:f>
        <x:v>Move the yellow-white striped cup into the bowl.</x:v>
      </x:c>
      <x:c r="H55" s="7" t="str">
        <x:f>'Evaluation Plan'!I55</x:f>
        <x:v>P1 white cup B (C, UD); P2 yellow-white striped cup B (O, UD) [TARGET]; P4 brown cup A (O, UR)</x:v>
      </x:c>
      <x:c r="I55" s="8" t="str">
        <x:f>'Evaluation Plan'!J55</x:f>
        <x:v>yellow-white striped cup B</x:v>
      </x:c>
      <x:c r="J55" s="8" t="str">
        <x:v>Not started</x:v>
      </x:c>
      <x:c r="K55" s="8"/>
      <x:c r="L55" s="8"/>
      <x:c r="M55" s="7"/>
    </x:row>
    <x:row r="56" ht="58" customHeight="1">
      <x:c r="A56" s="9" t="n">
        <x:f>'Evaluation Plan'!A56</x:f>
        <x:v>54</x:v>
      </x:c>
      <x:c r="B56" s="9" t="n">
        <x:f>'Evaluation Plan'!B56</x:f>
        <x:v>19</x:v>
      </x:c>
      <x:c r="C56" s="9" t="str">
        <x:f>'Evaluation Plan'!C56</x:f>
        <x:v>1 — Canonical transfer</x:v>
      </x:c>
      <x:c r="D56" s="9" t="str">
        <x:f>'Evaluation Plan'!D56</x:f>
        <x:v>Concept/compositional transfer</x:v>
      </x:c>
      <x:c r="E56" s="9" t="str">
        <x:f>'Evaluation Plan'!F56</x:f>
        <x:v>SR-F19</x:v>
      </x:c>
      <x:c r="F56" s="9" t="str">
        <x:f>IF('Evaluation Plan'!D56="Language robustness",'Evaluation Plan'!G56,IF('Evaluation Plan'!D56="Matched manipulation control",'Evaluation Plan'!G56,""))</x:f>
      </x:c>
      <x:c r="G56" s="10" t="str">
        <x:f>'Evaluation Plan'!H56</x:f>
        <x:v>Place the upright brown cup in the bowl.</x:v>
      </x:c>
      <x:c r="H56" s="10" t="str">
        <x:f>'Evaluation Plan'!I56</x:f>
        <x:v>P1 white cup A (O, UR); P2 yellow-white striped cup B (C, UD); P3 brown cup A (O, UR) [TARGET]; P4 brown cup B (O, UD) [STATE COMPETITOR]</x:v>
      </x:c>
      <x:c r="I56" s="9" t="str">
        <x:f>'Evaluation Plan'!J56</x:f>
        <x:v>brown cup A</x:v>
      </x:c>
      <x:c r="J56" s="9" t="str">
        <x:v>Not started</x:v>
      </x:c>
      <x:c r="K56" s="9"/>
      <x:c r="L56" s="9"/>
      <x:c r="M56" s="10"/>
    </x:row>
    <x:row r="57" ht="58" customHeight="1">
      <x:c r="A57" s="8" t="n">
        <x:f>'Evaluation Plan'!A57</x:f>
        <x:v>55</x:v>
      </x:c>
      <x:c r="B57" s="8" t="n">
        <x:f>'Evaluation Plan'!B57</x:f>
        <x:v>19</x:v>
      </x:c>
      <x:c r="C57" s="8" t="str">
        <x:f>'Evaluation Plan'!C57</x:f>
        <x:v>2 — Exact-scene paraphrase</x:v>
      </x:c>
      <x:c r="D57" s="8" t="str">
        <x:f>'Evaluation Plan'!D57</x:f>
        <x:v>Language robustness</x:v>
      </x:c>
      <x:c r="E57" s="8" t="str">
        <x:f>'Evaluation Plan'!F57</x:f>
        <x:v>SR-F19</x:v>
      </x:c>
      <x:c r="F57" s="8" t="n">
        <x:f>IF('Evaluation Plan'!D57="Language robustness",'Evaluation Plan'!G57,IF('Evaluation Plan'!D57="Matched manipulation control",'Evaluation Plan'!G57,""))</x:f>
        <x:v>54</x:v>
      </x:c>
      <x:c r="G57" s="7" t="str">
        <x:f>'Evaluation Plan'!H57</x:f>
        <x:v>Move the upright brown cup into the bowl.</x:v>
      </x:c>
      <x:c r="H57" s="7" t="str">
        <x:f>'Evaluation Plan'!I57</x:f>
        <x:v>P1 white cup A (O, UR); P2 yellow-white striped cup B (C, UD); P3 brown cup A (O, UR) [TARGET]; P4 brown cup B (O, UD) [STATE COMPETITOR]</x:v>
      </x:c>
      <x:c r="I57" s="8" t="str">
        <x:f>'Evaluation Plan'!J57</x:f>
        <x:v>brown cup A</x:v>
      </x:c>
      <x:c r="J57" s="8" t="str">
        <x:v>Not started</x:v>
      </x:c>
      <x:c r="K57" s="8"/>
      <x:c r="L57" s="8"/>
      <x:c r="M57" s="7"/>
    </x:row>
    <x:row r="58" ht="58" customHeight="1">
      <x:c r="A58" s="8" t="n">
        <x:f>'Evaluation Plan'!A58</x:f>
        <x:v>56</x:v>
      </x:c>
      <x:c r="B58" s="8" t="n">
        <x:f>'Evaluation Plan'!B58</x:f>
        <x:v>19</x:v>
      </x:c>
      <x:c r="C58" s="8" t="str">
        <x:f>'Evaluation Plan'!C58</x:f>
        <x:v>3 — Matched control</x:v>
      </x:c>
      <x:c r="D58" s="8" t="str">
        <x:f>'Evaluation Plan'!D58</x:f>
        <x:v>Matched manipulation control</x:v>
      </x:c>
      <x:c r="E58" s="8" t="str">
        <x:f>'Evaluation Plan'!F58</x:f>
        <x:v>SR-F19</x:v>
      </x:c>
      <x:c r="F58" s="8" t="n">
        <x:f>IF('Evaluation Plan'!D58="Language robustness",'Evaluation Plan'!G58,IF('Evaluation Plan'!D58="Matched manipulation control",'Evaluation Plan'!G58,""))</x:f>
        <x:v>54</x:v>
      </x:c>
      <x:c r="G58" s="7" t="str">
        <x:f>'Evaluation Plan'!H58</x:f>
        <x:v>Place the brown cup in the bowl.</x:v>
      </x:c>
      <x:c r="H58" s="7" t="str">
        <x:f>'Evaluation Plan'!I58</x:f>
        <x:v>P1 white cup A (O, UR); P2 yellow-white striped cup B (C, UD); P3 brown cup A (O, UR) [TARGET]</x:v>
      </x:c>
      <x:c r="I58" s="8" t="str">
        <x:f>'Evaluation Plan'!J58</x:f>
        <x:v>brown cup A</x:v>
      </x:c>
      <x:c r="J58" s="8" t="str">
        <x:v>Not started</x:v>
      </x:c>
      <x:c r="K58" s="8"/>
      <x:c r="L58" s="8"/>
      <x:c r="M58" s="7"/>
    </x:row>
    <x:row r="59" ht="58" customHeight="1">
      <x:c r="A59" s="9" t="n">
        <x:f>'Evaluation Plan'!A59</x:f>
        <x:v>57</x:v>
      </x:c>
      <x:c r="B59" s="9" t="n">
        <x:f>'Evaluation Plan'!B59</x:f>
        <x:v>20</x:v>
      </x:c>
      <x:c r="C59" s="9" t="str">
        <x:f>'Evaluation Plan'!C59</x:f>
        <x:v>1 — Canonical transfer</x:v>
      </x:c>
      <x:c r="D59" s="9" t="str">
        <x:f>'Evaluation Plan'!D59</x:f>
        <x:v>Concept/compositional transfer</x:v>
      </x:c>
      <x:c r="E59" s="9" t="str">
        <x:f>'Evaluation Plan'!F59</x:f>
        <x:v>SR-F20</x:v>
      </x:c>
      <x:c r="F59" s="9" t="str">
        <x:f>IF('Evaluation Plan'!D59="Language robustness",'Evaluation Plan'!G59,IF('Evaluation Plan'!D59="Matched manipulation control",'Evaluation Plan'!G59,""))</x:f>
      </x:c>
      <x:c r="G59" s="10" t="str">
        <x:f>'Evaluation Plan'!H59</x:f>
        <x:v>Put the upside-down glass spice container in the bowl.</x:v>
      </x:c>
      <x:c r="H59" s="10" t="str">
        <x:f>'Evaluation Plan'!I59</x:f>
        <x:v>P1 glass spice container A (C, UR) [STATE COMPETITOR]; P2 white cup A (O, UR); P3 yellow-white striped cup B (C, UD); P4 glass spice container B (C, UD) [TARGET]</x:v>
      </x:c>
      <x:c r="I59" s="9" t="str">
        <x:f>'Evaluation Plan'!J59</x:f>
        <x:v>glass spice container B</x:v>
      </x:c>
      <x:c r="J59" s="9" t="str">
        <x:v>Not started</x:v>
      </x:c>
      <x:c r="K59" s="9"/>
      <x:c r="L59" s="9"/>
      <x:c r="M59" s="10"/>
    </x:row>
    <x:row r="60" ht="58" customHeight="1">
      <x:c r="A60" s="8" t="n">
        <x:f>'Evaluation Plan'!A60</x:f>
        <x:v>58</x:v>
      </x:c>
      <x:c r="B60" s="8" t="n">
        <x:f>'Evaluation Plan'!B60</x:f>
        <x:v>20</x:v>
      </x:c>
      <x:c r="C60" s="8" t="str">
        <x:f>'Evaluation Plan'!C60</x:f>
        <x:v>2 — Exact-scene paraphrase</x:v>
      </x:c>
      <x:c r="D60" s="8" t="str">
        <x:f>'Evaluation Plan'!D60</x:f>
        <x:v>Language robustness</x:v>
      </x:c>
      <x:c r="E60" s="8" t="str">
        <x:f>'Evaluation Plan'!F60</x:f>
        <x:v>SR-F20</x:v>
      </x:c>
      <x:c r="F60" s="8" t="n">
        <x:f>IF('Evaluation Plan'!D60="Language robustness",'Evaluation Plan'!G60,IF('Evaluation Plan'!D60="Matched manipulation control",'Evaluation Plan'!G60,""))</x:f>
        <x:v>57</x:v>
      </x:c>
      <x:c r="G60" s="7" t="str">
        <x:f>'Evaluation Plan'!H60</x:f>
        <x:v>Move the upside-down glass spice container into the bowl.</x:v>
      </x:c>
      <x:c r="H60" s="7" t="str">
        <x:f>'Evaluation Plan'!I60</x:f>
        <x:v>P1 glass spice container A (C, UR) [STATE COMPETITOR]; P2 white cup A (O, UR); P3 yellow-white striped cup B (C, UD); P4 glass spice container B (C, UD) [TARGET]</x:v>
      </x:c>
      <x:c r="I60" s="8" t="str">
        <x:f>'Evaluation Plan'!J60</x:f>
        <x:v>glass spice container B</x:v>
      </x:c>
      <x:c r="J60" s="8" t="str">
        <x:v>Not started</x:v>
      </x:c>
      <x:c r="K60" s="8"/>
      <x:c r="L60" s="8"/>
      <x:c r="M60" s="7"/>
    </x:row>
    <x:row r="61" ht="58" customHeight="1">
      <x:c r="A61" s="8" t="n">
        <x:f>'Evaluation Plan'!A61</x:f>
        <x:v>59</x:v>
      </x:c>
      <x:c r="B61" s="8" t="n">
        <x:f>'Evaluation Plan'!B61</x:f>
        <x:v>20</x:v>
      </x:c>
      <x:c r="C61" s="8" t="str">
        <x:f>'Evaluation Plan'!C61</x:f>
        <x:v>3 — Matched control</x:v>
      </x:c>
      <x:c r="D61" s="8" t="str">
        <x:f>'Evaluation Plan'!D61</x:f>
        <x:v>Matched manipulation control</x:v>
      </x:c>
      <x:c r="E61" s="8" t="str">
        <x:f>'Evaluation Plan'!F61</x:f>
        <x:v>SR-F20</x:v>
      </x:c>
      <x:c r="F61" s="8" t="n">
        <x:f>IF('Evaluation Plan'!D61="Language robustness",'Evaluation Plan'!G61,IF('Evaluation Plan'!D61="Matched manipulation control",'Evaluation Plan'!G61,""))</x:f>
        <x:v>57</x:v>
      </x:c>
      <x:c r="G61" s="7" t="str">
        <x:f>'Evaluation Plan'!H61</x:f>
        <x:v>Put the glass spice container in the bowl.</x:v>
      </x:c>
      <x:c r="H61" s="7" t="str">
        <x:f>'Evaluation Plan'!I61</x:f>
        <x:v>P2 white cup A (O, UR); P3 yellow-white striped cup B (C, UD); P4 glass spice container B (C, UD) [TARGET]</x:v>
      </x:c>
      <x:c r="I61" s="8" t="str">
        <x:f>'Evaluation Plan'!J61</x:f>
        <x:v>glass spice container B</x:v>
      </x:c>
      <x:c r="J61" s="8" t="str">
        <x:v>Not started</x:v>
      </x:c>
      <x:c r="K61" s="8"/>
      <x:c r="L61" s="8"/>
      <x:c r="M61" s="7"/>
    </x:row>
    <x:row r="62" ht="58" customHeight="1">
      <x:c r="A62" s="8" t="n">
        <x:f>'Evaluation Plan'!A62</x:f>
        <x:v>60</x:v>
      </x:c>
      <x:c r="B62" s="8" t="n">
        <x:f>'Evaluation Plan'!B62</x:f>
        <x:v>21</x:v>
      </x:c>
      <x:c r="C62" s="8" t="str">
        <x:f>'Evaluation Plan'!C62</x:f>
        <x:v>Additional transfer</x:v>
      </x:c>
      <x:c r="D62" s="8" t="str">
        <x:f>'Evaluation Plan'!D62</x:f>
        <x:v>Concept/compositional transfer</x:v>
      </x:c>
      <x:c r="E62" s="8" t="str">
        <x:f>'Evaluation Plan'!F62</x:f>
        <x:v>SR-X01</x:v>
      </x:c>
      <x:c r="F62" s="8" t="str">
        <x:f>IF('Evaluation Plan'!D62="Language robustness",'Evaluation Plan'!G62,IF('Evaluation Plan'!D62="Matched manipulation control",'Evaluation Plan'!G62,""))</x:f>
      </x:c>
      <x:c r="G62" s="7" t="str">
        <x:f>'Evaluation Plan'!H62</x:f>
        <x:v>Move the closed yellow-white striped cup into the bowl.</x:v>
      </x:c>
      <x:c r="H62" s="7" t="str">
        <x:f>'Evaluation Plan'!I62</x:f>
        <x:v>P1 yellow-white striped cup A (C, UR) [TARGET]; P2 yellow-white striped cup B (O, UR) [STATE COMPETITOR]; P3 white cup A (O, UR); P4 brown cup B (C, UD)</x:v>
      </x:c>
      <x:c r="I62" s="8" t="str">
        <x:f>'Evaluation Plan'!J62</x:f>
        <x:v>yellow-white striped cup A</x:v>
      </x:c>
      <x:c r="J62" s="8" t="str">
        <x:v>Not started</x:v>
      </x:c>
      <x:c r="K62" s="8"/>
      <x:c r="L62" s="8"/>
      <x:c r="M62" s="7"/>
    </x:row>
    <x:row r="63" ht="58" customHeight="1">
      <x:c r="A63" s="8" t="n">
        <x:f>'Evaluation Plan'!A63</x:f>
        <x:v>61</x:v>
      </x:c>
      <x:c r="B63" s="8" t="n">
        <x:f>'Evaluation Plan'!B63</x:f>
        <x:v>22</x:v>
      </x:c>
      <x:c r="C63" s="8" t="str">
        <x:f>'Evaluation Plan'!C63</x:f>
        <x:v>Additional transfer</x:v>
      </x:c>
      <x:c r="D63" s="8" t="str">
        <x:f>'Evaluation Plan'!D63</x:f>
        <x:v>Concept/compositional transfer</x:v>
      </x:c>
      <x:c r="E63" s="8" t="str">
        <x:f>'Evaluation Plan'!F63</x:f>
        <x:v>SR-X02</x:v>
      </x:c>
      <x:c r="F63" s="8" t="str">
        <x:f>IF('Evaluation Plan'!D63="Language robustness",'Evaluation Plan'!G63,IF('Evaluation Plan'!D63="Matched manipulation control",'Evaluation Plan'!G63,""))</x:f>
      </x:c>
      <x:c r="G63" s="7" t="str">
        <x:f>'Evaluation Plan'!H63</x:f>
        <x:v>Place the closed brown cup in the bowl.</x:v>
      </x:c>
      <x:c r="H63" s="7" t="str">
        <x:f>'Evaluation Plan'!I63</x:f>
        <x:v>P1 white cup B (C, UD); P2 brown cup B (C, UD) [TARGET]; P3 brown cup A (O, UD) [STATE COMPETITOR]; P4 yellow-white striped cup A (O, UR)</x:v>
      </x:c>
      <x:c r="I63" s="8" t="str">
        <x:f>'Evaluation Plan'!J63</x:f>
        <x:v>brown cup B</x:v>
      </x:c>
      <x:c r="J63" s="8" t="str">
        <x:v>Not started</x:v>
      </x:c>
      <x:c r="K63" s="8"/>
      <x:c r="L63" s="8"/>
      <x:c r="M63" s="7"/>
    </x:row>
    <x:row r="64" ht="58" customHeight="1">
      <x:c r="A64" s="8" t="n">
        <x:f>'Evaluation Plan'!A64</x:f>
        <x:v>62</x:v>
      </x:c>
      <x:c r="B64" s="8" t="n">
        <x:f>'Evaluation Plan'!B64</x:f>
        <x:v>23</x:v>
      </x:c>
      <x:c r="C64" s="8" t="str">
        <x:f>'Evaluation Plan'!C64</x:f>
        <x:v>Additional transfer</x:v>
      </x:c>
      <x:c r="D64" s="8" t="str">
        <x:f>'Evaluation Plan'!D64</x:f>
        <x:v>Concept/compositional transfer</x:v>
      </x:c>
      <x:c r="E64" s="8" t="str">
        <x:f>'Evaluation Plan'!F64</x:f>
        <x:v>SR-X03</x:v>
      </x:c>
      <x:c r="F64" s="8" t="str">
        <x:f>IF('Evaluation Plan'!D64="Language robustness",'Evaluation Plan'!G64,IF('Evaluation Plan'!D64="Matched manipulation control",'Evaluation Plan'!G64,""))</x:f>
      </x:c>
      <x:c r="G64" s="7" t="str">
        <x:f>'Evaluation Plan'!H64</x:f>
        <x:v>Put the closed glass spice container in the bowl.</x:v>
      </x:c>
      <x:c r="H64" s="7" t="str">
        <x:f>'Evaluation Plan'!I64</x:f>
        <x:v>P1 white cup A (O, UR); P2 yellow-white striped cup B (C, UD); P3 glass spice container A (C, UR) [TARGET]; P4 glass spice container B (O, UR) [STATE COMPETITOR]</x:v>
      </x:c>
      <x:c r="I64" s="8" t="str">
        <x:f>'Evaluation Plan'!J64</x:f>
        <x:v>glass spice container A</x:v>
      </x:c>
      <x:c r="J64" s="8" t="str">
        <x:v>Not started</x:v>
      </x:c>
      <x:c r="K64" s="8"/>
      <x:c r="L64" s="8"/>
      <x:c r="M64" s="7"/>
    </x:row>
    <x:row r="65" ht="58" customHeight="1">
      <x:c r="A65" s="8" t="n">
        <x:f>'Evaluation Plan'!A65</x:f>
        <x:v>63</x:v>
      </x:c>
      <x:c r="B65" s="8" t="n">
        <x:f>'Evaluation Plan'!B65</x:f>
        <x:v>24</x:v>
      </x:c>
      <x:c r="C65" s="8" t="str">
        <x:f>'Evaluation Plan'!C65</x:f>
        <x:v>Additional transfer</x:v>
      </x:c>
      <x:c r="D65" s="8" t="str">
        <x:f>'Evaluation Plan'!D65</x:f>
        <x:v>Concept/compositional transfer</x:v>
      </x:c>
      <x:c r="E65" s="8" t="str">
        <x:f>'Evaluation Plan'!F65</x:f>
        <x:v>SR-X04</x:v>
      </x:c>
      <x:c r="F65" s="8" t="str">
        <x:f>IF('Evaluation Plan'!D65="Language robustness",'Evaluation Plan'!G65,IF('Evaluation Plan'!D65="Matched manipulation control",'Evaluation Plan'!G65,""))</x:f>
      </x:c>
      <x:c r="G65" s="7" t="str">
        <x:f>'Evaluation Plan'!H65</x:f>
        <x:v>Move the closed white cup into the bowl.</x:v>
      </x:c>
      <x:c r="H65" s="7" t="str">
        <x:f>'Evaluation Plan'!I65</x:f>
        <x:v>P1 white cup A (O, UD) [STATE COMPETITOR]; P2 yellow-white striped cup A (O, UR); P3 brown cup B (C, UD); P4 white cup B (C, UD) [TARGET]</x:v>
      </x:c>
      <x:c r="I65" s="8" t="str">
        <x:f>'Evaluation Plan'!J65</x:f>
        <x:v>white cup B</x:v>
      </x:c>
      <x:c r="J65" s="8" t="str">
        <x:v>Not started</x:v>
      </x:c>
      <x:c r="K65" s="8"/>
      <x:c r="L65" s="8"/>
      <x:c r="M65" s="7"/>
    </x:row>
    <x:row r="66" ht="58" customHeight="1">
      <x:c r="A66" s="8" t="n">
        <x:f>'Evaluation Plan'!A66</x:f>
        <x:v>64</x:v>
      </x:c>
      <x:c r="B66" s="8" t="n">
        <x:f>'Evaluation Plan'!B66</x:f>
        <x:v>25</x:v>
      </x:c>
      <x:c r="C66" s="8" t="str">
        <x:f>'Evaluation Plan'!C66</x:f>
        <x:v>Additional transfer</x:v>
      </x:c>
      <x:c r="D66" s="8" t="str">
        <x:f>'Evaluation Plan'!D66</x:f>
        <x:v>Concept/compositional transfer</x:v>
      </x:c>
      <x:c r="E66" s="8" t="str">
        <x:f>'Evaluation Plan'!F66</x:f>
        <x:v>SR-X05</x:v>
      </x:c>
      <x:c r="F66" s="8" t="str">
        <x:f>IF('Evaluation Plan'!D66="Language robustness",'Evaluation Plan'!G66,IF('Evaluation Plan'!D66="Matched manipulation control",'Evaluation Plan'!G66,""))</x:f>
      </x:c>
      <x:c r="G66" s="7" t="str">
        <x:f>'Evaluation Plan'!H66</x:f>
        <x:v>Place the closed yellow-white striped cup in the bowl.</x:v>
      </x:c>
      <x:c r="H66" s="7" t="str">
        <x:f>'Evaluation Plan'!I66</x:f>
        <x:v>P1 yellow-white striped cup A (C, UR) [TARGET]; P2 yellow-white striped cup B (O, UR) [STATE COMPETITOR]; P3 white cup A (O, UR); P4 brown cup B (C, UD)</x:v>
      </x:c>
      <x:c r="I66" s="8" t="str">
        <x:f>'Evaluation Plan'!J66</x:f>
        <x:v>yellow-white striped cup A</x:v>
      </x:c>
      <x:c r="J66" s="8" t="str">
        <x:v>Not started</x:v>
      </x:c>
      <x:c r="K66" s="8"/>
      <x:c r="L66" s="8"/>
      <x:c r="M66" s="7"/>
    </x:row>
    <x:row r="67" ht="58" customHeight="1">
      <x:c r="A67" s="8" t="n">
        <x:f>'Evaluation Plan'!A67</x:f>
        <x:v>65</x:v>
      </x:c>
      <x:c r="B67" s="8" t="n">
        <x:f>'Evaluation Plan'!B67</x:f>
        <x:v>26</x:v>
      </x:c>
      <x:c r="C67" s="8" t="str">
        <x:f>'Evaluation Plan'!C67</x:f>
        <x:v>Additional transfer</x:v>
      </x:c>
      <x:c r="D67" s="8" t="str">
        <x:f>'Evaluation Plan'!D67</x:f>
        <x:v>Concept/compositional transfer</x:v>
      </x:c>
      <x:c r="E67" s="8" t="str">
        <x:f>'Evaluation Plan'!F67</x:f>
        <x:v>SR-X06</x:v>
      </x:c>
      <x:c r="F67" s="8" t="str">
        <x:f>IF('Evaluation Plan'!D67="Language robustness",'Evaluation Plan'!G67,IF('Evaluation Plan'!D67="Matched manipulation control",'Evaluation Plan'!G67,""))</x:f>
      </x:c>
      <x:c r="G67" s="7" t="str">
        <x:f>'Evaluation Plan'!H67</x:f>
        <x:v>Put the closed brown cup in the bowl.</x:v>
      </x:c>
      <x:c r="H67" s="7" t="str">
        <x:f>'Evaluation Plan'!I67</x:f>
        <x:v>P1 white cup B (C, UD); P2 brown cup B (C, UD) [TARGET]; P3 brown cup A (O, UD) [STATE COMPETITOR]; P4 yellow-white striped cup A (O, UR)</x:v>
      </x:c>
      <x:c r="I67" s="8" t="str">
        <x:f>'Evaluation Plan'!J67</x:f>
        <x:v>brown cup B</x:v>
      </x:c>
      <x:c r="J67" s="8" t="str">
        <x:v>Not started</x:v>
      </x:c>
      <x:c r="K67" s="8"/>
      <x:c r="L67" s="8"/>
      <x:c r="M67" s="7"/>
    </x:row>
    <x:row r="68" ht="58" customHeight="1">
      <x:c r="A68" s="8" t="n">
        <x:f>'Evaluation Plan'!A68</x:f>
        <x:v>66</x:v>
      </x:c>
      <x:c r="B68" s="8" t="n">
        <x:f>'Evaluation Plan'!B68</x:f>
        <x:v>27</x:v>
      </x:c>
      <x:c r="C68" s="8" t="str">
        <x:f>'Evaluation Plan'!C68</x:f>
        <x:v>Additional transfer</x:v>
      </x:c>
      <x:c r="D68" s="8" t="str">
        <x:f>'Evaluation Plan'!D68</x:f>
        <x:v>Concept/compositional transfer</x:v>
      </x:c>
      <x:c r="E68" s="8" t="str">
        <x:f>'Evaluation Plan'!F68</x:f>
        <x:v>SR-X07</x:v>
      </x:c>
      <x:c r="F68" s="8" t="str">
        <x:f>IF('Evaluation Plan'!D68="Language robustness",'Evaluation Plan'!G68,IF('Evaluation Plan'!D68="Matched manipulation control",'Evaluation Plan'!G68,""))</x:f>
      </x:c>
      <x:c r="G68" s="7" t="str">
        <x:f>'Evaluation Plan'!H68</x:f>
        <x:v>Move the closed glass spice container into the bowl.</x:v>
      </x:c>
      <x:c r="H68" s="7" t="str">
        <x:f>'Evaluation Plan'!I68</x:f>
        <x:v>P1 white cup A (O, UR); P2 yellow-white striped cup B (C, UD); P3 glass spice container A (C, UR) [TARGET]; P4 glass spice container B (O, UR) [STATE COMPETITOR]</x:v>
      </x:c>
      <x:c r="I68" s="8" t="str">
        <x:f>'Evaluation Plan'!J68</x:f>
        <x:v>glass spice container A</x:v>
      </x:c>
      <x:c r="J68" s="8" t="str">
        <x:v>Not started</x:v>
      </x:c>
      <x:c r="K68" s="8"/>
      <x:c r="L68" s="8"/>
      <x:c r="M68" s="7"/>
    </x:row>
    <x:row r="69" ht="58" customHeight="1">
      <x:c r="A69" s="8" t="n">
        <x:f>'Evaluation Plan'!A69</x:f>
        <x:v>67</x:v>
      </x:c>
      <x:c r="B69" s="8" t="n">
        <x:f>'Evaluation Plan'!B69</x:f>
        <x:v>28</x:v>
      </x:c>
      <x:c r="C69" s="8" t="str">
        <x:f>'Evaluation Plan'!C69</x:f>
        <x:v>Additional transfer</x:v>
      </x:c>
      <x:c r="D69" s="8" t="str">
        <x:f>'Evaluation Plan'!D69</x:f>
        <x:v>Concept/compositional transfer</x:v>
      </x:c>
      <x:c r="E69" s="8" t="str">
        <x:f>'Evaluation Plan'!F69</x:f>
        <x:v>SR-X08</x:v>
      </x:c>
      <x:c r="F69" s="8" t="str">
        <x:f>IF('Evaluation Plan'!D69="Language robustness",'Evaluation Plan'!G69,IF('Evaluation Plan'!D69="Matched manipulation control",'Evaluation Plan'!G69,""))</x:f>
      </x:c>
      <x:c r="G69" s="7" t="str">
        <x:f>'Evaluation Plan'!H69</x:f>
        <x:v>Place the closed white cup in the bowl.</x:v>
      </x:c>
      <x:c r="H69" s="7" t="str">
        <x:f>'Evaluation Plan'!I69</x:f>
        <x:v>P1 white cup A (O, UD) [STATE COMPETITOR]; P2 yellow-white striped cup A (O, UR); P3 brown cup B (C, UD); P4 white cup B (C, UD) [TARGET]</x:v>
      </x:c>
      <x:c r="I69" s="8" t="str">
        <x:f>'Evaluation Plan'!J69</x:f>
        <x:v>white cup B</x:v>
      </x:c>
      <x:c r="J69" s="8" t="str">
        <x:v>Not started</x:v>
      </x:c>
      <x:c r="K69" s="8"/>
      <x:c r="L69" s="8"/>
      <x:c r="M69" s="7"/>
    </x:row>
    <x:row r="70" ht="58" customHeight="1">
      <x:c r="A70" s="8" t="n">
        <x:f>'Evaluation Plan'!A70</x:f>
        <x:v>68</x:v>
      </x:c>
      <x:c r="B70" s="8" t="n">
        <x:f>'Evaluation Plan'!B70</x:f>
        <x:v>29</x:v>
      </x:c>
      <x:c r="C70" s="8" t="str">
        <x:f>'Evaluation Plan'!C70</x:f>
        <x:v>Additional transfer</x:v>
      </x:c>
      <x:c r="D70" s="8" t="str">
        <x:f>'Evaluation Plan'!D70</x:f>
        <x:v>Concept/compositional transfer</x:v>
      </x:c>
      <x:c r="E70" s="8" t="str">
        <x:f>'Evaluation Plan'!F70</x:f>
        <x:v>SR-X09</x:v>
      </x:c>
      <x:c r="F70" s="8" t="str">
        <x:f>IF('Evaluation Plan'!D70="Language robustness",'Evaluation Plan'!G70,IF('Evaluation Plan'!D70="Matched manipulation control",'Evaluation Plan'!G70,""))</x:f>
      </x:c>
      <x:c r="G70" s="7" t="str">
        <x:f>'Evaluation Plan'!H70</x:f>
        <x:v>Put the closed yellow-white striped cup in the bowl.</x:v>
      </x:c>
      <x:c r="H70" s="7" t="str">
        <x:f>'Evaluation Plan'!I70</x:f>
        <x:v>P1 yellow-white striped cup A (C, UR) [TARGET]; P2 yellow-white striped cup B (O, UR) [STATE COMPETITOR]; P3 white cup A (O, UR); P4 brown cup B (C, UD)</x:v>
      </x:c>
      <x:c r="I70" s="8" t="str">
        <x:f>'Evaluation Plan'!J70</x:f>
        <x:v>yellow-white striped cup A</x:v>
      </x:c>
      <x:c r="J70" s="8" t="str">
        <x:v>Not started</x:v>
      </x:c>
      <x:c r="K70" s="8"/>
      <x:c r="L70" s="8"/>
      <x:c r="M70" s="7"/>
    </x:row>
    <x:row r="71" ht="58" customHeight="1">
      <x:c r="A71" s="8" t="n">
        <x:f>'Evaluation Plan'!A71</x:f>
        <x:v>69</x:v>
      </x:c>
      <x:c r="B71" s="8" t="n">
        <x:f>'Evaluation Plan'!B71</x:f>
        <x:v>30</x:v>
      </x:c>
      <x:c r="C71" s="8" t="str">
        <x:f>'Evaluation Plan'!C71</x:f>
        <x:v>Additional transfer</x:v>
      </x:c>
      <x:c r="D71" s="8" t="str">
        <x:f>'Evaluation Plan'!D71</x:f>
        <x:v>Concept/compositional transfer</x:v>
      </x:c>
      <x:c r="E71" s="8" t="str">
        <x:f>'Evaluation Plan'!F71</x:f>
        <x:v>SR-X10</x:v>
      </x:c>
      <x:c r="F71" s="8" t="str">
        <x:f>IF('Evaluation Plan'!D71="Language robustness",'Evaluation Plan'!G71,IF('Evaluation Plan'!D71="Matched manipulation control",'Evaluation Plan'!G71,""))</x:f>
      </x:c>
      <x:c r="G71" s="7" t="str">
        <x:f>'Evaluation Plan'!H71</x:f>
        <x:v>Move the closed brown cup into the bowl.</x:v>
      </x:c>
      <x:c r="H71" s="7" t="str">
        <x:f>'Evaluation Plan'!I71</x:f>
        <x:v>P1 white cup B (C, UD); P2 brown cup B (C, UD) [TARGET]; P3 brown cup A (O, UD) [STATE COMPETITOR]; P4 yellow-white striped cup A (O, UR)</x:v>
      </x:c>
      <x:c r="I71" s="8" t="str">
        <x:f>'Evaluation Plan'!J71</x:f>
        <x:v>brown cup B</x:v>
      </x:c>
      <x:c r="J71" s="8" t="str">
        <x:v>Not started</x:v>
      </x:c>
      <x:c r="K71" s="8"/>
      <x:c r="L71" s="8"/>
      <x:c r="M71" s="7"/>
    </x:row>
    <x:row r="72" ht="58" customHeight="1">
      <x:c r="A72" s="8" t="n">
        <x:f>'Evaluation Plan'!A72</x:f>
        <x:v>70</x:v>
      </x:c>
      <x:c r="B72" s="8" t="n">
        <x:f>'Evaluation Plan'!B72</x:f>
        <x:v>31</x:v>
      </x:c>
      <x:c r="C72" s="8" t="str">
        <x:f>'Evaluation Plan'!C72</x:f>
        <x:v>Additional transfer</x:v>
      </x:c>
      <x:c r="D72" s="8" t="str">
        <x:f>'Evaluation Plan'!D72</x:f>
        <x:v>Concept/compositional transfer</x:v>
      </x:c>
      <x:c r="E72" s="8" t="str">
        <x:f>'Evaluation Plan'!F72</x:f>
        <x:v>SR-X11</x:v>
      </x:c>
      <x:c r="F72" s="8" t="str">
        <x:f>IF('Evaluation Plan'!D72="Language robustness",'Evaluation Plan'!G72,IF('Evaluation Plan'!D72="Matched manipulation control",'Evaluation Plan'!G72,""))</x:f>
      </x:c>
      <x:c r="G72" s="7" t="str">
        <x:f>'Evaluation Plan'!H72</x:f>
        <x:v>Place the open glass spice container in the bowl.</x:v>
      </x:c>
      <x:c r="H72" s="7" t="str">
        <x:f>'Evaluation Plan'!I72</x:f>
        <x:v>P1 white cup A (O, UR); P2 yellow-white striped cup B (C, UD); P3 glass spice container A (O, UR) [TARGET]; P4 glass spice container B (C, UR) [STATE COMPETITOR]</x:v>
      </x:c>
      <x:c r="I72" s="8" t="str">
        <x:f>'Evaluation Plan'!J72</x:f>
        <x:v>glass spice container A</x:v>
      </x:c>
      <x:c r="J72" s="8" t="str">
        <x:v>Not started</x:v>
      </x:c>
      <x:c r="K72" s="8"/>
      <x:c r="L72" s="8"/>
      <x:c r="M72" s="7"/>
    </x:row>
    <x:row r="73" ht="58" customHeight="1">
      <x:c r="A73" s="8" t="n">
        <x:f>'Evaluation Plan'!A73</x:f>
        <x:v>71</x:v>
      </x:c>
      <x:c r="B73" s="8" t="n">
        <x:f>'Evaluation Plan'!B73</x:f>
        <x:v>32</x:v>
      </x:c>
      <x:c r="C73" s="8" t="str">
        <x:f>'Evaluation Plan'!C73</x:f>
        <x:v>Additional transfer</x:v>
      </x:c>
      <x:c r="D73" s="8" t="str">
        <x:f>'Evaluation Plan'!D73</x:f>
        <x:v>Concept/compositional transfer</x:v>
      </x:c>
      <x:c r="E73" s="8" t="str">
        <x:f>'Evaluation Plan'!F73</x:f>
        <x:v>SR-X12</x:v>
      </x:c>
      <x:c r="F73" s="8" t="str">
        <x:f>IF('Evaluation Plan'!D73="Language robustness",'Evaluation Plan'!G73,IF('Evaluation Plan'!D73="Matched manipulation control",'Evaluation Plan'!G73,""))</x:f>
      </x:c>
      <x:c r="G73" s="7" t="str">
        <x:f>'Evaluation Plan'!H73</x:f>
        <x:v>Put the open white cup in the bowl.</x:v>
      </x:c>
      <x:c r="H73" s="7" t="str">
        <x:f>'Evaluation Plan'!I73</x:f>
        <x:v>P1 white cup A (C, UD) [STATE COMPETITOR]; P2 yellow-white striped cup A (O, UR); P3 brown cup B (C, UD); P4 white cup B (O, UD) [TARGET]</x:v>
      </x:c>
      <x:c r="I73" s="8" t="str">
        <x:f>'Evaluation Plan'!J73</x:f>
        <x:v>white cup B</x:v>
      </x:c>
      <x:c r="J73" s="8" t="str">
        <x:v>Not started</x:v>
      </x:c>
      <x:c r="K73" s="8"/>
      <x:c r="L73" s="8"/>
      <x:c r="M73" s="7"/>
    </x:row>
    <x:row r="74" ht="58" customHeight="1">
      <x:c r="A74" s="8" t="n">
        <x:f>'Evaluation Plan'!A74</x:f>
        <x:v>72</x:v>
      </x:c>
      <x:c r="B74" s="8" t="n">
        <x:f>'Evaluation Plan'!B74</x:f>
        <x:v>33</x:v>
      </x:c>
      <x:c r="C74" s="8" t="str">
        <x:f>'Evaluation Plan'!C74</x:f>
        <x:v>Additional transfer</x:v>
      </x:c>
      <x:c r="D74" s="8" t="str">
        <x:f>'Evaluation Plan'!D74</x:f>
        <x:v>Concept/compositional transfer</x:v>
      </x:c>
      <x:c r="E74" s="8" t="str">
        <x:f>'Evaluation Plan'!F74</x:f>
        <x:v>SR-X13</x:v>
      </x:c>
      <x:c r="F74" s="8" t="str">
        <x:f>IF('Evaluation Plan'!D74="Language robustness",'Evaluation Plan'!G74,IF('Evaluation Plan'!D74="Matched manipulation control",'Evaluation Plan'!G74,""))</x:f>
      </x:c>
      <x:c r="G74" s="7" t="str">
        <x:f>'Evaluation Plan'!H74</x:f>
        <x:v>Move the open yellow-white striped cup into the bowl.</x:v>
      </x:c>
      <x:c r="H74" s="7" t="str">
        <x:f>'Evaluation Plan'!I74</x:f>
        <x:v>P1 yellow-white striped cup A (O, UR) [TARGET]; P2 yellow-white striped cup B (C, UR) [STATE COMPETITOR]; P3 white cup A (O, UR); P4 brown cup B (C, UD)</x:v>
      </x:c>
      <x:c r="I74" s="8" t="str">
        <x:f>'Evaluation Plan'!J74</x:f>
        <x:v>yellow-white striped cup A</x:v>
      </x:c>
      <x:c r="J74" s="8" t="str">
        <x:v>Not started</x:v>
      </x:c>
      <x:c r="K74" s="8"/>
      <x:c r="L74" s="8"/>
      <x:c r="M74" s="7"/>
    </x:row>
    <x:row r="75" ht="58" customHeight="1">
      <x:c r="A75" s="8" t="n">
        <x:f>'Evaluation Plan'!A75</x:f>
        <x:v>73</x:v>
      </x:c>
      <x:c r="B75" s="8" t="n">
        <x:f>'Evaluation Plan'!B75</x:f>
        <x:v>34</x:v>
      </x:c>
      <x:c r="C75" s="8" t="str">
        <x:f>'Evaluation Plan'!C75</x:f>
        <x:v>Additional transfer</x:v>
      </x:c>
      <x:c r="D75" s="8" t="str">
        <x:f>'Evaluation Plan'!D75</x:f>
        <x:v>Concept/compositional transfer</x:v>
      </x:c>
      <x:c r="E75" s="8" t="str">
        <x:f>'Evaluation Plan'!F75</x:f>
        <x:v>SR-X14</x:v>
      </x:c>
      <x:c r="F75" s="8" t="str">
        <x:f>IF('Evaluation Plan'!D75="Language robustness",'Evaluation Plan'!G75,IF('Evaluation Plan'!D75="Matched manipulation control",'Evaluation Plan'!G75,""))</x:f>
      </x:c>
      <x:c r="G75" s="7" t="str">
        <x:f>'Evaluation Plan'!H75</x:f>
        <x:v>Place the open brown cup in the bowl.</x:v>
      </x:c>
      <x:c r="H75" s="7" t="str">
        <x:f>'Evaluation Plan'!I75</x:f>
        <x:v>P1 white cup B (C, UD); P2 brown cup B (O, UD) [TARGET]; P3 brown cup A (C, UD) [STATE COMPETITOR]; P4 yellow-white striped cup A (O, UR)</x:v>
      </x:c>
      <x:c r="I75" s="8" t="str">
        <x:f>'Evaluation Plan'!J75</x:f>
        <x:v>brown cup B</x:v>
      </x:c>
      <x:c r="J75" s="8" t="str">
        <x:v>Not started</x:v>
      </x:c>
      <x:c r="K75" s="8"/>
      <x:c r="L75" s="8"/>
      <x:c r="M75" s="7"/>
    </x:row>
    <x:row r="76" ht="58" customHeight="1">
      <x:c r="A76" s="8" t="n">
        <x:f>'Evaluation Plan'!A76</x:f>
        <x:v>74</x:v>
      </x:c>
      <x:c r="B76" s="8" t="n">
        <x:f>'Evaluation Plan'!B76</x:f>
        <x:v>35</x:v>
      </x:c>
      <x:c r="C76" s="8" t="str">
        <x:f>'Evaluation Plan'!C76</x:f>
        <x:v>Additional transfer</x:v>
      </x:c>
      <x:c r="D76" s="8" t="str">
        <x:f>'Evaluation Plan'!D76</x:f>
        <x:v>Concept/compositional transfer</x:v>
      </x:c>
      <x:c r="E76" s="8" t="str">
        <x:f>'Evaluation Plan'!F76</x:f>
        <x:v>SR-X15</x:v>
      </x:c>
      <x:c r="F76" s="8" t="str">
        <x:f>IF('Evaluation Plan'!D76="Language robustness",'Evaluation Plan'!G76,IF('Evaluation Plan'!D76="Matched manipulation control",'Evaluation Plan'!G76,""))</x:f>
      </x:c>
      <x:c r="G76" s="7" t="str">
        <x:f>'Evaluation Plan'!H76</x:f>
        <x:v>Put the open glass spice container in the bowl.</x:v>
      </x:c>
      <x:c r="H76" s="7" t="str">
        <x:f>'Evaluation Plan'!I76</x:f>
        <x:v>P1 white cup A (O, UR); P2 yellow-white striped cup B (C, UD); P3 glass spice container A (O, UR) [TARGET]; P4 glass spice container B (C, UR) [STATE COMPETITOR]</x:v>
      </x:c>
      <x:c r="I76" s="8" t="str">
        <x:f>'Evaluation Plan'!J76</x:f>
        <x:v>glass spice container A</x:v>
      </x:c>
      <x:c r="J76" s="8" t="str">
        <x:v>Not started</x:v>
      </x:c>
      <x:c r="K76" s="8"/>
      <x:c r="L76" s="8"/>
      <x:c r="M76" s="7"/>
    </x:row>
    <x:row r="77" ht="58" customHeight="1">
      <x:c r="A77" s="8" t="n">
        <x:f>'Evaluation Plan'!A77</x:f>
        <x:v>75</x:v>
      </x:c>
      <x:c r="B77" s="8" t="n">
        <x:f>'Evaluation Plan'!B77</x:f>
        <x:v>36</x:v>
      </x:c>
      <x:c r="C77" s="8" t="str">
        <x:f>'Evaluation Plan'!C77</x:f>
        <x:v>Additional transfer</x:v>
      </x:c>
      <x:c r="D77" s="8" t="str">
        <x:f>'Evaluation Plan'!D77</x:f>
        <x:v>Concept/compositional transfer</x:v>
      </x:c>
      <x:c r="E77" s="8" t="str">
        <x:f>'Evaluation Plan'!F77</x:f>
        <x:v>SR-X16</x:v>
      </x:c>
      <x:c r="F77" s="8" t="str">
        <x:f>IF('Evaluation Plan'!D77="Language robustness",'Evaluation Plan'!G77,IF('Evaluation Plan'!D77="Matched manipulation control",'Evaluation Plan'!G77,""))</x:f>
      </x:c>
      <x:c r="G77" s="7" t="str">
        <x:f>'Evaluation Plan'!H77</x:f>
        <x:v>Move the upright white cup into the bowl.</x:v>
      </x:c>
      <x:c r="H77" s="7" t="str">
        <x:f>'Evaluation Plan'!I77</x:f>
        <x:v>P1 white cup A (C, UD) [STATE COMPETITOR]; P2 yellow-white striped cup A (O, UR); P3 brown cup B (C, UD); P4 white cup B (C, UR) [TARGET]</x:v>
      </x:c>
      <x:c r="I77" s="8" t="str">
        <x:f>'Evaluation Plan'!J77</x:f>
        <x:v>white cup B</x:v>
      </x:c>
      <x:c r="J77" s="8" t="str">
        <x:v>Not started</x:v>
      </x:c>
      <x:c r="K77" s="8"/>
      <x:c r="L77" s="8"/>
      <x:c r="M77" s="7"/>
    </x:row>
    <x:row r="78" ht="58" customHeight="1">
      <x:c r="A78" s="8" t="n">
        <x:f>'Evaluation Plan'!A78</x:f>
        <x:v>76</x:v>
      </x:c>
      <x:c r="B78" s="8" t="n">
        <x:f>'Evaluation Plan'!B78</x:f>
        <x:v>37</x:v>
      </x:c>
      <x:c r="C78" s="8" t="str">
        <x:f>'Evaluation Plan'!C78</x:f>
        <x:v>Additional transfer</x:v>
      </x:c>
      <x:c r="D78" s="8" t="str">
        <x:f>'Evaluation Plan'!D78</x:f>
        <x:v>Concept/compositional transfer</x:v>
      </x:c>
      <x:c r="E78" s="8" t="str">
        <x:f>'Evaluation Plan'!F78</x:f>
        <x:v>SR-X17</x:v>
      </x:c>
      <x:c r="F78" s="8" t="str">
        <x:f>IF('Evaluation Plan'!D78="Language robustness",'Evaluation Plan'!G78,IF('Evaluation Plan'!D78="Matched manipulation control",'Evaluation Plan'!G78,""))</x:f>
      </x:c>
      <x:c r="G78" s="7" t="str">
        <x:f>'Evaluation Plan'!H78</x:f>
        <x:v>Place the upright yellow-white striped cup in the bowl.</x:v>
      </x:c>
      <x:c r="H78" s="7" t="str">
        <x:f>'Evaluation Plan'!I78</x:f>
        <x:v>P1 yellow-white striped cup A (O, UR) [TARGET]; P2 yellow-white striped cup B (O, UD) [STATE COMPETITOR]; P3 white cup A (O, UR); P4 brown cup B (C, UD)</x:v>
      </x:c>
      <x:c r="I78" s="8" t="str">
        <x:f>'Evaluation Plan'!J78</x:f>
        <x:v>yellow-white striped cup A</x:v>
      </x:c>
      <x:c r="J78" s="8" t="str">
        <x:v>Not started</x:v>
      </x:c>
      <x:c r="K78" s="8"/>
      <x:c r="L78" s="8"/>
      <x:c r="M78" s="7"/>
    </x:row>
    <x:row r="79" ht="58" customHeight="1">
      <x:c r="A79" s="8" t="n">
        <x:f>'Evaluation Plan'!A79</x:f>
        <x:v>77</x:v>
      </x:c>
      <x:c r="B79" s="8" t="n">
        <x:f>'Evaluation Plan'!B79</x:f>
        <x:v>38</x:v>
      </x:c>
      <x:c r="C79" s="8" t="str">
        <x:f>'Evaluation Plan'!C79</x:f>
        <x:v>Additional transfer</x:v>
      </x:c>
      <x:c r="D79" s="8" t="str">
        <x:f>'Evaluation Plan'!D79</x:f>
        <x:v>Concept/compositional transfer</x:v>
      </x:c>
      <x:c r="E79" s="8" t="str">
        <x:f>'Evaluation Plan'!F79</x:f>
        <x:v>SR-X18</x:v>
      </x:c>
      <x:c r="F79" s="8" t="str">
        <x:f>IF('Evaluation Plan'!D79="Language robustness",'Evaluation Plan'!G79,IF('Evaluation Plan'!D79="Matched manipulation control",'Evaluation Plan'!G79,""))</x:f>
      </x:c>
      <x:c r="G79" s="7" t="str">
        <x:f>'Evaluation Plan'!H79</x:f>
        <x:v>Put the upright brown cup in the bowl.</x:v>
      </x:c>
      <x:c r="H79" s="7" t="str">
        <x:f>'Evaluation Plan'!I79</x:f>
        <x:v>P1 white cup B (C, UD); P2 brown cup B (C, UR) [TARGET]; P3 brown cup A (C, UD) [STATE COMPETITOR]; P4 yellow-white striped cup A (O, UR)</x:v>
      </x:c>
      <x:c r="I79" s="8" t="str">
        <x:f>'Evaluation Plan'!J79</x:f>
        <x:v>brown cup B</x:v>
      </x:c>
      <x:c r="J79" s="8" t="str">
        <x:v>Not started</x:v>
      </x:c>
      <x:c r="K79" s="8"/>
      <x:c r="L79" s="8"/>
      <x:c r="M79" s="7"/>
    </x:row>
    <x:row r="80" ht="58" customHeight="1">
      <x:c r="A80" s="8" t="n">
        <x:f>'Evaluation Plan'!A80</x:f>
        <x:v>78</x:v>
      </x:c>
      <x:c r="B80" s="8" t="n">
        <x:f>'Evaluation Plan'!B80</x:f>
        <x:v>39</x:v>
      </x:c>
      <x:c r="C80" s="8" t="str">
        <x:f>'Evaluation Plan'!C80</x:f>
        <x:v>Additional transfer</x:v>
      </x:c>
      <x:c r="D80" s="8" t="str">
        <x:f>'Evaluation Plan'!D80</x:f>
        <x:v>Concept/compositional transfer</x:v>
      </x:c>
      <x:c r="E80" s="8" t="str">
        <x:f>'Evaluation Plan'!F80</x:f>
        <x:v>SR-X19</x:v>
      </x:c>
      <x:c r="F80" s="8" t="str">
        <x:f>IF('Evaluation Plan'!D80="Language robustness",'Evaluation Plan'!G80,IF('Evaluation Plan'!D80="Matched manipulation control",'Evaluation Plan'!G80,""))</x:f>
      </x:c>
      <x:c r="G80" s="7" t="str">
        <x:f>'Evaluation Plan'!H80</x:f>
        <x:v>Move the upright glass spice container into the bowl.</x:v>
      </x:c>
      <x:c r="H80" s="7" t="str">
        <x:f>'Evaluation Plan'!I80</x:f>
        <x:v>P1 white cup A (O, UR); P2 yellow-white striped cup B (C, UD); P3 glass spice container A (O, UR) [TARGET]; P4 glass spice container B (O, UD) [STATE COMPETITOR]</x:v>
      </x:c>
      <x:c r="I80" s="8" t="str">
        <x:f>'Evaluation Plan'!J80</x:f>
        <x:v>glass spice container A</x:v>
      </x:c>
      <x:c r="J80" s="8" t="str">
        <x:v>Not started</x:v>
      </x:c>
      <x:c r="K80" s="8"/>
      <x:c r="L80" s="8"/>
      <x:c r="M80" s="7"/>
    </x:row>
    <x:row r="81" ht="58" customHeight="1">
      <x:c r="A81" s="8" t="n">
        <x:f>'Evaluation Plan'!A81</x:f>
        <x:v>79</x:v>
      </x:c>
      <x:c r="B81" s="8" t="n">
        <x:f>'Evaluation Plan'!B81</x:f>
        <x:v>40</x:v>
      </x:c>
      <x:c r="C81" s="8" t="str">
        <x:f>'Evaluation Plan'!C81</x:f>
        <x:v>Additional transfer</x:v>
      </x:c>
      <x:c r="D81" s="8" t="str">
        <x:f>'Evaluation Plan'!D81</x:f>
        <x:v>Concept/compositional transfer</x:v>
      </x:c>
      <x:c r="E81" s="8" t="str">
        <x:f>'Evaluation Plan'!F81</x:f>
        <x:v>SR-X20</x:v>
      </x:c>
      <x:c r="F81" s="8" t="str">
        <x:f>IF('Evaluation Plan'!D81="Language robustness",'Evaluation Plan'!G81,IF('Evaluation Plan'!D81="Matched manipulation control",'Evaluation Plan'!G81,""))</x:f>
      </x:c>
      <x:c r="G81" s="7" t="str">
        <x:f>'Evaluation Plan'!H81</x:f>
        <x:v>Place the upright white cup in the bowl.</x:v>
      </x:c>
      <x:c r="H81" s="7" t="str">
        <x:f>'Evaluation Plan'!I81</x:f>
        <x:v>P1 white cup A (C, UD) [STATE COMPETITOR]; P2 yellow-white striped cup A (O, UR); P3 brown cup B (C, UD); P4 white cup B (C, UR) [TARGET]</x:v>
      </x:c>
      <x:c r="I81" s="8" t="str">
        <x:f>'Evaluation Plan'!J81</x:f>
        <x:v>white cup B</x:v>
      </x:c>
      <x:c r="J81" s="8" t="str">
        <x:v>Not started</x:v>
      </x:c>
      <x:c r="K81" s="8"/>
      <x:c r="L81" s="8"/>
      <x:c r="M81" s="7"/>
    </x:row>
    <x:row r="82" ht="58" customHeight="1">
      <x:c r="A82" s="8" t="n">
        <x:f>'Evaluation Plan'!A82</x:f>
        <x:v>80</x:v>
      </x:c>
      <x:c r="B82" s="8" t="n">
        <x:f>'Evaluation Plan'!B82</x:f>
        <x:v>41</x:v>
      </x:c>
      <x:c r="C82" s="8" t="str">
        <x:f>'Evaluation Plan'!C82</x:f>
        <x:v>Additional transfer</x:v>
      </x:c>
      <x:c r="D82" s="8" t="str">
        <x:f>'Evaluation Plan'!D82</x:f>
        <x:v>Concept/compositional transfer</x:v>
      </x:c>
      <x:c r="E82" s="8" t="str">
        <x:f>'Evaluation Plan'!F82</x:f>
        <x:v>SR-X21</x:v>
      </x:c>
      <x:c r="F82" s="8" t="str">
        <x:f>IF('Evaluation Plan'!D82="Language robustness",'Evaluation Plan'!G82,IF('Evaluation Plan'!D82="Matched manipulation control",'Evaluation Plan'!G82,""))</x:f>
      </x:c>
      <x:c r="G82" s="7" t="str">
        <x:f>'Evaluation Plan'!H82</x:f>
        <x:v>Put the upside-down yellow-white striped cup in the bowl.</x:v>
      </x:c>
      <x:c r="H82" s="7" t="str">
        <x:f>'Evaluation Plan'!I82</x:f>
        <x:v>P1 yellow-white striped cup A (O, UD) [TARGET]; P2 yellow-white striped cup B (O, UR) [STATE COMPETITOR]; P3 white cup A (O, UR); P4 brown cup B (C, UD)</x:v>
      </x:c>
      <x:c r="I82" s="8" t="str">
        <x:f>'Evaluation Plan'!J82</x:f>
        <x:v>yellow-white striped cup A</x:v>
      </x:c>
      <x:c r="J82" s="8" t="str">
        <x:v>Not started</x:v>
      </x:c>
      <x:c r="K82" s="8"/>
      <x:c r="L82" s="8"/>
      <x:c r="M82" s="7"/>
    </x:row>
    <x:row r="83" ht="58" customHeight="1">
      <x:c r="A83" s="8" t="n">
        <x:f>'Evaluation Plan'!A83</x:f>
        <x:v>81</x:v>
      </x:c>
      <x:c r="B83" s="8" t="n">
        <x:f>'Evaluation Plan'!B83</x:f>
        <x:v>42</x:v>
      </x:c>
      <x:c r="C83" s="8" t="str">
        <x:f>'Evaluation Plan'!C83</x:f>
        <x:v>Additional transfer</x:v>
      </x:c>
      <x:c r="D83" s="8" t="str">
        <x:f>'Evaluation Plan'!D83</x:f>
        <x:v>Concept/compositional transfer</x:v>
      </x:c>
      <x:c r="E83" s="8" t="str">
        <x:f>'Evaluation Plan'!F83</x:f>
        <x:v>SR-X22</x:v>
      </x:c>
      <x:c r="F83" s="8" t="str">
        <x:f>IF('Evaluation Plan'!D83="Language robustness",'Evaluation Plan'!G83,IF('Evaluation Plan'!D83="Matched manipulation control",'Evaluation Plan'!G83,""))</x:f>
      </x:c>
      <x:c r="G83" s="7" t="str">
        <x:f>'Evaluation Plan'!H83</x:f>
        <x:v>Move the upside-down brown cup into the bowl.</x:v>
      </x:c>
      <x:c r="H83" s="7" t="str">
        <x:f>'Evaluation Plan'!I83</x:f>
        <x:v>P1 white cup B (C, UD); P2 brown cup B (C, UD) [TARGET]; P3 brown cup A (C, UR) [STATE COMPETITOR]; P4 yellow-white striped cup A (O, UR)</x:v>
      </x:c>
      <x:c r="I83" s="8" t="str">
        <x:f>'Evaluation Plan'!J83</x:f>
        <x:v>brown cup B</x:v>
      </x:c>
      <x:c r="J83" s="8" t="str">
        <x:v>Not started</x:v>
      </x:c>
      <x:c r="K83" s="8"/>
      <x:c r="L83" s="8"/>
      <x:c r="M83" s="7"/>
    </x:row>
    <x:row r="84" ht="58" customHeight="1">
      <x:c r="A84" s="8" t="n">
        <x:f>'Evaluation Plan'!A84</x:f>
        <x:v>82</x:v>
      </x:c>
      <x:c r="B84" s="8" t="n">
        <x:f>'Evaluation Plan'!B84</x:f>
        <x:v>43</x:v>
      </x:c>
      <x:c r="C84" s="8" t="str">
        <x:f>'Evaluation Plan'!C84</x:f>
        <x:v>Additional transfer</x:v>
      </x:c>
      <x:c r="D84" s="8" t="str">
        <x:f>'Evaluation Plan'!D84</x:f>
        <x:v>Concept/compositional transfer</x:v>
      </x:c>
      <x:c r="E84" s="8" t="str">
        <x:f>'Evaluation Plan'!F84</x:f>
        <x:v>SR-CAN01</x:v>
      </x:c>
      <x:c r="F84" s="8" t="str">
        <x:f>IF('Evaluation Plan'!D84="Language robustness",'Evaluation Plan'!G84,IF('Evaluation Plan'!D84="Matched manipulation control",'Evaluation Plan'!G84,""))</x:f>
      </x:c>
      <x:c r="G84" s="7" t="str">
        <x:f>'Evaluation Plan'!H84</x:f>
        <x:v>Put the upright can in the bowl.</x:v>
      </x:c>
      <x:c r="H84" s="7" t="str">
        <x:f>'Evaluation Plan'!I84</x:f>
        <x:v>P1 crushed Coke can (UR) [TARGET]; P2 crushed Pepsi can (UD) [STATE COMPETITOR]; P3 white cup A (O, UD); P4 yellow-white striped cup B (C, UD)</x:v>
      </x:c>
      <x:c r="I84" s="8" t="str">
        <x:f>'Evaluation Plan'!J84</x:f>
        <x:v>crushed Coke can</x:v>
      </x:c>
      <x:c r="J84" s="8" t="str">
        <x:v>Not started</x:v>
      </x:c>
      <x:c r="K84" s="8"/>
      <x:c r="L84" s="8"/>
      <x:c r="M84" s="7"/>
    </x:row>
    <x:row r="85" ht="58" customHeight="1">
      <x:c r="A85" s="8" t="n">
        <x:f>'Evaluation Plan'!A85</x:f>
        <x:v>83</x:v>
      </x:c>
      <x:c r="B85" s="8" t="n">
        <x:f>'Evaluation Plan'!B85</x:f>
        <x:v>44</x:v>
      </x:c>
      <x:c r="C85" s="8" t="str">
        <x:f>'Evaluation Plan'!C85</x:f>
        <x:v>Additional transfer</x:v>
      </x:c>
      <x:c r="D85" s="8" t="str">
        <x:f>'Evaluation Plan'!D85</x:f>
        <x:v>Concept/compositional transfer</x:v>
      </x:c>
      <x:c r="E85" s="8" t="str">
        <x:f>'Evaluation Plan'!F85</x:f>
        <x:v>SR-CAN02</x:v>
      </x:c>
      <x:c r="F85" s="8" t="str">
        <x:f>IF('Evaluation Plan'!D85="Language robustness",'Evaluation Plan'!G85,IF('Evaluation Plan'!D85="Matched manipulation control",'Evaluation Plan'!G85,""))</x:f>
      </x:c>
      <x:c r="G85" s="7" t="str">
        <x:f>'Evaluation Plan'!H85</x:f>
        <x:v>Move the upright can into the bowl.</x:v>
      </x:c>
      <x:c r="H85" s="7" t="str">
        <x:f>'Evaluation Plan'!I85</x:f>
        <x:v>P1 yellow-white striped cup B (C, UD); P2 crushed Pepsi can (UR) [TARGET]; P3 crushed Coke can (UD) [STATE COMPETITOR]; P4 brown cup A (O, UD)</x:v>
      </x:c>
      <x:c r="I85" s="8" t="str">
        <x:f>'Evaluation Plan'!J85</x:f>
        <x:v>crushed Pepsi can</x:v>
      </x:c>
      <x:c r="J85" s="8" t="str">
        <x:v>Not started</x:v>
      </x:c>
      <x:c r="K85" s="8"/>
      <x:c r="L85" s="8"/>
      <x:c r="M85" s="7"/>
    </x:row>
    <x:row r="86" ht="58" customHeight="1">
      <x:c r="A86" s="8" t="n">
        <x:f>'Evaluation Plan'!A86</x:f>
        <x:v>84</x:v>
      </x:c>
      <x:c r="B86" s="8" t="n">
        <x:f>'Evaluation Plan'!B86</x:f>
        <x:v>45</x:v>
      </x:c>
      <x:c r="C86" s="8" t="str">
        <x:f>'Evaluation Plan'!C86</x:f>
        <x:v>Additional transfer</x:v>
      </x:c>
      <x:c r="D86" s="8" t="str">
        <x:f>'Evaluation Plan'!D86</x:f>
        <x:v>Concept/compositional transfer</x:v>
      </x:c>
      <x:c r="E86" s="8" t="str">
        <x:f>'Evaluation Plan'!F86</x:f>
        <x:v>SR-CAN03</x:v>
      </x:c>
      <x:c r="F86" s="8" t="str">
        <x:f>IF('Evaluation Plan'!D86="Language robustness",'Evaluation Plan'!G86,IF('Evaluation Plan'!D86="Matched manipulation control",'Evaluation Plan'!G86,""))</x:f>
      </x:c>
      <x:c r="G86" s="7" t="str">
        <x:f>'Evaluation Plan'!H86</x:f>
        <x:v>Place the upright can in the bowl.</x:v>
      </x:c>
      <x:c r="H86" s="7" t="str">
        <x:f>'Evaluation Plan'!I86</x:f>
        <x:v>P1 brown cup A (O, UD); P2 glass spice container B (C, UD); P3 crushed Coke can (UR) [TARGET]; P4 crushed Pepsi can (UD) [STATE COMPETITOR]</x:v>
      </x:c>
      <x:c r="I86" s="8" t="str">
        <x:f>'Evaluation Plan'!J86</x:f>
        <x:v>crushed Coke can</x:v>
      </x:c>
      <x:c r="J86" s="8" t="str">
        <x:v>Not started</x:v>
      </x:c>
      <x:c r="K86" s="8"/>
      <x:c r="L86" s="8"/>
      <x:c r="M86" s="7"/>
    </x:row>
    <x:row r="87" ht="58" customHeight="1">
      <x:c r="A87" s="8" t="n">
        <x:f>'Evaluation Plan'!A87</x:f>
        <x:v>85</x:v>
      </x:c>
      <x:c r="B87" s="8" t="n">
        <x:f>'Evaluation Plan'!B87</x:f>
        <x:v>46</x:v>
      </x:c>
      <x:c r="C87" s="8" t="str">
        <x:f>'Evaluation Plan'!C87</x:f>
        <x:v>Additional transfer</x:v>
      </x:c>
      <x:c r="D87" s="8" t="str">
        <x:f>'Evaluation Plan'!D87</x:f>
        <x:v>Concept/compositional transfer</x:v>
      </x:c>
      <x:c r="E87" s="8" t="str">
        <x:f>'Evaluation Plan'!F87</x:f>
        <x:v>SR-CAN04</x:v>
      </x:c>
      <x:c r="F87" s="8" t="str">
        <x:f>IF('Evaluation Plan'!D87="Language robustness",'Evaluation Plan'!G87,IF('Evaluation Plan'!D87="Matched manipulation control",'Evaluation Plan'!G87,""))</x:f>
      </x:c>
      <x:c r="G87" s="7" t="str">
        <x:f>'Evaluation Plan'!H87</x:f>
        <x:v>Put the upright can in the bowl.</x:v>
      </x:c>
      <x:c r="H87" s="7" t="str">
        <x:f>'Evaluation Plan'!I87</x:f>
        <x:v>P1 crushed Coke can (UD) [STATE COMPETITOR]; P2 glass spice container A (O, UD); P3 white cup B (C, UD); P4 crushed Pepsi can (UR) [TARGET]</x:v>
      </x:c>
      <x:c r="I87" s="8" t="str">
        <x:f>'Evaluation Plan'!J87</x:f>
        <x:v>crushed Pepsi can</x:v>
      </x:c>
      <x:c r="J87" s="8" t="str">
        <x:v>Not started</x:v>
      </x:c>
      <x:c r="K87" s="8"/>
      <x:c r="L87" s="8"/>
      <x:c r="M87" s="7"/>
    </x:row>
    <x:row r="88" ht="58" customHeight="1">
      <x:c r="A88" s="8" t="n">
        <x:f>'Evaluation Plan'!A88</x:f>
        <x:v>86</x:v>
      </x:c>
      <x:c r="B88" s="8" t="n">
        <x:f>'Evaluation Plan'!B88</x:f>
        <x:v>47</x:v>
      </x:c>
      <x:c r="C88" s="8" t="str">
        <x:f>'Evaluation Plan'!C88</x:f>
        <x:v>Additional transfer</x:v>
      </x:c>
      <x:c r="D88" s="8" t="str">
        <x:f>'Evaluation Plan'!D88</x:f>
        <x:v>Concept/compositional transfer</x:v>
      </x:c>
      <x:c r="E88" s="8" t="str">
        <x:f>'Evaluation Plan'!F88</x:f>
        <x:v>SR-CAN05</x:v>
      </x:c>
      <x:c r="F88" s="8" t="str">
        <x:f>IF('Evaluation Plan'!D88="Language robustness",'Evaluation Plan'!G88,IF('Evaluation Plan'!D88="Matched manipulation control",'Evaluation Plan'!G88,""))</x:f>
      </x:c>
      <x:c r="G88" s="7" t="str">
        <x:f>'Evaluation Plan'!H88</x:f>
        <x:v>Move the upright can into the bowl.</x:v>
      </x:c>
      <x:c r="H88" s="7" t="str">
        <x:f>'Evaluation Plan'!I88</x:f>
        <x:v>P1 crushed Coke can (UR) [TARGET]; P2 crushed Pepsi can (UD) [STATE COMPETITOR]; P3 white cup A (O, UD); P4 yellow-white striped cup B (C, UD)</x:v>
      </x:c>
      <x:c r="I88" s="8" t="str">
        <x:f>'Evaluation Plan'!J88</x:f>
        <x:v>crushed Coke can</x:v>
      </x:c>
      <x:c r="J88" s="8" t="str">
        <x:v>Not started</x:v>
      </x:c>
      <x:c r="K88" s="8"/>
      <x:c r="L88" s="8"/>
      <x:c r="M88" s="7"/>
    </x:row>
    <x:row r="89" ht="58" customHeight="1">
      <x:c r="A89" s="8" t="n">
        <x:f>'Evaluation Plan'!A89</x:f>
        <x:v>87</x:v>
      </x:c>
      <x:c r="B89" s="8" t="n">
        <x:f>'Evaluation Plan'!B89</x:f>
        <x:v>48</x:v>
      </x:c>
      <x:c r="C89" s="8" t="str">
        <x:f>'Evaluation Plan'!C89</x:f>
        <x:v>Additional transfer</x:v>
      </x:c>
      <x:c r="D89" s="8" t="str">
        <x:f>'Evaluation Plan'!D89</x:f>
        <x:v>Concept/compositional transfer</x:v>
      </x:c>
      <x:c r="E89" s="8" t="str">
        <x:f>'Evaluation Plan'!F89</x:f>
        <x:v>SR-CAN06</x:v>
      </x:c>
      <x:c r="F89" s="8" t="str">
        <x:f>IF('Evaluation Plan'!D89="Language robustness",'Evaluation Plan'!G89,IF('Evaluation Plan'!D89="Matched manipulation control",'Evaluation Plan'!G89,""))</x:f>
      </x:c>
      <x:c r="G89" s="7" t="str">
        <x:f>'Evaluation Plan'!H89</x:f>
        <x:v>Place the upside-down can in the bowl.</x:v>
      </x:c>
      <x:c r="H89" s="7" t="str">
        <x:f>'Evaluation Plan'!I89</x:f>
        <x:v>P1 yellow-white striped cup B (C, UR); P2 crushed Pepsi can (UD) [TARGET]; P3 crushed Coke can (UR) [STATE COMPETITOR]; P4 brown cup A (O, UR)</x:v>
      </x:c>
      <x:c r="I89" s="8" t="str">
        <x:f>'Evaluation Plan'!J89</x:f>
        <x:v>crushed Pepsi can</x:v>
      </x:c>
      <x:c r="J89" s="8" t="str">
        <x:v>Not started</x:v>
      </x:c>
      <x:c r="K89" s="8"/>
      <x:c r="L89" s="8"/>
      <x:c r="M89" s="7"/>
    </x:row>
    <x:row r="90" ht="58" customHeight="1">
      <x:c r="A90" s="8" t="n">
        <x:f>'Evaluation Plan'!A90</x:f>
        <x:v>88</x:v>
      </x:c>
      <x:c r="B90" s="8" t="n">
        <x:f>'Evaluation Plan'!B90</x:f>
        <x:v>49</x:v>
      </x:c>
      <x:c r="C90" s="8" t="str">
        <x:f>'Evaluation Plan'!C90</x:f>
        <x:v>Additional transfer</x:v>
      </x:c>
      <x:c r="D90" s="8" t="str">
        <x:f>'Evaluation Plan'!D90</x:f>
        <x:v>Concept/compositional transfer</x:v>
      </x:c>
      <x:c r="E90" s="8" t="str">
        <x:f>'Evaluation Plan'!F90</x:f>
        <x:v>SR-CAN07</x:v>
      </x:c>
      <x:c r="F90" s="8" t="str">
        <x:f>IF('Evaluation Plan'!D90="Language robustness",'Evaluation Plan'!G90,IF('Evaluation Plan'!D90="Matched manipulation control",'Evaluation Plan'!G90,""))</x:f>
      </x:c>
      <x:c r="G90" s="7" t="str">
        <x:f>'Evaluation Plan'!H90</x:f>
        <x:v>Put the upside-down can in the bowl.</x:v>
      </x:c>
      <x:c r="H90" s="7" t="str">
        <x:f>'Evaluation Plan'!I90</x:f>
        <x:v>P1 brown cup A (O, UR); P2 glass spice container B (C, UR); P3 crushed Coke can (UD) [TARGET]; P4 crushed Pepsi can (UR) [STATE COMPETITOR]</x:v>
      </x:c>
      <x:c r="I90" s="8" t="str">
        <x:f>'Evaluation Plan'!J90</x:f>
        <x:v>crushed Coke can</x:v>
      </x:c>
      <x:c r="J90" s="8" t="str">
        <x:v>Not started</x:v>
      </x:c>
      <x:c r="K90" s="8"/>
      <x:c r="L90" s="8"/>
      <x:c r="M90" s="7"/>
    </x:row>
    <x:row r="91" ht="58" customHeight="1">
      <x:c r="A91" s="8" t="n">
        <x:f>'Evaluation Plan'!A91</x:f>
        <x:v>89</x:v>
      </x:c>
      <x:c r="B91" s="8" t="n">
        <x:f>'Evaluation Plan'!B91</x:f>
        <x:v>50</x:v>
      </x:c>
      <x:c r="C91" s="8" t="str">
        <x:f>'Evaluation Plan'!C91</x:f>
        <x:v>Additional transfer</x:v>
      </x:c>
      <x:c r="D91" s="8" t="str">
        <x:f>'Evaluation Plan'!D91</x:f>
        <x:v>Concept/compositional transfer</x:v>
      </x:c>
      <x:c r="E91" s="8" t="str">
        <x:f>'Evaluation Plan'!F91</x:f>
        <x:v>SR-CAN08</x:v>
      </x:c>
      <x:c r="F91" s="8" t="str">
        <x:f>IF('Evaluation Plan'!D91="Language robustness",'Evaluation Plan'!G91,IF('Evaluation Plan'!D91="Matched manipulation control",'Evaluation Plan'!G91,""))</x:f>
      </x:c>
      <x:c r="G91" s="7" t="str">
        <x:f>'Evaluation Plan'!H91</x:f>
        <x:v>Move the upside-down can into the bowl.</x:v>
      </x:c>
      <x:c r="H91" s="7" t="str">
        <x:f>'Evaluation Plan'!I91</x:f>
        <x:v>P1 crushed Coke can (UR) [STATE COMPETITOR]; P2 glass spice container A (O, UR); P3 white cup B (C, UR); P4 crushed Pepsi can (UD) [TARGET]</x:v>
      </x:c>
      <x:c r="I91" s="8" t="str">
        <x:f>'Evaluation Plan'!J91</x:f>
        <x:v>crushed Pepsi can</x:v>
      </x:c>
      <x:c r="J91" s="8" t="str">
        <x:v>Not started</x:v>
      </x:c>
      <x:c r="K91" s="8"/>
      <x:c r="L91" s="8"/>
      <x:c r="M91" s="7"/>
    </x:row>
    <x:row r="92" ht="58" customHeight="1">
      <x:c r="A92" s="8" t="n">
        <x:f>'Evaluation Plan'!A92</x:f>
        <x:v>90</x:v>
      </x:c>
      <x:c r="B92" s="8" t="n">
        <x:f>'Evaluation Plan'!B92</x:f>
        <x:v>51</x:v>
      </x:c>
      <x:c r="C92" s="8" t="str">
        <x:f>'Evaluation Plan'!C92</x:f>
        <x:v>Exploratory black-cup pilot</x:v>
      </x:c>
      <x:c r="D92" s="8" t="str">
        <x:f>'Evaluation Plan'!D92</x:f>
        <x:v>Exploratory visual OOD</x:v>
      </x:c>
      <x:c r="E92" s="8" t="str">
        <x:f>'Evaluation Plan'!F92</x:f>
        <x:v>SR-BLK01</x:v>
      </x:c>
      <x:c r="F92" s="8" t="str">
        <x:f>IF('Evaluation Plan'!D92="Language robustness",'Evaluation Plan'!G92,IF('Evaluation Plan'!D92="Matched manipulation control",'Evaluation Plan'!G92,""))</x:f>
      </x:c>
      <x:c r="G92" s="7" t="str">
        <x:f>'Evaluation Plan'!H92</x:f>
        <x:v>Place the closed black cup in the bowl.</x:v>
      </x:c>
      <x:c r="H92" s="7" t="str">
        <x:f>'Evaluation Plan'!I92</x:f>
        <x:v>P1 black cup (C, UR) [TARGET]; P2 brown cup B (C, UD); P3 glass spice container A (O, UR); P4 white cup B (C, UD)</x:v>
      </x:c>
      <x:c r="I92" s="8" t="str">
        <x:f>'Evaluation Plan'!J92</x:f>
        <x:v>black cup</x:v>
      </x:c>
      <x:c r="J92" s="8" t="str">
        <x:v>Not started</x:v>
      </x:c>
      <x:c r="K92" s="8"/>
      <x:c r="L92" s="8"/>
      <x:c r="M92" s="7"/>
    </x:row>
    <x:row r="93" ht="58" customHeight="1">
      <x:c r="A93" s="8" t="n">
        <x:f>'Evaluation Plan'!A93</x:f>
        <x:v>91</x:v>
      </x:c>
      <x:c r="B93" s="8" t="n">
        <x:f>'Evaluation Plan'!B93</x:f>
        <x:v>52</x:v>
      </x:c>
      <x:c r="C93" s="8" t="str">
        <x:f>'Evaluation Plan'!C93</x:f>
        <x:v>Exploratory black-cup pilot</x:v>
      </x:c>
      <x:c r="D93" s="8" t="str">
        <x:f>'Evaluation Plan'!D93</x:f>
        <x:v>Exploratory visual OOD</x:v>
      </x:c>
      <x:c r="E93" s="8" t="str">
        <x:f>'Evaluation Plan'!F93</x:f>
        <x:v>SR-BLK02</x:v>
      </x:c>
      <x:c r="F93" s="8" t="str">
        <x:f>IF('Evaluation Plan'!D93="Language robustness",'Evaluation Plan'!G93,IF('Evaluation Plan'!D93="Matched manipulation control",'Evaluation Plan'!G93,""))</x:f>
      </x:c>
      <x:c r="G93" s="7" t="str">
        <x:f>'Evaluation Plan'!H93</x:f>
        <x:v>Put the closed black cup in the bowl.</x:v>
      </x:c>
      <x:c r="H93" s="7" t="str">
        <x:f>'Evaluation Plan'!I93</x:f>
        <x:v>P1 glass spice container B (C, UD); P2 black cup (C, UD) [TARGET]; P3 white cup B (C, UD); P4 yellow-white striped cup A (O, UR)</x:v>
      </x:c>
      <x:c r="I93" s="8" t="str">
        <x:f>'Evaluation Plan'!J93</x:f>
        <x:v>black cup</x:v>
      </x:c>
      <x:c r="J93" s="8" t="str">
        <x:v>Not started</x:v>
      </x:c>
      <x:c r="K93" s="8"/>
      <x:c r="L93" s="8"/>
      <x:c r="M93" s="7"/>
    </x:row>
    <x:row r="94" ht="58" customHeight="1">
      <x:c r="A94" s="8" t="n">
        <x:f>'Evaluation Plan'!A94</x:f>
        <x:v>92</x:v>
      </x:c>
      <x:c r="B94" s="8" t="n">
        <x:f>'Evaluation Plan'!B94</x:f>
        <x:v>53</x:v>
      </x:c>
      <x:c r="C94" s="8" t="str">
        <x:f>'Evaluation Plan'!C94</x:f>
        <x:v>Exploratory black-cup pilot</x:v>
      </x:c>
      <x:c r="D94" s="8" t="str">
        <x:f>'Evaluation Plan'!D94</x:f>
        <x:v>Exploratory visual OOD</x:v>
      </x:c>
      <x:c r="E94" s="8" t="str">
        <x:f>'Evaluation Plan'!F94</x:f>
        <x:v>SR-BLK03</x:v>
      </x:c>
      <x:c r="F94" s="8" t="str">
        <x:f>IF('Evaluation Plan'!D94="Language robustness",'Evaluation Plan'!G94,IF('Evaluation Plan'!D94="Matched manipulation control",'Evaluation Plan'!G94,""))</x:f>
      </x:c>
      <x:c r="G94" s="7" t="str">
        <x:f>'Evaluation Plan'!H94</x:f>
        <x:v>Move the open black cup into the bowl.</x:v>
      </x:c>
      <x:c r="H94" s="7" t="str">
        <x:f>'Evaluation Plan'!I94</x:f>
        <x:v>P1 white cup A (O, UR); P2 yellow-white striped cup B (C, UD); P3 black cup (O, UR) [TARGET]; P4 brown cup B (C, UD)</x:v>
      </x:c>
      <x:c r="I94" s="8" t="str">
        <x:f>'Evaluation Plan'!J94</x:f>
        <x:v>black cup</x:v>
      </x:c>
      <x:c r="J94" s="8" t="str">
        <x:v>Not started</x:v>
      </x:c>
      <x:c r="K94" s="8"/>
      <x:c r="L94" s="8"/>
      <x:c r="M94" s="7"/>
    </x:row>
    <x:row r="95" ht="58" customHeight="1">
      <x:c r="A95" s="8" t="n">
        <x:f>'Evaluation Plan'!A95</x:f>
        <x:v>93</x:v>
      </x:c>
      <x:c r="B95" s="8" t="n">
        <x:f>'Evaluation Plan'!B95</x:f>
        <x:v>54</x:v>
      </x:c>
      <x:c r="C95" s="8" t="str">
        <x:f>'Evaluation Plan'!C95</x:f>
        <x:v>Exploratory black-cup pilot</x:v>
      </x:c>
      <x:c r="D95" s="8" t="str">
        <x:f>'Evaluation Plan'!D95</x:f>
        <x:v>Exploratory visual OOD</x:v>
      </x:c>
      <x:c r="E95" s="8" t="str">
        <x:f>'Evaluation Plan'!F95</x:f>
        <x:v>SR-BLK04</x:v>
      </x:c>
      <x:c r="F95" s="8" t="str">
        <x:f>IF('Evaluation Plan'!D95="Language robustness",'Evaluation Plan'!G95,IF('Evaluation Plan'!D95="Matched manipulation control",'Evaluation Plan'!G95,""))</x:f>
      </x:c>
      <x:c r="G95" s="7" t="str">
        <x:f>'Evaluation Plan'!H95</x:f>
        <x:v>Place the open black cup in the bowl.</x:v>
      </x:c>
      <x:c r="H95" s="7" t="str">
        <x:f>'Evaluation Plan'!I95</x:f>
        <x:v>P1 yellow-white striped cup B (C, UD); P2 brown cup A (O, UR); P3 glass spice container B (C, UD); P4 black cup (O, UD) [TARGET]</x:v>
      </x:c>
      <x:c r="I95" s="8" t="str">
        <x:f>'Evaluation Plan'!J95</x:f>
        <x:v>black cup</x:v>
      </x:c>
      <x:c r="J95" s="8" t="str">
        <x:v>Not started</x:v>
      </x:c>
      <x:c r="K95" s="8"/>
      <x:c r="L95" s="8"/>
      <x:c r="M95" s="7"/>
    </x:row>
    <x:row r="96" ht="58" customHeight="1">
      <x:c r="A96" s="8" t="n">
        <x:f>'Evaluation Plan'!A96</x:f>
        <x:v>94</x:v>
      </x:c>
      <x:c r="B96" s="8" t="n">
        <x:f>'Evaluation Plan'!B96</x:f>
        <x:v>55</x:v>
      </x:c>
      <x:c r="C96" s="8" t="str">
        <x:f>'Evaluation Plan'!C96</x:f>
        <x:v>Exploratory black-cup pilot</x:v>
      </x:c>
      <x:c r="D96" s="8" t="str">
        <x:f>'Evaluation Plan'!D96</x:f>
        <x:v>Exploratory visual OOD</x:v>
      </x:c>
      <x:c r="E96" s="8" t="str">
        <x:f>'Evaluation Plan'!F96</x:f>
        <x:v>SR-BLK05</x:v>
      </x:c>
      <x:c r="F96" s="8" t="str">
        <x:f>IF('Evaluation Plan'!D96="Language robustness",'Evaluation Plan'!G96,IF('Evaluation Plan'!D96="Matched manipulation control",'Evaluation Plan'!G96,""))</x:f>
      </x:c>
      <x:c r="G96" s="7" t="str">
        <x:f>'Evaluation Plan'!H96</x:f>
        <x:v>Put the upright black cup in the bowl.</x:v>
      </x:c>
      <x:c r="H96" s="7" t="str">
        <x:f>'Evaluation Plan'!I96</x:f>
        <x:v>P1 black cup (O, UR) [TARGET]; P2 brown cup B (C, UD); P3 glass spice container A (O, UR); P4 white cup B (C, UD)</x:v>
      </x:c>
      <x:c r="I96" s="8" t="str">
        <x:f>'Evaluation Plan'!J96</x:f>
        <x:v>black cup</x:v>
      </x:c>
      <x:c r="J96" s="8" t="str">
        <x:v>Not started</x:v>
      </x:c>
      <x:c r="K96" s="8"/>
      <x:c r="L96" s="8"/>
      <x:c r="M96" s="7"/>
    </x:row>
    <x:row r="97" ht="58" customHeight="1">
      <x:c r="A97" s="8" t="n">
        <x:f>'Evaluation Plan'!A97</x:f>
        <x:v>95</x:v>
      </x:c>
      <x:c r="B97" s="8" t="n">
        <x:f>'Evaluation Plan'!B97</x:f>
        <x:v>56</x:v>
      </x:c>
      <x:c r="C97" s="8" t="str">
        <x:f>'Evaluation Plan'!C97</x:f>
        <x:v>Exploratory black-cup pilot</x:v>
      </x:c>
      <x:c r="D97" s="8" t="str">
        <x:f>'Evaluation Plan'!D97</x:f>
        <x:v>Exploratory visual OOD</x:v>
      </x:c>
      <x:c r="E97" s="8" t="str">
        <x:f>'Evaluation Plan'!F97</x:f>
        <x:v>SR-BLK06</x:v>
      </x:c>
      <x:c r="F97" s="8" t="str">
        <x:f>IF('Evaluation Plan'!D97="Language robustness",'Evaluation Plan'!G97,IF('Evaluation Plan'!D97="Matched manipulation control",'Evaluation Plan'!G97,""))</x:f>
      </x:c>
      <x:c r="G97" s="7" t="str">
        <x:f>'Evaluation Plan'!H97</x:f>
        <x:v>Move the upright black cup into the bowl.</x:v>
      </x:c>
      <x:c r="H97" s="7" t="str">
        <x:f>'Evaluation Plan'!I97</x:f>
        <x:v>P1 glass spice container B (C, UD); P2 black cup (C, UR) [TARGET]; P3 white cup B (C, UD); P4 yellow-white striped cup A (O, UR)</x:v>
      </x:c>
      <x:c r="I97" s="8" t="str">
        <x:f>'Evaluation Plan'!J97</x:f>
        <x:v>black cup</x:v>
      </x:c>
      <x:c r="J97" s="8" t="str">
        <x:v>Not started</x:v>
      </x:c>
      <x:c r="K97" s="8"/>
      <x:c r="L97" s="8"/>
      <x:c r="M97" s="7"/>
    </x:row>
    <x:row r="98" ht="58" customHeight="1">
      <x:c r="A98" s="8" t="n">
        <x:f>'Evaluation Plan'!A98</x:f>
        <x:v>96</x:v>
      </x:c>
      <x:c r="B98" s="8" t="n">
        <x:f>'Evaluation Plan'!B98</x:f>
        <x:v>57</x:v>
      </x:c>
      <x:c r="C98" s="8" t="str">
        <x:f>'Evaluation Plan'!C98</x:f>
        <x:v>Exploratory black-cup pilot</x:v>
      </x:c>
      <x:c r="D98" s="8" t="str">
        <x:f>'Evaluation Plan'!D98</x:f>
        <x:v>Exploratory visual OOD</x:v>
      </x:c>
      <x:c r="E98" s="8" t="str">
        <x:f>'Evaluation Plan'!F98</x:f>
        <x:v>SR-BLK07</x:v>
      </x:c>
      <x:c r="F98" s="8" t="str">
        <x:f>IF('Evaluation Plan'!D98="Language robustness",'Evaluation Plan'!G98,IF('Evaluation Plan'!D98="Matched manipulation control",'Evaluation Plan'!G98,""))</x:f>
      </x:c>
      <x:c r="G98" s="7" t="str">
        <x:f>'Evaluation Plan'!H98</x:f>
        <x:v>Place the upside-down black cup in the bowl.</x:v>
      </x:c>
      <x:c r="H98" s="7" t="str">
        <x:f>'Evaluation Plan'!I98</x:f>
        <x:v>P1 white cup A (O, UR); P2 yellow-white striped cup B (C, UD); P3 black cup (O, UD) [TARGET]; P4 brown cup B (C, UD)</x:v>
      </x:c>
      <x:c r="I98" s="8" t="str">
        <x:f>'Evaluation Plan'!J98</x:f>
        <x:v>black cup</x:v>
      </x:c>
      <x:c r="J98" s="8" t="str">
        <x:v>Not started</x:v>
      </x:c>
      <x:c r="K98" s="8"/>
      <x:c r="L98" s="8"/>
      <x:c r="M98" s="7"/>
    </x:row>
    <x:row r="99" ht="58" customHeight="1">
      <x:c r="A99" s="8" t="n">
        <x:f>'Evaluation Plan'!A99</x:f>
        <x:v>97</x:v>
      </x:c>
      <x:c r="B99" s="8" t="n">
        <x:f>'Evaluation Plan'!B99</x:f>
        <x:v>58</x:v>
      </x:c>
      <x:c r="C99" s="8" t="str">
        <x:f>'Evaluation Plan'!C99</x:f>
        <x:v>Exploratory black-cup pilot</x:v>
      </x:c>
      <x:c r="D99" s="8" t="str">
        <x:f>'Evaluation Plan'!D99</x:f>
        <x:v>Exploratory visual OOD</x:v>
      </x:c>
      <x:c r="E99" s="8" t="str">
        <x:f>'Evaluation Plan'!F99</x:f>
        <x:v>SR-BLK08</x:v>
      </x:c>
      <x:c r="F99" s="8" t="str">
        <x:f>IF('Evaluation Plan'!D99="Language robustness",'Evaluation Plan'!G99,IF('Evaluation Plan'!D99="Matched manipulation control",'Evaluation Plan'!G99,""))</x:f>
      </x:c>
      <x:c r="G99" s="7" t="str">
        <x:f>'Evaluation Plan'!H99</x:f>
        <x:v>Put the upside-down black cup in the bowl.</x:v>
      </x:c>
      <x:c r="H99" s="7" t="str">
        <x:f>'Evaluation Plan'!I99</x:f>
        <x:v>P1 yellow-white striped cup B (C, UD); P2 brown cup A (O, UR); P3 glass spice container B (C, UD); P4 black cup (C, UD) [TARGET]</x:v>
      </x:c>
      <x:c r="I99" s="8" t="str">
        <x:f>'Evaluation Plan'!J99</x:f>
        <x:v>black cup</x:v>
      </x:c>
      <x:c r="J99" s="8" t="str">
        <x:v>Not started</x:v>
      </x:c>
      <x:c r="K99" s="8"/>
      <x:c r="L99" s="8"/>
      <x:c r="M99" s="7"/>
    </x:row>
  </x:sheetData>
  <x:conditionalFormatting sqref="A2:M99">
    <x:cfRule type="expression" dxfId="15" priority="1">
      <x:formula>$J2="Complete"</x:formula>
    </x:cfRule>
    <x:cfRule type="expression" dxfId="16" priority="2">
      <x:formula>$J2="Redo"</x:formula>
    </x:cfRule>
  </x:conditionalFormatting>
  <x:conditionalFormatting sqref="K2:K99">
    <x:cfRule type="containsText" dxfId="17" priority="3" operator="containsText" text="Success"/>
    <x:cfRule type="containsText" dxfId="18" priority="4" operator="containsText" text="Failure"/>
  </x:conditionalFormatting>
  <x:dataValidations count="3">
    <x:dataValidation type="list" sqref="J2:J99">
      <x:formula1>"Not started,Complete,Redo"</x:formula1>
    </x:dataValidation>
    <x:dataValidation type="list" sqref="K2:K99">
      <x:formula1>"Success,Failure,Invalid / Repeat"</x:formula1>
    </x:dataValidation>
    <x:dataValidation type="list" sqref="L2:L99">
      <x:formula1>"Wrong target,No grasp,Drop outside bowl,Timeout,Setup deviation,Hardware fault,Other"</x:formula1>
    </x:dataValidation>
  </x:dataValidations>
  <x:pageMargins left="0.7" right="0.7" top="0.75" bottom="0.75" header="0.3" footer="0.3"/>
  <x:tableParts count="1">
    <x:tablePart xmlns:r="http://schemas.openxmlformats.org/officeDocument/2006/relationships" r:id="R6744cc7ace28420a"/>
  </x:tableParts>
</x:worksheet>
</file>