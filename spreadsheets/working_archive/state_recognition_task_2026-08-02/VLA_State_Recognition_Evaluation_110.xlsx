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0b8eb3b14847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aluation Plan" sheetId="1" r:id="R13f48302fa2c4d8f"/>
    <x:sheet xmlns:r="http://schemas.openxmlformats.org/officeDocument/2006/relationships" name="Object Inventory" sheetId="2" r:id="R5534f5e739d54491"/>
    <x:sheet xmlns:r="http://schemas.openxmlformats.org/officeDocument/2006/relationships" name="Protocol" sheetId="3" r:id="Rbaba88b29f0d43b3"/>
    <x:sheet xmlns:r="http://schemas.openxmlformats.org/officeDocument/2006/relationships" name="Design QA" sheetId="4" r:id="Rc29c5aa8e0fd4643"/>
    <x:sheet xmlns:r="http://schemas.openxmlformats.org/officeDocument/2006/relationships" name="pi0.5 Results" sheetId="5" r:id="R951d34837a394a98"/>
    <x:sheet xmlns:r="http://schemas.openxmlformats.org/officeDocument/2006/relationships" name="VLA0 Results" sheetId="6" r:id="R4ab00d5afc29489a"/>
    <x:sheet xmlns:r="http://schemas.openxmlformats.org/officeDocument/2006/relationships" name="MolmoAct2 Results" sheetId="7" r:id="Rc4727f003fcc43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CE4D6"/>
      </x:patternFill>
    </x:fill>
    <x:fill>
      <x:patternFill patternType="solid">
        <x:fgColor rgb="FFE7E6E6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center"/>
    </x:xf>
    <x:xf numFmtId="0" fontId="3" fillId="5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19"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4DFEC"/>
        </x:patternFill>
      </x:fill>
    </x:dxf>
    <x:dxf>
      <x:fill>
        <x:patternFill patternType="solid">
          <x:bgColor rgb="FFDDEBF7"/>
        </x:patternFill>
      </x:fill>
    </x:dxf>
    <x:dxf>
      <x:font>
        <x:b/>
      </x:font>
      <x:fill>
        <x:patternFill patternType="solid">
          <x:bgColor rgb="FFFCE4D6"/>
        </x:patternFill>
      </x:fill>
    </x:dxf>
    <x:dxf>
      <x:font>
        <x:b/>
      </x:font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ont>
        <x:color rgb="FFFFFFFF"/>
      </x:font>
      <x:fill>
        <x:patternFill patternType="solid">
          <x:bgColor rgb="FF374151"/>
        </x:patternFill>
      </x:fill>
    </x:dxf>
    <x:dxf>
      <x:font>
        <x:b/>
        <x:color rgb="FF7F0000"/>
      </x:font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ont>
        <x:color rgb="FFFFFFFF"/>
      </x:font>
      <x:fill>
        <x:patternFill patternType="solid">
          <x:bgColor rgb="FF374151"/>
        </x:patternFill>
      </x:fill>
    </x:dxf>
    <x:dxf>
      <x:font>
        <x:b/>
        <x:color rgb="FF7F0000"/>
      </x:font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ont>
        <x:color rgb="FFFFFFFF"/>
      </x:font>
      <x:fill>
        <x:patternFill patternType="solid">
          <x:bgColor rgb="FF374151"/>
        </x:patternFill>
      </x:fill>
    </x:dxf>
    <x:dxf>
      <x:font>
        <x:b/>
        <x:color rgb="FF7F0000"/>
      </x:font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f0743cf6ee463c" /><Relationship Type="http://schemas.openxmlformats.org/officeDocument/2006/relationships/theme" Target="/xl/theme/theme1.xml" Id="Rf45ed1848813444e" /><Relationship Type="http://schemas.openxmlformats.org/officeDocument/2006/relationships/sharedStrings" Target="/xl/sharedStrings.xml" Id="Re6758961ee60482b" /><Relationship Type="http://schemas.openxmlformats.org/officeDocument/2006/relationships/worksheet" Target="/xl/worksheets/sheet1.xml" Id="R13f48302fa2c4d8f" /><Relationship Type="http://schemas.openxmlformats.org/officeDocument/2006/relationships/worksheet" Target="/xl/worksheets/sheet2.xml" Id="R5534f5e739d54491" /><Relationship Type="http://schemas.openxmlformats.org/officeDocument/2006/relationships/worksheet" Target="/xl/worksheets/sheet3.xml" Id="Rbaba88b29f0d43b3" /><Relationship Type="http://schemas.openxmlformats.org/officeDocument/2006/relationships/worksheet" Target="/xl/worksheets/sheet4.xml" Id="Rc29c5aa8e0fd4643" /><Relationship Type="http://schemas.openxmlformats.org/officeDocument/2006/relationships/worksheet" Target="/xl/worksheets/sheet5.xml" Id="R951d34837a394a98" /><Relationship Type="http://schemas.openxmlformats.org/officeDocument/2006/relationships/worksheet" Target="/xl/worksheets/sheet6.xml" Id="R4ab00d5afc29489a" /><Relationship Type="http://schemas.openxmlformats.org/officeDocument/2006/relationships/worksheet" Target="/xl/worksheets/sheet7.xml" Id="Rc4727f003fcc4360" /></Relationships>
</file>

<file path=xl/tables/table1.xml><?xml version="1.0" encoding="utf-8"?>
<x:table xmlns:x="http://schemas.openxmlformats.org/spreadsheetml/2006/main" id="1" name="StateRecognitionPlan" displayName="StateRecognitionPlan" ref="A1:N111" headerRowCount="1" totalsRowCount="0" totalsRowShown="0">
  <x:autoFilter ref="A1:N111"/>
  <x:tableColumns count="14">
    <x:tableColumn id="1" name="Episode"/>
    <x:tableColumn id="2" name="Condition"/>
    <x:tableColumn id="3" name="Transfer / Robustness Subtype"/>
    <x:tableColumn id="4" name="Scene Family"/>
    <x:tableColumn id="5" name="Reference Episode"/>
    <x:tableColumn id="6" name="Prompt"/>
    <x:tableColumn id="7" name="Scene Setup (P1-P4)"/>
    <x:tableColumn id="8" name="Expected Target"/>
    <x:tableColumn id="9" name="Queried State"/>
    <x:tableColumn id="10" name="Object Familiarity"/>
    <x:tableColumn id="11" name="Reset / Pairing Instruction"/>
    <x:tableColumn id="12" name="Start"/>
    <x:tableColumn id="13" name="Design Note"/>
    <x:tableColumn id="14" name="Reference Media Filenam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bjectInventory" displayName="ObjectInventory" ref="A1:E12" headerRowCount="1" totalsRowCount="0" totalsRowShown="0">
  <x:tableColumns count="5">
    <x:tableColumn id="1" name="Object / Slot"/>
    <x:tableColumn id="2" name="Training Exposure"/>
    <x:tableColumn id="3" name="Valid States"/>
    <x:tableColumn id="4" name="Evaluation Classification"/>
    <x:tableColumn id="5" name="Rule / Recommenda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esignQATable" displayName="DesignQATable" ref="A1:E15" headerRowCount="1" totalsRowCount="0" totalsRowShown="0">
  <x:tableColumns count="5">
    <x:tableColumn id="1" name="Check"/>
    <x:tableColumn id="2" name="Observed"/>
    <x:tableColumn id="3" name="Expected"/>
    <x:tableColumn id="4" name="Status"/>
    <x:tableColumn id="5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i05StateResults" displayName="Pi05StateResults" ref="A1:K111" headerRowCount="1" totalsRowCount="0" totalsRowShown="0">
  <x:autoFilter ref="A1:K111"/>
  <x:tableColumns count="11">
    <x:tableColumn id="1" name="Episode"/>
    <x:tableColumn id="2" name="Condition"/>
    <x:tableColumn id="3" name="Scene Family"/>
    <x:tableColumn id="4" name="Reference Episode"/>
    <x:tableColumn id="5" name="Prompt"/>
    <x:tableColumn id="6" name="Scene Setup"/>
    <x:tableColumn id="7" name="Expected Target"/>
    <x:tableColumn id="8" name="Status"/>
    <x:tableColumn id="9" name="Outcome"/>
    <x:tableColumn id="10" name="Failure Mode"/>
    <x:tableColumn id="11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VLA0StateResults" displayName="VLA0StateResults" ref="A1:K111" headerRowCount="1" totalsRowCount="0" totalsRowShown="0">
  <x:autoFilter ref="A1:K111"/>
  <x:tableColumns count="11">
    <x:tableColumn id="1" name="Episode"/>
    <x:tableColumn id="2" name="Condition"/>
    <x:tableColumn id="3" name="Scene Family"/>
    <x:tableColumn id="4" name="Reference Episode"/>
    <x:tableColumn id="5" name="Prompt"/>
    <x:tableColumn id="6" name="Scene Setup"/>
    <x:tableColumn id="7" name="Expected Target"/>
    <x:tableColumn id="8" name="Status"/>
    <x:tableColumn id="9" name="Outcome"/>
    <x:tableColumn id="10" name="Failure Mode"/>
    <x:tableColumn id="11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MolmoAct2StateResults" displayName="MolmoAct2StateResults" ref="A1:K111" headerRowCount="1" totalsRowCount="0" totalsRowShown="0">
  <x:autoFilter ref="A1:K111"/>
  <x:tableColumns count="11">
    <x:tableColumn id="1" name="Episode"/>
    <x:tableColumn id="2" name="Condition"/>
    <x:tableColumn id="3" name="Scene Family"/>
    <x:tableColumn id="4" name="Reference Episode"/>
    <x:tableColumn id="5" name="Prompt"/>
    <x:tableColumn id="6" name="Scene Setup"/>
    <x:tableColumn id="7" name="Expected Target"/>
    <x:tableColumn id="8" name="Status"/>
    <x:tableColumn id="9" name="Outcome"/>
    <x:tableColumn id="10" name="Failure Mode"/>
    <x:tableColumn id="11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453ac656bf74ba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06d4637812b4cf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fdbba2a29c1406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1a124f50b6943a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7a8cca7d325407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d6d754615cb45c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9" hidden="0" customWidth="1"/>
    <x:col min="3" max="3" width="40" hidden="0" customWidth="1"/>
    <x:col min="4" max="4" width="13" hidden="0" customWidth="1"/>
    <x:col min="5" max="5" width="12" hidden="0" customWidth="1"/>
    <x:col min="6" max="6" width="40" hidden="0" customWidth="1"/>
    <x:col min="7" max="7" width="76" hidden="0" customWidth="1"/>
    <x:col min="8" max="8" width="25" hidden="0" customWidth="1"/>
    <x:col min="9" max="9" width="14" hidden="0" customWidth="1"/>
    <x:col min="10" max="10" width="24" hidden="0" customWidth="1"/>
    <x:col min="11" max="11" width="62" hidden="0" customWidth="1"/>
    <x:col min="12" max="12" width="10" hidden="0" customWidth="1"/>
    <x:col min="13" max="13" width="62" hidden="0" customWidth="1"/>
    <x:col min="14" max="14" width="28" hidden="0" customWidth="1"/>
  </x:cols>
  <x:sheetData>
    <x:row r="1" ht="34" customHeight="1">
      <x:c r="A1" s="5" t="str">
        <x:v>Episode</x:v>
      </x:c>
      <x:c r="B1" s="5" t="str">
        <x:v>Condition</x:v>
      </x:c>
      <x:c r="C1" s="5" t="str">
        <x:v>Transfer / Robustness Subtype</x:v>
      </x:c>
      <x:c r="D1" s="5" t="str">
        <x:v>Scene Family</x:v>
      </x:c>
      <x:c r="E1" s="5" t="str">
        <x:v>Reference Episode</x:v>
      </x:c>
      <x:c r="F1" s="5" t="str">
        <x:v>Prompt</x:v>
      </x:c>
      <x:c r="G1" s="5" t="str">
        <x:v>Scene Setup (P1-P4)</x:v>
      </x:c>
      <x:c r="H1" s="5" t="str">
        <x:v>Expected Target</x:v>
      </x:c>
      <x:c r="I1" s="5" t="str">
        <x:v>Queried State</x:v>
      </x:c>
      <x:c r="J1" s="5" t="str">
        <x:v>Object Familiarity</x:v>
      </x:c>
      <x:c r="K1" s="5" t="str">
        <x:v>Reset / Pairing Instruction</x:v>
      </x:c>
      <x:c r="L1" s="5" t="str">
        <x:v>Start</x:v>
      </x:c>
      <x:c r="M1" s="5" t="str">
        <x:v>Design Note</x:v>
      </x:c>
      <x:c r="N1" s="5" t="str">
        <x:v>Reference Media Filename</x:v>
      </x:c>
    </x:row>
    <x:row r="2" ht="56" customHeight="1">
      <x:c r="A2" s="9" t="n">
        <x:v>0</x:v>
      </x:c>
      <x:c r="B2" s="7" t="str">
        <x:v>Concept/compositional transfer</x:v>
      </x:c>
      <x:c r="C2" s="7" t="str">
        <x:v>Held-out state-word transfer (closed)</x:v>
      </x:c>
      <x:c r="D2" s="10" t="str">
        <x:v>SR-F01</x:v>
      </x:c>
      <x:c r="E2" s="9"/>
      <x:c r="F2" s="7" t="str">
        <x:v>Place the closed object in the bowl.</x:v>
      </x:c>
      <x:c r="G2" s="7" t="str">
        <x:v>P1 white cup A (C, UR) [TARGET]; P2 yellow-white striped cup A (O, UD); P3 brown cup B (O, UR); P4 glass spice container A (O, UD)</x:v>
      </x:c>
      <x:c r="H2" s="10" t="str">
        <x:v>white cup A</x:v>
      </x:c>
      <x:c r="I2" s="10" t="str">
        <x:v>closed</x:v>
      </x:c>
      <x:c r="J2" s="10" t="str">
        <x:v>Same-task seen</x:v>
      </x:c>
      <x:c r="K2" s="7" t="str">
        <x:v>Run first. Mark the target position; after the rollout, return the same target in the same state/orientation. Do not move distractors.</x:v>
      </x:c>
      <x:c r="L2" s="10" t="str">
        <x:v>Home</x:v>
      </x:c>
      <x:c r="M2" s="7" t="str">
        <x:v>Exactly one object satisfies the queried state. The prompt contains no color or direct target identity.</x:v>
      </x:c>
      <x:c r="N2" s="7"/>
    </x:row>
    <x:row r="3" ht="56" customHeight="1">
      <x:c r="A3" s="9" t="n">
        <x:v>1</x:v>
      </x:c>
      <x:c r="B3" s="7" t="str">
        <x:v>Matched manipulation control</x:v>
      </x:c>
      <x:c r="C3" s="7" t="str">
        <x:v>Same-scene direct-object control</x:v>
      </x:c>
      <x:c r="D3" s="10" t="str">
        <x:v>SR-F01</x:v>
      </x:c>
      <x:c r="E3" s="9" t="n">
        <x:v>0</x:v>
      </x:c>
      <x:c r="F3" s="7" t="str">
        <x:v>Place the white cup in the bowl.</x:v>
      </x:c>
      <x:c r="G3" s="7" t="str">
        <x:v>P1 white cup A (C, UR) [TARGET]; P2 yellow-white striped cup A (O, UD); P3 brown cup B (O, UR); P4 glass spice container A (O, UD)</x:v>
      </x:c>
      <x:c r="H3" s="10" t="str">
        <x:v>white cup A</x:v>
      </x:c>
      <x:c r="I3" s="10" t="str">
        <x:v>closed</x:v>
      </x:c>
      <x:c r="J3" s="10" t="str">
        <x:v>Same-task seen</x:v>
      </x:c>
      <x:c r="K3" s="7" t="str">
        <x:v>Run immediately after the preceding transfer row. Same scene, target, state, and trajectory; only the prompt changes.</x:v>
      </x:c>
      <x:c r="L3" s="10" t="str">
        <x:v>Home</x:v>
      </x:c>
      <x:c r="M3" s="7" t="str">
        <x:v>Directly names the unique target category/brand, removing the need to interpret the state word while preserving manipulation difficulty.</x:v>
      </x:c>
      <x:c r="N3" s="7"/>
    </x:row>
    <x:row r="4" ht="56" customHeight="1">
      <x:c r="A4" s="9" t="n">
        <x:v>2</x:v>
      </x:c>
      <x:c r="B4" s="7" t="str">
        <x:v>Concept/compositional transfer</x:v>
      </x:c>
      <x:c r="C4" s="7" t="str">
        <x:v>Held-out state-word transfer (closed)</x:v>
      </x:c>
      <x:c r="D4" s="10" t="str">
        <x:v>SR-F02</x:v>
      </x:c>
      <x:c r="E4" s="9"/>
      <x:c r="F4" s="7" t="str">
        <x:v>Put the closed object in the bowl.</x:v>
      </x:c>
      <x:c r="G4" s="7" t="str">
        <x:v>P1 white cup A (O, UD); P2 yellow-white striped cup B (C, UD) [TARGET]; P3 brown cup A (O, UD); P4 glass spice container B (O, UR)</x:v>
      </x:c>
      <x:c r="H4" s="10" t="str">
        <x:v>yellow-white striped cup B</x:v>
      </x:c>
      <x:c r="I4" s="10" t="str">
        <x:v>closed</x:v>
      </x:c>
      <x:c r="J4" s="10" t="str">
        <x:v>Same-task seen</x:v>
      </x:c>
      <x:c r="K4" s="7" t="str">
        <x:v>Run first. Mark the target position; after the rollout, return the same target in the same state/orientation. Do not move distractors.</x:v>
      </x:c>
      <x:c r="L4" s="10" t="str">
        <x:v>Home</x:v>
      </x:c>
      <x:c r="M4" s="7" t="str">
        <x:v>Exactly one object satisfies the queried state. The prompt contains no color or direct target identity.</x:v>
      </x:c>
      <x:c r="N4" s="7"/>
    </x:row>
    <x:row r="5" ht="56" customHeight="1">
      <x:c r="A5" s="9" t="n">
        <x:v>3</x:v>
      </x:c>
      <x:c r="B5" s="7" t="str">
        <x:v>Matched manipulation control</x:v>
      </x:c>
      <x:c r="C5" s="7" t="str">
        <x:v>Same-scene direct-object control</x:v>
      </x:c>
      <x:c r="D5" s="10" t="str">
        <x:v>SR-F02</x:v>
      </x:c>
      <x:c r="E5" s="9" t="n">
        <x:v>2</x:v>
      </x:c>
      <x:c r="F5" s="7" t="str">
        <x:v>Put the yellow-white striped cup in the bowl.</x:v>
      </x:c>
      <x:c r="G5" s="7" t="str">
        <x:v>P1 white cup A (O, UD); P2 yellow-white striped cup B (C, UD) [TARGET]; P3 brown cup A (O, UD); P4 glass spice container B (O, UR)</x:v>
      </x:c>
      <x:c r="H5" s="10" t="str">
        <x:v>yellow-white striped cup B</x:v>
      </x:c>
      <x:c r="I5" s="10" t="str">
        <x:v>closed</x:v>
      </x:c>
      <x:c r="J5" s="10" t="str">
        <x:v>Same-task seen</x:v>
      </x:c>
      <x:c r="K5" s="7" t="str">
        <x:v>Run immediately after the preceding transfer row. Same scene, target, state, and trajectory; only the prompt changes.</x:v>
      </x:c>
      <x:c r="L5" s="10" t="str">
        <x:v>Home</x:v>
      </x:c>
      <x:c r="M5" s="7" t="str">
        <x:v>Directly names the unique target category/brand, removing the need to interpret the state word while preserving manipulation difficulty.</x:v>
      </x:c>
      <x:c r="N5" s="7"/>
    </x:row>
    <x:row r="6" ht="56" customHeight="1">
      <x:c r="A6" s="9" t="n">
        <x:v>4</x:v>
      </x:c>
      <x:c r="B6" s="7" t="str">
        <x:v>Concept/compositional transfer</x:v>
      </x:c>
      <x:c r="C6" s="7" t="str">
        <x:v>Held-out state-word transfer (closed)</x:v>
      </x:c>
      <x:c r="D6" s="10" t="str">
        <x:v>SR-F03</x:v>
      </x:c>
      <x:c r="E6" s="9"/>
      <x:c r="F6" s="7" t="str">
        <x:v>Move the closed object into the bowl.</x:v>
      </x:c>
      <x:c r="G6" s="7" t="str">
        <x:v>P1 white cup B (O, UR); P2 yellow-white striped cup A (O, UD); P3 brown cup A (C, UR) [TARGET]; P4 glass spice container A (O, UD)</x:v>
      </x:c>
      <x:c r="H6" s="10" t="str">
        <x:v>brown cup A</x:v>
      </x:c>
      <x:c r="I6" s="10" t="str">
        <x:v>closed</x:v>
      </x:c>
      <x:c r="J6" s="10" t="str">
        <x:v>Same-task seen</x:v>
      </x:c>
      <x:c r="K6" s="7" t="str">
        <x:v>Run first. Mark the target position; after the rollout, return the same target in the same state/orientation. Do not move distractors.</x:v>
      </x:c>
      <x:c r="L6" s="10" t="str">
        <x:v>Home</x:v>
      </x:c>
      <x:c r="M6" s="7" t="str">
        <x:v>Exactly one object satisfies the queried state. The prompt contains no color or direct target identity.</x:v>
      </x:c>
      <x:c r="N6" s="7"/>
    </x:row>
    <x:row r="7" ht="56" customHeight="1">
      <x:c r="A7" s="9" t="n">
        <x:v>5</x:v>
      </x:c>
      <x:c r="B7" s="7" t="str">
        <x:v>Matched manipulation control</x:v>
      </x:c>
      <x:c r="C7" s="7" t="str">
        <x:v>Same-scene direct-object control</x:v>
      </x:c>
      <x:c r="D7" s="10" t="str">
        <x:v>SR-F03</x:v>
      </x:c>
      <x:c r="E7" s="9" t="n">
        <x:v>4</x:v>
      </x:c>
      <x:c r="F7" s="7" t="str">
        <x:v>Move the brown cup into the bowl.</x:v>
      </x:c>
      <x:c r="G7" s="7" t="str">
        <x:v>P1 white cup B (O, UR); P2 yellow-white striped cup A (O, UD); P3 brown cup A (C, UR) [TARGET]; P4 glass spice container A (O, UD)</x:v>
      </x:c>
      <x:c r="H7" s="10" t="str">
        <x:v>brown cup A</x:v>
      </x:c>
      <x:c r="I7" s="10" t="str">
        <x:v>closed</x:v>
      </x:c>
      <x:c r="J7" s="10" t="str">
        <x:v>Same-task seen</x:v>
      </x:c>
      <x:c r="K7" s="7" t="str">
        <x:v>Run immediately after the preceding transfer row. Same scene, target, state, and trajectory; only the prompt changes.</x:v>
      </x:c>
      <x:c r="L7" s="10" t="str">
        <x:v>Home</x:v>
      </x:c>
      <x:c r="M7" s="7" t="str">
        <x:v>Directly names the unique target category/brand, removing the need to interpret the state word while preserving manipulation difficulty.</x:v>
      </x:c>
      <x:c r="N7" s="7"/>
    </x:row>
    <x:row r="8" ht="56" customHeight="1">
      <x:c r="A8" s="9" t="n">
        <x:v>6</x:v>
      </x:c>
      <x:c r="B8" s="7" t="str">
        <x:v>Concept/compositional transfer</x:v>
      </x:c>
      <x:c r="C8" s="7" t="str">
        <x:v>Held-out state-word transfer (closed)</x:v>
      </x:c>
      <x:c r="D8" s="10" t="str">
        <x:v>SR-F04</x:v>
      </x:c>
      <x:c r="E8" s="9"/>
      <x:c r="F8" s="7" t="str">
        <x:v>Place the closed object in the bowl.</x:v>
      </x:c>
      <x:c r="G8" s="7" t="str">
        <x:v>P1 white cup A (O, UD); P2 yellow-white striped cup B (O, UR); P3 brown cup A (O, UD); P4 glass spice container B (C, UD) [TARGET]</x:v>
      </x:c>
      <x:c r="H8" s="10" t="str">
        <x:v>glass spice container B</x:v>
      </x:c>
      <x:c r="I8" s="10" t="str">
        <x:v>closed</x:v>
      </x:c>
      <x:c r="J8" s="10" t="str">
        <x:v>Same-task seen</x:v>
      </x:c>
      <x:c r="K8" s="7" t="str">
        <x:v>Run first. Mark the target position; after the rollout, return the same target in the same state/orientation. Do not move distractors.</x:v>
      </x:c>
      <x:c r="L8" s="10" t="str">
        <x:v>Home</x:v>
      </x:c>
      <x:c r="M8" s="7" t="str">
        <x:v>Exactly one object satisfies the queried state. The prompt contains no color or direct target identity.</x:v>
      </x:c>
      <x:c r="N8" s="7"/>
    </x:row>
    <x:row r="9" ht="56" customHeight="1">
      <x:c r="A9" s="9" t="n">
        <x:v>7</x:v>
      </x:c>
      <x:c r="B9" s="7" t="str">
        <x:v>Matched manipulation control</x:v>
      </x:c>
      <x:c r="C9" s="7" t="str">
        <x:v>Same-scene direct-object control</x:v>
      </x:c>
      <x:c r="D9" s="10" t="str">
        <x:v>SR-F04</x:v>
      </x:c>
      <x:c r="E9" s="9" t="n">
        <x:v>6</x:v>
      </x:c>
      <x:c r="F9" s="7" t="str">
        <x:v>Place the glass spice container in the bowl.</x:v>
      </x:c>
      <x:c r="G9" s="7" t="str">
        <x:v>P1 white cup A (O, UD); P2 yellow-white striped cup B (O, UR); P3 brown cup A (O, UD); P4 glass spice container B (C, UD) [TARGET]</x:v>
      </x:c>
      <x:c r="H9" s="10" t="str">
        <x:v>glass spice container B</x:v>
      </x:c>
      <x:c r="I9" s="10" t="str">
        <x:v>closed</x:v>
      </x:c>
      <x:c r="J9" s="10" t="str">
        <x:v>Same-task seen</x:v>
      </x:c>
      <x:c r="K9" s="7" t="str">
        <x:v>Run immediately after the preceding transfer row. Same scene, target, state, and trajectory; only the prompt changes.</x:v>
      </x:c>
      <x:c r="L9" s="10" t="str">
        <x:v>Home</x:v>
      </x:c>
      <x:c r="M9" s="7" t="str">
        <x:v>Directly names the unique target category/brand, removing the need to interpret the state word while preserving manipulation difficulty.</x:v>
      </x:c>
      <x:c r="N9" s="7"/>
    </x:row>
    <x:row r="10" ht="56" customHeight="1">
      <x:c r="A10" s="9" t="n">
        <x:v>8</x:v>
      </x:c>
      <x:c r="B10" s="7" t="str">
        <x:v>Concept/compositional transfer</x:v>
      </x:c>
      <x:c r="C10" s="7" t="str">
        <x:v>Held-out state-word transfer (closed)</x:v>
      </x:c>
      <x:c r="D10" s="10" t="str">
        <x:v>SR-F05</x:v>
      </x:c>
      <x:c r="E10" s="9"/>
      <x:c r="F10" s="7" t="str">
        <x:v>Put the closed object in the bowl.</x:v>
      </x:c>
      <x:c r="G10" s="7" t="str">
        <x:v>P1 white cup A (C, UR) [TARGET]; P2 yellow-white striped cup A (O, UD); P3 brown cup B (O, UR); P4 glass spice container A (O, UD)</x:v>
      </x:c>
      <x:c r="H10" s="10" t="str">
        <x:v>white cup A</x:v>
      </x:c>
      <x:c r="I10" s="10" t="str">
        <x:v>closed</x:v>
      </x:c>
      <x:c r="J10" s="10" t="str">
        <x:v>Same-task seen</x:v>
      </x:c>
      <x:c r="K10" s="7" t="str">
        <x:v>Run first. Mark the target position; after the rollout, return the same target in the same state/orientation. Do not move distractors.</x:v>
      </x:c>
      <x:c r="L10" s="10" t="str">
        <x:v>Home</x:v>
      </x:c>
      <x:c r="M10" s="7" t="str">
        <x:v>Exactly one object satisfies the queried state. The prompt contains no color or direct target identity.</x:v>
      </x:c>
      <x:c r="N10" s="7"/>
    </x:row>
    <x:row r="11" ht="56" customHeight="1">
      <x:c r="A11" s="9" t="n">
        <x:v>9</x:v>
      </x:c>
      <x:c r="B11" s="7" t="str">
        <x:v>Matched manipulation control</x:v>
      </x:c>
      <x:c r="C11" s="7" t="str">
        <x:v>Same-scene direct-object control</x:v>
      </x:c>
      <x:c r="D11" s="10" t="str">
        <x:v>SR-F05</x:v>
      </x:c>
      <x:c r="E11" s="9" t="n">
        <x:v>8</x:v>
      </x:c>
      <x:c r="F11" s="7" t="str">
        <x:v>Put the white cup in the bowl.</x:v>
      </x:c>
      <x:c r="G11" s="7" t="str">
        <x:v>P1 white cup A (C, UR) [TARGET]; P2 yellow-white striped cup A (O, UD); P3 brown cup B (O, UR); P4 glass spice container A (O, UD)</x:v>
      </x:c>
      <x:c r="H11" s="10" t="str">
        <x:v>white cup A</x:v>
      </x:c>
      <x:c r="I11" s="10" t="str">
        <x:v>closed</x:v>
      </x:c>
      <x:c r="J11" s="10" t="str">
        <x:v>Same-task seen</x:v>
      </x:c>
      <x:c r="K11" s="7" t="str">
        <x:v>Run immediately after the preceding transfer row. Same scene, target, state, and trajectory; only the prompt changes.</x:v>
      </x:c>
      <x:c r="L11" s="10" t="str">
        <x:v>Home</x:v>
      </x:c>
      <x:c r="M11" s="7" t="str">
        <x:v>Directly names the unique target category/brand, removing the need to interpret the state word while preserving manipulation difficulty.</x:v>
      </x:c>
      <x:c r="N11" s="7"/>
    </x:row>
    <x:row r="12" ht="56" customHeight="1">
      <x:c r="A12" s="9" t="n">
        <x:v>10</x:v>
      </x:c>
      <x:c r="B12" s="7" t="str">
        <x:v>Concept/compositional transfer</x:v>
      </x:c>
      <x:c r="C12" s="7" t="str">
        <x:v>Held-out state-word transfer (closed)</x:v>
      </x:c>
      <x:c r="D12" s="10" t="str">
        <x:v>SR-F06</x:v>
      </x:c>
      <x:c r="E12" s="9"/>
      <x:c r="F12" s="7" t="str">
        <x:v>Move the closed object into the bowl.</x:v>
      </x:c>
      <x:c r="G12" s="7" t="str">
        <x:v>P1 white cup A (O, UD); P2 yellow-white striped cup B (C, UD) [TARGET]; P3 brown cup A (O, UD); P4 glass spice container B (O, UR)</x:v>
      </x:c>
      <x:c r="H12" s="10" t="str">
        <x:v>yellow-white striped cup B</x:v>
      </x:c>
      <x:c r="I12" s="10" t="str">
        <x:v>closed</x:v>
      </x:c>
      <x:c r="J12" s="10" t="str">
        <x:v>Same-task seen</x:v>
      </x:c>
      <x:c r="K12" s="7" t="str">
        <x:v>Run first. Mark the target position; after the rollout, return the same target in the same state/orientation. Do not move distractors.</x:v>
      </x:c>
      <x:c r="L12" s="10" t="str">
        <x:v>Home</x:v>
      </x:c>
      <x:c r="M12" s="7" t="str">
        <x:v>Exactly one object satisfies the queried state. The prompt contains no color or direct target identity.</x:v>
      </x:c>
      <x:c r="N12" s="7"/>
    </x:row>
    <x:row r="13" ht="56" customHeight="1">
      <x:c r="A13" s="9" t="n">
        <x:v>11</x:v>
      </x:c>
      <x:c r="B13" s="7" t="str">
        <x:v>Matched manipulation control</x:v>
      </x:c>
      <x:c r="C13" s="7" t="str">
        <x:v>Same-scene direct-object control</x:v>
      </x:c>
      <x:c r="D13" s="10" t="str">
        <x:v>SR-F06</x:v>
      </x:c>
      <x:c r="E13" s="9" t="n">
        <x:v>10</x:v>
      </x:c>
      <x:c r="F13" s="7" t="str">
        <x:v>Move the yellow-white striped cup into the bowl.</x:v>
      </x:c>
      <x:c r="G13" s="7" t="str">
        <x:v>P1 white cup A (O, UD); P2 yellow-white striped cup B (C, UD) [TARGET]; P3 brown cup A (O, UD); P4 glass spice container B (O, UR)</x:v>
      </x:c>
      <x:c r="H13" s="10" t="str">
        <x:v>yellow-white striped cup B</x:v>
      </x:c>
      <x:c r="I13" s="10" t="str">
        <x:v>closed</x:v>
      </x:c>
      <x:c r="J13" s="10" t="str">
        <x:v>Same-task seen</x:v>
      </x:c>
      <x:c r="K13" s="7" t="str">
        <x:v>Run immediately after the preceding transfer row. Same scene, target, state, and trajectory; only the prompt changes.</x:v>
      </x:c>
      <x:c r="L13" s="10" t="str">
        <x:v>Home</x:v>
      </x:c>
      <x:c r="M13" s="7" t="str">
        <x:v>Directly names the unique target category/brand, removing the need to interpret the state word while preserving manipulation difficulty.</x:v>
      </x:c>
      <x:c r="N13" s="7"/>
    </x:row>
    <x:row r="14" ht="56" customHeight="1">
      <x:c r="A14" s="9" t="n">
        <x:v>12</x:v>
      </x:c>
      <x:c r="B14" s="7" t="str">
        <x:v>Concept/compositional transfer</x:v>
      </x:c>
      <x:c r="C14" s="7" t="str">
        <x:v>Held-out state-word transfer (closed)</x:v>
      </x:c>
      <x:c r="D14" s="10" t="str">
        <x:v>SR-F07</x:v>
      </x:c>
      <x:c r="E14" s="9"/>
      <x:c r="F14" s="7" t="str">
        <x:v>Place the closed object in the bowl.</x:v>
      </x:c>
      <x:c r="G14" s="7" t="str">
        <x:v>P1 white cup B (O, UR); P2 yellow-white striped cup A (O, UD); P3 brown cup A (C, UR) [TARGET]; P4 glass spice container A (O, UD)</x:v>
      </x:c>
      <x:c r="H14" s="10" t="str">
        <x:v>brown cup A</x:v>
      </x:c>
      <x:c r="I14" s="10" t="str">
        <x:v>closed</x:v>
      </x:c>
      <x:c r="J14" s="10" t="str">
        <x:v>Same-task seen</x:v>
      </x:c>
      <x:c r="K14" s="7" t="str">
        <x:v>Run first. Mark the target position; after the rollout, return the same target in the same state/orientation. Do not move distractors.</x:v>
      </x:c>
      <x:c r="L14" s="10" t="str">
        <x:v>Home</x:v>
      </x:c>
      <x:c r="M14" s="7" t="str">
        <x:v>Exactly one object satisfies the queried state. The prompt contains no color or direct target identity.</x:v>
      </x:c>
      <x:c r="N14" s="7"/>
    </x:row>
    <x:row r="15" ht="56" customHeight="1">
      <x:c r="A15" s="9" t="n">
        <x:v>13</x:v>
      </x:c>
      <x:c r="B15" s="7" t="str">
        <x:v>Matched manipulation control</x:v>
      </x:c>
      <x:c r="C15" s="7" t="str">
        <x:v>Same-scene direct-object control</x:v>
      </x:c>
      <x:c r="D15" s="10" t="str">
        <x:v>SR-F07</x:v>
      </x:c>
      <x:c r="E15" s="9" t="n">
        <x:v>12</x:v>
      </x:c>
      <x:c r="F15" s="7" t="str">
        <x:v>Place the brown cup in the bowl.</x:v>
      </x:c>
      <x:c r="G15" s="7" t="str">
        <x:v>P1 white cup B (O, UR); P2 yellow-white striped cup A (O, UD); P3 brown cup A (C, UR) [TARGET]; P4 glass spice container A (O, UD)</x:v>
      </x:c>
      <x:c r="H15" s="10" t="str">
        <x:v>brown cup A</x:v>
      </x:c>
      <x:c r="I15" s="10" t="str">
        <x:v>closed</x:v>
      </x:c>
      <x:c r="J15" s="10" t="str">
        <x:v>Same-task seen</x:v>
      </x:c>
      <x:c r="K15" s="7" t="str">
        <x:v>Run immediately after the preceding transfer row. Same scene, target, state, and trajectory; only the prompt changes.</x:v>
      </x:c>
      <x:c r="L15" s="10" t="str">
        <x:v>Home</x:v>
      </x:c>
      <x:c r="M15" s="7" t="str">
        <x:v>Directly names the unique target category/brand, removing the need to interpret the state word while preserving manipulation difficulty.</x:v>
      </x:c>
      <x:c r="N15" s="7"/>
    </x:row>
    <x:row r="16" ht="56" customHeight="1">
      <x:c r="A16" s="9" t="n">
        <x:v>14</x:v>
      </x:c>
      <x:c r="B16" s="7" t="str">
        <x:v>Concept/compositional transfer</x:v>
      </x:c>
      <x:c r="C16" s="7" t="str">
        <x:v>Held-out state-word transfer (closed)</x:v>
      </x:c>
      <x:c r="D16" s="10" t="str">
        <x:v>SR-F08</x:v>
      </x:c>
      <x:c r="E16" s="9"/>
      <x:c r="F16" s="7" t="str">
        <x:v>Put the closed object in the bowl.</x:v>
      </x:c>
      <x:c r="G16" s="7" t="str">
        <x:v>P1 white cup A (O, UD); P2 yellow-white striped cup B (O, UR); P3 brown cup A (O, UD); P4 glass spice container B (C, UD) [TARGET]</x:v>
      </x:c>
      <x:c r="H16" s="10" t="str">
        <x:v>glass spice container B</x:v>
      </x:c>
      <x:c r="I16" s="10" t="str">
        <x:v>closed</x:v>
      </x:c>
      <x:c r="J16" s="10" t="str">
        <x:v>Same-task seen</x:v>
      </x:c>
      <x:c r="K16" s="7" t="str">
        <x:v>Run first. Mark the target position; after the rollout, return the same target in the same state/orientation. Do not move distractors.</x:v>
      </x:c>
      <x:c r="L16" s="10" t="str">
        <x:v>Home</x:v>
      </x:c>
      <x:c r="M16" s="7" t="str">
        <x:v>Exactly one object satisfies the queried state. The prompt contains no color or direct target identity.</x:v>
      </x:c>
      <x:c r="N16" s="7"/>
    </x:row>
    <x:row r="17" ht="56" customHeight="1">
      <x:c r="A17" s="9" t="n">
        <x:v>15</x:v>
      </x:c>
      <x:c r="B17" s="7" t="str">
        <x:v>Matched manipulation control</x:v>
      </x:c>
      <x:c r="C17" s="7" t="str">
        <x:v>Same-scene direct-object control</x:v>
      </x:c>
      <x:c r="D17" s="10" t="str">
        <x:v>SR-F08</x:v>
      </x:c>
      <x:c r="E17" s="9" t="n">
        <x:v>14</x:v>
      </x:c>
      <x:c r="F17" s="7" t="str">
        <x:v>Put the glass spice container in the bowl.</x:v>
      </x:c>
      <x:c r="G17" s="7" t="str">
        <x:v>P1 white cup A (O, UD); P2 yellow-white striped cup B (O, UR); P3 brown cup A (O, UD); P4 glass spice container B (C, UD) [TARGET]</x:v>
      </x:c>
      <x:c r="H17" s="10" t="str">
        <x:v>glass spice container B</x:v>
      </x:c>
      <x:c r="I17" s="10" t="str">
        <x:v>closed</x:v>
      </x:c>
      <x:c r="J17" s="10" t="str">
        <x:v>Same-task seen</x:v>
      </x:c>
      <x:c r="K17" s="7" t="str">
        <x:v>Run immediately after the preceding transfer row. Same scene, target, state, and trajectory; only the prompt changes.</x:v>
      </x:c>
      <x:c r="L17" s="10" t="str">
        <x:v>Home</x:v>
      </x:c>
      <x:c r="M17" s="7" t="str">
        <x:v>Directly names the unique target category/brand, removing the need to interpret the state word while preserving manipulation difficulty.</x:v>
      </x:c>
      <x:c r="N17" s="7"/>
    </x:row>
    <x:row r="18" ht="56" customHeight="1">
      <x:c r="A18" s="9" t="n">
        <x:v>16</x:v>
      </x:c>
      <x:c r="B18" s="7" t="str">
        <x:v>Concept/compositional transfer</x:v>
      </x:c>
      <x:c r="C18" s="7" t="str">
        <x:v>Held-out state-word transfer (closed)</x:v>
      </x:c>
      <x:c r="D18" s="10" t="str">
        <x:v>SR-F09</x:v>
      </x:c>
      <x:c r="E18" s="9"/>
      <x:c r="F18" s="7" t="str">
        <x:v>Move the closed object into the bowl.</x:v>
      </x:c>
      <x:c r="G18" s="7" t="str">
        <x:v>P1 white cup A (C, UR) [TARGET]; P2 yellow-white striped cup A (O, UD); P3 brown cup B (O, UR); P4 glass spice container A (O, UD)</x:v>
      </x:c>
      <x:c r="H18" s="10" t="str">
        <x:v>white cup A</x:v>
      </x:c>
      <x:c r="I18" s="10" t="str">
        <x:v>closed</x:v>
      </x:c>
      <x:c r="J18" s="10" t="str">
        <x:v>Same-task seen</x:v>
      </x:c>
      <x:c r="K18" s="7" t="str">
        <x:v>Run first. Mark the target position; after the rollout, return the same target in the same state/orientation. Do not move distractors.</x:v>
      </x:c>
      <x:c r="L18" s="10" t="str">
        <x:v>Home</x:v>
      </x:c>
      <x:c r="M18" s="7" t="str">
        <x:v>Exactly one object satisfies the queried state. The prompt contains no color or direct target identity.</x:v>
      </x:c>
      <x:c r="N18" s="7"/>
    </x:row>
    <x:row r="19" ht="56" customHeight="1">
      <x:c r="A19" s="9" t="n">
        <x:v>17</x:v>
      </x:c>
      <x:c r="B19" s="7" t="str">
        <x:v>Matched manipulation control</x:v>
      </x:c>
      <x:c r="C19" s="7" t="str">
        <x:v>Same-scene direct-object control</x:v>
      </x:c>
      <x:c r="D19" s="10" t="str">
        <x:v>SR-F09</x:v>
      </x:c>
      <x:c r="E19" s="9" t="n">
        <x:v>16</x:v>
      </x:c>
      <x:c r="F19" s="7" t="str">
        <x:v>Move the white cup into the bowl.</x:v>
      </x:c>
      <x:c r="G19" s="7" t="str">
        <x:v>P1 white cup A (C, UR) [TARGET]; P2 yellow-white striped cup A (O, UD); P3 brown cup B (O, UR); P4 glass spice container A (O, UD)</x:v>
      </x:c>
      <x:c r="H19" s="10" t="str">
        <x:v>white cup A</x:v>
      </x:c>
      <x:c r="I19" s="10" t="str">
        <x:v>closed</x:v>
      </x:c>
      <x:c r="J19" s="10" t="str">
        <x:v>Same-task seen</x:v>
      </x:c>
      <x:c r="K19" s="7" t="str">
        <x:v>Run immediately after the preceding transfer row. Same scene, target, state, and trajectory; only the prompt changes.</x:v>
      </x:c>
      <x:c r="L19" s="10" t="str">
        <x:v>Home</x:v>
      </x:c>
      <x:c r="M19" s="7" t="str">
        <x:v>Directly names the unique target category/brand, removing the need to interpret the state word while preserving manipulation difficulty.</x:v>
      </x:c>
      <x:c r="N19" s="7"/>
    </x:row>
    <x:row r="20" ht="56" customHeight="1">
      <x:c r="A20" s="9" t="n">
        <x:v>18</x:v>
      </x:c>
      <x:c r="B20" s="7" t="str">
        <x:v>Concept/compositional transfer</x:v>
      </x:c>
      <x:c r="C20" s="7" t="str">
        <x:v>Held-out state-word transfer (closed)</x:v>
      </x:c>
      <x:c r="D20" s="10" t="str">
        <x:v>SR-F10</x:v>
      </x:c>
      <x:c r="E20" s="9"/>
      <x:c r="F20" s="7" t="str">
        <x:v>Place the closed object in the bowl.</x:v>
      </x:c>
      <x:c r="G20" s="7" t="str">
        <x:v>P1 white cup A (O, UD); P2 brown cup B (C, UD) [TARGET]; P3 yellow-white striped cup A (O, UD); P4 glass spice container B (O, UR)</x:v>
      </x:c>
      <x:c r="H20" s="10" t="str">
        <x:v>brown cup B</x:v>
      </x:c>
      <x:c r="I20" s="10" t="str">
        <x:v>closed</x:v>
      </x:c>
      <x:c r="J20" s="10" t="str">
        <x:v>Same-task seen</x:v>
      </x:c>
      <x:c r="K20" s="7" t="str">
        <x:v>Run first. Mark the target position; after the rollout, return the same target in the same state/orientation. Do not move distractors.</x:v>
      </x:c>
      <x:c r="L20" s="10" t="str">
        <x:v>Home</x:v>
      </x:c>
      <x:c r="M20" s="7" t="str">
        <x:v>Exactly one object satisfies the queried state. The prompt contains no color or direct target identity.</x:v>
      </x:c>
      <x:c r="N20" s="7"/>
    </x:row>
    <x:row r="21" ht="56" customHeight="1">
      <x:c r="A21" s="9" t="n">
        <x:v>19</x:v>
      </x:c>
      <x:c r="B21" s="7" t="str">
        <x:v>Matched manipulation control</x:v>
      </x:c>
      <x:c r="C21" s="7" t="str">
        <x:v>Same-scene direct-object control</x:v>
      </x:c>
      <x:c r="D21" s="10" t="str">
        <x:v>SR-F10</x:v>
      </x:c>
      <x:c r="E21" s="9" t="n">
        <x:v>18</x:v>
      </x:c>
      <x:c r="F21" s="7" t="str">
        <x:v>Place the brown cup in the bowl.</x:v>
      </x:c>
      <x:c r="G21" s="7" t="str">
        <x:v>P1 white cup A (O, UD); P2 brown cup B (C, UD) [TARGET]; P3 yellow-white striped cup A (O, UD); P4 glass spice container B (O, UR)</x:v>
      </x:c>
      <x:c r="H21" s="10" t="str">
        <x:v>brown cup B</x:v>
      </x:c>
      <x:c r="I21" s="10" t="str">
        <x:v>closed</x:v>
      </x:c>
      <x:c r="J21" s="10" t="str">
        <x:v>Same-task seen</x:v>
      </x:c>
      <x:c r="K21" s="7" t="str">
        <x:v>Run immediately after the preceding transfer row. Same scene, target, state, and trajectory; only the prompt changes.</x:v>
      </x:c>
      <x:c r="L21" s="10" t="str">
        <x:v>Home</x:v>
      </x:c>
      <x:c r="M21" s="7" t="str">
        <x:v>Directly names the unique target category/brand, removing the need to interpret the state word while preserving manipulation difficulty.</x:v>
      </x:c>
      <x:c r="N21" s="7"/>
    </x:row>
    <x:row r="22" ht="56" customHeight="1">
      <x:c r="A22" s="9" t="n">
        <x:v>20</x:v>
      </x:c>
      <x:c r="B22" s="7" t="str">
        <x:v>Concept/compositional transfer</x:v>
      </x:c>
      <x:c r="C22" s="7" t="str">
        <x:v>Held-out state-word transfer (upright)</x:v>
      </x:c>
      <x:c r="D22" s="10" t="str">
        <x:v>SR-F11</x:v>
      </x:c>
      <x:c r="E22" s="9"/>
      <x:c r="F22" s="7" t="str">
        <x:v>Put the upright object in the bowl.</x:v>
      </x:c>
      <x:c r="G22" s="7" t="str">
        <x:v>P1 yellow-white striped cup B (O, UD); P2 brown cup A (C, UD); P3 white cup A (O, UR) [TARGET]; P4 glass spice container A (C, UD)</x:v>
      </x:c>
      <x:c r="H22" s="10" t="str">
        <x:v>white cup A</x:v>
      </x:c>
      <x:c r="I22" s="10" t="str">
        <x:v>upright</x:v>
      </x:c>
      <x:c r="J22" s="10" t="str">
        <x:v>Same-task seen</x:v>
      </x:c>
      <x:c r="K22" s="7" t="str">
        <x:v>Run first. Mark the target position; after the rollout, return the same target in the same state/orientation. Do not move distractors.</x:v>
      </x:c>
      <x:c r="L22" s="10" t="str">
        <x:v>Home</x:v>
      </x:c>
      <x:c r="M22" s="7" t="str">
        <x:v>Exactly one object satisfies the queried state. The prompt contains no color or direct target identity.</x:v>
      </x:c>
      <x:c r="N22" s="7"/>
    </x:row>
    <x:row r="23" ht="56" customHeight="1">
      <x:c r="A23" s="9" t="n">
        <x:v>21</x:v>
      </x:c>
      <x:c r="B23" s="7" t="str">
        <x:v>Matched manipulation control</x:v>
      </x:c>
      <x:c r="C23" s="7" t="str">
        <x:v>Same-scene direct-object control</x:v>
      </x:c>
      <x:c r="D23" s="10" t="str">
        <x:v>SR-F11</x:v>
      </x:c>
      <x:c r="E23" s="9" t="n">
        <x:v>20</x:v>
      </x:c>
      <x:c r="F23" s="7" t="str">
        <x:v>Put the white cup in the bowl.</x:v>
      </x:c>
      <x:c r="G23" s="7" t="str">
        <x:v>P1 yellow-white striped cup B (O, UD); P2 brown cup A (C, UD); P3 white cup A (O, UR) [TARGET]; P4 glass spice container A (C, UD)</x:v>
      </x:c>
      <x:c r="H23" s="10" t="str">
        <x:v>white cup A</x:v>
      </x:c>
      <x:c r="I23" s="10" t="str">
        <x:v>upright</x:v>
      </x:c>
      <x:c r="J23" s="10" t="str">
        <x:v>Same-task seen</x:v>
      </x:c>
      <x:c r="K23" s="7" t="str">
        <x:v>Run immediately after the preceding transfer row. Same scene, target, state, and trajectory; only the prompt changes.</x:v>
      </x:c>
      <x:c r="L23" s="10" t="str">
        <x:v>Home</x:v>
      </x:c>
      <x:c r="M23" s="7" t="str">
        <x:v>Directly names the unique target category/brand, removing the need to interpret the state word while preserving manipulation difficulty.</x:v>
      </x:c>
      <x:c r="N23" s="7"/>
    </x:row>
    <x:row r="24" ht="56" customHeight="1">
      <x:c r="A24" s="9" t="n">
        <x:v>22</x:v>
      </x:c>
      <x:c r="B24" s="7" t="str">
        <x:v>Concept/compositional transfer</x:v>
      </x:c>
      <x:c r="C24" s="7" t="str">
        <x:v>Held-out state-word transfer (upright)</x:v>
      </x:c>
      <x:c r="D24" s="10" t="str">
        <x:v>SR-F12</x:v>
      </x:c>
      <x:c r="E24" s="9"/>
      <x:c r="F24" s="7" t="str">
        <x:v>Move the upright object into the bowl.</x:v>
      </x:c>
      <x:c r="G24" s="7" t="str">
        <x:v>P1 white cup A (C, UD); P2 brown cup B (O, UD); P3 glass spice container A (C, UD); P4 yellow-white striped cup B (C, UR) [TARGET]</x:v>
      </x:c>
      <x:c r="H24" s="10" t="str">
        <x:v>yellow-white striped cup B</x:v>
      </x:c>
      <x:c r="I24" s="10" t="str">
        <x:v>upright</x:v>
      </x:c>
      <x:c r="J24" s="10" t="str">
        <x:v>Same-task seen</x:v>
      </x:c>
      <x:c r="K24" s="7" t="str">
        <x:v>Run first. Mark the target position; after the rollout, return the same target in the same state/orientation. Do not move distractors.</x:v>
      </x:c>
      <x:c r="L24" s="10" t="str">
        <x:v>Home</x:v>
      </x:c>
      <x:c r="M24" s="7" t="str">
        <x:v>Exactly one object satisfies the queried state. The prompt contains no color or direct target identity.</x:v>
      </x:c>
      <x:c r="N24" s="7"/>
    </x:row>
    <x:row r="25" ht="56" customHeight="1">
      <x:c r="A25" s="9" t="n">
        <x:v>23</x:v>
      </x:c>
      <x:c r="B25" s="7" t="str">
        <x:v>Matched manipulation control</x:v>
      </x:c>
      <x:c r="C25" s="7" t="str">
        <x:v>Same-scene direct-object control</x:v>
      </x:c>
      <x:c r="D25" s="10" t="str">
        <x:v>SR-F12</x:v>
      </x:c>
      <x:c r="E25" s="9" t="n">
        <x:v>22</x:v>
      </x:c>
      <x:c r="F25" s="7" t="str">
        <x:v>Move the yellow-white striped cup into the bowl.</x:v>
      </x:c>
      <x:c r="G25" s="7" t="str">
        <x:v>P1 white cup A (C, UD); P2 brown cup B (O, UD); P3 glass spice container A (C, UD); P4 yellow-white striped cup B (C, UR) [TARGET]</x:v>
      </x:c>
      <x:c r="H25" s="10" t="str">
        <x:v>yellow-white striped cup B</x:v>
      </x:c>
      <x:c r="I25" s="10" t="str">
        <x:v>upright</x:v>
      </x:c>
      <x:c r="J25" s="10" t="str">
        <x:v>Same-task seen</x:v>
      </x:c>
      <x:c r="K25" s="7" t="str">
        <x:v>Run immediately after the preceding transfer row. Same scene, target, state, and trajectory; only the prompt changes.</x:v>
      </x:c>
      <x:c r="L25" s="10" t="str">
        <x:v>Home</x:v>
      </x:c>
      <x:c r="M25" s="7" t="str">
        <x:v>Directly names the unique target category/brand, removing the need to interpret the state word while preserving manipulation difficulty.</x:v>
      </x:c>
      <x:c r="N25" s="7"/>
    </x:row>
    <x:row r="26" ht="56" customHeight="1">
      <x:c r="A26" s="9" t="n">
        <x:v>24</x:v>
      </x:c>
      <x:c r="B26" s="7" t="str">
        <x:v>Concept/compositional transfer</x:v>
      </x:c>
      <x:c r="C26" s="7" t="str">
        <x:v>Held-out state-word transfer (upright)</x:v>
      </x:c>
      <x:c r="D26" s="10" t="str">
        <x:v>SR-F13</x:v>
      </x:c>
      <x:c r="E26" s="9"/>
      <x:c r="F26" s="7" t="str">
        <x:v>Place the upright object in the bowl.</x:v>
      </x:c>
      <x:c r="G26" s="7" t="str">
        <x:v>P1 brown cup A (O, UR) [TARGET]; P2 white cup A (C, UD); P3 yellow-white striped cup B (O, UD); P4 glass spice container A (C, UD)</x:v>
      </x:c>
      <x:c r="H26" s="10" t="str">
        <x:v>brown cup A</x:v>
      </x:c>
      <x:c r="I26" s="10" t="str">
        <x:v>upright</x:v>
      </x:c>
      <x:c r="J26" s="10" t="str">
        <x:v>Same-task seen</x:v>
      </x:c>
      <x:c r="K26" s="7" t="str">
        <x:v>Run first. Mark the target position; after the rollout, return the same target in the same state/orientation. Do not move distractors.</x:v>
      </x:c>
      <x:c r="L26" s="10" t="str">
        <x:v>Home</x:v>
      </x:c>
      <x:c r="M26" s="7" t="str">
        <x:v>Exactly one object satisfies the queried state. The prompt contains no color or direct target identity.</x:v>
      </x:c>
      <x:c r="N26" s="7"/>
    </x:row>
    <x:row r="27" ht="56" customHeight="1">
      <x:c r="A27" s="9" t="n">
        <x:v>25</x:v>
      </x:c>
      <x:c r="B27" s="7" t="str">
        <x:v>Matched manipulation control</x:v>
      </x:c>
      <x:c r="C27" s="7" t="str">
        <x:v>Same-scene direct-object control</x:v>
      </x:c>
      <x:c r="D27" s="10" t="str">
        <x:v>SR-F13</x:v>
      </x:c>
      <x:c r="E27" s="9" t="n">
        <x:v>24</x:v>
      </x:c>
      <x:c r="F27" s="7" t="str">
        <x:v>Place the brown cup in the bowl.</x:v>
      </x:c>
      <x:c r="G27" s="7" t="str">
        <x:v>P1 brown cup A (O, UR) [TARGET]; P2 white cup A (C, UD); P3 yellow-white striped cup B (O, UD); P4 glass spice container A (C, UD)</x:v>
      </x:c>
      <x:c r="H27" s="10" t="str">
        <x:v>brown cup A</x:v>
      </x:c>
      <x:c r="I27" s="10" t="str">
        <x:v>upright</x:v>
      </x:c>
      <x:c r="J27" s="10" t="str">
        <x:v>Same-task seen</x:v>
      </x:c>
      <x:c r="K27" s="7" t="str">
        <x:v>Run immediately after the preceding transfer row. Same scene, target, state, and trajectory; only the prompt changes.</x:v>
      </x:c>
      <x:c r="L27" s="10" t="str">
        <x:v>Home</x:v>
      </x:c>
      <x:c r="M27" s="7" t="str">
        <x:v>Directly names the unique target category/brand, removing the need to interpret the state word while preserving manipulation difficulty.</x:v>
      </x:c>
      <x:c r="N27" s="7"/>
    </x:row>
    <x:row r="28" ht="56" customHeight="1">
      <x:c r="A28" s="9" t="n">
        <x:v>26</x:v>
      </x:c>
      <x:c r="B28" s="7" t="str">
        <x:v>Concept/compositional transfer</x:v>
      </x:c>
      <x:c r="C28" s="7" t="str">
        <x:v>Held-out state-word transfer (upright)</x:v>
      </x:c>
      <x:c r="D28" s="10" t="str">
        <x:v>SR-F14</x:v>
      </x:c>
      <x:c r="E28" s="9"/>
      <x:c r="F28" s="7" t="str">
        <x:v>Put the upright object in the bowl.</x:v>
      </x:c>
      <x:c r="G28" s="7" t="str">
        <x:v>P1 white cup A (C, UD); P2 glass spice container B (C, UR) [TARGET]; P3 yellow-white striped cup A (C, UD); P4 brown cup B (O, UD)</x:v>
      </x:c>
      <x:c r="H28" s="10" t="str">
        <x:v>glass spice container B</x:v>
      </x:c>
      <x:c r="I28" s="10" t="str">
        <x:v>upright</x:v>
      </x:c>
      <x:c r="J28" s="10" t="str">
        <x:v>Same-task seen</x:v>
      </x:c>
      <x:c r="K28" s="7" t="str">
        <x:v>Run first. Mark the target position; after the rollout, return the same target in the same state/orientation. Do not move distractors.</x:v>
      </x:c>
      <x:c r="L28" s="10" t="str">
        <x:v>Home</x:v>
      </x:c>
      <x:c r="M28" s="7" t="str">
        <x:v>Exactly one object satisfies the queried state. The prompt contains no color or direct target identity.</x:v>
      </x:c>
      <x:c r="N28" s="7"/>
    </x:row>
    <x:row r="29" ht="56" customHeight="1">
      <x:c r="A29" s="9" t="n">
        <x:v>27</x:v>
      </x:c>
      <x:c r="B29" s="7" t="str">
        <x:v>Matched manipulation control</x:v>
      </x:c>
      <x:c r="C29" s="7" t="str">
        <x:v>Same-scene direct-object control</x:v>
      </x:c>
      <x:c r="D29" s="10" t="str">
        <x:v>SR-F14</x:v>
      </x:c>
      <x:c r="E29" s="9" t="n">
        <x:v>26</x:v>
      </x:c>
      <x:c r="F29" s="7" t="str">
        <x:v>Put the glass spice container in the bowl.</x:v>
      </x:c>
      <x:c r="G29" s="7" t="str">
        <x:v>P1 white cup A (C, UD); P2 glass spice container B (C, UR) [TARGET]; P3 yellow-white striped cup A (C, UD); P4 brown cup B (O, UD)</x:v>
      </x:c>
      <x:c r="H29" s="10" t="str">
        <x:v>glass spice container B</x:v>
      </x:c>
      <x:c r="I29" s="10" t="str">
        <x:v>upright</x:v>
      </x:c>
      <x:c r="J29" s="10" t="str">
        <x:v>Same-task seen</x:v>
      </x:c>
      <x:c r="K29" s="7" t="str">
        <x:v>Run immediately after the preceding transfer row. Same scene, target, state, and trajectory; only the prompt changes.</x:v>
      </x:c>
      <x:c r="L29" s="10" t="str">
        <x:v>Home</x:v>
      </x:c>
      <x:c r="M29" s="7" t="str">
        <x:v>Directly names the unique target category/brand, removing the need to interpret the state word while preserving manipulation difficulty.</x:v>
      </x:c>
      <x:c r="N29" s="7"/>
    </x:row>
    <x:row r="30" ht="56" customHeight="1">
      <x:c r="A30" s="9" t="n">
        <x:v>28</x:v>
      </x:c>
      <x:c r="B30" s="7" t="str">
        <x:v>Concept/compositional transfer</x:v>
      </x:c>
      <x:c r="C30" s="7" t="str">
        <x:v>Held-out state-word transfer (upright)</x:v>
      </x:c>
      <x:c r="D30" s="10" t="str">
        <x:v>SR-F15</x:v>
      </x:c>
      <x:c r="E30" s="9"/>
      <x:c r="F30" s="7" t="str">
        <x:v>Move the upright object into the bowl.</x:v>
      </x:c>
      <x:c r="G30" s="7" t="str">
        <x:v>P1 yellow-white striped cup B (O, UD); P2 brown cup A (C, UD); P3 white cup A (O, UR) [TARGET]; P4 glass spice container A (C, UD)</x:v>
      </x:c>
      <x:c r="H30" s="10" t="str">
        <x:v>white cup A</x:v>
      </x:c>
      <x:c r="I30" s="10" t="str">
        <x:v>upright</x:v>
      </x:c>
      <x:c r="J30" s="10" t="str">
        <x:v>Same-task seen</x:v>
      </x:c>
      <x:c r="K30" s="7" t="str">
        <x:v>Run first. Mark the target position; after the rollout, return the same target in the same state/orientation. Do not move distractors.</x:v>
      </x:c>
      <x:c r="L30" s="10" t="str">
        <x:v>Home</x:v>
      </x:c>
      <x:c r="M30" s="7" t="str">
        <x:v>Exactly one object satisfies the queried state. The prompt contains no color or direct target identity.</x:v>
      </x:c>
      <x:c r="N30" s="7"/>
    </x:row>
    <x:row r="31" ht="56" customHeight="1">
      <x:c r="A31" s="9" t="n">
        <x:v>29</x:v>
      </x:c>
      <x:c r="B31" s="7" t="str">
        <x:v>Matched manipulation control</x:v>
      </x:c>
      <x:c r="C31" s="7" t="str">
        <x:v>Same-scene direct-object control</x:v>
      </x:c>
      <x:c r="D31" s="10" t="str">
        <x:v>SR-F15</x:v>
      </x:c>
      <x:c r="E31" s="9" t="n">
        <x:v>28</x:v>
      </x:c>
      <x:c r="F31" s="7" t="str">
        <x:v>Move the white cup into the bowl.</x:v>
      </x:c>
      <x:c r="G31" s="7" t="str">
        <x:v>P1 yellow-white striped cup B (O, UD); P2 brown cup A (C, UD); P3 white cup A (O, UR) [TARGET]; P4 glass spice container A (C, UD)</x:v>
      </x:c>
      <x:c r="H31" s="10" t="str">
        <x:v>white cup A</x:v>
      </x:c>
      <x:c r="I31" s="10" t="str">
        <x:v>upright</x:v>
      </x:c>
      <x:c r="J31" s="10" t="str">
        <x:v>Same-task seen</x:v>
      </x:c>
      <x:c r="K31" s="7" t="str">
        <x:v>Run immediately after the preceding transfer row. Same scene, target, state, and trajectory; only the prompt changes.</x:v>
      </x:c>
      <x:c r="L31" s="10" t="str">
        <x:v>Home</x:v>
      </x:c>
      <x:c r="M31" s="7" t="str">
        <x:v>Directly names the unique target category/brand, removing the need to interpret the state word while preserving manipulation difficulty.</x:v>
      </x:c>
      <x:c r="N31" s="7"/>
    </x:row>
    <x:row r="32" ht="56" customHeight="1">
      <x:c r="A32" s="9" t="n">
        <x:v>30</x:v>
      </x:c>
      <x:c r="B32" s="7" t="str">
        <x:v>Concept/compositional transfer</x:v>
      </x:c>
      <x:c r="C32" s="7" t="str">
        <x:v>Cross-task object transfer (can; state word × new task-object pairing)</x:v>
      </x:c>
      <x:c r="D32" s="10" t="str">
        <x:v>SR-F16</x:v>
      </x:c>
      <x:c r="E32" s="9"/>
      <x:c r="F32" s="7" t="str">
        <x:v>Place the upright can in the bowl.</x:v>
      </x:c>
      <x:c r="G32" s="7" t="str">
        <x:v>P1 crushed Pepsi can (UD); P2 glass spice container A (O, UD); P3 white cup B (C, UD); P4 crushed Coke can (UR) [TARGET]</x:v>
      </x:c>
      <x:c r="H32" s="10" t="str">
        <x:v>crushed Coke can</x:v>
      </x:c>
      <x:c r="I32" s="10" t="str">
        <x:v>upright</x:v>
      </x:c>
      <x:c r="J32" s="10" t="str">
        <x:v>Cross-task seen</x:v>
      </x:c>
      <x:c r="K32" s="7" t="str">
        <x:v>Run first. Mark the target position; after the rollout, return the same target in the same state/orientation. Do not move distractors.</x:v>
      </x:c>
      <x:c r="L32" s="10" t="str">
        <x:v>Home</x:v>
      </x:c>
      <x:c r="M32" s="7" t="str">
        <x:v>Exactly one object satisfies the queried state. The prompt contains no color or direct target identity.</x:v>
      </x:c>
      <x:c r="N32" s="7"/>
    </x:row>
    <x:row r="33" ht="56" customHeight="1">
      <x:c r="A33" s="9" t="n">
        <x:v>31</x:v>
      </x:c>
      <x:c r="B33" s="7" t="str">
        <x:v>Matched manipulation control</x:v>
      </x:c>
      <x:c r="C33" s="7" t="str">
        <x:v>Same-scene direct-object control</x:v>
      </x:c>
      <x:c r="D33" s="10" t="str">
        <x:v>SR-F16</x:v>
      </x:c>
      <x:c r="E33" s="9" t="n">
        <x:v>30</x:v>
      </x:c>
      <x:c r="F33" s="7" t="str">
        <x:v>Place the crushed Coke can in the bowl.</x:v>
      </x:c>
      <x:c r="G33" s="7" t="str">
        <x:v>P1 crushed Pepsi can (UD); P2 glass spice container A (O, UD); P3 white cup B (C, UD); P4 crushed Coke can (UR) [TARGET]</x:v>
      </x:c>
      <x:c r="H33" s="10" t="str">
        <x:v>crushed Coke can</x:v>
      </x:c>
      <x:c r="I33" s="10" t="str">
        <x:v>upright</x:v>
      </x:c>
      <x:c r="J33" s="10" t="str">
        <x:v>Cross-task seen</x:v>
      </x:c>
      <x:c r="K33" s="7" t="str">
        <x:v>Run immediately after the preceding transfer row. Same scene, target, state, and trajectory; only the prompt changes.</x:v>
      </x:c>
      <x:c r="L33" s="10" t="str">
        <x:v>Home</x:v>
      </x:c>
      <x:c r="M33" s="7" t="str">
        <x:v>Directly names the unique target category/brand, removing the need to interpret the state word while preserving manipulation difficulty.</x:v>
      </x:c>
      <x:c r="N33" s="7"/>
    </x:row>
    <x:row r="34" ht="56" customHeight="1">
      <x:c r="A34" s="9" t="n">
        <x:v>32</x:v>
      </x:c>
      <x:c r="B34" s="7" t="str">
        <x:v>Concept/compositional transfer</x:v>
      </x:c>
      <x:c r="C34" s="7" t="str">
        <x:v>Cross-task object transfer (can; state word × new task-object pairing)</x:v>
      </x:c>
      <x:c r="D34" s="10" t="str">
        <x:v>SR-F17</x:v>
      </x:c>
      <x:c r="E34" s="9"/>
      <x:c r="F34" s="7" t="str">
        <x:v>Put the upright can in the bowl.</x:v>
      </x:c>
      <x:c r="G34" s="7" t="str">
        <x:v>P1 crushed Pepsi can (UR) [TARGET]; P2 crushed Coke can (UD); P3 white cup A (O, UD); P4 yellow-white striped cup B (C, UD)</x:v>
      </x:c>
      <x:c r="H34" s="10" t="str">
        <x:v>crushed Pepsi can</x:v>
      </x:c>
      <x:c r="I34" s="10" t="str">
        <x:v>upright</x:v>
      </x:c>
      <x:c r="J34" s="10" t="str">
        <x:v>Cross-task seen</x:v>
      </x:c>
      <x:c r="K34" s="7" t="str">
        <x:v>Run first. Mark the target position; after the rollout, return the same target in the same state/orientation. Do not move distractors.</x:v>
      </x:c>
      <x:c r="L34" s="10" t="str">
        <x:v>Home</x:v>
      </x:c>
      <x:c r="M34" s="7" t="str">
        <x:v>Exactly one object satisfies the queried state. The prompt contains no color or direct target identity.</x:v>
      </x:c>
      <x:c r="N34" s="7"/>
    </x:row>
    <x:row r="35" ht="56" customHeight="1">
      <x:c r="A35" s="9" t="n">
        <x:v>33</x:v>
      </x:c>
      <x:c r="B35" s="7" t="str">
        <x:v>Matched manipulation control</x:v>
      </x:c>
      <x:c r="C35" s="7" t="str">
        <x:v>Same-scene direct-object control</x:v>
      </x:c>
      <x:c r="D35" s="10" t="str">
        <x:v>SR-F17</x:v>
      </x:c>
      <x:c r="E35" s="9" t="n">
        <x:v>32</x:v>
      </x:c>
      <x:c r="F35" s="7" t="str">
        <x:v>Put the crushed Pepsi can in the bowl.</x:v>
      </x:c>
      <x:c r="G35" s="7" t="str">
        <x:v>P1 crushed Pepsi can (UR) [TARGET]; P2 crushed Coke can (UD); P3 white cup A (O, UD); P4 yellow-white striped cup B (C, UD)</x:v>
      </x:c>
      <x:c r="H35" s="10" t="str">
        <x:v>crushed Pepsi can</x:v>
      </x:c>
      <x:c r="I35" s="10" t="str">
        <x:v>upright</x:v>
      </x:c>
      <x:c r="J35" s="10" t="str">
        <x:v>Cross-task seen</x:v>
      </x:c>
      <x:c r="K35" s="7" t="str">
        <x:v>Run immediately after the preceding transfer row. Same scene, target, state, and trajectory; only the prompt changes.</x:v>
      </x:c>
      <x:c r="L35" s="10" t="str">
        <x:v>Home</x:v>
      </x:c>
      <x:c r="M35" s="7" t="str">
        <x:v>Directly names the unique target category/brand, removing the need to interpret the state word while preserving manipulation difficulty.</x:v>
      </x:c>
      <x:c r="N35" s="7"/>
    </x:row>
    <x:row r="36" ht="56" customHeight="1">
      <x:c r="A36" s="9" t="n">
        <x:v>34</x:v>
      </x:c>
      <x:c r="B36" s="7" t="str">
        <x:v>Concept/compositional transfer</x:v>
      </x:c>
      <x:c r="C36" s="7" t="str">
        <x:v>Cross-task object transfer (can; state word × new task-object pairing)</x:v>
      </x:c>
      <x:c r="D36" s="10" t="str">
        <x:v>SR-F18</x:v>
      </x:c>
      <x:c r="E36" s="9"/>
      <x:c r="F36" s="7" t="str">
        <x:v>Move the upright can into the bowl.</x:v>
      </x:c>
      <x:c r="G36" s="7" t="str">
        <x:v>P1 crushed Pepsi can (UD); P2 crushed Coke can (UR) [TARGET]; P3 yellow-white striped cup B (C, UD); P4 brown cup A (O, UD)</x:v>
      </x:c>
      <x:c r="H36" s="10" t="str">
        <x:v>crushed Coke can</x:v>
      </x:c>
      <x:c r="I36" s="10" t="str">
        <x:v>upright</x:v>
      </x:c>
      <x:c r="J36" s="10" t="str">
        <x:v>Cross-task seen</x:v>
      </x:c>
      <x:c r="K36" s="7" t="str">
        <x:v>Run first. Mark the target position; after the rollout, return the same target in the same state/orientation. Do not move distractors.</x:v>
      </x:c>
      <x:c r="L36" s="10" t="str">
        <x:v>Home</x:v>
      </x:c>
      <x:c r="M36" s="7" t="str">
        <x:v>Exactly one object satisfies the queried state. The prompt contains no color or direct target identity.</x:v>
      </x:c>
      <x:c r="N36" s="7"/>
    </x:row>
    <x:row r="37" ht="56" customHeight="1">
      <x:c r="A37" s="9" t="n">
        <x:v>35</x:v>
      </x:c>
      <x:c r="B37" s="7" t="str">
        <x:v>Matched manipulation control</x:v>
      </x:c>
      <x:c r="C37" s="7" t="str">
        <x:v>Same-scene direct-object control</x:v>
      </x:c>
      <x:c r="D37" s="10" t="str">
        <x:v>SR-F18</x:v>
      </x:c>
      <x:c r="E37" s="9" t="n">
        <x:v>34</x:v>
      </x:c>
      <x:c r="F37" s="7" t="str">
        <x:v>Move the crushed Coke can into the bowl.</x:v>
      </x:c>
      <x:c r="G37" s="7" t="str">
        <x:v>P1 crushed Pepsi can (UD); P2 crushed Coke can (UR) [TARGET]; P3 yellow-white striped cup B (C, UD); P4 brown cup A (O, UD)</x:v>
      </x:c>
      <x:c r="H37" s="10" t="str">
        <x:v>crushed Coke can</x:v>
      </x:c>
      <x:c r="I37" s="10" t="str">
        <x:v>upright</x:v>
      </x:c>
      <x:c r="J37" s="10" t="str">
        <x:v>Cross-task seen</x:v>
      </x:c>
      <x:c r="K37" s="7" t="str">
        <x:v>Run immediately after the preceding transfer row. Same scene, target, state, and trajectory; only the prompt changes.</x:v>
      </x:c>
      <x:c r="L37" s="10" t="str">
        <x:v>Home</x:v>
      </x:c>
      <x:c r="M37" s="7" t="str">
        <x:v>Directly names the unique target category/brand, removing the need to interpret the state word while preserving manipulation difficulty.</x:v>
      </x:c>
      <x:c r="N37" s="7"/>
    </x:row>
    <x:row r="38" ht="56" customHeight="1">
      <x:c r="A38" s="9" t="n">
        <x:v>36</x:v>
      </x:c>
      <x:c r="B38" s="7" t="str">
        <x:v>Concept/compositional transfer</x:v>
      </x:c>
      <x:c r="C38" s="7" t="str">
        <x:v>Cross-task object transfer (can; state word × new task-object pairing)</x:v>
      </x:c>
      <x:c r="D38" s="10" t="str">
        <x:v>SR-F19</x:v>
      </x:c>
      <x:c r="E38" s="9"/>
      <x:c r="F38" s="7" t="str">
        <x:v>Place the upright can in the bowl.</x:v>
      </x:c>
      <x:c r="G38" s="7" t="str">
        <x:v>P1 crushed Coke can (UD); P2 brown cup B (C, UD); P3 crushed Pepsi can (UR) [TARGET]; P4 glass spice container B (C, UD)</x:v>
      </x:c>
      <x:c r="H38" s="10" t="str">
        <x:v>crushed Pepsi can</x:v>
      </x:c>
      <x:c r="I38" s="10" t="str">
        <x:v>upright</x:v>
      </x:c>
      <x:c r="J38" s="10" t="str">
        <x:v>Cross-task seen</x:v>
      </x:c>
      <x:c r="K38" s="7" t="str">
        <x:v>Run first. Mark the target position; after the rollout, return the same target in the same state/orientation. Do not move distractors.</x:v>
      </x:c>
      <x:c r="L38" s="10" t="str">
        <x:v>Home</x:v>
      </x:c>
      <x:c r="M38" s="7" t="str">
        <x:v>Exactly one object satisfies the queried state. The prompt contains no color or direct target identity.</x:v>
      </x:c>
      <x:c r="N38" s="7"/>
    </x:row>
    <x:row r="39" ht="56" customHeight="1">
      <x:c r="A39" s="9" t="n">
        <x:v>37</x:v>
      </x:c>
      <x:c r="B39" s="7" t="str">
        <x:v>Matched manipulation control</x:v>
      </x:c>
      <x:c r="C39" s="7" t="str">
        <x:v>Same-scene direct-object control</x:v>
      </x:c>
      <x:c r="D39" s="10" t="str">
        <x:v>SR-F19</x:v>
      </x:c>
      <x:c r="E39" s="9" t="n">
        <x:v>36</x:v>
      </x:c>
      <x:c r="F39" s="7" t="str">
        <x:v>Place the crushed Pepsi can in the bowl.</x:v>
      </x:c>
      <x:c r="G39" s="7" t="str">
        <x:v>P1 crushed Coke can (UD); P2 brown cup B (C, UD); P3 crushed Pepsi can (UR) [TARGET]; P4 glass spice container B (C, UD)</x:v>
      </x:c>
      <x:c r="H39" s="10" t="str">
        <x:v>crushed Pepsi can</x:v>
      </x:c>
      <x:c r="I39" s="10" t="str">
        <x:v>upright</x:v>
      </x:c>
      <x:c r="J39" s="10" t="str">
        <x:v>Cross-task seen</x:v>
      </x:c>
      <x:c r="K39" s="7" t="str">
        <x:v>Run immediately after the preceding transfer row. Same scene, target, state, and trajectory; only the prompt changes.</x:v>
      </x:c>
      <x:c r="L39" s="10" t="str">
        <x:v>Home</x:v>
      </x:c>
      <x:c r="M39" s="7" t="str">
        <x:v>Directly names the unique target category/brand, removing the need to interpret the state word while preserving manipulation difficulty.</x:v>
      </x:c>
      <x:c r="N39" s="7"/>
    </x:row>
    <x:row r="40" ht="56" customHeight="1">
      <x:c r="A40" s="9" t="n">
        <x:v>38</x:v>
      </x:c>
      <x:c r="B40" s="7" t="str">
        <x:v>Concept/compositional transfer</x:v>
      </x:c>
      <x:c r="C40" s="7" t="str">
        <x:v>Cross-task object transfer (can; state word × new task-object pairing)</x:v>
      </x:c>
      <x:c r="D40" s="10" t="str">
        <x:v>SR-F20</x:v>
      </x:c>
      <x:c r="E40" s="9"/>
      <x:c r="F40" s="7" t="str">
        <x:v>Put the upright can in the bowl.</x:v>
      </x:c>
      <x:c r="G40" s="7" t="str">
        <x:v>P1 crushed Pepsi can (UD); P2 glass spice container A (O, UD); P3 white cup B (C, UD); P4 crushed Coke can (UR) [TARGET]</x:v>
      </x:c>
      <x:c r="H40" s="10" t="str">
        <x:v>crushed Coke can</x:v>
      </x:c>
      <x:c r="I40" s="10" t="str">
        <x:v>upright</x:v>
      </x:c>
      <x:c r="J40" s="10" t="str">
        <x:v>Cross-task seen</x:v>
      </x:c>
      <x:c r="K40" s="7" t="str">
        <x:v>Run first. Mark the target position; after the rollout, return the same target in the same state/orientation. Do not move distractors.</x:v>
      </x:c>
      <x:c r="L40" s="10" t="str">
        <x:v>Home</x:v>
      </x:c>
      <x:c r="M40" s="7" t="str">
        <x:v>Exactly one object satisfies the queried state. The prompt contains no color or direct target identity.</x:v>
      </x:c>
      <x:c r="N40" s="7"/>
    </x:row>
    <x:row r="41" ht="56" customHeight="1">
      <x:c r="A41" s="9" t="n">
        <x:v>39</x:v>
      </x:c>
      <x:c r="B41" s="7" t="str">
        <x:v>Matched manipulation control</x:v>
      </x:c>
      <x:c r="C41" s="7" t="str">
        <x:v>Same-scene direct-object control</x:v>
      </x:c>
      <x:c r="D41" s="10" t="str">
        <x:v>SR-F20</x:v>
      </x:c>
      <x:c r="E41" s="9" t="n">
        <x:v>38</x:v>
      </x:c>
      <x:c r="F41" s="7" t="str">
        <x:v>Put the crushed Coke can in the bowl.</x:v>
      </x:c>
      <x:c r="G41" s="7" t="str">
        <x:v>P1 crushed Pepsi can (UD); P2 glass spice container A (O, UD); P3 white cup B (C, UD); P4 crushed Coke can (UR) [TARGET]</x:v>
      </x:c>
      <x:c r="H41" s="10" t="str">
        <x:v>crushed Coke can</x:v>
      </x:c>
      <x:c r="I41" s="10" t="str">
        <x:v>upright</x:v>
      </x:c>
      <x:c r="J41" s="10" t="str">
        <x:v>Cross-task seen</x:v>
      </x:c>
      <x:c r="K41" s="7" t="str">
        <x:v>Run immediately after the preceding transfer row. Same scene, target, state, and trajectory; only the prompt changes.</x:v>
      </x:c>
      <x:c r="L41" s="10" t="str">
        <x:v>Home</x:v>
      </x:c>
      <x:c r="M41" s="7" t="str">
        <x:v>Directly names the unique target category/brand, removing the need to interpret the state word while preserving manipulation difficulty.</x:v>
      </x:c>
      <x:c r="N41" s="7"/>
    </x:row>
    <x:row r="42" ht="56" customHeight="1">
      <x:c r="A42" s="9" t="n">
        <x:v>40</x:v>
      </x:c>
      <x:c r="B42" s="7" t="str">
        <x:v>Concept/compositional transfer</x:v>
      </x:c>
      <x:c r="C42" s="7" t="str">
        <x:v>Held-out state-word transfer (closed)</x:v>
      </x:c>
      <x:c r="D42" s="10" t="str">
        <x:v>SR-F21</x:v>
      </x:c>
      <x:c r="E42" s="9"/>
      <x:c r="F42" s="7" t="str">
        <x:v>Place the closed object in the bowl.</x:v>
      </x:c>
      <x:c r="G42" s="7" t="str">
        <x:v>P1 yellow-white striped cup B (C, UD) [TARGET]; P2 white cup B (O, UR); P3 brown cup A (O, UD); P4 glass spice container B (O, UR)</x:v>
      </x:c>
      <x:c r="H42" s="10" t="str">
        <x:v>yellow-white striped cup B</x:v>
      </x:c>
      <x:c r="I42" s="10" t="str">
        <x:v>closed</x:v>
      </x:c>
      <x:c r="J42" s="10" t="str">
        <x:v>Same-task seen</x:v>
      </x:c>
      <x:c r="K42" s="7" t="str">
        <x:v>Recreate the listed P1-P4 arrangement and preserve the queried state. Photograph or save the first frame for later models.</x:v>
      </x:c>
      <x:c r="L42" s="10" t="str">
        <x:v>Home</x:v>
      </x:c>
      <x:c r="M42" s="7" t="str">
        <x:v>Exactly one object satisfies the queried state; target position and target identity rotate across trials.</x:v>
      </x:c>
      <x:c r="N42" s="7"/>
    </x:row>
    <x:row r="43" ht="56" customHeight="1">
      <x:c r="A43" s="9" t="n">
        <x:v>41</x:v>
      </x:c>
      <x:c r="B43" s="7" t="str">
        <x:v>Concept/compositional transfer</x:v>
      </x:c>
      <x:c r="C43" s="7" t="str">
        <x:v>Held-out state-word transfer (closed)</x:v>
      </x:c>
      <x:c r="D43" s="10" t="str">
        <x:v>SR-F22</x:v>
      </x:c>
      <x:c r="E43" s="9"/>
      <x:c r="F43" s="7" t="str">
        <x:v>Put the closed object in the bowl.</x:v>
      </x:c>
      <x:c r="G43" s="7" t="str">
        <x:v>P1 white cup B (O, UR); P2 glass spice container A (C, UR) [TARGET]; P3 yellow-white striped cup B (O, UR); P4 brown cup A (O, UD)</x:v>
      </x:c>
      <x:c r="H43" s="10" t="str">
        <x:v>glass spice container A</x:v>
      </x:c>
      <x:c r="I43" s="10" t="str">
        <x:v>closed</x:v>
      </x:c>
      <x:c r="J43" s="10" t="str">
        <x:v>Same-task seen</x:v>
      </x:c>
      <x:c r="K43" s="7" t="str">
        <x:v>Recreate the listed P1-P4 arrangement and preserve the queried state. Photograph or save the first frame for later models.</x:v>
      </x:c>
      <x:c r="L43" s="10" t="str">
        <x:v>Home</x:v>
      </x:c>
      <x:c r="M43" s="7" t="str">
        <x:v>Exactly one object satisfies the queried state; target position and target identity rotate across trials.</x:v>
      </x:c>
      <x:c r="N43" s="7"/>
    </x:row>
    <x:row r="44" ht="56" customHeight="1">
      <x:c r="A44" s="9" t="n">
        <x:v>42</x:v>
      </x:c>
      <x:c r="B44" s="7" t="str">
        <x:v>Concept/compositional transfer</x:v>
      </x:c>
      <x:c r="C44" s="7" t="str">
        <x:v>Held-out state-word transfer (closed)</x:v>
      </x:c>
      <x:c r="D44" s="10" t="str">
        <x:v>SR-F23</x:v>
      </x:c>
      <x:c r="E44" s="9"/>
      <x:c r="F44" s="7" t="str">
        <x:v>Move the closed object into the bowl.</x:v>
      </x:c>
      <x:c r="G44" s="7" t="str">
        <x:v>P1 yellow-white striped cup A (O, UD); P2 brown cup B (O, UR); P3 white cup B (C, UD) [TARGET]; P4 glass spice container B (O, UR)</x:v>
      </x:c>
      <x:c r="H44" s="10" t="str">
        <x:v>white cup B</x:v>
      </x:c>
      <x:c r="I44" s="10" t="str">
        <x:v>closed</x:v>
      </x:c>
      <x:c r="J44" s="10" t="str">
        <x:v>Same-task seen</x:v>
      </x:c>
      <x:c r="K44" s="7" t="str">
        <x:v>Recreate the listed P1-P4 arrangement and preserve the queried state. Photograph or save the first frame for later models.</x:v>
      </x:c>
      <x:c r="L44" s="10" t="str">
        <x:v>Home</x:v>
      </x:c>
      <x:c r="M44" s="7" t="str">
        <x:v>Exactly one object satisfies the queried state; target position and target identity rotate across trials.</x:v>
      </x:c>
      <x:c r="N44" s="7"/>
    </x:row>
    <x:row r="45" ht="56" customHeight="1">
      <x:c r="A45" s="9" t="n">
        <x:v>43</x:v>
      </x:c>
      <x:c r="B45" s="7" t="str">
        <x:v>Concept/compositional transfer</x:v>
      </x:c>
      <x:c r="C45" s="7" t="str">
        <x:v>Held-out state-word transfer (closed)</x:v>
      </x:c>
      <x:c r="D45" s="10" t="str">
        <x:v>SR-F24</x:v>
      </x:c>
      <x:c r="E45" s="9"/>
      <x:c r="F45" s="7" t="str">
        <x:v>Place the closed object in the bowl.</x:v>
      </x:c>
      <x:c r="G45" s="7" t="str">
        <x:v>P1 white cup B (O, UR); P2 yellow-white striped cup A (O, UD); P3 glass spice container B (O, UR); P4 brown cup A (C, UR) [TARGET]</x:v>
      </x:c>
      <x:c r="H45" s="10" t="str">
        <x:v>brown cup A</x:v>
      </x:c>
      <x:c r="I45" s="10" t="str">
        <x:v>closed</x:v>
      </x:c>
      <x:c r="J45" s="10" t="str">
        <x:v>Same-task seen</x:v>
      </x:c>
      <x:c r="K45" s="7" t="str">
        <x:v>Recreate the listed P1-P4 arrangement and preserve the queried state. Photograph or save the first frame for later models.</x:v>
      </x:c>
      <x:c r="L45" s="10" t="str">
        <x:v>Home</x:v>
      </x:c>
      <x:c r="M45" s="7" t="str">
        <x:v>Exactly one object satisfies the queried state; target position and target identity rotate across trials.</x:v>
      </x:c>
      <x:c r="N45" s="7"/>
    </x:row>
    <x:row r="46" ht="56" customHeight="1">
      <x:c r="A46" s="9" t="n">
        <x:v>44</x:v>
      </x:c>
      <x:c r="B46" s="7" t="str">
        <x:v>Concept/compositional transfer</x:v>
      </x:c>
      <x:c r="C46" s="7" t="str">
        <x:v>Held-out state-word transfer (closed)</x:v>
      </x:c>
      <x:c r="D46" s="10" t="str">
        <x:v>SR-F25</x:v>
      </x:c>
      <x:c r="E46" s="9"/>
      <x:c r="F46" s="7" t="str">
        <x:v>Put the closed object in the bowl.</x:v>
      </x:c>
      <x:c r="G46" s="7" t="str">
        <x:v>P1 yellow-white striped cup B (C, UD) [TARGET]; P2 white cup B (O, UR); P3 brown cup A (O, UD); P4 glass spice container B (O, UR)</x:v>
      </x:c>
      <x:c r="H46" s="10" t="str">
        <x:v>yellow-white striped cup B</x:v>
      </x:c>
      <x:c r="I46" s="10" t="str">
        <x:v>closed</x:v>
      </x:c>
      <x:c r="J46" s="10" t="str">
        <x:v>Same-task seen</x:v>
      </x:c>
      <x:c r="K46" s="7" t="str">
        <x:v>Recreate the listed P1-P4 arrangement and preserve the queried state. Photograph or save the first frame for later models.</x:v>
      </x:c>
      <x:c r="L46" s="10" t="str">
        <x:v>Home</x:v>
      </x:c>
      <x:c r="M46" s="7" t="str">
        <x:v>Exactly one object satisfies the queried state; target position and target identity rotate across trials.</x:v>
      </x:c>
      <x:c r="N46" s="7"/>
    </x:row>
    <x:row r="47" ht="56" customHeight="1">
      <x:c r="A47" s="9" t="n">
        <x:v>45</x:v>
      </x:c>
      <x:c r="B47" s="7" t="str">
        <x:v>Concept/compositional transfer</x:v>
      </x:c>
      <x:c r="C47" s="7" t="str">
        <x:v>Held-out state-word transfer (upright)</x:v>
      </x:c>
      <x:c r="D47" s="10" t="str">
        <x:v>SR-F26</x:v>
      </x:c>
      <x:c r="E47" s="9"/>
      <x:c r="F47" s="7" t="str">
        <x:v>Move the upright object into the bowl.</x:v>
      </x:c>
      <x:c r="G47" s="7" t="str">
        <x:v>P1 white cup B (O, UD); P2 yellow-white striped cup A (O, UR) [TARGET]; P3 brown cup B (O, UD); P4 glass spice container A (C, UD)</x:v>
      </x:c>
      <x:c r="H47" s="10" t="str">
        <x:v>yellow-white striped cup A</x:v>
      </x:c>
      <x:c r="I47" s="10" t="str">
        <x:v>upright</x:v>
      </x:c>
      <x:c r="J47" s="10" t="str">
        <x:v>Same-task seen</x:v>
      </x:c>
      <x:c r="K47" s="7" t="str">
        <x:v>Recreate the listed P1-P4 arrangement and preserve the queried state. Photograph or save the first frame for later models.</x:v>
      </x:c>
      <x:c r="L47" s="10" t="str">
        <x:v>Home</x:v>
      </x:c>
      <x:c r="M47" s="7" t="str">
        <x:v>Exactly one object satisfies the queried state; target position and target identity rotate across trials.</x:v>
      </x:c>
      <x:c r="N47" s="7"/>
    </x:row>
    <x:row r="48" ht="56" customHeight="1">
      <x:c r="A48" s="9" t="n">
        <x:v>46</x:v>
      </x:c>
      <x:c r="B48" s="7" t="str">
        <x:v>Concept/compositional transfer</x:v>
      </x:c>
      <x:c r="C48" s="7" t="str">
        <x:v>Held-out state-word transfer (upright)</x:v>
      </x:c>
      <x:c r="D48" s="10" t="str">
        <x:v>SR-F27</x:v>
      </x:c>
      <x:c r="E48" s="9"/>
      <x:c r="F48" s="7" t="str">
        <x:v>Place the upright object in the bowl.</x:v>
      </x:c>
      <x:c r="G48" s="7" t="str">
        <x:v>P1 white cup A (C, UD); P2 yellow-white striped cup B (O, UD); P3 brown cup B (C, UR) [TARGET]; P4 glass spice container B (O, UD)</x:v>
      </x:c>
      <x:c r="H48" s="10" t="str">
        <x:v>brown cup B</x:v>
      </x:c>
      <x:c r="I48" s="10" t="str">
        <x:v>upright</x:v>
      </x:c>
      <x:c r="J48" s="10" t="str">
        <x:v>Same-task seen</x:v>
      </x:c>
      <x:c r="K48" s="7" t="str">
        <x:v>Recreate the listed P1-P4 arrangement and preserve the queried state. Photograph or save the first frame for later models.</x:v>
      </x:c>
      <x:c r="L48" s="10" t="str">
        <x:v>Home</x:v>
      </x:c>
      <x:c r="M48" s="7" t="str">
        <x:v>Exactly one object satisfies the queried state; target position and target identity rotate across trials.</x:v>
      </x:c>
      <x:c r="N48" s="7"/>
    </x:row>
    <x:row r="49" ht="56" customHeight="1">
      <x:c r="A49" s="9" t="n">
        <x:v>47</x:v>
      </x:c>
      <x:c r="B49" s="7" t="str">
        <x:v>Concept/compositional transfer</x:v>
      </x:c>
      <x:c r="C49" s="7" t="str">
        <x:v>Held-out state-word transfer (upright)</x:v>
      </x:c>
      <x:c r="D49" s="10" t="str">
        <x:v>SR-F28</x:v>
      </x:c>
      <x:c r="E49" s="9"/>
      <x:c r="F49" s="7" t="str">
        <x:v>Put the upright object in the bowl.</x:v>
      </x:c>
      <x:c r="G49" s="7" t="str">
        <x:v>P1 white cup B (O, UD); P2 yellow-white striped cup A (C, UD); P3 brown cup B (O, UD); P4 glass spice container A (O, UR) [TARGET]</x:v>
      </x:c>
      <x:c r="H49" s="10" t="str">
        <x:v>glass spice container A</x:v>
      </x:c>
      <x:c r="I49" s="10" t="str">
        <x:v>upright</x:v>
      </x:c>
      <x:c r="J49" s="10" t="str">
        <x:v>Same-task seen</x:v>
      </x:c>
      <x:c r="K49" s="7" t="str">
        <x:v>Recreate the listed P1-P4 arrangement and preserve the queried state. Photograph or save the first frame for later models.</x:v>
      </x:c>
      <x:c r="L49" s="10" t="str">
        <x:v>Home</x:v>
      </x:c>
      <x:c r="M49" s="7" t="str">
        <x:v>Exactly one object satisfies the queried state; target position and target identity rotate across trials.</x:v>
      </x:c>
      <x:c r="N49" s="7"/>
    </x:row>
    <x:row r="50" ht="56" customHeight="1">
      <x:c r="A50" s="9" t="n">
        <x:v>48</x:v>
      </x:c>
      <x:c r="B50" s="7" t="str">
        <x:v>Concept/compositional transfer</x:v>
      </x:c>
      <x:c r="C50" s="7" t="str">
        <x:v>Held-out state-word transfer (upright)</x:v>
      </x:c>
      <x:c r="D50" s="10" t="str">
        <x:v>SR-F29</x:v>
      </x:c>
      <x:c r="E50" s="9"/>
      <x:c r="F50" s="7" t="str">
        <x:v>Move the upright object into the bowl.</x:v>
      </x:c>
      <x:c r="G50" s="7" t="str">
        <x:v>P1 white cup B (C, UR) [TARGET]; P2 yellow-white striped cup B (O, UD); P3 brown cup A (C, UD); P4 glass spice container B (O, UD)</x:v>
      </x:c>
      <x:c r="H50" s="10" t="str">
        <x:v>white cup B</x:v>
      </x:c>
      <x:c r="I50" s="10" t="str">
        <x:v>upright</x:v>
      </x:c>
      <x:c r="J50" s="10" t="str">
        <x:v>Same-task seen</x:v>
      </x:c>
      <x:c r="K50" s="7" t="str">
        <x:v>Recreate the listed P1-P4 arrangement and preserve the queried state. Photograph or save the first frame for later models.</x:v>
      </x:c>
      <x:c r="L50" s="10" t="str">
        <x:v>Home</x:v>
      </x:c>
      <x:c r="M50" s="7" t="str">
        <x:v>Exactly one object satisfies the queried state; target position and target identity rotate across trials.</x:v>
      </x:c>
      <x:c r="N50" s="7"/>
    </x:row>
    <x:row r="51" ht="56" customHeight="1">
      <x:c r="A51" s="9" t="n">
        <x:v>49</x:v>
      </x:c>
      <x:c r="B51" s="7" t="str">
        <x:v>Concept/compositional transfer</x:v>
      </x:c>
      <x:c r="C51" s="7" t="str">
        <x:v>Held-out state-word transfer (upright)</x:v>
      </x:c>
      <x:c r="D51" s="10" t="str">
        <x:v>SR-F30</x:v>
      </x:c>
      <x:c r="E51" s="9"/>
      <x:c r="F51" s="7" t="str">
        <x:v>Place the upright object in the bowl.</x:v>
      </x:c>
      <x:c r="G51" s="7" t="str">
        <x:v>P1 white cup B (O, UD); P2 yellow-white striped cup A (O, UR) [TARGET]; P3 brown cup B (O, UD); P4 glass spice container A (C, UD)</x:v>
      </x:c>
      <x:c r="H51" s="10" t="str">
        <x:v>yellow-white striped cup A</x:v>
      </x:c>
      <x:c r="I51" s="10" t="str">
        <x:v>upright</x:v>
      </x:c>
      <x:c r="J51" s="10" t="str">
        <x:v>Same-task seen</x:v>
      </x:c>
      <x:c r="K51" s="7" t="str">
        <x:v>Recreate the listed P1-P4 arrangement and preserve the queried state. Photograph or save the first frame for later models.</x:v>
      </x:c>
      <x:c r="L51" s="10" t="str">
        <x:v>Home</x:v>
      </x:c>
      <x:c r="M51" s="7" t="str">
        <x:v>Exactly one object satisfies the queried state; target position and target identity rotate across trials.</x:v>
      </x:c>
      <x:c r="N51" s="7"/>
    </x:row>
    <x:row r="52" ht="56" customHeight="1">
      <x:c r="A52" s="9" t="n">
        <x:v>50</x:v>
      </x:c>
      <x:c r="B52" s="7" t="str">
        <x:v>Concept/compositional transfer</x:v>
      </x:c>
      <x:c r="C52" s="7" t="str">
        <x:v>Cross-task object transfer (can; state word × new task-object pairing)</x:v>
      </x:c>
      <x:c r="D52" s="10" t="str">
        <x:v>SR-F31</x:v>
      </x:c>
      <x:c r="E52" s="9"/>
      <x:c r="F52" s="7" t="str">
        <x:v>Put the upside-down can in the bowl.</x:v>
      </x:c>
      <x:c r="G52" s="7" t="str">
        <x:v>P1 crushed Coke can (UR); P2 glass spice container A (O, UR); P3 crushed Pepsi can (UD) [TARGET]; P4 white cup A (O, UR)</x:v>
      </x:c>
      <x:c r="H52" s="10" t="str">
        <x:v>crushed Pepsi can</x:v>
      </x:c>
      <x:c r="I52" s="10" t="str">
        <x:v>upside-down</x:v>
      </x:c>
      <x:c r="J52" s="10" t="str">
        <x:v>Cross-task seen</x:v>
      </x:c>
      <x:c r="K52" s="7" t="str">
        <x:v>Recreate the listed P1-P4 arrangement and preserve the queried state. Photograph or save the first frame for later models.</x:v>
      </x:c>
      <x:c r="L52" s="10" t="str">
        <x:v>Home</x:v>
      </x:c>
      <x:c r="M52" s="7" t="str">
        <x:v>Exactly one object satisfies the queried state; target position and target identity rotate across trials.</x:v>
      </x:c>
      <x:c r="N52" s="7"/>
    </x:row>
    <x:row r="53" ht="56" customHeight="1">
      <x:c r="A53" s="9" t="n">
        <x:v>51</x:v>
      </x:c>
      <x:c r="B53" s="7" t="str">
        <x:v>Concept/compositional transfer</x:v>
      </x:c>
      <x:c r="C53" s="7" t="str">
        <x:v>Cross-task object transfer (can; state word × new task-object pairing)</x:v>
      </x:c>
      <x:c r="D53" s="10" t="str">
        <x:v>SR-F32</x:v>
      </x:c>
      <x:c r="E53" s="9"/>
      <x:c r="F53" s="7" t="str">
        <x:v>Move the upside-down can into the bowl.</x:v>
      </x:c>
      <x:c r="G53" s="7" t="str">
        <x:v>P1 crushed Pepsi can (UR); P2 white cup B (C, UR); P3 yellow-white striped cup A (O, UR); P4 crushed Coke can (UD) [TARGET]</x:v>
      </x:c>
      <x:c r="H53" s="10" t="str">
        <x:v>crushed Coke can</x:v>
      </x:c>
      <x:c r="I53" s="10" t="str">
        <x:v>upside-down</x:v>
      </x:c>
      <x:c r="J53" s="10" t="str">
        <x:v>Cross-task seen</x:v>
      </x:c>
      <x:c r="K53" s="7" t="str">
        <x:v>Recreate the listed P1-P4 arrangement and preserve the queried state. Photograph or save the first frame for later models.</x:v>
      </x:c>
      <x:c r="L53" s="10" t="str">
        <x:v>Home</x:v>
      </x:c>
      <x:c r="M53" s="7" t="str">
        <x:v>Exactly one object satisfies the queried state; target position and target identity rotate across trials.</x:v>
      </x:c>
      <x:c r="N53" s="7"/>
    </x:row>
    <x:row r="54" ht="56" customHeight="1">
      <x:c r="A54" s="9" t="n">
        <x:v>52</x:v>
      </x:c>
      <x:c r="B54" s="7" t="str">
        <x:v>Concept/compositional transfer</x:v>
      </x:c>
      <x:c r="C54" s="7" t="str">
        <x:v>Cross-task object transfer (can; state word × new task-object pairing)</x:v>
      </x:c>
      <x:c r="D54" s="10" t="str">
        <x:v>SR-F33</x:v>
      </x:c>
      <x:c r="E54" s="9"/>
      <x:c r="F54" s="7" t="str">
        <x:v>Place the upside-down can in the bowl.</x:v>
      </x:c>
      <x:c r="G54" s="7" t="str">
        <x:v>P1 crushed Pepsi can (UD) [TARGET]; P2 crushed Coke can (UR); P3 yellow-white striped cup B (C, UR); P4 brown cup A (O, UR)</x:v>
      </x:c>
      <x:c r="H54" s="10" t="str">
        <x:v>crushed Pepsi can</x:v>
      </x:c>
      <x:c r="I54" s="10" t="str">
        <x:v>upside-down</x:v>
      </x:c>
      <x:c r="J54" s="10" t="str">
        <x:v>Cross-task seen</x:v>
      </x:c>
      <x:c r="K54" s="7" t="str">
        <x:v>Recreate the listed P1-P4 arrangement and preserve the queried state. Photograph or save the first frame for later models.</x:v>
      </x:c>
      <x:c r="L54" s="10" t="str">
        <x:v>Home</x:v>
      </x:c>
      <x:c r="M54" s="7" t="str">
        <x:v>Exactly one object satisfies the queried state; target position and target identity rotate across trials.</x:v>
      </x:c>
      <x:c r="N54" s="7"/>
    </x:row>
    <x:row r="55" ht="56" customHeight="1">
      <x:c r="A55" s="9" t="n">
        <x:v>53</x:v>
      </x:c>
      <x:c r="B55" s="7" t="str">
        <x:v>Concept/compositional transfer</x:v>
      </x:c>
      <x:c r="C55" s="7" t="str">
        <x:v>Cross-task object transfer (can; state word × new task-object pairing)</x:v>
      </x:c>
      <x:c r="D55" s="10" t="str">
        <x:v>SR-F34</x:v>
      </x:c>
      <x:c r="E55" s="9"/>
      <x:c r="F55" s="7" t="str">
        <x:v>Put the upside-down can in the bowl.</x:v>
      </x:c>
      <x:c r="G55" s="7" t="str">
        <x:v>P1 crushed Pepsi can (UR); P2 crushed Coke can (UD) [TARGET]; P3 brown cup A (O, UR); P4 glass spice container B (C, UR)</x:v>
      </x:c>
      <x:c r="H55" s="10" t="str">
        <x:v>crushed Coke can</x:v>
      </x:c>
      <x:c r="I55" s="10" t="str">
        <x:v>upside-down</x:v>
      </x:c>
      <x:c r="J55" s="10" t="str">
        <x:v>Cross-task seen</x:v>
      </x:c>
      <x:c r="K55" s="7" t="str">
        <x:v>Recreate the listed P1-P4 arrangement and preserve the queried state. Photograph or save the first frame for later models.</x:v>
      </x:c>
      <x:c r="L55" s="10" t="str">
        <x:v>Home</x:v>
      </x:c>
      <x:c r="M55" s="7" t="str">
        <x:v>Exactly one object satisfies the queried state; target position and target identity rotate across trials.</x:v>
      </x:c>
      <x:c r="N55" s="7"/>
    </x:row>
    <x:row r="56" ht="56" customHeight="1">
      <x:c r="A56" s="9" t="n">
        <x:v>54</x:v>
      </x:c>
      <x:c r="B56" s="7" t="str">
        <x:v>Concept/compositional transfer</x:v>
      </x:c>
      <x:c r="C56" s="7" t="str">
        <x:v>Cross-task object transfer (can; state word × new task-object pairing)</x:v>
      </x:c>
      <x:c r="D56" s="10" t="str">
        <x:v>SR-F35</x:v>
      </x:c>
      <x:c r="E56" s="9"/>
      <x:c r="F56" s="7" t="str">
        <x:v>Move the upside-down can into the bowl.</x:v>
      </x:c>
      <x:c r="G56" s="7" t="str">
        <x:v>P1 crushed Coke can (UR); P2 glass spice container A (O, UR); P3 crushed Pepsi can (UD) [TARGET]; P4 white cup A (O, UR)</x:v>
      </x:c>
      <x:c r="H56" s="10" t="str">
        <x:v>crushed Pepsi can</x:v>
      </x:c>
      <x:c r="I56" s="10" t="str">
        <x:v>upside-down</x:v>
      </x:c>
      <x:c r="J56" s="10" t="str">
        <x:v>Cross-task seen</x:v>
      </x:c>
      <x:c r="K56" s="7" t="str">
        <x:v>Recreate the listed P1-P4 arrangement and preserve the queried state. Photograph or save the first frame for later models.</x:v>
      </x:c>
      <x:c r="L56" s="10" t="str">
        <x:v>Home</x:v>
      </x:c>
      <x:c r="M56" s="7" t="str">
        <x:v>Exactly one object satisfies the queried state; target position and target identity rotate across trials.</x:v>
      </x:c>
      <x:c r="N56" s="7"/>
    </x:row>
    <x:row r="57" ht="56" customHeight="1">
      <x:c r="A57" s="9" t="n">
        <x:v>55</x:v>
      </x:c>
      <x:c r="B57" s="7" t="str">
        <x:v>Concept/compositional transfer</x:v>
      </x:c>
      <x:c r="C57" s="7" t="str">
        <x:v>Seen state word in a new category-general prompt (open)</x:v>
      </x:c>
      <x:c r="D57" s="10" t="str">
        <x:v>SR-F36</x:v>
      </x:c>
      <x:c r="E57" s="9"/>
      <x:c r="F57" s="7" t="str">
        <x:v>Place the open object in the bowl.</x:v>
      </x:c>
      <x:c r="G57" s="7" t="str">
        <x:v>P1 yellow-white striped cup B (C, UR); P2 brown cup A (C, UD); P3 glass spice container B (C, UR); P4 white cup A (O, UR) [TARGET]</x:v>
      </x:c>
      <x:c r="H57" s="10" t="str">
        <x:v>white cup A</x:v>
      </x:c>
      <x:c r="I57" s="10" t="str">
        <x:v>open</x:v>
      </x:c>
      <x:c r="J57" s="10" t="str">
        <x:v>Same-task seen</x:v>
      </x:c>
      <x:c r="K57" s="7" t="str">
        <x:v>Recreate the listed P1-P4 arrangement and preserve the queried state. Photograph or save the first frame for later models.</x:v>
      </x:c>
      <x:c r="L57" s="10" t="str">
        <x:v>Home</x:v>
      </x:c>
      <x:c r="M57" s="7" t="str">
        <x:v>Exactly one object satisfies the queried state; target position and target identity rotate across trials.</x:v>
      </x:c>
      <x:c r="N57" s="7"/>
    </x:row>
    <x:row r="58" ht="56" customHeight="1">
      <x:c r="A58" s="9" t="n">
        <x:v>56</x:v>
      </x:c>
      <x:c r="B58" s="7" t="str">
        <x:v>Concept/compositional transfer</x:v>
      </x:c>
      <x:c r="C58" s="7" t="str">
        <x:v>Seen state word in a new category-general prompt (open)</x:v>
      </x:c>
      <x:c r="D58" s="10" t="str">
        <x:v>SR-F37</x:v>
      </x:c>
      <x:c r="E58" s="9"/>
      <x:c r="F58" s="7" t="str">
        <x:v>Put the open object in the bowl.</x:v>
      </x:c>
      <x:c r="G58" s="7" t="str">
        <x:v>P1 yellow-white striped cup B (O, UD) [TARGET]; P2 white cup B (C, UR); P3 brown cup A (C, UD); P4 glass spice container B (C, UR)</x:v>
      </x:c>
      <x:c r="H58" s="10" t="str">
        <x:v>yellow-white striped cup B</x:v>
      </x:c>
      <x:c r="I58" s="10" t="str">
        <x:v>open</x:v>
      </x:c>
      <x:c r="J58" s="10" t="str">
        <x:v>Same-task seen</x:v>
      </x:c>
      <x:c r="K58" s="7" t="str">
        <x:v>Recreate the listed P1-P4 arrangement and preserve the queried state. Photograph or save the first frame for later models.</x:v>
      </x:c>
      <x:c r="L58" s="10" t="str">
        <x:v>Home</x:v>
      </x:c>
      <x:c r="M58" s="7" t="str">
        <x:v>Exactly one object satisfies the queried state; target position and target identity rotate across trials.</x:v>
      </x:c>
      <x:c r="N58" s="7"/>
    </x:row>
    <x:row r="59" ht="56" customHeight="1">
      <x:c r="A59" s="9" t="n">
        <x:v>57</x:v>
      </x:c>
      <x:c r="B59" s="7" t="str">
        <x:v>Concept/compositional transfer</x:v>
      </x:c>
      <x:c r="C59" s="7" t="str">
        <x:v>Seen state word in a new category-general prompt (open)</x:v>
      </x:c>
      <x:c r="D59" s="10" t="str">
        <x:v>SR-F38</x:v>
      </x:c>
      <x:c r="E59" s="9"/>
      <x:c r="F59" s="7" t="str">
        <x:v>Move the open object into the bowl.</x:v>
      </x:c>
      <x:c r="G59" s="7" t="str">
        <x:v>P1 white cup B (C, UR); P2 brown cup A (O, UR) [TARGET]; P3 yellow-white striped cup B (C, UR); P4 glass spice container A (C, UD)</x:v>
      </x:c>
      <x:c r="H59" s="10" t="str">
        <x:v>brown cup A</x:v>
      </x:c>
      <x:c r="I59" s="10" t="str">
        <x:v>open</x:v>
      </x:c>
      <x:c r="J59" s="10" t="str">
        <x:v>Same-task seen</x:v>
      </x:c>
      <x:c r="K59" s="7" t="str">
        <x:v>Recreate the listed P1-P4 arrangement and preserve the queried state. Photograph or save the first frame for later models.</x:v>
      </x:c>
      <x:c r="L59" s="10" t="str">
        <x:v>Home</x:v>
      </x:c>
      <x:c r="M59" s="7" t="str">
        <x:v>Exactly one object satisfies the queried state; target position and target identity rotate across trials.</x:v>
      </x:c>
      <x:c r="N59" s="7"/>
    </x:row>
    <x:row r="60" ht="56" customHeight="1">
      <x:c r="A60" s="9" t="n">
        <x:v>58</x:v>
      </x:c>
      <x:c r="B60" s="7" t="str">
        <x:v>Concept/compositional transfer</x:v>
      </x:c>
      <x:c r="C60" s="7" t="str">
        <x:v>Seen state word in a new category-general prompt (open)</x:v>
      </x:c>
      <x:c r="D60" s="10" t="str">
        <x:v>SR-F39</x:v>
      </x:c>
      <x:c r="E60" s="9"/>
      <x:c r="F60" s="7" t="str">
        <x:v>Place the open object in the bowl.</x:v>
      </x:c>
      <x:c r="G60" s="7" t="str">
        <x:v>P1 white cup A (C, UD); P2 yellow-white striped cup B (C, UR); P3 glass spice container B (O, UD) [TARGET]; P4 brown cup B (C, UR)</x:v>
      </x:c>
      <x:c r="H60" s="10" t="str">
        <x:v>glass spice container B</x:v>
      </x:c>
      <x:c r="I60" s="10" t="str">
        <x:v>open</x:v>
      </x:c>
      <x:c r="J60" s="10" t="str">
        <x:v>Same-task seen</x:v>
      </x:c>
      <x:c r="K60" s="7" t="str">
        <x:v>Recreate the listed P1-P4 arrangement and preserve the queried state. Photograph or save the first frame for later models.</x:v>
      </x:c>
      <x:c r="L60" s="10" t="str">
        <x:v>Home</x:v>
      </x:c>
      <x:c r="M60" s="7" t="str">
        <x:v>Exactly one object satisfies the queried state; target position and target identity rotate across trials.</x:v>
      </x:c>
      <x:c r="N60" s="7"/>
    </x:row>
    <x:row r="61" ht="56" customHeight="1">
      <x:c r="A61" s="9" t="n">
        <x:v>59</x:v>
      </x:c>
      <x:c r="B61" s="7" t="str">
        <x:v>Concept/compositional transfer</x:v>
      </x:c>
      <x:c r="C61" s="7" t="str">
        <x:v>Seen state word in a new category-general prompt (open)</x:v>
      </x:c>
      <x:c r="D61" s="10" t="str">
        <x:v>SR-F40</x:v>
      </x:c>
      <x:c r="E61" s="9"/>
      <x:c r="F61" s="7" t="str">
        <x:v>Put the open object in the bowl.</x:v>
      </x:c>
      <x:c r="G61" s="7" t="str">
        <x:v>P1 yellow-white striped cup B (C, UR); P2 brown cup A (C, UD); P3 glass spice container B (C, UR); P4 white cup A (O, UR) [TARGET]</x:v>
      </x:c>
      <x:c r="H61" s="10" t="str">
        <x:v>white cup A</x:v>
      </x:c>
      <x:c r="I61" s="10" t="str">
        <x:v>open</x:v>
      </x:c>
      <x:c r="J61" s="10" t="str">
        <x:v>Same-task seen</x:v>
      </x:c>
      <x:c r="K61" s="7" t="str">
        <x:v>Recreate the listed P1-P4 arrangement and preserve the queried state. Photograph or save the first frame for later models.</x:v>
      </x:c>
      <x:c r="L61" s="10" t="str">
        <x:v>Home</x:v>
      </x:c>
      <x:c r="M61" s="7" t="str">
        <x:v>Exactly one object satisfies the queried state; target position and target identity rotate across trials.</x:v>
      </x:c>
      <x:c r="N61" s="7"/>
    </x:row>
    <x:row r="62" ht="56" customHeight="1">
      <x:c r="A62" s="9" t="n">
        <x:v>60</x:v>
      </x:c>
      <x:c r="B62" s="7" t="str">
        <x:v>Concept/compositional transfer</x:v>
      </x:c>
      <x:c r="C62" s="7" t="str">
        <x:v>Seen state word in a new category-general prompt (open)</x:v>
      </x:c>
      <x:c r="D62" s="10" t="str">
        <x:v>SR-F41</x:v>
      </x:c>
      <x:c r="E62" s="9"/>
      <x:c r="F62" s="7" t="str">
        <x:v>Move the open object into the bowl.</x:v>
      </x:c>
      <x:c r="G62" s="7" t="str">
        <x:v>P1 yellow-white striped cup B (O, UD) [TARGET]; P2 white cup B (C, UR); P3 brown cup A (C, UD); P4 glass spice container B (C, UR)</x:v>
      </x:c>
      <x:c r="H62" s="10" t="str">
        <x:v>yellow-white striped cup B</x:v>
      </x:c>
      <x:c r="I62" s="10" t="str">
        <x:v>open</x:v>
      </x:c>
      <x:c r="J62" s="10" t="str">
        <x:v>Same-task seen</x:v>
      </x:c>
      <x:c r="K62" s="7" t="str">
        <x:v>Recreate the listed P1-P4 arrangement and preserve the queried state. Photograph or save the first frame for later models.</x:v>
      </x:c>
      <x:c r="L62" s="10" t="str">
        <x:v>Home</x:v>
      </x:c>
      <x:c r="M62" s="7" t="str">
        <x:v>Exactly one object satisfies the queried state; target position and target identity rotate across trials.</x:v>
      </x:c>
      <x:c r="N62" s="7"/>
    </x:row>
    <x:row r="63" ht="56" customHeight="1">
      <x:c r="A63" s="9" t="n">
        <x:v>61</x:v>
      </x:c>
      <x:c r="B63" s="7" t="str">
        <x:v>Concept/compositional transfer</x:v>
      </x:c>
      <x:c r="C63" s="7" t="str">
        <x:v>Seen state word in a new category-general prompt (open)</x:v>
      </x:c>
      <x:c r="D63" s="10" t="str">
        <x:v>SR-F42</x:v>
      </x:c>
      <x:c r="E63" s="9"/>
      <x:c r="F63" s="7" t="str">
        <x:v>Place the open object in the bowl.</x:v>
      </x:c>
      <x:c r="G63" s="7" t="str">
        <x:v>P1 white cup B (C, UR); P2 brown cup A (O, UR) [TARGET]; P3 yellow-white striped cup B (C, UR); P4 glass spice container A (C, UD)</x:v>
      </x:c>
      <x:c r="H63" s="10" t="str">
        <x:v>brown cup A</x:v>
      </x:c>
      <x:c r="I63" s="10" t="str">
        <x:v>open</x:v>
      </x:c>
      <x:c r="J63" s="10" t="str">
        <x:v>Same-task seen</x:v>
      </x:c>
      <x:c r="K63" s="7" t="str">
        <x:v>Recreate the listed P1-P4 arrangement and preserve the queried state. Photograph or save the first frame for later models.</x:v>
      </x:c>
      <x:c r="L63" s="10" t="str">
        <x:v>Home</x:v>
      </x:c>
      <x:c r="M63" s="7" t="str">
        <x:v>Exactly one object satisfies the queried state; target position and target identity rotate across trials.</x:v>
      </x:c>
      <x:c r="N63" s="7"/>
    </x:row>
    <x:row r="64" ht="56" customHeight="1">
      <x:c r="A64" s="9" t="n">
        <x:v>62</x:v>
      </x:c>
      <x:c r="B64" s="7" t="str">
        <x:v>Concept/compositional transfer</x:v>
      </x:c>
      <x:c r="C64" s="7" t="str">
        <x:v>Seen state word in a new category-general prompt (open)</x:v>
      </x:c>
      <x:c r="D64" s="10" t="str">
        <x:v>SR-F43</x:v>
      </x:c>
      <x:c r="E64" s="9"/>
      <x:c r="F64" s="7" t="str">
        <x:v>Put the open object in the bowl.</x:v>
      </x:c>
      <x:c r="G64" s="7" t="str">
        <x:v>P1 white cup A (C, UD); P2 yellow-white striped cup B (C, UR); P3 glass spice container B (O, UD) [TARGET]; P4 brown cup B (C, UR)</x:v>
      </x:c>
      <x:c r="H64" s="10" t="str">
        <x:v>glass spice container B</x:v>
      </x:c>
      <x:c r="I64" s="10" t="str">
        <x:v>open</x:v>
      </x:c>
      <x:c r="J64" s="10" t="str">
        <x:v>Same-task seen</x:v>
      </x:c>
      <x:c r="K64" s="7" t="str">
        <x:v>Recreate the listed P1-P4 arrangement and preserve the queried state. Photograph or save the first frame for later models.</x:v>
      </x:c>
      <x:c r="L64" s="10" t="str">
        <x:v>Home</x:v>
      </x:c>
      <x:c r="M64" s="7" t="str">
        <x:v>Exactly one object satisfies the queried state; target position and target identity rotate across trials.</x:v>
      </x:c>
      <x:c r="N64" s="7"/>
    </x:row>
    <x:row r="65" ht="56" customHeight="1">
      <x:c r="A65" s="9" t="n">
        <x:v>63</x:v>
      </x:c>
      <x:c r="B65" s="7" t="str">
        <x:v>Concept/compositional transfer</x:v>
      </x:c>
      <x:c r="C65" s="7" t="str">
        <x:v>Seen state word in a new category-general prompt (open)</x:v>
      </x:c>
      <x:c r="D65" s="10" t="str">
        <x:v>SR-F44</x:v>
      </x:c>
      <x:c r="E65" s="9"/>
      <x:c r="F65" s="7" t="str">
        <x:v>Move the open object into the bowl.</x:v>
      </x:c>
      <x:c r="G65" s="7" t="str">
        <x:v>P1 yellow-white striped cup B (C, UR); P2 brown cup A (C, UD); P3 glass spice container B (C, UR); P4 white cup A (O, UR) [TARGET]</x:v>
      </x:c>
      <x:c r="H65" s="10" t="str">
        <x:v>white cup A</x:v>
      </x:c>
      <x:c r="I65" s="10" t="str">
        <x:v>open</x:v>
      </x:c>
      <x:c r="J65" s="10" t="str">
        <x:v>Same-task seen</x:v>
      </x:c>
      <x:c r="K65" s="7" t="str">
        <x:v>Recreate the listed P1-P4 arrangement and preserve the queried state. Photograph or save the first frame for later models.</x:v>
      </x:c>
      <x:c r="L65" s="10" t="str">
        <x:v>Home</x:v>
      </x:c>
      <x:c r="M65" s="7" t="str">
        <x:v>Exactly one object satisfies the queried state; target position and target identity rotate across trials.</x:v>
      </x:c>
      <x:c r="N65" s="7"/>
    </x:row>
    <x:row r="66" ht="56" customHeight="1">
      <x:c r="A66" s="9" t="n">
        <x:v>64</x:v>
      </x:c>
      <x:c r="B66" s="7" t="str">
        <x:v>Concept/compositional transfer</x:v>
      </x:c>
      <x:c r="C66" s="7" t="str">
        <x:v>Seen state word in a new category-general prompt (open)</x:v>
      </x:c>
      <x:c r="D66" s="10" t="str">
        <x:v>SR-F45</x:v>
      </x:c>
      <x:c r="E66" s="9"/>
      <x:c r="F66" s="7" t="str">
        <x:v>Place the open object in the bowl.</x:v>
      </x:c>
      <x:c r="G66" s="7" t="str">
        <x:v>P1 brown cup B (O, UD) [TARGET]; P2 white cup B (C, UR); P3 yellow-white striped cup A (C, UD); P4 glass spice container B (C, UR)</x:v>
      </x:c>
      <x:c r="H66" s="10" t="str">
        <x:v>brown cup B</x:v>
      </x:c>
      <x:c r="I66" s="10" t="str">
        <x:v>open</x:v>
      </x:c>
      <x:c r="J66" s="10" t="str">
        <x:v>Same-task seen</x:v>
      </x:c>
      <x:c r="K66" s="7" t="str">
        <x:v>Recreate the listed P1-P4 arrangement and preserve the queried state. Photograph or save the first frame for later models.</x:v>
      </x:c>
      <x:c r="L66" s="10" t="str">
        <x:v>Home</x:v>
      </x:c>
      <x:c r="M66" s="7" t="str">
        <x:v>Exactly one object satisfies the queried state; target position and target identity rotate across trials.</x:v>
      </x:c>
      <x:c r="N66" s="7"/>
    </x:row>
    <x:row r="67" ht="56" customHeight="1">
      <x:c r="A67" s="9" t="n">
        <x:v>65</x:v>
      </x:c>
      <x:c r="B67" s="7" t="str">
        <x:v>Concept/compositional transfer</x:v>
      </x:c>
      <x:c r="C67" s="7" t="str">
        <x:v>Seen state word in a new category-general prompt (upside-down)</x:v>
      </x:c>
      <x:c r="D67" s="10" t="str">
        <x:v>SR-F46</x:v>
      </x:c>
      <x:c r="E67" s="9"/>
      <x:c r="F67" s="7" t="str">
        <x:v>Put the upside-down object in the bowl.</x:v>
      </x:c>
      <x:c r="G67" s="7" t="str">
        <x:v>P1 white cup B (O, UR); P2 glass spice container A (O, UD) [TARGET]; P3 yellow-white striped cup B (O, UR); P4 brown cup A (C, UR)</x:v>
      </x:c>
      <x:c r="H67" s="10" t="str">
        <x:v>glass spice container A</x:v>
      </x:c>
      <x:c r="I67" s="10" t="str">
        <x:v>upside-down</x:v>
      </x:c>
      <x:c r="J67" s="10" t="str">
        <x:v>Same-task seen</x:v>
      </x:c>
      <x:c r="K67" s="7" t="str">
        <x:v>Recreate the listed P1-P4 arrangement and preserve the queried state. Photograph or save the first frame for later models.</x:v>
      </x:c>
      <x:c r="L67" s="10" t="str">
        <x:v>Home</x:v>
      </x:c>
      <x:c r="M67" s="7" t="str">
        <x:v>Exactly one object satisfies the queried state; target position and target identity rotate across trials.</x:v>
      </x:c>
      <x:c r="N67" s="7"/>
    </x:row>
    <x:row r="68" ht="56" customHeight="1">
      <x:c r="A68" s="9" t="n">
        <x:v>66</x:v>
      </x:c>
      <x:c r="B68" s="7" t="str">
        <x:v>Concept/compositional transfer</x:v>
      </x:c>
      <x:c r="C68" s="7" t="str">
        <x:v>Seen state word in a new category-general prompt (upside-down)</x:v>
      </x:c>
      <x:c r="D68" s="10" t="str">
        <x:v>SR-F47</x:v>
      </x:c>
      <x:c r="E68" s="9"/>
      <x:c r="F68" s="7" t="str">
        <x:v>Move the upside-down object into the bowl.</x:v>
      </x:c>
      <x:c r="G68" s="7" t="str">
        <x:v>P1 yellow-white striped cup A (C, UR); P2 brown cup B (O, UR); P3 white cup B (C, UD) [TARGET]; P4 glass spice container B (O, UR)</x:v>
      </x:c>
      <x:c r="H68" s="10" t="str">
        <x:v>white cup B</x:v>
      </x:c>
      <x:c r="I68" s="10" t="str">
        <x:v>upside-down</x:v>
      </x:c>
      <x:c r="J68" s="10" t="str">
        <x:v>Same-task seen</x:v>
      </x:c>
      <x:c r="K68" s="7" t="str">
        <x:v>Recreate the listed P1-P4 arrangement and preserve the queried state. Photograph or save the first frame for later models.</x:v>
      </x:c>
      <x:c r="L68" s="10" t="str">
        <x:v>Home</x:v>
      </x:c>
      <x:c r="M68" s="7" t="str">
        <x:v>Exactly one object satisfies the queried state; target position and target identity rotate across trials.</x:v>
      </x:c>
      <x:c r="N68" s="7"/>
    </x:row>
    <x:row r="69" ht="56" customHeight="1">
      <x:c r="A69" s="9" t="n">
        <x:v>67</x:v>
      </x:c>
      <x:c r="B69" s="7" t="str">
        <x:v>Concept/compositional transfer</x:v>
      </x:c>
      <x:c r="C69" s="7" t="str">
        <x:v>Seen state word in a new category-general prompt (upside-down)</x:v>
      </x:c>
      <x:c r="D69" s="10" t="str">
        <x:v>SR-F48</x:v>
      </x:c>
      <x:c r="E69" s="9"/>
      <x:c r="F69" s="7" t="str">
        <x:v>Place the upside-down object in the bowl.</x:v>
      </x:c>
      <x:c r="G69" s="7" t="str">
        <x:v>P1 white cup B (O, UR); P2 brown cup A (C, UR); P3 glass spice container B (O, UR); P4 yellow-white striped cup A (O, UD) [TARGET]</x:v>
      </x:c>
      <x:c r="H69" s="10" t="str">
        <x:v>yellow-white striped cup A</x:v>
      </x:c>
      <x:c r="I69" s="10" t="str">
        <x:v>upside-down</x:v>
      </x:c>
      <x:c r="J69" s="10" t="str">
        <x:v>Same-task seen</x:v>
      </x:c>
      <x:c r="K69" s="7" t="str">
        <x:v>Recreate the listed P1-P4 arrangement and preserve the queried state. Photograph or save the first frame for later models.</x:v>
      </x:c>
      <x:c r="L69" s="10" t="str">
        <x:v>Home</x:v>
      </x:c>
      <x:c r="M69" s="7" t="str">
        <x:v>Exactly one object satisfies the queried state; target position and target identity rotate across trials.</x:v>
      </x:c>
      <x:c r="N69" s="7"/>
    </x:row>
    <x:row r="70" ht="56" customHeight="1">
      <x:c r="A70" s="9" t="n">
        <x:v>68</x:v>
      </x:c>
      <x:c r="B70" s="7" t="str">
        <x:v>Concept/compositional transfer</x:v>
      </x:c>
      <x:c r="C70" s="7" t="str">
        <x:v>Seen state word in a new category-general prompt (upside-down)</x:v>
      </x:c>
      <x:c r="D70" s="10" t="str">
        <x:v>SR-F49</x:v>
      </x:c>
      <x:c r="E70" s="9"/>
      <x:c r="F70" s="7" t="str">
        <x:v>Put the upside-down object in the bowl.</x:v>
      </x:c>
      <x:c r="G70" s="7" t="str">
        <x:v>P1 brown cup B (C, UD) [TARGET]; P2 white cup B (O, UR); P3 yellow-white striped cup A (C, UR); P4 glass spice container B (O, UR)</x:v>
      </x:c>
      <x:c r="H70" s="10" t="str">
        <x:v>brown cup B</x:v>
      </x:c>
      <x:c r="I70" s="10" t="str">
        <x:v>upside-down</x:v>
      </x:c>
      <x:c r="J70" s="10" t="str">
        <x:v>Same-task seen</x:v>
      </x:c>
      <x:c r="K70" s="7" t="str">
        <x:v>Recreate the listed P1-P4 arrangement and preserve the queried state. Photograph or save the first frame for later models.</x:v>
      </x:c>
      <x:c r="L70" s="10" t="str">
        <x:v>Home</x:v>
      </x:c>
      <x:c r="M70" s="7" t="str">
        <x:v>Exactly one object satisfies the queried state; target position and target identity rotate across trials.</x:v>
      </x:c>
      <x:c r="N70" s="7"/>
    </x:row>
    <x:row r="71" ht="56" customHeight="1">
      <x:c r="A71" s="9" t="n">
        <x:v>69</x:v>
      </x:c>
      <x:c r="B71" s="7" t="str">
        <x:v>Concept/compositional transfer</x:v>
      </x:c>
      <x:c r="C71" s="7" t="str">
        <x:v>Seen state word in a new category-general prompt (upside-down)</x:v>
      </x:c>
      <x:c r="D71" s="10" t="str">
        <x:v>SR-F50</x:v>
      </x:c>
      <x:c r="E71" s="9"/>
      <x:c r="F71" s="7" t="str">
        <x:v>Move the upside-down object into the bowl.</x:v>
      </x:c>
      <x:c r="G71" s="7" t="str">
        <x:v>P1 white cup B (O, UR); P2 glass spice container A (O, UD) [TARGET]; P3 yellow-white striped cup B (O, UR); P4 brown cup A (C, UR)</x:v>
      </x:c>
      <x:c r="H71" s="10" t="str">
        <x:v>glass spice container A</x:v>
      </x:c>
      <x:c r="I71" s="10" t="str">
        <x:v>upside-down</x:v>
      </x:c>
      <x:c r="J71" s="10" t="str">
        <x:v>Same-task seen</x:v>
      </x:c>
      <x:c r="K71" s="7" t="str">
        <x:v>Recreate the listed P1-P4 arrangement and preserve the queried state. Photograph or save the first frame for later models.</x:v>
      </x:c>
      <x:c r="L71" s="10" t="str">
        <x:v>Home</x:v>
      </x:c>
      <x:c r="M71" s="7" t="str">
        <x:v>Exactly one object satisfies the queried state; target position and target identity rotate across trials.</x:v>
      </x:c>
      <x:c r="N71" s="7"/>
    </x:row>
    <x:row r="72" ht="56" customHeight="1">
      <x:c r="A72" s="9" t="n">
        <x:v>70</x:v>
      </x:c>
      <x:c r="B72" s="7" t="str">
        <x:v>Visual generalization</x:v>
      </x:c>
      <x:c r="C72" s="7" t="str">
        <x:v>Globally unseen lidded-object substitution</x:v>
      </x:c>
      <x:c r="D72" s="10" t="str">
        <x:v>SR-F01</x:v>
      </x:c>
      <x:c r="E72" s="9" t="n">
        <x:v>0</x:v>
      </x:c>
      <x:c r="F72" s="7" t="str">
        <x:v>Place the closed object in the bowl.</x:v>
      </x:c>
      <x:c r="G72" s="7" t="str">
        <x:v>P1 U1 (see Object Inventory) (C, UR) [TARGET]; P2 U2 (see Object Inventory) (O, UD); P3 brown cup A (O, UR); P4 glass spice container B (O, UD)</x:v>
      </x:c>
      <x:c r="H72" s="10" t="str">
        <x:v>U1</x:v>
      </x:c>
      <x:c r="I72" s="10" t="str">
        <x:v>closed</x:v>
      </x:c>
      <x:c r="J72" s="10" t="str">
        <x:v>Globally unseen — inventory confirmation required</x:v>
      </x:c>
      <x:c r="K72" s="7" t="str">
        <x:v>Match target state and position to reference episode 0; substitute the U-slot objects and keep camera, bowl, and mat fixed.</x:v>
      </x:c>
      <x:c r="L72" s="10" t="str">
        <x:v>Home</x:v>
      </x:c>
      <x:c r="M72" s="7" t="str">
        <x:v>U1-U4 must be absent from every training episode. Target and competitor U-slots swap roles across visual trials to defeat identity shortcuts.</x:v>
      </x:c>
      <x:c r="N72" s="7"/>
    </x:row>
    <x:row r="73" ht="56" customHeight="1">
      <x:c r="A73" s="9" t="n">
        <x:v>71</x:v>
      </x:c>
      <x:c r="B73" s="7" t="str">
        <x:v>Visual generalization</x:v>
      </x:c>
      <x:c r="C73" s="7" t="str">
        <x:v>Globally unseen lidded-object substitution</x:v>
      </x:c>
      <x:c r="D73" s="10" t="str">
        <x:v>SR-F02</x:v>
      </x:c>
      <x:c r="E73" s="9" t="n">
        <x:v>2</x:v>
      </x:c>
      <x:c r="F73" s="7" t="str">
        <x:v>Put the closed object in the bowl.</x:v>
      </x:c>
      <x:c r="G73" s="7" t="str">
        <x:v>P1 U1 (see Object Inventory) (O, UR); P2 U2 (see Object Inventory) (C, UD) [TARGET]; P3 glass spice container B (O, UD); P4 white cup A (O, UR)</x:v>
      </x:c>
      <x:c r="H73" s="10" t="str">
        <x:v>U2</x:v>
      </x:c>
      <x:c r="I73" s="10" t="str">
        <x:v>closed</x:v>
      </x:c>
      <x:c r="J73" s="10" t="str">
        <x:v>Globally unseen — inventory confirmation required</x:v>
      </x:c>
      <x:c r="K73" s="7" t="str">
        <x:v>Match target state and position to reference episode 2; substitute the U-slot objects and keep camera, bowl, and mat fixed.</x:v>
      </x:c>
      <x:c r="L73" s="10" t="str">
        <x:v>Home</x:v>
      </x:c>
      <x:c r="M73" s="7" t="str">
        <x:v>U1-U4 must be absent from every training episode. Target and competitor U-slots swap roles across visual trials to defeat identity shortcuts.</x:v>
      </x:c>
      <x:c r="N73" s="7"/>
    </x:row>
    <x:row r="74" ht="56" customHeight="1">
      <x:c r="A74" s="9" t="n">
        <x:v>72</x:v>
      </x:c>
      <x:c r="B74" s="7" t="str">
        <x:v>Visual generalization</x:v>
      </x:c>
      <x:c r="C74" s="7" t="str">
        <x:v>Globally unseen lidded-object substitution</x:v>
      </x:c>
      <x:c r="D74" s="10" t="str">
        <x:v>SR-F03</x:v>
      </x:c>
      <x:c r="E74" s="9" t="n">
        <x:v>4</x:v>
      </x:c>
      <x:c r="F74" s="7" t="str">
        <x:v>Move the closed object into the bowl.</x:v>
      </x:c>
      <x:c r="G74" s="7" t="str">
        <x:v>P1 U2 (see Object Inventory) (O, UD); P2 glass spice container B (O, UD); P3 U1 (see Object Inventory) (C, UR) [TARGET]; P4 yellow-white striped cup B (O, UD)</x:v>
      </x:c>
      <x:c r="H74" s="10" t="str">
        <x:v>U1</x:v>
      </x:c>
      <x:c r="I74" s="10" t="str">
        <x:v>closed</x:v>
      </x:c>
      <x:c r="J74" s="10" t="str">
        <x:v>Globally unseen — inventory confirmation required</x:v>
      </x:c>
      <x:c r="K74" s="7" t="str">
        <x:v>Match target state and position to reference episode 4; substitute the U-slot objects and keep camera, bowl, and mat fixed.</x:v>
      </x:c>
      <x:c r="L74" s="10" t="str">
        <x:v>Home</x:v>
      </x:c>
      <x:c r="M74" s="7" t="str">
        <x:v>U1-U4 must be absent from every training episode. Target and competitor U-slots swap roles across visual trials to defeat identity shortcuts.</x:v>
      </x:c>
      <x:c r="N74" s="7"/>
    </x:row>
    <x:row r="75" ht="56" customHeight="1">
      <x:c r="A75" s="9" t="n">
        <x:v>73</x:v>
      </x:c>
      <x:c r="B75" s="7" t="str">
        <x:v>Visual generalization</x:v>
      </x:c>
      <x:c r="C75" s="7" t="str">
        <x:v>Globally unseen lidded-object substitution</x:v>
      </x:c>
      <x:c r="D75" s="10" t="str">
        <x:v>SR-F04</x:v>
      </x:c>
      <x:c r="E75" s="9" t="n">
        <x:v>6</x:v>
      </x:c>
      <x:c r="F75" s="7" t="str">
        <x:v>Place the closed object in the bowl.</x:v>
      </x:c>
      <x:c r="G75" s="7" t="str">
        <x:v>P1 U1 (see Object Inventory) (O, UR); P2 white cup A (O, UR); P3 yellow-white striped cup B (O, UD); P4 U2 (see Object Inventory) (C, UD) [TARGET]</x:v>
      </x:c>
      <x:c r="H75" s="10" t="str">
        <x:v>U2</x:v>
      </x:c>
      <x:c r="I75" s="10" t="str">
        <x:v>closed</x:v>
      </x:c>
      <x:c r="J75" s="10" t="str">
        <x:v>Globally unseen — inventory confirmation required</x:v>
      </x:c>
      <x:c r="K75" s="7" t="str">
        <x:v>Match target state and position to reference episode 6; substitute the U-slot objects and keep camera, bowl, and mat fixed.</x:v>
      </x:c>
      <x:c r="L75" s="10" t="str">
        <x:v>Home</x:v>
      </x:c>
      <x:c r="M75" s="7" t="str">
        <x:v>U1-U4 must be absent from every training episode. Target and competitor U-slots swap roles across visual trials to defeat identity shortcuts.</x:v>
      </x:c>
      <x:c r="N75" s="7"/>
    </x:row>
    <x:row r="76" ht="56" customHeight="1">
      <x:c r="A76" s="9" t="n">
        <x:v>74</x:v>
      </x:c>
      <x:c r="B76" s="7" t="str">
        <x:v>Visual generalization</x:v>
      </x:c>
      <x:c r="C76" s="7" t="str">
        <x:v>Globally unseen lidded-object substitution</x:v>
      </x:c>
      <x:c r="D76" s="10" t="str">
        <x:v>SR-F05</x:v>
      </x:c>
      <x:c r="E76" s="9" t="n">
        <x:v>8</x:v>
      </x:c>
      <x:c r="F76" s="7" t="str">
        <x:v>Put the closed object in the bowl.</x:v>
      </x:c>
      <x:c r="G76" s="7" t="str">
        <x:v>P1 U1 (see Object Inventory) (C, UR) [TARGET]; P2 U2 (see Object Inventory) (O, UD); P3 brown cup A (O, UR); P4 glass spice container B (O, UD)</x:v>
      </x:c>
      <x:c r="H76" s="10" t="str">
        <x:v>U1</x:v>
      </x:c>
      <x:c r="I76" s="10" t="str">
        <x:v>closed</x:v>
      </x:c>
      <x:c r="J76" s="10" t="str">
        <x:v>Globally unseen — inventory confirmation required</x:v>
      </x:c>
      <x:c r="K76" s="7" t="str">
        <x:v>Match target state and position to reference episode 8; substitute the U-slot objects and keep camera, bowl, and mat fixed.</x:v>
      </x:c>
      <x:c r="L76" s="10" t="str">
        <x:v>Home</x:v>
      </x:c>
      <x:c r="M76" s="7" t="str">
        <x:v>U1-U4 must be absent from every training episode. Target and competitor U-slots swap roles across visual trials to defeat identity shortcuts.</x:v>
      </x:c>
      <x:c r="N76" s="7"/>
    </x:row>
    <x:row r="77" ht="56" customHeight="1">
      <x:c r="A77" s="9" t="n">
        <x:v>75</x:v>
      </x:c>
      <x:c r="B77" s="7" t="str">
        <x:v>Visual generalization</x:v>
      </x:c>
      <x:c r="C77" s="7" t="str">
        <x:v>Globally unseen lidded-object substitution</x:v>
      </x:c>
      <x:c r="D77" s="10" t="str">
        <x:v>SR-F06</x:v>
      </x:c>
      <x:c r="E77" s="9" t="n">
        <x:v>10</x:v>
      </x:c>
      <x:c r="F77" s="7" t="str">
        <x:v>Move the closed object into the bowl.</x:v>
      </x:c>
      <x:c r="G77" s="7" t="str">
        <x:v>P1 U1 (see Object Inventory) (O, UR); P2 U2 (see Object Inventory) (C, UD) [TARGET]; P3 glass spice container B (O, UD); P4 white cup A (O, UR)</x:v>
      </x:c>
      <x:c r="H77" s="10" t="str">
        <x:v>U2</x:v>
      </x:c>
      <x:c r="I77" s="10" t="str">
        <x:v>closed</x:v>
      </x:c>
      <x:c r="J77" s="10" t="str">
        <x:v>Globally unseen — inventory confirmation required</x:v>
      </x:c>
      <x:c r="K77" s="7" t="str">
        <x:v>Match target state and position to reference episode 10; substitute the U-slot objects and keep camera, bowl, and mat fixed.</x:v>
      </x:c>
      <x:c r="L77" s="10" t="str">
        <x:v>Home</x:v>
      </x:c>
      <x:c r="M77" s="7" t="str">
        <x:v>U1-U4 must be absent from every training episode. Target and competitor U-slots swap roles across visual trials to defeat identity shortcuts.</x:v>
      </x:c>
      <x:c r="N77" s="7"/>
    </x:row>
    <x:row r="78" ht="56" customHeight="1">
      <x:c r="A78" s="9" t="n">
        <x:v>76</x:v>
      </x:c>
      <x:c r="B78" s="7" t="str">
        <x:v>Visual generalization</x:v>
      </x:c>
      <x:c r="C78" s="7" t="str">
        <x:v>Globally unseen lidded-object substitution</x:v>
      </x:c>
      <x:c r="D78" s="10" t="str">
        <x:v>SR-F07</x:v>
      </x:c>
      <x:c r="E78" s="9" t="n">
        <x:v>12</x:v>
      </x:c>
      <x:c r="F78" s="7" t="str">
        <x:v>Place the closed object in the bowl.</x:v>
      </x:c>
      <x:c r="G78" s="7" t="str">
        <x:v>P1 U2 (see Object Inventory) (O, UD); P2 glass spice container B (O, UD); P3 U1 (see Object Inventory) (C, UR) [TARGET]; P4 yellow-white striped cup B (O, UD)</x:v>
      </x:c>
      <x:c r="H78" s="10" t="str">
        <x:v>U1</x:v>
      </x:c>
      <x:c r="I78" s="10" t="str">
        <x:v>closed</x:v>
      </x:c>
      <x:c r="J78" s="10" t="str">
        <x:v>Globally unseen — inventory confirmation required</x:v>
      </x:c>
      <x:c r="K78" s="7" t="str">
        <x:v>Match target state and position to reference episode 12; substitute the U-slot objects and keep camera, bowl, and mat fixed.</x:v>
      </x:c>
      <x:c r="L78" s="10" t="str">
        <x:v>Home</x:v>
      </x:c>
      <x:c r="M78" s="7" t="str">
        <x:v>U1-U4 must be absent from every training episode. Target and competitor U-slots swap roles across visual trials to defeat identity shortcuts.</x:v>
      </x:c>
      <x:c r="N78" s="7"/>
    </x:row>
    <x:row r="79" ht="56" customHeight="1">
      <x:c r="A79" s="9" t="n">
        <x:v>77</x:v>
      </x:c>
      <x:c r="B79" s="7" t="str">
        <x:v>Visual generalization</x:v>
      </x:c>
      <x:c r="C79" s="7" t="str">
        <x:v>Globally unseen lidded-object substitution</x:v>
      </x:c>
      <x:c r="D79" s="10" t="str">
        <x:v>SR-F08</x:v>
      </x:c>
      <x:c r="E79" s="9" t="n">
        <x:v>14</x:v>
      </x:c>
      <x:c r="F79" s="7" t="str">
        <x:v>Put the closed object in the bowl.</x:v>
      </x:c>
      <x:c r="G79" s="7" t="str">
        <x:v>P1 U1 (see Object Inventory) (O, UR); P2 white cup A (O, UR); P3 yellow-white striped cup B (O, UD); P4 U2 (see Object Inventory) (C, UD) [TARGET]</x:v>
      </x:c>
      <x:c r="H79" s="10" t="str">
        <x:v>U2</x:v>
      </x:c>
      <x:c r="I79" s="10" t="str">
        <x:v>closed</x:v>
      </x:c>
      <x:c r="J79" s="10" t="str">
        <x:v>Globally unseen — inventory confirmation required</x:v>
      </x:c>
      <x:c r="K79" s="7" t="str">
        <x:v>Match target state and position to reference episode 14; substitute the U-slot objects and keep camera, bowl, and mat fixed.</x:v>
      </x:c>
      <x:c r="L79" s="10" t="str">
        <x:v>Home</x:v>
      </x:c>
      <x:c r="M79" s="7" t="str">
        <x:v>U1-U4 must be absent from every training episode. Target and competitor U-slots swap roles across visual trials to defeat identity shortcuts.</x:v>
      </x:c>
      <x:c r="N79" s="7"/>
    </x:row>
    <x:row r="80" ht="56" customHeight="1">
      <x:c r="A80" s="9" t="n">
        <x:v>78</x:v>
      </x:c>
      <x:c r="B80" s="7" t="str">
        <x:v>Visual generalization</x:v>
      </x:c>
      <x:c r="C80" s="7" t="str">
        <x:v>Globally unseen lidded-object substitution</x:v>
      </x:c>
      <x:c r="D80" s="10" t="str">
        <x:v>SR-F09</x:v>
      </x:c>
      <x:c r="E80" s="9" t="n">
        <x:v>16</x:v>
      </x:c>
      <x:c r="F80" s="7" t="str">
        <x:v>Move the closed object into the bowl.</x:v>
      </x:c>
      <x:c r="G80" s="7" t="str">
        <x:v>P1 U1 (see Object Inventory) (C, UR) [TARGET]; P2 U2 (see Object Inventory) (O, UD); P3 brown cup A (O, UR); P4 glass spice container B (O, UD)</x:v>
      </x:c>
      <x:c r="H80" s="10" t="str">
        <x:v>U1</x:v>
      </x:c>
      <x:c r="I80" s="10" t="str">
        <x:v>closed</x:v>
      </x:c>
      <x:c r="J80" s="10" t="str">
        <x:v>Globally unseen — inventory confirmation required</x:v>
      </x:c>
      <x:c r="K80" s="7" t="str">
        <x:v>Match target state and position to reference episode 16; substitute the U-slot objects and keep camera, bowl, and mat fixed.</x:v>
      </x:c>
      <x:c r="L80" s="10" t="str">
        <x:v>Home</x:v>
      </x:c>
      <x:c r="M80" s="7" t="str">
        <x:v>U1-U4 must be absent from every training episode. Target and competitor U-slots swap roles across visual trials to defeat identity shortcuts.</x:v>
      </x:c>
      <x:c r="N80" s="7"/>
    </x:row>
    <x:row r="81" ht="56" customHeight="1">
      <x:c r="A81" s="9" t="n">
        <x:v>79</x:v>
      </x:c>
      <x:c r="B81" s="7" t="str">
        <x:v>Visual generalization</x:v>
      </x:c>
      <x:c r="C81" s="7" t="str">
        <x:v>Globally unseen lidded-object substitution</x:v>
      </x:c>
      <x:c r="D81" s="10" t="str">
        <x:v>SR-F10</x:v>
      </x:c>
      <x:c r="E81" s="9" t="n">
        <x:v>18</x:v>
      </x:c>
      <x:c r="F81" s="7" t="str">
        <x:v>Place the closed object in the bowl.</x:v>
      </x:c>
      <x:c r="G81" s="7" t="str">
        <x:v>P1 U1 (see Object Inventory) (O, UR); P2 U2 (see Object Inventory) (C, UD) [TARGET]; P3 glass spice container B (O, UD); P4 white cup A (O, UR)</x:v>
      </x:c>
      <x:c r="H81" s="10" t="str">
        <x:v>U2</x:v>
      </x:c>
      <x:c r="I81" s="10" t="str">
        <x:v>closed</x:v>
      </x:c>
      <x:c r="J81" s="10" t="str">
        <x:v>Globally unseen — inventory confirmation required</x:v>
      </x:c>
      <x:c r="K81" s="7" t="str">
        <x:v>Match target state and position to reference episode 18; substitute the U-slot objects and keep camera, bowl, and mat fixed.</x:v>
      </x:c>
      <x:c r="L81" s="10" t="str">
        <x:v>Home</x:v>
      </x:c>
      <x:c r="M81" s="7" t="str">
        <x:v>U1-U4 must be absent from every training episode. Target and competitor U-slots swap roles across visual trials to defeat identity shortcuts.</x:v>
      </x:c>
      <x:c r="N81" s="7"/>
    </x:row>
    <x:row r="82" ht="56" customHeight="1">
      <x:c r="A82" s="9" t="n">
        <x:v>80</x:v>
      </x:c>
      <x:c r="B82" s="7" t="str">
        <x:v>Visual generalization</x:v>
      </x:c>
      <x:c r="C82" s="7" t="str">
        <x:v>Globally unseen top/bottom-asymmetric-object substitution</x:v>
      </x:c>
      <x:c r="D82" s="10" t="str">
        <x:v>SR-F11</x:v>
      </x:c>
      <x:c r="E82" s="9" t="n">
        <x:v>20</x:v>
      </x:c>
      <x:c r="F82" s="7" t="str">
        <x:v>Put the upright object in the bowl.</x:v>
      </x:c>
      <x:c r="G82" s="7" t="str">
        <x:v>P1 U4 (see Object Inventory) (UD); P2 glass spice container B (C, UD); P3 U3 (see Object Inventory) (UR) [TARGET]; P4 yellow-white striped cup B (C, UD)</x:v>
      </x:c>
      <x:c r="H82" s="10" t="str">
        <x:v>U3</x:v>
      </x:c>
      <x:c r="I82" s="10" t="str">
        <x:v>upright</x:v>
      </x:c>
      <x:c r="J82" s="10" t="str">
        <x:v>Globally unseen — inventory confirmation required</x:v>
      </x:c>
      <x:c r="K82" s="7" t="str">
        <x:v>Match target state and position to reference episode 20; substitute the U-slot objects and keep camera, bowl, and mat fixed.</x:v>
      </x:c>
      <x:c r="L82" s="10" t="str">
        <x:v>Home</x:v>
      </x:c>
      <x:c r="M82" s="7" t="str">
        <x:v>U1-U4 must be absent from every training episode. Target and competitor U-slots swap roles across visual trials to defeat identity shortcuts.</x:v>
      </x:c>
      <x:c r="N82" s="7"/>
    </x:row>
    <x:row r="83" ht="56" customHeight="1">
      <x:c r="A83" s="9" t="n">
        <x:v>81</x:v>
      </x:c>
      <x:c r="B83" s="7" t="str">
        <x:v>Visual generalization</x:v>
      </x:c>
      <x:c r="C83" s="7" t="str">
        <x:v>Globally unseen top/bottom-asymmetric-object substitution</x:v>
      </x:c>
      <x:c r="D83" s="10" t="str">
        <x:v>SR-F12</x:v>
      </x:c>
      <x:c r="E83" s="9" t="n">
        <x:v>22</x:v>
      </x:c>
      <x:c r="F83" s="7" t="str">
        <x:v>Move the upright object into the bowl.</x:v>
      </x:c>
      <x:c r="G83" s="7" t="str">
        <x:v>P1 U3 (see Object Inventory) (UD); P2 white cup A (O, UD); P3 yellow-white striped cup B (C, UD); P4 U4 (see Object Inventory) (UR) [TARGET]</x:v>
      </x:c>
      <x:c r="H83" s="10" t="str">
        <x:v>U4</x:v>
      </x:c>
      <x:c r="I83" s="10" t="str">
        <x:v>upright</x:v>
      </x:c>
      <x:c r="J83" s="10" t="str">
        <x:v>Globally unseen — inventory confirmation required</x:v>
      </x:c>
      <x:c r="K83" s="7" t="str">
        <x:v>Match target state and position to reference episode 22; substitute the U-slot objects and keep camera, bowl, and mat fixed.</x:v>
      </x:c>
      <x:c r="L83" s="10" t="str">
        <x:v>Home</x:v>
      </x:c>
      <x:c r="M83" s="7" t="str">
        <x:v>U1-U4 must be absent from every training episode. Target and competitor U-slots swap roles across visual trials to defeat identity shortcuts.</x:v>
      </x:c>
      <x:c r="N83" s="7"/>
    </x:row>
    <x:row r="84" ht="56" customHeight="1">
      <x:c r="A84" s="9" t="n">
        <x:v>82</x:v>
      </x:c>
      <x:c r="B84" s="7" t="str">
        <x:v>Visual generalization</x:v>
      </x:c>
      <x:c r="C84" s="7" t="str">
        <x:v>Globally unseen top/bottom-asymmetric-object substitution</x:v>
      </x:c>
      <x:c r="D84" s="10" t="str">
        <x:v>SR-F13</x:v>
      </x:c>
      <x:c r="E84" s="9" t="n">
        <x:v>24</x:v>
      </x:c>
      <x:c r="F84" s="7" t="str">
        <x:v>Place the upright object in the bowl.</x:v>
      </x:c>
      <x:c r="G84" s="7" t="str">
        <x:v>P1 U3 (see Object Inventory) (UR) [TARGET]; P2 U4 (see Object Inventory) (UD); P3 brown cup A (O, UD); P4 glass spice container B (C, UD)</x:v>
      </x:c>
      <x:c r="H84" s="10" t="str">
        <x:v>U3</x:v>
      </x:c>
      <x:c r="I84" s="10" t="str">
        <x:v>upright</x:v>
      </x:c>
      <x:c r="J84" s="10" t="str">
        <x:v>Globally unseen — inventory confirmation required</x:v>
      </x:c>
      <x:c r="K84" s="7" t="str">
        <x:v>Match target state and position to reference episode 24; substitute the U-slot objects and keep camera, bowl, and mat fixed.</x:v>
      </x:c>
      <x:c r="L84" s="10" t="str">
        <x:v>Home</x:v>
      </x:c>
      <x:c r="M84" s="7" t="str">
        <x:v>U1-U4 must be absent from every training episode. Target and competitor U-slots swap roles across visual trials to defeat identity shortcuts.</x:v>
      </x:c>
      <x:c r="N84" s="7"/>
    </x:row>
    <x:row r="85" ht="56" customHeight="1">
      <x:c r="A85" s="9" t="n">
        <x:v>83</x:v>
      </x:c>
      <x:c r="B85" s="7" t="str">
        <x:v>Visual generalization</x:v>
      </x:c>
      <x:c r="C85" s="7" t="str">
        <x:v>Globally unseen top/bottom-asymmetric-object substitution</x:v>
      </x:c>
      <x:c r="D85" s="10" t="str">
        <x:v>SR-F14</x:v>
      </x:c>
      <x:c r="E85" s="9" t="n">
        <x:v>26</x:v>
      </x:c>
      <x:c r="F85" s="7" t="str">
        <x:v>Put the upright object in the bowl.</x:v>
      </x:c>
      <x:c r="G85" s="7" t="str">
        <x:v>P1 U3 (see Object Inventory) (UD); P2 U4 (see Object Inventory) (UR) [TARGET]; P3 glass spice container B (C, UD); P4 white cup A (O, UD)</x:v>
      </x:c>
      <x:c r="H85" s="10" t="str">
        <x:v>U4</x:v>
      </x:c>
      <x:c r="I85" s="10" t="str">
        <x:v>upright</x:v>
      </x:c>
      <x:c r="J85" s="10" t="str">
        <x:v>Globally unseen — inventory confirmation required</x:v>
      </x:c>
      <x:c r="K85" s="7" t="str">
        <x:v>Match target state and position to reference episode 26; substitute the U-slot objects and keep camera, bowl, and mat fixed.</x:v>
      </x:c>
      <x:c r="L85" s="10" t="str">
        <x:v>Home</x:v>
      </x:c>
      <x:c r="M85" s="7" t="str">
        <x:v>U1-U4 must be absent from every training episode. Target and competitor U-slots swap roles across visual trials to defeat identity shortcuts.</x:v>
      </x:c>
      <x:c r="N85" s="7"/>
    </x:row>
    <x:row r="86" ht="56" customHeight="1">
      <x:c r="A86" s="9" t="n">
        <x:v>84</x:v>
      </x:c>
      <x:c r="B86" s="7" t="str">
        <x:v>Visual generalization</x:v>
      </x:c>
      <x:c r="C86" s="7" t="str">
        <x:v>Globally unseen top/bottom-asymmetric-object substitution</x:v>
      </x:c>
      <x:c r="D86" s="10" t="str">
        <x:v>SR-F15</x:v>
      </x:c>
      <x:c r="E86" s="9" t="n">
        <x:v>28</x:v>
      </x:c>
      <x:c r="F86" s="7" t="str">
        <x:v>Move the upright object into the bowl.</x:v>
      </x:c>
      <x:c r="G86" s="7" t="str">
        <x:v>P1 U4 (see Object Inventory) (UD); P2 glass spice container B (C, UD); P3 U3 (see Object Inventory) (UR) [TARGET]; P4 yellow-white striped cup B (C, UD)</x:v>
      </x:c>
      <x:c r="H86" s="10" t="str">
        <x:v>U3</x:v>
      </x:c>
      <x:c r="I86" s="10" t="str">
        <x:v>upright</x:v>
      </x:c>
      <x:c r="J86" s="10" t="str">
        <x:v>Globally unseen — inventory confirmation required</x:v>
      </x:c>
      <x:c r="K86" s="7" t="str">
        <x:v>Match target state and position to reference episode 28; substitute the U-slot objects and keep camera, bowl, and mat fixed.</x:v>
      </x:c>
      <x:c r="L86" s="10" t="str">
        <x:v>Home</x:v>
      </x:c>
      <x:c r="M86" s="7" t="str">
        <x:v>U1-U4 must be absent from every training episode. Target and competitor U-slots swap roles across visual trials to defeat identity shortcuts.</x:v>
      </x:c>
      <x:c r="N86" s="7"/>
    </x:row>
    <x:row r="87" ht="56" customHeight="1">
      <x:c r="A87" s="9" t="n">
        <x:v>85</x:v>
      </x:c>
      <x:c r="B87" s="7" t="str">
        <x:v>Visual generalization</x:v>
      </x:c>
      <x:c r="C87" s="7" t="str">
        <x:v>Globally unseen top/bottom-asymmetric-object substitution</x:v>
      </x:c>
      <x:c r="D87" s="10" t="str">
        <x:v>SR-F16</x:v>
      </x:c>
      <x:c r="E87" s="9" t="n">
        <x:v>30</x:v>
      </x:c>
      <x:c r="F87" s="7" t="str">
        <x:v>Place the upright object in the bowl.</x:v>
      </x:c>
      <x:c r="G87" s="7" t="str">
        <x:v>P1 U3 (see Object Inventory) (UD); P2 white cup A (O, UD); P3 yellow-white striped cup B (C, UD); P4 U4 (see Object Inventory) (UR) [TARGET]</x:v>
      </x:c>
      <x:c r="H87" s="10" t="str">
        <x:v>U4</x:v>
      </x:c>
      <x:c r="I87" s="10" t="str">
        <x:v>upright</x:v>
      </x:c>
      <x:c r="J87" s="10" t="str">
        <x:v>Globally unseen — inventory confirmation required</x:v>
      </x:c>
      <x:c r="K87" s="7" t="str">
        <x:v>Match target state and position to reference episode 30; substitute the U-slot objects and keep camera, bowl, and mat fixed.</x:v>
      </x:c>
      <x:c r="L87" s="10" t="str">
        <x:v>Home</x:v>
      </x:c>
      <x:c r="M87" s="7" t="str">
        <x:v>U1-U4 must be absent from every training episode. Target and competitor U-slots swap roles across visual trials to defeat identity shortcuts.</x:v>
      </x:c>
      <x:c r="N87" s="7"/>
    </x:row>
    <x:row r="88" ht="56" customHeight="1">
      <x:c r="A88" s="9" t="n">
        <x:v>86</x:v>
      </x:c>
      <x:c r="B88" s="7" t="str">
        <x:v>Visual generalization</x:v>
      </x:c>
      <x:c r="C88" s="7" t="str">
        <x:v>Globally unseen top/bottom-asymmetric-object substitution</x:v>
      </x:c>
      <x:c r="D88" s="10" t="str">
        <x:v>SR-F17</x:v>
      </x:c>
      <x:c r="E88" s="9" t="n">
        <x:v>32</x:v>
      </x:c>
      <x:c r="F88" s="7" t="str">
        <x:v>Put the upright object in the bowl.</x:v>
      </x:c>
      <x:c r="G88" s="7" t="str">
        <x:v>P1 U3 (see Object Inventory) (UR) [TARGET]; P2 U4 (see Object Inventory) (UD); P3 brown cup A (O, UD); P4 glass spice container B (C, UD)</x:v>
      </x:c>
      <x:c r="H88" s="10" t="str">
        <x:v>U3</x:v>
      </x:c>
      <x:c r="I88" s="10" t="str">
        <x:v>upright</x:v>
      </x:c>
      <x:c r="J88" s="10" t="str">
        <x:v>Globally unseen — inventory confirmation required</x:v>
      </x:c>
      <x:c r="K88" s="7" t="str">
        <x:v>Match target state and position to reference episode 32; substitute the U-slot objects and keep camera, bowl, and mat fixed.</x:v>
      </x:c>
      <x:c r="L88" s="10" t="str">
        <x:v>Home</x:v>
      </x:c>
      <x:c r="M88" s="7" t="str">
        <x:v>U1-U4 must be absent from every training episode. Target and competitor U-slots swap roles across visual trials to defeat identity shortcuts.</x:v>
      </x:c>
      <x:c r="N88" s="7"/>
    </x:row>
    <x:row r="89" ht="56" customHeight="1">
      <x:c r="A89" s="9" t="n">
        <x:v>87</x:v>
      </x:c>
      <x:c r="B89" s="7" t="str">
        <x:v>Visual generalization</x:v>
      </x:c>
      <x:c r="C89" s="7" t="str">
        <x:v>Globally unseen top/bottom-asymmetric-object substitution</x:v>
      </x:c>
      <x:c r="D89" s="10" t="str">
        <x:v>SR-F18</x:v>
      </x:c>
      <x:c r="E89" s="9" t="n">
        <x:v>34</x:v>
      </x:c>
      <x:c r="F89" s="7" t="str">
        <x:v>Move the upright object into the bowl.</x:v>
      </x:c>
      <x:c r="G89" s="7" t="str">
        <x:v>P1 U3 (see Object Inventory) (UD); P2 U4 (see Object Inventory) (UR) [TARGET]; P3 glass spice container B (C, UD); P4 white cup A (O, UD)</x:v>
      </x:c>
      <x:c r="H89" s="10" t="str">
        <x:v>U4</x:v>
      </x:c>
      <x:c r="I89" s="10" t="str">
        <x:v>upright</x:v>
      </x:c>
      <x:c r="J89" s="10" t="str">
        <x:v>Globally unseen — inventory confirmation required</x:v>
      </x:c>
      <x:c r="K89" s="7" t="str">
        <x:v>Match target state and position to reference episode 34; substitute the U-slot objects and keep camera, bowl, and mat fixed.</x:v>
      </x:c>
      <x:c r="L89" s="10" t="str">
        <x:v>Home</x:v>
      </x:c>
      <x:c r="M89" s="7" t="str">
        <x:v>U1-U4 must be absent from every training episode. Target and competitor U-slots swap roles across visual trials to defeat identity shortcuts.</x:v>
      </x:c>
      <x:c r="N89" s="7"/>
    </x:row>
    <x:row r="90" ht="56" customHeight="1">
      <x:c r="A90" s="9" t="n">
        <x:v>88</x:v>
      </x:c>
      <x:c r="B90" s="7" t="str">
        <x:v>Visual generalization</x:v>
      </x:c>
      <x:c r="C90" s="7" t="str">
        <x:v>Globally unseen top/bottom-asymmetric-object substitution</x:v>
      </x:c>
      <x:c r="D90" s="10" t="str">
        <x:v>SR-F19</x:v>
      </x:c>
      <x:c r="E90" s="9" t="n">
        <x:v>36</x:v>
      </x:c>
      <x:c r="F90" s="7" t="str">
        <x:v>Place the upright object in the bowl.</x:v>
      </x:c>
      <x:c r="G90" s="7" t="str">
        <x:v>P1 U4 (see Object Inventory) (UD); P2 glass spice container B (C, UD); P3 U3 (see Object Inventory) (UR) [TARGET]; P4 yellow-white striped cup B (C, UD)</x:v>
      </x:c>
      <x:c r="H90" s="10" t="str">
        <x:v>U3</x:v>
      </x:c>
      <x:c r="I90" s="10" t="str">
        <x:v>upright</x:v>
      </x:c>
      <x:c r="J90" s="10" t="str">
        <x:v>Globally unseen — inventory confirmation required</x:v>
      </x:c>
      <x:c r="K90" s="7" t="str">
        <x:v>Match target state and position to reference episode 36; substitute the U-slot objects and keep camera, bowl, and mat fixed.</x:v>
      </x:c>
      <x:c r="L90" s="10" t="str">
        <x:v>Home</x:v>
      </x:c>
      <x:c r="M90" s="7" t="str">
        <x:v>U1-U4 must be absent from every training episode. Target and competitor U-slots swap roles across visual trials to defeat identity shortcuts.</x:v>
      </x:c>
      <x:c r="N90" s="7"/>
    </x:row>
    <x:row r="91" ht="56" customHeight="1">
      <x:c r="A91" s="9" t="n">
        <x:v>89</x:v>
      </x:c>
      <x:c r="B91" s="7" t="str">
        <x:v>Visual generalization</x:v>
      </x:c>
      <x:c r="C91" s="7" t="str">
        <x:v>Globally unseen top/bottom-asymmetric-object substitution</x:v>
      </x:c>
      <x:c r="D91" s="10" t="str">
        <x:v>SR-F20</x:v>
      </x:c>
      <x:c r="E91" s="9" t="n">
        <x:v>38</x:v>
      </x:c>
      <x:c r="F91" s="7" t="str">
        <x:v>Put the upright object in the bowl.</x:v>
      </x:c>
      <x:c r="G91" s="7" t="str">
        <x:v>P1 U3 (see Object Inventory) (UD); P2 white cup A (O, UD); P3 yellow-white striped cup B (C, UD); P4 U4 (see Object Inventory) (UR) [TARGET]</x:v>
      </x:c>
      <x:c r="H91" s="10" t="str">
        <x:v>U4</x:v>
      </x:c>
      <x:c r="I91" s="10" t="str">
        <x:v>upright</x:v>
      </x:c>
      <x:c r="J91" s="10" t="str">
        <x:v>Globally unseen — inventory confirmation required</x:v>
      </x:c>
      <x:c r="K91" s="7" t="str">
        <x:v>Match target state and position to reference episode 38; substitute the U-slot objects and keep camera, bowl, and mat fixed.</x:v>
      </x:c>
      <x:c r="L91" s="10" t="str">
        <x:v>Home</x:v>
      </x:c>
      <x:c r="M91" s="7" t="str">
        <x:v>U1-U4 must be absent from every training episode. Target and competitor U-slots swap roles across visual trials to defeat identity shortcuts.</x:v>
      </x:c>
      <x:c r="N91" s="7"/>
    </x:row>
    <x:row r="92" ht="56" customHeight="1">
      <x:c r="A92" s="9" t="n">
        <x:v>90</x:v>
      </x:c>
      <x:c r="B92" s="7" t="str">
        <x:v>Language robustness</x:v>
      </x:c>
      <x:c r="C92" s="7" t="str">
        <x:v>Meaning-preserving paraphrase on an exact canonical scene</x:v>
      </x:c>
      <x:c r="D92" s="10" t="str">
        <x:v>SR-F01</x:v>
      </x:c>
      <x:c r="E92" s="9" t="n">
        <x:v>0</x:v>
      </x:c>
      <x:c r="F92" s="7" t="str">
        <x:v>Move the object whose opening is covered into the bowl.</x:v>
      </x:c>
      <x:c r="G92" s="7" t="str">
        <x:v>P1 white cup A (C, UR) [TARGET]; P2 yellow-white striped cup A (O, UD); P3 brown cup B (O, UR); P4 glass spice container A (O, UD)</x:v>
      </x:c>
      <x:c r="H92" s="10" t="str">
        <x:v>white cup A</x:v>
      </x:c>
      <x:c r="I92" s="10" t="str">
        <x:v>closed</x:v>
      </x:c>
      <x:c r="J92" s="10" t="str">
        <x:v>Same-task seen</x:v>
      </x:c>
      <x:c r="K92" s="7" t="str">
        <x:v>Rebuild the exact scene from reference episode 0. Only wording changes; target, state, positions, and camera remain fixed.</x:v>
      </x:c>
      <x:c r="L92" s="10" t="str">
        <x:v>Home</x:v>
      </x:c>
      <x:c r="M92" s="7" t="str">
        <x:v>Compare directly with the canonical transfer episode in the same scene family; cluster inference by scene family.</x:v>
      </x:c>
      <x:c r="N92" s="7"/>
    </x:row>
    <x:row r="93" ht="56" customHeight="1">
      <x:c r="A93" s="9" t="n">
        <x:v>91</x:v>
      </x:c>
      <x:c r="B93" s="7" t="str">
        <x:v>Language robustness</x:v>
      </x:c>
      <x:c r="C93" s="7" t="str">
        <x:v>Meaning-preserving paraphrase on an exact canonical scene</x:v>
      </x:c>
      <x:c r="D93" s="10" t="str">
        <x:v>SR-F02</x:v>
      </x:c>
      <x:c r="E93" s="9" t="n">
        <x:v>2</x:v>
      </x:c>
      <x:c r="F93" s="7" t="str">
        <x:v>Put the item with its cover on in the bowl.</x:v>
      </x:c>
      <x:c r="G93" s="7" t="str">
        <x:v>P1 white cup A (O, UD); P2 yellow-white striped cup B (C, UD) [TARGET]; P3 brown cup A (O, UD); P4 glass spice container B (O, UR)</x:v>
      </x:c>
      <x:c r="H93" s="10" t="str">
        <x:v>yellow-white striped cup B</x:v>
      </x:c>
      <x:c r="I93" s="10" t="str">
        <x:v>closed</x:v>
      </x:c>
      <x:c r="J93" s="10" t="str">
        <x:v>Same-task seen</x:v>
      </x:c>
      <x:c r="K93" s="7" t="str">
        <x:v>Rebuild the exact scene from reference episode 2. Only wording changes; target, state, positions, and camera remain fixed.</x:v>
      </x:c>
      <x:c r="L93" s="10" t="str">
        <x:v>Home</x:v>
      </x:c>
      <x:c r="M93" s="7" t="str">
        <x:v>Compare directly with the canonical transfer episode in the same scene family; cluster inference by scene family.</x:v>
      </x:c>
      <x:c r="N93" s="7"/>
    </x:row>
    <x:row r="94" ht="56" customHeight="1">
      <x:c r="A94" s="9" t="n">
        <x:v>92</x:v>
      </x:c>
      <x:c r="B94" s="7" t="str">
        <x:v>Language robustness</x:v>
      </x:c>
      <x:c r="C94" s="7" t="str">
        <x:v>Meaning-preserving paraphrase on an exact canonical scene</x:v>
      </x:c>
      <x:c r="D94" s="10" t="str">
        <x:v>SR-F03</x:v>
      </x:c>
      <x:c r="E94" s="9" t="n">
        <x:v>4</x:v>
      </x:c>
      <x:c r="F94" s="7" t="str">
        <x:v>Place the object that is not open in the bowl.</x:v>
      </x:c>
      <x:c r="G94" s="7" t="str">
        <x:v>P1 white cup B (O, UR); P2 yellow-white striped cup A (O, UD); P3 brown cup A (C, UR) [TARGET]; P4 glass spice container A (O, UD)</x:v>
      </x:c>
      <x:c r="H94" s="10" t="str">
        <x:v>brown cup A</x:v>
      </x:c>
      <x:c r="I94" s="10" t="str">
        <x:v>closed</x:v>
      </x:c>
      <x:c r="J94" s="10" t="str">
        <x:v>Same-task seen</x:v>
      </x:c>
      <x:c r="K94" s="7" t="str">
        <x:v>Rebuild the exact scene from reference episode 4. Only wording changes; target, state, positions, and camera remain fixed.</x:v>
      </x:c>
      <x:c r="L94" s="10" t="str">
        <x:v>Home</x:v>
      </x:c>
      <x:c r="M94" s="7" t="str">
        <x:v>Compare directly with the canonical transfer episode in the same scene family; cluster inference by scene family.</x:v>
      </x:c>
      <x:c r="N94" s="7"/>
    </x:row>
    <x:row r="95" ht="56" customHeight="1">
      <x:c r="A95" s="9" t="n">
        <x:v>93</x:v>
      </x:c>
      <x:c r="B95" s="7" t="str">
        <x:v>Language robustness</x:v>
      </x:c>
      <x:c r="C95" s="7" t="str">
        <x:v>Meaning-preserving paraphrase on an exact canonical scene</x:v>
      </x:c>
      <x:c r="D95" s="10" t="str">
        <x:v>SR-F04</x:v>
      </x:c>
      <x:c r="E95" s="9" t="n">
        <x:v>6</x:v>
      </x:c>
      <x:c r="F95" s="7" t="str">
        <x:v>Move the closed item into the bowl.</x:v>
      </x:c>
      <x:c r="G95" s="7" t="str">
        <x:v>P1 white cup A (O, UD); P2 yellow-white striped cup B (O, UR); P3 brown cup A (O, UD); P4 glass spice container B (C, UD) [TARGET]</x:v>
      </x:c>
      <x:c r="H95" s="10" t="str">
        <x:v>glass spice container B</x:v>
      </x:c>
      <x:c r="I95" s="10" t="str">
        <x:v>closed</x:v>
      </x:c>
      <x:c r="J95" s="10" t="str">
        <x:v>Same-task seen</x:v>
      </x:c>
      <x:c r="K95" s="7" t="str">
        <x:v>Rebuild the exact scene from reference episode 6. Only wording changes; target, state, positions, and camera remain fixed.</x:v>
      </x:c>
      <x:c r="L95" s="10" t="str">
        <x:v>Home</x:v>
      </x:c>
      <x:c r="M95" s="7" t="str">
        <x:v>Compare directly with the canonical transfer episode in the same scene family; cluster inference by scene family.</x:v>
      </x:c>
      <x:c r="N95" s="7"/>
    </x:row>
    <x:row r="96" ht="56" customHeight="1">
      <x:c r="A96" s="9" t="n">
        <x:v>94</x:v>
      </x:c>
      <x:c r="B96" s="7" t="str">
        <x:v>Language robustness</x:v>
      </x:c>
      <x:c r="C96" s="7" t="str">
        <x:v>Meaning-preserving paraphrase on an exact canonical scene</x:v>
      </x:c>
      <x:c r="D96" s="10" t="str">
        <x:v>SR-F05</x:v>
      </x:c>
      <x:c r="E96" s="9" t="n">
        <x:v>8</x:v>
      </x:c>
      <x:c r="F96" s="7" t="str">
        <x:v>Put the container with its top covered in the bowl.</x:v>
      </x:c>
      <x:c r="G96" s="7" t="str">
        <x:v>P1 white cup A (C, UR) [TARGET]; P2 yellow-white striped cup A (O, UD); P3 brown cup B (O, UR); P4 glass spice container A (O, UD)</x:v>
      </x:c>
      <x:c r="H96" s="10" t="str">
        <x:v>white cup A</x:v>
      </x:c>
      <x:c r="I96" s="10" t="str">
        <x:v>closed</x:v>
      </x:c>
      <x:c r="J96" s="10" t="str">
        <x:v>Same-task seen</x:v>
      </x:c>
      <x:c r="K96" s="7" t="str">
        <x:v>Rebuild the exact scene from reference episode 8. Only wording changes; target, state, positions, and camera remain fixed.</x:v>
      </x:c>
      <x:c r="L96" s="10" t="str">
        <x:v>Home</x:v>
      </x:c>
      <x:c r="M96" s="7" t="str">
        <x:v>Compare directly with the canonical transfer episode in the same scene family; cluster inference by scene family.</x:v>
      </x:c>
      <x:c r="N96" s="7"/>
    </x:row>
    <x:row r="97" ht="56" customHeight="1">
      <x:c r="A97" s="9" t="n">
        <x:v>95</x:v>
      </x:c>
      <x:c r="B97" s="7" t="str">
        <x:v>Language robustness</x:v>
      </x:c>
      <x:c r="C97" s="7" t="str">
        <x:v>Meaning-preserving paraphrase on an exact canonical scene</x:v>
      </x:c>
      <x:c r="D97" s="10" t="str">
        <x:v>SR-F06</x:v>
      </x:c>
      <x:c r="E97" s="9" t="n">
        <x:v>10</x:v>
      </x:c>
      <x:c r="F97" s="7" t="str">
        <x:v>Place the object with its opening covered in the bowl.</x:v>
      </x:c>
      <x:c r="G97" s="7" t="str">
        <x:v>P1 white cup A (O, UD); P2 yellow-white striped cup B (C, UD) [TARGET]; P3 brown cup A (O, UD); P4 glass spice container B (O, UR)</x:v>
      </x:c>
      <x:c r="H97" s="10" t="str">
        <x:v>yellow-white striped cup B</x:v>
      </x:c>
      <x:c r="I97" s="10" t="str">
        <x:v>closed</x:v>
      </x:c>
      <x:c r="J97" s="10" t="str">
        <x:v>Same-task seen</x:v>
      </x:c>
      <x:c r="K97" s="7" t="str">
        <x:v>Rebuild the exact scene from reference episode 10. Only wording changes; target, state, positions, and camera remain fixed.</x:v>
      </x:c>
      <x:c r="L97" s="10" t="str">
        <x:v>Home</x:v>
      </x:c>
      <x:c r="M97" s="7" t="str">
        <x:v>Compare directly with the canonical transfer episode in the same scene family; cluster inference by scene family.</x:v>
      </x:c>
      <x:c r="N97" s="7"/>
    </x:row>
    <x:row r="98" ht="56" customHeight="1">
      <x:c r="A98" s="9" t="n">
        <x:v>96</x:v>
      </x:c>
      <x:c r="B98" s="7" t="str">
        <x:v>Language robustness</x:v>
      </x:c>
      <x:c r="C98" s="7" t="str">
        <x:v>Meaning-preserving paraphrase on an exact canonical scene</x:v>
      </x:c>
      <x:c r="D98" s="10" t="str">
        <x:v>SR-F07</x:v>
      </x:c>
      <x:c r="E98" s="9" t="n">
        <x:v>12</x:v>
      </x:c>
      <x:c r="F98" s="7" t="str">
        <x:v>Move the item that has its cover on into the bowl.</x:v>
      </x:c>
      <x:c r="G98" s="7" t="str">
        <x:v>P1 white cup B (O, UR); P2 yellow-white striped cup A (O, UD); P3 brown cup A (C, UR) [TARGET]; P4 glass spice container A (O, UD)</x:v>
      </x:c>
      <x:c r="H98" s="10" t="str">
        <x:v>brown cup A</x:v>
      </x:c>
      <x:c r="I98" s="10" t="str">
        <x:v>closed</x:v>
      </x:c>
      <x:c r="J98" s="10" t="str">
        <x:v>Same-task seen</x:v>
      </x:c>
      <x:c r="K98" s="7" t="str">
        <x:v>Rebuild the exact scene from reference episode 12. Only wording changes; target, state, positions, and camera remain fixed.</x:v>
      </x:c>
      <x:c r="L98" s="10" t="str">
        <x:v>Home</x:v>
      </x:c>
      <x:c r="M98" s="7" t="str">
        <x:v>Compare directly with the canonical transfer episode in the same scene family; cluster inference by scene family.</x:v>
      </x:c>
      <x:c r="N98" s="7"/>
    </x:row>
    <x:row r="99" ht="56" customHeight="1">
      <x:c r="A99" s="9" t="n">
        <x:v>97</x:v>
      </x:c>
      <x:c r="B99" s="7" t="str">
        <x:v>Language robustness</x:v>
      </x:c>
      <x:c r="C99" s="7" t="str">
        <x:v>Meaning-preserving paraphrase on an exact canonical scene</x:v>
      </x:c>
      <x:c r="D99" s="10" t="str">
        <x:v>SR-F08</x:v>
      </x:c>
      <x:c r="E99" s="9" t="n">
        <x:v>14</x:v>
      </x:c>
      <x:c r="F99" s="7" t="str">
        <x:v>Put the closed container into the bowl.</x:v>
      </x:c>
      <x:c r="G99" s="7" t="str">
        <x:v>P1 white cup A (O, UD); P2 yellow-white striped cup B (O, UR); P3 brown cup A (O, UD); P4 glass spice container B (C, UD) [TARGET]</x:v>
      </x:c>
      <x:c r="H99" s="10" t="str">
        <x:v>glass spice container B</x:v>
      </x:c>
      <x:c r="I99" s="10" t="str">
        <x:v>closed</x:v>
      </x:c>
      <x:c r="J99" s="10" t="str">
        <x:v>Same-task seen</x:v>
      </x:c>
      <x:c r="K99" s="7" t="str">
        <x:v>Rebuild the exact scene from reference episode 14. Only wording changes; target, state, positions, and camera remain fixed.</x:v>
      </x:c>
      <x:c r="L99" s="10" t="str">
        <x:v>Home</x:v>
      </x:c>
      <x:c r="M99" s="7" t="str">
        <x:v>Compare directly with the canonical transfer episode in the same scene family; cluster inference by scene family.</x:v>
      </x:c>
      <x:c r="N99" s="7"/>
    </x:row>
    <x:row r="100" ht="56" customHeight="1">
      <x:c r="A100" s="9" t="n">
        <x:v>98</x:v>
      </x:c>
      <x:c r="B100" s="7" t="str">
        <x:v>Language robustness</x:v>
      </x:c>
      <x:c r="C100" s="7" t="str">
        <x:v>Meaning-preserving paraphrase on an exact canonical scene</x:v>
      </x:c>
      <x:c r="D100" s="10" t="str">
        <x:v>SR-F09</x:v>
      </x:c>
      <x:c r="E100" s="9" t="n">
        <x:v>16</x:v>
      </x:c>
      <x:c r="F100" s="7" t="str">
        <x:v>Find the object that is closed and place it in the bowl.</x:v>
      </x:c>
      <x:c r="G100" s="7" t="str">
        <x:v>P1 white cup A (C, UR) [TARGET]; P2 yellow-white striped cup A (O, UD); P3 brown cup B (O, UR); P4 glass spice container A (O, UD)</x:v>
      </x:c>
      <x:c r="H100" s="10" t="str">
        <x:v>white cup A</x:v>
      </x:c>
      <x:c r="I100" s="10" t="str">
        <x:v>closed</x:v>
      </x:c>
      <x:c r="J100" s="10" t="str">
        <x:v>Same-task seen</x:v>
      </x:c>
      <x:c r="K100" s="7" t="str">
        <x:v>Rebuild the exact scene from reference episode 16. Only wording changes; target, state, positions, and camera remain fixed.</x:v>
      </x:c>
      <x:c r="L100" s="10" t="str">
        <x:v>Home</x:v>
      </x:c>
      <x:c r="M100" s="7" t="str">
        <x:v>Compare directly with the canonical transfer episode in the same scene family; cluster inference by scene family.</x:v>
      </x:c>
      <x:c r="N100" s="7"/>
    </x:row>
    <x:row r="101" ht="56" customHeight="1">
      <x:c r="A101" s="9" t="n">
        <x:v>99</x:v>
      </x:c>
      <x:c r="B101" s="7" t="str">
        <x:v>Language robustness</x:v>
      </x:c>
      <x:c r="C101" s="7" t="str">
        <x:v>Meaning-preserving paraphrase on an exact canonical scene</x:v>
      </x:c>
      <x:c r="D101" s="10" t="str">
        <x:v>SR-F10</x:v>
      </x:c>
      <x:c r="E101" s="9" t="n">
        <x:v>18</x:v>
      </x:c>
      <x:c r="F101" s="7" t="str">
        <x:v>Place the object whose lid is in place in the bowl.</x:v>
      </x:c>
      <x:c r="G101" s="7" t="str">
        <x:v>P1 white cup A (O, UD); P2 brown cup B (C, UD) [TARGET]; P3 yellow-white striped cup A (O, UD); P4 glass spice container B (O, UR)</x:v>
      </x:c>
      <x:c r="H101" s="10" t="str">
        <x:v>brown cup B</x:v>
      </x:c>
      <x:c r="I101" s="10" t="str">
        <x:v>closed</x:v>
      </x:c>
      <x:c r="J101" s="10" t="str">
        <x:v>Same-task seen</x:v>
      </x:c>
      <x:c r="K101" s="7" t="str">
        <x:v>Rebuild the exact scene from reference episode 18. Only wording changes; target, state, positions, and camera remain fixed.</x:v>
      </x:c>
      <x:c r="L101" s="10" t="str">
        <x:v>Home</x:v>
      </x:c>
      <x:c r="M101" s="7" t="str">
        <x:v>Compare directly with the canonical transfer episode in the same scene family; cluster inference by scene family.</x:v>
      </x:c>
      <x:c r="N101" s="7"/>
    </x:row>
    <x:row r="102" ht="56" customHeight="1">
      <x:c r="A102" s="9" t="n">
        <x:v>100</x:v>
      </x:c>
      <x:c r="B102" s="7" t="str">
        <x:v>Language robustness</x:v>
      </x:c>
      <x:c r="C102" s="7" t="str">
        <x:v>Meaning-preserving paraphrase on an exact canonical scene</x:v>
      </x:c>
      <x:c r="D102" s="10" t="str">
        <x:v>SR-F11</x:v>
      </x:c>
      <x:c r="E102" s="9" t="n">
        <x:v>20</x:v>
      </x:c>
      <x:c r="F102" s="7" t="str">
        <x:v>Place the right-side-up object in the bowl.</x:v>
      </x:c>
      <x:c r="G102" s="7" t="str">
        <x:v>P1 yellow-white striped cup B (O, UD); P2 brown cup A (C, UD); P3 white cup A (O, UR) [TARGET]; P4 glass spice container A (C, UD)</x:v>
      </x:c>
      <x:c r="H102" s="10" t="str">
        <x:v>white cup A</x:v>
      </x:c>
      <x:c r="I102" s="10" t="str">
        <x:v>upright</x:v>
      </x:c>
      <x:c r="J102" s="10" t="str">
        <x:v>Same-task seen</x:v>
      </x:c>
      <x:c r="K102" s="7" t="str">
        <x:v>Rebuild the exact scene from reference episode 20. Only wording changes; target, state, positions, and camera remain fixed.</x:v>
      </x:c>
      <x:c r="L102" s="10" t="str">
        <x:v>Home</x:v>
      </x:c>
      <x:c r="M102" s="7" t="str">
        <x:v>Compare directly with the canonical transfer episode in the same scene family; cluster inference by scene family.</x:v>
      </x:c>
      <x:c r="N102" s="7"/>
    </x:row>
    <x:row r="103" ht="56" customHeight="1">
      <x:c r="A103" s="9" t="n">
        <x:v>101</x:v>
      </x:c>
      <x:c r="B103" s="7" t="str">
        <x:v>Language robustness</x:v>
      </x:c>
      <x:c r="C103" s="7" t="str">
        <x:v>Meaning-preserving paraphrase on an exact canonical scene</x:v>
      </x:c>
      <x:c r="D103" s="10" t="str">
        <x:v>SR-F12</x:v>
      </x:c>
      <x:c r="E103" s="9" t="n">
        <x:v>22</x:v>
      </x:c>
      <x:c r="F103" s="7" t="str">
        <x:v>Move the object that is standing upright into the bowl.</x:v>
      </x:c>
      <x:c r="G103" s="7" t="str">
        <x:v>P1 white cup A (C, UD); P2 brown cup B (O, UD); P3 glass spice container A (C, UD); P4 yellow-white striped cup B (C, UR) [TARGET]</x:v>
      </x:c>
      <x:c r="H103" s="10" t="str">
        <x:v>yellow-white striped cup B</x:v>
      </x:c>
      <x:c r="I103" s="10" t="str">
        <x:v>upright</x:v>
      </x:c>
      <x:c r="J103" s="10" t="str">
        <x:v>Same-task seen</x:v>
      </x:c>
      <x:c r="K103" s="7" t="str">
        <x:v>Rebuild the exact scene from reference episode 22. Only wording changes; target, state, positions, and camera remain fixed.</x:v>
      </x:c>
      <x:c r="L103" s="10" t="str">
        <x:v>Home</x:v>
      </x:c>
      <x:c r="M103" s="7" t="str">
        <x:v>Compare directly with the canonical transfer episode in the same scene family; cluster inference by scene family.</x:v>
      </x:c>
      <x:c r="N103" s="7"/>
    </x:row>
    <x:row r="104" ht="56" customHeight="1">
      <x:c r="A104" s="9" t="n">
        <x:v>102</x:v>
      </x:c>
      <x:c r="B104" s="7" t="str">
        <x:v>Language robustness</x:v>
      </x:c>
      <x:c r="C104" s="7" t="str">
        <x:v>Meaning-preserving paraphrase on an exact canonical scene</x:v>
      </x:c>
      <x:c r="D104" s="10" t="str">
        <x:v>SR-F13</x:v>
      </x:c>
      <x:c r="E104" s="9" t="n">
        <x:v>24</x:v>
      </x:c>
      <x:c r="F104" s="7" t="str">
        <x:v>Put the object that is not overturned in the bowl.</x:v>
      </x:c>
      <x:c r="G104" s="7" t="str">
        <x:v>P1 brown cup A (O, UR) [TARGET]; P2 white cup A (C, UD); P3 yellow-white striped cup B (O, UD); P4 glass spice container A (C, UD)</x:v>
      </x:c>
      <x:c r="H104" s="10" t="str">
        <x:v>brown cup A</x:v>
      </x:c>
      <x:c r="I104" s="10" t="str">
        <x:v>upright</x:v>
      </x:c>
      <x:c r="J104" s="10" t="str">
        <x:v>Same-task seen</x:v>
      </x:c>
      <x:c r="K104" s="7" t="str">
        <x:v>Rebuild the exact scene from reference episode 24. Only wording changes; target, state, positions, and camera remain fixed.</x:v>
      </x:c>
      <x:c r="L104" s="10" t="str">
        <x:v>Home</x:v>
      </x:c>
      <x:c r="M104" s="7" t="str">
        <x:v>Compare directly with the canonical transfer episode in the same scene family; cluster inference by scene family.</x:v>
      </x:c>
      <x:c r="N104" s="7"/>
    </x:row>
    <x:row r="105" ht="56" customHeight="1">
      <x:c r="A105" s="9" t="n">
        <x:v>103</x:v>
      </x:c>
      <x:c r="B105" s="7" t="str">
        <x:v>Language robustness</x:v>
      </x:c>
      <x:c r="C105" s="7" t="str">
        <x:v>Meaning-preserving paraphrase on an exact canonical scene</x:v>
      </x:c>
      <x:c r="D105" s="10" t="str">
        <x:v>SR-F14</x:v>
      </x:c>
      <x:c r="E105" s="9" t="n">
        <x:v>26</x:v>
      </x:c>
      <x:c r="F105" s="7" t="str">
        <x:v>Move the upright item into the bowl.</x:v>
      </x:c>
      <x:c r="G105" s="7" t="str">
        <x:v>P1 white cup A (C, UD); P2 glass spice container B (C, UR) [TARGET]; P3 yellow-white striped cup A (C, UD); P4 brown cup B (O, UD)</x:v>
      </x:c>
      <x:c r="H105" s="10" t="str">
        <x:v>glass spice container B</x:v>
      </x:c>
      <x:c r="I105" s="10" t="str">
        <x:v>upright</x:v>
      </x:c>
      <x:c r="J105" s="10" t="str">
        <x:v>Same-task seen</x:v>
      </x:c>
      <x:c r="K105" s="7" t="str">
        <x:v>Rebuild the exact scene from reference episode 26. Only wording changes; target, state, positions, and camera remain fixed.</x:v>
      </x:c>
      <x:c r="L105" s="10" t="str">
        <x:v>Home</x:v>
      </x:c>
      <x:c r="M105" s="7" t="str">
        <x:v>Compare directly with the canonical transfer episode in the same scene family; cluster inference by scene family.</x:v>
      </x:c>
      <x:c r="N105" s="7"/>
    </x:row>
    <x:row r="106" ht="56" customHeight="1">
      <x:c r="A106" s="9" t="n">
        <x:v>104</x:v>
      </x:c>
      <x:c r="B106" s="7" t="str">
        <x:v>Language robustness</x:v>
      </x:c>
      <x:c r="C106" s="7" t="str">
        <x:v>Meaning-preserving paraphrase on an exact canonical scene</x:v>
      </x:c>
      <x:c r="D106" s="10" t="str">
        <x:v>SR-F15</x:v>
      </x:c>
      <x:c r="E106" s="9" t="n">
        <x:v>28</x:v>
      </x:c>
      <x:c r="F106" s="7" t="str">
        <x:v>Place the object with its top pointing upward in the bowl.</x:v>
      </x:c>
      <x:c r="G106" s="7" t="str">
        <x:v>P1 yellow-white striped cup B (O, UD); P2 brown cup A (C, UD); P3 white cup A (O, UR) [TARGET]; P4 glass spice container A (C, UD)</x:v>
      </x:c>
      <x:c r="H106" s="10" t="str">
        <x:v>white cup A</x:v>
      </x:c>
      <x:c r="I106" s="10" t="str">
        <x:v>upright</x:v>
      </x:c>
      <x:c r="J106" s="10" t="str">
        <x:v>Same-task seen</x:v>
      </x:c>
      <x:c r="K106" s="7" t="str">
        <x:v>Rebuild the exact scene from reference episode 28. Only wording changes; target, state, positions, and camera remain fixed.</x:v>
      </x:c>
      <x:c r="L106" s="10" t="str">
        <x:v>Home</x:v>
      </x:c>
      <x:c r="M106" s="7" t="str">
        <x:v>Compare directly with the canonical transfer episode in the same scene family; cluster inference by scene family.</x:v>
      </x:c>
      <x:c r="N106" s="7"/>
    </x:row>
    <x:row r="107" ht="56" customHeight="1">
      <x:c r="A107" s="9" t="n">
        <x:v>105</x:v>
      </x:c>
      <x:c r="B107" s="7" t="str">
        <x:v>Language robustness</x:v>
      </x:c>
      <x:c r="C107" s="7" t="str">
        <x:v>Meaning-preserving paraphrase on an exact canonical scene</x:v>
      </x:c>
      <x:c r="D107" s="10" t="str">
        <x:v>SR-F16</x:v>
      </x:c>
      <x:c r="E107" s="9" t="n">
        <x:v>30</x:v>
      </x:c>
      <x:c r="F107" s="7" t="str">
        <x:v>Place the right-side-up can in the bowl.</x:v>
      </x:c>
      <x:c r="G107" s="7" t="str">
        <x:v>P1 crushed Pepsi can (UD); P2 glass spice container A (O, UD); P3 white cup B (C, UD); P4 crushed Coke can (UR) [TARGET]</x:v>
      </x:c>
      <x:c r="H107" s="10" t="str">
        <x:v>crushed Coke can</x:v>
      </x:c>
      <x:c r="I107" s="10" t="str">
        <x:v>upright</x:v>
      </x:c>
      <x:c r="J107" s="10" t="str">
        <x:v>Cross-task seen</x:v>
      </x:c>
      <x:c r="K107" s="7" t="str">
        <x:v>Rebuild the exact scene from reference episode 30. Only wording changes; target, state, positions, and camera remain fixed.</x:v>
      </x:c>
      <x:c r="L107" s="10" t="str">
        <x:v>Home</x:v>
      </x:c>
      <x:c r="M107" s="7" t="str">
        <x:v>Compare directly with the canonical transfer episode in the same scene family; cluster inference by scene family.</x:v>
      </x:c>
      <x:c r="N107" s="7"/>
    </x:row>
    <x:row r="108" ht="56" customHeight="1">
      <x:c r="A108" s="9" t="n">
        <x:v>106</x:v>
      </x:c>
      <x:c r="B108" s="7" t="str">
        <x:v>Language robustness</x:v>
      </x:c>
      <x:c r="C108" s="7" t="str">
        <x:v>Meaning-preserving paraphrase on an exact canonical scene</x:v>
      </x:c>
      <x:c r="D108" s="10" t="str">
        <x:v>SR-F17</x:v>
      </x:c>
      <x:c r="E108" s="9" t="n">
        <x:v>32</x:v>
      </x:c>
      <x:c r="F108" s="7" t="str">
        <x:v>Move the can that is standing upright into the bowl.</x:v>
      </x:c>
      <x:c r="G108" s="7" t="str">
        <x:v>P1 crushed Pepsi can (UR) [TARGET]; P2 crushed Coke can (UD); P3 white cup A (O, UD); P4 yellow-white striped cup B (C, UD)</x:v>
      </x:c>
      <x:c r="H108" s="10" t="str">
        <x:v>crushed Pepsi can</x:v>
      </x:c>
      <x:c r="I108" s="10" t="str">
        <x:v>upright</x:v>
      </x:c>
      <x:c r="J108" s="10" t="str">
        <x:v>Cross-task seen</x:v>
      </x:c>
      <x:c r="K108" s="7" t="str">
        <x:v>Rebuild the exact scene from reference episode 32. Only wording changes; target, state, positions, and camera remain fixed.</x:v>
      </x:c>
      <x:c r="L108" s="10" t="str">
        <x:v>Home</x:v>
      </x:c>
      <x:c r="M108" s="7" t="str">
        <x:v>Compare directly with the canonical transfer episode in the same scene family; cluster inference by scene family.</x:v>
      </x:c>
      <x:c r="N108" s="7"/>
    </x:row>
    <x:row r="109" ht="56" customHeight="1">
      <x:c r="A109" s="9" t="n">
        <x:v>107</x:v>
      </x:c>
      <x:c r="B109" s="7" t="str">
        <x:v>Language robustness</x:v>
      </x:c>
      <x:c r="C109" s="7" t="str">
        <x:v>Meaning-preserving paraphrase on an exact canonical scene</x:v>
      </x:c>
      <x:c r="D109" s="10" t="str">
        <x:v>SR-F18</x:v>
      </x:c>
      <x:c r="E109" s="9" t="n">
        <x:v>34</x:v>
      </x:c>
      <x:c r="F109" s="7" t="str">
        <x:v>Put the can that is not overturned in the bowl.</x:v>
      </x:c>
      <x:c r="G109" s="7" t="str">
        <x:v>P1 crushed Pepsi can (UD); P2 crushed Coke can (UR) [TARGET]; P3 yellow-white striped cup B (C, UD); P4 brown cup A (O, UD)</x:v>
      </x:c>
      <x:c r="H109" s="10" t="str">
        <x:v>crushed Coke can</x:v>
      </x:c>
      <x:c r="I109" s="10" t="str">
        <x:v>upright</x:v>
      </x:c>
      <x:c r="J109" s="10" t="str">
        <x:v>Cross-task seen</x:v>
      </x:c>
      <x:c r="K109" s="7" t="str">
        <x:v>Rebuild the exact scene from reference episode 34. Only wording changes; target, state, positions, and camera remain fixed.</x:v>
      </x:c>
      <x:c r="L109" s="10" t="str">
        <x:v>Home</x:v>
      </x:c>
      <x:c r="M109" s="7" t="str">
        <x:v>Compare directly with the canonical transfer episode in the same scene family; cluster inference by scene family.</x:v>
      </x:c>
      <x:c r="N109" s="7"/>
    </x:row>
    <x:row r="110" ht="56" customHeight="1">
      <x:c r="A110" s="9" t="n">
        <x:v>108</x:v>
      </x:c>
      <x:c r="B110" s="7" t="str">
        <x:v>Language robustness</x:v>
      </x:c>
      <x:c r="C110" s="7" t="str">
        <x:v>Meaning-preserving paraphrase on an exact canonical scene</x:v>
      </x:c>
      <x:c r="D110" s="10" t="str">
        <x:v>SR-F19</x:v>
      </x:c>
      <x:c r="E110" s="9" t="n">
        <x:v>36</x:v>
      </x:c>
      <x:c r="F110" s="7" t="str">
        <x:v>Move the upright can into the bowl.</x:v>
      </x:c>
      <x:c r="G110" s="7" t="str">
        <x:v>P1 crushed Coke can (UD); P2 brown cup B (C, UD); P3 crushed Pepsi can (UR) [TARGET]; P4 glass spice container B (C, UD)</x:v>
      </x:c>
      <x:c r="H110" s="10" t="str">
        <x:v>crushed Pepsi can</x:v>
      </x:c>
      <x:c r="I110" s="10" t="str">
        <x:v>upright</x:v>
      </x:c>
      <x:c r="J110" s="10" t="str">
        <x:v>Cross-task seen</x:v>
      </x:c>
      <x:c r="K110" s="7" t="str">
        <x:v>Rebuild the exact scene from reference episode 36. Only wording changes; target, state, positions, and camera remain fixed.</x:v>
      </x:c>
      <x:c r="L110" s="10" t="str">
        <x:v>Home</x:v>
      </x:c>
      <x:c r="M110" s="7" t="str">
        <x:v>Compare directly with the canonical transfer episode in the same scene family; cluster inference by scene family.</x:v>
      </x:c>
      <x:c r="N110" s="7"/>
    </x:row>
    <x:row r="111" ht="56" customHeight="1">
      <x:c r="A111" s="9" t="n">
        <x:v>109</x:v>
      </x:c>
      <x:c r="B111" s="7" t="str">
        <x:v>Language robustness</x:v>
      </x:c>
      <x:c r="C111" s="7" t="str">
        <x:v>Meaning-preserving paraphrase on an exact canonical scene</x:v>
      </x:c>
      <x:c r="D111" s="10" t="str">
        <x:v>SR-F20</x:v>
      </x:c>
      <x:c r="E111" s="9" t="n">
        <x:v>38</x:v>
      </x:c>
      <x:c r="F111" s="7" t="str">
        <x:v>Place the can with its top pointing upward in the bowl.</x:v>
      </x:c>
      <x:c r="G111" s="7" t="str">
        <x:v>P1 crushed Pepsi can (UD); P2 glass spice container A (O, UD); P3 white cup B (C, UD); P4 crushed Coke can (UR) [TARGET]</x:v>
      </x:c>
      <x:c r="H111" s="10" t="str">
        <x:v>crushed Coke can</x:v>
      </x:c>
      <x:c r="I111" s="10" t="str">
        <x:v>upright</x:v>
      </x:c>
      <x:c r="J111" s="10" t="str">
        <x:v>Cross-task seen</x:v>
      </x:c>
      <x:c r="K111" s="7" t="str">
        <x:v>Rebuild the exact scene from reference episode 38. Only wording changes; target, state, positions, and camera remain fixed.</x:v>
      </x:c>
      <x:c r="L111" s="10" t="str">
        <x:v>Home</x:v>
      </x:c>
      <x:c r="M111" s="7" t="str">
        <x:v>Compare directly with the canonical transfer episode in the same scene family; cluster inference by scene family.</x:v>
      </x:c>
      <x:c r="N111" s="7"/>
    </x:row>
  </x:sheetData>
  <x:conditionalFormatting sqref="B2:B111">
    <x:cfRule type="containsText" dxfId="0" priority="1" operator="containsText" text="Concept/compositional transfer"/>
    <x:cfRule type="containsText" dxfId="1" priority="2" operator="containsText" text="Matched manipulation control"/>
    <x:cfRule type="containsText" dxfId="2" priority="3" operator="containsText" text="Visual generalization"/>
    <x:cfRule type="containsText" dxfId="3" priority="4" operator="containsText" text="Language robustness"/>
  </x:conditionalFormatting>
  <x:conditionalFormatting sqref="J2:J111">
    <x:cfRule type="containsText" dxfId="4" priority="5" operator="containsText" text="confirmation required"/>
  </x:conditionalFormatting>
  <x:pageMargins left="0.7" right="0.7" top="0.75" bottom="0.75" header="0.3" footer="0.3"/>
  <x:tableParts count="1">
    <x:tablePart xmlns:r="http://schemas.openxmlformats.org/officeDocument/2006/relationships" r:id="Re453ac656bf74ba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36" hidden="0" customWidth="1"/>
    <x:col min="3" max="3" width="35" hidden="0" customWidth="1"/>
    <x:col min="4" max="4" width="38" hidden="0" customWidth="1"/>
    <x:col min="5" max="5" width="62" hidden="0" customWidth="1"/>
  </x:cols>
  <x:sheetData>
    <x:row r="1" ht="32" customHeight="1">
      <x:c r="A1" s="4" t="str">
        <x:v>Object / Slot</x:v>
      </x:c>
      <x:c r="B1" s="4" t="str">
        <x:v>Training Exposure</x:v>
      </x:c>
      <x:c r="C1" s="4" t="str">
        <x:v>Valid States</x:v>
      </x:c>
      <x:c r="D1" s="4" t="str">
        <x:v>Evaluation Classification</x:v>
      </x:c>
      <x:c r="E1" s="4" t="str">
        <x:v>Rule / Recommendation</x:v>
      </x:c>
    </x:row>
    <x:row r="2" ht="48" customHeight="1">
      <x:c r="A2" s="7" t="str">
        <x:v>white cup A/B</x:v>
      </x:c>
      <x:c r="B2" s="7" t="str">
        <x:v>State-recognition training</x:v>
      </x:c>
      <x:c r="C2" s="7" t="str">
        <x:v>open, closed, upright, upside-down</x:v>
      </x:c>
      <x:c r="D2" s="7" t="str">
        <x:v>Known object; same-task seen</x:v>
      </x:c>
      <x:c r="E2" s="7" t="str">
        <x:v>Use as target and distractor</x:v>
      </x:c>
    </x:row>
    <x:row r="3" ht="48" customHeight="1">
      <x:c r="A3" s="7" t="str">
        <x:v>yellow-white striped cup A/B</x:v>
      </x:c>
      <x:c r="B3" s="7" t="str">
        <x:v>State-recognition training</x:v>
      </x:c>
      <x:c r="C3" s="7" t="str">
        <x:v>open, closed, upright, upside-down</x:v>
      </x:c>
      <x:c r="D3" s="7" t="str">
        <x:v>Known object; same-task seen</x:v>
      </x:c>
      <x:c r="E3" s="7" t="str">
        <x:v>Use as target and distractor</x:v>
      </x:c>
    </x:row>
    <x:row r="4" ht="48" customHeight="1">
      <x:c r="A4" s="7" t="str">
        <x:v>brown cup A/B</x:v>
      </x:c>
      <x:c r="B4" s="7" t="str">
        <x:v>State-recognition training</x:v>
      </x:c>
      <x:c r="C4" s="7" t="str">
        <x:v>open, closed, upright, upside-down</x:v>
      </x:c>
      <x:c r="D4" s="7" t="str">
        <x:v>Known object; same-task seen</x:v>
      </x:c>
      <x:c r="E4" s="7" t="str">
        <x:v>Use as target and distractor</x:v>
      </x:c>
    </x:row>
    <x:row r="5" ht="48" customHeight="1">
      <x:c r="A5" s="7" t="str">
        <x:v>glass spice container A/B</x:v>
      </x:c>
      <x:c r="B5" s="7" t="str">
        <x:v>State-recognition training</x:v>
      </x:c>
      <x:c r="C5" s="7" t="str">
        <x:v>open, closed, upright, upside-down</x:v>
      </x:c>
      <x:c r="D5" s="7" t="str">
        <x:v>Known object; same-task seen</x:v>
      </x:c>
      <x:c r="E5" s="7" t="str">
        <x:v>Use as target and distractor</x:v>
      </x:c>
    </x:row>
    <x:row r="6" ht="48" customHeight="1">
      <x:c r="A6" s="7" t="str">
        <x:v>crushed Coke can</x:v>
      </x:c>
      <x:c r="B6" s="7" t="str">
        <x:v>Seen in another training task</x:v>
      </x:c>
      <x:c r="C6" s="7" t="str">
        <x:v>upright, upside-down only</x:v>
      </x:c>
      <x:c r="D6" s="7" t="str">
        <x:v>Cross-task seen; not globally unseen</x:v>
      </x:c>
      <x:c r="E6" s="7" t="str">
        <x:v>Never label open/closed</x:v>
      </x:c>
    </x:row>
    <x:row r="7" ht="48" customHeight="1">
      <x:c r="A7" s="7" t="str">
        <x:v>crushed Pepsi can</x:v>
      </x:c>
      <x:c r="B7" s="7" t="str">
        <x:v>Seen in another training task</x:v>
      </x:c>
      <x:c r="C7" s="7" t="str">
        <x:v>upright, upside-down only</x:v>
      </x:c>
      <x:c r="D7" s="7" t="str">
        <x:v>Cross-task seen; not globally unseen</x:v>
      </x:c>
      <x:c r="E7" s="7" t="str">
        <x:v>Never label open/closed</x:v>
      </x:c>
    </x:row>
    <x:row r="8" ht="48" customHeight="1">
      <x:c r="A8" s="11" t="str">
        <x:v>U1 — enter actual object name</x:v>
      </x:c>
      <x:c r="B8" s="11" t="str">
        <x:v>Must be absent from all 1,200 training episodes</x:v>
      </x:c>
      <x:c r="C8" s="11" t="str">
        <x:v>open and closed; preferably also upright/upside-down</x:v>
      </x:c>
      <x:c r="D8" s="11" t="str">
        <x:v>Globally unseen lidded object</x:v>
      </x:c>
      <x:c r="E8" s="11" t="str">
        <x:v>Choose visibly different shape/material from training cups</x:v>
      </x:c>
    </x:row>
    <x:row r="9" ht="48" customHeight="1">
      <x:c r="A9" s="11" t="str">
        <x:v>U2 — enter actual object name</x:v>
      </x:c>
      <x:c r="B9" s="11" t="str">
        <x:v>Must be absent from all 1,200 training episodes</x:v>
      </x:c>
      <x:c r="C9" s="11" t="str">
        <x:v>open and closed; preferably also upright/upside-down</x:v>
      </x:c>
      <x:c r="D9" s="11" t="str">
        <x:v>Globally unseen lidded object</x:v>
      </x:c>
      <x:c r="E9" s="11" t="str">
        <x:v>Different category or substantial shape change from U1</x:v>
      </x:c>
    </x:row>
    <x:row r="10" ht="48" customHeight="1">
      <x:c r="A10" s="11" t="str">
        <x:v>U3 — enter actual object name</x:v>
      </x:c>
      <x:c r="B10" s="11" t="str">
        <x:v>Must be absent from all 1,200 training episodes</x:v>
      </x:c>
      <x:c r="C10" s="11" t="str">
        <x:v>upright and upside-down; clear top/bottom</x:v>
      </x:c>
      <x:c r="D10" s="11" t="str">
        <x:v>Globally unseen orientation object</x:v>
      </x:c>
      <x:c r="E10" s="11" t="str">
        <x:v>Bottle, cone, dispenser, or asymmetric container are suitable</x:v>
      </x:c>
    </x:row>
    <x:row r="11" ht="48" customHeight="1">
      <x:c r="A11" s="11" t="str">
        <x:v>U4 — enter actual object name</x:v>
      </x:c>
      <x:c r="B11" s="11" t="str">
        <x:v>Must be absent from all 1,200 training episodes</x:v>
      </x:c>
      <x:c r="C11" s="11" t="str">
        <x:v>upright and upside-down; clear top/bottom</x:v>
      </x:c>
      <x:c r="D11" s="11" t="str">
        <x:v>Globally unseen orientation object</x:v>
      </x:c>
      <x:c r="E11" s="11" t="str">
        <x:v>Use a second category/material, not merely a recolor of U3</x:v>
      </x:c>
    </x:row>
    <x:row r="12" ht="48" customHeight="1">
      <x:c r="A12" s="12" t="str">
        <x:v>Optional orange block</x:v>
      </x:c>
      <x:c r="B12" s="12" t="str">
        <x:v>Same shape as blocks seen in training</x:v>
      </x:c>
      <x:c r="C12" s="12" t="str">
        <x:v>Only orientation if top/bottom are visibly asymmetric</x:v>
      </x:c>
      <x:c r="D12" s="12" t="str">
        <x:v>Near-OOD color-only control; not globally unseen</x:v>
      </x:c>
      <x:c r="E12" s="12" t="str">
        <x:v>Useful as an easy visual tier, but do not count toward global-unseen results</x:v>
      </x:c>
    </x:row>
  </x:sheetData>
  <x:pageMargins left="0.7" right="0.7" top="0.75" bottom="0.75" header="0.3" footer="0.3"/>
  <x:tableParts count="1">
    <x:tablePart xmlns:r="http://schemas.openxmlformats.org/officeDocument/2006/relationships" r:id="R506d4637812b4cf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05" hidden="0" customWidth="1"/>
  </x:cols>
  <x:sheetData>
    <x:row r="1" ht="34" customHeight="1">
      <x:c r="A1" s="20" t="str">
        <x:v>STATE RECOGNITION EVALUATION — 110 TRIALS</x:v>
      </x:c>
      <x:c r="B1" s="20"/>
    </x:row>
    <x:row r="2" ht="50" customHeight="1">
      <x:c r="A2" s="21" t="str">
        <x:v>Primary question</x:v>
      </x:c>
      <x:c r="B2" s="22" t="str">
        <x:v>Can the model use object state to select the uniquely valid target, including held-out state words and cross-task object combinations?</x:v>
      </x:c>
    </x:row>
    <x:row r="3" ht="50" customHeight="1">
      <x:c r="A3" s="21" t="str">
        <x:v>Allocation</x:v>
      </x:c>
      <x:c r="B3" s="22" t="str">
        <x:v>50 concept/compositional transfer; 20 matched manipulation control; 20 visual generalization; 20 language robustness.</x:v>
      </x:c>
    </x:row>
    <x:row r="4" ht="50" customHeight="1">
      <x:c r="A4" s="21" t="str">
        <x:v>Episodes 0-39</x:v>
      </x:c>
      <x:c r="B4" s="22" t="str">
        <x:v>Twenty adjacent pairs. Run transfer first, return only the moved target to its marked start in the same state/orientation, then run the direct-object control. Do not change distractors, camera, bowl, or lighting.</x:v>
      </x:c>
    </x:row>
    <x:row r="5" ht="50" customHeight="1">
      <x:c r="A5" s="21" t="str">
        <x:v>Matched-control principle</x:v>
      </x:c>
      <x:c r="B5" s="22" t="str">
        <x:v>The scene and expected target are identical. Transfer uses only the queried state; control directly names the unique target category or can brand.</x:v>
      </x:c>
    </x:row>
    <x:row r="6" ht="50" customHeight="1">
      <x:c r="A6" s="21" t="str">
        <x:v>Unique-target rule</x:v>
      </x:c>
      <x:c r="B6" s="22" t="str">
        <x:v>Exactly one object may satisfy the queried state. For closed/open scenes, do not include cans because their open/closed state is undefined. For orientation scenes, every distractor must have the opposite orientation.</x:v>
      </x:c>
    </x:row>
    <x:row r="7" ht="50" customHeight="1">
      <x:c r="A7" s="21" t="str">
        <x:v>Coke/Pepsi classification</x:v>
      </x:c>
      <x:c r="B7" s="22" t="str">
        <x:v>Crushed Coke and Pepsi cans are cross-task seen because they occur elsewhere in the training dataset. Use only upright/upside-down labels.</x:v>
      </x:c>
    </x:row>
    <x:row r="8" ht="50" customHeight="1">
      <x:c r="A8" s="21" t="str">
        <x:v>Global-unseen requirement</x:v>
      </x:c>
      <x:c r="B8" s="22" t="str">
        <x:v>U1-U4 must be absent from all training episodes. Prefer a new category, silhouette, material, and affordance while keeping the required state visually unambiguous.</x:v>
      </x:c>
    </x:row>
    <x:row r="9" ht="50" customHeight="1">
      <x:c r="A9" s="21" t="str">
        <x:v>Orange-block interpretation</x:v>
      </x:c>
      <x:c r="B9" s="22" t="str">
        <x:v>An orange block identical to seen blocks except color is near-OOD color generalization, not globally unseen. It is unusable for orientation if rotating it leaves the image visually identical.</x:v>
      </x:c>
    </x:row>
    <x:row r="10" ht="50" customHeight="1">
      <x:c r="A10" s="21" t="str">
        <x:v>Language robustness</x:v>
      </x:c>
      <x:c r="B10" s="22" t="str">
        <x:v>Episodes 90-109 reconstruct the exact first-20 canonical scenes and change only wording. Compare each row with its Reference Episode.</x:v>
      </x:c>
    </x:row>
    <x:row r="11" ht="50" customHeight="1">
      <x:c r="A11" s="21" t="str">
        <x:v>Visual generalization</x:v>
      </x:c>
      <x:c r="B11" s="22" t="str">
        <x:v>Episodes 70-89 preserve the reference state and target position but substitute counterbalanced U-slot objects. U1/U2 and U3/U4 alternate target/distractor roles.</x:v>
      </x:c>
    </x:row>
    <x:row r="12" ht="50" customHeight="1">
      <x:c r="A12" s="21" t="str">
        <x:v>Cross-model reproducibility</x:v>
      </x:c>
      <x:c r="B12" s="22" t="str">
        <x:v>Keep fixed camera calibration, bowl position, mat/grid, lighting, action horizon, success rule, and evaluation order. Save the first frame or a scene photo and filename in the plan.</x:v>
      </x:c>
    </x:row>
    <x:row r="13" ht="50" customHeight="1">
      <x:c r="A13" s="21" t="str">
        <x:v>Scoring</x:v>
      </x:c>
      <x:c r="B13" s="22" t="str">
        <x:v>Success = the specified target is placed in the bowl within the fixed horizon. Wrong-object movement, timeout, drop outside bowl, or failure to complete is Failure. Hardware/setup faults are Invalid / Repeat.</x:v>
      </x:c>
    </x:row>
    <x:row r="14" ht="50" customHeight="1">
      <x:c r="A14" s="21" t="str">
        <x:v>Statistical unit</x:v>
      </x:c>
      <x:c r="B14" s="22" t="str">
        <x:v>Use Scene Family as the clustering unit. Compare models on the same episode specifications and use paired, cluster-aware intervals.</x:v>
      </x:c>
    </x:row>
  </x:sheetData>
  <x:mergeCells>
    <x:mergeCell ref="A1:B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4" hidden="0" customWidth="1"/>
    <x:col min="3" max="3" width="14" hidden="0" customWidth="1"/>
    <x:col min="4" max="4" width="14" hidden="0" customWidth="1"/>
    <x:col min="5" max="5" width="60" hidden="0" customWidth="1"/>
  </x:cols>
  <x:sheetData>
    <x:row r="1" ht="30" customHeight="1">
      <x:c r="A1" s="4" t="str">
        <x:v>Check</x:v>
      </x:c>
      <x:c r="B1" s="4" t="str">
        <x:v>Observed</x:v>
      </x:c>
      <x:c r="C1" s="4" t="str">
        <x:v>Expected</x:v>
      </x:c>
      <x:c r="D1" s="4" t="str">
        <x:v>Status</x:v>
      </x:c>
      <x:c r="E1" s="4" t="str">
        <x:v>Notes</x:v>
      </x:c>
    </x:row>
    <x:row r="2" ht="36" customHeight="1">
      <x:c r="A2" s="7" t="str">
        <x:v>Total trials</x:v>
      </x:c>
      <x:c r="B2" s="7" t="n">
        <x:f>COUNTA('Evaluation Plan'!$A$2:$A$111)</x:f>
        <x:v>110</x:v>
      </x:c>
      <x:c r="C2" s="7" t="n">
        <x:v>110</x:v>
      </x:c>
      <x:c r="D2" s="7" t="str">
        <x:f>IF(B2=C2,"PASS","CHECK")</x:f>
        <x:v>PASS</x:v>
      </x:c>
      <x:c r="E2" s="7" t="str">
        <x:v>One State Recognition task workbook</x:v>
      </x:c>
    </x:row>
    <x:row r="3" ht="36" customHeight="1">
      <x:c r="A3" s="7" t="str">
        <x:v>Concept/compositional transfer</x:v>
      </x:c>
      <x:c r="B3" s="7" t="n">
        <x:f>COUNTIF('Evaluation Plan'!$B$2:$B$111,"Concept/compositional transfer")</x:f>
        <x:v>50</x:v>
      </x:c>
      <x:c r="C3" s="7" t="n">
        <x:v>50</x:v>
      </x:c>
      <x:c r="D3" s="7" t="str">
        <x:f>IF(B3=C3,"PASS","CHECK")</x:f>
        <x:v>PASS</x:v>
      </x:c>
      <x:c r="E3" s="7" t="str">
        <x:v>Primary endpoint</x:v>
      </x:c>
    </x:row>
    <x:row r="4" ht="36" customHeight="1">
      <x:c r="A4" s="7" t="str">
        <x:v>Matched manipulation control</x:v>
      </x:c>
      <x:c r="B4" s="7" t="n">
        <x:f>COUNTIF('Evaluation Plan'!$B$2:$B$111,"Matched manipulation control")</x:f>
        <x:v>20</x:v>
      </x:c>
      <x:c r="C4" s="7" t="n">
        <x:v>20</x:v>
      </x:c>
      <x:c r="D4" s="7" t="str">
        <x:f>IF(B4=C4,"PASS","CHECK")</x:f>
        <x:v>PASS</x:v>
      </x:c>
      <x:c r="E4" s="7" t="str">
        <x:v>All occur in episodes 0-39</x:v>
      </x:c>
    </x:row>
    <x:row r="5" ht="36" customHeight="1">
      <x:c r="A5" s="7" t="str">
        <x:v>Visual generalization</x:v>
      </x:c>
      <x:c r="B5" s="7" t="n">
        <x:f>COUNTIF('Evaluation Plan'!$B$2:$B$111,"Visual generalization")</x:f>
        <x:v>20</x:v>
      </x:c>
      <x:c r="C5" s="7" t="n">
        <x:v>20</x:v>
      </x:c>
      <x:c r="D5" s="7" t="str">
        <x:f>IF(B5=C5,"PASS","CHECK")</x:f>
        <x:v>PASS</x:v>
      </x:c>
      <x:c r="E5" s="7" t="str">
        <x:v>U1-U4 substitutions</x:v>
      </x:c>
    </x:row>
    <x:row r="6" ht="36" customHeight="1">
      <x:c r="A6" s="7" t="str">
        <x:v>Language robustness</x:v>
      </x:c>
      <x:c r="B6" s="7" t="n">
        <x:f>COUNTIF('Evaluation Plan'!$B$2:$B$111,"Language robustness")</x:f>
        <x:v>20</x:v>
      </x:c>
      <x:c r="C6" s="7" t="n">
        <x:v>20</x:v>
      </x:c>
      <x:c r="D6" s="7" t="str">
        <x:f>IF(B6=C6,"PASS","CHECK")</x:f>
        <x:v>PASS</x:v>
      </x:c>
      <x:c r="E6" s="7" t="str">
        <x:v>Paraphrase rows paired to canonical transfer</x:v>
      </x:c>
    </x:row>
    <x:row r="7" ht="36" customHeight="1">
      <x:c r="A7" s="7" t="str">
        <x:v>Transfer rows in first 40</x:v>
      </x:c>
      <x:c r="B7" s="7" t="n">
        <x:f>COUNTIF('Evaluation Plan'!$B$2:$B$41,"Concept/compositional transfer")</x:f>
        <x:v>20</x:v>
      </x:c>
      <x:c r="C7" s="7" t="n">
        <x:v>20</x:v>
      </x:c>
      <x:c r="D7" s="7" t="str">
        <x:f>IF(B7=C7,"PASS","CHECK")</x:f>
        <x:v>PASS</x:v>
      </x:c>
      <x:c r="E7" s="7" t="str">
        <x:v>Even-numbered episodes 0,2,...,38</x:v>
      </x:c>
    </x:row>
    <x:row r="8" ht="36" customHeight="1">
      <x:c r="A8" s="7" t="str">
        <x:v>Control rows in first 40</x:v>
      </x:c>
      <x:c r="B8" s="7" t="n">
        <x:f>COUNTIF('Evaluation Plan'!$B$2:$B$41,"Matched manipulation control")</x:f>
        <x:v>20</x:v>
      </x:c>
      <x:c r="C8" s="7" t="n">
        <x:v>20</x:v>
      </x:c>
      <x:c r="D8" s="7" t="str">
        <x:f>IF(B8=C8,"PASS","CHECK")</x:f>
        <x:v>PASS</x:v>
      </x:c>
      <x:c r="E8" s="7" t="str">
        <x:v>Odd-numbered episodes 1,3,...,39</x:v>
      </x:c>
    </x:row>
    <x:row r="9" ht="36" customHeight="1">
      <x:c r="A9" s="7" t="str">
        <x:v>Closed transfer queries</x:v>
      </x:c>
      <x:c r="B9" s="7" t="n">
        <x:f>COUNTIFS('Evaluation Plan'!$B$2:$B$111,"Concept/compositional transfer",'Evaluation Plan'!$I$2:$I$111,"closed")</x:f>
        <x:v>15</x:v>
      </x:c>
      <x:c r="C9" s="7" t="n">
        <x:v>15</x:v>
      </x:c>
      <x:c r="D9" s="7" t="str">
        <x:f>IF(B9=C9,"PASS","CHECK")</x:f>
        <x:v>PASS</x:v>
      </x:c>
      <x:c r="E9" s="7" t="str">
        <x:v>Held-out state word</x:v>
      </x:c>
    </x:row>
    <x:row r="10" ht="36" customHeight="1">
      <x:c r="A10" s="7" t="str">
        <x:v>Upright transfer queries</x:v>
      </x:c>
      <x:c r="B10" s="7" t="n">
        <x:f>COUNTIFS('Evaluation Plan'!$B$2:$B$111,"Concept/compositional transfer",'Evaluation Plan'!$I$2:$I$111,"upright")</x:f>
        <x:v>15</x:v>
      </x:c>
      <x:c r="C10" s="7" t="n">
        <x:v>15</x:v>
      </x:c>
      <x:c r="D10" s="7" t="str">
        <x:f>IF(B10=C10,"PASS","CHECK")</x:f>
        <x:v>PASS</x:v>
      </x:c>
      <x:c r="E10" s="7" t="str">
        <x:v>Held-out state word; includes can transfer</x:v>
      </x:c>
    </x:row>
    <x:row r="11" ht="36" customHeight="1">
      <x:c r="A11" s="7" t="str">
        <x:v>Open transfer queries</x:v>
      </x:c>
      <x:c r="B11" s="7" t="n">
        <x:f>COUNTIFS('Evaluation Plan'!$B$2:$B$111,"Concept/compositional transfer",'Evaluation Plan'!$I$2:$I$111,"open")</x:f>
        <x:v>10</x:v>
      </x:c>
      <x:c r="C11" s="7" t="n">
        <x:v>10</x:v>
      </x:c>
      <x:c r="D11" s="7" t="str">
        <x:f>IF(B11=C11,"PASS","CHECK")</x:f>
        <x:v>PASS</x:v>
      </x:c>
      <x:c r="E11" s="7" t="str">
        <x:v>Seen state word in category-general prompt</x:v>
      </x:c>
    </x:row>
    <x:row r="12" ht="36" customHeight="1">
      <x:c r="A12" s="7" t="str">
        <x:v>Upside-down transfer queries</x:v>
      </x:c>
      <x:c r="B12" s="7" t="n">
        <x:f>COUNTIFS('Evaluation Plan'!$B$2:$B$111,"Concept/compositional transfer",'Evaluation Plan'!$I$2:$I$111,"upside-down")</x:f>
        <x:v>10</x:v>
      </x:c>
      <x:c r="C12" s="7" t="n">
        <x:v>10</x:v>
      </x:c>
      <x:c r="D12" s="7" t="str">
        <x:f>IF(B12=C12,"PASS","CHECK")</x:f>
        <x:v>PASS</x:v>
      </x:c>
      <x:c r="E12" s="7" t="str">
        <x:v>Seen state word; includes can transfer</x:v>
      </x:c>
    </x:row>
    <x:row r="13" ht="36" customHeight="1">
      <x:c r="A13" s="7" t="str">
        <x:v>Globally unseen visual rows</x:v>
      </x:c>
      <x:c r="B13" s="7" t="n">
        <x:f>COUNTIF('Evaluation Plan'!$J$2:$J$111,"Globally unseen — inventory confirmation required")</x:f>
        <x:v>20</x:v>
      </x:c>
      <x:c r="C13" s="7" t="n">
        <x:v>20</x:v>
      </x:c>
      <x:c r="D13" s="7" t="str">
        <x:f>IF(B13=C13,"PASS","CHECK")</x:f>
        <x:v>PASS</x:v>
      </x:c>
      <x:c r="E13" s="7" t="str">
        <x:v>Requires inventory confirmation before evaluation</x:v>
      </x:c>
    </x:row>
    <x:row r="14" ht="36" customHeight="1">
      <x:c r="A14" s="7" t="str">
        <x:v>Language rows with reference episode</x:v>
      </x:c>
      <x:c r="B14" s="7" t="n">
        <x:f>COUNTIFS('Evaluation Plan'!$B$2:$B$111,"Language robustness",'Evaluation Plan'!$E$2:$E$111,"&gt;=0")</x:f>
        <x:v>20</x:v>
      </x:c>
      <x:c r="C14" s="7" t="n">
        <x:v>20</x:v>
      </x:c>
      <x:c r="D14" s="7" t="str">
        <x:f>IF(B14=C14,"PASS","CHECK")</x:f>
        <x:v>PASS</x:v>
      </x:c>
      <x:c r="E14" s="7" t="str">
        <x:v>Exact scene baseline exists</x:v>
      </x:c>
    </x:row>
    <x:row r="15" ht="36" customHeight="1">
      <x:c r="A15" s="7" t="str">
        <x:v>Control rows with reference episode</x:v>
      </x:c>
      <x:c r="B15" s="7" t="n">
        <x:f>COUNTIFS('Evaluation Plan'!$B$2:$B$111,"Matched manipulation control",'Evaluation Plan'!$E$2:$E$111,"&gt;=0")</x:f>
        <x:v>20</x:v>
      </x:c>
      <x:c r="C15" s="7" t="n">
        <x:v>20</x:v>
      </x:c>
      <x:c r="D15" s="7" t="str">
        <x:f>IF(B15=C15,"PASS","CHECK")</x:f>
        <x:v>PASS</x:v>
      </x:c>
      <x:c r="E15" s="7" t="str">
        <x:v>Exact same-scene transfer baseline exists</x:v>
      </x:c>
    </x:row>
  </x:sheetData>
  <x:conditionalFormatting sqref="D2:D15">
    <x:cfRule type="containsText" dxfId="5" priority="1" operator="containsText" text="PASS"/>
    <x:cfRule type="containsText" dxfId="6" priority="2" operator="containsText" text="CHECK"/>
  </x:conditionalFormatting>
  <x:pageMargins left="0.7" right="0.7" top="0.75" bottom="0.75" header="0.3" footer="0.3"/>
  <x:tableParts count="1">
    <x:tablePart xmlns:r="http://schemas.openxmlformats.org/officeDocument/2006/relationships" r:id="R2fdbba2a29c1406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9" hidden="0" customWidth="1"/>
    <x:col min="3" max="3" width="13" hidden="0" customWidth="1"/>
    <x:col min="4" max="4" width="12" hidden="0" customWidth="1"/>
    <x:col min="5" max="5" width="40" hidden="0" customWidth="1"/>
    <x:col min="6" max="6" width="76" hidden="0" customWidth="1"/>
    <x:col min="7" max="7" width="24" hidden="0" customWidth="1"/>
    <x:col min="8" max="8" width="14" hidden="0" customWidth="1"/>
    <x:col min="9" max="9" width="17" hidden="0" customWidth="1"/>
    <x:col min="10" max="10" width="24" hidden="0" customWidth="1"/>
    <x:col min="11" max="11" width="42" hidden="0" customWidth="1"/>
  </x:cols>
  <x:sheetData>
    <x:row r="1" ht="34" customHeight="1">
      <x:c r="A1" s="5" t="str">
        <x:v>Episode</x:v>
      </x:c>
      <x:c r="B1" s="5" t="str">
        <x:v>Condition</x:v>
      </x:c>
      <x:c r="C1" s="5" t="str">
        <x:v>Scene Family</x:v>
      </x:c>
      <x:c r="D1" s="5" t="str">
        <x:v>Reference Episode</x:v>
      </x:c>
      <x:c r="E1" s="5" t="str">
        <x:v>Prompt</x:v>
      </x:c>
      <x:c r="F1" s="5" t="str">
        <x:v>Scene Setup</x:v>
      </x:c>
      <x:c r="G1" s="5" t="str">
        <x:v>Expected Target</x:v>
      </x:c>
      <x:c r="H1" s="5" t="str">
        <x:v>Status</x:v>
      </x:c>
      <x:c r="I1" s="5" t="str">
        <x:v>Outcome</x:v>
      </x:c>
      <x:c r="J1" s="5" t="str">
        <x:v>Failure Mode</x:v>
      </x:c>
      <x:c r="K1" s="5" t="str">
        <x:v>Notes</x:v>
      </x:c>
    </x:row>
    <x:row r="2" ht="54" customHeight="1">
      <x:c r="A2" s="10" t="n">
        <x:f>'Evaluation Plan'!A2</x:f>
        <x:v>0</x:v>
      </x:c>
      <x:c r="B2" s="10" t="str">
        <x:f>'Evaluation Plan'!B2</x:f>
        <x:v>Concept/compositional transfer</x:v>
      </x:c>
      <x:c r="C2" s="10" t="str">
        <x:f>'Evaluation Plan'!D2</x:f>
        <x:v>SR-F01</x:v>
      </x:c>
      <x:c r="D2" s="10" t="str">
        <x:f>IF('Evaluation Plan'!B2="Concept/compositional transfer","",'Evaluation Plan'!E2)</x:f>
      </x:c>
      <x:c r="E2" s="7" t="str">
        <x:f>'Evaluation Plan'!F2</x:f>
        <x:v>Place the closed object in the bowl.</x:v>
      </x:c>
      <x:c r="F2" s="7" t="str">
        <x:f>'Evaluation Plan'!G2</x:f>
        <x:v>P1 white cup A (C, UR) [TARGET]; P2 yellow-white striped cup A (O, UD); P3 brown cup B (O, UR); P4 glass spice container A (O, UD)</x:v>
      </x:c>
      <x:c r="G2" s="10" t="str">
        <x:f>'Evaluation Plan'!H2</x:f>
        <x:v>white cup A</x:v>
      </x:c>
      <x:c r="H2" s="10" t="str">
        <x:v>Not started</x:v>
      </x:c>
      <x:c r="I2" s="10"/>
      <x:c r="J2" s="10"/>
      <x:c r="K2" s="7"/>
    </x:row>
    <x:row r="3" ht="54" customHeight="1">
      <x:c r="A3" s="10" t="n">
        <x:f>'Evaluation Plan'!A3</x:f>
        <x:v>1</x:v>
      </x:c>
      <x:c r="B3" s="10" t="str">
        <x:f>'Evaluation Plan'!B3</x:f>
        <x:v>Matched manipulation control</x:v>
      </x:c>
      <x:c r="C3" s="10" t="str">
        <x:f>'Evaluation Plan'!D3</x:f>
        <x:v>SR-F01</x:v>
      </x:c>
      <x:c r="D3" s="10" t="n">
        <x:f>IF('Evaluation Plan'!B3="Concept/compositional transfer","",'Evaluation Plan'!E3)</x:f>
        <x:v>0</x:v>
      </x:c>
      <x:c r="E3" s="7" t="str">
        <x:f>'Evaluation Plan'!F3</x:f>
        <x:v>Place the white cup in the bowl.</x:v>
      </x:c>
      <x:c r="F3" s="7" t="str">
        <x:f>'Evaluation Plan'!G3</x:f>
        <x:v>P1 white cup A (C, UR) [TARGET]; P2 yellow-white striped cup A (O, UD); P3 brown cup B (O, UR); P4 glass spice container A (O, UD)</x:v>
      </x:c>
      <x:c r="G3" s="10" t="str">
        <x:f>'Evaluation Plan'!H3</x:f>
        <x:v>white cup A</x:v>
      </x:c>
      <x:c r="H3" s="10" t="str">
        <x:v>Not started</x:v>
      </x:c>
      <x:c r="I3" s="10"/>
      <x:c r="J3" s="10"/>
      <x:c r="K3" s="7"/>
    </x:row>
    <x:row r="4" ht="54" customHeight="1">
      <x:c r="A4" s="10" t="n">
        <x:f>'Evaluation Plan'!A4</x:f>
        <x:v>2</x:v>
      </x:c>
      <x:c r="B4" s="10" t="str">
        <x:f>'Evaluation Plan'!B4</x:f>
        <x:v>Concept/compositional transfer</x:v>
      </x:c>
      <x:c r="C4" s="10" t="str">
        <x:f>'Evaluation Plan'!D4</x:f>
        <x:v>SR-F02</x:v>
      </x:c>
      <x:c r="D4" s="10" t="str">
        <x:f>IF('Evaluation Plan'!B4="Concept/compositional transfer","",'Evaluation Plan'!E4)</x:f>
      </x:c>
      <x:c r="E4" s="7" t="str">
        <x:f>'Evaluation Plan'!F4</x:f>
        <x:v>Put the closed object in the bowl.</x:v>
      </x:c>
      <x:c r="F4" s="7" t="str">
        <x:f>'Evaluation Plan'!G4</x:f>
        <x:v>P1 white cup A (O, UD); P2 yellow-white striped cup B (C, UD) [TARGET]; P3 brown cup A (O, UD); P4 glass spice container B (O, UR)</x:v>
      </x:c>
      <x:c r="G4" s="10" t="str">
        <x:f>'Evaluation Plan'!H4</x:f>
        <x:v>yellow-white striped cup B</x:v>
      </x:c>
      <x:c r="H4" s="10" t="str">
        <x:v>Not started</x:v>
      </x:c>
      <x:c r="I4" s="10"/>
      <x:c r="J4" s="10"/>
      <x:c r="K4" s="7"/>
    </x:row>
    <x:row r="5" ht="54" customHeight="1">
      <x:c r="A5" s="10" t="n">
        <x:f>'Evaluation Plan'!A5</x:f>
        <x:v>3</x:v>
      </x:c>
      <x:c r="B5" s="10" t="str">
        <x:f>'Evaluation Plan'!B5</x:f>
        <x:v>Matched manipulation control</x:v>
      </x:c>
      <x:c r="C5" s="10" t="str">
        <x:f>'Evaluation Plan'!D5</x:f>
        <x:v>SR-F02</x:v>
      </x:c>
      <x:c r="D5" s="10" t="n">
        <x:f>IF('Evaluation Plan'!B5="Concept/compositional transfer","",'Evaluation Plan'!E5)</x:f>
        <x:v>2</x:v>
      </x:c>
      <x:c r="E5" s="7" t="str">
        <x:f>'Evaluation Plan'!F5</x:f>
        <x:v>Put the yellow-white striped cup in the bowl.</x:v>
      </x:c>
      <x:c r="F5" s="7" t="str">
        <x:f>'Evaluation Plan'!G5</x:f>
        <x:v>P1 white cup A (O, UD); P2 yellow-white striped cup B (C, UD) [TARGET]; P3 brown cup A (O, UD); P4 glass spice container B (O, UR)</x:v>
      </x:c>
      <x:c r="G5" s="10" t="str">
        <x:f>'Evaluation Plan'!H5</x:f>
        <x:v>yellow-white striped cup B</x:v>
      </x:c>
      <x:c r="H5" s="10" t="str">
        <x:v>Not started</x:v>
      </x:c>
      <x:c r="I5" s="10"/>
      <x:c r="J5" s="10"/>
      <x:c r="K5" s="7"/>
    </x:row>
    <x:row r="6" ht="54" customHeight="1">
      <x:c r="A6" s="10" t="n">
        <x:f>'Evaluation Plan'!A6</x:f>
        <x:v>4</x:v>
      </x:c>
      <x:c r="B6" s="10" t="str">
        <x:f>'Evaluation Plan'!B6</x:f>
        <x:v>Concept/compositional transfer</x:v>
      </x:c>
      <x:c r="C6" s="10" t="str">
        <x:f>'Evaluation Plan'!D6</x:f>
        <x:v>SR-F03</x:v>
      </x:c>
      <x:c r="D6" s="10" t="str">
        <x:f>IF('Evaluation Plan'!B6="Concept/compositional transfer","",'Evaluation Plan'!E6)</x:f>
      </x:c>
      <x:c r="E6" s="7" t="str">
        <x:f>'Evaluation Plan'!F6</x:f>
        <x:v>Move the closed object into the bowl.</x:v>
      </x:c>
      <x:c r="F6" s="7" t="str">
        <x:f>'Evaluation Plan'!G6</x:f>
        <x:v>P1 white cup B (O, UR); P2 yellow-white striped cup A (O, UD); P3 brown cup A (C, UR) [TARGET]; P4 glass spice container A (O, UD)</x:v>
      </x:c>
      <x:c r="G6" s="10" t="str">
        <x:f>'Evaluation Plan'!H6</x:f>
        <x:v>brown cup A</x:v>
      </x:c>
      <x:c r="H6" s="10" t="str">
        <x:v>Not started</x:v>
      </x:c>
      <x:c r="I6" s="10"/>
      <x:c r="J6" s="10"/>
      <x:c r="K6" s="7"/>
    </x:row>
    <x:row r="7" ht="54" customHeight="1">
      <x:c r="A7" s="10" t="n">
        <x:f>'Evaluation Plan'!A7</x:f>
        <x:v>5</x:v>
      </x:c>
      <x:c r="B7" s="10" t="str">
        <x:f>'Evaluation Plan'!B7</x:f>
        <x:v>Matched manipulation control</x:v>
      </x:c>
      <x:c r="C7" s="10" t="str">
        <x:f>'Evaluation Plan'!D7</x:f>
        <x:v>SR-F03</x:v>
      </x:c>
      <x:c r="D7" s="10" t="n">
        <x:f>IF('Evaluation Plan'!B7="Concept/compositional transfer","",'Evaluation Plan'!E7)</x:f>
        <x:v>4</x:v>
      </x:c>
      <x:c r="E7" s="7" t="str">
        <x:f>'Evaluation Plan'!F7</x:f>
        <x:v>Move the brown cup into the bowl.</x:v>
      </x:c>
      <x:c r="F7" s="7" t="str">
        <x:f>'Evaluation Plan'!G7</x:f>
        <x:v>P1 white cup B (O, UR); P2 yellow-white striped cup A (O, UD); P3 brown cup A (C, UR) [TARGET]; P4 glass spice container A (O, UD)</x:v>
      </x:c>
      <x:c r="G7" s="10" t="str">
        <x:f>'Evaluation Plan'!H7</x:f>
        <x:v>brown cup A</x:v>
      </x:c>
      <x:c r="H7" s="10" t="str">
        <x:v>Not started</x:v>
      </x:c>
      <x:c r="I7" s="10"/>
      <x:c r="J7" s="10"/>
      <x:c r="K7" s="7"/>
    </x:row>
    <x:row r="8" ht="54" customHeight="1">
      <x:c r="A8" s="10" t="n">
        <x:f>'Evaluation Plan'!A8</x:f>
        <x:v>6</x:v>
      </x:c>
      <x:c r="B8" s="10" t="str">
        <x:f>'Evaluation Plan'!B8</x:f>
        <x:v>Concept/compositional transfer</x:v>
      </x:c>
      <x:c r="C8" s="10" t="str">
        <x:f>'Evaluation Plan'!D8</x:f>
        <x:v>SR-F04</x:v>
      </x:c>
      <x:c r="D8" s="10" t="str">
        <x:f>IF('Evaluation Plan'!B8="Concept/compositional transfer","",'Evaluation Plan'!E8)</x:f>
      </x:c>
      <x:c r="E8" s="7" t="str">
        <x:f>'Evaluation Plan'!F8</x:f>
        <x:v>Place the closed object in the bowl.</x:v>
      </x:c>
      <x:c r="F8" s="7" t="str">
        <x:f>'Evaluation Plan'!G8</x:f>
        <x:v>P1 white cup A (O, UD); P2 yellow-white striped cup B (O, UR); P3 brown cup A (O, UD); P4 glass spice container B (C, UD) [TARGET]</x:v>
      </x:c>
      <x:c r="G8" s="10" t="str">
        <x:f>'Evaluation Plan'!H8</x:f>
        <x:v>glass spice container B</x:v>
      </x:c>
      <x:c r="H8" s="10" t="str">
        <x:v>Not started</x:v>
      </x:c>
      <x:c r="I8" s="10"/>
      <x:c r="J8" s="10"/>
      <x:c r="K8" s="7"/>
    </x:row>
    <x:row r="9" ht="54" customHeight="1">
      <x:c r="A9" s="10" t="n">
        <x:f>'Evaluation Plan'!A9</x:f>
        <x:v>7</x:v>
      </x:c>
      <x:c r="B9" s="10" t="str">
        <x:f>'Evaluation Plan'!B9</x:f>
        <x:v>Matched manipulation control</x:v>
      </x:c>
      <x:c r="C9" s="10" t="str">
        <x:f>'Evaluation Plan'!D9</x:f>
        <x:v>SR-F04</x:v>
      </x:c>
      <x:c r="D9" s="10" t="n">
        <x:f>IF('Evaluation Plan'!B9="Concept/compositional transfer","",'Evaluation Plan'!E9)</x:f>
        <x:v>6</x:v>
      </x:c>
      <x:c r="E9" s="7" t="str">
        <x:f>'Evaluation Plan'!F9</x:f>
        <x:v>Place the glass spice container in the bowl.</x:v>
      </x:c>
      <x:c r="F9" s="7" t="str">
        <x:f>'Evaluation Plan'!G9</x:f>
        <x:v>P1 white cup A (O, UD); P2 yellow-white striped cup B (O, UR); P3 brown cup A (O, UD); P4 glass spice container B (C, UD) [TARGET]</x:v>
      </x:c>
      <x:c r="G9" s="10" t="str">
        <x:f>'Evaluation Plan'!H9</x:f>
        <x:v>glass spice container B</x:v>
      </x:c>
      <x:c r="H9" s="10" t="str">
        <x:v>Not started</x:v>
      </x:c>
      <x:c r="I9" s="10"/>
      <x:c r="J9" s="10"/>
      <x:c r="K9" s="7"/>
    </x:row>
    <x:row r="10" ht="54" customHeight="1">
      <x:c r="A10" s="10" t="n">
        <x:f>'Evaluation Plan'!A10</x:f>
        <x:v>8</x:v>
      </x:c>
      <x:c r="B10" s="10" t="str">
        <x:f>'Evaluation Plan'!B10</x:f>
        <x:v>Concept/compositional transfer</x:v>
      </x:c>
      <x:c r="C10" s="10" t="str">
        <x:f>'Evaluation Plan'!D10</x:f>
        <x:v>SR-F05</x:v>
      </x:c>
      <x:c r="D10" s="10" t="str">
        <x:f>IF('Evaluation Plan'!B10="Concept/compositional transfer","",'Evaluation Plan'!E10)</x:f>
      </x:c>
      <x:c r="E10" s="7" t="str">
        <x:f>'Evaluation Plan'!F10</x:f>
        <x:v>Put the closed object in the bowl.</x:v>
      </x:c>
      <x:c r="F10" s="7" t="str">
        <x:f>'Evaluation Plan'!G10</x:f>
        <x:v>P1 white cup A (C, UR) [TARGET]; P2 yellow-white striped cup A (O, UD); P3 brown cup B (O, UR); P4 glass spice container A (O, UD)</x:v>
      </x:c>
      <x:c r="G10" s="10" t="str">
        <x:f>'Evaluation Plan'!H10</x:f>
        <x:v>white cup A</x:v>
      </x:c>
      <x:c r="H10" s="10" t="str">
        <x:v>Not started</x:v>
      </x:c>
      <x:c r="I10" s="10"/>
      <x:c r="J10" s="10"/>
      <x:c r="K10" s="7"/>
    </x:row>
    <x:row r="11" ht="54" customHeight="1">
      <x:c r="A11" s="10" t="n">
        <x:f>'Evaluation Plan'!A11</x:f>
        <x:v>9</x:v>
      </x:c>
      <x:c r="B11" s="10" t="str">
        <x:f>'Evaluation Plan'!B11</x:f>
        <x:v>Matched manipulation control</x:v>
      </x:c>
      <x:c r="C11" s="10" t="str">
        <x:f>'Evaluation Plan'!D11</x:f>
        <x:v>SR-F05</x:v>
      </x:c>
      <x:c r="D11" s="10" t="n">
        <x:f>IF('Evaluation Plan'!B11="Concept/compositional transfer","",'Evaluation Plan'!E11)</x:f>
        <x:v>8</x:v>
      </x:c>
      <x:c r="E11" s="7" t="str">
        <x:f>'Evaluation Plan'!F11</x:f>
        <x:v>Put the white cup in the bowl.</x:v>
      </x:c>
      <x:c r="F11" s="7" t="str">
        <x:f>'Evaluation Plan'!G11</x:f>
        <x:v>P1 white cup A (C, UR) [TARGET]; P2 yellow-white striped cup A (O, UD); P3 brown cup B (O, UR); P4 glass spice container A (O, UD)</x:v>
      </x:c>
      <x:c r="G11" s="10" t="str">
        <x:f>'Evaluation Plan'!H11</x:f>
        <x:v>white cup A</x:v>
      </x:c>
      <x:c r="H11" s="10" t="str">
        <x:v>Not started</x:v>
      </x:c>
      <x:c r="I11" s="10"/>
      <x:c r="J11" s="10"/>
      <x:c r="K11" s="7"/>
    </x:row>
    <x:row r="12" ht="54" customHeight="1">
      <x:c r="A12" s="10" t="n">
        <x:f>'Evaluation Plan'!A12</x:f>
        <x:v>10</x:v>
      </x:c>
      <x:c r="B12" s="10" t="str">
        <x:f>'Evaluation Plan'!B12</x:f>
        <x:v>Concept/compositional transfer</x:v>
      </x:c>
      <x:c r="C12" s="10" t="str">
        <x:f>'Evaluation Plan'!D12</x:f>
        <x:v>SR-F06</x:v>
      </x:c>
      <x:c r="D12" s="10" t="str">
        <x:f>IF('Evaluation Plan'!B12="Concept/compositional transfer","",'Evaluation Plan'!E12)</x:f>
      </x:c>
      <x:c r="E12" s="7" t="str">
        <x:f>'Evaluation Plan'!F12</x:f>
        <x:v>Move the closed object into the bowl.</x:v>
      </x:c>
      <x:c r="F12" s="7" t="str">
        <x:f>'Evaluation Plan'!G12</x:f>
        <x:v>P1 white cup A (O, UD); P2 yellow-white striped cup B (C, UD) [TARGET]; P3 brown cup A (O, UD); P4 glass spice container B (O, UR)</x:v>
      </x:c>
      <x:c r="G12" s="10" t="str">
        <x:f>'Evaluation Plan'!H12</x:f>
        <x:v>yellow-white striped cup B</x:v>
      </x:c>
      <x:c r="H12" s="10" t="str">
        <x:v>Not started</x:v>
      </x:c>
      <x:c r="I12" s="10"/>
      <x:c r="J12" s="10"/>
      <x:c r="K12" s="7"/>
    </x:row>
    <x:row r="13" ht="54" customHeight="1">
      <x:c r="A13" s="10" t="n">
        <x:f>'Evaluation Plan'!A13</x:f>
        <x:v>11</x:v>
      </x:c>
      <x:c r="B13" s="10" t="str">
        <x:f>'Evaluation Plan'!B13</x:f>
        <x:v>Matched manipulation control</x:v>
      </x:c>
      <x:c r="C13" s="10" t="str">
        <x:f>'Evaluation Plan'!D13</x:f>
        <x:v>SR-F06</x:v>
      </x:c>
      <x:c r="D13" s="10" t="n">
        <x:f>IF('Evaluation Plan'!B13="Concept/compositional transfer","",'Evaluation Plan'!E13)</x:f>
        <x:v>10</x:v>
      </x:c>
      <x:c r="E13" s="7" t="str">
        <x:f>'Evaluation Plan'!F13</x:f>
        <x:v>Move the yellow-white striped cup into the bowl.</x:v>
      </x:c>
      <x:c r="F13" s="7" t="str">
        <x:f>'Evaluation Plan'!G13</x:f>
        <x:v>P1 white cup A (O, UD); P2 yellow-white striped cup B (C, UD) [TARGET]; P3 brown cup A (O, UD); P4 glass spice container B (O, UR)</x:v>
      </x:c>
      <x:c r="G13" s="10" t="str">
        <x:f>'Evaluation Plan'!H13</x:f>
        <x:v>yellow-white striped cup B</x:v>
      </x:c>
      <x:c r="H13" s="10" t="str">
        <x:v>Not started</x:v>
      </x:c>
      <x:c r="I13" s="10"/>
      <x:c r="J13" s="10"/>
      <x:c r="K13" s="7"/>
    </x:row>
    <x:row r="14" ht="54" customHeight="1">
      <x:c r="A14" s="10" t="n">
        <x:f>'Evaluation Plan'!A14</x:f>
        <x:v>12</x:v>
      </x:c>
      <x:c r="B14" s="10" t="str">
        <x:f>'Evaluation Plan'!B14</x:f>
        <x:v>Concept/compositional transfer</x:v>
      </x:c>
      <x:c r="C14" s="10" t="str">
        <x:f>'Evaluation Plan'!D14</x:f>
        <x:v>SR-F07</x:v>
      </x:c>
      <x:c r="D14" s="10" t="str">
        <x:f>IF('Evaluation Plan'!B14="Concept/compositional transfer","",'Evaluation Plan'!E14)</x:f>
      </x:c>
      <x:c r="E14" s="7" t="str">
        <x:f>'Evaluation Plan'!F14</x:f>
        <x:v>Place the closed object in the bowl.</x:v>
      </x:c>
      <x:c r="F14" s="7" t="str">
        <x:f>'Evaluation Plan'!G14</x:f>
        <x:v>P1 white cup B (O, UR); P2 yellow-white striped cup A (O, UD); P3 brown cup A (C, UR) [TARGET]; P4 glass spice container A (O, UD)</x:v>
      </x:c>
      <x:c r="G14" s="10" t="str">
        <x:f>'Evaluation Plan'!H14</x:f>
        <x:v>brown cup A</x:v>
      </x:c>
      <x:c r="H14" s="10" t="str">
        <x:v>Not started</x:v>
      </x:c>
      <x:c r="I14" s="10"/>
      <x:c r="J14" s="10"/>
      <x:c r="K14" s="7"/>
    </x:row>
    <x:row r="15" ht="54" customHeight="1">
      <x:c r="A15" s="10" t="n">
        <x:f>'Evaluation Plan'!A15</x:f>
        <x:v>13</x:v>
      </x:c>
      <x:c r="B15" s="10" t="str">
        <x:f>'Evaluation Plan'!B15</x:f>
        <x:v>Matched manipulation control</x:v>
      </x:c>
      <x:c r="C15" s="10" t="str">
        <x:f>'Evaluation Plan'!D15</x:f>
        <x:v>SR-F07</x:v>
      </x:c>
      <x:c r="D15" s="10" t="n">
        <x:f>IF('Evaluation Plan'!B15="Concept/compositional transfer","",'Evaluation Plan'!E15)</x:f>
        <x:v>12</x:v>
      </x:c>
      <x:c r="E15" s="7" t="str">
        <x:f>'Evaluation Plan'!F15</x:f>
        <x:v>Place the brown cup in the bowl.</x:v>
      </x:c>
      <x:c r="F15" s="7" t="str">
        <x:f>'Evaluation Plan'!G15</x:f>
        <x:v>P1 white cup B (O, UR); P2 yellow-white striped cup A (O, UD); P3 brown cup A (C, UR) [TARGET]; P4 glass spice container A (O, UD)</x:v>
      </x:c>
      <x:c r="G15" s="10" t="str">
        <x:f>'Evaluation Plan'!H15</x:f>
        <x:v>brown cup A</x:v>
      </x:c>
      <x:c r="H15" s="10" t="str">
        <x:v>Not started</x:v>
      </x:c>
      <x:c r="I15" s="10"/>
      <x:c r="J15" s="10"/>
      <x:c r="K15" s="7"/>
    </x:row>
    <x:row r="16" ht="54" customHeight="1">
      <x:c r="A16" s="10" t="n">
        <x:f>'Evaluation Plan'!A16</x:f>
        <x:v>14</x:v>
      </x:c>
      <x:c r="B16" s="10" t="str">
        <x:f>'Evaluation Plan'!B16</x:f>
        <x:v>Concept/compositional transfer</x:v>
      </x:c>
      <x:c r="C16" s="10" t="str">
        <x:f>'Evaluation Plan'!D16</x:f>
        <x:v>SR-F08</x:v>
      </x:c>
      <x:c r="D16" s="10" t="str">
        <x:f>IF('Evaluation Plan'!B16="Concept/compositional transfer","",'Evaluation Plan'!E16)</x:f>
      </x:c>
      <x:c r="E16" s="7" t="str">
        <x:f>'Evaluation Plan'!F16</x:f>
        <x:v>Put the closed object in the bowl.</x:v>
      </x:c>
      <x:c r="F16" s="7" t="str">
        <x:f>'Evaluation Plan'!G16</x:f>
        <x:v>P1 white cup A (O, UD); P2 yellow-white striped cup B (O, UR); P3 brown cup A (O, UD); P4 glass spice container B (C, UD) [TARGET]</x:v>
      </x:c>
      <x:c r="G16" s="10" t="str">
        <x:f>'Evaluation Plan'!H16</x:f>
        <x:v>glass spice container B</x:v>
      </x:c>
      <x:c r="H16" s="10" t="str">
        <x:v>Not started</x:v>
      </x:c>
      <x:c r="I16" s="10"/>
      <x:c r="J16" s="10"/>
      <x:c r="K16" s="7"/>
    </x:row>
    <x:row r="17" ht="54" customHeight="1">
      <x:c r="A17" s="10" t="n">
        <x:f>'Evaluation Plan'!A17</x:f>
        <x:v>15</x:v>
      </x:c>
      <x:c r="B17" s="10" t="str">
        <x:f>'Evaluation Plan'!B17</x:f>
        <x:v>Matched manipulation control</x:v>
      </x:c>
      <x:c r="C17" s="10" t="str">
        <x:f>'Evaluation Plan'!D17</x:f>
        <x:v>SR-F08</x:v>
      </x:c>
      <x:c r="D17" s="10" t="n">
        <x:f>IF('Evaluation Plan'!B17="Concept/compositional transfer","",'Evaluation Plan'!E17)</x:f>
        <x:v>14</x:v>
      </x:c>
      <x:c r="E17" s="7" t="str">
        <x:f>'Evaluation Plan'!F17</x:f>
        <x:v>Put the glass spice container in the bowl.</x:v>
      </x:c>
      <x:c r="F17" s="7" t="str">
        <x:f>'Evaluation Plan'!G17</x:f>
        <x:v>P1 white cup A (O, UD); P2 yellow-white striped cup B (O, UR); P3 brown cup A (O, UD); P4 glass spice container B (C, UD) [TARGET]</x:v>
      </x:c>
      <x:c r="G17" s="10" t="str">
        <x:f>'Evaluation Plan'!H17</x:f>
        <x:v>glass spice container B</x:v>
      </x:c>
      <x:c r="H17" s="10" t="str">
        <x:v>Not started</x:v>
      </x:c>
      <x:c r="I17" s="10"/>
      <x:c r="J17" s="10"/>
      <x:c r="K17" s="7"/>
    </x:row>
    <x:row r="18" ht="54" customHeight="1">
      <x:c r="A18" s="10" t="n">
        <x:f>'Evaluation Plan'!A18</x:f>
        <x:v>16</x:v>
      </x:c>
      <x:c r="B18" s="10" t="str">
        <x:f>'Evaluation Plan'!B18</x:f>
        <x:v>Concept/compositional transfer</x:v>
      </x:c>
      <x:c r="C18" s="10" t="str">
        <x:f>'Evaluation Plan'!D18</x:f>
        <x:v>SR-F09</x:v>
      </x:c>
      <x:c r="D18" s="10" t="str">
        <x:f>IF('Evaluation Plan'!B18="Concept/compositional transfer","",'Evaluation Plan'!E18)</x:f>
      </x:c>
      <x:c r="E18" s="7" t="str">
        <x:f>'Evaluation Plan'!F18</x:f>
        <x:v>Move the closed object into the bowl.</x:v>
      </x:c>
      <x:c r="F18" s="7" t="str">
        <x:f>'Evaluation Plan'!G18</x:f>
        <x:v>P1 white cup A (C, UR) [TARGET]; P2 yellow-white striped cup A (O, UD); P3 brown cup B (O, UR); P4 glass spice container A (O, UD)</x:v>
      </x:c>
      <x:c r="G18" s="10" t="str">
        <x:f>'Evaluation Plan'!H18</x:f>
        <x:v>white cup A</x:v>
      </x:c>
      <x:c r="H18" s="10" t="str">
        <x:v>Not started</x:v>
      </x:c>
      <x:c r="I18" s="10"/>
      <x:c r="J18" s="10"/>
      <x:c r="K18" s="7"/>
    </x:row>
    <x:row r="19" ht="54" customHeight="1">
      <x:c r="A19" s="10" t="n">
        <x:f>'Evaluation Plan'!A19</x:f>
        <x:v>17</x:v>
      </x:c>
      <x:c r="B19" s="10" t="str">
        <x:f>'Evaluation Plan'!B19</x:f>
        <x:v>Matched manipulation control</x:v>
      </x:c>
      <x:c r="C19" s="10" t="str">
        <x:f>'Evaluation Plan'!D19</x:f>
        <x:v>SR-F09</x:v>
      </x:c>
      <x:c r="D19" s="10" t="n">
        <x:f>IF('Evaluation Plan'!B19="Concept/compositional transfer","",'Evaluation Plan'!E19)</x:f>
        <x:v>16</x:v>
      </x:c>
      <x:c r="E19" s="7" t="str">
        <x:f>'Evaluation Plan'!F19</x:f>
        <x:v>Move the white cup into the bowl.</x:v>
      </x:c>
      <x:c r="F19" s="7" t="str">
        <x:f>'Evaluation Plan'!G19</x:f>
        <x:v>P1 white cup A (C, UR) [TARGET]; P2 yellow-white striped cup A (O, UD); P3 brown cup B (O, UR); P4 glass spice container A (O, UD)</x:v>
      </x:c>
      <x:c r="G19" s="10" t="str">
        <x:f>'Evaluation Plan'!H19</x:f>
        <x:v>white cup A</x:v>
      </x:c>
      <x:c r="H19" s="10" t="str">
        <x:v>Not started</x:v>
      </x:c>
      <x:c r="I19" s="10"/>
      <x:c r="J19" s="10"/>
      <x:c r="K19" s="7"/>
    </x:row>
    <x:row r="20" ht="54" customHeight="1">
      <x:c r="A20" s="10" t="n">
        <x:f>'Evaluation Plan'!A20</x:f>
        <x:v>18</x:v>
      </x:c>
      <x:c r="B20" s="10" t="str">
        <x:f>'Evaluation Plan'!B20</x:f>
        <x:v>Concept/compositional transfer</x:v>
      </x:c>
      <x:c r="C20" s="10" t="str">
        <x:f>'Evaluation Plan'!D20</x:f>
        <x:v>SR-F10</x:v>
      </x:c>
      <x:c r="D20" s="10" t="str">
        <x:f>IF('Evaluation Plan'!B20="Concept/compositional transfer","",'Evaluation Plan'!E20)</x:f>
      </x:c>
      <x:c r="E20" s="7" t="str">
        <x:f>'Evaluation Plan'!F20</x:f>
        <x:v>Place the closed object in the bowl.</x:v>
      </x:c>
      <x:c r="F20" s="7" t="str">
        <x:f>'Evaluation Plan'!G20</x:f>
        <x:v>P1 white cup A (O, UD); P2 brown cup B (C, UD) [TARGET]; P3 yellow-white striped cup A (O, UD); P4 glass spice container B (O, UR)</x:v>
      </x:c>
      <x:c r="G20" s="10" t="str">
        <x:f>'Evaluation Plan'!H20</x:f>
        <x:v>brown cup B</x:v>
      </x:c>
      <x:c r="H20" s="10" t="str">
        <x:v>Not started</x:v>
      </x:c>
      <x:c r="I20" s="10"/>
      <x:c r="J20" s="10"/>
      <x:c r="K20" s="7"/>
    </x:row>
    <x:row r="21" ht="54" customHeight="1">
      <x:c r="A21" s="10" t="n">
        <x:f>'Evaluation Plan'!A21</x:f>
        <x:v>19</x:v>
      </x:c>
      <x:c r="B21" s="10" t="str">
        <x:f>'Evaluation Plan'!B21</x:f>
        <x:v>Matched manipulation control</x:v>
      </x:c>
      <x:c r="C21" s="10" t="str">
        <x:f>'Evaluation Plan'!D21</x:f>
        <x:v>SR-F10</x:v>
      </x:c>
      <x:c r="D21" s="10" t="n">
        <x:f>IF('Evaluation Plan'!B21="Concept/compositional transfer","",'Evaluation Plan'!E21)</x:f>
        <x:v>18</x:v>
      </x:c>
      <x:c r="E21" s="7" t="str">
        <x:f>'Evaluation Plan'!F21</x:f>
        <x:v>Place the brown cup in the bowl.</x:v>
      </x:c>
      <x:c r="F21" s="7" t="str">
        <x:f>'Evaluation Plan'!G21</x:f>
        <x:v>P1 white cup A (O, UD); P2 brown cup B (C, UD) [TARGET]; P3 yellow-white striped cup A (O, UD); P4 glass spice container B (O, UR)</x:v>
      </x:c>
      <x:c r="G21" s="10" t="str">
        <x:f>'Evaluation Plan'!H21</x:f>
        <x:v>brown cup B</x:v>
      </x:c>
      <x:c r="H21" s="10" t="str">
        <x:v>Not started</x:v>
      </x:c>
      <x:c r="I21" s="10"/>
      <x:c r="J21" s="10"/>
      <x:c r="K21" s="7"/>
    </x:row>
    <x:row r="22" ht="54" customHeight="1">
      <x:c r="A22" s="10" t="n">
        <x:f>'Evaluation Plan'!A22</x:f>
        <x:v>20</x:v>
      </x:c>
      <x:c r="B22" s="10" t="str">
        <x:f>'Evaluation Plan'!B22</x:f>
        <x:v>Concept/compositional transfer</x:v>
      </x:c>
      <x:c r="C22" s="10" t="str">
        <x:f>'Evaluation Plan'!D22</x:f>
        <x:v>SR-F11</x:v>
      </x:c>
      <x:c r="D22" s="10" t="str">
        <x:f>IF('Evaluation Plan'!B22="Concept/compositional transfer","",'Evaluation Plan'!E22)</x:f>
      </x:c>
      <x:c r="E22" s="7" t="str">
        <x:f>'Evaluation Plan'!F22</x:f>
        <x:v>Put the upright object in the bowl.</x:v>
      </x:c>
      <x:c r="F22" s="7" t="str">
        <x:f>'Evaluation Plan'!G22</x:f>
        <x:v>P1 yellow-white striped cup B (O, UD); P2 brown cup A (C, UD); P3 white cup A (O, UR) [TARGET]; P4 glass spice container A (C, UD)</x:v>
      </x:c>
      <x:c r="G22" s="10" t="str">
        <x:f>'Evaluation Plan'!H22</x:f>
        <x:v>white cup A</x:v>
      </x:c>
      <x:c r="H22" s="10" t="str">
        <x:v>Not started</x:v>
      </x:c>
      <x:c r="I22" s="10"/>
      <x:c r="J22" s="10"/>
      <x:c r="K22" s="7"/>
    </x:row>
    <x:row r="23" ht="54" customHeight="1">
      <x:c r="A23" s="10" t="n">
        <x:f>'Evaluation Plan'!A23</x:f>
        <x:v>21</x:v>
      </x:c>
      <x:c r="B23" s="10" t="str">
        <x:f>'Evaluation Plan'!B23</x:f>
        <x:v>Matched manipulation control</x:v>
      </x:c>
      <x:c r="C23" s="10" t="str">
        <x:f>'Evaluation Plan'!D23</x:f>
        <x:v>SR-F11</x:v>
      </x:c>
      <x:c r="D23" s="10" t="n">
        <x:f>IF('Evaluation Plan'!B23="Concept/compositional transfer","",'Evaluation Plan'!E23)</x:f>
        <x:v>20</x:v>
      </x:c>
      <x:c r="E23" s="7" t="str">
        <x:f>'Evaluation Plan'!F23</x:f>
        <x:v>Put the white cup in the bowl.</x:v>
      </x:c>
      <x:c r="F23" s="7" t="str">
        <x:f>'Evaluation Plan'!G23</x:f>
        <x:v>P1 yellow-white striped cup B (O, UD); P2 brown cup A (C, UD); P3 white cup A (O, UR) [TARGET]; P4 glass spice container A (C, UD)</x:v>
      </x:c>
      <x:c r="G23" s="10" t="str">
        <x:f>'Evaluation Plan'!H23</x:f>
        <x:v>white cup A</x:v>
      </x:c>
      <x:c r="H23" s="10" t="str">
        <x:v>Not started</x:v>
      </x:c>
      <x:c r="I23" s="10"/>
      <x:c r="J23" s="10"/>
      <x:c r="K23" s="7"/>
    </x:row>
    <x:row r="24" ht="54" customHeight="1">
      <x:c r="A24" s="10" t="n">
        <x:f>'Evaluation Plan'!A24</x:f>
        <x:v>22</x:v>
      </x:c>
      <x:c r="B24" s="10" t="str">
        <x:f>'Evaluation Plan'!B24</x:f>
        <x:v>Concept/compositional transfer</x:v>
      </x:c>
      <x:c r="C24" s="10" t="str">
        <x:f>'Evaluation Plan'!D24</x:f>
        <x:v>SR-F12</x:v>
      </x:c>
      <x:c r="D24" s="10" t="str">
        <x:f>IF('Evaluation Plan'!B24="Concept/compositional transfer","",'Evaluation Plan'!E24)</x:f>
      </x:c>
      <x:c r="E24" s="7" t="str">
        <x:f>'Evaluation Plan'!F24</x:f>
        <x:v>Move the upright object into the bowl.</x:v>
      </x:c>
      <x:c r="F24" s="7" t="str">
        <x:f>'Evaluation Plan'!G24</x:f>
        <x:v>P1 white cup A (C, UD); P2 brown cup B (O, UD); P3 glass spice container A (C, UD); P4 yellow-white striped cup B (C, UR) [TARGET]</x:v>
      </x:c>
      <x:c r="G24" s="10" t="str">
        <x:f>'Evaluation Plan'!H24</x:f>
        <x:v>yellow-white striped cup B</x:v>
      </x:c>
      <x:c r="H24" s="10" t="str">
        <x:v>Not started</x:v>
      </x:c>
      <x:c r="I24" s="10"/>
      <x:c r="J24" s="10"/>
      <x:c r="K24" s="7"/>
    </x:row>
    <x:row r="25" ht="54" customHeight="1">
      <x:c r="A25" s="10" t="n">
        <x:f>'Evaluation Plan'!A25</x:f>
        <x:v>23</x:v>
      </x:c>
      <x:c r="B25" s="10" t="str">
        <x:f>'Evaluation Plan'!B25</x:f>
        <x:v>Matched manipulation control</x:v>
      </x:c>
      <x:c r="C25" s="10" t="str">
        <x:f>'Evaluation Plan'!D25</x:f>
        <x:v>SR-F12</x:v>
      </x:c>
      <x:c r="D25" s="10" t="n">
        <x:f>IF('Evaluation Plan'!B25="Concept/compositional transfer","",'Evaluation Plan'!E25)</x:f>
        <x:v>22</x:v>
      </x:c>
      <x:c r="E25" s="7" t="str">
        <x:f>'Evaluation Plan'!F25</x:f>
        <x:v>Move the yellow-white striped cup into the bowl.</x:v>
      </x:c>
      <x:c r="F25" s="7" t="str">
        <x:f>'Evaluation Plan'!G25</x:f>
        <x:v>P1 white cup A (C, UD); P2 brown cup B (O, UD); P3 glass spice container A (C, UD); P4 yellow-white striped cup B (C, UR) [TARGET]</x:v>
      </x:c>
      <x:c r="G25" s="10" t="str">
        <x:f>'Evaluation Plan'!H25</x:f>
        <x:v>yellow-white striped cup B</x:v>
      </x:c>
      <x:c r="H25" s="10" t="str">
        <x:v>Not started</x:v>
      </x:c>
      <x:c r="I25" s="10"/>
      <x:c r="J25" s="10"/>
      <x:c r="K25" s="7"/>
    </x:row>
    <x:row r="26" ht="54" customHeight="1">
      <x:c r="A26" s="10" t="n">
        <x:f>'Evaluation Plan'!A26</x:f>
        <x:v>24</x:v>
      </x:c>
      <x:c r="B26" s="10" t="str">
        <x:f>'Evaluation Plan'!B26</x:f>
        <x:v>Concept/compositional transfer</x:v>
      </x:c>
      <x:c r="C26" s="10" t="str">
        <x:f>'Evaluation Plan'!D26</x:f>
        <x:v>SR-F13</x:v>
      </x:c>
      <x:c r="D26" s="10" t="str">
        <x:f>IF('Evaluation Plan'!B26="Concept/compositional transfer","",'Evaluation Plan'!E26)</x:f>
      </x:c>
      <x:c r="E26" s="7" t="str">
        <x:f>'Evaluation Plan'!F26</x:f>
        <x:v>Place the upright object in the bowl.</x:v>
      </x:c>
      <x:c r="F26" s="7" t="str">
        <x:f>'Evaluation Plan'!G26</x:f>
        <x:v>P1 brown cup A (O, UR) [TARGET]; P2 white cup A (C, UD); P3 yellow-white striped cup B (O, UD); P4 glass spice container A (C, UD)</x:v>
      </x:c>
      <x:c r="G26" s="10" t="str">
        <x:f>'Evaluation Plan'!H26</x:f>
        <x:v>brown cup A</x:v>
      </x:c>
      <x:c r="H26" s="10" t="str">
        <x:v>Not started</x:v>
      </x:c>
      <x:c r="I26" s="10"/>
      <x:c r="J26" s="10"/>
      <x:c r="K26" s="7"/>
    </x:row>
    <x:row r="27" ht="54" customHeight="1">
      <x:c r="A27" s="10" t="n">
        <x:f>'Evaluation Plan'!A27</x:f>
        <x:v>25</x:v>
      </x:c>
      <x:c r="B27" s="10" t="str">
        <x:f>'Evaluation Plan'!B27</x:f>
        <x:v>Matched manipulation control</x:v>
      </x:c>
      <x:c r="C27" s="10" t="str">
        <x:f>'Evaluation Plan'!D27</x:f>
        <x:v>SR-F13</x:v>
      </x:c>
      <x:c r="D27" s="10" t="n">
        <x:f>IF('Evaluation Plan'!B27="Concept/compositional transfer","",'Evaluation Plan'!E27)</x:f>
        <x:v>24</x:v>
      </x:c>
      <x:c r="E27" s="7" t="str">
        <x:f>'Evaluation Plan'!F27</x:f>
        <x:v>Place the brown cup in the bowl.</x:v>
      </x:c>
      <x:c r="F27" s="7" t="str">
        <x:f>'Evaluation Plan'!G27</x:f>
        <x:v>P1 brown cup A (O, UR) [TARGET]; P2 white cup A (C, UD); P3 yellow-white striped cup B (O, UD); P4 glass spice container A (C, UD)</x:v>
      </x:c>
      <x:c r="G27" s="10" t="str">
        <x:f>'Evaluation Plan'!H27</x:f>
        <x:v>brown cup A</x:v>
      </x:c>
      <x:c r="H27" s="10" t="str">
        <x:v>Not started</x:v>
      </x:c>
      <x:c r="I27" s="10"/>
      <x:c r="J27" s="10"/>
      <x:c r="K27" s="7"/>
    </x:row>
    <x:row r="28" ht="54" customHeight="1">
      <x:c r="A28" s="10" t="n">
        <x:f>'Evaluation Plan'!A28</x:f>
        <x:v>26</x:v>
      </x:c>
      <x:c r="B28" s="10" t="str">
        <x:f>'Evaluation Plan'!B28</x:f>
        <x:v>Concept/compositional transfer</x:v>
      </x:c>
      <x:c r="C28" s="10" t="str">
        <x:f>'Evaluation Plan'!D28</x:f>
        <x:v>SR-F14</x:v>
      </x:c>
      <x:c r="D28" s="10" t="str">
        <x:f>IF('Evaluation Plan'!B28="Concept/compositional transfer","",'Evaluation Plan'!E28)</x:f>
      </x:c>
      <x:c r="E28" s="7" t="str">
        <x:f>'Evaluation Plan'!F28</x:f>
        <x:v>Put the upright object in the bowl.</x:v>
      </x:c>
      <x:c r="F28" s="7" t="str">
        <x:f>'Evaluation Plan'!G28</x:f>
        <x:v>P1 white cup A (C, UD); P2 glass spice container B (C, UR) [TARGET]; P3 yellow-white striped cup A (C, UD); P4 brown cup B (O, UD)</x:v>
      </x:c>
      <x:c r="G28" s="10" t="str">
        <x:f>'Evaluation Plan'!H28</x:f>
        <x:v>glass spice container B</x:v>
      </x:c>
      <x:c r="H28" s="10" t="str">
        <x:v>Not started</x:v>
      </x:c>
      <x:c r="I28" s="10"/>
      <x:c r="J28" s="10"/>
      <x:c r="K28" s="7"/>
    </x:row>
    <x:row r="29" ht="54" customHeight="1">
      <x:c r="A29" s="10" t="n">
        <x:f>'Evaluation Plan'!A29</x:f>
        <x:v>27</x:v>
      </x:c>
      <x:c r="B29" s="10" t="str">
        <x:f>'Evaluation Plan'!B29</x:f>
        <x:v>Matched manipulation control</x:v>
      </x:c>
      <x:c r="C29" s="10" t="str">
        <x:f>'Evaluation Plan'!D29</x:f>
        <x:v>SR-F14</x:v>
      </x:c>
      <x:c r="D29" s="10" t="n">
        <x:f>IF('Evaluation Plan'!B29="Concept/compositional transfer","",'Evaluation Plan'!E29)</x:f>
        <x:v>26</x:v>
      </x:c>
      <x:c r="E29" s="7" t="str">
        <x:f>'Evaluation Plan'!F29</x:f>
        <x:v>Put the glass spice container in the bowl.</x:v>
      </x:c>
      <x:c r="F29" s="7" t="str">
        <x:f>'Evaluation Plan'!G29</x:f>
        <x:v>P1 white cup A (C, UD); P2 glass spice container B (C, UR) [TARGET]; P3 yellow-white striped cup A (C, UD); P4 brown cup B (O, UD)</x:v>
      </x:c>
      <x:c r="G29" s="10" t="str">
        <x:f>'Evaluation Plan'!H29</x:f>
        <x:v>glass spice container B</x:v>
      </x:c>
      <x:c r="H29" s="10" t="str">
        <x:v>Not started</x:v>
      </x:c>
      <x:c r="I29" s="10"/>
      <x:c r="J29" s="10"/>
      <x:c r="K29" s="7"/>
    </x:row>
    <x:row r="30" ht="54" customHeight="1">
      <x:c r="A30" s="10" t="n">
        <x:f>'Evaluation Plan'!A30</x:f>
        <x:v>28</x:v>
      </x:c>
      <x:c r="B30" s="10" t="str">
        <x:f>'Evaluation Plan'!B30</x:f>
        <x:v>Concept/compositional transfer</x:v>
      </x:c>
      <x:c r="C30" s="10" t="str">
        <x:f>'Evaluation Plan'!D30</x:f>
        <x:v>SR-F15</x:v>
      </x:c>
      <x:c r="D30" s="10" t="str">
        <x:f>IF('Evaluation Plan'!B30="Concept/compositional transfer","",'Evaluation Plan'!E30)</x:f>
      </x:c>
      <x:c r="E30" s="7" t="str">
        <x:f>'Evaluation Plan'!F30</x:f>
        <x:v>Move the upright object into the bowl.</x:v>
      </x:c>
      <x:c r="F30" s="7" t="str">
        <x:f>'Evaluation Plan'!G30</x:f>
        <x:v>P1 yellow-white striped cup B (O, UD); P2 brown cup A (C, UD); P3 white cup A (O, UR) [TARGET]; P4 glass spice container A (C, UD)</x:v>
      </x:c>
      <x:c r="G30" s="10" t="str">
        <x:f>'Evaluation Plan'!H30</x:f>
        <x:v>white cup A</x:v>
      </x:c>
      <x:c r="H30" s="10" t="str">
        <x:v>Not started</x:v>
      </x:c>
      <x:c r="I30" s="10"/>
      <x:c r="J30" s="10"/>
      <x:c r="K30" s="7"/>
    </x:row>
    <x:row r="31" ht="54" customHeight="1">
      <x:c r="A31" s="10" t="n">
        <x:f>'Evaluation Plan'!A31</x:f>
        <x:v>29</x:v>
      </x:c>
      <x:c r="B31" s="10" t="str">
        <x:f>'Evaluation Plan'!B31</x:f>
        <x:v>Matched manipulation control</x:v>
      </x:c>
      <x:c r="C31" s="10" t="str">
        <x:f>'Evaluation Plan'!D31</x:f>
        <x:v>SR-F15</x:v>
      </x:c>
      <x:c r="D31" s="10" t="n">
        <x:f>IF('Evaluation Plan'!B31="Concept/compositional transfer","",'Evaluation Plan'!E31)</x:f>
        <x:v>28</x:v>
      </x:c>
      <x:c r="E31" s="7" t="str">
        <x:f>'Evaluation Plan'!F31</x:f>
        <x:v>Move the white cup into the bowl.</x:v>
      </x:c>
      <x:c r="F31" s="7" t="str">
        <x:f>'Evaluation Plan'!G31</x:f>
        <x:v>P1 yellow-white striped cup B (O, UD); P2 brown cup A (C, UD); P3 white cup A (O, UR) [TARGET]; P4 glass spice container A (C, UD)</x:v>
      </x:c>
      <x:c r="G31" s="10" t="str">
        <x:f>'Evaluation Plan'!H31</x:f>
        <x:v>white cup A</x:v>
      </x:c>
      <x:c r="H31" s="10" t="str">
        <x:v>Not started</x:v>
      </x:c>
      <x:c r="I31" s="10"/>
      <x:c r="J31" s="10"/>
      <x:c r="K31" s="7"/>
    </x:row>
    <x:row r="32" ht="54" customHeight="1">
      <x:c r="A32" s="10" t="n">
        <x:f>'Evaluation Plan'!A32</x:f>
        <x:v>30</x:v>
      </x:c>
      <x:c r="B32" s="10" t="str">
        <x:f>'Evaluation Plan'!B32</x:f>
        <x:v>Concept/compositional transfer</x:v>
      </x:c>
      <x:c r="C32" s="10" t="str">
        <x:f>'Evaluation Plan'!D32</x:f>
        <x:v>SR-F16</x:v>
      </x:c>
      <x:c r="D32" s="10" t="str">
        <x:f>IF('Evaluation Plan'!B32="Concept/compositional transfer","",'Evaluation Plan'!E32)</x:f>
      </x:c>
      <x:c r="E32" s="7" t="str">
        <x:f>'Evaluation Plan'!F32</x:f>
        <x:v>Place the upright can in the bowl.</x:v>
      </x:c>
      <x:c r="F32" s="7" t="str">
        <x:f>'Evaluation Plan'!G32</x:f>
        <x:v>P1 crushed Pepsi can (UD); P2 glass spice container A (O, UD); P3 white cup B (C, UD); P4 crushed Coke can (UR) [TARGET]</x:v>
      </x:c>
      <x:c r="G32" s="10" t="str">
        <x:f>'Evaluation Plan'!H32</x:f>
        <x:v>crushed Coke can</x:v>
      </x:c>
      <x:c r="H32" s="10" t="str">
        <x:v>Not started</x:v>
      </x:c>
      <x:c r="I32" s="10"/>
      <x:c r="J32" s="10"/>
      <x:c r="K32" s="7"/>
    </x:row>
    <x:row r="33" ht="54" customHeight="1">
      <x:c r="A33" s="10" t="n">
        <x:f>'Evaluation Plan'!A33</x:f>
        <x:v>31</x:v>
      </x:c>
      <x:c r="B33" s="10" t="str">
        <x:f>'Evaluation Plan'!B33</x:f>
        <x:v>Matched manipulation control</x:v>
      </x:c>
      <x:c r="C33" s="10" t="str">
        <x:f>'Evaluation Plan'!D33</x:f>
        <x:v>SR-F16</x:v>
      </x:c>
      <x:c r="D33" s="10" t="n">
        <x:f>IF('Evaluation Plan'!B33="Concept/compositional transfer","",'Evaluation Plan'!E33)</x:f>
        <x:v>30</x:v>
      </x:c>
      <x:c r="E33" s="7" t="str">
        <x:f>'Evaluation Plan'!F33</x:f>
        <x:v>Place the crushed Coke can in the bowl.</x:v>
      </x:c>
      <x:c r="F33" s="7" t="str">
        <x:f>'Evaluation Plan'!G33</x:f>
        <x:v>P1 crushed Pepsi can (UD); P2 glass spice container A (O, UD); P3 white cup B (C, UD); P4 crushed Coke can (UR) [TARGET]</x:v>
      </x:c>
      <x:c r="G33" s="10" t="str">
        <x:f>'Evaluation Plan'!H33</x:f>
        <x:v>crushed Coke can</x:v>
      </x:c>
      <x:c r="H33" s="10" t="str">
        <x:v>Not started</x:v>
      </x:c>
      <x:c r="I33" s="10"/>
      <x:c r="J33" s="10"/>
      <x:c r="K33" s="7"/>
    </x:row>
    <x:row r="34" ht="54" customHeight="1">
      <x:c r="A34" s="10" t="n">
        <x:f>'Evaluation Plan'!A34</x:f>
        <x:v>32</x:v>
      </x:c>
      <x:c r="B34" s="10" t="str">
        <x:f>'Evaluation Plan'!B34</x:f>
        <x:v>Concept/compositional transfer</x:v>
      </x:c>
      <x:c r="C34" s="10" t="str">
        <x:f>'Evaluation Plan'!D34</x:f>
        <x:v>SR-F17</x:v>
      </x:c>
      <x:c r="D34" s="10" t="str">
        <x:f>IF('Evaluation Plan'!B34="Concept/compositional transfer","",'Evaluation Plan'!E34)</x:f>
      </x:c>
      <x:c r="E34" s="7" t="str">
        <x:f>'Evaluation Plan'!F34</x:f>
        <x:v>Put the upright can in the bowl.</x:v>
      </x:c>
      <x:c r="F34" s="7" t="str">
        <x:f>'Evaluation Plan'!G34</x:f>
        <x:v>P1 crushed Pepsi can (UR) [TARGET]; P2 crushed Coke can (UD); P3 white cup A (O, UD); P4 yellow-white striped cup B (C, UD)</x:v>
      </x:c>
      <x:c r="G34" s="10" t="str">
        <x:f>'Evaluation Plan'!H34</x:f>
        <x:v>crushed Pepsi can</x:v>
      </x:c>
      <x:c r="H34" s="10" t="str">
        <x:v>Not started</x:v>
      </x:c>
      <x:c r="I34" s="10"/>
      <x:c r="J34" s="10"/>
      <x:c r="K34" s="7"/>
    </x:row>
    <x:row r="35" ht="54" customHeight="1">
      <x:c r="A35" s="10" t="n">
        <x:f>'Evaluation Plan'!A35</x:f>
        <x:v>33</x:v>
      </x:c>
      <x:c r="B35" s="10" t="str">
        <x:f>'Evaluation Plan'!B35</x:f>
        <x:v>Matched manipulation control</x:v>
      </x:c>
      <x:c r="C35" s="10" t="str">
        <x:f>'Evaluation Plan'!D35</x:f>
        <x:v>SR-F17</x:v>
      </x:c>
      <x:c r="D35" s="10" t="n">
        <x:f>IF('Evaluation Plan'!B35="Concept/compositional transfer","",'Evaluation Plan'!E35)</x:f>
        <x:v>32</x:v>
      </x:c>
      <x:c r="E35" s="7" t="str">
        <x:f>'Evaluation Plan'!F35</x:f>
        <x:v>Put the crushed Pepsi can in the bowl.</x:v>
      </x:c>
      <x:c r="F35" s="7" t="str">
        <x:f>'Evaluation Plan'!G35</x:f>
        <x:v>P1 crushed Pepsi can (UR) [TARGET]; P2 crushed Coke can (UD); P3 white cup A (O, UD); P4 yellow-white striped cup B (C, UD)</x:v>
      </x:c>
      <x:c r="G35" s="10" t="str">
        <x:f>'Evaluation Plan'!H35</x:f>
        <x:v>crushed Pepsi can</x:v>
      </x:c>
      <x:c r="H35" s="10" t="str">
        <x:v>Not started</x:v>
      </x:c>
      <x:c r="I35" s="10"/>
      <x:c r="J35" s="10"/>
      <x:c r="K35" s="7"/>
    </x:row>
    <x:row r="36" ht="54" customHeight="1">
      <x:c r="A36" s="10" t="n">
        <x:f>'Evaluation Plan'!A36</x:f>
        <x:v>34</x:v>
      </x:c>
      <x:c r="B36" s="10" t="str">
        <x:f>'Evaluation Plan'!B36</x:f>
        <x:v>Concept/compositional transfer</x:v>
      </x:c>
      <x:c r="C36" s="10" t="str">
        <x:f>'Evaluation Plan'!D36</x:f>
        <x:v>SR-F18</x:v>
      </x:c>
      <x:c r="D36" s="10" t="str">
        <x:f>IF('Evaluation Plan'!B36="Concept/compositional transfer","",'Evaluation Plan'!E36)</x:f>
      </x:c>
      <x:c r="E36" s="7" t="str">
        <x:f>'Evaluation Plan'!F36</x:f>
        <x:v>Move the upright can into the bowl.</x:v>
      </x:c>
      <x:c r="F36" s="7" t="str">
        <x:f>'Evaluation Plan'!G36</x:f>
        <x:v>P1 crushed Pepsi can (UD); P2 crushed Coke can (UR) [TARGET]; P3 yellow-white striped cup B (C, UD); P4 brown cup A (O, UD)</x:v>
      </x:c>
      <x:c r="G36" s="10" t="str">
        <x:f>'Evaluation Plan'!H36</x:f>
        <x:v>crushed Coke can</x:v>
      </x:c>
      <x:c r="H36" s="10" t="str">
        <x:v>Not started</x:v>
      </x:c>
      <x:c r="I36" s="10"/>
      <x:c r="J36" s="10"/>
      <x:c r="K36" s="7"/>
    </x:row>
    <x:row r="37" ht="54" customHeight="1">
      <x:c r="A37" s="10" t="n">
        <x:f>'Evaluation Plan'!A37</x:f>
        <x:v>35</x:v>
      </x:c>
      <x:c r="B37" s="10" t="str">
        <x:f>'Evaluation Plan'!B37</x:f>
        <x:v>Matched manipulation control</x:v>
      </x:c>
      <x:c r="C37" s="10" t="str">
        <x:f>'Evaluation Plan'!D37</x:f>
        <x:v>SR-F18</x:v>
      </x:c>
      <x:c r="D37" s="10" t="n">
        <x:f>IF('Evaluation Plan'!B37="Concept/compositional transfer","",'Evaluation Plan'!E37)</x:f>
        <x:v>34</x:v>
      </x:c>
      <x:c r="E37" s="7" t="str">
        <x:f>'Evaluation Plan'!F37</x:f>
        <x:v>Move the crushed Coke can into the bowl.</x:v>
      </x:c>
      <x:c r="F37" s="7" t="str">
        <x:f>'Evaluation Plan'!G37</x:f>
        <x:v>P1 crushed Pepsi can (UD); P2 crushed Coke can (UR) [TARGET]; P3 yellow-white striped cup B (C, UD); P4 brown cup A (O, UD)</x:v>
      </x:c>
      <x:c r="G37" s="10" t="str">
        <x:f>'Evaluation Plan'!H37</x:f>
        <x:v>crushed Coke can</x:v>
      </x:c>
      <x:c r="H37" s="10" t="str">
        <x:v>Not started</x:v>
      </x:c>
      <x:c r="I37" s="10"/>
      <x:c r="J37" s="10"/>
      <x:c r="K37" s="7"/>
    </x:row>
    <x:row r="38" ht="54" customHeight="1">
      <x:c r="A38" s="10" t="n">
        <x:f>'Evaluation Plan'!A38</x:f>
        <x:v>36</x:v>
      </x:c>
      <x:c r="B38" s="10" t="str">
        <x:f>'Evaluation Plan'!B38</x:f>
        <x:v>Concept/compositional transfer</x:v>
      </x:c>
      <x:c r="C38" s="10" t="str">
        <x:f>'Evaluation Plan'!D38</x:f>
        <x:v>SR-F19</x:v>
      </x:c>
      <x:c r="D38" s="10" t="str">
        <x:f>IF('Evaluation Plan'!B38="Concept/compositional transfer","",'Evaluation Plan'!E38)</x:f>
      </x:c>
      <x:c r="E38" s="7" t="str">
        <x:f>'Evaluation Plan'!F38</x:f>
        <x:v>Place the upright can in the bowl.</x:v>
      </x:c>
      <x:c r="F38" s="7" t="str">
        <x:f>'Evaluation Plan'!G38</x:f>
        <x:v>P1 crushed Coke can (UD); P2 brown cup B (C, UD); P3 crushed Pepsi can (UR) [TARGET]; P4 glass spice container B (C, UD)</x:v>
      </x:c>
      <x:c r="G38" s="10" t="str">
        <x:f>'Evaluation Plan'!H38</x:f>
        <x:v>crushed Pepsi can</x:v>
      </x:c>
      <x:c r="H38" s="10" t="str">
        <x:v>Not started</x:v>
      </x:c>
      <x:c r="I38" s="10"/>
      <x:c r="J38" s="10"/>
      <x:c r="K38" s="7"/>
    </x:row>
    <x:row r="39" ht="54" customHeight="1">
      <x:c r="A39" s="10" t="n">
        <x:f>'Evaluation Plan'!A39</x:f>
        <x:v>37</x:v>
      </x:c>
      <x:c r="B39" s="10" t="str">
        <x:f>'Evaluation Plan'!B39</x:f>
        <x:v>Matched manipulation control</x:v>
      </x:c>
      <x:c r="C39" s="10" t="str">
        <x:f>'Evaluation Plan'!D39</x:f>
        <x:v>SR-F19</x:v>
      </x:c>
      <x:c r="D39" s="10" t="n">
        <x:f>IF('Evaluation Plan'!B39="Concept/compositional transfer","",'Evaluation Plan'!E39)</x:f>
        <x:v>36</x:v>
      </x:c>
      <x:c r="E39" s="7" t="str">
        <x:f>'Evaluation Plan'!F39</x:f>
        <x:v>Place the crushed Pepsi can in the bowl.</x:v>
      </x:c>
      <x:c r="F39" s="7" t="str">
        <x:f>'Evaluation Plan'!G39</x:f>
        <x:v>P1 crushed Coke can (UD); P2 brown cup B (C, UD); P3 crushed Pepsi can (UR) [TARGET]; P4 glass spice container B (C, UD)</x:v>
      </x:c>
      <x:c r="G39" s="10" t="str">
        <x:f>'Evaluation Plan'!H39</x:f>
        <x:v>crushed Pepsi can</x:v>
      </x:c>
      <x:c r="H39" s="10" t="str">
        <x:v>Not started</x:v>
      </x:c>
      <x:c r="I39" s="10"/>
      <x:c r="J39" s="10"/>
      <x:c r="K39" s="7"/>
    </x:row>
    <x:row r="40" ht="54" customHeight="1">
      <x:c r="A40" s="10" t="n">
        <x:f>'Evaluation Plan'!A40</x:f>
        <x:v>38</x:v>
      </x:c>
      <x:c r="B40" s="10" t="str">
        <x:f>'Evaluation Plan'!B40</x:f>
        <x:v>Concept/compositional transfer</x:v>
      </x:c>
      <x:c r="C40" s="10" t="str">
        <x:f>'Evaluation Plan'!D40</x:f>
        <x:v>SR-F20</x:v>
      </x:c>
      <x:c r="D40" s="10" t="str">
        <x:f>IF('Evaluation Plan'!B40="Concept/compositional transfer","",'Evaluation Plan'!E40)</x:f>
      </x:c>
      <x:c r="E40" s="7" t="str">
        <x:f>'Evaluation Plan'!F40</x:f>
        <x:v>Put the upright can in the bowl.</x:v>
      </x:c>
      <x:c r="F40" s="7" t="str">
        <x:f>'Evaluation Plan'!G40</x:f>
        <x:v>P1 crushed Pepsi can (UD); P2 glass spice container A (O, UD); P3 white cup B (C, UD); P4 crushed Coke can (UR) [TARGET]</x:v>
      </x:c>
      <x:c r="G40" s="10" t="str">
        <x:f>'Evaluation Plan'!H40</x:f>
        <x:v>crushed Coke can</x:v>
      </x:c>
      <x:c r="H40" s="10" t="str">
        <x:v>Not started</x:v>
      </x:c>
      <x:c r="I40" s="10"/>
      <x:c r="J40" s="10"/>
      <x:c r="K40" s="7"/>
    </x:row>
    <x:row r="41" ht="54" customHeight="1">
      <x:c r="A41" s="10" t="n">
        <x:f>'Evaluation Plan'!A41</x:f>
        <x:v>39</x:v>
      </x:c>
      <x:c r="B41" s="10" t="str">
        <x:f>'Evaluation Plan'!B41</x:f>
        <x:v>Matched manipulation control</x:v>
      </x:c>
      <x:c r="C41" s="10" t="str">
        <x:f>'Evaluation Plan'!D41</x:f>
        <x:v>SR-F20</x:v>
      </x:c>
      <x:c r="D41" s="10" t="n">
        <x:f>IF('Evaluation Plan'!B41="Concept/compositional transfer","",'Evaluation Plan'!E41)</x:f>
        <x:v>38</x:v>
      </x:c>
      <x:c r="E41" s="7" t="str">
        <x:f>'Evaluation Plan'!F41</x:f>
        <x:v>Put the crushed Coke can in the bowl.</x:v>
      </x:c>
      <x:c r="F41" s="7" t="str">
        <x:f>'Evaluation Plan'!G41</x:f>
        <x:v>P1 crushed Pepsi can (UD); P2 glass spice container A (O, UD); P3 white cup B (C, UD); P4 crushed Coke can (UR) [TARGET]</x:v>
      </x:c>
      <x:c r="G41" s="10" t="str">
        <x:f>'Evaluation Plan'!H41</x:f>
        <x:v>crushed Coke can</x:v>
      </x:c>
      <x:c r="H41" s="10" t="str">
        <x:v>Not started</x:v>
      </x:c>
      <x:c r="I41" s="10"/>
      <x:c r="J41" s="10"/>
      <x:c r="K41" s="7"/>
    </x:row>
    <x:row r="42" ht="54" customHeight="1">
      <x:c r="A42" s="10" t="n">
        <x:f>'Evaluation Plan'!A42</x:f>
        <x:v>40</x:v>
      </x:c>
      <x:c r="B42" s="10" t="str">
        <x:f>'Evaluation Plan'!B42</x:f>
        <x:v>Concept/compositional transfer</x:v>
      </x:c>
      <x:c r="C42" s="10" t="str">
        <x:f>'Evaluation Plan'!D42</x:f>
        <x:v>SR-F21</x:v>
      </x:c>
      <x:c r="D42" s="10" t="str">
        <x:f>IF('Evaluation Plan'!B42="Concept/compositional transfer","",'Evaluation Plan'!E42)</x:f>
      </x:c>
      <x:c r="E42" s="7" t="str">
        <x:f>'Evaluation Plan'!F42</x:f>
        <x:v>Place the closed object in the bowl.</x:v>
      </x:c>
      <x:c r="F42" s="7" t="str">
        <x:f>'Evaluation Plan'!G42</x:f>
        <x:v>P1 yellow-white striped cup B (C, UD) [TARGET]; P2 white cup B (O, UR); P3 brown cup A (O, UD); P4 glass spice container B (O, UR)</x:v>
      </x:c>
      <x:c r="G42" s="10" t="str">
        <x:f>'Evaluation Plan'!H42</x:f>
        <x:v>yellow-white striped cup B</x:v>
      </x:c>
      <x:c r="H42" s="10" t="str">
        <x:v>Not started</x:v>
      </x:c>
      <x:c r="I42" s="10"/>
      <x:c r="J42" s="10"/>
      <x:c r="K42" s="7"/>
    </x:row>
    <x:row r="43" ht="54" customHeight="1">
      <x:c r="A43" s="10" t="n">
        <x:f>'Evaluation Plan'!A43</x:f>
        <x:v>41</x:v>
      </x:c>
      <x:c r="B43" s="10" t="str">
        <x:f>'Evaluation Plan'!B43</x:f>
        <x:v>Concept/compositional transfer</x:v>
      </x:c>
      <x:c r="C43" s="10" t="str">
        <x:f>'Evaluation Plan'!D43</x:f>
        <x:v>SR-F22</x:v>
      </x:c>
      <x:c r="D43" s="10" t="str">
        <x:f>IF('Evaluation Plan'!B43="Concept/compositional transfer","",'Evaluation Plan'!E43)</x:f>
      </x:c>
      <x:c r="E43" s="7" t="str">
        <x:f>'Evaluation Plan'!F43</x:f>
        <x:v>Put the closed object in the bowl.</x:v>
      </x:c>
      <x:c r="F43" s="7" t="str">
        <x:f>'Evaluation Plan'!G43</x:f>
        <x:v>P1 white cup B (O, UR); P2 glass spice container A (C, UR) [TARGET]; P3 yellow-white striped cup B (O, UR); P4 brown cup A (O, UD)</x:v>
      </x:c>
      <x:c r="G43" s="10" t="str">
        <x:f>'Evaluation Plan'!H43</x:f>
        <x:v>glass spice container A</x:v>
      </x:c>
      <x:c r="H43" s="10" t="str">
        <x:v>Not started</x:v>
      </x:c>
      <x:c r="I43" s="10"/>
      <x:c r="J43" s="10"/>
      <x:c r="K43" s="7"/>
    </x:row>
    <x:row r="44" ht="54" customHeight="1">
      <x:c r="A44" s="10" t="n">
        <x:f>'Evaluation Plan'!A44</x:f>
        <x:v>42</x:v>
      </x:c>
      <x:c r="B44" s="10" t="str">
        <x:f>'Evaluation Plan'!B44</x:f>
        <x:v>Concept/compositional transfer</x:v>
      </x:c>
      <x:c r="C44" s="10" t="str">
        <x:f>'Evaluation Plan'!D44</x:f>
        <x:v>SR-F23</x:v>
      </x:c>
      <x:c r="D44" s="10" t="str">
        <x:f>IF('Evaluation Plan'!B44="Concept/compositional transfer","",'Evaluation Plan'!E44)</x:f>
      </x:c>
      <x:c r="E44" s="7" t="str">
        <x:f>'Evaluation Plan'!F44</x:f>
        <x:v>Move the closed object into the bowl.</x:v>
      </x:c>
      <x:c r="F44" s="7" t="str">
        <x:f>'Evaluation Plan'!G44</x:f>
        <x:v>P1 yellow-white striped cup A (O, UD); P2 brown cup B (O, UR); P3 white cup B (C, UD) [TARGET]; P4 glass spice container B (O, UR)</x:v>
      </x:c>
      <x:c r="G44" s="10" t="str">
        <x:f>'Evaluation Plan'!H44</x:f>
        <x:v>white cup B</x:v>
      </x:c>
      <x:c r="H44" s="10" t="str">
        <x:v>Not started</x:v>
      </x:c>
      <x:c r="I44" s="10"/>
      <x:c r="J44" s="10"/>
      <x:c r="K44" s="7"/>
    </x:row>
    <x:row r="45" ht="54" customHeight="1">
      <x:c r="A45" s="10" t="n">
        <x:f>'Evaluation Plan'!A45</x:f>
        <x:v>43</x:v>
      </x:c>
      <x:c r="B45" s="10" t="str">
        <x:f>'Evaluation Plan'!B45</x:f>
        <x:v>Concept/compositional transfer</x:v>
      </x:c>
      <x:c r="C45" s="10" t="str">
        <x:f>'Evaluation Plan'!D45</x:f>
        <x:v>SR-F24</x:v>
      </x:c>
      <x:c r="D45" s="10" t="str">
        <x:f>IF('Evaluation Plan'!B45="Concept/compositional transfer","",'Evaluation Plan'!E45)</x:f>
      </x:c>
      <x:c r="E45" s="7" t="str">
        <x:f>'Evaluation Plan'!F45</x:f>
        <x:v>Place the closed object in the bowl.</x:v>
      </x:c>
      <x:c r="F45" s="7" t="str">
        <x:f>'Evaluation Plan'!G45</x:f>
        <x:v>P1 white cup B (O, UR); P2 yellow-white striped cup A (O, UD); P3 glass spice container B (O, UR); P4 brown cup A (C, UR) [TARGET]</x:v>
      </x:c>
      <x:c r="G45" s="10" t="str">
        <x:f>'Evaluation Plan'!H45</x:f>
        <x:v>brown cup A</x:v>
      </x:c>
      <x:c r="H45" s="10" t="str">
        <x:v>Not started</x:v>
      </x:c>
      <x:c r="I45" s="10"/>
      <x:c r="J45" s="10"/>
      <x:c r="K45" s="7"/>
    </x:row>
    <x:row r="46" ht="54" customHeight="1">
      <x:c r="A46" s="10" t="n">
        <x:f>'Evaluation Plan'!A46</x:f>
        <x:v>44</x:v>
      </x:c>
      <x:c r="B46" s="10" t="str">
        <x:f>'Evaluation Plan'!B46</x:f>
        <x:v>Concept/compositional transfer</x:v>
      </x:c>
      <x:c r="C46" s="10" t="str">
        <x:f>'Evaluation Plan'!D46</x:f>
        <x:v>SR-F25</x:v>
      </x:c>
      <x:c r="D46" s="10" t="str">
        <x:f>IF('Evaluation Plan'!B46="Concept/compositional transfer","",'Evaluation Plan'!E46)</x:f>
      </x:c>
      <x:c r="E46" s="7" t="str">
        <x:f>'Evaluation Plan'!F46</x:f>
        <x:v>Put the closed object in the bowl.</x:v>
      </x:c>
      <x:c r="F46" s="7" t="str">
        <x:f>'Evaluation Plan'!G46</x:f>
        <x:v>P1 yellow-white striped cup B (C, UD) [TARGET]; P2 white cup B (O, UR); P3 brown cup A (O, UD); P4 glass spice container B (O, UR)</x:v>
      </x:c>
      <x:c r="G46" s="10" t="str">
        <x:f>'Evaluation Plan'!H46</x:f>
        <x:v>yellow-white striped cup B</x:v>
      </x:c>
      <x:c r="H46" s="10" t="str">
        <x:v>Not started</x:v>
      </x:c>
      <x:c r="I46" s="10"/>
      <x:c r="J46" s="10"/>
      <x:c r="K46" s="7"/>
    </x:row>
    <x:row r="47" ht="54" customHeight="1">
      <x:c r="A47" s="10" t="n">
        <x:f>'Evaluation Plan'!A47</x:f>
        <x:v>45</x:v>
      </x:c>
      <x:c r="B47" s="10" t="str">
        <x:f>'Evaluation Plan'!B47</x:f>
        <x:v>Concept/compositional transfer</x:v>
      </x:c>
      <x:c r="C47" s="10" t="str">
        <x:f>'Evaluation Plan'!D47</x:f>
        <x:v>SR-F26</x:v>
      </x:c>
      <x:c r="D47" s="10" t="str">
        <x:f>IF('Evaluation Plan'!B47="Concept/compositional transfer","",'Evaluation Plan'!E47)</x:f>
      </x:c>
      <x:c r="E47" s="7" t="str">
        <x:f>'Evaluation Plan'!F47</x:f>
        <x:v>Move the upright object into the bowl.</x:v>
      </x:c>
      <x:c r="F47" s="7" t="str">
        <x:f>'Evaluation Plan'!G47</x:f>
        <x:v>P1 white cup B (O, UD); P2 yellow-white striped cup A (O, UR) [TARGET]; P3 brown cup B (O, UD); P4 glass spice container A (C, UD)</x:v>
      </x:c>
      <x:c r="G47" s="10" t="str">
        <x:f>'Evaluation Plan'!H47</x:f>
        <x:v>yellow-white striped cup A</x:v>
      </x:c>
      <x:c r="H47" s="10" t="str">
        <x:v>Not started</x:v>
      </x:c>
      <x:c r="I47" s="10"/>
      <x:c r="J47" s="10"/>
      <x:c r="K47" s="7"/>
    </x:row>
    <x:row r="48" ht="54" customHeight="1">
      <x:c r="A48" s="10" t="n">
        <x:f>'Evaluation Plan'!A48</x:f>
        <x:v>46</x:v>
      </x:c>
      <x:c r="B48" s="10" t="str">
        <x:f>'Evaluation Plan'!B48</x:f>
        <x:v>Concept/compositional transfer</x:v>
      </x:c>
      <x:c r="C48" s="10" t="str">
        <x:f>'Evaluation Plan'!D48</x:f>
        <x:v>SR-F27</x:v>
      </x:c>
      <x:c r="D48" s="10" t="str">
        <x:f>IF('Evaluation Plan'!B48="Concept/compositional transfer","",'Evaluation Plan'!E48)</x:f>
      </x:c>
      <x:c r="E48" s="7" t="str">
        <x:f>'Evaluation Plan'!F48</x:f>
        <x:v>Place the upright object in the bowl.</x:v>
      </x:c>
      <x:c r="F48" s="7" t="str">
        <x:f>'Evaluation Plan'!G48</x:f>
        <x:v>P1 white cup A (C, UD); P2 yellow-white striped cup B (O, UD); P3 brown cup B (C, UR) [TARGET]; P4 glass spice container B (O, UD)</x:v>
      </x:c>
      <x:c r="G48" s="10" t="str">
        <x:f>'Evaluation Plan'!H48</x:f>
        <x:v>brown cup B</x:v>
      </x:c>
      <x:c r="H48" s="10" t="str">
        <x:v>Not started</x:v>
      </x:c>
      <x:c r="I48" s="10"/>
      <x:c r="J48" s="10"/>
      <x:c r="K48" s="7"/>
    </x:row>
    <x:row r="49" ht="54" customHeight="1">
      <x:c r="A49" s="10" t="n">
        <x:f>'Evaluation Plan'!A49</x:f>
        <x:v>47</x:v>
      </x:c>
      <x:c r="B49" s="10" t="str">
        <x:f>'Evaluation Plan'!B49</x:f>
        <x:v>Concept/compositional transfer</x:v>
      </x:c>
      <x:c r="C49" s="10" t="str">
        <x:f>'Evaluation Plan'!D49</x:f>
        <x:v>SR-F28</x:v>
      </x:c>
      <x:c r="D49" s="10" t="str">
        <x:f>IF('Evaluation Plan'!B49="Concept/compositional transfer","",'Evaluation Plan'!E49)</x:f>
      </x:c>
      <x:c r="E49" s="7" t="str">
        <x:f>'Evaluation Plan'!F49</x:f>
        <x:v>Put the upright object in the bowl.</x:v>
      </x:c>
      <x:c r="F49" s="7" t="str">
        <x:f>'Evaluation Plan'!G49</x:f>
        <x:v>P1 white cup B (O, UD); P2 yellow-white striped cup A (C, UD); P3 brown cup B (O, UD); P4 glass spice container A (O, UR) [TARGET]</x:v>
      </x:c>
      <x:c r="G49" s="10" t="str">
        <x:f>'Evaluation Plan'!H49</x:f>
        <x:v>glass spice container A</x:v>
      </x:c>
      <x:c r="H49" s="10" t="str">
        <x:v>Not started</x:v>
      </x:c>
      <x:c r="I49" s="10"/>
      <x:c r="J49" s="10"/>
      <x:c r="K49" s="7"/>
    </x:row>
    <x:row r="50" ht="54" customHeight="1">
      <x:c r="A50" s="10" t="n">
        <x:f>'Evaluation Plan'!A50</x:f>
        <x:v>48</x:v>
      </x:c>
      <x:c r="B50" s="10" t="str">
        <x:f>'Evaluation Plan'!B50</x:f>
        <x:v>Concept/compositional transfer</x:v>
      </x:c>
      <x:c r="C50" s="10" t="str">
        <x:f>'Evaluation Plan'!D50</x:f>
        <x:v>SR-F29</x:v>
      </x:c>
      <x:c r="D50" s="10" t="str">
        <x:f>IF('Evaluation Plan'!B50="Concept/compositional transfer","",'Evaluation Plan'!E50)</x:f>
      </x:c>
      <x:c r="E50" s="7" t="str">
        <x:f>'Evaluation Plan'!F50</x:f>
        <x:v>Move the upright object into the bowl.</x:v>
      </x:c>
      <x:c r="F50" s="7" t="str">
        <x:f>'Evaluation Plan'!G50</x:f>
        <x:v>P1 white cup B (C, UR) [TARGET]; P2 yellow-white striped cup B (O, UD); P3 brown cup A (C, UD); P4 glass spice container B (O, UD)</x:v>
      </x:c>
      <x:c r="G50" s="10" t="str">
        <x:f>'Evaluation Plan'!H50</x:f>
        <x:v>white cup B</x:v>
      </x:c>
      <x:c r="H50" s="10" t="str">
        <x:v>Not started</x:v>
      </x:c>
      <x:c r="I50" s="10"/>
      <x:c r="J50" s="10"/>
      <x:c r="K50" s="7"/>
    </x:row>
    <x:row r="51" ht="54" customHeight="1">
      <x:c r="A51" s="10" t="n">
        <x:f>'Evaluation Plan'!A51</x:f>
        <x:v>49</x:v>
      </x:c>
      <x:c r="B51" s="10" t="str">
        <x:f>'Evaluation Plan'!B51</x:f>
        <x:v>Concept/compositional transfer</x:v>
      </x:c>
      <x:c r="C51" s="10" t="str">
        <x:f>'Evaluation Plan'!D51</x:f>
        <x:v>SR-F30</x:v>
      </x:c>
      <x:c r="D51" s="10" t="str">
        <x:f>IF('Evaluation Plan'!B51="Concept/compositional transfer","",'Evaluation Plan'!E51)</x:f>
      </x:c>
      <x:c r="E51" s="7" t="str">
        <x:f>'Evaluation Plan'!F51</x:f>
        <x:v>Place the upright object in the bowl.</x:v>
      </x:c>
      <x:c r="F51" s="7" t="str">
        <x:f>'Evaluation Plan'!G51</x:f>
        <x:v>P1 white cup B (O, UD); P2 yellow-white striped cup A (O, UR) [TARGET]; P3 brown cup B (O, UD); P4 glass spice container A (C, UD)</x:v>
      </x:c>
      <x:c r="G51" s="10" t="str">
        <x:f>'Evaluation Plan'!H51</x:f>
        <x:v>yellow-white striped cup A</x:v>
      </x:c>
      <x:c r="H51" s="10" t="str">
        <x:v>Not started</x:v>
      </x:c>
      <x:c r="I51" s="10"/>
      <x:c r="J51" s="10"/>
      <x:c r="K51" s="7"/>
    </x:row>
    <x:row r="52" ht="54" customHeight="1">
      <x:c r="A52" s="10" t="n">
        <x:f>'Evaluation Plan'!A52</x:f>
        <x:v>50</x:v>
      </x:c>
      <x:c r="B52" s="10" t="str">
        <x:f>'Evaluation Plan'!B52</x:f>
        <x:v>Concept/compositional transfer</x:v>
      </x:c>
      <x:c r="C52" s="10" t="str">
        <x:f>'Evaluation Plan'!D52</x:f>
        <x:v>SR-F31</x:v>
      </x:c>
      <x:c r="D52" s="10" t="str">
        <x:f>IF('Evaluation Plan'!B52="Concept/compositional transfer","",'Evaluation Plan'!E52)</x:f>
      </x:c>
      <x:c r="E52" s="7" t="str">
        <x:f>'Evaluation Plan'!F52</x:f>
        <x:v>Put the upside-down can in the bowl.</x:v>
      </x:c>
      <x:c r="F52" s="7" t="str">
        <x:f>'Evaluation Plan'!G52</x:f>
        <x:v>P1 crushed Coke can (UR); P2 glass spice container A (O, UR); P3 crushed Pepsi can (UD) [TARGET]; P4 white cup A (O, UR)</x:v>
      </x:c>
      <x:c r="G52" s="10" t="str">
        <x:f>'Evaluation Plan'!H52</x:f>
        <x:v>crushed Pepsi can</x:v>
      </x:c>
      <x:c r="H52" s="10" t="str">
        <x:v>Not started</x:v>
      </x:c>
      <x:c r="I52" s="10"/>
      <x:c r="J52" s="10"/>
      <x:c r="K52" s="7"/>
    </x:row>
    <x:row r="53" ht="54" customHeight="1">
      <x:c r="A53" s="10" t="n">
        <x:f>'Evaluation Plan'!A53</x:f>
        <x:v>51</x:v>
      </x:c>
      <x:c r="B53" s="10" t="str">
        <x:f>'Evaluation Plan'!B53</x:f>
        <x:v>Concept/compositional transfer</x:v>
      </x:c>
      <x:c r="C53" s="10" t="str">
        <x:f>'Evaluation Plan'!D53</x:f>
        <x:v>SR-F32</x:v>
      </x:c>
      <x:c r="D53" s="10" t="str">
        <x:f>IF('Evaluation Plan'!B53="Concept/compositional transfer","",'Evaluation Plan'!E53)</x:f>
      </x:c>
      <x:c r="E53" s="7" t="str">
        <x:f>'Evaluation Plan'!F53</x:f>
        <x:v>Move the upside-down can into the bowl.</x:v>
      </x:c>
      <x:c r="F53" s="7" t="str">
        <x:f>'Evaluation Plan'!G53</x:f>
        <x:v>P1 crushed Pepsi can (UR); P2 white cup B (C, UR); P3 yellow-white striped cup A (O, UR); P4 crushed Coke can (UD) [TARGET]</x:v>
      </x:c>
      <x:c r="G53" s="10" t="str">
        <x:f>'Evaluation Plan'!H53</x:f>
        <x:v>crushed Coke can</x:v>
      </x:c>
      <x:c r="H53" s="10" t="str">
        <x:v>Not started</x:v>
      </x:c>
      <x:c r="I53" s="10"/>
      <x:c r="J53" s="10"/>
      <x:c r="K53" s="7"/>
    </x:row>
    <x:row r="54" ht="54" customHeight="1">
      <x:c r="A54" s="10" t="n">
        <x:f>'Evaluation Plan'!A54</x:f>
        <x:v>52</x:v>
      </x:c>
      <x:c r="B54" s="10" t="str">
        <x:f>'Evaluation Plan'!B54</x:f>
        <x:v>Concept/compositional transfer</x:v>
      </x:c>
      <x:c r="C54" s="10" t="str">
        <x:f>'Evaluation Plan'!D54</x:f>
        <x:v>SR-F33</x:v>
      </x:c>
      <x:c r="D54" s="10" t="str">
        <x:f>IF('Evaluation Plan'!B54="Concept/compositional transfer","",'Evaluation Plan'!E54)</x:f>
      </x:c>
      <x:c r="E54" s="7" t="str">
        <x:f>'Evaluation Plan'!F54</x:f>
        <x:v>Place the upside-down can in the bowl.</x:v>
      </x:c>
      <x:c r="F54" s="7" t="str">
        <x:f>'Evaluation Plan'!G54</x:f>
        <x:v>P1 crushed Pepsi can (UD) [TARGET]; P2 crushed Coke can (UR); P3 yellow-white striped cup B (C, UR); P4 brown cup A (O, UR)</x:v>
      </x:c>
      <x:c r="G54" s="10" t="str">
        <x:f>'Evaluation Plan'!H54</x:f>
        <x:v>crushed Pepsi can</x:v>
      </x:c>
      <x:c r="H54" s="10" t="str">
        <x:v>Not started</x:v>
      </x:c>
      <x:c r="I54" s="10"/>
      <x:c r="J54" s="10"/>
      <x:c r="K54" s="7"/>
    </x:row>
    <x:row r="55" ht="54" customHeight="1">
      <x:c r="A55" s="10" t="n">
        <x:f>'Evaluation Plan'!A55</x:f>
        <x:v>53</x:v>
      </x:c>
      <x:c r="B55" s="10" t="str">
        <x:f>'Evaluation Plan'!B55</x:f>
        <x:v>Concept/compositional transfer</x:v>
      </x:c>
      <x:c r="C55" s="10" t="str">
        <x:f>'Evaluation Plan'!D55</x:f>
        <x:v>SR-F34</x:v>
      </x:c>
      <x:c r="D55" s="10" t="str">
        <x:f>IF('Evaluation Plan'!B55="Concept/compositional transfer","",'Evaluation Plan'!E55)</x:f>
      </x:c>
      <x:c r="E55" s="7" t="str">
        <x:f>'Evaluation Plan'!F55</x:f>
        <x:v>Put the upside-down can in the bowl.</x:v>
      </x:c>
      <x:c r="F55" s="7" t="str">
        <x:f>'Evaluation Plan'!G55</x:f>
        <x:v>P1 crushed Pepsi can (UR); P2 crushed Coke can (UD) [TARGET]; P3 brown cup A (O, UR); P4 glass spice container B (C, UR)</x:v>
      </x:c>
      <x:c r="G55" s="10" t="str">
        <x:f>'Evaluation Plan'!H55</x:f>
        <x:v>crushed Coke can</x:v>
      </x:c>
      <x:c r="H55" s="10" t="str">
        <x:v>Not started</x:v>
      </x:c>
      <x:c r="I55" s="10"/>
      <x:c r="J55" s="10"/>
      <x:c r="K55" s="7"/>
    </x:row>
    <x:row r="56" ht="54" customHeight="1">
      <x:c r="A56" s="10" t="n">
        <x:f>'Evaluation Plan'!A56</x:f>
        <x:v>54</x:v>
      </x:c>
      <x:c r="B56" s="10" t="str">
        <x:f>'Evaluation Plan'!B56</x:f>
        <x:v>Concept/compositional transfer</x:v>
      </x:c>
      <x:c r="C56" s="10" t="str">
        <x:f>'Evaluation Plan'!D56</x:f>
        <x:v>SR-F35</x:v>
      </x:c>
      <x:c r="D56" s="10" t="str">
        <x:f>IF('Evaluation Plan'!B56="Concept/compositional transfer","",'Evaluation Plan'!E56)</x:f>
      </x:c>
      <x:c r="E56" s="7" t="str">
        <x:f>'Evaluation Plan'!F56</x:f>
        <x:v>Move the upside-down can into the bowl.</x:v>
      </x:c>
      <x:c r="F56" s="7" t="str">
        <x:f>'Evaluation Plan'!G56</x:f>
        <x:v>P1 crushed Coke can (UR); P2 glass spice container A (O, UR); P3 crushed Pepsi can (UD) [TARGET]; P4 white cup A (O, UR)</x:v>
      </x:c>
      <x:c r="G56" s="10" t="str">
        <x:f>'Evaluation Plan'!H56</x:f>
        <x:v>crushed Pepsi can</x:v>
      </x:c>
      <x:c r="H56" s="10" t="str">
        <x:v>Not started</x:v>
      </x:c>
      <x:c r="I56" s="10"/>
      <x:c r="J56" s="10"/>
      <x:c r="K56" s="7"/>
    </x:row>
    <x:row r="57" ht="54" customHeight="1">
      <x:c r="A57" s="10" t="n">
        <x:f>'Evaluation Plan'!A57</x:f>
        <x:v>55</x:v>
      </x:c>
      <x:c r="B57" s="10" t="str">
        <x:f>'Evaluation Plan'!B57</x:f>
        <x:v>Concept/compositional transfer</x:v>
      </x:c>
      <x:c r="C57" s="10" t="str">
        <x:f>'Evaluation Plan'!D57</x:f>
        <x:v>SR-F36</x:v>
      </x:c>
      <x:c r="D57" s="10" t="str">
        <x:f>IF('Evaluation Plan'!B57="Concept/compositional transfer","",'Evaluation Plan'!E57)</x:f>
      </x:c>
      <x:c r="E57" s="7" t="str">
        <x:f>'Evaluation Plan'!F57</x:f>
        <x:v>Place the open object in the bowl.</x:v>
      </x:c>
      <x:c r="F57" s="7" t="str">
        <x:f>'Evaluation Plan'!G57</x:f>
        <x:v>P1 yellow-white striped cup B (C, UR); P2 brown cup A (C, UD); P3 glass spice container B (C, UR); P4 white cup A (O, UR) [TARGET]</x:v>
      </x:c>
      <x:c r="G57" s="10" t="str">
        <x:f>'Evaluation Plan'!H57</x:f>
        <x:v>white cup A</x:v>
      </x:c>
      <x:c r="H57" s="10" t="str">
        <x:v>Not started</x:v>
      </x:c>
      <x:c r="I57" s="10"/>
      <x:c r="J57" s="10"/>
      <x:c r="K57" s="7"/>
    </x:row>
    <x:row r="58" ht="54" customHeight="1">
      <x:c r="A58" s="10" t="n">
        <x:f>'Evaluation Plan'!A58</x:f>
        <x:v>56</x:v>
      </x:c>
      <x:c r="B58" s="10" t="str">
        <x:f>'Evaluation Plan'!B58</x:f>
        <x:v>Concept/compositional transfer</x:v>
      </x:c>
      <x:c r="C58" s="10" t="str">
        <x:f>'Evaluation Plan'!D58</x:f>
        <x:v>SR-F37</x:v>
      </x:c>
      <x:c r="D58" s="10" t="str">
        <x:f>IF('Evaluation Plan'!B58="Concept/compositional transfer","",'Evaluation Plan'!E58)</x:f>
      </x:c>
      <x:c r="E58" s="7" t="str">
        <x:f>'Evaluation Plan'!F58</x:f>
        <x:v>Put the open object in the bowl.</x:v>
      </x:c>
      <x:c r="F58" s="7" t="str">
        <x:f>'Evaluation Plan'!G58</x:f>
        <x:v>P1 yellow-white striped cup B (O, UD) [TARGET]; P2 white cup B (C, UR); P3 brown cup A (C, UD); P4 glass spice container B (C, UR)</x:v>
      </x:c>
      <x:c r="G58" s="10" t="str">
        <x:f>'Evaluation Plan'!H58</x:f>
        <x:v>yellow-white striped cup B</x:v>
      </x:c>
      <x:c r="H58" s="10" t="str">
        <x:v>Not started</x:v>
      </x:c>
      <x:c r="I58" s="10"/>
      <x:c r="J58" s="10"/>
      <x:c r="K58" s="7"/>
    </x:row>
    <x:row r="59" ht="54" customHeight="1">
      <x:c r="A59" s="10" t="n">
        <x:f>'Evaluation Plan'!A59</x:f>
        <x:v>57</x:v>
      </x:c>
      <x:c r="B59" s="10" t="str">
        <x:f>'Evaluation Plan'!B59</x:f>
        <x:v>Concept/compositional transfer</x:v>
      </x:c>
      <x:c r="C59" s="10" t="str">
        <x:f>'Evaluation Plan'!D59</x:f>
        <x:v>SR-F38</x:v>
      </x:c>
      <x:c r="D59" s="10" t="str">
        <x:f>IF('Evaluation Plan'!B59="Concept/compositional transfer","",'Evaluation Plan'!E59)</x:f>
      </x:c>
      <x:c r="E59" s="7" t="str">
        <x:f>'Evaluation Plan'!F59</x:f>
        <x:v>Move the open object into the bowl.</x:v>
      </x:c>
      <x:c r="F59" s="7" t="str">
        <x:f>'Evaluation Plan'!G59</x:f>
        <x:v>P1 white cup B (C, UR); P2 brown cup A (O, UR) [TARGET]; P3 yellow-white striped cup B (C, UR); P4 glass spice container A (C, UD)</x:v>
      </x:c>
      <x:c r="G59" s="10" t="str">
        <x:f>'Evaluation Plan'!H59</x:f>
        <x:v>brown cup A</x:v>
      </x:c>
      <x:c r="H59" s="10" t="str">
        <x:v>Not started</x:v>
      </x:c>
      <x:c r="I59" s="10"/>
      <x:c r="J59" s="10"/>
      <x:c r="K59" s="7"/>
    </x:row>
    <x:row r="60" ht="54" customHeight="1">
      <x:c r="A60" s="10" t="n">
        <x:f>'Evaluation Plan'!A60</x:f>
        <x:v>58</x:v>
      </x:c>
      <x:c r="B60" s="10" t="str">
        <x:f>'Evaluation Plan'!B60</x:f>
        <x:v>Concept/compositional transfer</x:v>
      </x:c>
      <x:c r="C60" s="10" t="str">
        <x:f>'Evaluation Plan'!D60</x:f>
        <x:v>SR-F39</x:v>
      </x:c>
      <x:c r="D60" s="10" t="str">
        <x:f>IF('Evaluation Plan'!B60="Concept/compositional transfer","",'Evaluation Plan'!E60)</x:f>
      </x:c>
      <x:c r="E60" s="7" t="str">
        <x:f>'Evaluation Plan'!F60</x:f>
        <x:v>Place the open object in the bowl.</x:v>
      </x:c>
      <x:c r="F60" s="7" t="str">
        <x:f>'Evaluation Plan'!G60</x:f>
        <x:v>P1 white cup A (C, UD); P2 yellow-white striped cup B (C, UR); P3 glass spice container B (O, UD) [TARGET]; P4 brown cup B (C, UR)</x:v>
      </x:c>
      <x:c r="G60" s="10" t="str">
        <x:f>'Evaluation Plan'!H60</x:f>
        <x:v>glass spice container B</x:v>
      </x:c>
      <x:c r="H60" s="10" t="str">
        <x:v>Not started</x:v>
      </x:c>
      <x:c r="I60" s="10"/>
      <x:c r="J60" s="10"/>
      <x:c r="K60" s="7"/>
    </x:row>
    <x:row r="61" ht="54" customHeight="1">
      <x:c r="A61" s="10" t="n">
        <x:f>'Evaluation Plan'!A61</x:f>
        <x:v>59</x:v>
      </x:c>
      <x:c r="B61" s="10" t="str">
        <x:f>'Evaluation Plan'!B61</x:f>
        <x:v>Concept/compositional transfer</x:v>
      </x:c>
      <x:c r="C61" s="10" t="str">
        <x:f>'Evaluation Plan'!D61</x:f>
        <x:v>SR-F40</x:v>
      </x:c>
      <x:c r="D61" s="10" t="str">
        <x:f>IF('Evaluation Plan'!B61="Concept/compositional transfer","",'Evaluation Plan'!E61)</x:f>
      </x:c>
      <x:c r="E61" s="7" t="str">
        <x:f>'Evaluation Plan'!F61</x:f>
        <x:v>Put the open object in the bowl.</x:v>
      </x:c>
      <x:c r="F61" s="7" t="str">
        <x:f>'Evaluation Plan'!G61</x:f>
        <x:v>P1 yellow-white striped cup B (C, UR); P2 brown cup A (C, UD); P3 glass spice container B (C, UR); P4 white cup A (O, UR) [TARGET]</x:v>
      </x:c>
      <x:c r="G61" s="10" t="str">
        <x:f>'Evaluation Plan'!H61</x:f>
        <x:v>white cup A</x:v>
      </x:c>
      <x:c r="H61" s="10" t="str">
        <x:v>Not started</x:v>
      </x:c>
      <x:c r="I61" s="10"/>
      <x:c r="J61" s="10"/>
      <x:c r="K61" s="7"/>
    </x:row>
    <x:row r="62" ht="54" customHeight="1">
      <x:c r="A62" s="10" t="n">
        <x:f>'Evaluation Plan'!A62</x:f>
        <x:v>60</x:v>
      </x:c>
      <x:c r="B62" s="10" t="str">
        <x:f>'Evaluation Plan'!B62</x:f>
        <x:v>Concept/compositional transfer</x:v>
      </x:c>
      <x:c r="C62" s="10" t="str">
        <x:f>'Evaluation Plan'!D62</x:f>
        <x:v>SR-F41</x:v>
      </x:c>
      <x:c r="D62" s="10" t="str">
        <x:f>IF('Evaluation Plan'!B62="Concept/compositional transfer","",'Evaluation Plan'!E62)</x:f>
      </x:c>
      <x:c r="E62" s="7" t="str">
        <x:f>'Evaluation Plan'!F62</x:f>
        <x:v>Move the open object into the bowl.</x:v>
      </x:c>
      <x:c r="F62" s="7" t="str">
        <x:f>'Evaluation Plan'!G62</x:f>
        <x:v>P1 yellow-white striped cup B (O, UD) [TARGET]; P2 white cup B (C, UR); P3 brown cup A (C, UD); P4 glass spice container B (C, UR)</x:v>
      </x:c>
      <x:c r="G62" s="10" t="str">
        <x:f>'Evaluation Plan'!H62</x:f>
        <x:v>yellow-white striped cup B</x:v>
      </x:c>
      <x:c r="H62" s="10" t="str">
        <x:v>Not started</x:v>
      </x:c>
      <x:c r="I62" s="10"/>
      <x:c r="J62" s="10"/>
      <x:c r="K62" s="7"/>
    </x:row>
    <x:row r="63" ht="54" customHeight="1">
      <x:c r="A63" s="10" t="n">
        <x:f>'Evaluation Plan'!A63</x:f>
        <x:v>61</x:v>
      </x:c>
      <x:c r="B63" s="10" t="str">
        <x:f>'Evaluation Plan'!B63</x:f>
        <x:v>Concept/compositional transfer</x:v>
      </x:c>
      <x:c r="C63" s="10" t="str">
        <x:f>'Evaluation Plan'!D63</x:f>
        <x:v>SR-F42</x:v>
      </x:c>
      <x:c r="D63" s="10" t="str">
        <x:f>IF('Evaluation Plan'!B63="Concept/compositional transfer","",'Evaluation Plan'!E63)</x:f>
      </x:c>
      <x:c r="E63" s="7" t="str">
        <x:f>'Evaluation Plan'!F63</x:f>
        <x:v>Place the open object in the bowl.</x:v>
      </x:c>
      <x:c r="F63" s="7" t="str">
        <x:f>'Evaluation Plan'!G63</x:f>
        <x:v>P1 white cup B (C, UR); P2 brown cup A (O, UR) [TARGET]; P3 yellow-white striped cup B (C, UR); P4 glass spice container A (C, UD)</x:v>
      </x:c>
      <x:c r="G63" s="10" t="str">
        <x:f>'Evaluation Plan'!H63</x:f>
        <x:v>brown cup A</x:v>
      </x:c>
      <x:c r="H63" s="10" t="str">
        <x:v>Not started</x:v>
      </x:c>
      <x:c r="I63" s="10"/>
      <x:c r="J63" s="10"/>
      <x:c r="K63" s="7"/>
    </x:row>
    <x:row r="64" ht="54" customHeight="1">
      <x:c r="A64" s="10" t="n">
        <x:f>'Evaluation Plan'!A64</x:f>
        <x:v>62</x:v>
      </x:c>
      <x:c r="B64" s="10" t="str">
        <x:f>'Evaluation Plan'!B64</x:f>
        <x:v>Concept/compositional transfer</x:v>
      </x:c>
      <x:c r="C64" s="10" t="str">
        <x:f>'Evaluation Plan'!D64</x:f>
        <x:v>SR-F43</x:v>
      </x:c>
      <x:c r="D64" s="10" t="str">
        <x:f>IF('Evaluation Plan'!B64="Concept/compositional transfer","",'Evaluation Plan'!E64)</x:f>
      </x:c>
      <x:c r="E64" s="7" t="str">
        <x:f>'Evaluation Plan'!F64</x:f>
        <x:v>Put the open object in the bowl.</x:v>
      </x:c>
      <x:c r="F64" s="7" t="str">
        <x:f>'Evaluation Plan'!G64</x:f>
        <x:v>P1 white cup A (C, UD); P2 yellow-white striped cup B (C, UR); P3 glass spice container B (O, UD) [TARGET]; P4 brown cup B (C, UR)</x:v>
      </x:c>
      <x:c r="G64" s="10" t="str">
        <x:f>'Evaluation Plan'!H64</x:f>
        <x:v>glass spice container B</x:v>
      </x:c>
      <x:c r="H64" s="10" t="str">
        <x:v>Not started</x:v>
      </x:c>
      <x:c r="I64" s="10"/>
      <x:c r="J64" s="10"/>
      <x:c r="K64" s="7"/>
    </x:row>
    <x:row r="65" ht="54" customHeight="1">
      <x:c r="A65" s="10" t="n">
        <x:f>'Evaluation Plan'!A65</x:f>
        <x:v>63</x:v>
      </x:c>
      <x:c r="B65" s="10" t="str">
        <x:f>'Evaluation Plan'!B65</x:f>
        <x:v>Concept/compositional transfer</x:v>
      </x:c>
      <x:c r="C65" s="10" t="str">
        <x:f>'Evaluation Plan'!D65</x:f>
        <x:v>SR-F44</x:v>
      </x:c>
      <x:c r="D65" s="10" t="str">
        <x:f>IF('Evaluation Plan'!B65="Concept/compositional transfer","",'Evaluation Plan'!E65)</x:f>
      </x:c>
      <x:c r="E65" s="7" t="str">
        <x:f>'Evaluation Plan'!F65</x:f>
        <x:v>Move the open object into the bowl.</x:v>
      </x:c>
      <x:c r="F65" s="7" t="str">
        <x:f>'Evaluation Plan'!G65</x:f>
        <x:v>P1 yellow-white striped cup B (C, UR); P2 brown cup A (C, UD); P3 glass spice container B (C, UR); P4 white cup A (O, UR) [TARGET]</x:v>
      </x:c>
      <x:c r="G65" s="10" t="str">
        <x:f>'Evaluation Plan'!H65</x:f>
        <x:v>white cup A</x:v>
      </x:c>
      <x:c r="H65" s="10" t="str">
        <x:v>Not started</x:v>
      </x:c>
      <x:c r="I65" s="10"/>
      <x:c r="J65" s="10"/>
      <x:c r="K65" s="7"/>
    </x:row>
    <x:row r="66" ht="54" customHeight="1">
      <x:c r="A66" s="10" t="n">
        <x:f>'Evaluation Plan'!A66</x:f>
        <x:v>64</x:v>
      </x:c>
      <x:c r="B66" s="10" t="str">
        <x:f>'Evaluation Plan'!B66</x:f>
        <x:v>Concept/compositional transfer</x:v>
      </x:c>
      <x:c r="C66" s="10" t="str">
        <x:f>'Evaluation Plan'!D66</x:f>
        <x:v>SR-F45</x:v>
      </x:c>
      <x:c r="D66" s="10" t="str">
        <x:f>IF('Evaluation Plan'!B66="Concept/compositional transfer","",'Evaluation Plan'!E66)</x:f>
      </x:c>
      <x:c r="E66" s="7" t="str">
        <x:f>'Evaluation Plan'!F66</x:f>
        <x:v>Place the open object in the bowl.</x:v>
      </x:c>
      <x:c r="F66" s="7" t="str">
        <x:f>'Evaluation Plan'!G66</x:f>
        <x:v>P1 brown cup B (O, UD) [TARGET]; P2 white cup B (C, UR); P3 yellow-white striped cup A (C, UD); P4 glass spice container B (C, UR)</x:v>
      </x:c>
      <x:c r="G66" s="10" t="str">
        <x:f>'Evaluation Plan'!H66</x:f>
        <x:v>brown cup B</x:v>
      </x:c>
      <x:c r="H66" s="10" t="str">
        <x:v>Not started</x:v>
      </x:c>
      <x:c r="I66" s="10"/>
      <x:c r="J66" s="10"/>
      <x:c r="K66" s="7"/>
    </x:row>
    <x:row r="67" ht="54" customHeight="1">
      <x:c r="A67" s="10" t="n">
        <x:f>'Evaluation Plan'!A67</x:f>
        <x:v>65</x:v>
      </x:c>
      <x:c r="B67" s="10" t="str">
        <x:f>'Evaluation Plan'!B67</x:f>
        <x:v>Concept/compositional transfer</x:v>
      </x:c>
      <x:c r="C67" s="10" t="str">
        <x:f>'Evaluation Plan'!D67</x:f>
        <x:v>SR-F46</x:v>
      </x:c>
      <x:c r="D67" s="10" t="str">
        <x:f>IF('Evaluation Plan'!B67="Concept/compositional transfer","",'Evaluation Plan'!E67)</x:f>
      </x:c>
      <x:c r="E67" s="7" t="str">
        <x:f>'Evaluation Plan'!F67</x:f>
        <x:v>Put the upside-down object in the bowl.</x:v>
      </x:c>
      <x:c r="F67" s="7" t="str">
        <x:f>'Evaluation Plan'!G67</x:f>
        <x:v>P1 white cup B (O, UR); P2 glass spice container A (O, UD) [TARGET]; P3 yellow-white striped cup B (O, UR); P4 brown cup A (C, UR)</x:v>
      </x:c>
      <x:c r="G67" s="10" t="str">
        <x:f>'Evaluation Plan'!H67</x:f>
        <x:v>glass spice container A</x:v>
      </x:c>
      <x:c r="H67" s="10" t="str">
        <x:v>Not started</x:v>
      </x:c>
      <x:c r="I67" s="10"/>
      <x:c r="J67" s="10"/>
      <x:c r="K67" s="7"/>
    </x:row>
    <x:row r="68" ht="54" customHeight="1">
      <x:c r="A68" s="10" t="n">
        <x:f>'Evaluation Plan'!A68</x:f>
        <x:v>66</x:v>
      </x:c>
      <x:c r="B68" s="10" t="str">
        <x:f>'Evaluation Plan'!B68</x:f>
        <x:v>Concept/compositional transfer</x:v>
      </x:c>
      <x:c r="C68" s="10" t="str">
        <x:f>'Evaluation Plan'!D68</x:f>
        <x:v>SR-F47</x:v>
      </x:c>
      <x:c r="D68" s="10" t="str">
        <x:f>IF('Evaluation Plan'!B68="Concept/compositional transfer","",'Evaluation Plan'!E68)</x:f>
      </x:c>
      <x:c r="E68" s="7" t="str">
        <x:f>'Evaluation Plan'!F68</x:f>
        <x:v>Move the upside-down object into the bowl.</x:v>
      </x:c>
      <x:c r="F68" s="7" t="str">
        <x:f>'Evaluation Plan'!G68</x:f>
        <x:v>P1 yellow-white striped cup A (C, UR); P2 brown cup B (O, UR); P3 white cup B (C, UD) [TARGET]; P4 glass spice container B (O, UR)</x:v>
      </x:c>
      <x:c r="G68" s="10" t="str">
        <x:f>'Evaluation Plan'!H68</x:f>
        <x:v>white cup B</x:v>
      </x:c>
      <x:c r="H68" s="10" t="str">
        <x:v>Not started</x:v>
      </x:c>
      <x:c r="I68" s="10"/>
      <x:c r="J68" s="10"/>
      <x:c r="K68" s="7"/>
    </x:row>
    <x:row r="69" ht="54" customHeight="1">
      <x:c r="A69" s="10" t="n">
        <x:f>'Evaluation Plan'!A69</x:f>
        <x:v>67</x:v>
      </x:c>
      <x:c r="B69" s="10" t="str">
        <x:f>'Evaluation Plan'!B69</x:f>
        <x:v>Concept/compositional transfer</x:v>
      </x:c>
      <x:c r="C69" s="10" t="str">
        <x:f>'Evaluation Plan'!D69</x:f>
        <x:v>SR-F48</x:v>
      </x:c>
      <x:c r="D69" s="10" t="str">
        <x:f>IF('Evaluation Plan'!B69="Concept/compositional transfer","",'Evaluation Plan'!E69)</x:f>
      </x:c>
      <x:c r="E69" s="7" t="str">
        <x:f>'Evaluation Plan'!F69</x:f>
        <x:v>Place the upside-down object in the bowl.</x:v>
      </x:c>
      <x:c r="F69" s="7" t="str">
        <x:f>'Evaluation Plan'!G69</x:f>
        <x:v>P1 white cup B (O, UR); P2 brown cup A (C, UR); P3 glass spice container B (O, UR); P4 yellow-white striped cup A (O, UD) [TARGET]</x:v>
      </x:c>
      <x:c r="G69" s="10" t="str">
        <x:f>'Evaluation Plan'!H69</x:f>
        <x:v>yellow-white striped cup A</x:v>
      </x:c>
      <x:c r="H69" s="10" t="str">
        <x:v>Not started</x:v>
      </x:c>
      <x:c r="I69" s="10"/>
      <x:c r="J69" s="10"/>
      <x:c r="K69" s="7"/>
    </x:row>
    <x:row r="70" ht="54" customHeight="1">
      <x:c r="A70" s="10" t="n">
        <x:f>'Evaluation Plan'!A70</x:f>
        <x:v>68</x:v>
      </x:c>
      <x:c r="B70" s="10" t="str">
        <x:f>'Evaluation Plan'!B70</x:f>
        <x:v>Concept/compositional transfer</x:v>
      </x:c>
      <x:c r="C70" s="10" t="str">
        <x:f>'Evaluation Plan'!D70</x:f>
        <x:v>SR-F49</x:v>
      </x:c>
      <x:c r="D70" s="10" t="str">
        <x:f>IF('Evaluation Plan'!B70="Concept/compositional transfer","",'Evaluation Plan'!E70)</x:f>
      </x:c>
      <x:c r="E70" s="7" t="str">
        <x:f>'Evaluation Plan'!F70</x:f>
        <x:v>Put the upside-down object in the bowl.</x:v>
      </x:c>
      <x:c r="F70" s="7" t="str">
        <x:f>'Evaluation Plan'!G70</x:f>
        <x:v>P1 brown cup B (C, UD) [TARGET]; P2 white cup B (O, UR); P3 yellow-white striped cup A (C, UR); P4 glass spice container B (O, UR)</x:v>
      </x:c>
      <x:c r="G70" s="10" t="str">
        <x:f>'Evaluation Plan'!H70</x:f>
        <x:v>brown cup B</x:v>
      </x:c>
      <x:c r="H70" s="10" t="str">
        <x:v>Not started</x:v>
      </x:c>
      <x:c r="I70" s="10"/>
      <x:c r="J70" s="10"/>
      <x:c r="K70" s="7"/>
    </x:row>
    <x:row r="71" ht="54" customHeight="1">
      <x:c r="A71" s="10" t="n">
        <x:f>'Evaluation Plan'!A71</x:f>
        <x:v>69</x:v>
      </x:c>
      <x:c r="B71" s="10" t="str">
        <x:f>'Evaluation Plan'!B71</x:f>
        <x:v>Concept/compositional transfer</x:v>
      </x:c>
      <x:c r="C71" s="10" t="str">
        <x:f>'Evaluation Plan'!D71</x:f>
        <x:v>SR-F50</x:v>
      </x:c>
      <x:c r="D71" s="10" t="str">
        <x:f>IF('Evaluation Plan'!B71="Concept/compositional transfer","",'Evaluation Plan'!E71)</x:f>
      </x:c>
      <x:c r="E71" s="7" t="str">
        <x:f>'Evaluation Plan'!F71</x:f>
        <x:v>Move the upside-down object into the bowl.</x:v>
      </x:c>
      <x:c r="F71" s="7" t="str">
        <x:f>'Evaluation Plan'!G71</x:f>
        <x:v>P1 white cup B (O, UR); P2 glass spice container A (O, UD) [TARGET]; P3 yellow-white striped cup B (O, UR); P4 brown cup A (C, UR)</x:v>
      </x:c>
      <x:c r="G71" s="10" t="str">
        <x:f>'Evaluation Plan'!H71</x:f>
        <x:v>glass spice container A</x:v>
      </x:c>
      <x:c r="H71" s="10" t="str">
        <x:v>Not started</x:v>
      </x:c>
      <x:c r="I71" s="10"/>
      <x:c r="J71" s="10"/>
      <x:c r="K71" s="7"/>
    </x:row>
    <x:row r="72" ht="54" customHeight="1">
      <x:c r="A72" s="10" t="n">
        <x:f>'Evaluation Plan'!A72</x:f>
        <x:v>70</x:v>
      </x:c>
      <x:c r="B72" s="10" t="str">
        <x:f>'Evaluation Plan'!B72</x:f>
        <x:v>Visual generalization</x:v>
      </x:c>
      <x:c r="C72" s="10" t="str">
        <x:f>'Evaluation Plan'!D72</x:f>
        <x:v>SR-F01</x:v>
      </x:c>
      <x:c r="D72" s="10" t="n">
        <x:f>IF('Evaluation Plan'!B72="Concept/compositional transfer","",'Evaluation Plan'!E72)</x:f>
        <x:v>0</x:v>
      </x:c>
      <x:c r="E72" s="7" t="str">
        <x:f>'Evaluation Plan'!F72</x:f>
        <x:v>Place the closed object in the bowl.</x:v>
      </x:c>
      <x:c r="F72" s="7" t="str">
        <x:f>'Evaluation Plan'!G72</x:f>
        <x:v>P1 U1 (see Object Inventory) (C, UR) [TARGET]; P2 U2 (see Object Inventory) (O, UD); P3 brown cup A (O, UR); P4 glass spice container B (O, UD)</x:v>
      </x:c>
      <x:c r="G72" s="10" t="str">
        <x:f>'Evaluation Plan'!H72</x:f>
        <x:v>U1</x:v>
      </x:c>
      <x:c r="H72" s="10" t="str">
        <x:v>Not started</x:v>
      </x:c>
      <x:c r="I72" s="10"/>
      <x:c r="J72" s="10"/>
      <x:c r="K72" s="7"/>
    </x:row>
    <x:row r="73" ht="54" customHeight="1">
      <x:c r="A73" s="10" t="n">
        <x:f>'Evaluation Plan'!A73</x:f>
        <x:v>71</x:v>
      </x:c>
      <x:c r="B73" s="10" t="str">
        <x:f>'Evaluation Plan'!B73</x:f>
        <x:v>Visual generalization</x:v>
      </x:c>
      <x:c r="C73" s="10" t="str">
        <x:f>'Evaluation Plan'!D73</x:f>
        <x:v>SR-F02</x:v>
      </x:c>
      <x:c r="D73" s="10" t="n">
        <x:f>IF('Evaluation Plan'!B73="Concept/compositional transfer","",'Evaluation Plan'!E73)</x:f>
        <x:v>2</x:v>
      </x:c>
      <x:c r="E73" s="7" t="str">
        <x:f>'Evaluation Plan'!F73</x:f>
        <x:v>Put the closed object in the bowl.</x:v>
      </x:c>
      <x:c r="F73" s="7" t="str">
        <x:f>'Evaluation Plan'!G73</x:f>
        <x:v>P1 U1 (see Object Inventory) (O, UR); P2 U2 (see Object Inventory) (C, UD) [TARGET]; P3 glass spice container B (O, UD); P4 white cup A (O, UR)</x:v>
      </x:c>
      <x:c r="G73" s="10" t="str">
        <x:f>'Evaluation Plan'!H73</x:f>
        <x:v>U2</x:v>
      </x:c>
      <x:c r="H73" s="10" t="str">
        <x:v>Not started</x:v>
      </x:c>
      <x:c r="I73" s="10"/>
      <x:c r="J73" s="10"/>
      <x:c r="K73" s="7"/>
    </x:row>
    <x:row r="74" ht="54" customHeight="1">
      <x:c r="A74" s="10" t="n">
        <x:f>'Evaluation Plan'!A74</x:f>
        <x:v>72</x:v>
      </x:c>
      <x:c r="B74" s="10" t="str">
        <x:f>'Evaluation Plan'!B74</x:f>
        <x:v>Visual generalization</x:v>
      </x:c>
      <x:c r="C74" s="10" t="str">
        <x:f>'Evaluation Plan'!D74</x:f>
        <x:v>SR-F03</x:v>
      </x:c>
      <x:c r="D74" s="10" t="n">
        <x:f>IF('Evaluation Plan'!B74="Concept/compositional transfer","",'Evaluation Plan'!E74)</x:f>
        <x:v>4</x:v>
      </x:c>
      <x:c r="E74" s="7" t="str">
        <x:f>'Evaluation Plan'!F74</x:f>
        <x:v>Move the closed object into the bowl.</x:v>
      </x:c>
      <x:c r="F74" s="7" t="str">
        <x:f>'Evaluation Plan'!G74</x:f>
        <x:v>P1 U2 (see Object Inventory) (O, UD); P2 glass spice container B (O, UD); P3 U1 (see Object Inventory) (C, UR) [TARGET]; P4 yellow-white striped cup B (O, UD)</x:v>
      </x:c>
      <x:c r="G74" s="10" t="str">
        <x:f>'Evaluation Plan'!H74</x:f>
        <x:v>U1</x:v>
      </x:c>
      <x:c r="H74" s="10" t="str">
        <x:v>Not started</x:v>
      </x:c>
      <x:c r="I74" s="10"/>
      <x:c r="J74" s="10"/>
      <x:c r="K74" s="7"/>
    </x:row>
    <x:row r="75" ht="54" customHeight="1">
      <x:c r="A75" s="10" t="n">
        <x:f>'Evaluation Plan'!A75</x:f>
        <x:v>73</x:v>
      </x:c>
      <x:c r="B75" s="10" t="str">
        <x:f>'Evaluation Plan'!B75</x:f>
        <x:v>Visual generalization</x:v>
      </x:c>
      <x:c r="C75" s="10" t="str">
        <x:f>'Evaluation Plan'!D75</x:f>
        <x:v>SR-F04</x:v>
      </x:c>
      <x:c r="D75" s="10" t="n">
        <x:f>IF('Evaluation Plan'!B75="Concept/compositional transfer","",'Evaluation Plan'!E75)</x:f>
        <x:v>6</x:v>
      </x:c>
      <x:c r="E75" s="7" t="str">
        <x:f>'Evaluation Plan'!F75</x:f>
        <x:v>Place the closed object in the bowl.</x:v>
      </x:c>
      <x:c r="F75" s="7" t="str">
        <x:f>'Evaluation Plan'!G75</x:f>
        <x:v>P1 U1 (see Object Inventory) (O, UR); P2 white cup A (O, UR); P3 yellow-white striped cup B (O, UD); P4 U2 (see Object Inventory) (C, UD) [TARGET]</x:v>
      </x:c>
      <x:c r="G75" s="10" t="str">
        <x:f>'Evaluation Plan'!H75</x:f>
        <x:v>U2</x:v>
      </x:c>
      <x:c r="H75" s="10" t="str">
        <x:v>Not started</x:v>
      </x:c>
      <x:c r="I75" s="10"/>
      <x:c r="J75" s="10"/>
      <x:c r="K75" s="7"/>
    </x:row>
    <x:row r="76" ht="54" customHeight="1">
      <x:c r="A76" s="10" t="n">
        <x:f>'Evaluation Plan'!A76</x:f>
        <x:v>74</x:v>
      </x:c>
      <x:c r="B76" s="10" t="str">
        <x:f>'Evaluation Plan'!B76</x:f>
        <x:v>Visual generalization</x:v>
      </x:c>
      <x:c r="C76" s="10" t="str">
        <x:f>'Evaluation Plan'!D76</x:f>
        <x:v>SR-F05</x:v>
      </x:c>
      <x:c r="D76" s="10" t="n">
        <x:f>IF('Evaluation Plan'!B76="Concept/compositional transfer","",'Evaluation Plan'!E76)</x:f>
        <x:v>8</x:v>
      </x:c>
      <x:c r="E76" s="7" t="str">
        <x:f>'Evaluation Plan'!F76</x:f>
        <x:v>Put the closed object in the bowl.</x:v>
      </x:c>
      <x:c r="F76" s="7" t="str">
        <x:f>'Evaluation Plan'!G76</x:f>
        <x:v>P1 U1 (see Object Inventory) (C, UR) [TARGET]; P2 U2 (see Object Inventory) (O, UD); P3 brown cup A (O, UR); P4 glass spice container B (O, UD)</x:v>
      </x:c>
      <x:c r="G76" s="10" t="str">
        <x:f>'Evaluation Plan'!H76</x:f>
        <x:v>U1</x:v>
      </x:c>
      <x:c r="H76" s="10" t="str">
        <x:v>Not started</x:v>
      </x:c>
      <x:c r="I76" s="10"/>
      <x:c r="J76" s="10"/>
      <x:c r="K76" s="7"/>
    </x:row>
    <x:row r="77" ht="54" customHeight="1">
      <x:c r="A77" s="10" t="n">
        <x:f>'Evaluation Plan'!A77</x:f>
        <x:v>75</x:v>
      </x:c>
      <x:c r="B77" s="10" t="str">
        <x:f>'Evaluation Plan'!B77</x:f>
        <x:v>Visual generalization</x:v>
      </x:c>
      <x:c r="C77" s="10" t="str">
        <x:f>'Evaluation Plan'!D77</x:f>
        <x:v>SR-F06</x:v>
      </x:c>
      <x:c r="D77" s="10" t="n">
        <x:f>IF('Evaluation Plan'!B77="Concept/compositional transfer","",'Evaluation Plan'!E77)</x:f>
        <x:v>10</x:v>
      </x:c>
      <x:c r="E77" s="7" t="str">
        <x:f>'Evaluation Plan'!F77</x:f>
        <x:v>Move the closed object into the bowl.</x:v>
      </x:c>
      <x:c r="F77" s="7" t="str">
        <x:f>'Evaluation Plan'!G77</x:f>
        <x:v>P1 U1 (see Object Inventory) (O, UR); P2 U2 (see Object Inventory) (C, UD) [TARGET]; P3 glass spice container B (O, UD); P4 white cup A (O, UR)</x:v>
      </x:c>
      <x:c r="G77" s="10" t="str">
        <x:f>'Evaluation Plan'!H77</x:f>
        <x:v>U2</x:v>
      </x:c>
      <x:c r="H77" s="10" t="str">
        <x:v>Not started</x:v>
      </x:c>
      <x:c r="I77" s="10"/>
      <x:c r="J77" s="10"/>
      <x:c r="K77" s="7"/>
    </x:row>
    <x:row r="78" ht="54" customHeight="1">
      <x:c r="A78" s="10" t="n">
        <x:f>'Evaluation Plan'!A78</x:f>
        <x:v>76</x:v>
      </x:c>
      <x:c r="B78" s="10" t="str">
        <x:f>'Evaluation Plan'!B78</x:f>
        <x:v>Visual generalization</x:v>
      </x:c>
      <x:c r="C78" s="10" t="str">
        <x:f>'Evaluation Plan'!D78</x:f>
        <x:v>SR-F07</x:v>
      </x:c>
      <x:c r="D78" s="10" t="n">
        <x:f>IF('Evaluation Plan'!B78="Concept/compositional transfer","",'Evaluation Plan'!E78)</x:f>
        <x:v>12</x:v>
      </x:c>
      <x:c r="E78" s="7" t="str">
        <x:f>'Evaluation Plan'!F78</x:f>
        <x:v>Place the closed object in the bowl.</x:v>
      </x:c>
      <x:c r="F78" s="7" t="str">
        <x:f>'Evaluation Plan'!G78</x:f>
        <x:v>P1 U2 (see Object Inventory) (O, UD); P2 glass spice container B (O, UD); P3 U1 (see Object Inventory) (C, UR) [TARGET]; P4 yellow-white striped cup B (O, UD)</x:v>
      </x:c>
      <x:c r="G78" s="10" t="str">
        <x:f>'Evaluation Plan'!H78</x:f>
        <x:v>U1</x:v>
      </x:c>
      <x:c r="H78" s="10" t="str">
        <x:v>Not started</x:v>
      </x:c>
      <x:c r="I78" s="10"/>
      <x:c r="J78" s="10"/>
      <x:c r="K78" s="7"/>
    </x:row>
    <x:row r="79" ht="54" customHeight="1">
      <x:c r="A79" s="10" t="n">
        <x:f>'Evaluation Plan'!A79</x:f>
        <x:v>77</x:v>
      </x:c>
      <x:c r="B79" s="10" t="str">
        <x:f>'Evaluation Plan'!B79</x:f>
        <x:v>Visual generalization</x:v>
      </x:c>
      <x:c r="C79" s="10" t="str">
        <x:f>'Evaluation Plan'!D79</x:f>
        <x:v>SR-F08</x:v>
      </x:c>
      <x:c r="D79" s="10" t="n">
        <x:f>IF('Evaluation Plan'!B79="Concept/compositional transfer","",'Evaluation Plan'!E79)</x:f>
        <x:v>14</x:v>
      </x:c>
      <x:c r="E79" s="7" t="str">
        <x:f>'Evaluation Plan'!F79</x:f>
        <x:v>Put the closed object in the bowl.</x:v>
      </x:c>
      <x:c r="F79" s="7" t="str">
        <x:f>'Evaluation Plan'!G79</x:f>
        <x:v>P1 U1 (see Object Inventory) (O, UR); P2 white cup A (O, UR); P3 yellow-white striped cup B (O, UD); P4 U2 (see Object Inventory) (C, UD) [TARGET]</x:v>
      </x:c>
      <x:c r="G79" s="10" t="str">
        <x:f>'Evaluation Plan'!H79</x:f>
        <x:v>U2</x:v>
      </x:c>
      <x:c r="H79" s="10" t="str">
        <x:v>Not started</x:v>
      </x:c>
      <x:c r="I79" s="10"/>
      <x:c r="J79" s="10"/>
      <x:c r="K79" s="7"/>
    </x:row>
    <x:row r="80" ht="54" customHeight="1">
      <x:c r="A80" s="10" t="n">
        <x:f>'Evaluation Plan'!A80</x:f>
        <x:v>78</x:v>
      </x:c>
      <x:c r="B80" s="10" t="str">
        <x:f>'Evaluation Plan'!B80</x:f>
        <x:v>Visual generalization</x:v>
      </x:c>
      <x:c r="C80" s="10" t="str">
        <x:f>'Evaluation Plan'!D80</x:f>
        <x:v>SR-F09</x:v>
      </x:c>
      <x:c r="D80" s="10" t="n">
        <x:f>IF('Evaluation Plan'!B80="Concept/compositional transfer","",'Evaluation Plan'!E80)</x:f>
        <x:v>16</x:v>
      </x:c>
      <x:c r="E80" s="7" t="str">
        <x:f>'Evaluation Plan'!F80</x:f>
        <x:v>Move the closed object into the bowl.</x:v>
      </x:c>
      <x:c r="F80" s="7" t="str">
        <x:f>'Evaluation Plan'!G80</x:f>
        <x:v>P1 U1 (see Object Inventory) (C, UR) [TARGET]; P2 U2 (see Object Inventory) (O, UD); P3 brown cup A (O, UR); P4 glass spice container B (O, UD)</x:v>
      </x:c>
      <x:c r="G80" s="10" t="str">
        <x:f>'Evaluation Plan'!H80</x:f>
        <x:v>U1</x:v>
      </x:c>
      <x:c r="H80" s="10" t="str">
        <x:v>Not started</x:v>
      </x:c>
      <x:c r="I80" s="10"/>
      <x:c r="J80" s="10"/>
      <x:c r="K80" s="7"/>
    </x:row>
    <x:row r="81" ht="54" customHeight="1">
      <x:c r="A81" s="10" t="n">
        <x:f>'Evaluation Plan'!A81</x:f>
        <x:v>79</x:v>
      </x:c>
      <x:c r="B81" s="10" t="str">
        <x:f>'Evaluation Plan'!B81</x:f>
        <x:v>Visual generalization</x:v>
      </x:c>
      <x:c r="C81" s="10" t="str">
        <x:f>'Evaluation Plan'!D81</x:f>
        <x:v>SR-F10</x:v>
      </x:c>
      <x:c r="D81" s="10" t="n">
        <x:f>IF('Evaluation Plan'!B81="Concept/compositional transfer","",'Evaluation Plan'!E81)</x:f>
        <x:v>18</x:v>
      </x:c>
      <x:c r="E81" s="7" t="str">
        <x:f>'Evaluation Plan'!F81</x:f>
        <x:v>Place the closed object in the bowl.</x:v>
      </x:c>
      <x:c r="F81" s="7" t="str">
        <x:f>'Evaluation Plan'!G81</x:f>
        <x:v>P1 U1 (see Object Inventory) (O, UR); P2 U2 (see Object Inventory) (C, UD) [TARGET]; P3 glass spice container B (O, UD); P4 white cup A (O, UR)</x:v>
      </x:c>
      <x:c r="G81" s="10" t="str">
        <x:f>'Evaluation Plan'!H81</x:f>
        <x:v>U2</x:v>
      </x:c>
      <x:c r="H81" s="10" t="str">
        <x:v>Not started</x:v>
      </x:c>
      <x:c r="I81" s="10"/>
      <x:c r="J81" s="10"/>
      <x:c r="K81" s="7"/>
    </x:row>
    <x:row r="82" ht="54" customHeight="1">
      <x:c r="A82" s="10" t="n">
        <x:f>'Evaluation Plan'!A82</x:f>
        <x:v>80</x:v>
      </x:c>
      <x:c r="B82" s="10" t="str">
        <x:f>'Evaluation Plan'!B82</x:f>
        <x:v>Visual generalization</x:v>
      </x:c>
      <x:c r="C82" s="10" t="str">
        <x:f>'Evaluation Plan'!D82</x:f>
        <x:v>SR-F11</x:v>
      </x:c>
      <x:c r="D82" s="10" t="n">
        <x:f>IF('Evaluation Plan'!B82="Concept/compositional transfer","",'Evaluation Plan'!E82)</x:f>
        <x:v>20</x:v>
      </x:c>
      <x:c r="E82" s="7" t="str">
        <x:f>'Evaluation Plan'!F82</x:f>
        <x:v>Put the upright object in the bowl.</x:v>
      </x:c>
      <x:c r="F82" s="7" t="str">
        <x:f>'Evaluation Plan'!G82</x:f>
        <x:v>P1 U4 (see Object Inventory) (UD); P2 glass spice container B (C, UD); P3 U3 (see Object Inventory) (UR) [TARGET]; P4 yellow-white striped cup B (C, UD)</x:v>
      </x:c>
      <x:c r="G82" s="10" t="str">
        <x:f>'Evaluation Plan'!H82</x:f>
        <x:v>U3</x:v>
      </x:c>
      <x:c r="H82" s="10" t="str">
        <x:v>Not started</x:v>
      </x:c>
      <x:c r="I82" s="10"/>
      <x:c r="J82" s="10"/>
      <x:c r="K82" s="7"/>
    </x:row>
    <x:row r="83" ht="54" customHeight="1">
      <x:c r="A83" s="10" t="n">
        <x:f>'Evaluation Plan'!A83</x:f>
        <x:v>81</x:v>
      </x:c>
      <x:c r="B83" s="10" t="str">
        <x:f>'Evaluation Plan'!B83</x:f>
        <x:v>Visual generalization</x:v>
      </x:c>
      <x:c r="C83" s="10" t="str">
        <x:f>'Evaluation Plan'!D83</x:f>
        <x:v>SR-F12</x:v>
      </x:c>
      <x:c r="D83" s="10" t="n">
        <x:f>IF('Evaluation Plan'!B83="Concept/compositional transfer","",'Evaluation Plan'!E83)</x:f>
        <x:v>22</x:v>
      </x:c>
      <x:c r="E83" s="7" t="str">
        <x:f>'Evaluation Plan'!F83</x:f>
        <x:v>Move the upright object into the bowl.</x:v>
      </x:c>
      <x:c r="F83" s="7" t="str">
        <x:f>'Evaluation Plan'!G83</x:f>
        <x:v>P1 U3 (see Object Inventory) (UD); P2 white cup A (O, UD); P3 yellow-white striped cup B (C, UD); P4 U4 (see Object Inventory) (UR) [TARGET]</x:v>
      </x:c>
      <x:c r="G83" s="10" t="str">
        <x:f>'Evaluation Plan'!H83</x:f>
        <x:v>U4</x:v>
      </x:c>
      <x:c r="H83" s="10" t="str">
        <x:v>Not started</x:v>
      </x:c>
      <x:c r="I83" s="10"/>
      <x:c r="J83" s="10"/>
      <x:c r="K83" s="7"/>
    </x:row>
    <x:row r="84" ht="54" customHeight="1">
      <x:c r="A84" s="10" t="n">
        <x:f>'Evaluation Plan'!A84</x:f>
        <x:v>82</x:v>
      </x:c>
      <x:c r="B84" s="10" t="str">
        <x:f>'Evaluation Plan'!B84</x:f>
        <x:v>Visual generalization</x:v>
      </x:c>
      <x:c r="C84" s="10" t="str">
        <x:f>'Evaluation Plan'!D84</x:f>
        <x:v>SR-F13</x:v>
      </x:c>
      <x:c r="D84" s="10" t="n">
        <x:f>IF('Evaluation Plan'!B84="Concept/compositional transfer","",'Evaluation Plan'!E84)</x:f>
        <x:v>24</x:v>
      </x:c>
      <x:c r="E84" s="7" t="str">
        <x:f>'Evaluation Plan'!F84</x:f>
        <x:v>Place the upright object in the bowl.</x:v>
      </x:c>
      <x:c r="F84" s="7" t="str">
        <x:f>'Evaluation Plan'!G84</x:f>
        <x:v>P1 U3 (see Object Inventory) (UR) [TARGET]; P2 U4 (see Object Inventory) (UD); P3 brown cup A (O, UD); P4 glass spice container B (C, UD)</x:v>
      </x:c>
      <x:c r="G84" s="10" t="str">
        <x:f>'Evaluation Plan'!H84</x:f>
        <x:v>U3</x:v>
      </x:c>
      <x:c r="H84" s="10" t="str">
        <x:v>Not started</x:v>
      </x:c>
      <x:c r="I84" s="10"/>
      <x:c r="J84" s="10"/>
      <x:c r="K84" s="7"/>
    </x:row>
    <x:row r="85" ht="54" customHeight="1">
      <x:c r="A85" s="10" t="n">
        <x:f>'Evaluation Plan'!A85</x:f>
        <x:v>83</x:v>
      </x:c>
      <x:c r="B85" s="10" t="str">
        <x:f>'Evaluation Plan'!B85</x:f>
        <x:v>Visual generalization</x:v>
      </x:c>
      <x:c r="C85" s="10" t="str">
        <x:f>'Evaluation Plan'!D85</x:f>
        <x:v>SR-F14</x:v>
      </x:c>
      <x:c r="D85" s="10" t="n">
        <x:f>IF('Evaluation Plan'!B85="Concept/compositional transfer","",'Evaluation Plan'!E85)</x:f>
        <x:v>26</x:v>
      </x:c>
      <x:c r="E85" s="7" t="str">
        <x:f>'Evaluation Plan'!F85</x:f>
        <x:v>Put the upright object in the bowl.</x:v>
      </x:c>
      <x:c r="F85" s="7" t="str">
        <x:f>'Evaluation Plan'!G85</x:f>
        <x:v>P1 U3 (see Object Inventory) (UD); P2 U4 (see Object Inventory) (UR) [TARGET]; P3 glass spice container B (C, UD); P4 white cup A (O, UD)</x:v>
      </x:c>
      <x:c r="G85" s="10" t="str">
        <x:f>'Evaluation Plan'!H85</x:f>
        <x:v>U4</x:v>
      </x:c>
      <x:c r="H85" s="10" t="str">
        <x:v>Not started</x:v>
      </x:c>
      <x:c r="I85" s="10"/>
      <x:c r="J85" s="10"/>
      <x:c r="K85" s="7"/>
    </x:row>
    <x:row r="86" ht="54" customHeight="1">
      <x:c r="A86" s="10" t="n">
        <x:f>'Evaluation Plan'!A86</x:f>
        <x:v>84</x:v>
      </x:c>
      <x:c r="B86" s="10" t="str">
        <x:f>'Evaluation Plan'!B86</x:f>
        <x:v>Visual generalization</x:v>
      </x:c>
      <x:c r="C86" s="10" t="str">
        <x:f>'Evaluation Plan'!D86</x:f>
        <x:v>SR-F15</x:v>
      </x:c>
      <x:c r="D86" s="10" t="n">
        <x:f>IF('Evaluation Plan'!B86="Concept/compositional transfer","",'Evaluation Plan'!E86)</x:f>
        <x:v>28</x:v>
      </x:c>
      <x:c r="E86" s="7" t="str">
        <x:f>'Evaluation Plan'!F86</x:f>
        <x:v>Move the upright object into the bowl.</x:v>
      </x:c>
      <x:c r="F86" s="7" t="str">
        <x:f>'Evaluation Plan'!G86</x:f>
        <x:v>P1 U4 (see Object Inventory) (UD); P2 glass spice container B (C, UD); P3 U3 (see Object Inventory) (UR) [TARGET]; P4 yellow-white striped cup B (C, UD)</x:v>
      </x:c>
      <x:c r="G86" s="10" t="str">
        <x:f>'Evaluation Plan'!H86</x:f>
        <x:v>U3</x:v>
      </x:c>
      <x:c r="H86" s="10" t="str">
        <x:v>Not started</x:v>
      </x:c>
      <x:c r="I86" s="10"/>
      <x:c r="J86" s="10"/>
      <x:c r="K86" s="7"/>
    </x:row>
    <x:row r="87" ht="54" customHeight="1">
      <x:c r="A87" s="10" t="n">
        <x:f>'Evaluation Plan'!A87</x:f>
        <x:v>85</x:v>
      </x:c>
      <x:c r="B87" s="10" t="str">
        <x:f>'Evaluation Plan'!B87</x:f>
        <x:v>Visual generalization</x:v>
      </x:c>
      <x:c r="C87" s="10" t="str">
        <x:f>'Evaluation Plan'!D87</x:f>
        <x:v>SR-F16</x:v>
      </x:c>
      <x:c r="D87" s="10" t="n">
        <x:f>IF('Evaluation Plan'!B87="Concept/compositional transfer","",'Evaluation Plan'!E87)</x:f>
        <x:v>30</x:v>
      </x:c>
      <x:c r="E87" s="7" t="str">
        <x:f>'Evaluation Plan'!F87</x:f>
        <x:v>Place the upright object in the bowl.</x:v>
      </x:c>
      <x:c r="F87" s="7" t="str">
        <x:f>'Evaluation Plan'!G87</x:f>
        <x:v>P1 U3 (see Object Inventory) (UD); P2 white cup A (O, UD); P3 yellow-white striped cup B (C, UD); P4 U4 (see Object Inventory) (UR) [TARGET]</x:v>
      </x:c>
      <x:c r="G87" s="10" t="str">
        <x:f>'Evaluation Plan'!H87</x:f>
        <x:v>U4</x:v>
      </x:c>
      <x:c r="H87" s="10" t="str">
        <x:v>Not started</x:v>
      </x:c>
      <x:c r="I87" s="10"/>
      <x:c r="J87" s="10"/>
      <x:c r="K87" s="7"/>
    </x:row>
    <x:row r="88" ht="54" customHeight="1">
      <x:c r="A88" s="10" t="n">
        <x:f>'Evaluation Plan'!A88</x:f>
        <x:v>86</x:v>
      </x:c>
      <x:c r="B88" s="10" t="str">
        <x:f>'Evaluation Plan'!B88</x:f>
        <x:v>Visual generalization</x:v>
      </x:c>
      <x:c r="C88" s="10" t="str">
        <x:f>'Evaluation Plan'!D88</x:f>
        <x:v>SR-F17</x:v>
      </x:c>
      <x:c r="D88" s="10" t="n">
        <x:f>IF('Evaluation Plan'!B88="Concept/compositional transfer","",'Evaluation Plan'!E88)</x:f>
        <x:v>32</x:v>
      </x:c>
      <x:c r="E88" s="7" t="str">
        <x:f>'Evaluation Plan'!F88</x:f>
        <x:v>Put the upright object in the bowl.</x:v>
      </x:c>
      <x:c r="F88" s="7" t="str">
        <x:f>'Evaluation Plan'!G88</x:f>
        <x:v>P1 U3 (see Object Inventory) (UR) [TARGET]; P2 U4 (see Object Inventory) (UD); P3 brown cup A (O, UD); P4 glass spice container B (C, UD)</x:v>
      </x:c>
      <x:c r="G88" s="10" t="str">
        <x:f>'Evaluation Plan'!H88</x:f>
        <x:v>U3</x:v>
      </x:c>
      <x:c r="H88" s="10" t="str">
        <x:v>Not started</x:v>
      </x:c>
      <x:c r="I88" s="10"/>
      <x:c r="J88" s="10"/>
      <x:c r="K88" s="7"/>
    </x:row>
    <x:row r="89" ht="54" customHeight="1">
      <x:c r="A89" s="10" t="n">
        <x:f>'Evaluation Plan'!A89</x:f>
        <x:v>87</x:v>
      </x:c>
      <x:c r="B89" s="10" t="str">
        <x:f>'Evaluation Plan'!B89</x:f>
        <x:v>Visual generalization</x:v>
      </x:c>
      <x:c r="C89" s="10" t="str">
        <x:f>'Evaluation Plan'!D89</x:f>
        <x:v>SR-F18</x:v>
      </x:c>
      <x:c r="D89" s="10" t="n">
        <x:f>IF('Evaluation Plan'!B89="Concept/compositional transfer","",'Evaluation Plan'!E89)</x:f>
        <x:v>34</x:v>
      </x:c>
      <x:c r="E89" s="7" t="str">
        <x:f>'Evaluation Plan'!F89</x:f>
        <x:v>Move the upright object into the bowl.</x:v>
      </x:c>
      <x:c r="F89" s="7" t="str">
        <x:f>'Evaluation Plan'!G89</x:f>
        <x:v>P1 U3 (see Object Inventory) (UD); P2 U4 (see Object Inventory) (UR) [TARGET]; P3 glass spice container B (C, UD); P4 white cup A (O, UD)</x:v>
      </x:c>
      <x:c r="G89" s="10" t="str">
        <x:f>'Evaluation Plan'!H89</x:f>
        <x:v>U4</x:v>
      </x:c>
      <x:c r="H89" s="10" t="str">
        <x:v>Not started</x:v>
      </x:c>
      <x:c r="I89" s="10"/>
      <x:c r="J89" s="10"/>
      <x:c r="K89" s="7"/>
    </x:row>
    <x:row r="90" ht="54" customHeight="1">
      <x:c r="A90" s="10" t="n">
        <x:f>'Evaluation Plan'!A90</x:f>
        <x:v>88</x:v>
      </x:c>
      <x:c r="B90" s="10" t="str">
        <x:f>'Evaluation Plan'!B90</x:f>
        <x:v>Visual generalization</x:v>
      </x:c>
      <x:c r="C90" s="10" t="str">
        <x:f>'Evaluation Plan'!D90</x:f>
        <x:v>SR-F19</x:v>
      </x:c>
      <x:c r="D90" s="10" t="n">
        <x:f>IF('Evaluation Plan'!B90="Concept/compositional transfer","",'Evaluation Plan'!E90)</x:f>
        <x:v>36</x:v>
      </x:c>
      <x:c r="E90" s="7" t="str">
        <x:f>'Evaluation Plan'!F90</x:f>
        <x:v>Place the upright object in the bowl.</x:v>
      </x:c>
      <x:c r="F90" s="7" t="str">
        <x:f>'Evaluation Plan'!G90</x:f>
        <x:v>P1 U4 (see Object Inventory) (UD); P2 glass spice container B (C, UD); P3 U3 (see Object Inventory) (UR) [TARGET]; P4 yellow-white striped cup B (C, UD)</x:v>
      </x:c>
      <x:c r="G90" s="10" t="str">
        <x:f>'Evaluation Plan'!H90</x:f>
        <x:v>U3</x:v>
      </x:c>
      <x:c r="H90" s="10" t="str">
        <x:v>Not started</x:v>
      </x:c>
      <x:c r="I90" s="10"/>
      <x:c r="J90" s="10"/>
      <x:c r="K90" s="7"/>
    </x:row>
    <x:row r="91" ht="54" customHeight="1">
      <x:c r="A91" s="10" t="n">
        <x:f>'Evaluation Plan'!A91</x:f>
        <x:v>89</x:v>
      </x:c>
      <x:c r="B91" s="10" t="str">
        <x:f>'Evaluation Plan'!B91</x:f>
        <x:v>Visual generalization</x:v>
      </x:c>
      <x:c r="C91" s="10" t="str">
        <x:f>'Evaluation Plan'!D91</x:f>
        <x:v>SR-F20</x:v>
      </x:c>
      <x:c r="D91" s="10" t="n">
        <x:f>IF('Evaluation Plan'!B91="Concept/compositional transfer","",'Evaluation Plan'!E91)</x:f>
        <x:v>38</x:v>
      </x:c>
      <x:c r="E91" s="7" t="str">
        <x:f>'Evaluation Plan'!F91</x:f>
        <x:v>Put the upright object in the bowl.</x:v>
      </x:c>
      <x:c r="F91" s="7" t="str">
        <x:f>'Evaluation Plan'!G91</x:f>
        <x:v>P1 U3 (see Object Inventory) (UD); P2 white cup A (O, UD); P3 yellow-white striped cup B (C, UD); P4 U4 (see Object Inventory) (UR) [TARGET]</x:v>
      </x:c>
      <x:c r="G91" s="10" t="str">
        <x:f>'Evaluation Plan'!H91</x:f>
        <x:v>U4</x:v>
      </x:c>
      <x:c r="H91" s="10" t="str">
        <x:v>Not started</x:v>
      </x:c>
      <x:c r="I91" s="10"/>
      <x:c r="J91" s="10"/>
      <x:c r="K91" s="7"/>
    </x:row>
    <x:row r="92" ht="54" customHeight="1">
      <x:c r="A92" s="10" t="n">
        <x:f>'Evaluation Plan'!A92</x:f>
        <x:v>90</x:v>
      </x:c>
      <x:c r="B92" s="10" t="str">
        <x:f>'Evaluation Plan'!B92</x:f>
        <x:v>Language robustness</x:v>
      </x:c>
      <x:c r="C92" s="10" t="str">
        <x:f>'Evaluation Plan'!D92</x:f>
        <x:v>SR-F01</x:v>
      </x:c>
      <x:c r="D92" s="10" t="n">
        <x:f>IF('Evaluation Plan'!B92="Concept/compositional transfer","",'Evaluation Plan'!E92)</x:f>
        <x:v>0</x:v>
      </x:c>
      <x:c r="E92" s="7" t="str">
        <x:f>'Evaluation Plan'!F92</x:f>
        <x:v>Move the object whose opening is covered into the bowl.</x:v>
      </x:c>
      <x:c r="F92" s="7" t="str">
        <x:f>'Evaluation Plan'!G92</x:f>
        <x:v>P1 white cup A (C, UR) [TARGET]; P2 yellow-white striped cup A (O, UD); P3 brown cup B (O, UR); P4 glass spice container A (O, UD)</x:v>
      </x:c>
      <x:c r="G92" s="10" t="str">
        <x:f>'Evaluation Plan'!H92</x:f>
        <x:v>white cup A</x:v>
      </x:c>
      <x:c r="H92" s="10" t="str">
        <x:v>Not started</x:v>
      </x:c>
      <x:c r="I92" s="10"/>
      <x:c r="J92" s="10"/>
      <x:c r="K92" s="7"/>
    </x:row>
    <x:row r="93" ht="54" customHeight="1">
      <x:c r="A93" s="10" t="n">
        <x:f>'Evaluation Plan'!A93</x:f>
        <x:v>91</x:v>
      </x:c>
      <x:c r="B93" s="10" t="str">
        <x:f>'Evaluation Plan'!B93</x:f>
        <x:v>Language robustness</x:v>
      </x:c>
      <x:c r="C93" s="10" t="str">
        <x:f>'Evaluation Plan'!D93</x:f>
        <x:v>SR-F02</x:v>
      </x:c>
      <x:c r="D93" s="10" t="n">
        <x:f>IF('Evaluation Plan'!B93="Concept/compositional transfer","",'Evaluation Plan'!E93)</x:f>
        <x:v>2</x:v>
      </x:c>
      <x:c r="E93" s="7" t="str">
        <x:f>'Evaluation Plan'!F93</x:f>
        <x:v>Put the item with its cover on in the bowl.</x:v>
      </x:c>
      <x:c r="F93" s="7" t="str">
        <x:f>'Evaluation Plan'!G93</x:f>
        <x:v>P1 white cup A (O, UD); P2 yellow-white striped cup B (C, UD) [TARGET]; P3 brown cup A (O, UD); P4 glass spice container B (O, UR)</x:v>
      </x:c>
      <x:c r="G93" s="10" t="str">
        <x:f>'Evaluation Plan'!H93</x:f>
        <x:v>yellow-white striped cup B</x:v>
      </x:c>
      <x:c r="H93" s="10" t="str">
        <x:v>Not started</x:v>
      </x:c>
      <x:c r="I93" s="10"/>
      <x:c r="J93" s="10"/>
      <x:c r="K93" s="7"/>
    </x:row>
    <x:row r="94" ht="54" customHeight="1">
      <x:c r="A94" s="10" t="n">
        <x:f>'Evaluation Plan'!A94</x:f>
        <x:v>92</x:v>
      </x:c>
      <x:c r="B94" s="10" t="str">
        <x:f>'Evaluation Plan'!B94</x:f>
        <x:v>Language robustness</x:v>
      </x:c>
      <x:c r="C94" s="10" t="str">
        <x:f>'Evaluation Plan'!D94</x:f>
        <x:v>SR-F03</x:v>
      </x:c>
      <x:c r="D94" s="10" t="n">
        <x:f>IF('Evaluation Plan'!B94="Concept/compositional transfer","",'Evaluation Plan'!E94)</x:f>
        <x:v>4</x:v>
      </x:c>
      <x:c r="E94" s="7" t="str">
        <x:f>'Evaluation Plan'!F94</x:f>
        <x:v>Place the object that is not open in the bowl.</x:v>
      </x:c>
      <x:c r="F94" s="7" t="str">
        <x:f>'Evaluation Plan'!G94</x:f>
        <x:v>P1 white cup B (O, UR); P2 yellow-white striped cup A (O, UD); P3 brown cup A (C, UR) [TARGET]; P4 glass spice container A (O, UD)</x:v>
      </x:c>
      <x:c r="G94" s="10" t="str">
        <x:f>'Evaluation Plan'!H94</x:f>
        <x:v>brown cup A</x:v>
      </x:c>
      <x:c r="H94" s="10" t="str">
        <x:v>Not started</x:v>
      </x:c>
      <x:c r="I94" s="10"/>
      <x:c r="J94" s="10"/>
      <x:c r="K94" s="7"/>
    </x:row>
    <x:row r="95" ht="54" customHeight="1">
      <x:c r="A95" s="10" t="n">
        <x:f>'Evaluation Plan'!A95</x:f>
        <x:v>93</x:v>
      </x:c>
      <x:c r="B95" s="10" t="str">
        <x:f>'Evaluation Plan'!B95</x:f>
        <x:v>Language robustness</x:v>
      </x:c>
      <x:c r="C95" s="10" t="str">
        <x:f>'Evaluation Plan'!D95</x:f>
        <x:v>SR-F04</x:v>
      </x:c>
      <x:c r="D95" s="10" t="n">
        <x:f>IF('Evaluation Plan'!B95="Concept/compositional transfer","",'Evaluation Plan'!E95)</x:f>
        <x:v>6</x:v>
      </x:c>
      <x:c r="E95" s="7" t="str">
        <x:f>'Evaluation Plan'!F95</x:f>
        <x:v>Move the closed item into the bowl.</x:v>
      </x:c>
      <x:c r="F95" s="7" t="str">
        <x:f>'Evaluation Plan'!G95</x:f>
        <x:v>P1 white cup A (O, UD); P2 yellow-white striped cup B (O, UR); P3 brown cup A (O, UD); P4 glass spice container B (C, UD) [TARGET]</x:v>
      </x:c>
      <x:c r="G95" s="10" t="str">
        <x:f>'Evaluation Plan'!H95</x:f>
        <x:v>glass spice container B</x:v>
      </x:c>
      <x:c r="H95" s="10" t="str">
        <x:v>Not started</x:v>
      </x:c>
      <x:c r="I95" s="10"/>
      <x:c r="J95" s="10"/>
      <x:c r="K95" s="7"/>
    </x:row>
    <x:row r="96" ht="54" customHeight="1">
      <x:c r="A96" s="10" t="n">
        <x:f>'Evaluation Plan'!A96</x:f>
        <x:v>94</x:v>
      </x:c>
      <x:c r="B96" s="10" t="str">
        <x:f>'Evaluation Plan'!B96</x:f>
        <x:v>Language robustness</x:v>
      </x:c>
      <x:c r="C96" s="10" t="str">
        <x:f>'Evaluation Plan'!D96</x:f>
        <x:v>SR-F05</x:v>
      </x:c>
      <x:c r="D96" s="10" t="n">
        <x:f>IF('Evaluation Plan'!B96="Concept/compositional transfer","",'Evaluation Plan'!E96)</x:f>
        <x:v>8</x:v>
      </x:c>
      <x:c r="E96" s="7" t="str">
        <x:f>'Evaluation Plan'!F96</x:f>
        <x:v>Put the container with its top covered in the bowl.</x:v>
      </x:c>
      <x:c r="F96" s="7" t="str">
        <x:f>'Evaluation Plan'!G96</x:f>
        <x:v>P1 white cup A (C, UR) [TARGET]; P2 yellow-white striped cup A (O, UD); P3 brown cup B (O, UR); P4 glass spice container A (O, UD)</x:v>
      </x:c>
      <x:c r="G96" s="10" t="str">
        <x:f>'Evaluation Plan'!H96</x:f>
        <x:v>white cup A</x:v>
      </x:c>
      <x:c r="H96" s="10" t="str">
        <x:v>Not started</x:v>
      </x:c>
      <x:c r="I96" s="10"/>
      <x:c r="J96" s="10"/>
      <x:c r="K96" s="7"/>
    </x:row>
    <x:row r="97" ht="54" customHeight="1">
      <x:c r="A97" s="10" t="n">
        <x:f>'Evaluation Plan'!A97</x:f>
        <x:v>95</x:v>
      </x:c>
      <x:c r="B97" s="10" t="str">
        <x:f>'Evaluation Plan'!B97</x:f>
        <x:v>Language robustness</x:v>
      </x:c>
      <x:c r="C97" s="10" t="str">
        <x:f>'Evaluation Plan'!D97</x:f>
        <x:v>SR-F06</x:v>
      </x:c>
      <x:c r="D97" s="10" t="n">
        <x:f>IF('Evaluation Plan'!B97="Concept/compositional transfer","",'Evaluation Plan'!E97)</x:f>
        <x:v>10</x:v>
      </x:c>
      <x:c r="E97" s="7" t="str">
        <x:f>'Evaluation Plan'!F97</x:f>
        <x:v>Place the object with its opening covered in the bowl.</x:v>
      </x:c>
      <x:c r="F97" s="7" t="str">
        <x:f>'Evaluation Plan'!G97</x:f>
        <x:v>P1 white cup A (O, UD); P2 yellow-white striped cup B (C, UD) [TARGET]; P3 brown cup A (O, UD); P4 glass spice container B (O, UR)</x:v>
      </x:c>
      <x:c r="G97" s="10" t="str">
        <x:f>'Evaluation Plan'!H97</x:f>
        <x:v>yellow-white striped cup B</x:v>
      </x:c>
      <x:c r="H97" s="10" t="str">
        <x:v>Not started</x:v>
      </x:c>
      <x:c r="I97" s="10"/>
      <x:c r="J97" s="10"/>
      <x:c r="K97" s="7"/>
    </x:row>
    <x:row r="98" ht="54" customHeight="1">
      <x:c r="A98" s="10" t="n">
        <x:f>'Evaluation Plan'!A98</x:f>
        <x:v>96</x:v>
      </x:c>
      <x:c r="B98" s="10" t="str">
        <x:f>'Evaluation Plan'!B98</x:f>
        <x:v>Language robustness</x:v>
      </x:c>
      <x:c r="C98" s="10" t="str">
        <x:f>'Evaluation Plan'!D98</x:f>
        <x:v>SR-F07</x:v>
      </x:c>
      <x:c r="D98" s="10" t="n">
        <x:f>IF('Evaluation Plan'!B98="Concept/compositional transfer","",'Evaluation Plan'!E98)</x:f>
        <x:v>12</x:v>
      </x:c>
      <x:c r="E98" s="7" t="str">
        <x:f>'Evaluation Plan'!F98</x:f>
        <x:v>Move the item that has its cover on into the bowl.</x:v>
      </x:c>
      <x:c r="F98" s="7" t="str">
        <x:f>'Evaluation Plan'!G98</x:f>
        <x:v>P1 white cup B (O, UR); P2 yellow-white striped cup A (O, UD); P3 brown cup A (C, UR) [TARGET]; P4 glass spice container A (O, UD)</x:v>
      </x:c>
      <x:c r="G98" s="10" t="str">
        <x:f>'Evaluation Plan'!H98</x:f>
        <x:v>brown cup A</x:v>
      </x:c>
      <x:c r="H98" s="10" t="str">
        <x:v>Not started</x:v>
      </x:c>
      <x:c r="I98" s="10"/>
      <x:c r="J98" s="10"/>
      <x:c r="K98" s="7"/>
    </x:row>
    <x:row r="99" ht="54" customHeight="1">
      <x:c r="A99" s="10" t="n">
        <x:f>'Evaluation Plan'!A99</x:f>
        <x:v>97</x:v>
      </x:c>
      <x:c r="B99" s="10" t="str">
        <x:f>'Evaluation Plan'!B99</x:f>
        <x:v>Language robustness</x:v>
      </x:c>
      <x:c r="C99" s="10" t="str">
        <x:f>'Evaluation Plan'!D99</x:f>
        <x:v>SR-F08</x:v>
      </x:c>
      <x:c r="D99" s="10" t="n">
        <x:f>IF('Evaluation Plan'!B99="Concept/compositional transfer","",'Evaluation Plan'!E99)</x:f>
        <x:v>14</x:v>
      </x:c>
      <x:c r="E99" s="7" t="str">
        <x:f>'Evaluation Plan'!F99</x:f>
        <x:v>Put the closed container into the bowl.</x:v>
      </x:c>
      <x:c r="F99" s="7" t="str">
        <x:f>'Evaluation Plan'!G99</x:f>
        <x:v>P1 white cup A (O, UD); P2 yellow-white striped cup B (O, UR); P3 brown cup A (O, UD); P4 glass spice container B (C, UD) [TARGET]</x:v>
      </x:c>
      <x:c r="G99" s="10" t="str">
        <x:f>'Evaluation Plan'!H99</x:f>
        <x:v>glass spice container B</x:v>
      </x:c>
      <x:c r="H99" s="10" t="str">
        <x:v>Not started</x:v>
      </x:c>
      <x:c r="I99" s="10"/>
      <x:c r="J99" s="10"/>
      <x:c r="K99" s="7"/>
    </x:row>
    <x:row r="100" ht="54" customHeight="1">
      <x:c r="A100" s="10" t="n">
        <x:f>'Evaluation Plan'!A100</x:f>
        <x:v>98</x:v>
      </x:c>
      <x:c r="B100" s="10" t="str">
        <x:f>'Evaluation Plan'!B100</x:f>
        <x:v>Language robustness</x:v>
      </x:c>
      <x:c r="C100" s="10" t="str">
        <x:f>'Evaluation Plan'!D100</x:f>
        <x:v>SR-F09</x:v>
      </x:c>
      <x:c r="D100" s="10" t="n">
        <x:f>IF('Evaluation Plan'!B100="Concept/compositional transfer","",'Evaluation Plan'!E100)</x:f>
        <x:v>16</x:v>
      </x:c>
      <x:c r="E100" s="7" t="str">
        <x:f>'Evaluation Plan'!F100</x:f>
        <x:v>Find the object that is closed and place it in the bowl.</x:v>
      </x:c>
      <x:c r="F100" s="7" t="str">
        <x:f>'Evaluation Plan'!G100</x:f>
        <x:v>P1 white cup A (C, UR) [TARGET]; P2 yellow-white striped cup A (O, UD); P3 brown cup B (O, UR); P4 glass spice container A (O, UD)</x:v>
      </x:c>
      <x:c r="G100" s="10" t="str">
        <x:f>'Evaluation Plan'!H100</x:f>
        <x:v>white cup A</x:v>
      </x:c>
      <x:c r="H100" s="10" t="str">
        <x:v>Not started</x:v>
      </x:c>
      <x:c r="I100" s="10"/>
      <x:c r="J100" s="10"/>
      <x:c r="K100" s="7"/>
    </x:row>
    <x:row r="101" ht="54" customHeight="1">
      <x:c r="A101" s="10" t="n">
        <x:f>'Evaluation Plan'!A101</x:f>
        <x:v>99</x:v>
      </x:c>
      <x:c r="B101" s="10" t="str">
        <x:f>'Evaluation Plan'!B101</x:f>
        <x:v>Language robustness</x:v>
      </x:c>
      <x:c r="C101" s="10" t="str">
        <x:f>'Evaluation Plan'!D101</x:f>
        <x:v>SR-F10</x:v>
      </x:c>
      <x:c r="D101" s="10" t="n">
        <x:f>IF('Evaluation Plan'!B101="Concept/compositional transfer","",'Evaluation Plan'!E101)</x:f>
        <x:v>18</x:v>
      </x:c>
      <x:c r="E101" s="7" t="str">
        <x:f>'Evaluation Plan'!F101</x:f>
        <x:v>Place the object whose lid is in place in the bowl.</x:v>
      </x:c>
      <x:c r="F101" s="7" t="str">
        <x:f>'Evaluation Plan'!G101</x:f>
        <x:v>P1 white cup A (O, UD); P2 brown cup B (C, UD) [TARGET]; P3 yellow-white striped cup A (O, UD); P4 glass spice container B (O, UR)</x:v>
      </x:c>
      <x:c r="G101" s="10" t="str">
        <x:f>'Evaluation Plan'!H101</x:f>
        <x:v>brown cup B</x:v>
      </x:c>
      <x:c r="H101" s="10" t="str">
        <x:v>Not started</x:v>
      </x:c>
      <x:c r="I101" s="10"/>
      <x:c r="J101" s="10"/>
      <x:c r="K101" s="7"/>
    </x:row>
    <x:row r="102" ht="54" customHeight="1">
      <x:c r="A102" s="10" t="n">
        <x:f>'Evaluation Plan'!A102</x:f>
        <x:v>100</x:v>
      </x:c>
      <x:c r="B102" s="10" t="str">
        <x:f>'Evaluation Plan'!B102</x:f>
        <x:v>Language robustness</x:v>
      </x:c>
      <x:c r="C102" s="10" t="str">
        <x:f>'Evaluation Plan'!D102</x:f>
        <x:v>SR-F11</x:v>
      </x:c>
      <x:c r="D102" s="10" t="n">
        <x:f>IF('Evaluation Plan'!B102="Concept/compositional transfer","",'Evaluation Plan'!E102)</x:f>
        <x:v>20</x:v>
      </x:c>
      <x:c r="E102" s="7" t="str">
        <x:f>'Evaluation Plan'!F102</x:f>
        <x:v>Place the right-side-up object in the bowl.</x:v>
      </x:c>
      <x:c r="F102" s="7" t="str">
        <x:f>'Evaluation Plan'!G102</x:f>
        <x:v>P1 yellow-white striped cup B (O, UD); P2 brown cup A (C, UD); P3 white cup A (O, UR) [TARGET]; P4 glass spice container A (C, UD)</x:v>
      </x:c>
      <x:c r="G102" s="10" t="str">
        <x:f>'Evaluation Plan'!H102</x:f>
        <x:v>white cup A</x:v>
      </x:c>
      <x:c r="H102" s="10" t="str">
        <x:v>Not started</x:v>
      </x:c>
      <x:c r="I102" s="10"/>
      <x:c r="J102" s="10"/>
      <x:c r="K102" s="7"/>
    </x:row>
    <x:row r="103" ht="54" customHeight="1">
      <x:c r="A103" s="10" t="n">
        <x:f>'Evaluation Plan'!A103</x:f>
        <x:v>101</x:v>
      </x:c>
      <x:c r="B103" s="10" t="str">
        <x:f>'Evaluation Plan'!B103</x:f>
        <x:v>Language robustness</x:v>
      </x:c>
      <x:c r="C103" s="10" t="str">
        <x:f>'Evaluation Plan'!D103</x:f>
        <x:v>SR-F12</x:v>
      </x:c>
      <x:c r="D103" s="10" t="n">
        <x:f>IF('Evaluation Plan'!B103="Concept/compositional transfer","",'Evaluation Plan'!E103)</x:f>
        <x:v>22</x:v>
      </x:c>
      <x:c r="E103" s="7" t="str">
        <x:f>'Evaluation Plan'!F103</x:f>
        <x:v>Move the object that is standing upright into the bowl.</x:v>
      </x:c>
      <x:c r="F103" s="7" t="str">
        <x:f>'Evaluation Plan'!G103</x:f>
        <x:v>P1 white cup A (C, UD); P2 brown cup B (O, UD); P3 glass spice container A (C, UD); P4 yellow-white striped cup B (C, UR) [TARGET]</x:v>
      </x:c>
      <x:c r="G103" s="10" t="str">
        <x:f>'Evaluation Plan'!H103</x:f>
        <x:v>yellow-white striped cup B</x:v>
      </x:c>
      <x:c r="H103" s="10" t="str">
        <x:v>Not started</x:v>
      </x:c>
      <x:c r="I103" s="10"/>
      <x:c r="J103" s="10"/>
      <x:c r="K103" s="7"/>
    </x:row>
    <x:row r="104" ht="54" customHeight="1">
      <x:c r="A104" s="10" t="n">
        <x:f>'Evaluation Plan'!A104</x:f>
        <x:v>102</x:v>
      </x:c>
      <x:c r="B104" s="10" t="str">
        <x:f>'Evaluation Plan'!B104</x:f>
        <x:v>Language robustness</x:v>
      </x:c>
      <x:c r="C104" s="10" t="str">
        <x:f>'Evaluation Plan'!D104</x:f>
        <x:v>SR-F13</x:v>
      </x:c>
      <x:c r="D104" s="10" t="n">
        <x:f>IF('Evaluation Plan'!B104="Concept/compositional transfer","",'Evaluation Plan'!E104)</x:f>
        <x:v>24</x:v>
      </x:c>
      <x:c r="E104" s="7" t="str">
        <x:f>'Evaluation Plan'!F104</x:f>
        <x:v>Put the object that is not overturned in the bowl.</x:v>
      </x:c>
      <x:c r="F104" s="7" t="str">
        <x:f>'Evaluation Plan'!G104</x:f>
        <x:v>P1 brown cup A (O, UR) [TARGET]; P2 white cup A (C, UD); P3 yellow-white striped cup B (O, UD); P4 glass spice container A (C, UD)</x:v>
      </x:c>
      <x:c r="G104" s="10" t="str">
        <x:f>'Evaluation Plan'!H104</x:f>
        <x:v>brown cup A</x:v>
      </x:c>
      <x:c r="H104" s="10" t="str">
        <x:v>Not started</x:v>
      </x:c>
      <x:c r="I104" s="10"/>
      <x:c r="J104" s="10"/>
      <x:c r="K104" s="7"/>
    </x:row>
    <x:row r="105" ht="54" customHeight="1">
      <x:c r="A105" s="10" t="n">
        <x:f>'Evaluation Plan'!A105</x:f>
        <x:v>103</x:v>
      </x:c>
      <x:c r="B105" s="10" t="str">
        <x:f>'Evaluation Plan'!B105</x:f>
        <x:v>Language robustness</x:v>
      </x:c>
      <x:c r="C105" s="10" t="str">
        <x:f>'Evaluation Plan'!D105</x:f>
        <x:v>SR-F14</x:v>
      </x:c>
      <x:c r="D105" s="10" t="n">
        <x:f>IF('Evaluation Plan'!B105="Concept/compositional transfer","",'Evaluation Plan'!E105)</x:f>
        <x:v>26</x:v>
      </x:c>
      <x:c r="E105" s="7" t="str">
        <x:f>'Evaluation Plan'!F105</x:f>
        <x:v>Move the upright item into the bowl.</x:v>
      </x:c>
      <x:c r="F105" s="7" t="str">
        <x:f>'Evaluation Plan'!G105</x:f>
        <x:v>P1 white cup A (C, UD); P2 glass spice container B (C, UR) [TARGET]; P3 yellow-white striped cup A (C, UD); P4 brown cup B (O, UD)</x:v>
      </x:c>
      <x:c r="G105" s="10" t="str">
        <x:f>'Evaluation Plan'!H105</x:f>
        <x:v>glass spice container B</x:v>
      </x:c>
      <x:c r="H105" s="10" t="str">
        <x:v>Not started</x:v>
      </x:c>
      <x:c r="I105" s="10"/>
      <x:c r="J105" s="10"/>
      <x:c r="K105" s="7"/>
    </x:row>
    <x:row r="106" ht="54" customHeight="1">
      <x:c r="A106" s="10" t="n">
        <x:f>'Evaluation Plan'!A106</x:f>
        <x:v>104</x:v>
      </x:c>
      <x:c r="B106" s="10" t="str">
        <x:f>'Evaluation Plan'!B106</x:f>
        <x:v>Language robustness</x:v>
      </x:c>
      <x:c r="C106" s="10" t="str">
        <x:f>'Evaluation Plan'!D106</x:f>
        <x:v>SR-F15</x:v>
      </x:c>
      <x:c r="D106" s="10" t="n">
        <x:f>IF('Evaluation Plan'!B106="Concept/compositional transfer","",'Evaluation Plan'!E106)</x:f>
        <x:v>28</x:v>
      </x:c>
      <x:c r="E106" s="7" t="str">
        <x:f>'Evaluation Plan'!F106</x:f>
        <x:v>Place the object with its top pointing upward in the bowl.</x:v>
      </x:c>
      <x:c r="F106" s="7" t="str">
        <x:f>'Evaluation Plan'!G106</x:f>
        <x:v>P1 yellow-white striped cup B (O, UD); P2 brown cup A (C, UD); P3 white cup A (O, UR) [TARGET]; P4 glass spice container A (C, UD)</x:v>
      </x:c>
      <x:c r="G106" s="10" t="str">
        <x:f>'Evaluation Plan'!H106</x:f>
        <x:v>white cup A</x:v>
      </x:c>
      <x:c r="H106" s="10" t="str">
        <x:v>Not started</x:v>
      </x:c>
      <x:c r="I106" s="10"/>
      <x:c r="J106" s="10"/>
      <x:c r="K106" s="7"/>
    </x:row>
    <x:row r="107" ht="54" customHeight="1">
      <x:c r="A107" s="10" t="n">
        <x:f>'Evaluation Plan'!A107</x:f>
        <x:v>105</x:v>
      </x:c>
      <x:c r="B107" s="10" t="str">
        <x:f>'Evaluation Plan'!B107</x:f>
        <x:v>Language robustness</x:v>
      </x:c>
      <x:c r="C107" s="10" t="str">
        <x:f>'Evaluation Plan'!D107</x:f>
        <x:v>SR-F16</x:v>
      </x:c>
      <x:c r="D107" s="10" t="n">
        <x:f>IF('Evaluation Plan'!B107="Concept/compositional transfer","",'Evaluation Plan'!E107)</x:f>
        <x:v>30</x:v>
      </x:c>
      <x:c r="E107" s="7" t="str">
        <x:f>'Evaluation Plan'!F107</x:f>
        <x:v>Place the right-side-up can in the bowl.</x:v>
      </x:c>
      <x:c r="F107" s="7" t="str">
        <x:f>'Evaluation Plan'!G107</x:f>
        <x:v>P1 crushed Pepsi can (UD); P2 glass spice container A (O, UD); P3 white cup B (C, UD); P4 crushed Coke can (UR) [TARGET]</x:v>
      </x:c>
      <x:c r="G107" s="10" t="str">
        <x:f>'Evaluation Plan'!H107</x:f>
        <x:v>crushed Coke can</x:v>
      </x:c>
      <x:c r="H107" s="10" t="str">
        <x:v>Not started</x:v>
      </x:c>
      <x:c r="I107" s="10"/>
      <x:c r="J107" s="10"/>
      <x:c r="K107" s="7"/>
    </x:row>
    <x:row r="108" ht="54" customHeight="1">
      <x:c r="A108" s="10" t="n">
        <x:f>'Evaluation Plan'!A108</x:f>
        <x:v>106</x:v>
      </x:c>
      <x:c r="B108" s="10" t="str">
        <x:f>'Evaluation Plan'!B108</x:f>
        <x:v>Language robustness</x:v>
      </x:c>
      <x:c r="C108" s="10" t="str">
        <x:f>'Evaluation Plan'!D108</x:f>
        <x:v>SR-F17</x:v>
      </x:c>
      <x:c r="D108" s="10" t="n">
        <x:f>IF('Evaluation Plan'!B108="Concept/compositional transfer","",'Evaluation Plan'!E108)</x:f>
        <x:v>32</x:v>
      </x:c>
      <x:c r="E108" s="7" t="str">
        <x:f>'Evaluation Plan'!F108</x:f>
        <x:v>Move the can that is standing upright into the bowl.</x:v>
      </x:c>
      <x:c r="F108" s="7" t="str">
        <x:f>'Evaluation Plan'!G108</x:f>
        <x:v>P1 crushed Pepsi can (UR) [TARGET]; P2 crushed Coke can (UD); P3 white cup A (O, UD); P4 yellow-white striped cup B (C, UD)</x:v>
      </x:c>
      <x:c r="G108" s="10" t="str">
        <x:f>'Evaluation Plan'!H108</x:f>
        <x:v>crushed Pepsi can</x:v>
      </x:c>
      <x:c r="H108" s="10" t="str">
        <x:v>Not started</x:v>
      </x:c>
      <x:c r="I108" s="10"/>
      <x:c r="J108" s="10"/>
      <x:c r="K108" s="7"/>
    </x:row>
    <x:row r="109" ht="54" customHeight="1">
      <x:c r="A109" s="10" t="n">
        <x:f>'Evaluation Plan'!A109</x:f>
        <x:v>107</x:v>
      </x:c>
      <x:c r="B109" s="10" t="str">
        <x:f>'Evaluation Plan'!B109</x:f>
        <x:v>Language robustness</x:v>
      </x:c>
      <x:c r="C109" s="10" t="str">
        <x:f>'Evaluation Plan'!D109</x:f>
        <x:v>SR-F18</x:v>
      </x:c>
      <x:c r="D109" s="10" t="n">
        <x:f>IF('Evaluation Plan'!B109="Concept/compositional transfer","",'Evaluation Plan'!E109)</x:f>
        <x:v>34</x:v>
      </x:c>
      <x:c r="E109" s="7" t="str">
        <x:f>'Evaluation Plan'!F109</x:f>
        <x:v>Put the can that is not overturned in the bowl.</x:v>
      </x:c>
      <x:c r="F109" s="7" t="str">
        <x:f>'Evaluation Plan'!G109</x:f>
        <x:v>P1 crushed Pepsi can (UD); P2 crushed Coke can (UR) [TARGET]; P3 yellow-white striped cup B (C, UD); P4 brown cup A (O, UD)</x:v>
      </x:c>
      <x:c r="G109" s="10" t="str">
        <x:f>'Evaluation Plan'!H109</x:f>
        <x:v>crushed Coke can</x:v>
      </x:c>
      <x:c r="H109" s="10" t="str">
        <x:v>Not started</x:v>
      </x:c>
      <x:c r="I109" s="10"/>
      <x:c r="J109" s="10"/>
      <x:c r="K109" s="7"/>
    </x:row>
    <x:row r="110" ht="54" customHeight="1">
      <x:c r="A110" s="10" t="n">
        <x:f>'Evaluation Plan'!A110</x:f>
        <x:v>108</x:v>
      </x:c>
      <x:c r="B110" s="10" t="str">
        <x:f>'Evaluation Plan'!B110</x:f>
        <x:v>Language robustness</x:v>
      </x:c>
      <x:c r="C110" s="10" t="str">
        <x:f>'Evaluation Plan'!D110</x:f>
        <x:v>SR-F19</x:v>
      </x:c>
      <x:c r="D110" s="10" t="n">
        <x:f>IF('Evaluation Plan'!B110="Concept/compositional transfer","",'Evaluation Plan'!E110)</x:f>
        <x:v>36</x:v>
      </x:c>
      <x:c r="E110" s="7" t="str">
        <x:f>'Evaluation Plan'!F110</x:f>
        <x:v>Move the upright can into the bowl.</x:v>
      </x:c>
      <x:c r="F110" s="7" t="str">
        <x:f>'Evaluation Plan'!G110</x:f>
        <x:v>P1 crushed Coke can (UD); P2 brown cup B (C, UD); P3 crushed Pepsi can (UR) [TARGET]; P4 glass spice container B (C, UD)</x:v>
      </x:c>
      <x:c r="G110" s="10" t="str">
        <x:f>'Evaluation Plan'!H110</x:f>
        <x:v>crushed Pepsi can</x:v>
      </x:c>
      <x:c r="H110" s="10" t="str">
        <x:v>Not started</x:v>
      </x:c>
      <x:c r="I110" s="10"/>
      <x:c r="J110" s="10"/>
      <x:c r="K110" s="7"/>
    </x:row>
    <x:row r="111" ht="54" customHeight="1">
      <x:c r="A111" s="10" t="n">
        <x:f>'Evaluation Plan'!A111</x:f>
        <x:v>109</x:v>
      </x:c>
      <x:c r="B111" s="10" t="str">
        <x:f>'Evaluation Plan'!B111</x:f>
        <x:v>Language robustness</x:v>
      </x:c>
      <x:c r="C111" s="10" t="str">
        <x:f>'Evaluation Plan'!D111</x:f>
        <x:v>SR-F20</x:v>
      </x:c>
      <x:c r="D111" s="10" t="n">
        <x:f>IF('Evaluation Plan'!B111="Concept/compositional transfer","",'Evaluation Plan'!E111)</x:f>
        <x:v>38</x:v>
      </x:c>
      <x:c r="E111" s="7" t="str">
        <x:f>'Evaluation Plan'!F111</x:f>
        <x:v>Place the can with its top pointing upward in the bowl.</x:v>
      </x:c>
      <x:c r="F111" s="7" t="str">
        <x:f>'Evaluation Plan'!G111</x:f>
        <x:v>P1 crushed Pepsi can (UD); P2 glass spice container A (O, UD); P3 white cup B (C, UD); P4 crushed Coke can (UR) [TARGET]</x:v>
      </x:c>
      <x:c r="G111" s="10" t="str">
        <x:f>'Evaluation Plan'!H111</x:f>
        <x:v>crushed Coke can</x:v>
      </x:c>
      <x:c r="H111" s="10" t="str">
        <x:v>Not started</x:v>
      </x:c>
      <x:c r="I111" s="10"/>
      <x:c r="J111" s="10"/>
      <x:c r="K111" s="7"/>
    </x:row>
  </x:sheetData>
  <x:conditionalFormatting sqref="A2:K111">
    <x:cfRule type="expression" dxfId="7" priority="1">
      <x:formula>$H2="Complete"</x:formula>
    </x:cfRule>
    <x:cfRule type="expression" dxfId="8" priority="2">
      <x:formula>$H2="Redo"</x:formula>
    </x:cfRule>
  </x:conditionalFormatting>
  <x:conditionalFormatting sqref="I2:I111">
    <x:cfRule type="containsText" dxfId="9" priority="3" operator="containsText" text="Success"/>
    <x:cfRule type="containsText" dxfId="10" priority="4" operator="containsText" text="Failure"/>
  </x:conditionalFormatting>
  <x:dataValidations count="3">
    <x:dataValidation type="list" sqref="H2:H111">
      <x:formula1>"Not started,Complete,Redo"</x:formula1>
    </x:dataValidation>
    <x:dataValidation type="list" sqref="I2:I111">
      <x:formula1>"Success,Failure,Invalid / Repeat"</x:formula1>
    </x:dataValidation>
    <x:dataValidation type="list" sqref="J2:J111">
      <x:formula1>"Wrong target,No grasp,Drop outside bowl,Timeout,Setup deviation,Hardware fault,Other"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1a124f50b6943a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9" hidden="0" customWidth="1"/>
    <x:col min="3" max="3" width="13" hidden="0" customWidth="1"/>
    <x:col min="4" max="4" width="12" hidden="0" customWidth="1"/>
    <x:col min="5" max="5" width="40" hidden="0" customWidth="1"/>
    <x:col min="6" max="6" width="76" hidden="0" customWidth="1"/>
    <x:col min="7" max="7" width="24" hidden="0" customWidth="1"/>
    <x:col min="8" max="8" width="14" hidden="0" customWidth="1"/>
    <x:col min="9" max="9" width="17" hidden="0" customWidth="1"/>
    <x:col min="10" max="10" width="24" hidden="0" customWidth="1"/>
    <x:col min="11" max="11" width="42" hidden="0" customWidth="1"/>
  </x:cols>
  <x:sheetData>
    <x:row r="1" ht="34" customHeight="1">
      <x:c r="A1" s="5" t="str">
        <x:v>Episode</x:v>
      </x:c>
      <x:c r="B1" s="5" t="str">
        <x:v>Condition</x:v>
      </x:c>
      <x:c r="C1" s="5" t="str">
        <x:v>Scene Family</x:v>
      </x:c>
      <x:c r="D1" s="5" t="str">
        <x:v>Reference Episode</x:v>
      </x:c>
      <x:c r="E1" s="5" t="str">
        <x:v>Prompt</x:v>
      </x:c>
      <x:c r="F1" s="5" t="str">
        <x:v>Scene Setup</x:v>
      </x:c>
      <x:c r="G1" s="5" t="str">
        <x:v>Expected Target</x:v>
      </x:c>
      <x:c r="H1" s="5" t="str">
        <x:v>Status</x:v>
      </x:c>
      <x:c r="I1" s="5" t="str">
        <x:v>Outcome</x:v>
      </x:c>
      <x:c r="J1" s="5" t="str">
        <x:v>Failure Mode</x:v>
      </x:c>
      <x:c r="K1" s="5" t="str">
        <x:v>Notes</x:v>
      </x:c>
    </x:row>
    <x:row r="2" ht="54" customHeight="1">
      <x:c r="A2" s="10" t="n">
        <x:f>'Evaluation Plan'!A2</x:f>
        <x:v>0</x:v>
      </x:c>
      <x:c r="B2" s="10" t="str">
        <x:f>'Evaluation Plan'!B2</x:f>
        <x:v>Concept/compositional transfer</x:v>
      </x:c>
      <x:c r="C2" s="10" t="str">
        <x:f>'Evaluation Plan'!D2</x:f>
        <x:v>SR-F01</x:v>
      </x:c>
      <x:c r="D2" s="10" t="str">
        <x:f>IF('Evaluation Plan'!B2="Concept/compositional transfer","",'Evaluation Plan'!E2)</x:f>
      </x:c>
      <x:c r="E2" s="7" t="str">
        <x:f>'Evaluation Plan'!F2</x:f>
        <x:v>Place the closed object in the bowl.</x:v>
      </x:c>
      <x:c r="F2" s="7" t="str">
        <x:f>'Evaluation Plan'!G2</x:f>
        <x:v>P1 white cup A (C, UR) [TARGET]; P2 yellow-white striped cup A (O, UD); P3 brown cup B (O, UR); P4 glass spice container A (O, UD)</x:v>
      </x:c>
      <x:c r="G2" s="10" t="str">
        <x:f>'Evaluation Plan'!H2</x:f>
        <x:v>white cup A</x:v>
      </x:c>
      <x:c r="H2" s="10" t="str">
        <x:v>Not started</x:v>
      </x:c>
      <x:c r="I2" s="10"/>
      <x:c r="J2" s="10"/>
      <x:c r="K2" s="7"/>
    </x:row>
    <x:row r="3" ht="54" customHeight="1">
      <x:c r="A3" s="10" t="n">
        <x:f>'Evaluation Plan'!A3</x:f>
        <x:v>1</x:v>
      </x:c>
      <x:c r="B3" s="10" t="str">
        <x:f>'Evaluation Plan'!B3</x:f>
        <x:v>Matched manipulation control</x:v>
      </x:c>
      <x:c r="C3" s="10" t="str">
        <x:f>'Evaluation Plan'!D3</x:f>
        <x:v>SR-F01</x:v>
      </x:c>
      <x:c r="D3" s="10" t="n">
        <x:f>IF('Evaluation Plan'!B3="Concept/compositional transfer","",'Evaluation Plan'!E3)</x:f>
        <x:v>0</x:v>
      </x:c>
      <x:c r="E3" s="7" t="str">
        <x:f>'Evaluation Plan'!F3</x:f>
        <x:v>Place the white cup in the bowl.</x:v>
      </x:c>
      <x:c r="F3" s="7" t="str">
        <x:f>'Evaluation Plan'!G3</x:f>
        <x:v>P1 white cup A (C, UR) [TARGET]; P2 yellow-white striped cup A (O, UD); P3 brown cup B (O, UR); P4 glass spice container A (O, UD)</x:v>
      </x:c>
      <x:c r="G3" s="10" t="str">
        <x:f>'Evaluation Plan'!H3</x:f>
        <x:v>white cup A</x:v>
      </x:c>
      <x:c r="H3" s="10" t="str">
        <x:v>Not started</x:v>
      </x:c>
      <x:c r="I3" s="10"/>
      <x:c r="J3" s="10"/>
      <x:c r="K3" s="7"/>
    </x:row>
    <x:row r="4" ht="54" customHeight="1">
      <x:c r="A4" s="10" t="n">
        <x:f>'Evaluation Plan'!A4</x:f>
        <x:v>2</x:v>
      </x:c>
      <x:c r="B4" s="10" t="str">
        <x:f>'Evaluation Plan'!B4</x:f>
        <x:v>Concept/compositional transfer</x:v>
      </x:c>
      <x:c r="C4" s="10" t="str">
        <x:f>'Evaluation Plan'!D4</x:f>
        <x:v>SR-F02</x:v>
      </x:c>
      <x:c r="D4" s="10" t="str">
        <x:f>IF('Evaluation Plan'!B4="Concept/compositional transfer","",'Evaluation Plan'!E4)</x:f>
      </x:c>
      <x:c r="E4" s="7" t="str">
        <x:f>'Evaluation Plan'!F4</x:f>
        <x:v>Put the closed object in the bowl.</x:v>
      </x:c>
      <x:c r="F4" s="7" t="str">
        <x:f>'Evaluation Plan'!G4</x:f>
        <x:v>P1 white cup A (O, UD); P2 yellow-white striped cup B (C, UD) [TARGET]; P3 brown cup A (O, UD); P4 glass spice container B (O, UR)</x:v>
      </x:c>
      <x:c r="G4" s="10" t="str">
        <x:f>'Evaluation Plan'!H4</x:f>
        <x:v>yellow-white striped cup B</x:v>
      </x:c>
      <x:c r="H4" s="10" t="str">
        <x:v>Not started</x:v>
      </x:c>
      <x:c r="I4" s="10"/>
      <x:c r="J4" s="10"/>
      <x:c r="K4" s="7"/>
    </x:row>
    <x:row r="5" ht="54" customHeight="1">
      <x:c r="A5" s="10" t="n">
        <x:f>'Evaluation Plan'!A5</x:f>
        <x:v>3</x:v>
      </x:c>
      <x:c r="B5" s="10" t="str">
        <x:f>'Evaluation Plan'!B5</x:f>
        <x:v>Matched manipulation control</x:v>
      </x:c>
      <x:c r="C5" s="10" t="str">
        <x:f>'Evaluation Plan'!D5</x:f>
        <x:v>SR-F02</x:v>
      </x:c>
      <x:c r="D5" s="10" t="n">
        <x:f>IF('Evaluation Plan'!B5="Concept/compositional transfer","",'Evaluation Plan'!E5)</x:f>
        <x:v>2</x:v>
      </x:c>
      <x:c r="E5" s="7" t="str">
        <x:f>'Evaluation Plan'!F5</x:f>
        <x:v>Put the yellow-white striped cup in the bowl.</x:v>
      </x:c>
      <x:c r="F5" s="7" t="str">
        <x:f>'Evaluation Plan'!G5</x:f>
        <x:v>P1 white cup A (O, UD); P2 yellow-white striped cup B (C, UD) [TARGET]; P3 brown cup A (O, UD); P4 glass spice container B (O, UR)</x:v>
      </x:c>
      <x:c r="G5" s="10" t="str">
        <x:f>'Evaluation Plan'!H5</x:f>
        <x:v>yellow-white striped cup B</x:v>
      </x:c>
      <x:c r="H5" s="10" t="str">
        <x:v>Not started</x:v>
      </x:c>
      <x:c r="I5" s="10"/>
      <x:c r="J5" s="10"/>
      <x:c r="K5" s="7"/>
    </x:row>
    <x:row r="6" ht="54" customHeight="1">
      <x:c r="A6" s="10" t="n">
        <x:f>'Evaluation Plan'!A6</x:f>
        <x:v>4</x:v>
      </x:c>
      <x:c r="B6" s="10" t="str">
        <x:f>'Evaluation Plan'!B6</x:f>
        <x:v>Concept/compositional transfer</x:v>
      </x:c>
      <x:c r="C6" s="10" t="str">
        <x:f>'Evaluation Plan'!D6</x:f>
        <x:v>SR-F03</x:v>
      </x:c>
      <x:c r="D6" s="10" t="str">
        <x:f>IF('Evaluation Plan'!B6="Concept/compositional transfer","",'Evaluation Plan'!E6)</x:f>
      </x:c>
      <x:c r="E6" s="7" t="str">
        <x:f>'Evaluation Plan'!F6</x:f>
        <x:v>Move the closed object into the bowl.</x:v>
      </x:c>
      <x:c r="F6" s="7" t="str">
        <x:f>'Evaluation Plan'!G6</x:f>
        <x:v>P1 white cup B (O, UR); P2 yellow-white striped cup A (O, UD); P3 brown cup A (C, UR) [TARGET]; P4 glass spice container A (O, UD)</x:v>
      </x:c>
      <x:c r="G6" s="10" t="str">
        <x:f>'Evaluation Plan'!H6</x:f>
        <x:v>brown cup A</x:v>
      </x:c>
      <x:c r="H6" s="10" t="str">
        <x:v>Not started</x:v>
      </x:c>
      <x:c r="I6" s="10"/>
      <x:c r="J6" s="10"/>
      <x:c r="K6" s="7"/>
    </x:row>
    <x:row r="7" ht="54" customHeight="1">
      <x:c r="A7" s="10" t="n">
        <x:f>'Evaluation Plan'!A7</x:f>
        <x:v>5</x:v>
      </x:c>
      <x:c r="B7" s="10" t="str">
        <x:f>'Evaluation Plan'!B7</x:f>
        <x:v>Matched manipulation control</x:v>
      </x:c>
      <x:c r="C7" s="10" t="str">
        <x:f>'Evaluation Plan'!D7</x:f>
        <x:v>SR-F03</x:v>
      </x:c>
      <x:c r="D7" s="10" t="n">
        <x:f>IF('Evaluation Plan'!B7="Concept/compositional transfer","",'Evaluation Plan'!E7)</x:f>
        <x:v>4</x:v>
      </x:c>
      <x:c r="E7" s="7" t="str">
        <x:f>'Evaluation Plan'!F7</x:f>
        <x:v>Move the brown cup into the bowl.</x:v>
      </x:c>
      <x:c r="F7" s="7" t="str">
        <x:f>'Evaluation Plan'!G7</x:f>
        <x:v>P1 white cup B (O, UR); P2 yellow-white striped cup A (O, UD); P3 brown cup A (C, UR) [TARGET]; P4 glass spice container A (O, UD)</x:v>
      </x:c>
      <x:c r="G7" s="10" t="str">
        <x:f>'Evaluation Plan'!H7</x:f>
        <x:v>brown cup A</x:v>
      </x:c>
      <x:c r="H7" s="10" t="str">
        <x:v>Not started</x:v>
      </x:c>
      <x:c r="I7" s="10"/>
      <x:c r="J7" s="10"/>
      <x:c r="K7" s="7"/>
    </x:row>
    <x:row r="8" ht="54" customHeight="1">
      <x:c r="A8" s="10" t="n">
        <x:f>'Evaluation Plan'!A8</x:f>
        <x:v>6</x:v>
      </x:c>
      <x:c r="B8" s="10" t="str">
        <x:f>'Evaluation Plan'!B8</x:f>
        <x:v>Concept/compositional transfer</x:v>
      </x:c>
      <x:c r="C8" s="10" t="str">
        <x:f>'Evaluation Plan'!D8</x:f>
        <x:v>SR-F04</x:v>
      </x:c>
      <x:c r="D8" s="10" t="str">
        <x:f>IF('Evaluation Plan'!B8="Concept/compositional transfer","",'Evaluation Plan'!E8)</x:f>
      </x:c>
      <x:c r="E8" s="7" t="str">
        <x:f>'Evaluation Plan'!F8</x:f>
        <x:v>Place the closed object in the bowl.</x:v>
      </x:c>
      <x:c r="F8" s="7" t="str">
        <x:f>'Evaluation Plan'!G8</x:f>
        <x:v>P1 white cup A (O, UD); P2 yellow-white striped cup B (O, UR); P3 brown cup A (O, UD); P4 glass spice container B (C, UD) [TARGET]</x:v>
      </x:c>
      <x:c r="G8" s="10" t="str">
        <x:f>'Evaluation Plan'!H8</x:f>
        <x:v>glass spice container B</x:v>
      </x:c>
      <x:c r="H8" s="10" t="str">
        <x:v>Not started</x:v>
      </x:c>
      <x:c r="I8" s="10"/>
      <x:c r="J8" s="10"/>
      <x:c r="K8" s="7"/>
    </x:row>
    <x:row r="9" ht="54" customHeight="1">
      <x:c r="A9" s="10" t="n">
        <x:f>'Evaluation Plan'!A9</x:f>
        <x:v>7</x:v>
      </x:c>
      <x:c r="B9" s="10" t="str">
        <x:f>'Evaluation Plan'!B9</x:f>
        <x:v>Matched manipulation control</x:v>
      </x:c>
      <x:c r="C9" s="10" t="str">
        <x:f>'Evaluation Plan'!D9</x:f>
        <x:v>SR-F04</x:v>
      </x:c>
      <x:c r="D9" s="10" t="n">
        <x:f>IF('Evaluation Plan'!B9="Concept/compositional transfer","",'Evaluation Plan'!E9)</x:f>
        <x:v>6</x:v>
      </x:c>
      <x:c r="E9" s="7" t="str">
        <x:f>'Evaluation Plan'!F9</x:f>
        <x:v>Place the glass spice container in the bowl.</x:v>
      </x:c>
      <x:c r="F9" s="7" t="str">
        <x:f>'Evaluation Plan'!G9</x:f>
        <x:v>P1 white cup A (O, UD); P2 yellow-white striped cup B (O, UR); P3 brown cup A (O, UD); P4 glass spice container B (C, UD) [TARGET]</x:v>
      </x:c>
      <x:c r="G9" s="10" t="str">
        <x:f>'Evaluation Plan'!H9</x:f>
        <x:v>glass spice container B</x:v>
      </x:c>
      <x:c r="H9" s="10" t="str">
        <x:v>Not started</x:v>
      </x:c>
      <x:c r="I9" s="10"/>
      <x:c r="J9" s="10"/>
      <x:c r="K9" s="7"/>
    </x:row>
    <x:row r="10" ht="54" customHeight="1">
      <x:c r="A10" s="10" t="n">
        <x:f>'Evaluation Plan'!A10</x:f>
        <x:v>8</x:v>
      </x:c>
      <x:c r="B10" s="10" t="str">
        <x:f>'Evaluation Plan'!B10</x:f>
        <x:v>Concept/compositional transfer</x:v>
      </x:c>
      <x:c r="C10" s="10" t="str">
        <x:f>'Evaluation Plan'!D10</x:f>
        <x:v>SR-F05</x:v>
      </x:c>
      <x:c r="D10" s="10" t="str">
        <x:f>IF('Evaluation Plan'!B10="Concept/compositional transfer","",'Evaluation Plan'!E10)</x:f>
      </x:c>
      <x:c r="E10" s="7" t="str">
        <x:f>'Evaluation Plan'!F10</x:f>
        <x:v>Put the closed object in the bowl.</x:v>
      </x:c>
      <x:c r="F10" s="7" t="str">
        <x:f>'Evaluation Plan'!G10</x:f>
        <x:v>P1 white cup A (C, UR) [TARGET]; P2 yellow-white striped cup A (O, UD); P3 brown cup B (O, UR); P4 glass spice container A (O, UD)</x:v>
      </x:c>
      <x:c r="G10" s="10" t="str">
        <x:f>'Evaluation Plan'!H10</x:f>
        <x:v>white cup A</x:v>
      </x:c>
      <x:c r="H10" s="10" t="str">
        <x:v>Not started</x:v>
      </x:c>
      <x:c r="I10" s="10"/>
      <x:c r="J10" s="10"/>
      <x:c r="K10" s="7"/>
    </x:row>
    <x:row r="11" ht="54" customHeight="1">
      <x:c r="A11" s="10" t="n">
        <x:f>'Evaluation Plan'!A11</x:f>
        <x:v>9</x:v>
      </x:c>
      <x:c r="B11" s="10" t="str">
        <x:f>'Evaluation Plan'!B11</x:f>
        <x:v>Matched manipulation control</x:v>
      </x:c>
      <x:c r="C11" s="10" t="str">
        <x:f>'Evaluation Plan'!D11</x:f>
        <x:v>SR-F05</x:v>
      </x:c>
      <x:c r="D11" s="10" t="n">
        <x:f>IF('Evaluation Plan'!B11="Concept/compositional transfer","",'Evaluation Plan'!E11)</x:f>
        <x:v>8</x:v>
      </x:c>
      <x:c r="E11" s="7" t="str">
        <x:f>'Evaluation Plan'!F11</x:f>
        <x:v>Put the white cup in the bowl.</x:v>
      </x:c>
      <x:c r="F11" s="7" t="str">
        <x:f>'Evaluation Plan'!G11</x:f>
        <x:v>P1 white cup A (C, UR) [TARGET]; P2 yellow-white striped cup A (O, UD); P3 brown cup B (O, UR); P4 glass spice container A (O, UD)</x:v>
      </x:c>
      <x:c r="G11" s="10" t="str">
        <x:f>'Evaluation Plan'!H11</x:f>
        <x:v>white cup A</x:v>
      </x:c>
      <x:c r="H11" s="10" t="str">
        <x:v>Not started</x:v>
      </x:c>
      <x:c r="I11" s="10"/>
      <x:c r="J11" s="10"/>
      <x:c r="K11" s="7"/>
    </x:row>
    <x:row r="12" ht="54" customHeight="1">
      <x:c r="A12" s="10" t="n">
        <x:f>'Evaluation Plan'!A12</x:f>
        <x:v>10</x:v>
      </x:c>
      <x:c r="B12" s="10" t="str">
        <x:f>'Evaluation Plan'!B12</x:f>
        <x:v>Concept/compositional transfer</x:v>
      </x:c>
      <x:c r="C12" s="10" t="str">
        <x:f>'Evaluation Plan'!D12</x:f>
        <x:v>SR-F06</x:v>
      </x:c>
      <x:c r="D12" s="10" t="str">
        <x:f>IF('Evaluation Plan'!B12="Concept/compositional transfer","",'Evaluation Plan'!E12)</x:f>
      </x:c>
      <x:c r="E12" s="7" t="str">
        <x:f>'Evaluation Plan'!F12</x:f>
        <x:v>Move the closed object into the bowl.</x:v>
      </x:c>
      <x:c r="F12" s="7" t="str">
        <x:f>'Evaluation Plan'!G12</x:f>
        <x:v>P1 white cup A (O, UD); P2 yellow-white striped cup B (C, UD) [TARGET]; P3 brown cup A (O, UD); P4 glass spice container B (O, UR)</x:v>
      </x:c>
      <x:c r="G12" s="10" t="str">
        <x:f>'Evaluation Plan'!H12</x:f>
        <x:v>yellow-white striped cup B</x:v>
      </x:c>
      <x:c r="H12" s="10" t="str">
        <x:v>Not started</x:v>
      </x:c>
      <x:c r="I12" s="10"/>
      <x:c r="J12" s="10"/>
      <x:c r="K12" s="7"/>
    </x:row>
    <x:row r="13" ht="54" customHeight="1">
      <x:c r="A13" s="10" t="n">
        <x:f>'Evaluation Plan'!A13</x:f>
        <x:v>11</x:v>
      </x:c>
      <x:c r="B13" s="10" t="str">
        <x:f>'Evaluation Plan'!B13</x:f>
        <x:v>Matched manipulation control</x:v>
      </x:c>
      <x:c r="C13" s="10" t="str">
        <x:f>'Evaluation Plan'!D13</x:f>
        <x:v>SR-F06</x:v>
      </x:c>
      <x:c r="D13" s="10" t="n">
        <x:f>IF('Evaluation Plan'!B13="Concept/compositional transfer","",'Evaluation Plan'!E13)</x:f>
        <x:v>10</x:v>
      </x:c>
      <x:c r="E13" s="7" t="str">
        <x:f>'Evaluation Plan'!F13</x:f>
        <x:v>Move the yellow-white striped cup into the bowl.</x:v>
      </x:c>
      <x:c r="F13" s="7" t="str">
        <x:f>'Evaluation Plan'!G13</x:f>
        <x:v>P1 white cup A (O, UD); P2 yellow-white striped cup B (C, UD) [TARGET]; P3 brown cup A (O, UD); P4 glass spice container B (O, UR)</x:v>
      </x:c>
      <x:c r="G13" s="10" t="str">
        <x:f>'Evaluation Plan'!H13</x:f>
        <x:v>yellow-white striped cup B</x:v>
      </x:c>
      <x:c r="H13" s="10" t="str">
        <x:v>Not started</x:v>
      </x:c>
      <x:c r="I13" s="10"/>
      <x:c r="J13" s="10"/>
      <x:c r="K13" s="7"/>
    </x:row>
    <x:row r="14" ht="54" customHeight="1">
      <x:c r="A14" s="10" t="n">
        <x:f>'Evaluation Plan'!A14</x:f>
        <x:v>12</x:v>
      </x:c>
      <x:c r="B14" s="10" t="str">
        <x:f>'Evaluation Plan'!B14</x:f>
        <x:v>Concept/compositional transfer</x:v>
      </x:c>
      <x:c r="C14" s="10" t="str">
        <x:f>'Evaluation Plan'!D14</x:f>
        <x:v>SR-F07</x:v>
      </x:c>
      <x:c r="D14" s="10" t="str">
        <x:f>IF('Evaluation Plan'!B14="Concept/compositional transfer","",'Evaluation Plan'!E14)</x:f>
      </x:c>
      <x:c r="E14" s="7" t="str">
        <x:f>'Evaluation Plan'!F14</x:f>
        <x:v>Place the closed object in the bowl.</x:v>
      </x:c>
      <x:c r="F14" s="7" t="str">
        <x:f>'Evaluation Plan'!G14</x:f>
        <x:v>P1 white cup B (O, UR); P2 yellow-white striped cup A (O, UD); P3 brown cup A (C, UR) [TARGET]; P4 glass spice container A (O, UD)</x:v>
      </x:c>
      <x:c r="G14" s="10" t="str">
        <x:f>'Evaluation Plan'!H14</x:f>
        <x:v>brown cup A</x:v>
      </x:c>
      <x:c r="H14" s="10" t="str">
        <x:v>Not started</x:v>
      </x:c>
      <x:c r="I14" s="10"/>
      <x:c r="J14" s="10"/>
      <x:c r="K14" s="7"/>
    </x:row>
    <x:row r="15" ht="54" customHeight="1">
      <x:c r="A15" s="10" t="n">
        <x:f>'Evaluation Plan'!A15</x:f>
        <x:v>13</x:v>
      </x:c>
      <x:c r="B15" s="10" t="str">
        <x:f>'Evaluation Plan'!B15</x:f>
        <x:v>Matched manipulation control</x:v>
      </x:c>
      <x:c r="C15" s="10" t="str">
        <x:f>'Evaluation Plan'!D15</x:f>
        <x:v>SR-F07</x:v>
      </x:c>
      <x:c r="D15" s="10" t="n">
        <x:f>IF('Evaluation Plan'!B15="Concept/compositional transfer","",'Evaluation Plan'!E15)</x:f>
        <x:v>12</x:v>
      </x:c>
      <x:c r="E15" s="7" t="str">
        <x:f>'Evaluation Plan'!F15</x:f>
        <x:v>Place the brown cup in the bowl.</x:v>
      </x:c>
      <x:c r="F15" s="7" t="str">
        <x:f>'Evaluation Plan'!G15</x:f>
        <x:v>P1 white cup B (O, UR); P2 yellow-white striped cup A (O, UD); P3 brown cup A (C, UR) [TARGET]; P4 glass spice container A (O, UD)</x:v>
      </x:c>
      <x:c r="G15" s="10" t="str">
        <x:f>'Evaluation Plan'!H15</x:f>
        <x:v>brown cup A</x:v>
      </x:c>
      <x:c r="H15" s="10" t="str">
        <x:v>Not started</x:v>
      </x:c>
      <x:c r="I15" s="10"/>
      <x:c r="J15" s="10"/>
      <x:c r="K15" s="7"/>
    </x:row>
    <x:row r="16" ht="54" customHeight="1">
      <x:c r="A16" s="10" t="n">
        <x:f>'Evaluation Plan'!A16</x:f>
        <x:v>14</x:v>
      </x:c>
      <x:c r="B16" s="10" t="str">
        <x:f>'Evaluation Plan'!B16</x:f>
        <x:v>Concept/compositional transfer</x:v>
      </x:c>
      <x:c r="C16" s="10" t="str">
        <x:f>'Evaluation Plan'!D16</x:f>
        <x:v>SR-F08</x:v>
      </x:c>
      <x:c r="D16" s="10" t="str">
        <x:f>IF('Evaluation Plan'!B16="Concept/compositional transfer","",'Evaluation Plan'!E16)</x:f>
      </x:c>
      <x:c r="E16" s="7" t="str">
        <x:f>'Evaluation Plan'!F16</x:f>
        <x:v>Put the closed object in the bowl.</x:v>
      </x:c>
      <x:c r="F16" s="7" t="str">
        <x:f>'Evaluation Plan'!G16</x:f>
        <x:v>P1 white cup A (O, UD); P2 yellow-white striped cup B (O, UR); P3 brown cup A (O, UD); P4 glass spice container B (C, UD) [TARGET]</x:v>
      </x:c>
      <x:c r="G16" s="10" t="str">
        <x:f>'Evaluation Plan'!H16</x:f>
        <x:v>glass spice container B</x:v>
      </x:c>
      <x:c r="H16" s="10" t="str">
        <x:v>Not started</x:v>
      </x:c>
      <x:c r="I16" s="10"/>
      <x:c r="J16" s="10"/>
      <x:c r="K16" s="7"/>
    </x:row>
    <x:row r="17" ht="54" customHeight="1">
      <x:c r="A17" s="10" t="n">
        <x:f>'Evaluation Plan'!A17</x:f>
        <x:v>15</x:v>
      </x:c>
      <x:c r="B17" s="10" t="str">
        <x:f>'Evaluation Plan'!B17</x:f>
        <x:v>Matched manipulation control</x:v>
      </x:c>
      <x:c r="C17" s="10" t="str">
        <x:f>'Evaluation Plan'!D17</x:f>
        <x:v>SR-F08</x:v>
      </x:c>
      <x:c r="D17" s="10" t="n">
        <x:f>IF('Evaluation Plan'!B17="Concept/compositional transfer","",'Evaluation Plan'!E17)</x:f>
        <x:v>14</x:v>
      </x:c>
      <x:c r="E17" s="7" t="str">
        <x:f>'Evaluation Plan'!F17</x:f>
        <x:v>Put the glass spice container in the bowl.</x:v>
      </x:c>
      <x:c r="F17" s="7" t="str">
        <x:f>'Evaluation Plan'!G17</x:f>
        <x:v>P1 white cup A (O, UD); P2 yellow-white striped cup B (O, UR); P3 brown cup A (O, UD); P4 glass spice container B (C, UD) [TARGET]</x:v>
      </x:c>
      <x:c r="G17" s="10" t="str">
        <x:f>'Evaluation Plan'!H17</x:f>
        <x:v>glass spice container B</x:v>
      </x:c>
      <x:c r="H17" s="10" t="str">
        <x:v>Not started</x:v>
      </x:c>
      <x:c r="I17" s="10"/>
      <x:c r="J17" s="10"/>
      <x:c r="K17" s="7"/>
    </x:row>
    <x:row r="18" ht="54" customHeight="1">
      <x:c r="A18" s="10" t="n">
        <x:f>'Evaluation Plan'!A18</x:f>
        <x:v>16</x:v>
      </x:c>
      <x:c r="B18" s="10" t="str">
        <x:f>'Evaluation Plan'!B18</x:f>
        <x:v>Concept/compositional transfer</x:v>
      </x:c>
      <x:c r="C18" s="10" t="str">
        <x:f>'Evaluation Plan'!D18</x:f>
        <x:v>SR-F09</x:v>
      </x:c>
      <x:c r="D18" s="10" t="str">
        <x:f>IF('Evaluation Plan'!B18="Concept/compositional transfer","",'Evaluation Plan'!E18)</x:f>
      </x:c>
      <x:c r="E18" s="7" t="str">
        <x:f>'Evaluation Plan'!F18</x:f>
        <x:v>Move the closed object into the bowl.</x:v>
      </x:c>
      <x:c r="F18" s="7" t="str">
        <x:f>'Evaluation Plan'!G18</x:f>
        <x:v>P1 white cup A (C, UR) [TARGET]; P2 yellow-white striped cup A (O, UD); P3 brown cup B (O, UR); P4 glass spice container A (O, UD)</x:v>
      </x:c>
      <x:c r="G18" s="10" t="str">
        <x:f>'Evaluation Plan'!H18</x:f>
        <x:v>white cup A</x:v>
      </x:c>
      <x:c r="H18" s="10" t="str">
        <x:v>Not started</x:v>
      </x:c>
      <x:c r="I18" s="10"/>
      <x:c r="J18" s="10"/>
      <x:c r="K18" s="7"/>
    </x:row>
    <x:row r="19" ht="54" customHeight="1">
      <x:c r="A19" s="10" t="n">
        <x:f>'Evaluation Plan'!A19</x:f>
        <x:v>17</x:v>
      </x:c>
      <x:c r="B19" s="10" t="str">
        <x:f>'Evaluation Plan'!B19</x:f>
        <x:v>Matched manipulation control</x:v>
      </x:c>
      <x:c r="C19" s="10" t="str">
        <x:f>'Evaluation Plan'!D19</x:f>
        <x:v>SR-F09</x:v>
      </x:c>
      <x:c r="D19" s="10" t="n">
        <x:f>IF('Evaluation Plan'!B19="Concept/compositional transfer","",'Evaluation Plan'!E19)</x:f>
        <x:v>16</x:v>
      </x:c>
      <x:c r="E19" s="7" t="str">
        <x:f>'Evaluation Plan'!F19</x:f>
        <x:v>Move the white cup into the bowl.</x:v>
      </x:c>
      <x:c r="F19" s="7" t="str">
        <x:f>'Evaluation Plan'!G19</x:f>
        <x:v>P1 white cup A (C, UR) [TARGET]; P2 yellow-white striped cup A (O, UD); P3 brown cup B (O, UR); P4 glass spice container A (O, UD)</x:v>
      </x:c>
      <x:c r="G19" s="10" t="str">
        <x:f>'Evaluation Plan'!H19</x:f>
        <x:v>white cup A</x:v>
      </x:c>
      <x:c r="H19" s="10" t="str">
        <x:v>Not started</x:v>
      </x:c>
      <x:c r="I19" s="10"/>
      <x:c r="J19" s="10"/>
      <x:c r="K19" s="7"/>
    </x:row>
    <x:row r="20" ht="54" customHeight="1">
      <x:c r="A20" s="10" t="n">
        <x:f>'Evaluation Plan'!A20</x:f>
        <x:v>18</x:v>
      </x:c>
      <x:c r="B20" s="10" t="str">
        <x:f>'Evaluation Plan'!B20</x:f>
        <x:v>Concept/compositional transfer</x:v>
      </x:c>
      <x:c r="C20" s="10" t="str">
        <x:f>'Evaluation Plan'!D20</x:f>
        <x:v>SR-F10</x:v>
      </x:c>
      <x:c r="D20" s="10" t="str">
        <x:f>IF('Evaluation Plan'!B20="Concept/compositional transfer","",'Evaluation Plan'!E20)</x:f>
      </x:c>
      <x:c r="E20" s="7" t="str">
        <x:f>'Evaluation Plan'!F20</x:f>
        <x:v>Place the closed object in the bowl.</x:v>
      </x:c>
      <x:c r="F20" s="7" t="str">
        <x:f>'Evaluation Plan'!G20</x:f>
        <x:v>P1 white cup A (O, UD); P2 brown cup B (C, UD) [TARGET]; P3 yellow-white striped cup A (O, UD); P4 glass spice container B (O, UR)</x:v>
      </x:c>
      <x:c r="G20" s="10" t="str">
        <x:f>'Evaluation Plan'!H20</x:f>
        <x:v>brown cup B</x:v>
      </x:c>
      <x:c r="H20" s="10" t="str">
        <x:v>Not started</x:v>
      </x:c>
      <x:c r="I20" s="10"/>
      <x:c r="J20" s="10"/>
      <x:c r="K20" s="7"/>
    </x:row>
    <x:row r="21" ht="54" customHeight="1">
      <x:c r="A21" s="10" t="n">
        <x:f>'Evaluation Plan'!A21</x:f>
        <x:v>19</x:v>
      </x:c>
      <x:c r="B21" s="10" t="str">
        <x:f>'Evaluation Plan'!B21</x:f>
        <x:v>Matched manipulation control</x:v>
      </x:c>
      <x:c r="C21" s="10" t="str">
        <x:f>'Evaluation Plan'!D21</x:f>
        <x:v>SR-F10</x:v>
      </x:c>
      <x:c r="D21" s="10" t="n">
        <x:f>IF('Evaluation Plan'!B21="Concept/compositional transfer","",'Evaluation Plan'!E21)</x:f>
        <x:v>18</x:v>
      </x:c>
      <x:c r="E21" s="7" t="str">
        <x:f>'Evaluation Plan'!F21</x:f>
        <x:v>Place the brown cup in the bowl.</x:v>
      </x:c>
      <x:c r="F21" s="7" t="str">
        <x:f>'Evaluation Plan'!G21</x:f>
        <x:v>P1 white cup A (O, UD); P2 brown cup B (C, UD) [TARGET]; P3 yellow-white striped cup A (O, UD); P4 glass spice container B (O, UR)</x:v>
      </x:c>
      <x:c r="G21" s="10" t="str">
        <x:f>'Evaluation Plan'!H21</x:f>
        <x:v>brown cup B</x:v>
      </x:c>
      <x:c r="H21" s="10" t="str">
        <x:v>Not started</x:v>
      </x:c>
      <x:c r="I21" s="10"/>
      <x:c r="J21" s="10"/>
      <x:c r="K21" s="7"/>
    </x:row>
    <x:row r="22" ht="54" customHeight="1">
      <x:c r="A22" s="10" t="n">
        <x:f>'Evaluation Plan'!A22</x:f>
        <x:v>20</x:v>
      </x:c>
      <x:c r="B22" s="10" t="str">
        <x:f>'Evaluation Plan'!B22</x:f>
        <x:v>Concept/compositional transfer</x:v>
      </x:c>
      <x:c r="C22" s="10" t="str">
        <x:f>'Evaluation Plan'!D22</x:f>
        <x:v>SR-F11</x:v>
      </x:c>
      <x:c r="D22" s="10" t="str">
        <x:f>IF('Evaluation Plan'!B22="Concept/compositional transfer","",'Evaluation Plan'!E22)</x:f>
      </x:c>
      <x:c r="E22" s="7" t="str">
        <x:f>'Evaluation Plan'!F22</x:f>
        <x:v>Put the upright object in the bowl.</x:v>
      </x:c>
      <x:c r="F22" s="7" t="str">
        <x:f>'Evaluation Plan'!G22</x:f>
        <x:v>P1 yellow-white striped cup B (O, UD); P2 brown cup A (C, UD); P3 white cup A (O, UR) [TARGET]; P4 glass spice container A (C, UD)</x:v>
      </x:c>
      <x:c r="G22" s="10" t="str">
        <x:f>'Evaluation Plan'!H22</x:f>
        <x:v>white cup A</x:v>
      </x:c>
      <x:c r="H22" s="10" t="str">
        <x:v>Not started</x:v>
      </x:c>
      <x:c r="I22" s="10"/>
      <x:c r="J22" s="10"/>
      <x:c r="K22" s="7"/>
    </x:row>
    <x:row r="23" ht="54" customHeight="1">
      <x:c r="A23" s="10" t="n">
        <x:f>'Evaluation Plan'!A23</x:f>
        <x:v>21</x:v>
      </x:c>
      <x:c r="B23" s="10" t="str">
        <x:f>'Evaluation Plan'!B23</x:f>
        <x:v>Matched manipulation control</x:v>
      </x:c>
      <x:c r="C23" s="10" t="str">
        <x:f>'Evaluation Plan'!D23</x:f>
        <x:v>SR-F11</x:v>
      </x:c>
      <x:c r="D23" s="10" t="n">
        <x:f>IF('Evaluation Plan'!B23="Concept/compositional transfer","",'Evaluation Plan'!E23)</x:f>
        <x:v>20</x:v>
      </x:c>
      <x:c r="E23" s="7" t="str">
        <x:f>'Evaluation Plan'!F23</x:f>
        <x:v>Put the white cup in the bowl.</x:v>
      </x:c>
      <x:c r="F23" s="7" t="str">
        <x:f>'Evaluation Plan'!G23</x:f>
        <x:v>P1 yellow-white striped cup B (O, UD); P2 brown cup A (C, UD); P3 white cup A (O, UR) [TARGET]; P4 glass spice container A (C, UD)</x:v>
      </x:c>
      <x:c r="G23" s="10" t="str">
        <x:f>'Evaluation Plan'!H23</x:f>
        <x:v>white cup A</x:v>
      </x:c>
      <x:c r="H23" s="10" t="str">
        <x:v>Not started</x:v>
      </x:c>
      <x:c r="I23" s="10"/>
      <x:c r="J23" s="10"/>
      <x:c r="K23" s="7"/>
    </x:row>
    <x:row r="24" ht="54" customHeight="1">
      <x:c r="A24" s="10" t="n">
        <x:f>'Evaluation Plan'!A24</x:f>
        <x:v>22</x:v>
      </x:c>
      <x:c r="B24" s="10" t="str">
        <x:f>'Evaluation Plan'!B24</x:f>
        <x:v>Concept/compositional transfer</x:v>
      </x:c>
      <x:c r="C24" s="10" t="str">
        <x:f>'Evaluation Plan'!D24</x:f>
        <x:v>SR-F12</x:v>
      </x:c>
      <x:c r="D24" s="10" t="str">
        <x:f>IF('Evaluation Plan'!B24="Concept/compositional transfer","",'Evaluation Plan'!E24)</x:f>
      </x:c>
      <x:c r="E24" s="7" t="str">
        <x:f>'Evaluation Plan'!F24</x:f>
        <x:v>Move the upright object into the bowl.</x:v>
      </x:c>
      <x:c r="F24" s="7" t="str">
        <x:f>'Evaluation Plan'!G24</x:f>
        <x:v>P1 white cup A (C, UD); P2 brown cup B (O, UD); P3 glass spice container A (C, UD); P4 yellow-white striped cup B (C, UR) [TARGET]</x:v>
      </x:c>
      <x:c r="G24" s="10" t="str">
        <x:f>'Evaluation Plan'!H24</x:f>
        <x:v>yellow-white striped cup B</x:v>
      </x:c>
      <x:c r="H24" s="10" t="str">
        <x:v>Not started</x:v>
      </x:c>
      <x:c r="I24" s="10"/>
      <x:c r="J24" s="10"/>
      <x:c r="K24" s="7"/>
    </x:row>
    <x:row r="25" ht="54" customHeight="1">
      <x:c r="A25" s="10" t="n">
        <x:f>'Evaluation Plan'!A25</x:f>
        <x:v>23</x:v>
      </x:c>
      <x:c r="B25" s="10" t="str">
        <x:f>'Evaluation Plan'!B25</x:f>
        <x:v>Matched manipulation control</x:v>
      </x:c>
      <x:c r="C25" s="10" t="str">
        <x:f>'Evaluation Plan'!D25</x:f>
        <x:v>SR-F12</x:v>
      </x:c>
      <x:c r="D25" s="10" t="n">
        <x:f>IF('Evaluation Plan'!B25="Concept/compositional transfer","",'Evaluation Plan'!E25)</x:f>
        <x:v>22</x:v>
      </x:c>
      <x:c r="E25" s="7" t="str">
        <x:f>'Evaluation Plan'!F25</x:f>
        <x:v>Move the yellow-white striped cup into the bowl.</x:v>
      </x:c>
      <x:c r="F25" s="7" t="str">
        <x:f>'Evaluation Plan'!G25</x:f>
        <x:v>P1 white cup A (C, UD); P2 brown cup B (O, UD); P3 glass spice container A (C, UD); P4 yellow-white striped cup B (C, UR) [TARGET]</x:v>
      </x:c>
      <x:c r="G25" s="10" t="str">
        <x:f>'Evaluation Plan'!H25</x:f>
        <x:v>yellow-white striped cup B</x:v>
      </x:c>
      <x:c r="H25" s="10" t="str">
        <x:v>Not started</x:v>
      </x:c>
      <x:c r="I25" s="10"/>
      <x:c r="J25" s="10"/>
      <x:c r="K25" s="7"/>
    </x:row>
    <x:row r="26" ht="54" customHeight="1">
      <x:c r="A26" s="10" t="n">
        <x:f>'Evaluation Plan'!A26</x:f>
        <x:v>24</x:v>
      </x:c>
      <x:c r="B26" s="10" t="str">
        <x:f>'Evaluation Plan'!B26</x:f>
        <x:v>Concept/compositional transfer</x:v>
      </x:c>
      <x:c r="C26" s="10" t="str">
        <x:f>'Evaluation Plan'!D26</x:f>
        <x:v>SR-F13</x:v>
      </x:c>
      <x:c r="D26" s="10" t="str">
        <x:f>IF('Evaluation Plan'!B26="Concept/compositional transfer","",'Evaluation Plan'!E26)</x:f>
      </x:c>
      <x:c r="E26" s="7" t="str">
        <x:f>'Evaluation Plan'!F26</x:f>
        <x:v>Place the upright object in the bowl.</x:v>
      </x:c>
      <x:c r="F26" s="7" t="str">
        <x:f>'Evaluation Plan'!G26</x:f>
        <x:v>P1 brown cup A (O, UR) [TARGET]; P2 white cup A (C, UD); P3 yellow-white striped cup B (O, UD); P4 glass spice container A (C, UD)</x:v>
      </x:c>
      <x:c r="G26" s="10" t="str">
        <x:f>'Evaluation Plan'!H26</x:f>
        <x:v>brown cup A</x:v>
      </x:c>
      <x:c r="H26" s="10" t="str">
        <x:v>Not started</x:v>
      </x:c>
      <x:c r="I26" s="10"/>
      <x:c r="J26" s="10"/>
      <x:c r="K26" s="7"/>
    </x:row>
    <x:row r="27" ht="54" customHeight="1">
      <x:c r="A27" s="10" t="n">
        <x:f>'Evaluation Plan'!A27</x:f>
        <x:v>25</x:v>
      </x:c>
      <x:c r="B27" s="10" t="str">
        <x:f>'Evaluation Plan'!B27</x:f>
        <x:v>Matched manipulation control</x:v>
      </x:c>
      <x:c r="C27" s="10" t="str">
        <x:f>'Evaluation Plan'!D27</x:f>
        <x:v>SR-F13</x:v>
      </x:c>
      <x:c r="D27" s="10" t="n">
        <x:f>IF('Evaluation Plan'!B27="Concept/compositional transfer","",'Evaluation Plan'!E27)</x:f>
        <x:v>24</x:v>
      </x:c>
      <x:c r="E27" s="7" t="str">
        <x:f>'Evaluation Plan'!F27</x:f>
        <x:v>Place the brown cup in the bowl.</x:v>
      </x:c>
      <x:c r="F27" s="7" t="str">
        <x:f>'Evaluation Plan'!G27</x:f>
        <x:v>P1 brown cup A (O, UR) [TARGET]; P2 white cup A (C, UD); P3 yellow-white striped cup B (O, UD); P4 glass spice container A (C, UD)</x:v>
      </x:c>
      <x:c r="G27" s="10" t="str">
        <x:f>'Evaluation Plan'!H27</x:f>
        <x:v>brown cup A</x:v>
      </x:c>
      <x:c r="H27" s="10" t="str">
        <x:v>Not started</x:v>
      </x:c>
      <x:c r="I27" s="10"/>
      <x:c r="J27" s="10"/>
      <x:c r="K27" s="7"/>
    </x:row>
    <x:row r="28" ht="54" customHeight="1">
      <x:c r="A28" s="10" t="n">
        <x:f>'Evaluation Plan'!A28</x:f>
        <x:v>26</x:v>
      </x:c>
      <x:c r="B28" s="10" t="str">
        <x:f>'Evaluation Plan'!B28</x:f>
        <x:v>Concept/compositional transfer</x:v>
      </x:c>
      <x:c r="C28" s="10" t="str">
        <x:f>'Evaluation Plan'!D28</x:f>
        <x:v>SR-F14</x:v>
      </x:c>
      <x:c r="D28" s="10" t="str">
        <x:f>IF('Evaluation Plan'!B28="Concept/compositional transfer","",'Evaluation Plan'!E28)</x:f>
      </x:c>
      <x:c r="E28" s="7" t="str">
        <x:f>'Evaluation Plan'!F28</x:f>
        <x:v>Put the upright object in the bowl.</x:v>
      </x:c>
      <x:c r="F28" s="7" t="str">
        <x:f>'Evaluation Plan'!G28</x:f>
        <x:v>P1 white cup A (C, UD); P2 glass spice container B (C, UR) [TARGET]; P3 yellow-white striped cup A (C, UD); P4 brown cup B (O, UD)</x:v>
      </x:c>
      <x:c r="G28" s="10" t="str">
        <x:f>'Evaluation Plan'!H28</x:f>
        <x:v>glass spice container B</x:v>
      </x:c>
      <x:c r="H28" s="10" t="str">
        <x:v>Not started</x:v>
      </x:c>
      <x:c r="I28" s="10"/>
      <x:c r="J28" s="10"/>
      <x:c r="K28" s="7"/>
    </x:row>
    <x:row r="29" ht="54" customHeight="1">
      <x:c r="A29" s="10" t="n">
        <x:f>'Evaluation Plan'!A29</x:f>
        <x:v>27</x:v>
      </x:c>
      <x:c r="B29" s="10" t="str">
        <x:f>'Evaluation Plan'!B29</x:f>
        <x:v>Matched manipulation control</x:v>
      </x:c>
      <x:c r="C29" s="10" t="str">
        <x:f>'Evaluation Plan'!D29</x:f>
        <x:v>SR-F14</x:v>
      </x:c>
      <x:c r="D29" s="10" t="n">
        <x:f>IF('Evaluation Plan'!B29="Concept/compositional transfer","",'Evaluation Plan'!E29)</x:f>
        <x:v>26</x:v>
      </x:c>
      <x:c r="E29" s="7" t="str">
        <x:f>'Evaluation Plan'!F29</x:f>
        <x:v>Put the glass spice container in the bowl.</x:v>
      </x:c>
      <x:c r="F29" s="7" t="str">
        <x:f>'Evaluation Plan'!G29</x:f>
        <x:v>P1 white cup A (C, UD); P2 glass spice container B (C, UR) [TARGET]; P3 yellow-white striped cup A (C, UD); P4 brown cup B (O, UD)</x:v>
      </x:c>
      <x:c r="G29" s="10" t="str">
        <x:f>'Evaluation Plan'!H29</x:f>
        <x:v>glass spice container B</x:v>
      </x:c>
      <x:c r="H29" s="10" t="str">
        <x:v>Not started</x:v>
      </x:c>
      <x:c r="I29" s="10"/>
      <x:c r="J29" s="10"/>
      <x:c r="K29" s="7"/>
    </x:row>
    <x:row r="30" ht="54" customHeight="1">
      <x:c r="A30" s="10" t="n">
        <x:f>'Evaluation Plan'!A30</x:f>
        <x:v>28</x:v>
      </x:c>
      <x:c r="B30" s="10" t="str">
        <x:f>'Evaluation Plan'!B30</x:f>
        <x:v>Concept/compositional transfer</x:v>
      </x:c>
      <x:c r="C30" s="10" t="str">
        <x:f>'Evaluation Plan'!D30</x:f>
        <x:v>SR-F15</x:v>
      </x:c>
      <x:c r="D30" s="10" t="str">
        <x:f>IF('Evaluation Plan'!B30="Concept/compositional transfer","",'Evaluation Plan'!E30)</x:f>
      </x:c>
      <x:c r="E30" s="7" t="str">
        <x:f>'Evaluation Plan'!F30</x:f>
        <x:v>Move the upright object into the bowl.</x:v>
      </x:c>
      <x:c r="F30" s="7" t="str">
        <x:f>'Evaluation Plan'!G30</x:f>
        <x:v>P1 yellow-white striped cup B (O, UD); P2 brown cup A (C, UD); P3 white cup A (O, UR) [TARGET]; P4 glass spice container A (C, UD)</x:v>
      </x:c>
      <x:c r="G30" s="10" t="str">
        <x:f>'Evaluation Plan'!H30</x:f>
        <x:v>white cup A</x:v>
      </x:c>
      <x:c r="H30" s="10" t="str">
        <x:v>Not started</x:v>
      </x:c>
      <x:c r="I30" s="10"/>
      <x:c r="J30" s="10"/>
      <x:c r="K30" s="7"/>
    </x:row>
    <x:row r="31" ht="54" customHeight="1">
      <x:c r="A31" s="10" t="n">
        <x:f>'Evaluation Plan'!A31</x:f>
        <x:v>29</x:v>
      </x:c>
      <x:c r="B31" s="10" t="str">
        <x:f>'Evaluation Plan'!B31</x:f>
        <x:v>Matched manipulation control</x:v>
      </x:c>
      <x:c r="C31" s="10" t="str">
        <x:f>'Evaluation Plan'!D31</x:f>
        <x:v>SR-F15</x:v>
      </x:c>
      <x:c r="D31" s="10" t="n">
        <x:f>IF('Evaluation Plan'!B31="Concept/compositional transfer","",'Evaluation Plan'!E31)</x:f>
        <x:v>28</x:v>
      </x:c>
      <x:c r="E31" s="7" t="str">
        <x:f>'Evaluation Plan'!F31</x:f>
        <x:v>Move the white cup into the bowl.</x:v>
      </x:c>
      <x:c r="F31" s="7" t="str">
        <x:f>'Evaluation Plan'!G31</x:f>
        <x:v>P1 yellow-white striped cup B (O, UD); P2 brown cup A (C, UD); P3 white cup A (O, UR) [TARGET]; P4 glass spice container A (C, UD)</x:v>
      </x:c>
      <x:c r="G31" s="10" t="str">
        <x:f>'Evaluation Plan'!H31</x:f>
        <x:v>white cup A</x:v>
      </x:c>
      <x:c r="H31" s="10" t="str">
        <x:v>Not started</x:v>
      </x:c>
      <x:c r="I31" s="10"/>
      <x:c r="J31" s="10"/>
      <x:c r="K31" s="7"/>
    </x:row>
    <x:row r="32" ht="54" customHeight="1">
      <x:c r="A32" s="10" t="n">
        <x:f>'Evaluation Plan'!A32</x:f>
        <x:v>30</x:v>
      </x:c>
      <x:c r="B32" s="10" t="str">
        <x:f>'Evaluation Plan'!B32</x:f>
        <x:v>Concept/compositional transfer</x:v>
      </x:c>
      <x:c r="C32" s="10" t="str">
        <x:f>'Evaluation Plan'!D32</x:f>
        <x:v>SR-F16</x:v>
      </x:c>
      <x:c r="D32" s="10" t="str">
        <x:f>IF('Evaluation Plan'!B32="Concept/compositional transfer","",'Evaluation Plan'!E32)</x:f>
      </x:c>
      <x:c r="E32" s="7" t="str">
        <x:f>'Evaluation Plan'!F32</x:f>
        <x:v>Place the upright can in the bowl.</x:v>
      </x:c>
      <x:c r="F32" s="7" t="str">
        <x:f>'Evaluation Plan'!G32</x:f>
        <x:v>P1 crushed Pepsi can (UD); P2 glass spice container A (O, UD); P3 white cup B (C, UD); P4 crushed Coke can (UR) [TARGET]</x:v>
      </x:c>
      <x:c r="G32" s="10" t="str">
        <x:f>'Evaluation Plan'!H32</x:f>
        <x:v>crushed Coke can</x:v>
      </x:c>
      <x:c r="H32" s="10" t="str">
        <x:v>Not started</x:v>
      </x:c>
      <x:c r="I32" s="10"/>
      <x:c r="J32" s="10"/>
      <x:c r="K32" s="7"/>
    </x:row>
    <x:row r="33" ht="54" customHeight="1">
      <x:c r="A33" s="10" t="n">
        <x:f>'Evaluation Plan'!A33</x:f>
        <x:v>31</x:v>
      </x:c>
      <x:c r="B33" s="10" t="str">
        <x:f>'Evaluation Plan'!B33</x:f>
        <x:v>Matched manipulation control</x:v>
      </x:c>
      <x:c r="C33" s="10" t="str">
        <x:f>'Evaluation Plan'!D33</x:f>
        <x:v>SR-F16</x:v>
      </x:c>
      <x:c r="D33" s="10" t="n">
        <x:f>IF('Evaluation Plan'!B33="Concept/compositional transfer","",'Evaluation Plan'!E33)</x:f>
        <x:v>30</x:v>
      </x:c>
      <x:c r="E33" s="7" t="str">
        <x:f>'Evaluation Plan'!F33</x:f>
        <x:v>Place the crushed Coke can in the bowl.</x:v>
      </x:c>
      <x:c r="F33" s="7" t="str">
        <x:f>'Evaluation Plan'!G33</x:f>
        <x:v>P1 crushed Pepsi can (UD); P2 glass spice container A (O, UD); P3 white cup B (C, UD); P4 crushed Coke can (UR) [TARGET]</x:v>
      </x:c>
      <x:c r="G33" s="10" t="str">
        <x:f>'Evaluation Plan'!H33</x:f>
        <x:v>crushed Coke can</x:v>
      </x:c>
      <x:c r="H33" s="10" t="str">
        <x:v>Not started</x:v>
      </x:c>
      <x:c r="I33" s="10"/>
      <x:c r="J33" s="10"/>
      <x:c r="K33" s="7"/>
    </x:row>
    <x:row r="34" ht="54" customHeight="1">
      <x:c r="A34" s="10" t="n">
        <x:f>'Evaluation Plan'!A34</x:f>
        <x:v>32</x:v>
      </x:c>
      <x:c r="B34" s="10" t="str">
        <x:f>'Evaluation Plan'!B34</x:f>
        <x:v>Concept/compositional transfer</x:v>
      </x:c>
      <x:c r="C34" s="10" t="str">
        <x:f>'Evaluation Plan'!D34</x:f>
        <x:v>SR-F17</x:v>
      </x:c>
      <x:c r="D34" s="10" t="str">
        <x:f>IF('Evaluation Plan'!B34="Concept/compositional transfer","",'Evaluation Plan'!E34)</x:f>
      </x:c>
      <x:c r="E34" s="7" t="str">
        <x:f>'Evaluation Plan'!F34</x:f>
        <x:v>Put the upright can in the bowl.</x:v>
      </x:c>
      <x:c r="F34" s="7" t="str">
        <x:f>'Evaluation Plan'!G34</x:f>
        <x:v>P1 crushed Pepsi can (UR) [TARGET]; P2 crushed Coke can (UD); P3 white cup A (O, UD); P4 yellow-white striped cup B (C, UD)</x:v>
      </x:c>
      <x:c r="G34" s="10" t="str">
        <x:f>'Evaluation Plan'!H34</x:f>
        <x:v>crushed Pepsi can</x:v>
      </x:c>
      <x:c r="H34" s="10" t="str">
        <x:v>Not started</x:v>
      </x:c>
      <x:c r="I34" s="10"/>
      <x:c r="J34" s="10"/>
      <x:c r="K34" s="7"/>
    </x:row>
    <x:row r="35" ht="54" customHeight="1">
      <x:c r="A35" s="10" t="n">
        <x:f>'Evaluation Plan'!A35</x:f>
        <x:v>33</x:v>
      </x:c>
      <x:c r="B35" s="10" t="str">
        <x:f>'Evaluation Plan'!B35</x:f>
        <x:v>Matched manipulation control</x:v>
      </x:c>
      <x:c r="C35" s="10" t="str">
        <x:f>'Evaluation Plan'!D35</x:f>
        <x:v>SR-F17</x:v>
      </x:c>
      <x:c r="D35" s="10" t="n">
        <x:f>IF('Evaluation Plan'!B35="Concept/compositional transfer","",'Evaluation Plan'!E35)</x:f>
        <x:v>32</x:v>
      </x:c>
      <x:c r="E35" s="7" t="str">
        <x:f>'Evaluation Plan'!F35</x:f>
        <x:v>Put the crushed Pepsi can in the bowl.</x:v>
      </x:c>
      <x:c r="F35" s="7" t="str">
        <x:f>'Evaluation Plan'!G35</x:f>
        <x:v>P1 crushed Pepsi can (UR) [TARGET]; P2 crushed Coke can (UD); P3 white cup A (O, UD); P4 yellow-white striped cup B (C, UD)</x:v>
      </x:c>
      <x:c r="G35" s="10" t="str">
        <x:f>'Evaluation Plan'!H35</x:f>
        <x:v>crushed Pepsi can</x:v>
      </x:c>
      <x:c r="H35" s="10" t="str">
        <x:v>Not started</x:v>
      </x:c>
      <x:c r="I35" s="10"/>
      <x:c r="J35" s="10"/>
      <x:c r="K35" s="7"/>
    </x:row>
    <x:row r="36" ht="54" customHeight="1">
      <x:c r="A36" s="10" t="n">
        <x:f>'Evaluation Plan'!A36</x:f>
        <x:v>34</x:v>
      </x:c>
      <x:c r="B36" s="10" t="str">
        <x:f>'Evaluation Plan'!B36</x:f>
        <x:v>Concept/compositional transfer</x:v>
      </x:c>
      <x:c r="C36" s="10" t="str">
        <x:f>'Evaluation Plan'!D36</x:f>
        <x:v>SR-F18</x:v>
      </x:c>
      <x:c r="D36" s="10" t="str">
        <x:f>IF('Evaluation Plan'!B36="Concept/compositional transfer","",'Evaluation Plan'!E36)</x:f>
      </x:c>
      <x:c r="E36" s="7" t="str">
        <x:f>'Evaluation Plan'!F36</x:f>
        <x:v>Move the upright can into the bowl.</x:v>
      </x:c>
      <x:c r="F36" s="7" t="str">
        <x:f>'Evaluation Plan'!G36</x:f>
        <x:v>P1 crushed Pepsi can (UD); P2 crushed Coke can (UR) [TARGET]; P3 yellow-white striped cup B (C, UD); P4 brown cup A (O, UD)</x:v>
      </x:c>
      <x:c r="G36" s="10" t="str">
        <x:f>'Evaluation Plan'!H36</x:f>
        <x:v>crushed Coke can</x:v>
      </x:c>
      <x:c r="H36" s="10" t="str">
        <x:v>Not started</x:v>
      </x:c>
      <x:c r="I36" s="10"/>
      <x:c r="J36" s="10"/>
      <x:c r="K36" s="7"/>
    </x:row>
    <x:row r="37" ht="54" customHeight="1">
      <x:c r="A37" s="10" t="n">
        <x:f>'Evaluation Plan'!A37</x:f>
        <x:v>35</x:v>
      </x:c>
      <x:c r="B37" s="10" t="str">
        <x:f>'Evaluation Plan'!B37</x:f>
        <x:v>Matched manipulation control</x:v>
      </x:c>
      <x:c r="C37" s="10" t="str">
        <x:f>'Evaluation Plan'!D37</x:f>
        <x:v>SR-F18</x:v>
      </x:c>
      <x:c r="D37" s="10" t="n">
        <x:f>IF('Evaluation Plan'!B37="Concept/compositional transfer","",'Evaluation Plan'!E37)</x:f>
        <x:v>34</x:v>
      </x:c>
      <x:c r="E37" s="7" t="str">
        <x:f>'Evaluation Plan'!F37</x:f>
        <x:v>Move the crushed Coke can into the bowl.</x:v>
      </x:c>
      <x:c r="F37" s="7" t="str">
        <x:f>'Evaluation Plan'!G37</x:f>
        <x:v>P1 crushed Pepsi can (UD); P2 crushed Coke can (UR) [TARGET]; P3 yellow-white striped cup B (C, UD); P4 brown cup A (O, UD)</x:v>
      </x:c>
      <x:c r="G37" s="10" t="str">
        <x:f>'Evaluation Plan'!H37</x:f>
        <x:v>crushed Coke can</x:v>
      </x:c>
      <x:c r="H37" s="10" t="str">
        <x:v>Not started</x:v>
      </x:c>
      <x:c r="I37" s="10"/>
      <x:c r="J37" s="10"/>
      <x:c r="K37" s="7"/>
    </x:row>
    <x:row r="38" ht="54" customHeight="1">
      <x:c r="A38" s="10" t="n">
        <x:f>'Evaluation Plan'!A38</x:f>
        <x:v>36</x:v>
      </x:c>
      <x:c r="B38" s="10" t="str">
        <x:f>'Evaluation Plan'!B38</x:f>
        <x:v>Concept/compositional transfer</x:v>
      </x:c>
      <x:c r="C38" s="10" t="str">
        <x:f>'Evaluation Plan'!D38</x:f>
        <x:v>SR-F19</x:v>
      </x:c>
      <x:c r="D38" s="10" t="str">
        <x:f>IF('Evaluation Plan'!B38="Concept/compositional transfer","",'Evaluation Plan'!E38)</x:f>
      </x:c>
      <x:c r="E38" s="7" t="str">
        <x:f>'Evaluation Plan'!F38</x:f>
        <x:v>Place the upright can in the bowl.</x:v>
      </x:c>
      <x:c r="F38" s="7" t="str">
        <x:f>'Evaluation Plan'!G38</x:f>
        <x:v>P1 crushed Coke can (UD); P2 brown cup B (C, UD); P3 crushed Pepsi can (UR) [TARGET]; P4 glass spice container B (C, UD)</x:v>
      </x:c>
      <x:c r="G38" s="10" t="str">
        <x:f>'Evaluation Plan'!H38</x:f>
        <x:v>crushed Pepsi can</x:v>
      </x:c>
      <x:c r="H38" s="10" t="str">
        <x:v>Not started</x:v>
      </x:c>
      <x:c r="I38" s="10"/>
      <x:c r="J38" s="10"/>
      <x:c r="K38" s="7"/>
    </x:row>
    <x:row r="39" ht="54" customHeight="1">
      <x:c r="A39" s="10" t="n">
        <x:f>'Evaluation Plan'!A39</x:f>
        <x:v>37</x:v>
      </x:c>
      <x:c r="B39" s="10" t="str">
        <x:f>'Evaluation Plan'!B39</x:f>
        <x:v>Matched manipulation control</x:v>
      </x:c>
      <x:c r="C39" s="10" t="str">
        <x:f>'Evaluation Plan'!D39</x:f>
        <x:v>SR-F19</x:v>
      </x:c>
      <x:c r="D39" s="10" t="n">
        <x:f>IF('Evaluation Plan'!B39="Concept/compositional transfer","",'Evaluation Plan'!E39)</x:f>
        <x:v>36</x:v>
      </x:c>
      <x:c r="E39" s="7" t="str">
        <x:f>'Evaluation Plan'!F39</x:f>
        <x:v>Place the crushed Pepsi can in the bowl.</x:v>
      </x:c>
      <x:c r="F39" s="7" t="str">
        <x:f>'Evaluation Plan'!G39</x:f>
        <x:v>P1 crushed Coke can (UD); P2 brown cup B (C, UD); P3 crushed Pepsi can (UR) [TARGET]; P4 glass spice container B (C, UD)</x:v>
      </x:c>
      <x:c r="G39" s="10" t="str">
        <x:f>'Evaluation Plan'!H39</x:f>
        <x:v>crushed Pepsi can</x:v>
      </x:c>
      <x:c r="H39" s="10" t="str">
        <x:v>Not started</x:v>
      </x:c>
      <x:c r="I39" s="10"/>
      <x:c r="J39" s="10"/>
      <x:c r="K39" s="7"/>
    </x:row>
    <x:row r="40" ht="54" customHeight="1">
      <x:c r="A40" s="10" t="n">
        <x:f>'Evaluation Plan'!A40</x:f>
        <x:v>38</x:v>
      </x:c>
      <x:c r="B40" s="10" t="str">
        <x:f>'Evaluation Plan'!B40</x:f>
        <x:v>Concept/compositional transfer</x:v>
      </x:c>
      <x:c r="C40" s="10" t="str">
        <x:f>'Evaluation Plan'!D40</x:f>
        <x:v>SR-F20</x:v>
      </x:c>
      <x:c r="D40" s="10" t="str">
        <x:f>IF('Evaluation Plan'!B40="Concept/compositional transfer","",'Evaluation Plan'!E40)</x:f>
      </x:c>
      <x:c r="E40" s="7" t="str">
        <x:f>'Evaluation Plan'!F40</x:f>
        <x:v>Put the upright can in the bowl.</x:v>
      </x:c>
      <x:c r="F40" s="7" t="str">
        <x:f>'Evaluation Plan'!G40</x:f>
        <x:v>P1 crushed Pepsi can (UD); P2 glass spice container A (O, UD); P3 white cup B (C, UD); P4 crushed Coke can (UR) [TARGET]</x:v>
      </x:c>
      <x:c r="G40" s="10" t="str">
        <x:f>'Evaluation Plan'!H40</x:f>
        <x:v>crushed Coke can</x:v>
      </x:c>
      <x:c r="H40" s="10" t="str">
        <x:v>Not started</x:v>
      </x:c>
      <x:c r="I40" s="10"/>
      <x:c r="J40" s="10"/>
      <x:c r="K40" s="7"/>
    </x:row>
    <x:row r="41" ht="54" customHeight="1">
      <x:c r="A41" s="10" t="n">
        <x:f>'Evaluation Plan'!A41</x:f>
        <x:v>39</x:v>
      </x:c>
      <x:c r="B41" s="10" t="str">
        <x:f>'Evaluation Plan'!B41</x:f>
        <x:v>Matched manipulation control</x:v>
      </x:c>
      <x:c r="C41" s="10" t="str">
        <x:f>'Evaluation Plan'!D41</x:f>
        <x:v>SR-F20</x:v>
      </x:c>
      <x:c r="D41" s="10" t="n">
        <x:f>IF('Evaluation Plan'!B41="Concept/compositional transfer","",'Evaluation Plan'!E41)</x:f>
        <x:v>38</x:v>
      </x:c>
      <x:c r="E41" s="7" t="str">
        <x:f>'Evaluation Plan'!F41</x:f>
        <x:v>Put the crushed Coke can in the bowl.</x:v>
      </x:c>
      <x:c r="F41" s="7" t="str">
        <x:f>'Evaluation Plan'!G41</x:f>
        <x:v>P1 crushed Pepsi can (UD); P2 glass spice container A (O, UD); P3 white cup B (C, UD); P4 crushed Coke can (UR) [TARGET]</x:v>
      </x:c>
      <x:c r="G41" s="10" t="str">
        <x:f>'Evaluation Plan'!H41</x:f>
        <x:v>crushed Coke can</x:v>
      </x:c>
      <x:c r="H41" s="10" t="str">
        <x:v>Not started</x:v>
      </x:c>
      <x:c r="I41" s="10"/>
      <x:c r="J41" s="10"/>
      <x:c r="K41" s="7"/>
    </x:row>
    <x:row r="42" ht="54" customHeight="1">
      <x:c r="A42" s="10" t="n">
        <x:f>'Evaluation Plan'!A42</x:f>
        <x:v>40</x:v>
      </x:c>
      <x:c r="B42" s="10" t="str">
        <x:f>'Evaluation Plan'!B42</x:f>
        <x:v>Concept/compositional transfer</x:v>
      </x:c>
      <x:c r="C42" s="10" t="str">
        <x:f>'Evaluation Plan'!D42</x:f>
        <x:v>SR-F21</x:v>
      </x:c>
      <x:c r="D42" s="10" t="str">
        <x:f>IF('Evaluation Plan'!B42="Concept/compositional transfer","",'Evaluation Plan'!E42)</x:f>
      </x:c>
      <x:c r="E42" s="7" t="str">
        <x:f>'Evaluation Plan'!F42</x:f>
        <x:v>Place the closed object in the bowl.</x:v>
      </x:c>
      <x:c r="F42" s="7" t="str">
        <x:f>'Evaluation Plan'!G42</x:f>
        <x:v>P1 yellow-white striped cup B (C, UD) [TARGET]; P2 white cup B (O, UR); P3 brown cup A (O, UD); P4 glass spice container B (O, UR)</x:v>
      </x:c>
      <x:c r="G42" s="10" t="str">
        <x:f>'Evaluation Plan'!H42</x:f>
        <x:v>yellow-white striped cup B</x:v>
      </x:c>
      <x:c r="H42" s="10" t="str">
        <x:v>Not started</x:v>
      </x:c>
      <x:c r="I42" s="10"/>
      <x:c r="J42" s="10"/>
      <x:c r="K42" s="7"/>
    </x:row>
    <x:row r="43" ht="54" customHeight="1">
      <x:c r="A43" s="10" t="n">
        <x:f>'Evaluation Plan'!A43</x:f>
        <x:v>41</x:v>
      </x:c>
      <x:c r="B43" s="10" t="str">
        <x:f>'Evaluation Plan'!B43</x:f>
        <x:v>Concept/compositional transfer</x:v>
      </x:c>
      <x:c r="C43" s="10" t="str">
        <x:f>'Evaluation Plan'!D43</x:f>
        <x:v>SR-F22</x:v>
      </x:c>
      <x:c r="D43" s="10" t="str">
        <x:f>IF('Evaluation Plan'!B43="Concept/compositional transfer","",'Evaluation Plan'!E43)</x:f>
      </x:c>
      <x:c r="E43" s="7" t="str">
        <x:f>'Evaluation Plan'!F43</x:f>
        <x:v>Put the closed object in the bowl.</x:v>
      </x:c>
      <x:c r="F43" s="7" t="str">
        <x:f>'Evaluation Plan'!G43</x:f>
        <x:v>P1 white cup B (O, UR); P2 glass spice container A (C, UR) [TARGET]; P3 yellow-white striped cup B (O, UR); P4 brown cup A (O, UD)</x:v>
      </x:c>
      <x:c r="G43" s="10" t="str">
        <x:f>'Evaluation Plan'!H43</x:f>
        <x:v>glass spice container A</x:v>
      </x:c>
      <x:c r="H43" s="10" t="str">
        <x:v>Not started</x:v>
      </x:c>
      <x:c r="I43" s="10"/>
      <x:c r="J43" s="10"/>
      <x:c r="K43" s="7"/>
    </x:row>
    <x:row r="44" ht="54" customHeight="1">
      <x:c r="A44" s="10" t="n">
        <x:f>'Evaluation Plan'!A44</x:f>
        <x:v>42</x:v>
      </x:c>
      <x:c r="B44" s="10" t="str">
        <x:f>'Evaluation Plan'!B44</x:f>
        <x:v>Concept/compositional transfer</x:v>
      </x:c>
      <x:c r="C44" s="10" t="str">
        <x:f>'Evaluation Plan'!D44</x:f>
        <x:v>SR-F23</x:v>
      </x:c>
      <x:c r="D44" s="10" t="str">
        <x:f>IF('Evaluation Plan'!B44="Concept/compositional transfer","",'Evaluation Plan'!E44)</x:f>
      </x:c>
      <x:c r="E44" s="7" t="str">
        <x:f>'Evaluation Plan'!F44</x:f>
        <x:v>Move the closed object into the bowl.</x:v>
      </x:c>
      <x:c r="F44" s="7" t="str">
        <x:f>'Evaluation Plan'!G44</x:f>
        <x:v>P1 yellow-white striped cup A (O, UD); P2 brown cup B (O, UR); P3 white cup B (C, UD) [TARGET]; P4 glass spice container B (O, UR)</x:v>
      </x:c>
      <x:c r="G44" s="10" t="str">
        <x:f>'Evaluation Plan'!H44</x:f>
        <x:v>white cup B</x:v>
      </x:c>
      <x:c r="H44" s="10" t="str">
        <x:v>Not started</x:v>
      </x:c>
      <x:c r="I44" s="10"/>
      <x:c r="J44" s="10"/>
      <x:c r="K44" s="7"/>
    </x:row>
    <x:row r="45" ht="54" customHeight="1">
      <x:c r="A45" s="10" t="n">
        <x:f>'Evaluation Plan'!A45</x:f>
        <x:v>43</x:v>
      </x:c>
      <x:c r="B45" s="10" t="str">
        <x:f>'Evaluation Plan'!B45</x:f>
        <x:v>Concept/compositional transfer</x:v>
      </x:c>
      <x:c r="C45" s="10" t="str">
        <x:f>'Evaluation Plan'!D45</x:f>
        <x:v>SR-F24</x:v>
      </x:c>
      <x:c r="D45" s="10" t="str">
        <x:f>IF('Evaluation Plan'!B45="Concept/compositional transfer","",'Evaluation Plan'!E45)</x:f>
      </x:c>
      <x:c r="E45" s="7" t="str">
        <x:f>'Evaluation Plan'!F45</x:f>
        <x:v>Place the closed object in the bowl.</x:v>
      </x:c>
      <x:c r="F45" s="7" t="str">
        <x:f>'Evaluation Plan'!G45</x:f>
        <x:v>P1 white cup B (O, UR); P2 yellow-white striped cup A (O, UD); P3 glass spice container B (O, UR); P4 brown cup A (C, UR) [TARGET]</x:v>
      </x:c>
      <x:c r="G45" s="10" t="str">
        <x:f>'Evaluation Plan'!H45</x:f>
        <x:v>brown cup A</x:v>
      </x:c>
      <x:c r="H45" s="10" t="str">
        <x:v>Not started</x:v>
      </x:c>
      <x:c r="I45" s="10"/>
      <x:c r="J45" s="10"/>
      <x:c r="K45" s="7"/>
    </x:row>
    <x:row r="46" ht="54" customHeight="1">
      <x:c r="A46" s="10" t="n">
        <x:f>'Evaluation Plan'!A46</x:f>
        <x:v>44</x:v>
      </x:c>
      <x:c r="B46" s="10" t="str">
        <x:f>'Evaluation Plan'!B46</x:f>
        <x:v>Concept/compositional transfer</x:v>
      </x:c>
      <x:c r="C46" s="10" t="str">
        <x:f>'Evaluation Plan'!D46</x:f>
        <x:v>SR-F25</x:v>
      </x:c>
      <x:c r="D46" s="10" t="str">
        <x:f>IF('Evaluation Plan'!B46="Concept/compositional transfer","",'Evaluation Plan'!E46)</x:f>
      </x:c>
      <x:c r="E46" s="7" t="str">
        <x:f>'Evaluation Plan'!F46</x:f>
        <x:v>Put the closed object in the bowl.</x:v>
      </x:c>
      <x:c r="F46" s="7" t="str">
        <x:f>'Evaluation Plan'!G46</x:f>
        <x:v>P1 yellow-white striped cup B (C, UD) [TARGET]; P2 white cup B (O, UR); P3 brown cup A (O, UD); P4 glass spice container B (O, UR)</x:v>
      </x:c>
      <x:c r="G46" s="10" t="str">
        <x:f>'Evaluation Plan'!H46</x:f>
        <x:v>yellow-white striped cup B</x:v>
      </x:c>
      <x:c r="H46" s="10" t="str">
        <x:v>Not started</x:v>
      </x:c>
      <x:c r="I46" s="10"/>
      <x:c r="J46" s="10"/>
      <x:c r="K46" s="7"/>
    </x:row>
    <x:row r="47" ht="54" customHeight="1">
      <x:c r="A47" s="10" t="n">
        <x:f>'Evaluation Plan'!A47</x:f>
        <x:v>45</x:v>
      </x:c>
      <x:c r="B47" s="10" t="str">
        <x:f>'Evaluation Plan'!B47</x:f>
        <x:v>Concept/compositional transfer</x:v>
      </x:c>
      <x:c r="C47" s="10" t="str">
        <x:f>'Evaluation Plan'!D47</x:f>
        <x:v>SR-F26</x:v>
      </x:c>
      <x:c r="D47" s="10" t="str">
        <x:f>IF('Evaluation Plan'!B47="Concept/compositional transfer","",'Evaluation Plan'!E47)</x:f>
      </x:c>
      <x:c r="E47" s="7" t="str">
        <x:f>'Evaluation Plan'!F47</x:f>
        <x:v>Move the upright object into the bowl.</x:v>
      </x:c>
      <x:c r="F47" s="7" t="str">
        <x:f>'Evaluation Plan'!G47</x:f>
        <x:v>P1 white cup B (O, UD); P2 yellow-white striped cup A (O, UR) [TARGET]; P3 brown cup B (O, UD); P4 glass spice container A (C, UD)</x:v>
      </x:c>
      <x:c r="G47" s="10" t="str">
        <x:f>'Evaluation Plan'!H47</x:f>
        <x:v>yellow-white striped cup A</x:v>
      </x:c>
      <x:c r="H47" s="10" t="str">
        <x:v>Not started</x:v>
      </x:c>
      <x:c r="I47" s="10"/>
      <x:c r="J47" s="10"/>
      <x:c r="K47" s="7"/>
    </x:row>
    <x:row r="48" ht="54" customHeight="1">
      <x:c r="A48" s="10" t="n">
        <x:f>'Evaluation Plan'!A48</x:f>
        <x:v>46</x:v>
      </x:c>
      <x:c r="B48" s="10" t="str">
        <x:f>'Evaluation Plan'!B48</x:f>
        <x:v>Concept/compositional transfer</x:v>
      </x:c>
      <x:c r="C48" s="10" t="str">
        <x:f>'Evaluation Plan'!D48</x:f>
        <x:v>SR-F27</x:v>
      </x:c>
      <x:c r="D48" s="10" t="str">
        <x:f>IF('Evaluation Plan'!B48="Concept/compositional transfer","",'Evaluation Plan'!E48)</x:f>
      </x:c>
      <x:c r="E48" s="7" t="str">
        <x:f>'Evaluation Plan'!F48</x:f>
        <x:v>Place the upright object in the bowl.</x:v>
      </x:c>
      <x:c r="F48" s="7" t="str">
        <x:f>'Evaluation Plan'!G48</x:f>
        <x:v>P1 white cup A (C, UD); P2 yellow-white striped cup B (O, UD); P3 brown cup B (C, UR) [TARGET]; P4 glass spice container B (O, UD)</x:v>
      </x:c>
      <x:c r="G48" s="10" t="str">
        <x:f>'Evaluation Plan'!H48</x:f>
        <x:v>brown cup B</x:v>
      </x:c>
      <x:c r="H48" s="10" t="str">
        <x:v>Not started</x:v>
      </x:c>
      <x:c r="I48" s="10"/>
      <x:c r="J48" s="10"/>
      <x:c r="K48" s="7"/>
    </x:row>
    <x:row r="49" ht="54" customHeight="1">
      <x:c r="A49" s="10" t="n">
        <x:f>'Evaluation Plan'!A49</x:f>
        <x:v>47</x:v>
      </x:c>
      <x:c r="B49" s="10" t="str">
        <x:f>'Evaluation Plan'!B49</x:f>
        <x:v>Concept/compositional transfer</x:v>
      </x:c>
      <x:c r="C49" s="10" t="str">
        <x:f>'Evaluation Plan'!D49</x:f>
        <x:v>SR-F28</x:v>
      </x:c>
      <x:c r="D49" s="10" t="str">
        <x:f>IF('Evaluation Plan'!B49="Concept/compositional transfer","",'Evaluation Plan'!E49)</x:f>
      </x:c>
      <x:c r="E49" s="7" t="str">
        <x:f>'Evaluation Plan'!F49</x:f>
        <x:v>Put the upright object in the bowl.</x:v>
      </x:c>
      <x:c r="F49" s="7" t="str">
        <x:f>'Evaluation Plan'!G49</x:f>
        <x:v>P1 white cup B (O, UD); P2 yellow-white striped cup A (C, UD); P3 brown cup B (O, UD); P4 glass spice container A (O, UR) [TARGET]</x:v>
      </x:c>
      <x:c r="G49" s="10" t="str">
        <x:f>'Evaluation Plan'!H49</x:f>
        <x:v>glass spice container A</x:v>
      </x:c>
      <x:c r="H49" s="10" t="str">
        <x:v>Not started</x:v>
      </x:c>
      <x:c r="I49" s="10"/>
      <x:c r="J49" s="10"/>
      <x:c r="K49" s="7"/>
    </x:row>
    <x:row r="50" ht="54" customHeight="1">
      <x:c r="A50" s="10" t="n">
        <x:f>'Evaluation Plan'!A50</x:f>
        <x:v>48</x:v>
      </x:c>
      <x:c r="B50" s="10" t="str">
        <x:f>'Evaluation Plan'!B50</x:f>
        <x:v>Concept/compositional transfer</x:v>
      </x:c>
      <x:c r="C50" s="10" t="str">
        <x:f>'Evaluation Plan'!D50</x:f>
        <x:v>SR-F29</x:v>
      </x:c>
      <x:c r="D50" s="10" t="str">
        <x:f>IF('Evaluation Plan'!B50="Concept/compositional transfer","",'Evaluation Plan'!E50)</x:f>
      </x:c>
      <x:c r="E50" s="7" t="str">
        <x:f>'Evaluation Plan'!F50</x:f>
        <x:v>Move the upright object into the bowl.</x:v>
      </x:c>
      <x:c r="F50" s="7" t="str">
        <x:f>'Evaluation Plan'!G50</x:f>
        <x:v>P1 white cup B (C, UR) [TARGET]; P2 yellow-white striped cup B (O, UD); P3 brown cup A (C, UD); P4 glass spice container B (O, UD)</x:v>
      </x:c>
      <x:c r="G50" s="10" t="str">
        <x:f>'Evaluation Plan'!H50</x:f>
        <x:v>white cup B</x:v>
      </x:c>
      <x:c r="H50" s="10" t="str">
        <x:v>Not started</x:v>
      </x:c>
      <x:c r="I50" s="10"/>
      <x:c r="J50" s="10"/>
      <x:c r="K50" s="7"/>
    </x:row>
    <x:row r="51" ht="54" customHeight="1">
      <x:c r="A51" s="10" t="n">
        <x:f>'Evaluation Plan'!A51</x:f>
        <x:v>49</x:v>
      </x:c>
      <x:c r="B51" s="10" t="str">
        <x:f>'Evaluation Plan'!B51</x:f>
        <x:v>Concept/compositional transfer</x:v>
      </x:c>
      <x:c r="C51" s="10" t="str">
        <x:f>'Evaluation Plan'!D51</x:f>
        <x:v>SR-F30</x:v>
      </x:c>
      <x:c r="D51" s="10" t="str">
        <x:f>IF('Evaluation Plan'!B51="Concept/compositional transfer","",'Evaluation Plan'!E51)</x:f>
      </x:c>
      <x:c r="E51" s="7" t="str">
        <x:f>'Evaluation Plan'!F51</x:f>
        <x:v>Place the upright object in the bowl.</x:v>
      </x:c>
      <x:c r="F51" s="7" t="str">
        <x:f>'Evaluation Plan'!G51</x:f>
        <x:v>P1 white cup B (O, UD); P2 yellow-white striped cup A (O, UR) [TARGET]; P3 brown cup B (O, UD); P4 glass spice container A (C, UD)</x:v>
      </x:c>
      <x:c r="G51" s="10" t="str">
        <x:f>'Evaluation Plan'!H51</x:f>
        <x:v>yellow-white striped cup A</x:v>
      </x:c>
      <x:c r="H51" s="10" t="str">
        <x:v>Not started</x:v>
      </x:c>
      <x:c r="I51" s="10"/>
      <x:c r="J51" s="10"/>
      <x:c r="K51" s="7"/>
    </x:row>
    <x:row r="52" ht="54" customHeight="1">
      <x:c r="A52" s="10" t="n">
        <x:f>'Evaluation Plan'!A52</x:f>
        <x:v>50</x:v>
      </x:c>
      <x:c r="B52" s="10" t="str">
        <x:f>'Evaluation Plan'!B52</x:f>
        <x:v>Concept/compositional transfer</x:v>
      </x:c>
      <x:c r="C52" s="10" t="str">
        <x:f>'Evaluation Plan'!D52</x:f>
        <x:v>SR-F31</x:v>
      </x:c>
      <x:c r="D52" s="10" t="str">
        <x:f>IF('Evaluation Plan'!B52="Concept/compositional transfer","",'Evaluation Plan'!E52)</x:f>
      </x:c>
      <x:c r="E52" s="7" t="str">
        <x:f>'Evaluation Plan'!F52</x:f>
        <x:v>Put the upside-down can in the bowl.</x:v>
      </x:c>
      <x:c r="F52" s="7" t="str">
        <x:f>'Evaluation Plan'!G52</x:f>
        <x:v>P1 crushed Coke can (UR); P2 glass spice container A (O, UR); P3 crushed Pepsi can (UD) [TARGET]; P4 white cup A (O, UR)</x:v>
      </x:c>
      <x:c r="G52" s="10" t="str">
        <x:f>'Evaluation Plan'!H52</x:f>
        <x:v>crushed Pepsi can</x:v>
      </x:c>
      <x:c r="H52" s="10" t="str">
        <x:v>Not started</x:v>
      </x:c>
      <x:c r="I52" s="10"/>
      <x:c r="J52" s="10"/>
      <x:c r="K52" s="7"/>
    </x:row>
    <x:row r="53" ht="54" customHeight="1">
      <x:c r="A53" s="10" t="n">
        <x:f>'Evaluation Plan'!A53</x:f>
        <x:v>51</x:v>
      </x:c>
      <x:c r="B53" s="10" t="str">
        <x:f>'Evaluation Plan'!B53</x:f>
        <x:v>Concept/compositional transfer</x:v>
      </x:c>
      <x:c r="C53" s="10" t="str">
        <x:f>'Evaluation Plan'!D53</x:f>
        <x:v>SR-F32</x:v>
      </x:c>
      <x:c r="D53" s="10" t="str">
        <x:f>IF('Evaluation Plan'!B53="Concept/compositional transfer","",'Evaluation Plan'!E53)</x:f>
      </x:c>
      <x:c r="E53" s="7" t="str">
        <x:f>'Evaluation Plan'!F53</x:f>
        <x:v>Move the upside-down can into the bowl.</x:v>
      </x:c>
      <x:c r="F53" s="7" t="str">
        <x:f>'Evaluation Plan'!G53</x:f>
        <x:v>P1 crushed Pepsi can (UR); P2 white cup B (C, UR); P3 yellow-white striped cup A (O, UR); P4 crushed Coke can (UD) [TARGET]</x:v>
      </x:c>
      <x:c r="G53" s="10" t="str">
        <x:f>'Evaluation Plan'!H53</x:f>
        <x:v>crushed Coke can</x:v>
      </x:c>
      <x:c r="H53" s="10" t="str">
        <x:v>Not started</x:v>
      </x:c>
      <x:c r="I53" s="10"/>
      <x:c r="J53" s="10"/>
      <x:c r="K53" s="7"/>
    </x:row>
    <x:row r="54" ht="54" customHeight="1">
      <x:c r="A54" s="10" t="n">
        <x:f>'Evaluation Plan'!A54</x:f>
        <x:v>52</x:v>
      </x:c>
      <x:c r="B54" s="10" t="str">
        <x:f>'Evaluation Plan'!B54</x:f>
        <x:v>Concept/compositional transfer</x:v>
      </x:c>
      <x:c r="C54" s="10" t="str">
        <x:f>'Evaluation Plan'!D54</x:f>
        <x:v>SR-F33</x:v>
      </x:c>
      <x:c r="D54" s="10" t="str">
        <x:f>IF('Evaluation Plan'!B54="Concept/compositional transfer","",'Evaluation Plan'!E54)</x:f>
      </x:c>
      <x:c r="E54" s="7" t="str">
        <x:f>'Evaluation Plan'!F54</x:f>
        <x:v>Place the upside-down can in the bowl.</x:v>
      </x:c>
      <x:c r="F54" s="7" t="str">
        <x:f>'Evaluation Plan'!G54</x:f>
        <x:v>P1 crushed Pepsi can (UD) [TARGET]; P2 crushed Coke can (UR); P3 yellow-white striped cup B (C, UR); P4 brown cup A (O, UR)</x:v>
      </x:c>
      <x:c r="G54" s="10" t="str">
        <x:f>'Evaluation Plan'!H54</x:f>
        <x:v>crushed Pepsi can</x:v>
      </x:c>
      <x:c r="H54" s="10" t="str">
        <x:v>Not started</x:v>
      </x:c>
      <x:c r="I54" s="10"/>
      <x:c r="J54" s="10"/>
      <x:c r="K54" s="7"/>
    </x:row>
    <x:row r="55" ht="54" customHeight="1">
      <x:c r="A55" s="10" t="n">
        <x:f>'Evaluation Plan'!A55</x:f>
        <x:v>53</x:v>
      </x:c>
      <x:c r="B55" s="10" t="str">
        <x:f>'Evaluation Plan'!B55</x:f>
        <x:v>Concept/compositional transfer</x:v>
      </x:c>
      <x:c r="C55" s="10" t="str">
        <x:f>'Evaluation Plan'!D55</x:f>
        <x:v>SR-F34</x:v>
      </x:c>
      <x:c r="D55" s="10" t="str">
        <x:f>IF('Evaluation Plan'!B55="Concept/compositional transfer","",'Evaluation Plan'!E55)</x:f>
      </x:c>
      <x:c r="E55" s="7" t="str">
        <x:f>'Evaluation Plan'!F55</x:f>
        <x:v>Put the upside-down can in the bowl.</x:v>
      </x:c>
      <x:c r="F55" s="7" t="str">
        <x:f>'Evaluation Plan'!G55</x:f>
        <x:v>P1 crushed Pepsi can (UR); P2 crushed Coke can (UD) [TARGET]; P3 brown cup A (O, UR); P4 glass spice container B (C, UR)</x:v>
      </x:c>
      <x:c r="G55" s="10" t="str">
        <x:f>'Evaluation Plan'!H55</x:f>
        <x:v>crushed Coke can</x:v>
      </x:c>
      <x:c r="H55" s="10" t="str">
        <x:v>Not started</x:v>
      </x:c>
      <x:c r="I55" s="10"/>
      <x:c r="J55" s="10"/>
      <x:c r="K55" s="7"/>
    </x:row>
    <x:row r="56" ht="54" customHeight="1">
      <x:c r="A56" s="10" t="n">
        <x:f>'Evaluation Plan'!A56</x:f>
        <x:v>54</x:v>
      </x:c>
      <x:c r="B56" s="10" t="str">
        <x:f>'Evaluation Plan'!B56</x:f>
        <x:v>Concept/compositional transfer</x:v>
      </x:c>
      <x:c r="C56" s="10" t="str">
        <x:f>'Evaluation Plan'!D56</x:f>
        <x:v>SR-F35</x:v>
      </x:c>
      <x:c r="D56" s="10" t="str">
        <x:f>IF('Evaluation Plan'!B56="Concept/compositional transfer","",'Evaluation Plan'!E56)</x:f>
      </x:c>
      <x:c r="E56" s="7" t="str">
        <x:f>'Evaluation Plan'!F56</x:f>
        <x:v>Move the upside-down can into the bowl.</x:v>
      </x:c>
      <x:c r="F56" s="7" t="str">
        <x:f>'Evaluation Plan'!G56</x:f>
        <x:v>P1 crushed Coke can (UR); P2 glass spice container A (O, UR); P3 crushed Pepsi can (UD) [TARGET]; P4 white cup A (O, UR)</x:v>
      </x:c>
      <x:c r="G56" s="10" t="str">
        <x:f>'Evaluation Plan'!H56</x:f>
        <x:v>crushed Pepsi can</x:v>
      </x:c>
      <x:c r="H56" s="10" t="str">
        <x:v>Not started</x:v>
      </x:c>
      <x:c r="I56" s="10"/>
      <x:c r="J56" s="10"/>
      <x:c r="K56" s="7"/>
    </x:row>
    <x:row r="57" ht="54" customHeight="1">
      <x:c r="A57" s="10" t="n">
        <x:f>'Evaluation Plan'!A57</x:f>
        <x:v>55</x:v>
      </x:c>
      <x:c r="B57" s="10" t="str">
        <x:f>'Evaluation Plan'!B57</x:f>
        <x:v>Concept/compositional transfer</x:v>
      </x:c>
      <x:c r="C57" s="10" t="str">
        <x:f>'Evaluation Plan'!D57</x:f>
        <x:v>SR-F36</x:v>
      </x:c>
      <x:c r="D57" s="10" t="str">
        <x:f>IF('Evaluation Plan'!B57="Concept/compositional transfer","",'Evaluation Plan'!E57)</x:f>
      </x:c>
      <x:c r="E57" s="7" t="str">
        <x:f>'Evaluation Plan'!F57</x:f>
        <x:v>Place the open object in the bowl.</x:v>
      </x:c>
      <x:c r="F57" s="7" t="str">
        <x:f>'Evaluation Plan'!G57</x:f>
        <x:v>P1 yellow-white striped cup B (C, UR); P2 brown cup A (C, UD); P3 glass spice container B (C, UR); P4 white cup A (O, UR) [TARGET]</x:v>
      </x:c>
      <x:c r="G57" s="10" t="str">
        <x:f>'Evaluation Plan'!H57</x:f>
        <x:v>white cup A</x:v>
      </x:c>
      <x:c r="H57" s="10" t="str">
        <x:v>Not started</x:v>
      </x:c>
      <x:c r="I57" s="10"/>
      <x:c r="J57" s="10"/>
      <x:c r="K57" s="7"/>
    </x:row>
    <x:row r="58" ht="54" customHeight="1">
      <x:c r="A58" s="10" t="n">
        <x:f>'Evaluation Plan'!A58</x:f>
        <x:v>56</x:v>
      </x:c>
      <x:c r="B58" s="10" t="str">
        <x:f>'Evaluation Plan'!B58</x:f>
        <x:v>Concept/compositional transfer</x:v>
      </x:c>
      <x:c r="C58" s="10" t="str">
        <x:f>'Evaluation Plan'!D58</x:f>
        <x:v>SR-F37</x:v>
      </x:c>
      <x:c r="D58" s="10" t="str">
        <x:f>IF('Evaluation Plan'!B58="Concept/compositional transfer","",'Evaluation Plan'!E58)</x:f>
      </x:c>
      <x:c r="E58" s="7" t="str">
        <x:f>'Evaluation Plan'!F58</x:f>
        <x:v>Put the open object in the bowl.</x:v>
      </x:c>
      <x:c r="F58" s="7" t="str">
        <x:f>'Evaluation Plan'!G58</x:f>
        <x:v>P1 yellow-white striped cup B (O, UD) [TARGET]; P2 white cup B (C, UR); P3 brown cup A (C, UD); P4 glass spice container B (C, UR)</x:v>
      </x:c>
      <x:c r="G58" s="10" t="str">
        <x:f>'Evaluation Plan'!H58</x:f>
        <x:v>yellow-white striped cup B</x:v>
      </x:c>
      <x:c r="H58" s="10" t="str">
        <x:v>Not started</x:v>
      </x:c>
      <x:c r="I58" s="10"/>
      <x:c r="J58" s="10"/>
      <x:c r="K58" s="7"/>
    </x:row>
    <x:row r="59" ht="54" customHeight="1">
      <x:c r="A59" s="10" t="n">
        <x:f>'Evaluation Plan'!A59</x:f>
        <x:v>57</x:v>
      </x:c>
      <x:c r="B59" s="10" t="str">
        <x:f>'Evaluation Plan'!B59</x:f>
        <x:v>Concept/compositional transfer</x:v>
      </x:c>
      <x:c r="C59" s="10" t="str">
        <x:f>'Evaluation Plan'!D59</x:f>
        <x:v>SR-F38</x:v>
      </x:c>
      <x:c r="D59" s="10" t="str">
        <x:f>IF('Evaluation Plan'!B59="Concept/compositional transfer","",'Evaluation Plan'!E59)</x:f>
      </x:c>
      <x:c r="E59" s="7" t="str">
        <x:f>'Evaluation Plan'!F59</x:f>
        <x:v>Move the open object into the bowl.</x:v>
      </x:c>
      <x:c r="F59" s="7" t="str">
        <x:f>'Evaluation Plan'!G59</x:f>
        <x:v>P1 white cup B (C, UR); P2 brown cup A (O, UR) [TARGET]; P3 yellow-white striped cup B (C, UR); P4 glass spice container A (C, UD)</x:v>
      </x:c>
      <x:c r="G59" s="10" t="str">
        <x:f>'Evaluation Plan'!H59</x:f>
        <x:v>brown cup A</x:v>
      </x:c>
      <x:c r="H59" s="10" t="str">
        <x:v>Not started</x:v>
      </x:c>
      <x:c r="I59" s="10"/>
      <x:c r="J59" s="10"/>
      <x:c r="K59" s="7"/>
    </x:row>
    <x:row r="60" ht="54" customHeight="1">
      <x:c r="A60" s="10" t="n">
        <x:f>'Evaluation Plan'!A60</x:f>
        <x:v>58</x:v>
      </x:c>
      <x:c r="B60" s="10" t="str">
        <x:f>'Evaluation Plan'!B60</x:f>
        <x:v>Concept/compositional transfer</x:v>
      </x:c>
      <x:c r="C60" s="10" t="str">
        <x:f>'Evaluation Plan'!D60</x:f>
        <x:v>SR-F39</x:v>
      </x:c>
      <x:c r="D60" s="10" t="str">
        <x:f>IF('Evaluation Plan'!B60="Concept/compositional transfer","",'Evaluation Plan'!E60)</x:f>
      </x:c>
      <x:c r="E60" s="7" t="str">
        <x:f>'Evaluation Plan'!F60</x:f>
        <x:v>Place the open object in the bowl.</x:v>
      </x:c>
      <x:c r="F60" s="7" t="str">
        <x:f>'Evaluation Plan'!G60</x:f>
        <x:v>P1 white cup A (C, UD); P2 yellow-white striped cup B (C, UR); P3 glass spice container B (O, UD) [TARGET]; P4 brown cup B (C, UR)</x:v>
      </x:c>
      <x:c r="G60" s="10" t="str">
        <x:f>'Evaluation Plan'!H60</x:f>
        <x:v>glass spice container B</x:v>
      </x:c>
      <x:c r="H60" s="10" t="str">
        <x:v>Not started</x:v>
      </x:c>
      <x:c r="I60" s="10"/>
      <x:c r="J60" s="10"/>
      <x:c r="K60" s="7"/>
    </x:row>
    <x:row r="61" ht="54" customHeight="1">
      <x:c r="A61" s="10" t="n">
        <x:f>'Evaluation Plan'!A61</x:f>
        <x:v>59</x:v>
      </x:c>
      <x:c r="B61" s="10" t="str">
        <x:f>'Evaluation Plan'!B61</x:f>
        <x:v>Concept/compositional transfer</x:v>
      </x:c>
      <x:c r="C61" s="10" t="str">
        <x:f>'Evaluation Plan'!D61</x:f>
        <x:v>SR-F40</x:v>
      </x:c>
      <x:c r="D61" s="10" t="str">
        <x:f>IF('Evaluation Plan'!B61="Concept/compositional transfer","",'Evaluation Plan'!E61)</x:f>
      </x:c>
      <x:c r="E61" s="7" t="str">
        <x:f>'Evaluation Plan'!F61</x:f>
        <x:v>Put the open object in the bowl.</x:v>
      </x:c>
      <x:c r="F61" s="7" t="str">
        <x:f>'Evaluation Plan'!G61</x:f>
        <x:v>P1 yellow-white striped cup B (C, UR); P2 brown cup A (C, UD); P3 glass spice container B (C, UR); P4 white cup A (O, UR) [TARGET]</x:v>
      </x:c>
      <x:c r="G61" s="10" t="str">
        <x:f>'Evaluation Plan'!H61</x:f>
        <x:v>white cup A</x:v>
      </x:c>
      <x:c r="H61" s="10" t="str">
        <x:v>Not started</x:v>
      </x:c>
      <x:c r="I61" s="10"/>
      <x:c r="J61" s="10"/>
      <x:c r="K61" s="7"/>
    </x:row>
    <x:row r="62" ht="54" customHeight="1">
      <x:c r="A62" s="10" t="n">
        <x:f>'Evaluation Plan'!A62</x:f>
        <x:v>60</x:v>
      </x:c>
      <x:c r="B62" s="10" t="str">
        <x:f>'Evaluation Plan'!B62</x:f>
        <x:v>Concept/compositional transfer</x:v>
      </x:c>
      <x:c r="C62" s="10" t="str">
        <x:f>'Evaluation Plan'!D62</x:f>
        <x:v>SR-F41</x:v>
      </x:c>
      <x:c r="D62" s="10" t="str">
        <x:f>IF('Evaluation Plan'!B62="Concept/compositional transfer","",'Evaluation Plan'!E62)</x:f>
      </x:c>
      <x:c r="E62" s="7" t="str">
        <x:f>'Evaluation Plan'!F62</x:f>
        <x:v>Move the open object into the bowl.</x:v>
      </x:c>
      <x:c r="F62" s="7" t="str">
        <x:f>'Evaluation Plan'!G62</x:f>
        <x:v>P1 yellow-white striped cup B (O, UD) [TARGET]; P2 white cup B (C, UR); P3 brown cup A (C, UD); P4 glass spice container B (C, UR)</x:v>
      </x:c>
      <x:c r="G62" s="10" t="str">
        <x:f>'Evaluation Plan'!H62</x:f>
        <x:v>yellow-white striped cup B</x:v>
      </x:c>
      <x:c r="H62" s="10" t="str">
        <x:v>Not started</x:v>
      </x:c>
      <x:c r="I62" s="10"/>
      <x:c r="J62" s="10"/>
      <x:c r="K62" s="7"/>
    </x:row>
    <x:row r="63" ht="54" customHeight="1">
      <x:c r="A63" s="10" t="n">
        <x:f>'Evaluation Plan'!A63</x:f>
        <x:v>61</x:v>
      </x:c>
      <x:c r="B63" s="10" t="str">
        <x:f>'Evaluation Plan'!B63</x:f>
        <x:v>Concept/compositional transfer</x:v>
      </x:c>
      <x:c r="C63" s="10" t="str">
        <x:f>'Evaluation Plan'!D63</x:f>
        <x:v>SR-F42</x:v>
      </x:c>
      <x:c r="D63" s="10" t="str">
        <x:f>IF('Evaluation Plan'!B63="Concept/compositional transfer","",'Evaluation Plan'!E63)</x:f>
      </x:c>
      <x:c r="E63" s="7" t="str">
        <x:f>'Evaluation Plan'!F63</x:f>
        <x:v>Place the open object in the bowl.</x:v>
      </x:c>
      <x:c r="F63" s="7" t="str">
        <x:f>'Evaluation Plan'!G63</x:f>
        <x:v>P1 white cup B (C, UR); P2 brown cup A (O, UR) [TARGET]; P3 yellow-white striped cup B (C, UR); P4 glass spice container A (C, UD)</x:v>
      </x:c>
      <x:c r="G63" s="10" t="str">
        <x:f>'Evaluation Plan'!H63</x:f>
        <x:v>brown cup A</x:v>
      </x:c>
      <x:c r="H63" s="10" t="str">
        <x:v>Not started</x:v>
      </x:c>
      <x:c r="I63" s="10"/>
      <x:c r="J63" s="10"/>
      <x:c r="K63" s="7"/>
    </x:row>
    <x:row r="64" ht="54" customHeight="1">
      <x:c r="A64" s="10" t="n">
        <x:f>'Evaluation Plan'!A64</x:f>
        <x:v>62</x:v>
      </x:c>
      <x:c r="B64" s="10" t="str">
        <x:f>'Evaluation Plan'!B64</x:f>
        <x:v>Concept/compositional transfer</x:v>
      </x:c>
      <x:c r="C64" s="10" t="str">
        <x:f>'Evaluation Plan'!D64</x:f>
        <x:v>SR-F43</x:v>
      </x:c>
      <x:c r="D64" s="10" t="str">
        <x:f>IF('Evaluation Plan'!B64="Concept/compositional transfer","",'Evaluation Plan'!E64)</x:f>
      </x:c>
      <x:c r="E64" s="7" t="str">
        <x:f>'Evaluation Plan'!F64</x:f>
        <x:v>Put the open object in the bowl.</x:v>
      </x:c>
      <x:c r="F64" s="7" t="str">
        <x:f>'Evaluation Plan'!G64</x:f>
        <x:v>P1 white cup A (C, UD); P2 yellow-white striped cup B (C, UR); P3 glass spice container B (O, UD) [TARGET]; P4 brown cup B (C, UR)</x:v>
      </x:c>
      <x:c r="G64" s="10" t="str">
        <x:f>'Evaluation Plan'!H64</x:f>
        <x:v>glass spice container B</x:v>
      </x:c>
      <x:c r="H64" s="10" t="str">
        <x:v>Not started</x:v>
      </x:c>
      <x:c r="I64" s="10"/>
      <x:c r="J64" s="10"/>
      <x:c r="K64" s="7"/>
    </x:row>
    <x:row r="65" ht="54" customHeight="1">
      <x:c r="A65" s="10" t="n">
        <x:f>'Evaluation Plan'!A65</x:f>
        <x:v>63</x:v>
      </x:c>
      <x:c r="B65" s="10" t="str">
        <x:f>'Evaluation Plan'!B65</x:f>
        <x:v>Concept/compositional transfer</x:v>
      </x:c>
      <x:c r="C65" s="10" t="str">
        <x:f>'Evaluation Plan'!D65</x:f>
        <x:v>SR-F44</x:v>
      </x:c>
      <x:c r="D65" s="10" t="str">
        <x:f>IF('Evaluation Plan'!B65="Concept/compositional transfer","",'Evaluation Plan'!E65)</x:f>
      </x:c>
      <x:c r="E65" s="7" t="str">
        <x:f>'Evaluation Plan'!F65</x:f>
        <x:v>Move the open object into the bowl.</x:v>
      </x:c>
      <x:c r="F65" s="7" t="str">
        <x:f>'Evaluation Plan'!G65</x:f>
        <x:v>P1 yellow-white striped cup B (C, UR); P2 brown cup A (C, UD); P3 glass spice container B (C, UR); P4 white cup A (O, UR) [TARGET]</x:v>
      </x:c>
      <x:c r="G65" s="10" t="str">
        <x:f>'Evaluation Plan'!H65</x:f>
        <x:v>white cup A</x:v>
      </x:c>
      <x:c r="H65" s="10" t="str">
        <x:v>Not started</x:v>
      </x:c>
      <x:c r="I65" s="10"/>
      <x:c r="J65" s="10"/>
      <x:c r="K65" s="7"/>
    </x:row>
    <x:row r="66" ht="54" customHeight="1">
      <x:c r="A66" s="10" t="n">
        <x:f>'Evaluation Plan'!A66</x:f>
        <x:v>64</x:v>
      </x:c>
      <x:c r="B66" s="10" t="str">
        <x:f>'Evaluation Plan'!B66</x:f>
        <x:v>Concept/compositional transfer</x:v>
      </x:c>
      <x:c r="C66" s="10" t="str">
        <x:f>'Evaluation Plan'!D66</x:f>
        <x:v>SR-F45</x:v>
      </x:c>
      <x:c r="D66" s="10" t="str">
        <x:f>IF('Evaluation Plan'!B66="Concept/compositional transfer","",'Evaluation Plan'!E66)</x:f>
      </x:c>
      <x:c r="E66" s="7" t="str">
        <x:f>'Evaluation Plan'!F66</x:f>
        <x:v>Place the open object in the bowl.</x:v>
      </x:c>
      <x:c r="F66" s="7" t="str">
        <x:f>'Evaluation Plan'!G66</x:f>
        <x:v>P1 brown cup B (O, UD) [TARGET]; P2 white cup B (C, UR); P3 yellow-white striped cup A (C, UD); P4 glass spice container B (C, UR)</x:v>
      </x:c>
      <x:c r="G66" s="10" t="str">
        <x:f>'Evaluation Plan'!H66</x:f>
        <x:v>brown cup B</x:v>
      </x:c>
      <x:c r="H66" s="10" t="str">
        <x:v>Not started</x:v>
      </x:c>
      <x:c r="I66" s="10"/>
      <x:c r="J66" s="10"/>
      <x:c r="K66" s="7"/>
    </x:row>
    <x:row r="67" ht="54" customHeight="1">
      <x:c r="A67" s="10" t="n">
        <x:f>'Evaluation Plan'!A67</x:f>
        <x:v>65</x:v>
      </x:c>
      <x:c r="B67" s="10" t="str">
        <x:f>'Evaluation Plan'!B67</x:f>
        <x:v>Concept/compositional transfer</x:v>
      </x:c>
      <x:c r="C67" s="10" t="str">
        <x:f>'Evaluation Plan'!D67</x:f>
        <x:v>SR-F46</x:v>
      </x:c>
      <x:c r="D67" s="10" t="str">
        <x:f>IF('Evaluation Plan'!B67="Concept/compositional transfer","",'Evaluation Plan'!E67)</x:f>
      </x:c>
      <x:c r="E67" s="7" t="str">
        <x:f>'Evaluation Plan'!F67</x:f>
        <x:v>Put the upside-down object in the bowl.</x:v>
      </x:c>
      <x:c r="F67" s="7" t="str">
        <x:f>'Evaluation Plan'!G67</x:f>
        <x:v>P1 white cup B (O, UR); P2 glass spice container A (O, UD) [TARGET]; P3 yellow-white striped cup B (O, UR); P4 brown cup A (C, UR)</x:v>
      </x:c>
      <x:c r="G67" s="10" t="str">
        <x:f>'Evaluation Plan'!H67</x:f>
        <x:v>glass spice container A</x:v>
      </x:c>
      <x:c r="H67" s="10" t="str">
        <x:v>Not started</x:v>
      </x:c>
      <x:c r="I67" s="10"/>
      <x:c r="J67" s="10"/>
      <x:c r="K67" s="7"/>
    </x:row>
    <x:row r="68" ht="54" customHeight="1">
      <x:c r="A68" s="10" t="n">
        <x:f>'Evaluation Plan'!A68</x:f>
        <x:v>66</x:v>
      </x:c>
      <x:c r="B68" s="10" t="str">
        <x:f>'Evaluation Plan'!B68</x:f>
        <x:v>Concept/compositional transfer</x:v>
      </x:c>
      <x:c r="C68" s="10" t="str">
        <x:f>'Evaluation Plan'!D68</x:f>
        <x:v>SR-F47</x:v>
      </x:c>
      <x:c r="D68" s="10" t="str">
        <x:f>IF('Evaluation Plan'!B68="Concept/compositional transfer","",'Evaluation Plan'!E68)</x:f>
      </x:c>
      <x:c r="E68" s="7" t="str">
        <x:f>'Evaluation Plan'!F68</x:f>
        <x:v>Move the upside-down object into the bowl.</x:v>
      </x:c>
      <x:c r="F68" s="7" t="str">
        <x:f>'Evaluation Plan'!G68</x:f>
        <x:v>P1 yellow-white striped cup A (C, UR); P2 brown cup B (O, UR); P3 white cup B (C, UD) [TARGET]; P4 glass spice container B (O, UR)</x:v>
      </x:c>
      <x:c r="G68" s="10" t="str">
        <x:f>'Evaluation Plan'!H68</x:f>
        <x:v>white cup B</x:v>
      </x:c>
      <x:c r="H68" s="10" t="str">
        <x:v>Not started</x:v>
      </x:c>
      <x:c r="I68" s="10"/>
      <x:c r="J68" s="10"/>
      <x:c r="K68" s="7"/>
    </x:row>
    <x:row r="69" ht="54" customHeight="1">
      <x:c r="A69" s="10" t="n">
        <x:f>'Evaluation Plan'!A69</x:f>
        <x:v>67</x:v>
      </x:c>
      <x:c r="B69" s="10" t="str">
        <x:f>'Evaluation Plan'!B69</x:f>
        <x:v>Concept/compositional transfer</x:v>
      </x:c>
      <x:c r="C69" s="10" t="str">
        <x:f>'Evaluation Plan'!D69</x:f>
        <x:v>SR-F48</x:v>
      </x:c>
      <x:c r="D69" s="10" t="str">
        <x:f>IF('Evaluation Plan'!B69="Concept/compositional transfer","",'Evaluation Plan'!E69)</x:f>
      </x:c>
      <x:c r="E69" s="7" t="str">
        <x:f>'Evaluation Plan'!F69</x:f>
        <x:v>Place the upside-down object in the bowl.</x:v>
      </x:c>
      <x:c r="F69" s="7" t="str">
        <x:f>'Evaluation Plan'!G69</x:f>
        <x:v>P1 white cup B (O, UR); P2 brown cup A (C, UR); P3 glass spice container B (O, UR); P4 yellow-white striped cup A (O, UD) [TARGET]</x:v>
      </x:c>
      <x:c r="G69" s="10" t="str">
        <x:f>'Evaluation Plan'!H69</x:f>
        <x:v>yellow-white striped cup A</x:v>
      </x:c>
      <x:c r="H69" s="10" t="str">
        <x:v>Not started</x:v>
      </x:c>
      <x:c r="I69" s="10"/>
      <x:c r="J69" s="10"/>
      <x:c r="K69" s="7"/>
    </x:row>
    <x:row r="70" ht="54" customHeight="1">
      <x:c r="A70" s="10" t="n">
        <x:f>'Evaluation Plan'!A70</x:f>
        <x:v>68</x:v>
      </x:c>
      <x:c r="B70" s="10" t="str">
        <x:f>'Evaluation Plan'!B70</x:f>
        <x:v>Concept/compositional transfer</x:v>
      </x:c>
      <x:c r="C70" s="10" t="str">
        <x:f>'Evaluation Plan'!D70</x:f>
        <x:v>SR-F49</x:v>
      </x:c>
      <x:c r="D70" s="10" t="str">
        <x:f>IF('Evaluation Plan'!B70="Concept/compositional transfer","",'Evaluation Plan'!E70)</x:f>
      </x:c>
      <x:c r="E70" s="7" t="str">
        <x:f>'Evaluation Plan'!F70</x:f>
        <x:v>Put the upside-down object in the bowl.</x:v>
      </x:c>
      <x:c r="F70" s="7" t="str">
        <x:f>'Evaluation Plan'!G70</x:f>
        <x:v>P1 brown cup B (C, UD) [TARGET]; P2 white cup B (O, UR); P3 yellow-white striped cup A (C, UR); P4 glass spice container B (O, UR)</x:v>
      </x:c>
      <x:c r="G70" s="10" t="str">
        <x:f>'Evaluation Plan'!H70</x:f>
        <x:v>brown cup B</x:v>
      </x:c>
      <x:c r="H70" s="10" t="str">
        <x:v>Not started</x:v>
      </x:c>
      <x:c r="I70" s="10"/>
      <x:c r="J70" s="10"/>
      <x:c r="K70" s="7"/>
    </x:row>
    <x:row r="71" ht="54" customHeight="1">
      <x:c r="A71" s="10" t="n">
        <x:f>'Evaluation Plan'!A71</x:f>
        <x:v>69</x:v>
      </x:c>
      <x:c r="B71" s="10" t="str">
        <x:f>'Evaluation Plan'!B71</x:f>
        <x:v>Concept/compositional transfer</x:v>
      </x:c>
      <x:c r="C71" s="10" t="str">
        <x:f>'Evaluation Plan'!D71</x:f>
        <x:v>SR-F50</x:v>
      </x:c>
      <x:c r="D71" s="10" t="str">
        <x:f>IF('Evaluation Plan'!B71="Concept/compositional transfer","",'Evaluation Plan'!E71)</x:f>
      </x:c>
      <x:c r="E71" s="7" t="str">
        <x:f>'Evaluation Plan'!F71</x:f>
        <x:v>Move the upside-down object into the bowl.</x:v>
      </x:c>
      <x:c r="F71" s="7" t="str">
        <x:f>'Evaluation Plan'!G71</x:f>
        <x:v>P1 white cup B (O, UR); P2 glass spice container A (O, UD) [TARGET]; P3 yellow-white striped cup B (O, UR); P4 brown cup A (C, UR)</x:v>
      </x:c>
      <x:c r="G71" s="10" t="str">
        <x:f>'Evaluation Plan'!H71</x:f>
        <x:v>glass spice container A</x:v>
      </x:c>
      <x:c r="H71" s="10" t="str">
        <x:v>Not started</x:v>
      </x:c>
      <x:c r="I71" s="10"/>
      <x:c r="J71" s="10"/>
      <x:c r="K71" s="7"/>
    </x:row>
    <x:row r="72" ht="54" customHeight="1">
      <x:c r="A72" s="10" t="n">
        <x:f>'Evaluation Plan'!A72</x:f>
        <x:v>70</x:v>
      </x:c>
      <x:c r="B72" s="10" t="str">
        <x:f>'Evaluation Plan'!B72</x:f>
        <x:v>Visual generalization</x:v>
      </x:c>
      <x:c r="C72" s="10" t="str">
        <x:f>'Evaluation Plan'!D72</x:f>
        <x:v>SR-F01</x:v>
      </x:c>
      <x:c r="D72" s="10" t="n">
        <x:f>IF('Evaluation Plan'!B72="Concept/compositional transfer","",'Evaluation Plan'!E72)</x:f>
        <x:v>0</x:v>
      </x:c>
      <x:c r="E72" s="7" t="str">
        <x:f>'Evaluation Plan'!F72</x:f>
        <x:v>Place the closed object in the bowl.</x:v>
      </x:c>
      <x:c r="F72" s="7" t="str">
        <x:f>'Evaluation Plan'!G72</x:f>
        <x:v>P1 U1 (see Object Inventory) (C, UR) [TARGET]; P2 U2 (see Object Inventory) (O, UD); P3 brown cup A (O, UR); P4 glass spice container B (O, UD)</x:v>
      </x:c>
      <x:c r="G72" s="10" t="str">
        <x:f>'Evaluation Plan'!H72</x:f>
        <x:v>U1</x:v>
      </x:c>
      <x:c r="H72" s="10" t="str">
        <x:v>Not started</x:v>
      </x:c>
      <x:c r="I72" s="10"/>
      <x:c r="J72" s="10"/>
      <x:c r="K72" s="7"/>
    </x:row>
    <x:row r="73" ht="54" customHeight="1">
      <x:c r="A73" s="10" t="n">
        <x:f>'Evaluation Plan'!A73</x:f>
        <x:v>71</x:v>
      </x:c>
      <x:c r="B73" s="10" t="str">
        <x:f>'Evaluation Plan'!B73</x:f>
        <x:v>Visual generalization</x:v>
      </x:c>
      <x:c r="C73" s="10" t="str">
        <x:f>'Evaluation Plan'!D73</x:f>
        <x:v>SR-F02</x:v>
      </x:c>
      <x:c r="D73" s="10" t="n">
        <x:f>IF('Evaluation Plan'!B73="Concept/compositional transfer","",'Evaluation Plan'!E73)</x:f>
        <x:v>2</x:v>
      </x:c>
      <x:c r="E73" s="7" t="str">
        <x:f>'Evaluation Plan'!F73</x:f>
        <x:v>Put the closed object in the bowl.</x:v>
      </x:c>
      <x:c r="F73" s="7" t="str">
        <x:f>'Evaluation Plan'!G73</x:f>
        <x:v>P1 U1 (see Object Inventory) (O, UR); P2 U2 (see Object Inventory) (C, UD) [TARGET]; P3 glass spice container B (O, UD); P4 white cup A (O, UR)</x:v>
      </x:c>
      <x:c r="G73" s="10" t="str">
        <x:f>'Evaluation Plan'!H73</x:f>
        <x:v>U2</x:v>
      </x:c>
      <x:c r="H73" s="10" t="str">
        <x:v>Not started</x:v>
      </x:c>
      <x:c r="I73" s="10"/>
      <x:c r="J73" s="10"/>
      <x:c r="K73" s="7"/>
    </x:row>
    <x:row r="74" ht="54" customHeight="1">
      <x:c r="A74" s="10" t="n">
        <x:f>'Evaluation Plan'!A74</x:f>
        <x:v>72</x:v>
      </x:c>
      <x:c r="B74" s="10" t="str">
        <x:f>'Evaluation Plan'!B74</x:f>
        <x:v>Visual generalization</x:v>
      </x:c>
      <x:c r="C74" s="10" t="str">
        <x:f>'Evaluation Plan'!D74</x:f>
        <x:v>SR-F03</x:v>
      </x:c>
      <x:c r="D74" s="10" t="n">
        <x:f>IF('Evaluation Plan'!B74="Concept/compositional transfer","",'Evaluation Plan'!E74)</x:f>
        <x:v>4</x:v>
      </x:c>
      <x:c r="E74" s="7" t="str">
        <x:f>'Evaluation Plan'!F74</x:f>
        <x:v>Move the closed object into the bowl.</x:v>
      </x:c>
      <x:c r="F74" s="7" t="str">
        <x:f>'Evaluation Plan'!G74</x:f>
        <x:v>P1 U2 (see Object Inventory) (O, UD); P2 glass spice container B (O, UD); P3 U1 (see Object Inventory) (C, UR) [TARGET]; P4 yellow-white striped cup B (O, UD)</x:v>
      </x:c>
      <x:c r="G74" s="10" t="str">
        <x:f>'Evaluation Plan'!H74</x:f>
        <x:v>U1</x:v>
      </x:c>
      <x:c r="H74" s="10" t="str">
        <x:v>Not started</x:v>
      </x:c>
      <x:c r="I74" s="10"/>
      <x:c r="J74" s="10"/>
      <x:c r="K74" s="7"/>
    </x:row>
    <x:row r="75" ht="54" customHeight="1">
      <x:c r="A75" s="10" t="n">
        <x:f>'Evaluation Plan'!A75</x:f>
        <x:v>73</x:v>
      </x:c>
      <x:c r="B75" s="10" t="str">
        <x:f>'Evaluation Plan'!B75</x:f>
        <x:v>Visual generalization</x:v>
      </x:c>
      <x:c r="C75" s="10" t="str">
        <x:f>'Evaluation Plan'!D75</x:f>
        <x:v>SR-F04</x:v>
      </x:c>
      <x:c r="D75" s="10" t="n">
        <x:f>IF('Evaluation Plan'!B75="Concept/compositional transfer","",'Evaluation Plan'!E75)</x:f>
        <x:v>6</x:v>
      </x:c>
      <x:c r="E75" s="7" t="str">
        <x:f>'Evaluation Plan'!F75</x:f>
        <x:v>Place the closed object in the bowl.</x:v>
      </x:c>
      <x:c r="F75" s="7" t="str">
        <x:f>'Evaluation Plan'!G75</x:f>
        <x:v>P1 U1 (see Object Inventory) (O, UR); P2 white cup A (O, UR); P3 yellow-white striped cup B (O, UD); P4 U2 (see Object Inventory) (C, UD) [TARGET]</x:v>
      </x:c>
      <x:c r="G75" s="10" t="str">
        <x:f>'Evaluation Plan'!H75</x:f>
        <x:v>U2</x:v>
      </x:c>
      <x:c r="H75" s="10" t="str">
        <x:v>Not started</x:v>
      </x:c>
      <x:c r="I75" s="10"/>
      <x:c r="J75" s="10"/>
      <x:c r="K75" s="7"/>
    </x:row>
    <x:row r="76" ht="54" customHeight="1">
      <x:c r="A76" s="10" t="n">
        <x:f>'Evaluation Plan'!A76</x:f>
        <x:v>74</x:v>
      </x:c>
      <x:c r="B76" s="10" t="str">
        <x:f>'Evaluation Plan'!B76</x:f>
        <x:v>Visual generalization</x:v>
      </x:c>
      <x:c r="C76" s="10" t="str">
        <x:f>'Evaluation Plan'!D76</x:f>
        <x:v>SR-F05</x:v>
      </x:c>
      <x:c r="D76" s="10" t="n">
        <x:f>IF('Evaluation Plan'!B76="Concept/compositional transfer","",'Evaluation Plan'!E76)</x:f>
        <x:v>8</x:v>
      </x:c>
      <x:c r="E76" s="7" t="str">
        <x:f>'Evaluation Plan'!F76</x:f>
        <x:v>Put the closed object in the bowl.</x:v>
      </x:c>
      <x:c r="F76" s="7" t="str">
        <x:f>'Evaluation Plan'!G76</x:f>
        <x:v>P1 U1 (see Object Inventory) (C, UR) [TARGET]; P2 U2 (see Object Inventory) (O, UD); P3 brown cup A (O, UR); P4 glass spice container B (O, UD)</x:v>
      </x:c>
      <x:c r="G76" s="10" t="str">
        <x:f>'Evaluation Plan'!H76</x:f>
        <x:v>U1</x:v>
      </x:c>
      <x:c r="H76" s="10" t="str">
        <x:v>Not started</x:v>
      </x:c>
      <x:c r="I76" s="10"/>
      <x:c r="J76" s="10"/>
      <x:c r="K76" s="7"/>
    </x:row>
    <x:row r="77" ht="54" customHeight="1">
      <x:c r="A77" s="10" t="n">
        <x:f>'Evaluation Plan'!A77</x:f>
        <x:v>75</x:v>
      </x:c>
      <x:c r="B77" s="10" t="str">
        <x:f>'Evaluation Plan'!B77</x:f>
        <x:v>Visual generalization</x:v>
      </x:c>
      <x:c r="C77" s="10" t="str">
        <x:f>'Evaluation Plan'!D77</x:f>
        <x:v>SR-F06</x:v>
      </x:c>
      <x:c r="D77" s="10" t="n">
        <x:f>IF('Evaluation Plan'!B77="Concept/compositional transfer","",'Evaluation Plan'!E77)</x:f>
        <x:v>10</x:v>
      </x:c>
      <x:c r="E77" s="7" t="str">
        <x:f>'Evaluation Plan'!F77</x:f>
        <x:v>Move the closed object into the bowl.</x:v>
      </x:c>
      <x:c r="F77" s="7" t="str">
        <x:f>'Evaluation Plan'!G77</x:f>
        <x:v>P1 U1 (see Object Inventory) (O, UR); P2 U2 (see Object Inventory) (C, UD) [TARGET]; P3 glass spice container B (O, UD); P4 white cup A (O, UR)</x:v>
      </x:c>
      <x:c r="G77" s="10" t="str">
        <x:f>'Evaluation Plan'!H77</x:f>
        <x:v>U2</x:v>
      </x:c>
      <x:c r="H77" s="10" t="str">
        <x:v>Not started</x:v>
      </x:c>
      <x:c r="I77" s="10"/>
      <x:c r="J77" s="10"/>
      <x:c r="K77" s="7"/>
    </x:row>
    <x:row r="78" ht="54" customHeight="1">
      <x:c r="A78" s="10" t="n">
        <x:f>'Evaluation Plan'!A78</x:f>
        <x:v>76</x:v>
      </x:c>
      <x:c r="B78" s="10" t="str">
        <x:f>'Evaluation Plan'!B78</x:f>
        <x:v>Visual generalization</x:v>
      </x:c>
      <x:c r="C78" s="10" t="str">
        <x:f>'Evaluation Plan'!D78</x:f>
        <x:v>SR-F07</x:v>
      </x:c>
      <x:c r="D78" s="10" t="n">
        <x:f>IF('Evaluation Plan'!B78="Concept/compositional transfer","",'Evaluation Plan'!E78)</x:f>
        <x:v>12</x:v>
      </x:c>
      <x:c r="E78" s="7" t="str">
        <x:f>'Evaluation Plan'!F78</x:f>
        <x:v>Place the closed object in the bowl.</x:v>
      </x:c>
      <x:c r="F78" s="7" t="str">
        <x:f>'Evaluation Plan'!G78</x:f>
        <x:v>P1 U2 (see Object Inventory) (O, UD); P2 glass spice container B (O, UD); P3 U1 (see Object Inventory) (C, UR) [TARGET]; P4 yellow-white striped cup B (O, UD)</x:v>
      </x:c>
      <x:c r="G78" s="10" t="str">
        <x:f>'Evaluation Plan'!H78</x:f>
        <x:v>U1</x:v>
      </x:c>
      <x:c r="H78" s="10" t="str">
        <x:v>Not started</x:v>
      </x:c>
      <x:c r="I78" s="10"/>
      <x:c r="J78" s="10"/>
      <x:c r="K78" s="7"/>
    </x:row>
    <x:row r="79" ht="54" customHeight="1">
      <x:c r="A79" s="10" t="n">
        <x:f>'Evaluation Plan'!A79</x:f>
        <x:v>77</x:v>
      </x:c>
      <x:c r="B79" s="10" t="str">
        <x:f>'Evaluation Plan'!B79</x:f>
        <x:v>Visual generalization</x:v>
      </x:c>
      <x:c r="C79" s="10" t="str">
        <x:f>'Evaluation Plan'!D79</x:f>
        <x:v>SR-F08</x:v>
      </x:c>
      <x:c r="D79" s="10" t="n">
        <x:f>IF('Evaluation Plan'!B79="Concept/compositional transfer","",'Evaluation Plan'!E79)</x:f>
        <x:v>14</x:v>
      </x:c>
      <x:c r="E79" s="7" t="str">
        <x:f>'Evaluation Plan'!F79</x:f>
        <x:v>Put the closed object in the bowl.</x:v>
      </x:c>
      <x:c r="F79" s="7" t="str">
        <x:f>'Evaluation Plan'!G79</x:f>
        <x:v>P1 U1 (see Object Inventory) (O, UR); P2 white cup A (O, UR); P3 yellow-white striped cup B (O, UD); P4 U2 (see Object Inventory) (C, UD) [TARGET]</x:v>
      </x:c>
      <x:c r="G79" s="10" t="str">
        <x:f>'Evaluation Plan'!H79</x:f>
        <x:v>U2</x:v>
      </x:c>
      <x:c r="H79" s="10" t="str">
        <x:v>Not started</x:v>
      </x:c>
      <x:c r="I79" s="10"/>
      <x:c r="J79" s="10"/>
      <x:c r="K79" s="7"/>
    </x:row>
    <x:row r="80" ht="54" customHeight="1">
      <x:c r="A80" s="10" t="n">
        <x:f>'Evaluation Plan'!A80</x:f>
        <x:v>78</x:v>
      </x:c>
      <x:c r="B80" s="10" t="str">
        <x:f>'Evaluation Plan'!B80</x:f>
        <x:v>Visual generalization</x:v>
      </x:c>
      <x:c r="C80" s="10" t="str">
        <x:f>'Evaluation Plan'!D80</x:f>
        <x:v>SR-F09</x:v>
      </x:c>
      <x:c r="D80" s="10" t="n">
        <x:f>IF('Evaluation Plan'!B80="Concept/compositional transfer","",'Evaluation Plan'!E80)</x:f>
        <x:v>16</x:v>
      </x:c>
      <x:c r="E80" s="7" t="str">
        <x:f>'Evaluation Plan'!F80</x:f>
        <x:v>Move the closed object into the bowl.</x:v>
      </x:c>
      <x:c r="F80" s="7" t="str">
        <x:f>'Evaluation Plan'!G80</x:f>
        <x:v>P1 U1 (see Object Inventory) (C, UR) [TARGET]; P2 U2 (see Object Inventory) (O, UD); P3 brown cup A (O, UR); P4 glass spice container B (O, UD)</x:v>
      </x:c>
      <x:c r="G80" s="10" t="str">
        <x:f>'Evaluation Plan'!H80</x:f>
        <x:v>U1</x:v>
      </x:c>
      <x:c r="H80" s="10" t="str">
        <x:v>Not started</x:v>
      </x:c>
      <x:c r="I80" s="10"/>
      <x:c r="J80" s="10"/>
      <x:c r="K80" s="7"/>
    </x:row>
    <x:row r="81" ht="54" customHeight="1">
      <x:c r="A81" s="10" t="n">
        <x:f>'Evaluation Plan'!A81</x:f>
        <x:v>79</x:v>
      </x:c>
      <x:c r="B81" s="10" t="str">
        <x:f>'Evaluation Plan'!B81</x:f>
        <x:v>Visual generalization</x:v>
      </x:c>
      <x:c r="C81" s="10" t="str">
        <x:f>'Evaluation Plan'!D81</x:f>
        <x:v>SR-F10</x:v>
      </x:c>
      <x:c r="D81" s="10" t="n">
        <x:f>IF('Evaluation Plan'!B81="Concept/compositional transfer","",'Evaluation Plan'!E81)</x:f>
        <x:v>18</x:v>
      </x:c>
      <x:c r="E81" s="7" t="str">
        <x:f>'Evaluation Plan'!F81</x:f>
        <x:v>Place the closed object in the bowl.</x:v>
      </x:c>
      <x:c r="F81" s="7" t="str">
        <x:f>'Evaluation Plan'!G81</x:f>
        <x:v>P1 U1 (see Object Inventory) (O, UR); P2 U2 (see Object Inventory) (C, UD) [TARGET]; P3 glass spice container B (O, UD); P4 white cup A (O, UR)</x:v>
      </x:c>
      <x:c r="G81" s="10" t="str">
        <x:f>'Evaluation Plan'!H81</x:f>
        <x:v>U2</x:v>
      </x:c>
      <x:c r="H81" s="10" t="str">
        <x:v>Not started</x:v>
      </x:c>
      <x:c r="I81" s="10"/>
      <x:c r="J81" s="10"/>
      <x:c r="K81" s="7"/>
    </x:row>
    <x:row r="82" ht="54" customHeight="1">
      <x:c r="A82" s="10" t="n">
        <x:f>'Evaluation Plan'!A82</x:f>
        <x:v>80</x:v>
      </x:c>
      <x:c r="B82" s="10" t="str">
        <x:f>'Evaluation Plan'!B82</x:f>
        <x:v>Visual generalization</x:v>
      </x:c>
      <x:c r="C82" s="10" t="str">
        <x:f>'Evaluation Plan'!D82</x:f>
        <x:v>SR-F11</x:v>
      </x:c>
      <x:c r="D82" s="10" t="n">
        <x:f>IF('Evaluation Plan'!B82="Concept/compositional transfer","",'Evaluation Plan'!E82)</x:f>
        <x:v>20</x:v>
      </x:c>
      <x:c r="E82" s="7" t="str">
        <x:f>'Evaluation Plan'!F82</x:f>
        <x:v>Put the upright object in the bowl.</x:v>
      </x:c>
      <x:c r="F82" s="7" t="str">
        <x:f>'Evaluation Plan'!G82</x:f>
        <x:v>P1 U4 (see Object Inventory) (UD); P2 glass spice container B (C, UD); P3 U3 (see Object Inventory) (UR) [TARGET]; P4 yellow-white striped cup B (C, UD)</x:v>
      </x:c>
      <x:c r="G82" s="10" t="str">
        <x:f>'Evaluation Plan'!H82</x:f>
        <x:v>U3</x:v>
      </x:c>
      <x:c r="H82" s="10" t="str">
        <x:v>Not started</x:v>
      </x:c>
      <x:c r="I82" s="10"/>
      <x:c r="J82" s="10"/>
      <x:c r="K82" s="7"/>
    </x:row>
    <x:row r="83" ht="54" customHeight="1">
      <x:c r="A83" s="10" t="n">
        <x:f>'Evaluation Plan'!A83</x:f>
        <x:v>81</x:v>
      </x:c>
      <x:c r="B83" s="10" t="str">
        <x:f>'Evaluation Plan'!B83</x:f>
        <x:v>Visual generalization</x:v>
      </x:c>
      <x:c r="C83" s="10" t="str">
        <x:f>'Evaluation Plan'!D83</x:f>
        <x:v>SR-F12</x:v>
      </x:c>
      <x:c r="D83" s="10" t="n">
        <x:f>IF('Evaluation Plan'!B83="Concept/compositional transfer","",'Evaluation Plan'!E83)</x:f>
        <x:v>22</x:v>
      </x:c>
      <x:c r="E83" s="7" t="str">
        <x:f>'Evaluation Plan'!F83</x:f>
        <x:v>Move the upright object into the bowl.</x:v>
      </x:c>
      <x:c r="F83" s="7" t="str">
        <x:f>'Evaluation Plan'!G83</x:f>
        <x:v>P1 U3 (see Object Inventory) (UD); P2 white cup A (O, UD); P3 yellow-white striped cup B (C, UD); P4 U4 (see Object Inventory) (UR) [TARGET]</x:v>
      </x:c>
      <x:c r="G83" s="10" t="str">
        <x:f>'Evaluation Plan'!H83</x:f>
        <x:v>U4</x:v>
      </x:c>
      <x:c r="H83" s="10" t="str">
        <x:v>Not started</x:v>
      </x:c>
      <x:c r="I83" s="10"/>
      <x:c r="J83" s="10"/>
      <x:c r="K83" s="7"/>
    </x:row>
    <x:row r="84" ht="54" customHeight="1">
      <x:c r="A84" s="10" t="n">
        <x:f>'Evaluation Plan'!A84</x:f>
        <x:v>82</x:v>
      </x:c>
      <x:c r="B84" s="10" t="str">
        <x:f>'Evaluation Plan'!B84</x:f>
        <x:v>Visual generalization</x:v>
      </x:c>
      <x:c r="C84" s="10" t="str">
        <x:f>'Evaluation Plan'!D84</x:f>
        <x:v>SR-F13</x:v>
      </x:c>
      <x:c r="D84" s="10" t="n">
        <x:f>IF('Evaluation Plan'!B84="Concept/compositional transfer","",'Evaluation Plan'!E84)</x:f>
        <x:v>24</x:v>
      </x:c>
      <x:c r="E84" s="7" t="str">
        <x:f>'Evaluation Plan'!F84</x:f>
        <x:v>Place the upright object in the bowl.</x:v>
      </x:c>
      <x:c r="F84" s="7" t="str">
        <x:f>'Evaluation Plan'!G84</x:f>
        <x:v>P1 U3 (see Object Inventory) (UR) [TARGET]; P2 U4 (see Object Inventory) (UD); P3 brown cup A (O, UD); P4 glass spice container B (C, UD)</x:v>
      </x:c>
      <x:c r="G84" s="10" t="str">
        <x:f>'Evaluation Plan'!H84</x:f>
        <x:v>U3</x:v>
      </x:c>
      <x:c r="H84" s="10" t="str">
        <x:v>Not started</x:v>
      </x:c>
      <x:c r="I84" s="10"/>
      <x:c r="J84" s="10"/>
      <x:c r="K84" s="7"/>
    </x:row>
    <x:row r="85" ht="54" customHeight="1">
      <x:c r="A85" s="10" t="n">
        <x:f>'Evaluation Plan'!A85</x:f>
        <x:v>83</x:v>
      </x:c>
      <x:c r="B85" s="10" t="str">
        <x:f>'Evaluation Plan'!B85</x:f>
        <x:v>Visual generalization</x:v>
      </x:c>
      <x:c r="C85" s="10" t="str">
        <x:f>'Evaluation Plan'!D85</x:f>
        <x:v>SR-F14</x:v>
      </x:c>
      <x:c r="D85" s="10" t="n">
        <x:f>IF('Evaluation Plan'!B85="Concept/compositional transfer","",'Evaluation Plan'!E85)</x:f>
        <x:v>26</x:v>
      </x:c>
      <x:c r="E85" s="7" t="str">
        <x:f>'Evaluation Plan'!F85</x:f>
        <x:v>Put the upright object in the bowl.</x:v>
      </x:c>
      <x:c r="F85" s="7" t="str">
        <x:f>'Evaluation Plan'!G85</x:f>
        <x:v>P1 U3 (see Object Inventory) (UD); P2 U4 (see Object Inventory) (UR) [TARGET]; P3 glass spice container B (C, UD); P4 white cup A (O, UD)</x:v>
      </x:c>
      <x:c r="G85" s="10" t="str">
        <x:f>'Evaluation Plan'!H85</x:f>
        <x:v>U4</x:v>
      </x:c>
      <x:c r="H85" s="10" t="str">
        <x:v>Not started</x:v>
      </x:c>
      <x:c r="I85" s="10"/>
      <x:c r="J85" s="10"/>
      <x:c r="K85" s="7"/>
    </x:row>
    <x:row r="86" ht="54" customHeight="1">
      <x:c r="A86" s="10" t="n">
        <x:f>'Evaluation Plan'!A86</x:f>
        <x:v>84</x:v>
      </x:c>
      <x:c r="B86" s="10" t="str">
        <x:f>'Evaluation Plan'!B86</x:f>
        <x:v>Visual generalization</x:v>
      </x:c>
      <x:c r="C86" s="10" t="str">
        <x:f>'Evaluation Plan'!D86</x:f>
        <x:v>SR-F15</x:v>
      </x:c>
      <x:c r="D86" s="10" t="n">
        <x:f>IF('Evaluation Plan'!B86="Concept/compositional transfer","",'Evaluation Plan'!E86)</x:f>
        <x:v>28</x:v>
      </x:c>
      <x:c r="E86" s="7" t="str">
        <x:f>'Evaluation Plan'!F86</x:f>
        <x:v>Move the upright object into the bowl.</x:v>
      </x:c>
      <x:c r="F86" s="7" t="str">
        <x:f>'Evaluation Plan'!G86</x:f>
        <x:v>P1 U4 (see Object Inventory) (UD); P2 glass spice container B (C, UD); P3 U3 (see Object Inventory) (UR) [TARGET]; P4 yellow-white striped cup B (C, UD)</x:v>
      </x:c>
      <x:c r="G86" s="10" t="str">
        <x:f>'Evaluation Plan'!H86</x:f>
        <x:v>U3</x:v>
      </x:c>
      <x:c r="H86" s="10" t="str">
        <x:v>Not started</x:v>
      </x:c>
      <x:c r="I86" s="10"/>
      <x:c r="J86" s="10"/>
      <x:c r="K86" s="7"/>
    </x:row>
    <x:row r="87" ht="54" customHeight="1">
      <x:c r="A87" s="10" t="n">
        <x:f>'Evaluation Plan'!A87</x:f>
        <x:v>85</x:v>
      </x:c>
      <x:c r="B87" s="10" t="str">
        <x:f>'Evaluation Plan'!B87</x:f>
        <x:v>Visual generalization</x:v>
      </x:c>
      <x:c r="C87" s="10" t="str">
        <x:f>'Evaluation Plan'!D87</x:f>
        <x:v>SR-F16</x:v>
      </x:c>
      <x:c r="D87" s="10" t="n">
        <x:f>IF('Evaluation Plan'!B87="Concept/compositional transfer","",'Evaluation Plan'!E87)</x:f>
        <x:v>30</x:v>
      </x:c>
      <x:c r="E87" s="7" t="str">
        <x:f>'Evaluation Plan'!F87</x:f>
        <x:v>Place the upright object in the bowl.</x:v>
      </x:c>
      <x:c r="F87" s="7" t="str">
        <x:f>'Evaluation Plan'!G87</x:f>
        <x:v>P1 U3 (see Object Inventory) (UD); P2 white cup A (O, UD); P3 yellow-white striped cup B (C, UD); P4 U4 (see Object Inventory) (UR) [TARGET]</x:v>
      </x:c>
      <x:c r="G87" s="10" t="str">
        <x:f>'Evaluation Plan'!H87</x:f>
        <x:v>U4</x:v>
      </x:c>
      <x:c r="H87" s="10" t="str">
        <x:v>Not started</x:v>
      </x:c>
      <x:c r="I87" s="10"/>
      <x:c r="J87" s="10"/>
      <x:c r="K87" s="7"/>
    </x:row>
    <x:row r="88" ht="54" customHeight="1">
      <x:c r="A88" s="10" t="n">
        <x:f>'Evaluation Plan'!A88</x:f>
        <x:v>86</x:v>
      </x:c>
      <x:c r="B88" s="10" t="str">
        <x:f>'Evaluation Plan'!B88</x:f>
        <x:v>Visual generalization</x:v>
      </x:c>
      <x:c r="C88" s="10" t="str">
        <x:f>'Evaluation Plan'!D88</x:f>
        <x:v>SR-F17</x:v>
      </x:c>
      <x:c r="D88" s="10" t="n">
        <x:f>IF('Evaluation Plan'!B88="Concept/compositional transfer","",'Evaluation Plan'!E88)</x:f>
        <x:v>32</x:v>
      </x:c>
      <x:c r="E88" s="7" t="str">
        <x:f>'Evaluation Plan'!F88</x:f>
        <x:v>Put the upright object in the bowl.</x:v>
      </x:c>
      <x:c r="F88" s="7" t="str">
        <x:f>'Evaluation Plan'!G88</x:f>
        <x:v>P1 U3 (see Object Inventory) (UR) [TARGET]; P2 U4 (see Object Inventory) (UD); P3 brown cup A (O, UD); P4 glass spice container B (C, UD)</x:v>
      </x:c>
      <x:c r="G88" s="10" t="str">
        <x:f>'Evaluation Plan'!H88</x:f>
        <x:v>U3</x:v>
      </x:c>
      <x:c r="H88" s="10" t="str">
        <x:v>Not started</x:v>
      </x:c>
      <x:c r="I88" s="10"/>
      <x:c r="J88" s="10"/>
      <x:c r="K88" s="7"/>
    </x:row>
    <x:row r="89" ht="54" customHeight="1">
      <x:c r="A89" s="10" t="n">
        <x:f>'Evaluation Plan'!A89</x:f>
        <x:v>87</x:v>
      </x:c>
      <x:c r="B89" s="10" t="str">
        <x:f>'Evaluation Plan'!B89</x:f>
        <x:v>Visual generalization</x:v>
      </x:c>
      <x:c r="C89" s="10" t="str">
        <x:f>'Evaluation Plan'!D89</x:f>
        <x:v>SR-F18</x:v>
      </x:c>
      <x:c r="D89" s="10" t="n">
        <x:f>IF('Evaluation Plan'!B89="Concept/compositional transfer","",'Evaluation Plan'!E89)</x:f>
        <x:v>34</x:v>
      </x:c>
      <x:c r="E89" s="7" t="str">
        <x:f>'Evaluation Plan'!F89</x:f>
        <x:v>Move the upright object into the bowl.</x:v>
      </x:c>
      <x:c r="F89" s="7" t="str">
        <x:f>'Evaluation Plan'!G89</x:f>
        <x:v>P1 U3 (see Object Inventory) (UD); P2 U4 (see Object Inventory) (UR) [TARGET]; P3 glass spice container B (C, UD); P4 white cup A (O, UD)</x:v>
      </x:c>
      <x:c r="G89" s="10" t="str">
        <x:f>'Evaluation Plan'!H89</x:f>
        <x:v>U4</x:v>
      </x:c>
      <x:c r="H89" s="10" t="str">
        <x:v>Not started</x:v>
      </x:c>
      <x:c r="I89" s="10"/>
      <x:c r="J89" s="10"/>
      <x:c r="K89" s="7"/>
    </x:row>
    <x:row r="90" ht="54" customHeight="1">
      <x:c r="A90" s="10" t="n">
        <x:f>'Evaluation Plan'!A90</x:f>
        <x:v>88</x:v>
      </x:c>
      <x:c r="B90" s="10" t="str">
        <x:f>'Evaluation Plan'!B90</x:f>
        <x:v>Visual generalization</x:v>
      </x:c>
      <x:c r="C90" s="10" t="str">
        <x:f>'Evaluation Plan'!D90</x:f>
        <x:v>SR-F19</x:v>
      </x:c>
      <x:c r="D90" s="10" t="n">
        <x:f>IF('Evaluation Plan'!B90="Concept/compositional transfer","",'Evaluation Plan'!E90)</x:f>
        <x:v>36</x:v>
      </x:c>
      <x:c r="E90" s="7" t="str">
        <x:f>'Evaluation Plan'!F90</x:f>
        <x:v>Place the upright object in the bowl.</x:v>
      </x:c>
      <x:c r="F90" s="7" t="str">
        <x:f>'Evaluation Plan'!G90</x:f>
        <x:v>P1 U4 (see Object Inventory) (UD); P2 glass spice container B (C, UD); P3 U3 (see Object Inventory) (UR) [TARGET]; P4 yellow-white striped cup B (C, UD)</x:v>
      </x:c>
      <x:c r="G90" s="10" t="str">
        <x:f>'Evaluation Plan'!H90</x:f>
        <x:v>U3</x:v>
      </x:c>
      <x:c r="H90" s="10" t="str">
        <x:v>Not started</x:v>
      </x:c>
      <x:c r="I90" s="10"/>
      <x:c r="J90" s="10"/>
      <x:c r="K90" s="7"/>
    </x:row>
    <x:row r="91" ht="54" customHeight="1">
      <x:c r="A91" s="10" t="n">
        <x:f>'Evaluation Plan'!A91</x:f>
        <x:v>89</x:v>
      </x:c>
      <x:c r="B91" s="10" t="str">
        <x:f>'Evaluation Plan'!B91</x:f>
        <x:v>Visual generalization</x:v>
      </x:c>
      <x:c r="C91" s="10" t="str">
        <x:f>'Evaluation Plan'!D91</x:f>
        <x:v>SR-F20</x:v>
      </x:c>
      <x:c r="D91" s="10" t="n">
        <x:f>IF('Evaluation Plan'!B91="Concept/compositional transfer","",'Evaluation Plan'!E91)</x:f>
        <x:v>38</x:v>
      </x:c>
      <x:c r="E91" s="7" t="str">
        <x:f>'Evaluation Plan'!F91</x:f>
        <x:v>Put the upright object in the bowl.</x:v>
      </x:c>
      <x:c r="F91" s="7" t="str">
        <x:f>'Evaluation Plan'!G91</x:f>
        <x:v>P1 U3 (see Object Inventory) (UD); P2 white cup A (O, UD); P3 yellow-white striped cup B (C, UD); P4 U4 (see Object Inventory) (UR) [TARGET]</x:v>
      </x:c>
      <x:c r="G91" s="10" t="str">
        <x:f>'Evaluation Plan'!H91</x:f>
        <x:v>U4</x:v>
      </x:c>
      <x:c r="H91" s="10" t="str">
        <x:v>Not started</x:v>
      </x:c>
      <x:c r="I91" s="10"/>
      <x:c r="J91" s="10"/>
      <x:c r="K91" s="7"/>
    </x:row>
    <x:row r="92" ht="54" customHeight="1">
      <x:c r="A92" s="10" t="n">
        <x:f>'Evaluation Plan'!A92</x:f>
        <x:v>90</x:v>
      </x:c>
      <x:c r="B92" s="10" t="str">
        <x:f>'Evaluation Plan'!B92</x:f>
        <x:v>Language robustness</x:v>
      </x:c>
      <x:c r="C92" s="10" t="str">
        <x:f>'Evaluation Plan'!D92</x:f>
        <x:v>SR-F01</x:v>
      </x:c>
      <x:c r="D92" s="10" t="n">
        <x:f>IF('Evaluation Plan'!B92="Concept/compositional transfer","",'Evaluation Plan'!E92)</x:f>
        <x:v>0</x:v>
      </x:c>
      <x:c r="E92" s="7" t="str">
        <x:f>'Evaluation Plan'!F92</x:f>
        <x:v>Move the object whose opening is covered into the bowl.</x:v>
      </x:c>
      <x:c r="F92" s="7" t="str">
        <x:f>'Evaluation Plan'!G92</x:f>
        <x:v>P1 white cup A (C, UR) [TARGET]; P2 yellow-white striped cup A (O, UD); P3 brown cup B (O, UR); P4 glass spice container A (O, UD)</x:v>
      </x:c>
      <x:c r="G92" s="10" t="str">
        <x:f>'Evaluation Plan'!H92</x:f>
        <x:v>white cup A</x:v>
      </x:c>
      <x:c r="H92" s="10" t="str">
        <x:v>Not started</x:v>
      </x:c>
      <x:c r="I92" s="10"/>
      <x:c r="J92" s="10"/>
      <x:c r="K92" s="7"/>
    </x:row>
    <x:row r="93" ht="54" customHeight="1">
      <x:c r="A93" s="10" t="n">
        <x:f>'Evaluation Plan'!A93</x:f>
        <x:v>91</x:v>
      </x:c>
      <x:c r="B93" s="10" t="str">
        <x:f>'Evaluation Plan'!B93</x:f>
        <x:v>Language robustness</x:v>
      </x:c>
      <x:c r="C93" s="10" t="str">
        <x:f>'Evaluation Plan'!D93</x:f>
        <x:v>SR-F02</x:v>
      </x:c>
      <x:c r="D93" s="10" t="n">
        <x:f>IF('Evaluation Plan'!B93="Concept/compositional transfer","",'Evaluation Plan'!E93)</x:f>
        <x:v>2</x:v>
      </x:c>
      <x:c r="E93" s="7" t="str">
        <x:f>'Evaluation Plan'!F93</x:f>
        <x:v>Put the item with its cover on in the bowl.</x:v>
      </x:c>
      <x:c r="F93" s="7" t="str">
        <x:f>'Evaluation Plan'!G93</x:f>
        <x:v>P1 white cup A (O, UD); P2 yellow-white striped cup B (C, UD) [TARGET]; P3 brown cup A (O, UD); P4 glass spice container B (O, UR)</x:v>
      </x:c>
      <x:c r="G93" s="10" t="str">
        <x:f>'Evaluation Plan'!H93</x:f>
        <x:v>yellow-white striped cup B</x:v>
      </x:c>
      <x:c r="H93" s="10" t="str">
        <x:v>Not started</x:v>
      </x:c>
      <x:c r="I93" s="10"/>
      <x:c r="J93" s="10"/>
      <x:c r="K93" s="7"/>
    </x:row>
    <x:row r="94" ht="54" customHeight="1">
      <x:c r="A94" s="10" t="n">
        <x:f>'Evaluation Plan'!A94</x:f>
        <x:v>92</x:v>
      </x:c>
      <x:c r="B94" s="10" t="str">
        <x:f>'Evaluation Plan'!B94</x:f>
        <x:v>Language robustness</x:v>
      </x:c>
      <x:c r="C94" s="10" t="str">
        <x:f>'Evaluation Plan'!D94</x:f>
        <x:v>SR-F03</x:v>
      </x:c>
      <x:c r="D94" s="10" t="n">
        <x:f>IF('Evaluation Plan'!B94="Concept/compositional transfer","",'Evaluation Plan'!E94)</x:f>
        <x:v>4</x:v>
      </x:c>
      <x:c r="E94" s="7" t="str">
        <x:f>'Evaluation Plan'!F94</x:f>
        <x:v>Place the object that is not open in the bowl.</x:v>
      </x:c>
      <x:c r="F94" s="7" t="str">
        <x:f>'Evaluation Plan'!G94</x:f>
        <x:v>P1 white cup B (O, UR); P2 yellow-white striped cup A (O, UD); P3 brown cup A (C, UR) [TARGET]; P4 glass spice container A (O, UD)</x:v>
      </x:c>
      <x:c r="G94" s="10" t="str">
        <x:f>'Evaluation Plan'!H94</x:f>
        <x:v>brown cup A</x:v>
      </x:c>
      <x:c r="H94" s="10" t="str">
        <x:v>Not started</x:v>
      </x:c>
      <x:c r="I94" s="10"/>
      <x:c r="J94" s="10"/>
      <x:c r="K94" s="7"/>
    </x:row>
    <x:row r="95" ht="54" customHeight="1">
      <x:c r="A95" s="10" t="n">
        <x:f>'Evaluation Plan'!A95</x:f>
        <x:v>93</x:v>
      </x:c>
      <x:c r="B95" s="10" t="str">
        <x:f>'Evaluation Plan'!B95</x:f>
        <x:v>Language robustness</x:v>
      </x:c>
      <x:c r="C95" s="10" t="str">
        <x:f>'Evaluation Plan'!D95</x:f>
        <x:v>SR-F04</x:v>
      </x:c>
      <x:c r="D95" s="10" t="n">
        <x:f>IF('Evaluation Plan'!B95="Concept/compositional transfer","",'Evaluation Plan'!E95)</x:f>
        <x:v>6</x:v>
      </x:c>
      <x:c r="E95" s="7" t="str">
        <x:f>'Evaluation Plan'!F95</x:f>
        <x:v>Move the closed item into the bowl.</x:v>
      </x:c>
      <x:c r="F95" s="7" t="str">
        <x:f>'Evaluation Plan'!G95</x:f>
        <x:v>P1 white cup A (O, UD); P2 yellow-white striped cup B (O, UR); P3 brown cup A (O, UD); P4 glass spice container B (C, UD) [TARGET]</x:v>
      </x:c>
      <x:c r="G95" s="10" t="str">
        <x:f>'Evaluation Plan'!H95</x:f>
        <x:v>glass spice container B</x:v>
      </x:c>
      <x:c r="H95" s="10" t="str">
        <x:v>Not started</x:v>
      </x:c>
      <x:c r="I95" s="10"/>
      <x:c r="J95" s="10"/>
      <x:c r="K95" s="7"/>
    </x:row>
    <x:row r="96" ht="54" customHeight="1">
      <x:c r="A96" s="10" t="n">
        <x:f>'Evaluation Plan'!A96</x:f>
        <x:v>94</x:v>
      </x:c>
      <x:c r="B96" s="10" t="str">
        <x:f>'Evaluation Plan'!B96</x:f>
        <x:v>Language robustness</x:v>
      </x:c>
      <x:c r="C96" s="10" t="str">
        <x:f>'Evaluation Plan'!D96</x:f>
        <x:v>SR-F05</x:v>
      </x:c>
      <x:c r="D96" s="10" t="n">
        <x:f>IF('Evaluation Plan'!B96="Concept/compositional transfer","",'Evaluation Plan'!E96)</x:f>
        <x:v>8</x:v>
      </x:c>
      <x:c r="E96" s="7" t="str">
        <x:f>'Evaluation Plan'!F96</x:f>
        <x:v>Put the container with its top covered in the bowl.</x:v>
      </x:c>
      <x:c r="F96" s="7" t="str">
        <x:f>'Evaluation Plan'!G96</x:f>
        <x:v>P1 white cup A (C, UR) [TARGET]; P2 yellow-white striped cup A (O, UD); P3 brown cup B (O, UR); P4 glass spice container A (O, UD)</x:v>
      </x:c>
      <x:c r="G96" s="10" t="str">
        <x:f>'Evaluation Plan'!H96</x:f>
        <x:v>white cup A</x:v>
      </x:c>
      <x:c r="H96" s="10" t="str">
        <x:v>Not started</x:v>
      </x:c>
      <x:c r="I96" s="10"/>
      <x:c r="J96" s="10"/>
      <x:c r="K96" s="7"/>
    </x:row>
    <x:row r="97" ht="54" customHeight="1">
      <x:c r="A97" s="10" t="n">
        <x:f>'Evaluation Plan'!A97</x:f>
        <x:v>95</x:v>
      </x:c>
      <x:c r="B97" s="10" t="str">
        <x:f>'Evaluation Plan'!B97</x:f>
        <x:v>Language robustness</x:v>
      </x:c>
      <x:c r="C97" s="10" t="str">
        <x:f>'Evaluation Plan'!D97</x:f>
        <x:v>SR-F06</x:v>
      </x:c>
      <x:c r="D97" s="10" t="n">
        <x:f>IF('Evaluation Plan'!B97="Concept/compositional transfer","",'Evaluation Plan'!E97)</x:f>
        <x:v>10</x:v>
      </x:c>
      <x:c r="E97" s="7" t="str">
        <x:f>'Evaluation Plan'!F97</x:f>
        <x:v>Place the object with its opening covered in the bowl.</x:v>
      </x:c>
      <x:c r="F97" s="7" t="str">
        <x:f>'Evaluation Plan'!G97</x:f>
        <x:v>P1 white cup A (O, UD); P2 yellow-white striped cup B (C, UD) [TARGET]; P3 brown cup A (O, UD); P4 glass spice container B (O, UR)</x:v>
      </x:c>
      <x:c r="G97" s="10" t="str">
        <x:f>'Evaluation Plan'!H97</x:f>
        <x:v>yellow-white striped cup B</x:v>
      </x:c>
      <x:c r="H97" s="10" t="str">
        <x:v>Not started</x:v>
      </x:c>
      <x:c r="I97" s="10"/>
      <x:c r="J97" s="10"/>
      <x:c r="K97" s="7"/>
    </x:row>
    <x:row r="98" ht="54" customHeight="1">
      <x:c r="A98" s="10" t="n">
        <x:f>'Evaluation Plan'!A98</x:f>
        <x:v>96</x:v>
      </x:c>
      <x:c r="B98" s="10" t="str">
        <x:f>'Evaluation Plan'!B98</x:f>
        <x:v>Language robustness</x:v>
      </x:c>
      <x:c r="C98" s="10" t="str">
        <x:f>'Evaluation Plan'!D98</x:f>
        <x:v>SR-F07</x:v>
      </x:c>
      <x:c r="D98" s="10" t="n">
        <x:f>IF('Evaluation Plan'!B98="Concept/compositional transfer","",'Evaluation Plan'!E98)</x:f>
        <x:v>12</x:v>
      </x:c>
      <x:c r="E98" s="7" t="str">
        <x:f>'Evaluation Plan'!F98</x:f>
        <x:v>Move the item that has its cover on into the bowl.</x:v>
      </x:c>
      <x:c r="F98" s="7" t="str">
        <x:f>'Evaluation Plan'!G98</x:f>
        <x:v>P1 white cup B (O, UR); P2 yellow-white striped cup A (O, UD); P3 brown cup A (C, UR) [TARGET]; P4 glass spice container A (O, UD)</x:v>
      </x:c>
      <x:c r="G98" s="10" t="str">
        <x:f>'Evaluation Plan'!H98</x:f>
        <x:v>brown cup A</x:v>
      </x:c>
      <x:c r="H98" s="10" t="str">
        <x:v>Not started</x:v>
      </x:c>
      <x:c r="I98" s="10"/>
      <x:c r="J98" s="10"/>
      <x:c r="K98" s="7"/>
    </x:row>
    <x:row r="99" ht="54" customHeight="1">
      <x:c r="A99" s="10" t="n">
        <x:f>'Evaluation Plan'!A99</x:f>
        <x:v>97</x:v>
      </x:c>
      <x:c r="B99" s="10" t="str">
        <x:f>'Evaluation Plan'!B99</x:f>
        <x:v>Language robustness</x:v>
      </x:c>
      <x:c r="C99" s="10" t="str">
        <x:f>'Evaluation Plan'!D99</x:f>
        <x:v>SR-F08</x:v>
      </x:c>
      <x:c r="D99" s="10" t="n">
        <x:f>IF('Evaluation Plan'!B99="Concept/compositional transfer","",'Evaluation Plan'!E99)</x:f>
        <x:v>14</x:v>
      </x:c>
      <x:c r="E99" s="7" t="str">
        <x:f>'Evaluation Plan'!F99</x:f>
        <x:v>Put the closed container into the bowl.</x:v>
      </x:c>
      <x:c r="F99" s="7" t="str">
        <x:f>'Evaluation Plan'!G99</x:f>
        <x:v>P1 white cup A (O, UD); P2 yellow-white striped cup B (O, UR); P3 brown cup A (O, UD); P4 glass spice container B (C, UD) [TARGET]</x:v>
      </x:c>
      <x:c r="G99" s="10" t="str">
        <x:f>'Evaluation Plan'!H99</x:f>
        <x:v>glass spice container B</x:v>
      </x:c>
      <x:c r="H99" s="10" t="str">
        <x:v>Not started</x:v>
      </x:c>
      <x:c r="I99" s="10"/>
      <x:c r="J99" s="10"/>
      <x:c r="K99" s="7"/>
    </x:row>
    <x:row r="100" ht="54" customHeight="1">
      <x:c r="A100" s="10" t="n">
        <x:f>'Evaluation Plan'!A100</x:f>
        <x:v>98</x:v>
      </x:c>
      <x:c r="B100" s="10" t="str">
        <x:f>'Evaluation Plan'!B100</x:f>
        <x:v>Language robustness</x:v>
      </x:c>
      <x:c r="C100" s="10" t="str">
        <x:f>'Evaluation Plan'!D100</x:f>
        <x:v>SR-F09</x:v>
      </x:c>
      <x:c r="D100" s="10" t="n">
        <x:f>IF('Evaluation Plan'!B100="Concept/compositional transfer","",'Evaluation Plan'!E100)</x:f>
        <x:v>16</x:v>
      </x:c>
      <x:c r="E100" s="7" t="str">
        <x:f>'Evaluation Plan'!F100</x:f>
        <x:v>Find the object that is closed and place it in the bowl.</x:v>
      </x:c>
      <x:c r="F100" s="7" t="str">
        <x:f>'Evaluation Plan'!G100</x:f>
        <x:v>P1 white cup A (C, UR) [TARGET]; P2 yellow-white striped cup A (O, UD); P3 brown cup B (O, UR); P4 glass spice container A (O, UD)</x:v>
      </x:c>
      <x:c r="G100" s="10" t="str">
        <x:f>'Evaluation Plan'!H100</x:f>
        <x:v>white cup A</x:v>
      </x:c>
      <x:c r="H100" s="10" t="str">
        <x:v>Not started</x:v>
      </x:c>
      <x:c r="I100" s="10"/>
      <x:c r="J100" s="10"/>
      <x:c r="K100" s="7"/>
    </x:row>
    <x:row r="101" ht="54" customHeight="1">
      <x:c r="A101" s="10" t="n">
        <x:f>'Evaluation Plan'!A101</x:f>
        <x:v>99</x:v>
      </x:c>
      <x:c r="B101" s="10" t="str">
        <x:f>'Evaluation Plan'!B101</x:f>
        <x:v>Language robustness</x:v>
      </x:c>
      <x:c r="C101" s="10" t="str">
        <x:f>'Evaluation Plan'!D101</x:f>
        <x:v>SR-F10</x:v>
      </x:c>
      <x:c r="D101" s="10" t="n">
        <x:f>IF('Evaluation Plan'!B101="Concept/compositional transfer","",'Evaluation Plan'!E101)</x:f>
        <x:v>18</x:v>
      </x:c>
      <x:c r="E101" s="7" t="str">
        <x:f>'Evaluation Plan'!F101</x:f>
        <x:v>Place the object whose lid is in place in the bowl.</x:v>
      </x:c>
      <x:c r="F101" s="7" t="str">
        <x:f>'Evaluation Plan'!G101</x:f>
        <x:v>P1 white cup A (O, UD); P2 brown cup B (C, UD) [TARGET]; P3 yellow-white striped cup A (O, UD); P4 glass spice container B (O, UR)</x:v>
      </x:c>
      <x:c r="G101" s="10" t="str">
        <x:f>'Evaluation Plan'!H101</x:f>
        <x:v>brown cup B</x:v>
      </x:c>
      <x:c r="H101" s="10" t="str">
        <x:v>Not started</x:v>
      </x:c>
      <x:c r="I101" s="10"/>
      <x:c r="J101" s="10"/>
      <x:c r="K101" s="7"/>
    </x:row>
    <x:row r="102" ht="54" customHeight="1">
      <x:c r="A102" s="10" t="n">
        <x:f>'Evaluation Plan'!A102</x:f>
        <x:v>100</x:v>
      </x:c>
      <x:c r="B102" s="10" t="str">
        <x:f>'Evaluation Plan'!B102</x:f>
        <x:v>Language robustness</x:v>
      </x:c>
      <x:c r="C102" s="10" t="str">
        <x:f>'Evaluation Plan'!D102</x:f>
        <x:v>SR-F11</x:v>
      </x:c>
      <x:c r="D102" s="10" t="n">
        <x:f>IF('Evaluation Plan'!B102="Concept/compositional transfer","",'Evaluation Plan'!E102)</x:f>
        <x:v>20</x:v>
      </x:c>
      <x:c r="E102" s="7" t="str">
        <x:f>'Evaluation Plan'!F102</x:f>
        <x:v>Place the right-side-up object in the bowl.</x:v>
      </x:c>
      <x:c r="F102" s="7" t="str">
        <x:f>'Evaluation Plan'!G102</x:f>
        <x:v>P1 yellow-white striped cup B (O, UD); P2 brown cup A (C, UD); P3 white cup A (O, UR) [TARGET]; P4 glass spice container A (C, UD)</x:v>
      </x:c>
      <x:c r="G102" s="10" t="str">
        <x:f>'Evaluation Plan'!H102</x:f>
        <x:v>white cup A</x:v>
      </x:c>
      <x:c r="H102" s="10" t="str">
        <x:v>Not started</x:v>
      </x:c>
      <x:c r="I102" s="10"/>
      <x:c r="J102" s="10"/>
      <x:c r="K102" s="7"/>
    </x:row>
    <x:row r="103" ht="54" customHeight="1">
      <x:c r="A103" s="10" t="n">
        <x:f>'Evaluation Plan'!A103</x:f>
        <x:v>101</x:v>
      </x:c>
      <x:c r="B103" s="10" t="str">
        <x:f>'Evaluation Plan'!B103</x:f>
        <x:v>Language robustness</x:v>
      </x:c>
      <x:c r="C103" s="10" t="str">
        <x:f>'Evaluation Plan'!D103</x:f>
        <x:v>SR-F12</x:v>
      </x:c>
      <x:c r="D103" s="10" t="n">
        <x:f>IF('Evaluation Plan'!B103="Concept/compositional transfer","",'Evaluation Plan'!E103)</x:f>
        <x:v>22</x:v>
      </x:c>
      <x:c r="E103" s="7" t="str">
        <x:f>'Evaluation Plan'!F103</x:f>
        <x:v>Move the object that is standing upright into the bowl.</x:v>
      </x:c>
      <x:c r="F103" s="7" t="str">
        <x:f>'Evaluation Plan'!G103</x:f>
        <x:v>P1 white cup A (C, UD); P2 brown cup B (O, UD); P3 glass spice container A (C, UD); P4 yellow-white striped cup B (C, UR) [TARGET]</x:v>
      </x:c>
      <x:c r="G103" s="10" t="str">
        <x:f>'Evaluation Plan'!H103</x:f>
        <x:v>yellow-white striped cup B</x:v>
      </x:c>
      <x:c r="H103" s="10" t="str">
        <x:v>Not started</x:v>
      </x:c>
      <x:c r="I103" s="10"/>
      <x:c r="J103" s="10"/>
      <x:c r="K103" s="7"/>
    </x:row>
    <x:row r="104" ht="54" customHeight="1">
      <x:c r="A104" s="10" t="n">
        <x:f>'Evaluation Plan'!A104</x:f>
        <x:v>102</x:v>
      </x:c>
      <x:c r="B104" s="10" t="str">
        <x:f>'Evaluation Plan'!B104</x:f>
        <x:v>Language robustness</x:v>
      </x:c>
      <x:c r="C104" s="10" t="str">
        <x:f>'Evaluation Plan'!D104</x:f>
        <x:v>SR-F13</x:v>
      </x:c>
      <x:c r="D104" s="10" t="n">
        <x:f>IF('Evaluation Plan'!B104="Concept/compositional transfer","",'Evaluation Plan'!E104)</x:f>
        <x:v>24</x:v>
      </x:c>
      <x:c r="E104" s="7" t="str">
        <x:f>'Evaluation Plan'!F104</x:f>
        <x:v>Put the object that is not overturned in the bowl.</x:v>
      </x:c>
      <x:c r="F104" s="7" t="str">
        <x:f>'Evaluation Plan'!G104</x:f>
        <x:v>P1 brown cup A (O, UR) [TARGET]; P2 white cup A (C, UD); P3 yellow-white striped cup B (O, UD); P4 glass spice container A (C, UD)</x:v>
      </x:c>
      <x:c r="G104" s="10" t="str">
        <x:f>'Evaluation Plan'!H104</x:f>
        <x:v>brown cup A</x:v>
      </x:c>
      <x:c r="H104" s="10" t="str">
        <x:v>Not started</x:v>
      </x:c>
      <x:c r="I104" s="10"/>
      <x:c r="J104" s="10"/>
      <x:c r="K104" s="7"/>
    </x:row>
    <x:row r="105" ht="54" customHeight="1">
      <x:c r="A105" s="10" t="n">
        <x:f>'Evaluation Plan'!A105</x:f>
        <x:v>103</x:v>
      </x:c>
      <x:c r="B105" s="10" t="str">
        <x:f>'Evaluation Plan'!B105</x:f>
        <x:v>Language robustness</x:v>
      </x:c>
      <x:c r="C105" s="10" t="str">
        <x:f>'Evaluation Plan'!D105</x:f>
        <x:v>SR-F14</x:v>
      </x:c>
      <x:c r="D105" s="10" t="n">
        <x:f>IF('Evaluation Plan'!B105="Concept/compositional transfer","",'Evaluation Plan'!E105)</x:f>
        <x:v>26</x:v>
      </x:c>
      <x:c r="E105" s="7" t="str">
        <x:f>'Evaluation Plan'!F105</x:f>
        <x:v>Move the upright item into the bowl.</x:v>
      </x:c>
      <x:c r="F105" s="7" t="str">
        <x:f>'Evaluation Plan'!G105</x:f>
        <x:v>P1 white cup A (C, UD); P2 glass spice container B (C, UR) [TARGET]; P3 yellow-white striped cup A (C, UD); P4 brown cup B (O, UD)</x:v>
      </x:c>
      <x:c r="G105" s="10" t="str">
        <x:f>'Evaluation Plan'!H105</x:f>
        <x:v>glass spice container B</x:v>
      </x:c>
      <x:c r="H105" s="10" t="str">
        <x:v>Not started</x:v>
      </x:c>
      <x:c r="I105" s="10"/>
      <x:c r="J105" s="10"/>
      <x:c r="K105" s="7"/>
    </x:row>
    <x:row r="106" ht="54" customHeight="1">
      <x:c r="A106" s="10" t="n">
        <x:f>'Evaluation Plan'!A106</x:f>
        <x:v>104</x:v>
      </x:c>
      <x:c r="B106" s="10" t="str">
        <x:f>'Evaluation Plan'!B106</x:f>
        <x:v>Language robustness</x:v>
      </x:c>
      <x:c r="C106" s="10" t="str">
        <x:f>'Evaluation Plan'!D106</x:f>
        <x:v>SR-F15</x:v>
      </x:c>
      <x:c r="D106" s="10" t="n">
        <x:f>IF('Evaluation Plan'!B106="Concept/compositional transfer","",'Evaluation Plan'!E106)</x:f>
        <x:v>28</x:v>
      </x:c>
      <x:c r="E106" s="7" t="str">
        <x:f>'Evaluation Plan'!F106</x:f>
        <x:v>Place the object with its top pointing upward in the bowl.</x:v>
      </x:c>
      <x:c r="F106" s="7" t="str">
        <x:f>'Evaluation Plan'!G106</x:f>
        <x:v>P1 yellow-white striped cup B (O, UD); P2 brown cup A (C, UD); P3 white cup A (O, UR) [TARGET]; P4 glass spice container A (C, UD)</x:v>
      </x:c>
      <x:c r="G106" s="10" t="str">
        <x:f>'Evaluation Plan'!H106</x:f>
        <x:v>white cup A</x:v>
      </x:c>
      <x:c r="H106" s="10" t="str">
        <x:v>Not started</x:v>
      </x:c>
      <x:c r="I106" s="10"/>
      <x:c r="J106" s="10"/>
      <x:c r="K106" s="7"/>
    </x:row>
    <x:row r="107" ht="54" customHeight="1">
      <x:c r="A107" s="10" t="n">
        <x:f>'Evaluation Plan'!A107</x:f>
        <x:v>105</x:v>
      </x:c>
      <x:c r="B107" s="10" t="str">
        <x:f>'Evaluation Plan'!B107</x:f>
        <x:v>Language robustness</x:v>
      </x:c>
      <x:c r="C107" s="10" t="str">
        <x:f>'Evaluation Plan'!D107</x:f>
        <x:v>SR-F16</x:v>
      </x:c>
      <x:c r="D107" s="10" t="n">
        <x:f>IF('Evaluation Plan'!B107="Concept/compositional transfer","",'Evaluation Plan'!E107)</x:f>
        <x:v>30</x:v>
      </x:c>
      <x:c r="E107" s="7" t="str">
        <x:f>'Evaluation Plan'!F107</x:f>
        <x:v>Place the right-side-up can in the bowl.</x:v>
      </x:c>
      <x:c r="F107" s="7" t="str">
        <x:f>'Evaluation Plan'!G107</x:f>
        <x:v>P1 crushed Pepsi can (UD); P2 glass spice container A (O, UD); P3 white cup B (C, UD); P4 crushed Coke can (UR) [TARGET]</x:v>
      </x:c>
      <x:c r="G107" s="10" t="str">
        <x:f>'Evaluation Plan'!H107</x:f>
        <x:v>crushed Coke can</x:v>
      </x:c>
      <x:c r="H107" s="10" t="str">
        <x:v>Not started</x:v>
      </x:c>
      <x:c r="I107" s="10"/>
      <x:c r="J107" s="10"/>
      <x:c r="K107" s="7"/>
    </x:row>
    <x:row r="108" ht="54" customHeight="1">
      <x:c r="A108" s="10" t="n">
        <x:f>'Evaluation Plan'!A108</x:f>
        <x:v>106</x:v>
      </x:c>
      <x:c r="B108" s="10" t="str">
        <x:f>'Evaluation Plan'!B108</x:f>
        <x:v>Language robustness</x:v>
      </x:c>
      <x:c r="C108" s="10" t="str">
        <x:f>'Evaluation Plan'!D108</x:f>
        <x:v>SR-F17</x:v>
      </x:c>
      <x:c r="D108" s="10" t="n">
        <x:f>IF('Evaluation Plan'!B108="Concept/compositional transfer","",'Evaluation Plan'!E108)</x:f>
        <x:v>32</x:v>
      </x:c>
      <x:c r="E108" s="7" t="str">
        <x:f>'Evaluation Plan'!F108</x:f>
        <x:v>Move the can that is standing upright into the bowl.</x:v>
      </x:c>
      <x:c r="F108" s="7" t="str">
        <x:f>'Evaluation Plan'!G108</x:f>
        <x:v>P1 crushed Pepsi can (UR) [TARGET]; P2 crushed Coke can (UD); P3 white cup A (O, UD); P4 yellow-white striped cup B (C, UD)</x:v>
      </x:c>
      <x:c r="G108" s="10" t="str">
        <x:f>'Evaluation Plan'!H108</x:f>
        <x:v>crushed Pepsi can</x:v>
      </x:c>
      <x:c r="H108" s="10" t="str">
        <x:v>Not started</x:v>
      </x:c>
      <x:c r="I108" s="10"/>
      <x:c r="J108" s="10"/>
      <x:c r="K108" s="7"/>
    </x:row>
    <x:row r="109" ht="54" customHeight="1">
      <x:c r="A109" s="10" t="n">
        <x:f>'Evaluation Plan'!A109</x:f>
        <x:v>107</x:v>
      </x:c>
      <x:c r="B109" s="10" t="str">
        <x:f>'Evaluation Plan'!B109</x:f>
        <x:v>Language robustness</x:v>
      </x:c>
      <x:c r="C109" s="10" t="str">
        <x:f>'Evaluation Plan'!D109</x:f>
        <x:v>SR-F18</x:v>
      </x:c>
      <x:c r="D109" s="10" t="n">
        <x:f>IF('Evaluation Plan'!B109="Concept/compositional transfer","",'Evaluation Plan'!E109)</x:f>
        <x:v>34</x:v>
      </x:c>
      <x:c r="E109" s="7" t="str">
        <x:f>'Evaluation Plan'!F109</x:f>
        <x:v>Put the can that is not overturned in the bowl.</x:v>
      </x:c>
      <x:c r="F109" s="7" t="str">
        <x:f>'Evaluation Plan'!G109</x:f>
        <x:v>P1 crushed Pepsi can (UD); P2 crushed Coke can (UR) [TARGET]; P3 yellow-white striped cup B (C, UD); P4 brown cup A (O, UD)</x:v>
      </x:c>
      <x:c r="G109" s="10" t="str">
        <x:f>'Evaluation Plan'!H109</x:f>
        <x:v>crushed Coke can</x:v>
      </x:c>
      <x:c r="H109" s="10" t="str">
        <x:v>Not started</x:v>
      </x:c>
      <x:c r="I109" s="10"/>
      <x:c r="J109" s="10"/>
      <x:c r="K109" s="7"/>
    </x:row>
    <x:row r="110" ht="54" customHeight="1">
      <x:c r="A110" s="10" t="n">
        <x:f>'Evaluation Plan'!A110</x:f>
        <x:v>108</x:v>
      </x:c>
      <x:c r="B110" s="10" t="str">
        <x:f>'Evaluation Plan'!B110</x:f>
        <x:v>Language robustness</x:v>
      </x:c>
      <x:c r="C110" s="10" t="str">
        <x:f>'Evaluation Plan'!D110</x:f>
        <x:v>SR-F19</x:v>
      </x:c>
      <x:c r="D110" s="10" t="n">
        <x:f>IF('Evaluation Plan'!B110="Concept/compositional transfer","",'Evaluation Plan'!E110)</x:f>
        <x:v>36</x:v>
      </x:c>
      <x:c r="E110" s="7" t="str">
        <x:f>'Evaluation Plan'!F110</x:f>
        <x:v>Move the upright can into the bowl.</x:v>
      </x:c>
      <x:c r="F110" s="7" t="str">
        <x:f>'Evaluation Plan'!G110</x:f>
        <x:v>P1 crushed Coke can (UD); P2 brown cup B (C, UD); P3 crushed Pepsi can (UR) [TARGET]; P4 glass spice container B (C, UD)</x:v>
      </x:c>
      <x:c r="G110" s="10" t="str">
        <x:f>'Evaluation Plan'!H110</x:f>
        <x:v>crushed Pepsi can</x:v>
      </x:c>
      <x:c r="H110" s="10" t="str">
        <x:v>Not started</x:v>
      </x:c>
      <x:c r="I110" s="10"/>
      <x:c r="J110" s="10"/>
      <x:c r="K110" s="7"/>
    </x:row>
    <x:row r="111" ht="54" customHeight="1">
      <x:c r="A111" s="10" t="n">
        <x:f>'Evaluation Plan'!A111</x:f>
        <x:v>109</x:v>
      </x:c>
      <x:c r="B111" s="10" t="str">
        <x:f>'Evaluation Plan'!B111</x:f>
        <x:v>Language robustness</x:v>
      </x:c>
      <x:c r="C111" s="10" t="str">
        <x:f>'Evaluation Plan'!D111</x:f>
        <x:v>SR-F20</x:v>
      </x:c>
      <x:c r="D111" s="10" t="n">
        <x:f>IF('Evaluation Plan'!B111="Concept/compositional transfer","",'Evaluation Plan'!E111)</x:f>
        <x:v>38</x:v>
      </x:c>
      <x:c r="E111" s="7" t="str">
        <x:f>'Evaluation Plan'!F111</x:f>
        <x:v>Place the can with its top pointing upward in the bowl.</x:v>
      </x:c>
      <x:c r="F111" s="7" t="str">
        <x:f>'Evaluation Plan'!G111</x:f>
        <x:v>P1 crushed Pepsi can (UD); P2 glass spice container A (O, UD); P3 white cup B (C, UD); P4 crushed Coke can (UR) [TARGET]</x:v>
      </x:c>
      <x:c r="G111" s="10" t="str">
        <x:f>'Evaluation Plan'!H111</x:f>
        <x:v>crushed Coke can</x:v>
      </x:c>
      <x:c r="H111" s="10" t="str">
        <x:v>Not started</x:v>
      </x:c>
      <x:c r="I111" s="10"/>
      <x:c r="J111" s="10"/>
      <x:c r="K111" s="7"/>
    </x:row>
  </x:sheetData>
  <x:conditionalFormatting sqref="A2:K111">
    <x:cfRule type="expression" dxfId="11" priority="1">
      <x:formula>$H2="Complete"</x:formula>
    </x:cfRule>
    <x:cfRule type="expression" dxfId="12" priority="2">
      <x:formula>$H2="Redo"</x:formula>
    </x:cfRule>
  </x:conditionalFormatting>
  <x:conditionalFormatting sqref="I2:I111">
    <x:cfRule type="containsText" dxfId="13" priority="3" operator="containsText" text="Success"/>
    <x:cfRule type="containsText" dxfId="14" priority="4" operator="containsText" text="Failure"/>
  </x:conditionalFormatting>
  <x:dataValidations count="3">
    <x:dataValidation type="list" sqref="H2:H111">
      <x:formula1>"Not started,Complete,Redo"</x:formula1>
    </x:dataValidation>
    <x:dataValidation type="list" sqref="I2:I111">
      <x:formula1>"Success,Failure,Invalid / Repeat"</x:formula1>
    </x:dataValidation>
    <x:dataValidation type="list" sqref="J2:J111">
      <x:formula1>"Wrong target,No grasp,Drop outside bowl,Timeout,Setup deviation,Hardware fault,Other"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7a8cca7d325407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9" hidden="0" customWidth="1"/>
    <x:col min="3" max="3" width="13" hidden="0" customWidth="1"/>
    <x:col min="4" max="4" width="12" hidden="0" customWidth="1"/>
    <x:col min="5" max="5" width="40" hidden="0" customWidth="1"/>
    <x:col min="6" max="6" width="76" hidden="0" customWidth="1"/>
    <x:col min="7" max="7" width="24" hidden="0" customWidth="1"/>
    <x:col min="8" max="8" width="14" hidden="0" customWidth="1"/>
    <x:col min="9" max="9" width="17" hidden="0" customWidth="1"/>
    <x:col min="10" max="10" width="24" hidden="0" customWidth="1"/>
    <x:col min="11" max="11" width="42" hidden="0" customWidth="1"/>
  </x:cols>
  <x:sheetData>
    <x:row r="1" ht="34" customHeight="1">
      <x:c r="A1" s="5" t="str">
        <x:v>Episode</x:v>
      </x:c>
      <x:c r="B1" s="5" t="str">
        <x:v>Condition</x:v>
      </x:c>
      <x:c r="C1" s="5" t="str">
        <x:v>Scene Family</x:v>
      </x:c>
      <x:c r="D1" s="5" t="str">
        <x:v>Reference Episode</x:v>
      </x:c>
      <x:c r="E1" s="5" t="str">
        <x:v>Prompt</x:v>
      </x:c>
      <x:c r="F1" s="5" t="str">
        <x:v>Scene Setup</x:v>
      </x:c>
      <x:c r="G1" s="5" t="str">
        <x:v>Expected Target</x:v>
      </x:c>
      <x:c r="H1" s="5" t="str">
        <x:v>Status</x:v>
      </x:c>
      <x:c r="I1" s="5" t="str">
        <x:v>Outcome</x:v>
      </x:c>
      <x:c r="J1" s="5" t="str">
        <x:v>Failure Mode</x:v>
      </x:c>
      <x:c r="K1" s="5" t="str">
        <x:v>Notes</x:v>
      </x:c>
    </x:row>
    <x:row r="2" ht="54" customHeight="1">
      <x:c r="A2" s="10" t="n">
        <x:f>'Evaluation Plan'!A2</x:f>
        <x:v>0</x:v>
      </x:c>
      <x:c r="B2" s="10" t="str">
        <x:f>'Evaluation Plan'!B2</x:f>
        <x:v>Concept/compositional transfer</x:v>
      </x:c>
      <x:c r="C2" s="10" t="str">
        <x:f>'Evaluation Plan'!D2</x:f>
        <x:v>SR-F01</x:v>
      </x:c>
      <x:c r="D2" s="10" t="str">
        <x:f>IF('Evaluation Plan'!B2="Concept/compositional transfer","",'Evaluation Plan'!E2)</x:f>
      </x:c>
      <x:c r="E2" s="7" t="str">
        <x:f>'Evaluation Plan'!F2</x:f>
        <x:v>Place the closed object in the bowl.</x:v>
      </x:c>
      <x:c r="F2" s="7" t="str">
        <x:f>'Evaluation Plan'!G2</x:f>
        <x:v>P1 white cup A (C, UR) [TARGET]; P2 yellow-white striped cup A (O, UD); P3 brown cup B (O, UR); P4 glass spice container A (O, UD)</x:v>
      </x:c>
      <x:c r="G2" s="10" t="str">
        <x:f>'Evaluation Plan'!H2</x:f>
        <x:v>white cup A</x:v>
      </x:c>
      <x:c r="H2" s="10" t="str">
        <x:v>Not started</x:v>
      </x:c>
      <x:c r="I2" s="10"/>
      <x:c r="J2" s="10"/>
      <x:c r="K2" s="7"/>
    </x:row>
    <x:row r="3" ht="54" customHeight="1">
      <x:c r="A3" s="10" t="n">
        <x:f>'Evaluation Plan'!A3</x:f>
        <x:v>1</x:v>
      </x:c>
      <x:c r="B3" s="10" t="str">
        <x:f>'Evaluation Plan'!B3</x:f>
        <x:v>Matched manipulation control</x:v>
      </x:c>
      <x:c r="C3" s="10" t="str">
        <x:f>'Evaluation Plan'!D3</x:f>
        <x:v>SR-F01</x:v>
      </x:c>
      <x:c r="D3" s="10" t="n">
        <x:f>IF('Evaluation Plan'!B3="Concept/compositional transfer","",'Evaluation Plan'!E3)</x:f>
        <x:v>0</x:v>
      </x:c>
      <x:c r="E3" s="7" t="str">
        <x:f>'Evaluation Plan'!F3</x:f>
        <x:v>Place the white cup in the bowl.</x:v>
      </x:c>
      <x:c r="F3" s="7" t="str">
        <x:f>'Evaluation Plan'!G3</x:f>
        <x:v>P1 white cup A (C, UR) [TARGET]; P2 yellow-white striped cup A (O, UD); P3 brown cup B (O, UR); P4 glass spice container A (O, UD)</x:v>
      </x:c>
      <x:c r="G3" s="10" t="str">
        <x:f>'Evaluation Plan'!H3</x:f>
        <x:v>white cup A</x:v>
      </x:c>
      <x:c r="H3" s="10" t="str">
        <x:v>Not started</x:v>
      </x:c>
      <x:c r="I3" s="10"/>
      <x:c r="J3" s="10"/>
      <x:c r="K3" s="7"/>
    </x:row>
    <x:row r="4" ht="54" customHeight="1">
      <x:c r="A4" s="10" t="n">
        <x:f>'Evaluation Plan'!A4</x:f>
        <x:v>2</x:v>
      </x:c>
      <x:c r="B4" s="10" t="str">
        <x:f>'Evaluation Plan'!B4</x:f>
        <x:v>Concept/compositional transfer</x:v>
      </x:c>
      <x:c r="C4" s="10" t="str">
        <x:f>'Evaluation Plan'!D4</x:f>
        <x:v>SR-F02</x:v>
      </x:c>
      <x:c r="D4" s="10" t="str">
        <x:f>IF('Evaluation Plan'!B4="Concept/compositional transfer","",'Evaluation Plan'!E4)</x:f>
      </x:c>
      <x:c r="E4" s="7" t="str">
        <x:f>'Evaluation Plan'!F4</x:f>
        <x:v>Put the closed object in the bowl.</x:v>
      </x:c>
      <x:c r="F4" s="7" t="str">
        <x:f>'Evaluation Plan'!G4</x:f>
        <x:v>P1 white cup A (O, UD); P2 yellow-white striped cup B (C, UD) [TARGET]; P3 brown cup A (O, UD); P4 glass spice container B (O, UR)</x:v>
      </x:c>
      <x:c r="G4" s="10" t="str">
        <x:f>'Evaluation Plan'!H4</x:f>
        <x:v>yellow-white striped cup B</x:v>
      </x:c>
      <x:c r="H4" s="10" t="str">
        <x:v>Not started</x:v>
      </x:c>
      <x:c r="I4" s="10"/>
      <x:c r="J4" s="10"/>
      <x:c r="K4" s="7"/>
    </x:row>
    <x:row r="5" ht="54" customHeight="1">
      <x:c r="A5" s="10" t="n">
        <x:f>'Evaluation Plan'!A5</x:f>
        <x:v>3</x:v>
      </x:c>
      <x:c r="B5" s="10" t="str">
        <x:f>'Evaluation Plan'!B5</x:f>
        <x:v>Matched manipulation control</x:v>
      </x:c>
      <x:c r="C5" s="10" t="str">
        <x:f>'Evaluation Plan'!D5</x:f>
        <x:v>SR-F02</x:v>
      </x:c>
      <x:c r="D5" s="10" t="n">
        <x:f>IF('Evaluation Plan'!B5="Concept/compositional transfer","",'Evaluation Plan'!E5)</x:f>
        <x:v>2</x:v>
      </x:c>
      <x:c r="E5" s="7" t="str">
        <x:f>'Evaluation Plan'!F5</x:f>
        <x:v>Put the yellow-white striped cup in the bowl.</x:v>
      </x:c>
      <x:c r="F5" s="7" t="str">
        <x:f>'Evaluation Plan'!G5</x:f>
        <x:v>P1 white cup A (O, UD); P2 yellow-white striped cup B (C, UD) [TARGET]; P3 brown cup A (O, UD); P4 glass spice container B (O, UR)</x:v>
      </x:c>
      <x:c r="G5" s="10" t="str">
        <x:f>'Evaluation Plan'!H5</x:f>
        <x:v>yellow-white striped cup B</x:v>
      </x:c>
      <x:c r="H5" s="10" t="str">
        <x:v>Not started</x:v>
      </x:c>
      <x:c r="I5" s="10"/>
      <x:c r="J5" s="10"/>
      <x:c r="K5" s="7"/>
    </x:row>
    <x:row r="6" ht="54" customHeight="1">
      <x:c r="A6" s="10" t="n">
        <x:f>'Evaluation Plan'!A6</x:f>
        <x:v>4</x:v>
      </x:c>
      <x:c r="B6" s="10" t="str">
        <x:f>'Evaluation Plan'!B6</x:f>
        <x:v>Concept/compositional transfer</x:v>
      </x:c>
      <x:c r="C6" s="10" t="str">
        <x:f>'Evaluation Plan'!D6</x:f>
        <x:v>SR-F03</x:v>
      </x:c>
      <x:c r="D6" s="10" t="str">
        <x:f>IF('Evaluation Plan'!B6="Concept/compositional transfer","",'Evaluation Plan'!E6)</x:f>
      </x:c>
      <x:c r="E6" s="7" t="str">
        <x:f>'Evaluation Plan'!F6</x:f>
        <x:v>Move the closed object into the bowl.</x:v>
      </x:c>
      <x:c r="F6" s="7" t="str">
        <x:f>'Evaluation Plan'!G6</x:f>
        <x:v>P1 white cup B (O, UR); P2 yellow-white striped cup A (O, UD); P3 brown cup A (C, UR) [TARGET]; P4 glass spice container A (O, UD)</x:v>
      </x:c>
      <x:c r="G6" s="10" t="str">
        <x:f>'Evaluation Plan'!H6</x:f>
        <x:v>brown cup A</x:v>
      </x:c>
      <x:c r="H6" s="10" t="str">
        <x:v>Not started</x:v>
      </x:c>
      <x:c r="I6" s="10"/>
      <x:c r="J6" s="10"/>
      <x:c r="K6" s="7"/>
    </x:row>
    <x:row r="7" ht="54" customHeight="1">
      <x:c r="A7" s="10" t="n">
        <x:f>'Evaluation Plan'!A7</x:f>
        <x:v>5</x:v>
      </x:c>
      <x:c r="B7" s="10" t="str">
        <x:f>'Evaluation Plan'!B7</x:f>
        <x:v>Matched manipulation control</x:v>
      </x:c>
      <x:c r="C7" s="10" t="str">
        <x:f>'Evaluation Plan'!D7</x:f>
        <x:v>SR-F03</x:v>
      </x:c>
      <x:c r="D7" s="10" t="n">
        <x:f>IF('Evaluation Plan'!B7="Concept/compositional transfer","",'Evaluation Plan'!E7)</x:f>
        <x:v>4</x:v>
      </x:c>
      <x:c r="E7" s="7" t="str">
        <x:f>'Evaluation Plan'!F7</x:f>
        <x:v>Move the brown cup into the bowl.</x:v>
      </x:c>
      <x:c r="F7" s="7" t="str">
        <x:f>'Evaluation Plan'!G7</x:f>
        <x:v>P1 white cup B (O, UR); P2 yellow-white striped cup A (O, UD); P3 brown cup A (C, UR) [TARGET]; P4 glass spice container A (O, UD)</x:v>
      </x:c>
      <x:c r="G7" s="10" t="str">
        <x:f>'Evaluation Plan'!H7</x:f>
        <x:v>brown cup A</x:v>
      </x:c>
      <x:c r="H7" s="10" t="str">
        <x:v>Not started</x:v>
      </x:c>
      <x:c r="I7" s="10"/>
      <x:c r="J7" s="10"/>
      <x:c r="K7" s="7"/>
    </x:row>
    <x:row r="8" ht="54" customHeight="1">
      <x:c r="A8" s="10" t="n">
        <x:f>'Evaluation Plan'!A8</x:f>
        <x:v>6</x:v>
      </x:c>
      <x:c r="B8" s="10" t="str">
        <x:f>'Evaluation Plan'!B8</x:f>
        <x:v>Concept/compositional transfer</x:v>
      </x:c>
      <x:c r="C8" s="10" t="str">
        <x:f>'Evaluation Plan'!D8</x:f>
        <x:v>SR-F04</x:v>
      </x:c>
      <x:c r="D8" s="10" t="str">
        <x:f>IF('Evaluation Plan'!B8="Concept/compositional transfer","",'Evaluation Plan'!E8)</x:f>
      </x:c>
      <x:c r="E8" s="7" t="str">
        <x:f>'Evaluation Plan'!F8</x:f>
        <x:v>Place the closed object in the bowl.</x:v>
      </x:c>
      <x:c r="F8" s="7" t="str">
        <x:f>'Evaluation Plan'!G8</x:f>
        <x:v>P1 white cup A (O, UD); P2 yellow-white striped cup B (O, UR); P3 brown cup A (O, UD); P4 glass spice container B (C, UD) [TARGET]</x:v>
      </x:c>
      <x:c r="G8" s="10" t="str">
        <x:f>'Evaluation Plan'!H8</x:f>
        <x:v>glass spice container B</x:v>
      </x:c>
      <x:c r="H8" s="10" t="str">
        <x:v>Not started</x:v>
      </x:c>
      <x:c r="I8" s="10"/>
      <x:c r="J8" s="10"/>
      <x:c r="K8" s="7"/>
    </x:row>
    <x:row r="9" ht="54" customHeight="1">
      <x:c r="A9" s="10" t="n">
        <x:f>'Evaluation Plan'!A9</x:f>
        <x:v>7</x:v>
      </x:c>
      <x:c r="B9" s="10" t="str">
        <x:f>'Evaluation Plan'!B9</x:f>
        <x:v>Matched manipulation control</x:v>
      </x:c>
      <x:c r="C9" s="10" t="str">
        <x:f>'Evaluation Plan'!D9</x:f>
        <x:v>SR-F04</x:v>
      </x:c>
      <x:c r="D9" s="10" t="n">
        <x:f>IF('Evaluation Plan'!B9="Concept/compositional transfer","",'Evaluation Plan'!E9)</x:f>
        <x:v>6</x:v>
      </x:c>
      <x:c r="E9" s="7" t="str">
        <x:f>'Evaluation Plan'!F9</x:f>
        <x:v>Place the glass spice container in the bowl.</x:v>
      </x:c>
      <x:c r="F9" s="7" t="str">
        <x:f>'Evaluation Plan'!G9</x:f>
        <x:v>P1 white cup A (O, UD); P2 yellow-white striped cup B (O, UR); P3 brown cup A (O, UD); P4 glass spice container B (C, UD) [TARGET]</x:v>
      </x:c>
      <x:c r="G9" s="10" t="str">
        <x:f>'Evaluation Plan'!H9</x:f>
        <x:v>glass spice container B</x:v>
      </x:c>
      <x:c r="H9" s="10" t="str">
        <x:v>Not started</x:v>
      </x:c>
      <x:c r="I9" s="10"/>
      <x:c r="J9" s="10"/>
      <x:c r="K9" s="7"/>
    </x:row>
    <x:row r="10" ht="54" customHeight="1">
      <x:c r="A10" s="10" t="n">
        <x:f>'Evaluation Plan'!A10</x:f>
        <x:v>8</x:v>
      </x:c>
      <x:c r="B10" s="10" t="str">
        <x:f>'Evaluation Plan'!B10</x:f>
        <x:v>Concept/compositional transfer</x:v>
      </x:c>
      <x:c r="C10" s="10" t="str">
        <x:f>'Evaluation Plan'!D10</x:f>
        <x:v>SR-F05</x:v>
      </x:c>
      <x:c r="D10" s="10" t="str">
        <x:f>IF('Evaluation Plan'!B10="Concept/compositional transfer","",'Evaluation Plan'!E10)</x:f>
      </x:c>
      <x:c r="E10" s="7" t="str">
        <x:f>'Evaluation Plan'!F10</x:f>
        <x:v>Put the closed object in the bowl.</x:v>
      </x:c>
      <x:c r="F10" s="7" t="str">
        <x:f>'Evaluation Plan'!G10</x:f>
        <x:v>P1 white cup A (C, UR) [TARGET]; P2 yellow-white striped cup A (O, UD); P3 brown cup B (O, UR); P4 glass spice container A (O, UD)</x:v>
      </x:c>
      <x:c r="G10" s="10" t="str">
        <x:f>'Evaluation Plan'!H10</x:f>
        <x:v>white cup A</x:v>
      </x:c>
      <x:c r="H10" s="10" t="str">
        <x:v>Not started</x:v>
      </x:c>
      <x:c r="I10" s="10"/>
      <x:c r="J10" s="10"/>
      <x:c r="K10" s="7"/>
    </x:row>
    <x:row r="11" ht="54" customHeight="1">
      <x:c r="A11" s="10" t="n">
        <x:f>'Evaluation Plan'!A11</x:f>
        <x:v>9</x:v>
      </x:c>
      <x:c r="B11" s="10" t="str">
        <x:f>'Evaluation Plan'!B11</x:f>
        <x:v>Matched manipulation control</x:v>
      </x:c>
      <x:c r="C11" s="10" t="str">
        <x:f>'Evaluation Plan'!D11</x:f>
        <x:v>SR-F05</x:v>
      </x:c>
      <x:c r="D11" s="10" t="n">
        <x:f>IF('Evaluation Plan'!B11="Concept/compositional transfer","",'Evaluation Plan'!E11)</x:f>
        <x:v>8</x:v>
      </x:c>
      <x:c r="E11" s="7" t="str">
        <x:f>'Evaluation Plan'!F11</x:f>
        <x:v>Put the white cup in the bowl.</x:v>
      </x:c>
      <x:c r="F11" s="7" t="str">
        <x:f>'Evaluation Plan'!G11</x:f>
        <x:v>P1 white cup A (C, UR) [TARGET]; P2 yellow-white striped cup A (O, UD); P3 brown cup B (O, UR); P4 glass spice container A (O, UD)</x:v>
      </x:c>
      <x:c r="G11" s="10" t="str">
        <x:f>'Evaluation Plan'!H11</x:f>
        <x:v>white cup A</x:v>
      </x:c>
      <x:c r="H11" s="10" t="str">
        <x:v>Not started</x:v>
      </x:c>
      <x:c r="I11" s="10"/>
      <x:c r="J11" s="10"/>
      <x:c r="K11" s="7"/>
    </x:row>
    <x:row r="12" ht="54" customHeight="1">
      <x:c r="A12" s="10" t="n">
        <x:f>'Evaluation Plan'!A12</x:f>
        <x:v>10</x:v>
      </x:c>
      <x:c r="B12" s="10" t="str">
        <x:f>'Evaluation Plan'!B12</x:f>
        <x:v>Concept/compositional transfer</x:v>
      </x:c>
      <x:c r="C12" s="10" t="str">
        <x:f>'Evaluation Plan'!D12</x:f>
        <x:v>SR-F06</x:v>
      </x:c>
      <x:c r="D12" s="10" t="str">
        <x:f>IF('Evaluation Plan'!B12="Concept/compositional transfer","",'Evaluation Plan'!E12)</x:f>
      </x:c>
      <x:c r="E12" s="7" t="str">
        <x:f>'Evaluation Plan'!F12</x:f>
        <x:v>Move the closed object into the bowl.</x:v>
      </x:c>
      <x:c r="F12" s="7" t="str">
        <x:f>'Evaluation Plan'!G12</x:f>
        <x:v>P1 white cup A (O, UD); P2 yellow-white striped cup B (C, UD) [TARGET]; P3 brown cup A (O, UD); P4 glass spice container B (O, UR)</x:v>
      </x:c>
      <x:c r="G12" s="10" t="str">
        <x:f>'Evaluation Plan'!H12</x:f>
        <x:v>yellow-white striped cup B</x:v>
      </x:c>
      <x:c r="H12" s="10" t="str">
        <x:v>Not started</x:v>
      </x:c>
      <x:c r="I12" s="10"/>
      <x:c r="J12" s="10"/>
      <x:c r="K12" s="7"/>
    </x:row>
    <x:row r="13" ht="54" customHeight="1">
      <x:c r="A13" s="10" t="n">
        <x:f>'Evaluation Plan'!A13</x:f>
        <x:v>11</x:v>
      </x:c>
      <x:c r="B13" s="10" t="str">
        <x:f>'Evaluation Plan'!B13</x:f>
        <x:v>Matched manipulation control</x:v>
      </x:c>
      <x:c r="C13" s="10" t="str">
        <x:f>'Evaluation Plan'!D13</x:f>
        <x:v>SR-F06</x:v>
      </x:c>
      <x:c r="D13" s="10" t="n">
        <x:f>IF('Evaluation Plan'!B13="Concept/compositional transfer","",'Evaluation Plan'!E13)</x:f>
        <x:v>10</x:v>
      </x:c>
      <x:c r="E13" s="7" t="str">
        <x:f>'Evaluation Plan'!F13</x:f>
        <x:v>Move the yellow-white striped cup into the bowl.</x:v>
      </x:c>
      <x:c r="F13" s="7" t="str">
        <x:f>'Evaluation Plan'!G13</x:f>
        <x:v>P1 white cup A (O, UD); P2 yellow-white striped cup B (C, UD) [TARGET]; P3 brown cup A (O, UD); P4 glass spice container B (O, UR)</x:v>
      </x:c>
      <x:c r="G13" s="10" t="str">
        <x:f>'Evaluation Plan'!H13</x:f>
        <x:v>yellow-white striped cup B</x:v>
      </x:c>
      <x:c r="H13" s="10" t="str">
        <x:v>Not started</x:v>
      </x:c>
      <x:c r="I13" s="10"/>
      <x:c r="J13" s="10"/>
      <x:c r="K13" s="7"/>
    </x:row>
    <x:row r="14" ht="54" customHeight="1">
      <x:c r="A14" s="10" t="n">
        <x:f>'Evaluation Plan'!A14</x:f>
        <x:v>12</x:v>
      </x:c>
      <x:c r="B14" s="10" t="str">
        <x:f>'Evaluation Plan'!B14</x:f>
        <x:v>Concept/compositional transfer</x:v>
      </x:c>
      <x:c r="C14" s="10" t="str">
        <x:f>'Evaluation Plan'!D14</x:f>
        <x:v>SR-F07</x:v>
      </x:c>
      <x:c r="D14" s="10" t="str">
        <x:f>IF('Evaluation Plan'!B14="Concept/compositional transfer","",'Evaluation Plan'!E14)</x:f>
      </x:c>
      <x:c r="E14" s="7" t="str">
        <x:f>'Evaluation Plan'!F14</x:f>
        <x:v>Place the closed object in the bowl.</x:v>
      </x:c>
      <x:c r="F14" s="7" t="str">
        <x:f>'Evaluation Plan'!G14</x:f>
        <x:v>P1 white cup B (O, UR); P2 yellow-white striped cup A (O, UD); P3 brown cup A (C, UR) [TARGET]; P4 glass spice container A (O, UD)</x:v>
      </x:c>
      <x:c r="G14" s="10" t="str">
        <x:f>'Evaluation Plan'!H14</x:f>
        <x:v>brown cup A</x:v>
      </x:c>
      <x:c r="H14" s="10" t="str">
        <x:v>Not started</x:v>
      </x:c>
      <x:c r="I14" s="10"/>
      <x:c r="J14" s="10"/>
      <x:c r="K14" s="7"/>
    </x:row>
    <x:row r="15" ht="54" customHeight="1">
      <x:c r="A15" s="10" t="n">
        <x:f>'Evaluation Plan'!A15</x:f>
        <x:v>13</x:v>
      </x:c>
      <x:c r="B15" s="10" t="str">
        <x:f>'Evaluation Plan'!B15</x:f>
        <x:v>Matched manipulation control</x:v>
      </x:c>
      <x:c r="C15" s="10" t="str">
        <x:f>'Evaluation Plan'!D15</x:f>
        <x:v>SR-F07</x:v>
      </x:c>
      <x:c r="D15" s="10" t="n">
        <x:f>IF('Evaluation Plan'!B15="Concept/compositional transfer","",'Evaluation Plan'!E15)</x:f>
        <x:v>12</x:v>
      </x:c>
      <x:c r="E15" s="7" t="str">
        <x:f>'Evaluation Plan'!F15</x:f>
        <x:v>Place the brown cup in the bowl.</x:v>
      </x:c>
      <x:c r="F15" s="7" t="str">
        <x:f>'Evaluation Plan'!G15</x:f>
        <x:v>P1 white cup B (O, UR); P2 yellow-white striped cup A (O, UD); P3 brown cup A (C, UR) [TARGET]; P4 glass spice container A (O, UD)</x:v>
      </x:c>
      <x:c r="G15" s="10" t="str">
        <x:f>'Evaluation Plan'!H15</x:f>
        <x:v>brown cup A</x:v>
      </x:c>
      <x:c r="H15" s="10" t="str">
        <x:v>Not started</x:v>
      </x:c>
      <x:c r="I15" s="10"/>
      <x:c r="J15" s="10"/>
      <x:c r="K15" s="7"/>
    </x:row>
    <x:row r="16" ht="54" customHeight="1">
      <x:c r="A16" s="10" t="n">
        <x:f>'Evaluation Plan'!A16</x:f>
        <x:v>14</x:v>
      </x:c>
      <x:c r="B16" s="10" t="str">
        <x:f>'Evaluation Plan'!B16</x:f>
        <x:v>Concept/compositional transfer</x:v>
      </x:c>
      <x:c r="C16" s="10" t="str">
        <x:f>'Evaluation Plan'!D16</x:f>
        <x:v>SR-F08</x:v>
      </x:c>
      <x:c r="D16" s="10" t="str">
        <x:f>IF('Evaluation Plan'!B16="Concept/compositional transfer","",'Evaluation Plan'!E16)</x:f>
      </x:c>
      <x:c r="E16" s="7" t="str">
        <x:f>'Evaluation Plan'!F16</x:f>
        <x:v>Put the closed object in the bowl.</x:v>
      </x:c>
      <x:c r="F16" s="7" t="str">
        <x:f>'Evaluation Plan'!G16</x:f>
        <x:v>P1 white cup A (O, UD); P2 yellow-white striped cup B (O, UR); P3 brown cup A (O, UD); P4 glass spice container B (C, UD) [TARGET]</x:v>
      </x:c>
      <x:c r="G16" s="10" t="str">
        <x:f>'Evaluation Plan'!H16</x:f>
        <x:v>glass spice container B</x:v>
      </x:c>
      <x:c r="H16" s="10" t="str">
        <x:v>Not started</x:v>
      </x:c>
      <x:c r="I16" s="10"/>
      <x:c r="J16" s="10"/>
      <x:c r="K16" s="7"/>
    </x:row>
    <x:row r="17" ht="54" customHeight="1">
      <x:c r="A17" s="10" t="n">
        <x:f>'Evaluation Plan'!A17</x:f>
        <x:v>15</x:v>
      </x:c>
      <x:c r="B17" s="10" t="str">
        <x:f>'Evaluation Plan'!B17</x:f>
        <x:v>Matched manipulation control</x:v>
      </x:c>
      <x:c r="C17" s="10" t="str">
        <x:f>'Evaluation Plan'!D17</x:f>
        <x:v>SR-F08</x:v>
      </x:c>
      <x:c r="D17" s="10" t="n">
        <x:f>IF('Evaluation Plan'!B17="Concept/compositional transfer","",'Evaluation Plan'!E17)</x:f>
        <x:v>14</x:v>
      </x:c>
      <x:c r="E17" s="7" t="str">
        <x:f>'Evaluation Plan'!F17</x:f>
        <x:v>Put the glass spice container in the bowl.</x:v>
      </x:c>
      <x:c r="F17" s="7" t="str">
        <x:f>'Evaluation Plan'!G17</x:f>
        <x:v>P1 white cup A (O, UD); P2 yellow-white striped cup B (O, UR); P3 brown cup A (O, UD); P4 glass spice container B (C, UD) [TARGET]</x:v>
      </x:c>
      <x:c r="G17" s="10" t="str">
        <x:f>'Evaluation Plan'!H17</x:f>
        <x:v>glass spice container B</x:v>
      </x:c>
      <x:c r="H17" s="10" t="str">
        <x:v>Not started</x:v>
      </x:c>
      <x:c r="I17" s="10"/>
      <x:c r="J17" s="10"/>
      <x:c r="K17" s="7"/>
    </x:row>
    <x:row r="18" ht="54" customHeight="1">
      <x:c r="A18" s="10" t="n">
        <x:f>'Evaluation Plan'!A18</x:f>
        <x:v>16</x:v>
      </x:c>
      <x:c r="B18" s="10" t="str">
        <x:f>'Evaluation Plan'!B18</x:f>
        <x:v>Concept/compositional transfer</x:v>
      </x:c>
      <x:c r="C18" s="10" t="str">
        <x:f>'Evaluation Plan'!D18</x:f>
        <x:v>SR-F09</x:v>
      </x:c>
      <x:c r="D18" s="10" t="str">
        <x:f>IF('Evaluation Plan'!B18="Concept/compositional transfer","",'Evaluation Plan'!E18)</x:f>
      </x:c>
      <x:c r="E18" s="7" t="str">
        <x:f>'Evaluation Plan'!F18</x:f>
        <x:v>Move the closed object into the bowl.</x:v>
      </x:c>
      <x:c r="F18" s="7" t="str">
        <x:f>'Evaluation Plan'!G18</x:f>
        <x:v>P1 white cup A (C, UR) [TARGET]; P2 yellow-white striped cup A (O, UD); P3 brown cup B (O, UR); P4 glass spice container A (O, UD)</x:v>
      </x:c>
      <x:c r="G18" s="10" t="str">
        <x:f>'Evaluation Plan'!H18</x:f>
        <x:v>white cup A</x:v>
      </x:c>
      <x:c r="H18" s="10" t="str">
        <x:v>Not started</x:v>
      </x:c>
      <x:c r="I18" s="10"/>
      <x:c r="J18" s="10"/>
      <x:c r="K18" s="7"/>
    </x:row>
    <x:row r="19" ht="54" customHeight="1">
      <x:c r="A19" s="10" t="n">
        <x:f>'Evaluation Plan'!A19</x:f>
        <x:v>17</x:v>
      </x:c>
      <x:c r="B19" s="10" t="str">
        <x:f>'Evaluation Plan'!B19</x:f>
        <x:v>Matched manipulation control</x:v>
      </x:c>
      <x:c r="C19" s="10" t="str">
        <x:f>'Evaluation Plan'!D19</x:f>
        <x:v>SR-F09</x:v>
      </x:c>
      <x:c r="D19" s="10" t="n">
        <x:f>IF('Evaluation Plan'!B19="Concept/compositional transfer","",'Evaluation Plan'!E19)</x:f>
        <x:v>16</x:v>
      </x:c>
      <x:c r="E19" s="7" t="str">
        <x:f>'Evaluation Plan'!F19</x:f>
        <x:v>Move the white cup into the bowl.</x:v>
      </x:c>
      <x:c r="F19" s="7" t="str">
        <x:f>'Evaluation Plan'!G19</x:f>
        <x:v>P1 white cup A (C, UR) [TARGET]; P2 yellow-white striped cup A (O, UD); P3 brown cup B (O, UR); P4 glass spice container A (O, UD)</x:v>
      </x:c>
      <x:c r="G19" s="10" t="str">
        <x:f>'Evaluation Plan'!H19</x:f>
        <x:v>white cup A</x:v>
      </x:c>
      <x:c r="H19" s="10" t="str">
        <x:v>Not started</x:v>
      </x:c>
      <x:c r="I19" s="10"/>
      <x:c r="J19" s="10"/>
      <x:c r="K19" s="7"/>
    </x:row>
    <x:row r="20" ht="54" customHeight="1">
      <x:c r="A20" s="10" t="n">
        <x:f>'Evaluation Plan'!A20</x:f>
        <x:v>18</x:v>
      </x:c>
      <x:c r="B20" s="10" t="str">
        <x:f>'Evaluation Plan'!B20</x:f>
        <x:v>Concept/compositional transfer</x:v>
      </x:c>
      <x:c r="C20" s="10" t="str">
        <x:f>'Evaluation Plan'!D20</x:f>
        <x:v>SR-F10</x:v>
      </x:c>
      <x:c r="D20" s="10" t="str">
        <x:f>IF('Evaluation Plan'!B20="Concept/compositional transfer","",'Evaluation Plan'!E20)</x:f>
      </x:c>
      <x:c r="E20" s="7" t="str">
        <x:f>'Evaluation Plan'!F20</x:f>
        <x:v>Place the closed object in the bowl.</x:v>
      </x:c>
      <x:c r="F20" s="7" t="str">
        <x:f>'Evaluation Plan'!G20</x:f>
        <x:v>P1 white cup A (O, UD); P2 brown cup B (C, UD) [TARGET]; P3 yellow-white striped cup A (O, UD); P4 glass spice container B (O, UR)</x:v>
      </x:c>
      <x:c r="G20" s="10" t="str">
        <x:f>'Evaluation Plan'!H20</x:f>
        <x:v>brown cup B</x:v>
      </x:c>
      <x:c r="H20" s="10" t="str">
        <x:v>Not started</x:v>
      </x:c>
      <x:c r="I20" s="10"/>
      <x:c r="J20" s="10"/>
      <x:c r="K20" s="7"/>
    </x:row>
    <x:row r="21" ht="54" customHeight="1">
      <x:c r="A21" s="10" t="n">
        <x:f>'Evaluation Plan'!A21</x:f>
        <x:v>19</x:v>
      </x:c>
      <x:c r="B21" s="10" t="str">
        <x:f>'Evaluation Plan'!B21</x:f>
        <x:v>Matched manipulation control</x:v>
      </x:c>
      <x:c r="C21" s="10" t="str">
        <x:f>'Evaluation Plan'!D21</x:f>
        <x:v>SR-F10</x:v>
      </x:c>
      <x:c r="D21" s="10" t="n">
        <x:f>IF('Evaluation Plan'!B21="Concept/compositional transfer","",'Evaluation Plan'!E21)</x:f>
        <x:v>18</x:v>
      </x:c>
      <x:c r="E21" s="7" t="str">
        <x:f>'Evaluation Plan'!F21</x:f>
        <x:v>Place the brown cup in the bowl.</x:v>
      </x:c>
      <x:c r="F21" s="7" t="str">
        <x:f>'Evaluation Plan'!G21</x:f>
        <x:v>P1 white cup A (O, UD); P2 brown cup B (C, UD) [TARGET]; P3 yellow-white striped cup A (O, UD); P4 glass spice container B (O, UR)</x:v>
      </x:c>
      <x:c r="G21" s="10" t="str">
        <x:f>'Evaluation Plan'!H21</x:f>
        <x:v>brown cup B</x:v>
      </x:c>
      <x:c r="H21" s="10" t="str">
        <x:v>Not started</x:v>
      </x:c>
      <x:c r="I21" s="10"/>
      <x:c r="J21" s="10"/>
      <x:c r="K21" s="7"/>
    </x:row>
    <x:row r="22" ht="54" customHeight="1">
      <x:c r="A22" s="10" t="n">
        <x:f>'Evaluation Plan'!A22</x:f>
        <x:v>20</x:v>
      </x:c>
      <x:c r="B22" s="10" t="str">
        <x:f>'Evaluation Plan'!B22</x:f>
        <x:v>Concept/compositional transfer</x:v>
      </x:c>
      <x:c r="C22" s="10" t="str">
        <x:f>'Evaluation Plan'!D22</x:f>
        <x:v>SR-F11</x:v>
      </x:c>
      <x:c r="D22" s="10" t="str">
        <x:f>IF('Evaluation Plan'!B22="Concept/compositional transfer","",'Evaluation Plan'!E22)</x:f>
      </x:c>
      <x:c r="E22" s="7" t="str">
        <x:f>'Evaluation Plan'!F22</x:f>
        <x:v>Put the upright object in the bowl.</x:v>
      </x:c>
      <x:c r="F22" s="7" t="str">
        <x:f>'Evaluation Plan'!G22</x:f>
        <x:v>P1 yellow-white striped cup B (O, UD); P2 brown cup A (C, UD); P3 white cup A (O, UR) [TARGET]; P4 glass spice container A (C, UD)</x:v>
      </x:c>
      <x:c r="G22" s="10" t="str">
        <x:f>'Evaluation Plan'!H22</x:f>
        <x:v>white cup A</x:v>
      </x:c>
      <x:c r="H22" s="10" t="str">
        <x:v>Not started</x:v>
      </x:c>
      <x:c r="I22" s="10"/>
      <x:c r="J22" s="10"/>
      <x:c r="K22" s="7"/>
    </x:row>
    <x:row r="23" ht="54" customHeight="1">
      <x:c r="A23" s="10" t="n">
        <x:f>'Evaluation Plan'!A23</x:f>
        <x:v>21</x:v>
      </x:c>
      <x:c r="B23" s="10" t="str">
        <x:f>'Evaluation Plan'!B23</x:f>
        <x:v>Matched manipulation control</x:v>
      </x:c>
      <x:c r="C23" s="10" t="str">
        <x:f>'Evaluation Plan'!D23</x:f>
        <x:v>SR-F11</x:v>
      </x:c>
      <x:c r="D23" s="10" t="n">
        <x:f>IF('Evaluation Plan'!B23="Concept/compositional transfer","",'Evaluation Plan'!E23)</x:f>
        <x:v>20</x:v>
      </x:c>
      <x:c r="E23" s="7" t="str">
        <x:f>'Evaluation Plan'!F23</x:f>
        <x:v>Put the white cup in the bowl.</x:v>
      </x:c>
      <x:c r="F23" s="7" t="str">
        <x:f>'Evaluation Plan'!G23</x:f>
        <x:v>P1 yellow-white striped cup B (O, UD); P2 brown cup A (C, UD); P3 white cup A (O, UR) [TARGET]; P4 glass spice container A (C, UD)</x:v>
      </x:c>
      <x:c r="G23" s="10" t="str">
        <x:f>'Evaluation Plan'!H23</x:f>
        <x:v>white cup A</x:v>
      </x:c>
      <x:c r="H23" s="10" t="str">
        <x:v>Not started</x:v>
      </x:c>
      <x:c r="I23" s="10"/>
      <x:c r="J23" s="10"/>
      <x:c r="K23" s="7"/>
    </x:row>
    <x:row r="24" ht="54" customHeight="1">
      <x:c r="A24" s="10" t="n">
        <x:f>'Evaluation Plan'!A24</x:f>
        <x:v>22</x:v>
      </x:c>
      <x:c r="B24" s="10" t="str">
        <x:f>'Evaluation Plan'!B24</x:f>
        <x:v>Concept/compositional transfer</x:v>
      </x:c>
      <x:c r="C24" s="10" t="str">
        <x:f>'Evaluation Plan'!D24</x:f>
        <x:v>SR-F12</x:v>
      </x:c>
      <x:c r="D24" s="10" t="str">
        <x:f>IF('Evaluation Plan'!B24="Concept/compositional transfer","",'Evaluation Plan'!E24)</x:f>
      </x:c>
      <x:c r="E24" s="7" t="str">
        <x:f>'Evaluation Plan'!F24</x:f>
        <x:v>Move the upright object into the bowl.</x:v>
      </x:c>
      <x:c r="F24" s="7" t="str">
        <x:f>'Evaluation Plan'!G24</x:f>
        <x:v>P1 white cup A (C, UD); P2 brown cup B (O, UD); P3 glass spice container A (C, UD); P4 yellow-white striped cup B (C, UR) [TARGET]</x:v>
      </x:c>
      <x:c r="G24" s="10" t="str">
        <x:f>'Evaluation Plan'!H24</x:f>
        <x:v>yellow-white striped cup B</x:v>
      </x:c>
      <x:c r="H24" s="10" t="str">
        <x:v>Not started</x:v>
      </x:c>
      <x:c r="I24" s="10"/>
      <x:c r="J24" s="10"/>
      <x:c r="K24" s="7"/>
    </x:row>
    <x:row r="25" ht="54" customHeight="1">
      <x:c r="A25" s="10" t="n">
        <x:f>'Evaluation Plan'!A25</x:f>
        <x:v>23</x:v>
      </x:c>
      <x:c r="B25" s="10" t="str">
        <x:f>'Evaluation Plan'!B25</x:f>
        <x:v>Matched manipulation control</x:v>
      </x:c>
      <x:c r="C25" s="10" t="str">
        <x:f>'Evaluation Plan'!D25</x:f>
        <x:v>SR-F12</x:v>
      </x:c>
      <x:c r="D25" s="10" t="n">
        <x:f>IF('Evaluation Plan'!B25="Concept/compositional transfer","",'Evaluation Plan'!E25)</x:f>
        <x:v>22</x:v>
      </x:c>
      <x:c r="E25" s="7" t="str">
        <x:f>'Evaluation Plan'!F25</x:f>
        <x:v>Move the yellow-white striped cup into the bowl.</x:v>
      </x:c>
      <x:c r="F25" s="7" t="str">
        <x:f>'Evaluation Plan'!G25</x:f>
        <x:v>P1 white cup A (C, UD); P2 brown cup B (O, UD); P3 glass spice container A (C, UD); P4 yellow-white striped cup B (C, UR) [TARGET]</x:v>
      </x:c>
      <x:c r="G25" s="10" t="str">
        <x:f>'Evaluation Plan'!H25</x:f>
        <x:v>yellow-white striped cup B</x:v>
      </x:c>
      <x:c r="H25" s="10" t="str">
        <x:v>Not started</x:v>
      </x:c>
      <x:c r="I25" s="10"/>
      <x:c r="J25" s="10"/>
      <x:c r="K25" s="7"/>
    </x:row>
    <x:row r="26" ht="54" customHeight="1">
      <x:c r="A26" s="10" t="n">
        <x:f>'Evaluation Plan'!A26</x:f>
        <x:v>24</x:v>
      </x:c>
      <x:c r="B26" s="10" t="str">
        <x:f>'Evaluation Plan'!B26</x:f>
        <x:v>Concept/compositional transfer</x:v>
      </x:c>
      <x:c r="C26" s="10" t="str">
        <x:f>'Evaluation Plan'!D26</x:f>
        <x:v>SR-F13</x:v>
      </x:c>
      <x:c r="D26" s="10" t="str">
        <x:f>IF('Evaluation Plan'!B26="Concept/compositional transfer","",'Evaluation Plan'!E26)</x:f>
      </x:c>
      <x:c r="E26" s="7" t="str">
        <x:f>'Evaluation Plan'!F26</x:f>
        <x:v>Place the upright object in the bowl.</x:v>
      </x:c>
      <x:c r="F26" s="7" t="str">
        <x:f>'Evaluation Plan'!G26</x:f>
        <x:v>P1 brown cup A (O, UR) [TARGET]; P2 white cup A (C, UD); P3 yellow-white striped cup B (O, UD); P4 glass spice container A (C, UD)</x:v>
      </x:c>
      <x:c r="G26" s="10" t="str">
        <x:f>'Evaluation Plan'!H26</x:f>
        <x:v>brown cup A</x:v>
      </x:c>
      <x:c r="H26" s="10" t="str">
        <x:v>Not started</x:v>
      </x:c>
      <x:c r="I26" s="10"/>
      <x:c r="J26" s="10"/>
      <x:c r="K26" s="7"/>
    </x:row>
    <x:row r="27" ht="54" customHeight="1">
      <x:c r="A27" s="10" t="n">
        <x:f>'Evaluation Plan'!A27</x:f>
        <x:v>25</x:v>
      </x:c>
      <x:c r="B27" s="10" t="str">
        <x:f>'Evaluation Plan'!B27</x:f>
        <x:v>Matched manipulation control</x:v>
      </x:c>
      <x:c r="C27" s="10" t="str">
        <x:f>'Evaluation Plan'!D27</x:f>
        <x:v>SR-F13</x:v>
      </x:c>
      <x:c r="D27" s="10" t="n">
        <x:f>IF('Evaluation Plan'!B27="Concept/compositional transfer","",'Evaluation Plan'!E27)</x:f>
        <x:v>24</x:v>
      </x:c>
      <x:c r="E27" s="7" t="str">
        <x:f>'Evaluation Plan'!F27</x:f>
        <x:v>Place the brown cup in the bowl.</x:v>
      </x:c>
      <x:c r="F27" s="7" t="str">
        <x:f>'Evaluation Plan'!G27</x:f>
        <x:v>P1 brown cup A (O, UR) [TARGET]; P2 white cup A (C, UD); P3 yellow-white striped cup B (O, UD); P4 glass spice container A (C, UD)</x:v>
      </x:c>
      <x:c r="G27" s="10" t="str">
        <x:f>'Evaluation Plan'!H27</x:f>
        <x:v>brown cup A</x:v>
      </x:c>
      <x:c r="H27" s="10" t="str">
        <x:v>Not started</x:v>
      </x:c>
      <x:c r="I27" s="10"/>
      <x:c r="J27" s="10"/>
      <x:c r="K27" s="7"/>
    </x:row>
    <x:row r="28" ht="54" customHeight="1">
      <x:c r="A28" s="10" t="n">
        <x:f>'Evaluation Plan'!A28</x:f>
        <x:v>26</x:v>
      </x:c>
      <x:c r="B28" s="10" t="str">
        <x:f>'Evaluation Plan'!B28</x:f>
        <x:v>Concept/compositional transfer</x:v>
      </x:c>
      <x:c r="C28" s="10" t="str">
        <x:f>'Evaluation Plan'!D28</x:f>
        <x:v>SR-F14</x:v>
      </x:c>
      <x:c r="D28" s="10" t="str">
        <x:f>IF('Evaluation Plan'!B28="Concept/compositional transfer","",'Evaluation Plan'!E28)</x:f>
      </x:c>
      <x:c r="E28" s="7" t="str">
        <x:f>'Evaluation Plan'!F28</x:f>
        <x:v>Put the upright object in the bowl.</x:v>
      </x:c>
      <x:c r="F28" s="7" t="str">
        <x:f>'Evaluation Plan'!G28</x:f>
        <x:v>P1 white cup A (C, UD); P2 glass spice container B (C, UR) [TARGET]; P3 yellow-white striped cup A (C, UD); P4 brown cup B (O, UD)</x:v>
      </x:c>
      <x:c r="G28" s="10" t="str">
        <x:f>'Evaluation Plan'!H28</x:f>
        <x:v>glass spice container B</x:v>
      </x:c>
      <x:c r="H28" s="10" t="str">
        <x:v>Not started</x:v>
      </x:c>
      <x:c r="I28" s="10"/>
      <x:c r="J28" s="10"/>
      <x:c r="K28" s="7"/>
    </x:row>
    <x:row r="29" ht="54" customHeight="1">
      <x:c r="A29" s="10" t="n">
        <x:f>'Evaluation Plan'!A29</x:f>
        <x:v>27</x:v>
      </x:c>
      <x:c r="B29" s="10" t="str">
        <x:f>'Evaluation Plan'!B29</x:f>
        <x:v>Matched manipulation control</x:v>
      </x:c>
      <x:c r="C29" s="10" t="str">
        <x:f>'Evaluation Plan'!D29</x:f>
        <x:v>SR-F14</x:v>
      </x:c>
      <x:c r="D29" s="10" t="n">
        <x:f>IF('Evaluation Plan'!B29="Concept/compositional transfer","",'Evaluation Plan'!E29)</x:f>
        <x:v>26</x:v>
      </x:c>
      <x:c r="E29" s="7" t="str">
        <x:f>'Evaluation Plan'!F29</x:f>
        <x:v>Put the glass spice container in the bowl.</x:v>
      </x:c>
      <x:c r="F29" s="7" t="str">
        <x:f>'Evaluation Plan'!G29</x:f>
        <x:v>P1 white cup A (C, UD); P2 glass spice container B (C, UR) [TARGET]; P3 yellow-white striped cup A (C, UD); P4 brown cup B (O, UD)</x:v>
      </x:c>
      <x:c r="G29" s="10" t="str">
        <x:f>'Evaluation Plan'!H29</x:f>
        <x:v>glass spice container B</x:v>
      </x:c>
      <x:c r="H29" s="10" t="str">
        <x:v>Not started</x:v>
      </x:c>
      <x:c r="I29" s="10"/>
      <x:c r="J29" s="10"/>
      <x:c r="K29" s="7"/>
    </x:row>
    <x:row r="30" ht="54" customHeight="1">
      <x:c r="A30" s="10" t="n">
        <x:f>'Evaluation Plan'!A30</x:f>
        <x:v>28</x:v>
      </x:c>
      <x:c r="B30" s="10" t="str">
        <x:f>'Evaluation Plan'!B30</x:f>
        <x:v>Concept/compositional transfer</x:v>
      </x:c>
      <x:c r="C30" s="10" t="str">
        <x:f>'Evaluation Plan'!D30</x:f>
        <x:v>SR-F15</x:v>
      </x:c>
      <x:c r="D30" s="10" t="str">
        <x:f>IF('Evaluation Plan'!B30="Concept/compositional transfer","",'Evaluation Plan'!E30)</x:f>
      </x:c>
      <x:c r="E30" s="7" t="str">
        <x:f>'Evaluation Plan'!F30</x:f>
        <x:v>Move the upright object into the bowl.</x:v>
      </x:c>
      <x:c r="F30" s="7" t="str">
        <x:f>'Evaluation Plan'!G30</x:f>
        <x:v>P1 yellow-white striped cup B (O, UD); P2 brown cup A (C, UD); P3 white cup A (O, UR) [TARGET]; P4 glass spice container A (C, UD)</x:v>
      </x:c>
      <x:c r="G30" s="10" t="str">
        <x:f>'Evaluation Plan'!H30</x:f>
        <x:v>white cup A</x:v>
      </x:c>
      <x:c r="H30" s="10" t="str">
        <x:v>Not started</x:v>
      </x:c>
      <x:c r="I30" s="10"/>
      <x:c r="J30" s="10"/>
      <x:c r="K30" s="7"/>
    </x:row>
    <x:row r="31" ht="54" customHeight="1">
      <x:c r="A31" s="10" t="n">
        <x:f>'Evaluation Plan'!A31</x:f>
        <x:v>29</x:v>
      </x:c>
      <x:c r="B31" s="10" t="str">
        <x:f>'Evaluation Plan'!B31</x:f>
        <x:v>Matched manipulation control</x:v>
      </x:c>
      <x:c r="C31" s="10" t="str">
        <x:f>'Evaluation Plan'!D31</x:f>
        <x:v>SR-F15</x:v>
      </x:c>
      <x:c r="D31" s="10" t="n">
        <x:f>IF('Evaluation Plan'!B31="Concept/compositional transfer","",'Evaluation Plan'!E31)</x:f>
        <x:v>28</x:v>
      </x:c>
      <x:c r="E31" s="7" t="str">
        <x:f>'Evaluation Plan'!F31</x:f>
        <x:v>Move the white cup into the bowl.</x:v>
      </x:c>
      <x:c r="F31" s="7" t="str">
        <x:f>'Evaluation Plan'!G31</x:f>
        <x:v>P1 yellow-white striped cup B (O, UD); P2 brown cup A (C, UD); P3 white cup A (O, UR) [TARGET]; P4 glass spice container A (C, UD)</x:v>
      </x:c>
      <x:c r="G31" s="10" t="str">
        <x:f>'Evaluation Plan'!H31</x:f>
        <x:v>white cup A</x:v>
      </x:c>
      <x:c r="H31" s="10" t="str">
        <x:v>Not started</x:v>
      </x:c>
      <x:c r="I31" s="10"/>
      <x:c r="J31" s="10"/>
      <x:c r="K31" s="7"/>
    </x:row>
    <x:row r="32" ht="54" customHeight="1">
      <x:c r="A32" s="10" t="n">
        <x:f>'Evaluation Plan'!A32</x:f>
        <x:v>30</x:v>
      </x:c>
      <x:c r="B32" s="10" t="str">
        <x:f>'Evaluation Plan'!B32</x:f>
        <x:v>Concept/compositional transfer</x:v>
      </x:c>
      <x:c r="C32" s="10" t="str">
        <x:f>'Evaluation Plan'!D32</x:f>
        <x:v>SR-F16</x:v>
      </x:c>
      <x:c r="D32" s="10" t="str">
        <x:f>IF('Evaluation Plan'!B32="Concept/compositional transfer","",'Evaluation Plan'!E32)</x:f>
      </x:c>
      <x:c r="E32" s="7" t="str">
        <x:f>'Evaluation Plan'!F32</x:f>
        <x:v>Place the upright can in the bowl.</x:v>
      </x:c>
      <x:c r="F32" s="7" t="str">
        <x:f>'Evaluation Plan'!G32</x:f>
        <x:v>P1 crushed Pepsi can (UD); P2 glass spice container A (O, UD); P3 white cup B (C, UD); P4 crushed Coke can (UR) [TARGET]</x:v>
      </x:c>
      <x:c r="G32" s="10" t="str">
        <x:f>'Evaluation Plan'!H32</x:f>
        <x:v>crushed Coke can</x:v>
      </x:c>
      <x:c r="H32" s="10" t="str">
        <x:v>Not started</x:v>
      </x:c>
      <x:c r="I32" s="10"/>
      <x:c r="J32" s="10"/>
      <x:c r="K32" s="7"/>
    </x:row>
    <x:row r="33" ht="54" customHeight="1">
      <x:c r="A33" s="10" t="n">
        <x:f>'Evaluation Plan'!A33</x:f>
        <x:v>31</x:v>
      </x:c>
      <x:c r="B33" s="10" t="str">
        <x:f>'Evaluation Plan'!B33</x:f>
        <x:v>Matched manipulation control</x:v>
      </x:c>
      <x:c r="C33" s="10" t="str">
        <x:f>'Evaluation Plan'!D33</x:f>
        <x:v>SR-F16</x:v>
      </x:c>
      <x:c r="D33" s="10" t="n">
        <x:f>IF('Evaluation Plan'!B33="Concept/compositional transfer","",'Evaluation Plan'!E33)</x:f>
        <x:v>30</x:v>
      </x:c>
      <x:c r="E33" s="7" t="str">
        <x:f>'Evaluation Plan'!F33</x:f>
        <x:v>Place the crushed Coke can in the bowl.</x:v>
      </x:c>
      <x:c r="F33" s="7" t="str">
        <x:f>'Evaluation Plan'!G33</x:f>
        <x:v>P1 crushed Pepsi can (UD); P2 glass spice container A (O, UD); P3 white cup B (C, UD); P4 crushed Coke can (UR) [TARGET]</x:v>
      </x:c>
      <x:c r="G33" s="10" t="str">
        <x:f>'Evaluation Plan'!H33</x:f>
        <x:v>crushed Coke can</x:v>
      </x:c>
      <x:c r="H33" s="10" t="str">
        <x:v>Not started</x:v>
      </x:c>
      <x:c r="I33" s="10"/>
      <x:c r="J33" s="10"/>
      <x:c r="K33" s="7"/>
    </x:row>
    <x:row r="34" ht="54" customHeight="1">
      <x:c r="A34" s="10" t="n">
        <x:f>'Evaluation Plan'!A34</x:f>
        <x:v>32</x:v>
      </x:c>
      <x:c r="B34" s="10" t="str">
        <x:f>'Evaluation Plan'!B34</x:f>
        <x:v>Concept/compositional transfer</x:v>
      </x:c>
      <x:c r="C34" s="10" t="str">
        <x:f>'Evaluation Plan'!D34</x:f>
        <x:v>SR-F17</x:v>
      </x:c>
      <x:c r="D34" s="10" t="str">
        <x:f>IF('Evaluation Plan'!B34="Concept/compositional transfer","",'Evaluation Plan'!E34)</x:f>
      </x:c>
      <x:c r="E34" s="7" t="str">
        <x:f>'Evaluation Plan'!F34</x:f>
        <x:v>Put the upright can in the bowl.</x:v>
      </x:c>
      <x:c r="F34" s="7" t="str">
        <x:f>'Evaluation Plan'!G34</x:f>
        <x:v>P1 crushed Pepsi can (UR) [TARGET]; P2 crushed Coke can (UD); P3 white cup A (O, UD); P4 yellow-white striped cup B (C, UD)</x:v>
      </x:c>
      <x:c r="G34" s="10" t="str">
        <x:f>'Evaluation Plan'!H34</x:f>
        <x:v>crushed Pepsi can</x:v>
      </x:c>
      <x:c r="H34" s="10" t="str">
        <x:v>Not started</x:v>
      </x:c>
      <x:c r="I34" s="10"/>
      <x:c r="J34" s="10"/>
      <x:c r="K34" s="7"/>
    </x:row>
    <x:row r="35" ht="54" customHeight="1">
      <x:c r="A35" s="10" t="n">
        <x:f>'Evaluation Plan'!A35</x:f>
        <x:v>33</x:v>
      </x:c>
      <x:c r="B35" s="10" t="str">
        <x:f>'Evaluation Plan'!B35</x:f>
        <x:v>Matched manipulation control</x:v>
      </x:c>
      <x:c r="C35" s="10" t="str">
        <x:f>'Evaluation Plan'!D35</x:f>
        <x:v>SR-F17</x:v>
      </x:c>
      <x:c r="D35" s="10" t="n">
        <x:f>IF('Evaluation Plan'!B35="Concept/compositional transfer","",'Evaluation Plan'!E35)</x:f>
        <x:v>32</x:v>
      </x:c>
      <x:c r="E35" s="7" t="str">
        <x:f>'Evaluation Plan'!F35</x:f>
        <x:v>Put the crushed Pepsi can in the bowl.</x:v>
      </x:c>
      <x:c r="F35" s="7" t="str">
        <x:f>'Evaluation Plan'!G35</x:f>
        <x:v>P1 crushed Pepsi can (UR) [TARGET]; P2 crushed Coke can (UD); P3 white cup A (O, UD); P4 yellow-white striped cup B (C, UD)</x:v>
      </x:c>
      <x:c r="G35" s="10" t="str">
        <x:f>'Evaluation Plan'!H35</x:f>
        <x:v>crushed Pepsi can</x:v>
      </x:c>
      <x:c r="H35" s="10" t="str">
        <x:v>Not started</x:v>
      </x:c>
      <x:c r="I35" s="10"/>
      <x:c r="J35" s="10"/>
      <x:c r="K35" s="7"/>
    </x:row>
    <x:row r="36" ht="54" customHeight="1">
      <x:c r="A36" s="10" t="n">
        <x:f>'Evaluation Plan'!A36</x:f>
        <x:v>34</x:v>
      </x:c>
      <x:c r="B36" s="10" t="str">
        <x:f>'Evaluation Plan'!B36</x:f>
        <x:v>Concept/compositional transfer</x:v>
      </x:c>
      <x:c r="C36" s="10" t="str">
        <x:f>'Evaluation Plan'!D36</x:f>
        <x:v>SR-F18</x:v>
      </x:c>
      <x:c r="D36" s="10" t="str">
        <x:f>IF('Evaluation Plan'!B36="Concept/compositional transfer","",'Evaluation Plan'!E36)</x:f>
      </x:c>
      <x:c r="E36" s="7" t="str">
        <x:f>'Evaluation Plan'!F36</x:f>
        <x:v>Move the upright can into the bowl.</x:v>
      </x:c>
      <x:c r="F36" s="7" t="str">
        <x:f>'Evaluation Plan'!G36</x:f>
        <x:v>P1 crushed Pepsi can (UD); P2 crushed Coke can (UR) [TARGET]; P3 yellow-white striped cup B (C, UD); P4 brown cup A (O, UD)</x:v>
      </x:c>
      <x:c r="G36" s="10" t="str">
        <x:f>'Evaluation Plan'!H36</x:f>
        <x:v>crushed Coke can</x:v>
      </x:c>
      <x:c r="H36" s="10" t="str">
        <x:v>Not started</x:v>
      </x:c>
      <x:c r="I36" s="10"/>
      <x:c r="J36" s="10"/>
      <x:c r="K36" s="7"/>
    </x:row>
    <x:row r="37" ht="54" customHeight="1">
      <x:c r="A37" s="10" t="n">
        <x:f>'Evaluation Plan'!A37</x:f>
        <x:v>35</x:v>
      </x:c>
      <x:c r="B37" s="10" t="str">
        <x:f>'Evaluation Plan'!B37</x:f>
        <x:v>Matched manipulation control</x:v>
      </x:c>
      <x:c r="C37" s="10" t="str">
        <x:f>'Evaluation Plan'!D37</x:f>
        <x:v>SR-F18</x:v>
      </x:c>
      <x:c r="D37" s="10" t="n">
        <x:f>IF('Evaluation Plan'!B37="Concept/compositional transfer","",'Evaluation Plan'!E37)</x:f>
        <x:v>34</x:v>
      </x:c>
      <x:c r="E37" s="7" t="str">
        <x:f>'Evaluation Plan'!F37</x:f>
        <x:v>Move the crushed Coke can into the bowl.</x:v>
      </x:c>
      <x:c r="F37" s="7" t="str">
        <x:f>'Evaluation Plan'!G37</x:f>
        <x:v>P1 crushed Pepsi can (UD); P2 crushed Coke can (UR) [TARGET]; P3 yellow-white striped cup B (C, UD); P4 brown cup A (O, UD)</x:v>
      </x:c>
      <x:c r="G37" s="10" t="str">
        <x:f>'Evaluation Plan'!H37</x:f>
        <x:v>crushed Coke can</x:v>
      </x:c>
      <x:c r="H37" s="10" t="str">
        <x:v>Not started</x:v>
      </x:c>
      <x:c r="I37" s="10"/>
      <x:c r="J37" s="10"/>
      <x:c r="K37" s="7"/>
    </x:row>
    <x:row r="38" ht="54" customHeight="1">
      <x:c r="A38" s="10" t="n">
        <x:f>'Evaluation Plan'!A38</x:f>
        <x:v>36</x:v>
      </x:c>
      <x:c r="B38" s="10" t="str">
        <x:f>'Evaluation Plan'!B38</x:f>
        <x:v>Concept/compositional transfer</x:v>
      </x:c>
      <x:c r="C38" s="10" t="str">
        <x:f>'Evaluation Plan'!D38</x:f>
        <x:v>SR-F19</x:v>
      </x:c>
      <x:c r="D38" s="10" t="str">
        <x:f>IF('Evaluation Plan'!B38="Concept/compositional transfer","",'Evaluation Plan'!E38)</x:f>
      </x:c>
      <x:c r="E38" s="7" t="str">
        <x:f>'Evaluation Plan'!F38</x:f>
        <x:v>Place the upright can in the bowl.</x:v>
      </x:c>
      <x:c r="F38" s="7" t="str">
        <x:f>'Evaluation Plan'!G38</x:f>
        <x:v>P1 crushed Coke can (UD); P2 brown cup B (C, UD); P3 crushed Pepsi can (UR) [TARGET]; P4 glass spice container B (C, UD)</x:v>
      </x:c>
      <x:c r="G38" s="10" t="str">
        <x:f>'Evaluation Plan'!H38</x:f>
        <x:v>crushed Pepsi can</x:v>
      </x:c>
      <x:c r="H38" s="10" t="str">
        <x:v>Not started</x:v>
      </x:c>
      <x:c r="I38" s="10"/>
      <x:c r="J38" s="10"/>
      <x:c r="K38" s="7"/>
    </x:row>
    <x:row r="39" ht="54" customHeight="1">
      <x:c r="A39" s="10" t="n">
        <x:f>'Evaluation Plan'!A39</x:f>
        <x:v>37</x:v>
      </x:c>
      <x:c r="B39" s="10" t="str">
        <x:f>'Evaluation Plan'!B39</x:f>
        <x:v>Matched manipulation control</x:v>
      </x:c>
      <x:c r="C39" s="10" t="str">
        <x:f>'Evaluation Plan'!D39</x:f>
        <x:v>SR-F19</x:v>
      </x:c>
      <x:c r="D39" s="10" t="n">
        <x:f>IF('Evaluation Plan'!B39="Concept/compositional transfer","",'Evaluation Plan'!E39)</x:f>
        <x:v>36</x:v>
      </x:c>
      <x:c r="E39" s="7" t="str">
        <x:f>'Evaluation Plan'!F39</x:f>
        <x:v>Place the crushed Pepsi can in the bowl.</x:v>
      </x:c>
      <x:c r="F39" s="7" t="str">
        <x:f>'Evaluation Plan'!G39</x:f>
        <x:v>P1 crushed Coke can (UD); P2 brown cup B (C, UD); P3 crushed Pepsi can (UR) [TARGET]; P4 glass spice container B (C, UD)</x:v>
      </x:c>
      <x:c r="G39" s="10" t="str">
        <x:f>'Evaluation Plan'!H39</x:f>
        <x:v>crushed Pepsi can</x:v>
      </x:c>
      <x:c r="H39" s="10" t="str">
        <x:v>Not started</x:v>
      </x:c>
      <x:c r="I39" s="10"/>
      <x:c r="J39" s="10"/>
      <x:c r="K39" s="7"/>
    </x:row>
    <x:row r="40" ht="54" customHeight="1">
      <x:c r="A40" s="10" t="n">
        <x:f>'Evaluation Plan'!A40</x:f>
        <x:v>38</x:v>
      </x:c>
      <x:c r="B40" s="10" t="str">
        <x:f>'Evaluation Plan'!B40</x:f>
        <x:v>Concept/compositional transfer</x:v>
      </x:c>
      <x:c r="C40" s="10" t="str">
        <x:f>'Evaluation Plan'!D40</x:f>
        <x:v>SR-F20</x:v>
      </x:c>
      <x:c r="D40" s="10" t="str">
        <x:f>IF('Evaluation Plan'!B40="Concept/compositional transfer","",'Evaluation Plan'!E40)</x:f>
      </x:c>
      <x:c r="E40" s="7" t="str">
        <x:f>'Evaluation Plan'!F40</x:f>
        <x:v>Put the upright can in the bowl.</x:v>
      </x:c>
      <x:c r="F40" s="7" t="str">
        <x:f>'Evaluation Plan'!G40</x:f>
        <x:v>P1 crushed Pepsi can (UD); P2 glass spice container A (O, UD); P3 white cup B (C, UD); P4 crushed Coke can (UR) [TARGET]</x:v>
      </x:c>
      <x:c r="G40" s="10" t="str">
        <x:f>'Evaluation Plan'!H40</x:f>
        <x:v>crushed Coke can</x:v>
      </x:c>
      <x:c r="H40" s="10" t="str">
        <x:v>Not started</x:v>
      </x:c>
      <x:c r="I40" s="10"/>
      <x:c r="J40" s="10"/>
      <x:c r="K40" s="7"/>
    </x:row>
    <x:row r="41" ht="54" customHeight="1">
      <x:c r="A41" s="10" t="n">
        <x:f>'Evaluation Plan'!A41</x:f>
        <x:v>39</x:v>
      </x:c>
      <x:c r="B41" s="10" t="str">
        <x:f>'Evaluation Plan'!B41</x:f>
        <x:v>Matched manipulation control</x:v>
      </x:c>
      <x:c r="C41" s="10" t="str">
        <x:f>'Evaluation Plan'!D41</x:f>
        <x:v>SR-F20</x:v>
      </x:c>
      <x:c r="D41" s="10" t="n">
        <x:f>IF('Evaluation Plan'!B41="Concept/compositional transfer","",'Evaluation Plan'!E41)</x:f>
        <x:v>38</x:v>
      </x:c>
      <x:c r="E41" s="7" t="str">
        <x:f>'Evaluation Plan'!F41</x:f>
        <x:v>Put the crushed Coke can in the bowl.</x:v>
      </x:c>
      <x:c r="F41" s="7" t="str">
        <x:f>'Evaluation Plan'!G41</x:f>
        <x:v>P1 crushed Pepsi can (UD); P2 glass spice container A (O, UD); P3 white cup B (C, UD); P4 crushed Coke can (UR) [TARGET]</x:v>
      </x:c>
      <x:c r="G41" s="10" t="str">
        <x:f>'Evaluation Plan'!H41</x:f>
        <x:v>crushed Coke can</x:v>
      </x:c>
      <x:c r="H41" s="10" t="str">
        <x:v>Not started</x:v>
      </x:c>
      <x:c r="I41" s="10"/>
      <x:c r="J41" s="10"/>
      <x:c r="K41" s="7"/>
    </x:row>
    <x:row r="42" ht="54" customHeight="1">
      <x:c r="A42" s="10" t="n">
        <x:f>'Evaluation Plan'!A42</x:f>
        <x:v>40</x:v>
      </x:c>
      <x:c r="B42" s="10" t="str">
        <x:f>'Evaluation Plan'!B42</x:f>
        <x:v>Concept/compositional transfer</x:v>
      </x:c>
      <x:c r="C42" s="10" t="str">
        <x:f>'Evaluation Plan'!D42</x:f>
        <x:v>SR-F21</x:v>
      </x:c>
      <x:c r="D42" s="10" t="str">
        <x:f>IF('Evaluation Plan'!B42="Concept/compositional transfer","",'Evaluation Plan'!E42)</x:f>
      </x:c>
      <x:c r="E42" s="7" t="str">
        <x:f>'Evaluation Plan'!F42</x:f>
        <x:v>Place the closed object in the bowl.</x:v>
      </x:c>
      <x:c r="F42" s="7" t="str">
        <x:f>'Evaluation Plan'!G42</x:f>
        <x:v>P1 yellow-white striped cup B (C, UD) [TARGET]; P2 white cup B (O, UR); P3 brown cup A (O, UD); P4 glass spice container B (O, UR)</x:v>
      </x:c>
      <x:c r="G42" s="10" t="str">
        <x:f>'Evaluation Plan'!H42</x:f>
        <x:v>yellow-white striped cup B</x:v>
      </x:c>
      <x:c r="H42" s="10" t="str">
        <x:v>Not started</x:v>
      </x:c>
      <x:c r="I42" s="10"/>
      <x:c r="J42" s="10"/>
      <x:c r="K42" s="7"/>
    </x:row>
    <x:row r="43" ht="54" customHeight="1">
      <x:c r="A43" s="10" t="n">
        <x:f>'Evaluation Plan'!A43</x:f>
        <x:v>41</x:v>
      </x:c>
      <x:c r="B43" s="10" t="str">
        <x:f>'Evaluation Plan'!B43</x:f>
        <x:v>Concept/compositional transfer</x:v>
      </x:c>
      <x:c r="C43" s="10" t="str">
        <x:f>'Evaluation Plan'!D43</x:f>
        <x:v>SR-F22</x:v>
      </x:c>
      <x:c r="D43" s="10" t="str">
        <x:f>IF('Evaluation Plan'!B43="Concept/compositional transfer","",'Evaluation Plan'!E43)</x:f>
      </x:c>
      <x:c r="E43" s="7" t="str">
        <x:f>'Evaluation Plan'!F43</x:f>
        <x:v>Put the closed object in the bowl.</x:v>
      </x:c>
      <x:c r="F43" s="7" t="str">
        <x:f>'Evaluation Plan'!G43</x:f>
        <x:v>P1 white cup B (O, UR); P2 glass spice container A (C, UR) [TARGET]; P3 yellow-white striped cup B (O, UR); P4 brown cup A (O, UD)</x:v>
      </x:c>
      <x:c r="G43" s="10" t="str">
        <x:f>'Evaluation Plan'!H43</x:f>
        <x:v>glass spice container A</x:v>
      </x:c>
      <x:c r="H43" s="10" t="str">
        <x:v>Not started</x:v>
      </x:c>
      <x:c r="I43" s="10"/>
      <x:c r="J43" s="10"/>
      <x:c r="K43" s="7"/>
    </x:row>
    <x:row r="44" ht="54" customHeight="1">
      <x:c r="A44" s="10" t="n">
        <x:f>'Evaluation Plan'!A44</x:f>
        <x:v>42</x:v>
      </x:c>
      <x:c r="B44" s="10" t="str">
        <x:f>'Evaluation Plan'!B44</x:f>
        <x:v>Concept/compositional transfer</x:v>
      </x:c>
      <x:c r="C44" s="10" t="str">
        <x:f>'Evaluation Plan'!D44</x:f>
        <x:v>SR-F23</x:v>
      </x:c>
      <x:c r="D44" s="10" t="str">
        <x:f>IF('Evaluation Plan'!B44="Concept/compositional transfer","",'Evaluation Plan'!E44)</x:f>
      </x:c>
      <x:c r="E44" s="7" t="str">
        <x:f>'Evaluation Plan'!F44</x:f>
        <x:v>Move the closed object into the bowl.</x:v>
      </x:c>
      <x:c r="F44" s="7" t="str">
        <x:f>'Evaluation Plan'!G44</x:f>
        <x:v>P1 yellow-white striped cup A (O, UD); P2 brown cup B (O, UR); P3 white cup B (C, UD) [TARGET]; P4 glass spice container B (O, UR)</x:v>
      </x:c>
      <x:c r="G44" s="10" t="str">
        <x:f>'Evaluation Plan'!H44</x:f>
        <x:v>white cup B</x:v>
      </x:c>
      <x:c r="H44" s="10" t="str">
        <x:v>Not started</x:v>
      </x:c>
      <x:c r="I44" s="10"/>
      <x:c r="J44" s="10"/>
      <x:c r="K44" s="7"/>
    </x:row>
    <x:row r="45" ht="54" customHeight="1">
      <x:c r="A45" s="10" t="n">
        <x:f>'Evaluation Plan'!A45</x:f>
        <x:v>43</x:v>
      </x:c>
      <x:c r="B45" s="10" t="str">
        <x:f>'Evaluation Plan'!B45</x:f>
        <x:v>Concept/compositional transfer</x:v>
      </x:c>
      <x:c r="C45" s="10" t="str">
        <x:f>'Evaluation Plan'!D45</x:f>
        <x:v>SR-F24</x:v>
      </x:c>
      <x:c r="D45" s="10" t="str">
        <x:f>IF('Evaluation Plan'!B45="Concept/compositional transfer","",'Evaluation Plan'!E45)</x:f>
      </x:c>
      <x:c r="E45" s="7" t="str">
        <x:f>'Evaluation Plan'!F45</x:f>
        <x:v>Place the closed object in the bowl.</x:v>
      </x:c>
      <x:c r="F45" s="7" t="str">
        <x:f>'Evaluation Plan'!G45</x:f>
        <x:v>P1 white cup B (O, UR); P2 yellow-white striped cup A (O, UD); P3 glass spice container B (O, UR); P4 brown cup A (C, UR) [TARGET]</x:v>
      </x:c>
      <x:c r="G45" s="10" t="str">
        <x:f>'Evaluation Plan'!H45</x:f>
        <x:v>brown cup A</x:v>
      </x:c>
      <x:c r="H45" s="10" t="str">
        <x:v>Not started</x:v>
      </x:c>
      <x:c r="I45" s="10"/>
      <x:c r="J45" s="10"/>
      <x:c r="K45" s="7"/>
    </x:row>
    <x:row r="46" ht="54" customHeight="1">
      <x:c r="A46" s="10" t="n">
        <x:f>'Evaluation Plan'!A46</x:f>
        <x:v>44</x:v>
      </x:c>
      <x:c r="B46" s="10" t="str">
        <x:f>'Evaluation Plan'!B46</x:f>
        <x:v>Concept/compositional transfer</x:v>
      </x:c>
      <x:c r="C46" s="10" t="str">
        <x:f>'Evaluation Plan'!D46</x:f>
        <x:v>SR-F25</x:v>
      </x:c>
      <x:c r="D46" s="10" t="str">
        <x:f>IF('Evaluation Plan'!B46="Concept/compositional transfer","",'Evaluation Plan'!E46)</x:f>
      </x:c>
      <x:c r="E46" s="7" t="str">
        <x:f>'Evaluation Plan'!F46</x:f>
        <x:v>Put the closed object in the bowl.</x:v>
      </x:c>
      <x:c r="F46" s="7" t="str">
        <x:f>'Evaluation Plan'!G46</x:f>
        <x:v>P1 yellow-white striped cup B (C, UD) [TARGET]; P2 white cup B (O, UR); P3 brown cup A (O, UD); P4 glass spice container B (O, UR)</x:v>
      </x:c>
      <x:c r="G46" s="10" t="str">
        <x:f>'Evaluation Plan'!H46</x:f>
        <x:v>yellow-white striped cup B</x:v>
      </x:c>
      <x:c r="H46" s="10" t="str">
        <x:v>Not started</x:v>
      </x:c>
      <x:c r="I46" s="10"/>
      <x:c r="J46" s="10"/>
      <x:c r="K46" s="7"/>
    </x:row>
    <x:row r="47" ht="54" customHeight="1">
      <x:c r="A47" s="10" t="n">
        <x:f>'Evaluation Plan'!A47</x:f>
        <x:v>45</x:v>
      </x:c>
      <x:c r="B47" s="10" t="str">
        <x:f>'Evaluation Plan'!B47</x:f>
        <x:v>Concept/compositional transfer</x:v>
      </x:c>
      <x:c r="C47" s="10" t="str">
        <x:f>'Evaluation Plan'!D47</x:f>
        <x:v>SR-F26</x:v>
      </x:c>
      <x:c r="D47" s="10" t="str">
        <x:f>IF('Evaluation Plan'!B47="Concept/compositional transfer","",'Evaluation Plan'!E47)</x:f>
      </x:c>
      <x:c r="E47" s="7" t="str">
        <x:f>'Evaluation Plan'!F47</x:f>
        <x:v>Move the upright object into the bowl.</x:v>
      </x:c>
      <x:c r="F47" s="7" t="str">
        <x:f>'Evaluation Plan'!G47</x:f>
        <x:v>P1 white cup B (O, UD); P2 yellow-white striped cup A (O, UR) [TARGET]; P3 brown cup B (O, UD); P4 glass spice container A (C, UD)</x:v>
      </x:c>
      <x:c r="G47" s="10" t="str">
        <x:f>'Evaluation Plan'!H47</x:f>
        <x:v>yellow-white striped cup A</x:v>
      </x:c>
      <x:c r="H47" s="10" t="str">
        <x:v>Not started</x:v>
      </x:c>
      <x:c r="I47" s="10"/>
      <x:c r="J47" s="10"/>
      <x:c r="K47" s="7"/>
    </x:row>
    <x:row r="48" ht="54" customHeight="1">
      <x:c r="A48" s="10" t="n">
        <x:f>'Evaluation Plan'!A48</x:f>
        <x:v>46</x:v>
      </x:c>
      <x:c r="B48" s="10" t="str">
        <x:f>'Evaluation Plan'!B48</x:f>
        <x:v>Concept/compositional transfer</x:v>
      </x:c>
      <x:c r="C48" s="10" t="str">
        <x:f>'Evaluation Plan'!D48</x:f>
        <x:v>SR-F27</x:v>
      </x:c>
      <x:c r="D48" s="10" t="str">
        <x:f>IF('Evaluation Plan'!B48="Concept/compositional transfer","",'Evaluation Plan'!E48)</x:f>
      </x:c>
      <x:c r="E48" s="7" t="str">
        <x:f>'Evaluation Plan'!F48</x:f>
        <x:v>Place the upright object in the bowl.</x:v>
      </x:c>
      <x:c r="F48" s="7" t="str">
        <x:f>'Evaluation Plan'!G48</x:f>
        <x:v>P1 white cup A (C, UD); P2 yellow-white striped cup B (O, UD); P3 brown cup B (C, UR) [TARGET]; P4 glass spice container B (O, UD)</x:v>
      </x:c>
      <x:c r="G48" s="10" t="str">
        <x:f>'Evaluation Plan'!H48</x:f>
        <x:v>brown cup B</x:v>
      </x:c>
      <x:c r="H48" s="10" t="str">
        <x:v>Not started</x:v>
      </x:c>
      <x:c r="I48" s="10"/>
      <x:c r="J48" s="10"/>
      <x:c r="K48" s="7"/>
    </x:row>
    <x:row r="49" ht="54" customHeight="1">
      <x:c r="A49" s="10" t="n">
        <x:f>'Evaluation Plan'!A49</x:f>
        <x:v>47</x:v>
      </x:c>
      <x:c r="B49" s="10" t="str">
        <x:f>'Evaluation Plan'!B49</x:f>
        <x:v>Concept/compositional transfer</x:v>
      </x:c>
      <x:c r="C49" s="10" t="str">
        <x:f>'Evaluation Plan'!D49</x:f>
        <x:v>SR-F28</x:v>
      </x:c>
      <x:c r="D49" s="10" t="str">
        <x:f>IF('Evaluation Plan'!B49="Concept/compositional transfer","",'Evaluation Plan'!E49)</x:f>
      </x:c>
      <x:c r="E49" s="7" t="str">
        <x:f>'Evaluation Plan'!F49</x:f>
        <x:v>Put the upright object in the bowl.</x:v>
      </x:c>
      <x:c r="F49" s="7" t="str">
        <x:f>'Evaluation Plan'!G49</x:f>
        <x:v>P1 white cup B (O, UD); P2 yellow-white striped cup A (C, UD); P3 brown cup B (O, UD); P4 glass spice container A (O, UR) [TARGET]</x:v>
      </x:c>
      <x:c r="G49" s="10" t="str">
        <x:f>'Evaluation Plan'!H49</x:f>
        <x:v>glass spice container A</x:v>
      </x:c>
      <x:c r="H49" s="10" t="str">
        <x:v>Not started</x:v>
      </x:c>
      <x:c r="I49" s="10"/>
      <x:c r="J49" s="10"/>
      <x:c r="K49" s="7"/>
    </x:row>
    <x:row r="50" ht="54" customHeight="1">
      <x:c r="A50" s="10" t="n">
        <x:f>'Evaluation Plan'!A50</x:f>
        <x:v>48</x:v>
      </x:c>
      <x:c r="B50" s="10" t="str">
        <x:f>'Evaluation Plan'!B50</x:f>
        <x:v>Concept/compositional transfer</x:v>
      </x:c>
      <x:c r="C50" s="10" t="str">
        <x:f>'Evaluation Plan'!D50</x:f>
        <x:v>SR-F29</x:v>
      </x:c>
      <x:c r="D50" s="10" t="str">
        <x:f>IF('Evaluation Plan'!B50="Concept/compositional transfer","",'Evaluation Plan'!E50)</x:f>
      </x:c>
      <x:c r="E50" s="7" t="str">
        <x:f>'Evaluation Plan'!F50</x:f>
        <x:v>Move the upright object into the bowl.</x:v>
      </x:c>
      <x:c r="F50" s="7" t="str">
        <x:f>'Evaluation Plan'!G50</x:f>
        <x:v>P1 white cup B (C, UR) [TARGET]; P2 yellow-white striped cup B (O, UD); P3 brown cup A (C, UD); P4 glass spice container B (O, UD)</x:v>
      </x:c>
      <x:c r="G50" s="10" t="str">
        <x:f>'Evaluation Plan'!H50</x:f>
        <x:v>white cup B</x:v>
      </x:c>
      <x:c r="H50" s="10" t="str">
        <x:v>Not started</x:v>
      </x:c>
      <x:c r="I50" s="10"/>
      <x:c r="J50" s="10"/>
      <x:c r="K50" s="7"/>
    </x:row>
    <x:row r="51" ht="54" customHeight="1">
      <x:c r="A51" s="10" t="n">
        <x:f>'Evaluation Plan'!A51</x:f>
        <x:v>49</x:v>
      </x:c>
      <x:c r="B51" s="10" t="str">
        <x:f>'Evaluation Plan'!B51</x:f>
        <x:v>Concept/compositional transfer</x:v>
      </x:c>
      <x:c r="C51" s="10" t="str">
        <x:f>'Evaluation Plan'!D51</x:f>
        <x:v>SR-F30</x:v>
      </x:c>
      <x:c r="D51" s="10" t="str">
        <x:f>IF('Evaluation Plan'!B51="Concept/compositional transfer","",'Evaluation Plan'!E51)</x:f>
      </x:c>
      <x:c r="E51" s="7" t="str">
        <x:f>'Evaluation Plan'!F51</x:f>
        <x:v>Place the upright object in the bowl.</x:v>
      </x:c>
      <x:c r="F51" s="7" t="str">
        <x:f>'Evaluation Plan'!G51</x:f>
        <x:v>P1 white cup B (O, UD); P2 yellow-white striped cup A (O, UR) [TARGET]; P3 brown cup B (O, UD); P4 glass spice container A (C, UD)</x:v>
      </x:c>
      <x:c r="G51" s="10" t="str">
        <x:f>'Evaluation Plan'!H51</x:f>
        <x:v>yellow-white striped cup A</x:v>
      </x:c>
      <x:c r="H51" s="10" t="str">
        <x:v>Not started</x:v>
      </x:c>
      <x:c r="I51" s="10"/>
      <x:c r="J51" s="10"/>
      <x:c r="K51" s="7"/>
    </x:row>
    <x:row r="52" ht="54" customHeight="1">
      <x:c r="A52" s="10" t="n">
        <x:f>'Evaluation Plan'!A52</x:f>
        <x:v>50</x:v>
      </x:c>
      <x:c r="B52" s="10" t="str">
        <x:f>'Evaluation Plan'!B52</x:f>
        <x:v>Concept/compositional transfer</x:v>
      </x:c>
      <x:c r="C52" s="10" t="str">
        <x:f>'Evaluation Plan'!D52</x:f>
        <x:v>SR-F31</x:v>
      </x:c>
      <x:c r="D52" s="10" t="str">
        <x:f>IF('Evaluation Plan'!B52="Concept/compositional transfer","",'Evaluation Plan'!E52)</x:f>
      </x:c>
      <x:c r="E52" s="7" t="str">
        <x:f>'Evaluation Plan'!F52</x:f>
        <x:v>Put the upside-down can in the bowl.</x:v>
      </x:c>
      <x:c r="F52" s="7" t="str">
        <x:f>'Evaluation Plan'!G52</x:f>
        <x:v>P1 crushed Coke can (UR); P2 glass spice container A (O, UR); P3 crushed Pepsi can (UD) [TARGET]; P4 white cup A (O, UR)</x:v>
      </x:c>
      <x:c r="G52" s="10" t="str">
        <x:f>'Evaluation Plan'!H52</x:f>
        <x:v>crushed Pepsi can</x:v>
      </x:c>
      <x:c r="H52" s="10" t="str">
        <x:v>Not started</x:v>
      </x:c>
      <x:c r="I52" s="10"/>
      <x:c r="J52" s="10"/>
      <x:c r="K52" s="7"/>
    </x:row>
    <x:row r="53" ht="54" customHeight="1">
      <x:c r="A53" s="10" t="n">
        <x:f>'Evaluation Plan'!A53</x:f>
        <x:v>51</x:v>
      </x:c>
      <x:c r="B53" s="10" t="str">
        <x:f>'Evaluation Plan'!B53</x:f>
        <x:v>Concept/compositional transfer</x:v>
      </x:c>
      <x:c r="C53" s="10" t="str">
        <x:f>'Evaluation Plan'!D53</x:f>
        <x:v>SR-F32</x:v>
      </x:c>
      <x:c r="D53" s="10" t="str">
        <x:f>IF('Evaluation Plan'!B53="Concept/compositional transfer","",'Evaluation Plan'!E53)</x:f>
      </x:c>
      <x:c r="E53" s="7" t="str">
        <x:f>'Evaluation Plan'!F53</x:f>
        <x:v>Move the upside-down can into the bowl.</x:v>
      </x:c>
      <x:c r="F53" s="7" t="str">
        <x:f>'Evaluation Plan'!G53</x:f>
        <x:v>P1 crushed Pepsi can (UR); P2 white cup B (C, UR); P3 yellow-white striped cup A (O, UR); P4 crushed Coke can (UD) [TARGET]</x:v>
      </x:c>
      <x:c r="G53" s="10" t="str">
        <x:f>'Evaluation Plan'!H53</x:f>
        <x:v>crushed Coke can</x:v>
      </x:c>
      <x:c r="H53" s="10" t="str">
        <x:v>Not started</x:v>
      </x:c>
      <x:c r="I53" s="10"/>
      <x:c r="J53" s="10"/>
      <x:c r="K53" s="7"/>
    </x:row>
    <x:row r="54" ht="54" customHeight="1">
      <x:c r="A54" s="10" t="n">
        <x:f>'Evaluation Plan'!A54</x:f>
        <x:v>52</x:v>
      </x:c>
      <x:c r="B54" s="10" t="str">
        <x:f>'Evaluation Plan'!B54</x:f>
        <x:v>Concept/compositional transfer</x:v>
      </x:c>
      <x:c r="C54" s="10" t="str">
        <x:f>'Evaluation Plan'!D54</x:f>
        <x:v>SR-F33</x:v>
      </x:c>
      <x:c r="D54" s="10" t="str">
        <x:f>IF('Evaluation Plan'!B54="Concept/compositional transfer","",'Evaluation Plan'!E54)</x:f>
      </x:c>
      <x:c r="E54" s="7" t="str">
        <x:f>'Evaluation Plan'!F54</x:f>
        <x:v>Place the upside-down can in the bowl.</x:v>
      </x:c>
      <x:c r="F54" s="7" t="str">
        <x:f>'Evaluation Plan'!G54</x:f>
        <x:v>P1 crushed Pepsi can (UD) [TARGET]; P2 crushed Coke can (UR); P3 yellow-white striped cup B (C, UR); P4 brown cup A (O, UR)</x:v>
      </x:c>
      <x:c r="G54" s="10" t="str">
        <x:f>'Evaluation Plan'!H54</x:f>
        <x:v>crushed Pepsi can</x:v>
      </x:c>
      <x:c r="H54" s="10" t="str">
        <x:v>Not started</x:v>
      </x:c>
      <x:c r="I54" s="10"/>
      <x:c r="J54" s="10"/>
      <x:c r="K54" s="7"/>
    </x:row>
    <x:row r="55" ht="54" customHeight="1">
      <x:c r="A55" s="10" t="n">
        <x:f>'Evaluation Plan'!A55</x:f>
        <x:v>53</x:v>
      </x:c>
      <x:c r="B55" s="10" t="str">
        <x:f>'Evaluation Plan'!B55</x:f>
        <x:v>Concept/compositional transfer</x:v>
      </x:c>
      <x:c r="C55" s="10" t="str">
        <x:f>'Evaluation Plan'!D55</x:f>
        <x:v>SR-F34</x:v>
      </x:c>
      <x:c r="D55" s="10" t="str">
        <x:f>IF('Evaluation Plan'!B55="Concept/compositional transfer","",'Evaluation Plan'!E55)</x:f>
      </x:c>
      <x:c r="E55" s="7" t="str">
        <x:f>'Evaluation Plan'!F55</x:f>
        <x:v>Put the upside-down can in the bowl.</x:v>
      </x:c>
      <x:c r="F55" s="7" t="str">
        <x:f>'Evaluation Plan'!G55</x:f>
        <x:v>P1 crushed Pepsi can (UR); P2 crushed Coke can (UD) [TARGET]; P3 brown cup A (O, UR); P4 glass spice container B (C, UR)</x:v>
      </x:c>
      <x:c r="G55" s="10" t="str">
        <x:f>'Evaluation Plan'!H55</x:f>
        <x:v>crushed Coke can</x:v>
      </x:c>
      <x:c r="H55" s="10" t="str">
        <x:v>Not started</x:v>
      </x:c>
      <x:c r="I55" s="10"/>
      <x:c r="J55" s="10"/>
      <x:c r="K55" s="7"/>
    </x:row>
    <x:row r="56" ht="54" customHeight="1">
      <x:c r="A56" s="10" t="n">
        <x:f>'Evaluation Plan'!A56</x:f>
        <x:v>54</x:v>
      </x:c>
      <x:c r="B56" s="10" t="str">
        <x:f>'Evaluation Plan'!B56</x:f>
        <x:v>Concept/compositional transfer</x:v>
      </x:c>
      <x:c r="C56" s="10" t="str">
        <x:f>'Evaluation Plan'!D56</x:f>
        <x:v>SR-F35</x:v>
      </x:c>
      <x:c r="D56" s="10" t="str">
        <x:f>IF('Evaluation Plan'!B56="Concept/compositional transfer","",'Evaluation Plan'!E56)</x:f>
      </x:c>
      <x:c r="E56" s="7" t="str">
        <x:f>'Evaluation Plan'!F56</x:f>
        <x:v>Move the upside-down can into the bowl.</x:v>
      </x:c>
      <x:c r="F56" s="7" t="str">
        <x:f>'Evaluation Plan'!G56</x:f>
        <x:v>P1 crushed Coke can (UR); P2 glass spice container A (O, UR); P3 crushed Pepsi can (UD) [TARGET]; P4 white cup A (O, UR)</x:v>
      </x:c>
      <x:c r="G56" s="10" t="str">
        <x:f>'Evaluation Plan'!H56</x:f>
        <x:v>crushed Pepsi can</x:v>
      </x:c>
      <x:c r="H56" s="10" t="str">
        <x:v>Not started</x:v>
      </x:c>
      <x:c r="I56" s="10"/>
      <x:c r="J56" s="10"/>
      <x:c r="K56" s="7"/>
    </x:row>
    <x:row r="57" ht="54" customHeight="1">
      <x:c r="A57" s="10" t="n">
        <x:f>'Evaluation Plan'!A57</x:f>
        <x:v>55</x:v>
      </x:c>
      <x:c r="B57" s="10" t="str">
        <x:f>'Evaluation Plan'!B57</x:f>
        <x:v>Concept/compositional transfer</x:v>
      </x:c>
      <x:c r="C57" s="10" t="str">
        <x:f>'Evaluation Plan'!D57</x:f>
        <x:v>SR-F36</x:v>
      </x:c>
      <x:c r="D57" s="10" t="str">
        <x:f>IF('Evaluation Plan'!B57="Concept/compositional transfer","",'Evaluation Plan'!E57)</x:f>
      </x:c>
      <x:c r="E57" s="7" t="str">
        <x:f>'Evaluation Plan'!F57</x:f>
        <x:v>Place the open object in the bowl.</x:v>
      </x:c>
      <x:c r="F57" s="7" t="str">
        <x:f>'Evaluation Plan'!G57</x:f>
        <x:v>P1 yellow-white striped cup B (C, UR); P2 brown cup A (C, UD); P3 glass spice container B (C, UR); P4 white cup A (O, UR) [TARGET]</x:v>
      </x:c>
      <x:c r="G57" s="10" t="str">
        <x:f>'Evaluation Plan'!H57</x:f>
        <x:v>white cup A</x:v>
      </x:c>
      <x:c r="H57" s="10" t="str">
        <x:v>Not started</x:v>
      </x:c>
      <x:c r="I57" s="10"/>
      <x:c r="J57" s="10"/>
      <x:c r="K57" s="7"/>
    </x:row>
    <x:row r="58" ht="54" customHeight="1">
      <x:c r="A58" s="10" t="n">
        <x:f>'Evaluation Plan'!A58</x:f>
        <x:v>56</x:v>
      </x:c>
      <x:c r="B58" s="10" t="str">
        <x:f>'Evaluation Plan'!B58</x:f>
        <x:v>Concept/compositional transfer</x:v>
      </x:c>
      <x:c r="C58" s="10" t="str">
        <x:f>'Evaluation Plan'!D58</x:f>
        <x:v>SR-F37</x:v>
      </x:c>
      <x:c r="D58" s="10" t="str">
        <x:f>IF('Evaluation Plan'!B58="Concept/compositional transfer","",'Evaluation Plan'!E58)</x:f>
      </x:c>
      <x:c r="E58" s="7" t="str">
        <x:f>'Evaluation Plan'!F58</x:f>
        <x:v>Put the open object in the bowl.</x:v>
      </x:c>
      <x:c r="F58" s="7" t="str">
        <x:f>'Evaluation Plan'!G58</x:f>
        <x:v>P1 yellow-white striped cup B (O, UD) [TARGET]; P2 white cup B (C, UR); P3 brown cup A (C, UD); P4 glass spice container B (C, UR)</x:v>
      </x:c>
      <x:c r="G58" s="10" t="str">
        <x:f>'Evaluation Plan'!H58</x:f>
        <x:v>yellow-white striped cup B</x:v>
      </x:c>
      <x:c r="H58" s="10" t="str">
        <x:v>Not started</x:v>
      </x:c>
      <x:c r="I58" s="10"/>
      <x:c r="J58" s="10"/>
      <x:c r="K58" s="7"/>
    </x:row>
    <x:row r="59" ht="54" customHeight="1">
      <x:c r="A59" s="10" t="n">
        <x:f>'Evaluation Plan'!A59</x:f>
        <x:v>57</x:v>
      </x:c>
      <x:c r="B59" s="10" t="str">
        <x:f>'Evaluation Plan'!B59</x:f>
        <x:v>Concept/compositional transfer</x:v>
      </x:c>
      <x:c r="C59" s="10" t="str">
        <x:f>'Evaluation Plan'!D59</x:f>
        <x:v>SR-F38</x:v>
      </x:c>
      <x:c r="D59" s="10" t="str">
        <x:f>IF('Evaluation Plan'!B59="Concept/compositional transfer","",'Evaluation Plan'!E59)</x:f>
      </x:c>
      <x:c r="E59" s="7" t="str">
        <x:f>'Evaluation Plan'!F59</x:f>
        <x:v>Move the open object into the bowl.</x:v>
      </x:c>
      <x:c r="F59" s="7" t="str">
        <x:f>'Evaluation Plan'!G59</x:f>
        <x:v>P1 white cup B (C, UR); P2 brown cup A (O, UR) [TARGET]; P3 yellow-white striped cup B (C, UR); P4 glass spice container A (C, UD)</x:v>
      </x:c>
      <x:c r="G59" s="10" t="str">
        <x:f>'Evaluation Plan'!H59</x:f>
        <x:v>brown cup A</x:v>
      </x:c>
      <x:c r="H59" s="10" t="str">
        <x:v>Not started</x:v>
      </x:c>
      <x:c r="I59" s="10"/>
      <x:c r="J59" s="10"/>
      <x:c r="K59" s="7"/>
    </x:row>
    <x:row r="60" ht="54" customHeight="1">
      <x:c r="A60" s="10" t="n">
        <x:f>'Evaluation Plan'!A60</x:f>
        <x:v>58</x:v>
      </x:c>
      <x:c r="B60" s="10" t="str">
        <x:f>'Evaluation Plan'!B60</x:f>
        <x:v>Concept/compositional transfer</x:v>
      </x:c>
      <x:c r="C60" s="10" t="str">
        <x:f>'Evaluation Plan'!D60</x:f>
        <x:v>SR-F39</x:v>
      </x:c>
      <x:c r="D60" s="10" t="str">
        <x:f>IF('Evaluation Plan'!B60="Concept/compositional transfer","",'Evaluation Plan'!E60)</x:f>
      </x:c>
      <x:c r="E60" s="7" t="str">
        <x:f>'Evaluation Plan'!F60</x:f>
        <x:v>Place the open object in the bowl.</x:v>
      </x:c>
      <x:c r="F60" s="7" t="str">
        <x:f>'Evaluation Plan'!G60</x:f>
        <x:v>P1 white cup A (C, UD); P2 yellow-white striped cup B (C, UR); P3 glass spice container B (O, UD) [TARGET]; P4 brown cup B (C, UR)</x:v>
      </x:c>
      <x:c r="G60" s="10" t="str">
        <x:f>'Evaluation Plan'!H60</x:f>
        <x:v>glass spice container B</x:v>
      </x:c>
      <x:c r="H60" s="10" t="str">
        <x:v>Not started</x:v>
      </x:c>
      <x:c r="I60" s="10"/>
      <x:c r="J60" s="10"/>
      <x:c r="K60" s="7"/>
    </x:row>
    <x:row r="61" ht="54" customHeight="1">
      <x:c r="A61" s="10" t="n">
        <x:f>'Evaluation Plan'!A61</x:f>
        <x:v>59</x:v>
      </x:c>
      <x:c r="B61" s="10" t="str">
        <x:f>'Evaluation Plan'!B61</x:f>
        <x:v>Concept/compositional transfer</x:v>
      </x:c>
      <x:c r="C61" s="10" t="str">
        <x:f>'Evaluation Plan'!D61</x:f>
        <x:v>SR-F40</x:v>
      </x:c>
      <x:c r="D61" s="10" t="str">
        <x:f>IF('Evaluation Plan'!B61="Concept/compositional transfer","",'Evaluation Plan'!E61)</x:f>
      </x:c>
      <x:c r="E61" s="7" t="str">
        <x:f>'Evaluation Plan'!F61</x:f>
        <x:v>Put the open object in the bowl.</x:v>
      </x:c>
      <x:c r="F61" s="7" t="str">
        <x:f>'Evaluation Plan'!G61</x:f>
        <x:v>P1 yellow-white striped cup B (C, UR); P2 brown cup A (C, UD); P3 glass spice container B (C, UR); P4 white cup A (O, UR) [TARGET]</x:v>
      </x:c>
      <x:c r="G61" s="10" t="str">
        <x:f>'Evaluation Plan'!H61</x:f>
        <x:v>white cup A</x:v>
      </x:c>
      <x:c r="H61" s="10" t="str">
        <x:v>Not started</x:v>
      </x:c>
      <x:c r="I61" s="10"/>
      <x:c r="J61" s="10"/>
      <x:c r="K61" s="7"/>
    </x:row>
    <x:row r="62" ht="54" customHeight="1">
      <x:c r="A62" s="10" t="n">
        <x:f>'Evaluation Plan'!A62</x:f>
        <x:v>60</x:v>
      </x:c>
      <x:c r="B62" s="10" t="str">
        <x:f>'Evaluation Plan'!B62</x:f>
        <x:v>Concept/compositional transfer</x:v>
      </x:c>
      <x:c r="C62" s="10" t="str">
        <x:f>'Evaluation Plan'!D62</x:f>
        <x:v>SR-F41</x:v>
      </x:c>
      <x:c r="D62" s="10" t="str">
        <x:f>IF('Evaluation Plan'!B62="Concept/compositional transfer","",'Evaluation Plan'!E62)</x:f>
      </x:c>
      <x:c r="E62" s="7" t="str">
        <x:f>'Evaluation Plan'!F62</x:f>
        <x:v>Move the open object into the bowl.</x:v>
      </x:c>
      <x:c r="F62" s="7" t="str">
        <x:f>'Evaluation Plan'!G62</x:f>
        <x:v>P1 yellow-white striped cup B (O, UD) [TARGET]; P2 white cup B (C, UR); P3 brown cup A (C, UD); P4 glass spice container B (C, UR)</x:v>
      </x:c>
      <x:c r="G62" s="10" t="str">
        <x:f>'Evaluation Plan'!H62</x:f>
        <x:v>yellow-white striped cup B</x:v>
      </x:c>
      <x:c r="H62" s="10" t="str">
        <x:v>Not started</x:v>
      </x:c>
      <x:c r="I62" s="10"/>
      <x:c r="J62" s="10"/>
      <x:c r="K62" s="7"/>
    </x:row>
    <x:row r="63" ht="54" customHeight="1">
      <x:c r="A63" s="10" t="n">
        <x:f>'Evaluation Plan'!A63</x:f>
        <x:v>61</x:v>
      </x:c>
      <x:c r="B63" s="10" t="str">
        <x:f>'Evaluation Plan'!B63</x:f>
        <x:v>Concept/compositional transfer</x:v>
      </x:c>
      <x:c r="C63" s="10" t="str">
        <x:f>'Evaluation Plan'!D63</x:f>
        <x:v>SR-F42</x:v>
      </x:c>
      <x:c r="D63" s="10" t="str">
        <x:f>IF('Evaluation Plan'!B63="Concept/compositional transfer","",'Evaluation Plan'!E63)</x:f>
      </x:c>
      <x:c r="E63" s="7" t="str">
        <x:f>'Evaluation Plan'!F63</x:f>
        <x:v>Place the open object in the bowl.</x:v>
      </x:c>
      <x:c r="F63" s="7" t="str">
        <x:f>'Evaluation Plan'!G63</x:f>
        <x:v>P1 white cup B (C, UR); P2 brown cup A (O, UR) [TARGET]; P3 yellow-white striped cup B (C, UR); P4 glass spice container A (C, UD)</x:v>
      </x:c>
      <x:c r="G63" s="10" t="str">
        <x:f>'Evaluation Plan'!H63</x:f>
        <x:v>brown cup A</x:v>
      </x:c>
      <x:c r="H63" s="10" t="str">
        <x:v>Not started</x:v>
      </x:c>
      <x:c r="I63" s="10"/>
      <x:c r="J63" s="10"/>
      <x:c r="K63" s="7"/>
    </x:row>
    <x:row r="64" ht="54" customHeight="1">
      <x:c r="A64" s="10" t="n">
        <x:f>'Evaluation Plan'!A64</x:f>
        <x:v>62</x:v>
      </x:c>
      <x:c r="B64" s="10" t="str">
        <x:f>'Evaluation Plan'!B64</x:f>
        <x:v>Concept/compositional transfer</x:v>
      </x:c>
      <x:c r="C64" s="10" t="str">
        <x:f>'Evaluation Plan'!D64</x:f>
        <x:v>SR-F43</x:v>
      </x:c>
      <x:c r="D64" s="10" t="str">
        <x:f>IF('Evaluation Plan'!B64="Concept/compositional transfer","",'Evaluation Plan'!E64)</x:f>
      </x:c>
      <x:c r="E64" s="7" t="str">
        <x:f>'Evaluation Plan'!F64</x:f>
        <x:v>Put the open object in the bowl.</x:v>
      </x:c>
      <x:c r="F64" s="7" t="str">
        <x:f>'Evaluation Plan'!G64</x:f>
        <x:v>P1 white cup A (C, UD); P2 yellow-white striped cup B (C, UR); P3 glass spice container B (O, UD) [TARGET]; P4 brown cup B (C, UR)</x:v>
      </x:c>
      <x:c r="G64" s="10" t="str">
        <x:f>'Evaluation Plan'!H64</x:f>
        <x:v>glass spice container B</x:v>
      </x:c>
      <x:c r="H64" s="10" t="str">
        <x:v>Not started</x:v>
      </x:c>
      <x:c r="I64" s="10"/>
      <x:c r="J64" s="10"/>
      <x:c r="K64" s="7"/>
    </x:row>
    <x:row r="65" ht="54" customHeight="1">
      <x:c r="A65" s="10" t="n">
        <x:f>'Evaluation Plan'!A65</x:f>
        <x:v>63</x:v>
      </x:c>
      <x:c r="B65" s="10" t="str">
        <x:f>'Evaluation Plan'!B65</x:f>
        <x:v>Concept/compositional transfer</x:v>
      </x:c>
      <x:c r="C65" s="10" t="str">
        <x:f>'Evaluation Plan'!D65</x:f>
        <x:v>SR-F44</x:v>
      </x:c>
      <x:c r="D65" s="10" t="str">
        <x:f>IF('Evaluation Plan'!B65="Concept/compositional transfer","",'Evaluation Plan'!E65)</x:f>
      </x:c>
      <x:c r="E65" s="7" t="str">
        <x:f>'Evaluation Plan'!F65</x:f>
        <x:v>Move the open object into the bowl.</x:v>
      </x:c>
      <x:c r="F65" s="7" t="str">
        <x:f>'Evaluation Plan'!G65</x:f>
        <x:v>P1 yellow-white striped cup B (C, UR); P2 brown cup A (C, UD); P3 glass spice container B (C, UR); P4 white cup A (O, UR) [TARGET]</x:v>
      </x:c>
      <x:c r="G65" s="10" t="str">
        <x:f>'Evaluation Plan'!H65</x:f>
        <x:v>white cup A</x:v>
      </x:c>
      <x:c r="H65" s="10" t="str">
        <x:v>Not started</x:v>
      </x:c>
      <x:c r="I65" s="10"/>
      <x:c r="J65" s="10"/>
      <x:c r="K65" s="7"/>
    </x:row>
    <x:row r="66" ht="54" customHeight="1">
      <x:c r="A66" s="10" t="n">
        <x:f>'Evaluation Plan'!A66</x:f>
        <x:v>64</x:v>
      </x:c>
      <x:c r="B66" s="10" t="str">
        <x:f>'Evaluation Plan'!B66</x:f>
        <x:v>Concept/compositional transfer</x:v>
      </x:c>
      <x:c r="C66" s="10" t="str">
        <x:f>'Evaluation Plan'!D66</x:f>
        <x:v>SR-F45</x:v>
      </x:c>
      <x:c r="D66" s="10" t="str">
        <x:f>IF('Evaluation Plan'!B66="Concept/compositional transfer","",'Evaluation Plan'!E66)</x:f>
      </x:c>
      <x:c r="E66" s="7" t="str">
        <x:f>'Evaluation Plan'!F66</x:f>
        <x:v>Place the open object in the bowl.</x:v>
      </x:c>
      <x:c r="F66" s="7" t="str">
        <x:f>'Evaluation Plan'!G66</x:f>
        <x:v>P1 brown cup B (O, UD) [TARGET]; P2 white cup B (C, UR); P3 yellow-white striped cup A (C, UD); P4 glass spice container B (C, UR)</x:v>
      </x:c>
      <x:c r="G66" s="10" t="str">
        <x:f>'Evaluation Plan'!H66</x:f>
        <x:v>brown cup B</x:v>
      </x:c>
      <x:c r="H66" s="10" t="str">
        <x:v>Not started</x:v>
      </x:c>
      <x:c r="I66" s="10"/>
      <x:c r="J66" s="10"/>
      <x:c r="K66" s="7"/>
    </x:row>
    <x:row r="67" ht="54" customHeight="1">
      <x:c r="A67" s="10" t="n">
        <x:f>'Evaluation Plan'!A67</x:f>
        <x:v>65</x:v>
      </x:c>
      <x:c r="B67" s="10" t="str">
        <x:f>'Evaluation Plan'!B67</x:f>
        <x:v>Concept/compositional transfer</x:v>
      </x:c>
      <x:c r="C67" s="10" t="str">
        <x:f>'Evaluation Plan'!D67</x:f>
        <x:v>SR-F46</x:v>
      </x:c>
      <x:c r="D67" s="10" t="str">
        <x:f>IF('Evaluation Plan'!B67="Concept/compositional transfer","",'Evaluation Plan'!E67)</x:f>
      </x:c>
      <x:c r="E67" s="7" t="str">
        <x:f>'Evaluation Plan'!F67</x:f>
        <x:v>Put the upside-down object in the bowl.</x:v>
      </x:c>
      <x:c r="F67" s="7" t="str">
        <x:f>'Evaluation Plan'!G67</x:f>
        <x:v>P1 white cup B (O, UR); P2 glass spice container A (O, UD) [TARGET]; P3 yellow-white striped cup B (O, UR); P4 brown cup A (C, UR)</x:v>
      </x:c>
      <x:c r="G67" s="10" t="str">
        <x:f>'Evaluation Plan'!H67</x:f>
        <x:v>glass spice container A</x:v>
      </x:c>
      <x:c r="H67" s="10" t="str">
        <x:v>Not started</x:v>
      </x:c>
      <x:c r="I67" s="10"/>
      <x:c r="J67" s="10"/>
      <x:c r="K67" s="7"/>
    </x:row>
    <x:row r="68" ht="54" customHeight="1">
      <x:c r="A68" s="10" t="n">
        <x:f>'Evaluation Plan'!A68</x:f>
        <x:v>66</x:v>
      </x:c>
      <x:c r="B68" s="10" t="str">
        <x:f>'Evaluation Plan'!B68</x:f>
        <x:v>Concept/compositional transfer</x:v>
      </x:c>
      <x:c r="C68" s="10" t="str">
        <x:f>'Evaluation Plan'!D68</x:f>
        <x:v>SR-F47</x:v>
      </x:c>
      <x:c r="D68" s="10" t="str">
        <x:f>IF('Evaluation Plan'!B68="Concept/compositional transfer","",'Evaluation Plan'!E68)</x:f>
      </x:c>
      <x:c r="E68" s="7" t="str">
        <x:f>'Evaluation Plan'!F68</x:f>
        <x:v>Move the upside-down object into the bowl.</x:v>
      </x:c>
      <x:c r="F68" s="7" t="str">
        <x:f>'Evaluation Plan'!G68</x:f>
        <x:v>P1 yellow-white striped cup A (C, UR); P2 brown cup B (O, UR); P3 white cup B (C, UD) [TARGET]; P4 glass spice container B (O, UR)</x:v>
      </x:c>
      <x:c r="G68" s="10" t="str">
        <x:f>'Evaluation Plan'!H68</x:f>
        <x:v>white cup B</x:v>
      </x:c>
      <x:c r="H68" s="10" t="str">
        <x:v>Not started</x:v>
      </x:c>
      <x:c r="I68" s="10"/>
      <x:c r="J68" s="10"/>
      <x:c r="K68" s="7"/>
    </x:row>
    <x:row r="69" ht="54" customHeight="1">
      <x:c r="A69" s="10" t="n">
        <x:f>'Evaluation Plan'!A69</x:f>
        <x:v>67</x:v>
      </x:c>
      <x:c r="B69" s="10" t="str">
        <x:f>'Evaluation Plan'!B69</x:f>
        <x:v>Concept/compositional transfer</x:v>
      </x:c>
      <x:c r="C69" s="10" t="str">
        <x:f>'Evaluation Plan'!D69</x:f>
        <x:v>SR-F48</x:v>
      </x:c>
      <x:c r="D69" s="10" t="str">
        <x:f>IF('Evaluation Plan'!B69="Concept/compositional transfer","",'Evaluation Plan'!E69)</x:f>
      </x:c>
      <x:c r="E69" s="7" t="str">
        <x:f>'Evaluation Plan'!F69</x:f>
        <x:v>Place the upside-down object in the bowl.</x:v>
      </x:c>
      <x:c r="F69" s="7" t="str">
        <x:f>'Evaluation Plan'!G69</x:f>
        <x:v>P1 white cup B (O, UR); P2 brown cup A (C, UR); P3 glass spice container B (O, UR); P4 yellow-white striped cup A (O, UD) [TARGET]</x:v>
      </x:c>
      <x:c r="G69" s="10" t="str">
        <x:f>'Evaluation Plan'!H69</x:f>
        <x:v>yellow-white striped cup A</x:v>
      </x:c>
      <x:c r="H69" s="10" t="str">
        <x:v>Not started</x:v>
      </x:c>
      <x:c r="I69" s="10"/>
      <x:c r="J69" s="10"/>
      <x:c r="K69" s="7"/>
    </x:row>
    <x:row r="70" ht="54" customHeight="1">
      <x:c r="A70" s="10" t="n">
        <x:f>'Evaluation Plan'!A70</x:f>
        <x:v>68</x:v>
      </x:c>
      <x:c r="B70" s="10" t="str">
        <x:f>'Evaluation Plan'!B70</x:f>
        <x:v>Concept/compositional transfer</x:v>
      </x:c>
      <x:c r="C70" s="10" t="str">
        <x:f>'Evaluation Plan'!D70</x:f>
        <x:v>SR-F49</x:v>
      </x:c>
      <x:c r="D70" s="10" t="str">
        <x:f>IF('Evaluation Plan'!B70="Concept/compositional transfer","",'Evaluation Plan'!E70)</x:f>
      </x:c>
      <x:c r="E70" s="7" t="str">
        <x:f>'Evaluation Plan'!F70</x:f>
        <x:v>Put the upside-down object in the bowl.</x:v>
      </x:c>
      <x:c r="F70" s="7" t="str">
        <x:f>'Evaluation Plan'!G70</x:f>
        <x:v>P1 brown cup B (C, UD) [TARGET]; P2 white cup B (O, UR); P3 yellow-white striped cup A (C, UR); P4 glass spice container B (O, UR)</x:v>
      </x:c>
      <x:c r="G70" s="10" t="str">
        <x:f>'Evaluation Plan'!H70</x:f>
        <x:v>brown cup B</x:v>
      </x:c>
      <x:c r="H70" s="10" t="str">
        <x:v>Not started</x:v>
      </x:c>
      <x:c r="I70" s="10"/>
      <x:c r="J70" s="10"/>
      <x:c r="K70" s="7"/>
    </x:row>
    <x:row r="71" ht="54" customHeight="1">
      <x:c r="A71" s="10" t="n">
        <x:f>'Evaluation Plan'!A71</x:f>
        <x:v>69</x:v>
      </x:c>
      <x:c r="B71" s="10" t="str">
        <x:f>'Evaluation Plan'!B71</x:f>
        <x:v>Concept/compositional transfer</x:v>
      </x:c>
      <x:c r="C71" s="10" t="str">
        <x:f>'Evaluation Plan'!D71</x:f>
        <x:v>SR-F50</x:v>
      </x:c>
      <x:c r="D71" s="10" t="str">
        <x:f>IF('Evaluation Plan'!B71="Concept/compositional transfer","",'Evaluation Plan'!E71)</x:f>
      </x:c>
      <x:c r="E71" s="7" t="str">
        <x:f>'Evaluation Plan'!F71</x:f>
        <x:v>Move the upside-down object into the bowl.</x:v>
      </x:c>
      <x:c r="F71" s="7" t="str">
        <x:f>'Evaluation Plan'!G71</x:f>
        <x:v>P1 white cup B (O, UR); P2 glass spice container A (O, UD) [TARGET]; P3 yellow-white striped cup B (O, UR); P4 brown cup A (C, UR)</x:v>
      </x:c>
      <x:c r="G71" s="10" t="str">
        <x:f>'Evaluation Plan'!H71</x:f>
        <x:v>glass spice container A</x:v>
      </x:c>
      <x:c r="H71" s="10" t="str">
        <x:v>Not started</x:v>
      </x:c>
      <x:c r="I71" s="10"/>
      <x:c r="J71" s="10"/>
      <x:c r="K71" s="7"/>
    </x:row>
    <x:row r="72" ht="54" customHeight="1">
      <x:c r="A72" s="10" t="n">
        <x:f>'Evaluation Plan'!A72</x:f>
        <x:v>70</x:v>
      </x:c>
      <x:c r="B72" s="10" t="str">
        <x:f>'Evaluation Plan'!B72</x:f>
        <x:v>Visual generalization</x:v>
      </x:c>
      <x:c r="C72" s="10" t="str">
        <x:f>'Evaluation Plan'!D72</x:f>
        <x:v>SR-F01</x:v>
      </x:c>
      <x:c r="D72" s="10" t="n">
        <x:f>IF('Evaluation Plan'!B72="Concept/compositional transfer","",'Evaluation Plan'!E72)</x:f>
        <x:v>0</x:v>
      </x:c>
      <x:c r="E72" s="7" t="str">
        <x:f>'Evaluation Plan'!F72</x:f>
        <x:v>Place the closed object in the bowl.</x:v>
      </x:c>
      <x:c r="F72" s="7" t="str">
        <x:f>'Evaluation Plan'!G72</x:f>
        <x:v>P1 U1 (see Object Inventory) (C, UR) [TARGET]; P2 U2 (see Object Inventory) (O, UD); P3 brown cup A (O, UR); P4 glass spice container B (O, UD)</x:v>
      </x:c>
      <x:c r="G72" s="10" t="str">
        <x:f>'Evaluation Plan'!H72</x:f>
        <x:v>U1</x:v>
      </x:c>
      <x:c r="H72" s="10" t="str">
        <x:v>Not started</x:v>
      </x:c>
      <x:c r="I72" s="10"/>
      <x:c r="J72" s="10"/>
      <x:c r="K72" s="7"/>
    </x:row>
    <x:row r="73" ht="54" customHeight="1">
      <x:c r="A73" s="10" t="n">
        <x:f>'Evaluation Plan'!A73</x:f>
        <x:v>71</x:v>
      </x:c>
      <x:c r="B73" s="10" t="str">
        <x:f>'Evaluation Plan'!B73</x:f>
        <x:v>Visual generalization</x:v>
      </x:c>
      <x:c r="C73" s="10" t="str">
        <x:f>'Evaluation Plan'!D73</x:f>
        <x:v>SR-F02</x:v>
      </x:c>
      <x:c r="D73" s="10" t="n">
        <x:f>IF('Evaluation Plan'!B73="Concept/compositional transfer","",'Evaluation Plan'!E73)</x:f>
        <x:v>2</x:v>
      </x:c>
      <x:c r="E73" s="7" t="str">
        <x:f>'Evaluation Plan'!F73</x:f>
        <x:v>Put the closed object in the bowl.</x:v>
      </x:c>
      <x:c r="F73" s="7" t="str">
        <x:f>'Evaluation Plan'!G73</x:f>
        <x:v>P1 U1 (see Object Inventory) (O, UR); P2 U2 (see Object Inventory) (C, UD) [TARGET]; P3 glass spice container B (O, UD); P4 white cup A (O, UR)</x:v>
      </x:c>
      <x:c r="G73" s="10" t="str">
        <x:f>'Evaluation Plan'!H73</x:f>
        <x:v>U2</x:v>
      </x:c>
      <x:c r="H73" s="10" t="str">
        <x:v>Not started</x:v>
      </x:c>
      <x:c r="I73" s="10"/>
      <x:c r="J73" s="10"/>
      <x:c r="K73" s="7"/>
    </x:row>
    <x:row r="74" ht="54" customHeight="1">
      <x:c r="A74" s="10" t="n">
        <x:f>'Evaluation Plan'!A74</x:f>
        <x:v>72</x:v>
      </x:c>
      <x:c r="B74" s="10" t="str">
        <x:f>'Evaluation Plan'!B74</x:f>
        <x:v>Visual generalization</x:v>
      </x:c>
      <x:c r="C74" s="10" t="str">
        <x:f>'Evaluation Plan'!D74</x:f>
        <x:v>SR-F03</x:v>
      </x:c>
      <x:c r="D74" s="10" t="n">
        <x:f>IF('Evaluation Plan'!B74="Concept/compositional transfer","",'Evaluation Plan'!E74)</x:f>
        <x:v>4</x:v>
      </x:c>
      <x:c r="E74" s="7" t="str">
        <x:f>'Evaluation Plan'!F74</x:f>
        <x:v>Move the closed object into the bowl.</x:v>
      </x:c>
      <x:c r="F74" s="7" t="str">
        <x:f>'Evaluation Plan'!G74</x:f>
        <x:v>P1 U2 (see Object Inventory) (O, UD); P2 glass spice container B (O, UD); P3 U1 (see Object Inventory) (C, UR) [TARGET]; P4 yellow-white striped cup B (O, UD)</x:v>
      </x:c>
      <x:c r="G74" s="10" t="str">
        <x:f>'Evaluation Plan'!H74</x:f>
        <x:v>U1</x:v>
      </x:c>
      <x:c r="H74" s="10" t="str">
        <x:v>Not started</x:v>
      </x:c>
      <x:c r="I74" s="10"/>
      <x:c r="J74" s="10"/>
      <x:c r="K74" s="7"/>
    </x:row>
    <x:row r="75" ht="54" customHeight="1">
      <x:c r="A75" s="10" t="n">
        <x:f>'Evaluation Plan'!A75</x:f>
        <x:v>73</x:v>
      </x:c>
      <x:c r="B75" s="10" t="str">
        <x:f>'Evaluation Plan'!B75</x:f>
        <x:v>Visual generalization</x:v>
      </x:c>
      <x:c r="C75" s="10" t="str">
        <x:f>'Evaluation Plan'!D75</x:f>
        <x:v>SR-F04</x:v>
      </x:c>
      <x:c r="D75" s="10" t="n">
        <x:f>IF('Evaluation Plan'!B75="Concept/compositional transfer","",'Evaluation Plan'!E75)</x:f>
        <x:v>6</x:v>
      </x:c>
      <x:c r="E75" s="7" t="str">
        <x:f>'Evaluation Plan'!F75</x:f>
        <x:v>Place the closed object in the bowl.</x:v>
      </x:c>
      <x:c r="F75" s="7" t="str">
        <x:f>'Evaluation Plan'!G75</x:f>
        <x:v>P1 U1 (see Object Inventory) (O, UR); P2 white cup A (O, UR); P3 yellow-white striped cup B (O, UD); P4 U2 (see Object Inventory) (C, UD) [TARGET]</x:v>
      </x:c>
      <x:c r="G75" s="10" t="str">
        <x:f>'Evaluation Plan'!H75</x:f>
        <x:v>U2</x:v>
      </x:c>
      <x:c r="H75" s="10" t="str">
        <x:v>Not started</x:v>
      </x:c>
      <x:c r="I75" s="10"/>
      <x:c r="J75" s="10"/>
      <x:c r="K75" s="7"/>
    </x:row>
    <x:row r="76" ht="54" customHeight="1">
      <x:c r="A76" s="10" t="n">
        <x:f>'Evaluation Plan'!A76</x:f>
        <x:v>74</x:v>
      </x:c>
      <x:c r="B76" s="10" t="str">
        <x:f>'Evaluation Plan'!B76</x:f>
        <x:v>Visual generalization</x:v>
      </x:c>
      <x:c r="C76" s="10" t="str">
        <x:f>'Evaluation Plan'!D76</x:f>
        <x:v>SR-F05</x:v>
      </x:c>
      <x:c r="D76" s="10" t="n">
        <x:f>IF('Evaluation Plan'!B76="Concept/compositional transfer","",'Evaluation Plan'!E76)</x:f>
        <x:v>8</x:v>
      </x:c>
      <x:c r="E76" s="7" t="str">
        <x:f>'Evaluation Plan'!F76</x:f>
        <x:v>Put the closed object in the bowl.</x:v>
      </x:c>
      <x:c r="F76" s="7" t="str">
        <x:f>'Evaluation Plan'!G76</x:f>
        <x:v>P1 U1 (see Object Inventory) (C, UR) [TARGET]; P2 U2 (see Object Inventory) (O, UD); P3 brown cup A (O, UR); P4 glass spice container B (O, UD)</x:v>
      </x:c>
      <x:c r="G76" s="10" t="str">
        <x:f>'Evaluation Plan'!H76</x:f>
        <x:v>U1</x:v>
      </x:c>
      <x:c r="H76" s="10" t="str">
        <x:v>Not started</x:v>
      </x:c>
      <x:c r="I76" s="10"/>
      <x:c r="J76" s="10"/>
      <x:c r="K76" s="7"/>
    </x:row>
    <x:row r="77" ht="54" customHeight="1">
      <x:c r="A77" s="10" t="n">
        <x:f>'Evaluation Plan'!A77</x:f>
        <x:v>75</x:v>
      </x:c>
      <x:c r="B77" s="10" t="str">
        <x:f>'Evaluation Plan'!B77</x:f>
        <x:v>Visual generalization</x:v>
      </x:c>
      <x:c r="C77" s="10" t="str">
        <x:f>'Evaluation Plan'!D77</x:f>
        <x:v>SR-F06</x:v>
      </x:c>
      <x:c r="D77" s="10" t="n">
        <x:f>IF('Evaluation Plan'!B77="Concept/compositional transfer","",'Evaluation Plan'!E77)</x:f>
        <x:v>10</x:v>
      </x:c>
      <x:c r="E77" s="7" t="str">
        <x:f>'Evaluation Plan'!F77</x:f>
        <x:v>Move the closed object into the bowl.</x:v>
      </x:c>
      <x:c r="F77" s="7" t="str">
        <x:f>'Evaluation Plan'!G77</x:f>
        <x:v>P1 U1 (see Object Inventory) (O, UR); P2 U2 (see Object Inventory) (C, UD) [TARGET]; P3 glass spice container B (O, UD); P4 white cup A (O, UR)</x:v>
      </x:c>
      <x:c r="G77" s="10" t="str">
        <x:f>'Evaluation Plan'!H77</x:f>
        <x:v>U2</x:v>
      </x:c>
      <x:c r="H77" s="10" t="str">
        <x:v>Not started</x:v>
      </x:c>
      <x:c r="I77" s="10"/>
      <x:c r="J77" s="10"/>
      <x:c r="K77" s="7"/>
    </x:row>
    <x:row r="78" ht="54" customHeight="1">
      <x:c r="A78" s="10" t="n">
        <x:f>'Evaluation Plan'!A78</x:f>
        <x:v>76</x:v>
      </x:c>
      <x:c r="B78" s="10" t="str">
        <x:f>'Evaluation Plan'!B78</x:f>
        <x:v>Visual generalization</x:v>
      </x:c>
      <x:c r="C78" s="10" t="str">
        <x:f>'Evaluation Plan'!D78</x:f>
        <x:v>SR-F07</x:v>
      </x:c>
      <x:c r="D78" s="10" t="n">
        <x:f>IF('Evaluation Plan'!B78="Concept/compositional transfer","",'Evaluation Plan'!E78)</x:f>
        <x:v>12</x:v>
      </x:c>
      <x:c r="E78" s="7" t="str">
        <x:f>'Evaluation Plan'!F78</x:f>
        <x:v>Place the closed object in the bowl.</x:v>
      </x:c>
      <x:c r="F78" s="7" t="str">
        <x:f>'Evaluation Plan'!G78</x:f>
        <x:v>P1 U2 (see Object Inventory) (O, UD); P2 glass spice container B (O, UD); P3 U1 (see Object Inventory) (C, UR) [TARGET]; P4 yellow-white striped cup B (O, UD)</x:v>
      </x:c>
      <x:c r="G78" s="10" t="str">
        <x:f>'Evaluation Plan'!H78</x:f>
        <x:v>U1</x:v>
      </x:c>
      <x:c r="H78" s="10" t="str">
        <x:v>Not started</x:v>
      </x:c>
      <x:c r="I78" s="10"/>
      <x:c r="J78" s="10"/>
      <x:c r="K78" s="7"/>
    </x:row>
    <x:row r="79" ht="54" customHeight="1">
      <x:c r="A79" s="10" t="n">
        <x:f>'Evaluation Plan'!A79</x:f>
        <x:v>77</x:v>
      </x:c>
      <x:c r="B79" s="10" t="str">
        <x:f>'Evaluation Plan'!B79</x:f>
        <x:v>Visual generalization</x:v>
      </x:c>
      <x:c r="C79" s="10" t="str">
        <x:f>'Evaluation Plan'!D79</x:f>
        <x:v>SR-F08</x:v>
      </x:c>
      <x:c r="D79" s="10" t="n">
        <x:f>IF('Evaluation Plan'!B79="Concept/compositional transfer","",'Evaluation Plan'!E79)</x:f>
        <x:v>14</x:v>
      </x:c>
      <x:c r="E79" s="7" t="str">
        <x:f>'Evaluation Plan'!F79</x:f>
        <x:v>Put the closed object in the bowl.</x:v>
      </x:c>
      <x:c r="F79" s="7" t="str">
        <x:f>'Evaluation Plan'!G79</x:f>
        <x:v>P1 U1 (see Object Inventory) (O, UR); P2 white cup A (O, UR); P3 yellow-white striped cup B (O, UD); P4 U2 (see Object Inventory) (C, UD) [TARGET]</x:v>
      </x:c>
      <x:c r="G79" s="10" t="str">
        <x:f>'Evaluation Plan'!H79</x:f>
        <x:v>U2</x:v>
      </x:c>
      <x:c r="H79" s="10" t="str">
        <x:v>Not started</x:v>
      </x:c>
      <x:c r="I79" s="10"/>
      <x:c r="J79" s="10"/>
      <x:c r="K79" s="7"/>
    </x:row>
    <x:row r="80" ht="54" customHeight="1">
      <x:c r="A80" s="10" t="n">
        <x:f>'Evaluation Plan'!A80</x:f>
        <x:v>78</x:v>
      </x:c>
      <x:c r="B80" s="10" t="str">
        <x:f>'Evaluation Plan'!B80</x:f>
        <x:v>Visual generalization</x:v>
      </x:c>
      <x:c r="C80" s="10" t="str">
        <x:f>'Evaluation Plan'!D80</x:f>
        <x:v>SR-F09</x:v>
      </x:c>
      <x:c r="D80" s="10" t="n">
        <x:f>IF('Evaluation Plan'!B80="Concept/compositional transfer","",'Evaluation Plan'!E80)</x:f>
        <x:v>16</x:v>
      </x:c>
      <x:c r="E80" s="7" t="str">
        <x:f>'Evaluation Plan'!F80</x:f>
        <x:v>Move the closed object into the bowl.</x:v>
      </x:c>
      <x:c r="F80" s="7" t="str">
        <x:f>'Evaluation Plan'!G80</x:f>
        <x:v>P1 U1 (see Object Inventory) (C, UR) [TARGET]; P2 U2 (see Object Inventory) (O, UD); P3 brown cup A (O, UR); P4 glass spice container B (O, UD)</x:v>
      </x:c>
      <x:c r="G80" s="10" t="str">
        <x:f>'Evaluation Plan'!H80</x:f>
        <x:v>U1</x:v>
      </x:c>
      <x:c r="H80" s="10" t="str">
        <x:v>Not started</x:v>
      </x:c>
      <x:c r="I80" s="10"/>
      <x:c r="J80" s="10"/>
      <x:c r="K80" s="7"/>
    </x:row>
    <x:row r="81" ht="54" customHeight="1">
      <x:c r="A81" s="10" t="n">
        <x:f>'Evaluation Plan'!A81</x:f>
        <x:v>79</x:v>
      </x:c>
      <x:c r="B81" s="10" t="str">
        <x:f>'Evaluation Plan'!B81</x:f>
        <x:v>Visual generalization</x:v>
      </x:c>
      <x:c r="C81" s="10" t="str">
        <x:f>'Evaluation Plan'!D81</x:f>
        <x:v>SR-F10</x:v>
      </x:c>
      <x:c r="D81" s="10" t="n">
        <x:f>IF('Evaluation Plan'!B81="Concept/compositional transfer","",'Evaluation Plan'!E81)</x:f>
        <x:v>18</x:v>
      </x:c>
      <x:c r="E81" s="7" t="str">
        <x:f>'Evaluation Plan'!F81</x:f>
        <x:v>Place the closed object in the bowl.</x:v>
      </x:c>
      <x:c r="F81" s="7" t="str">
        <x:f>'Evaluation Plan'!G81</x:f>
        <x:v>P1 U1 (see Object Inventory) (O, UR); P2 U2 (see Object Inventory) (C, UD) [TARGET]; P3 glass spice container B (O, UD); P4 white cup A (O, UR)</x:v>
      </x:c>
      <x:c r="G81" s="10" t="str">
        <x:f>'Evaluation Plan'!H81</x:f>
        <x:v>U2</x:v>
      </x:c>
      <x:c r="H81" s="10" t="str">
        <x:v>Not started</x:v>
      </x:c>
      <x:c r="I81" s="10"/>
      <x:c r="J81" s="10"/>
      <x:c r="K81" s="7"/>
    </x:row>
    <x:row r="82" ht="54" customHeight="1">
      <x:c r="A82" s="10" t="n">
        <x:f>'Evaluation Plan'!A82</x:f>
        <x:v>80</x:v>
      </x:c>
      <x:c r="B82" s="10" t="str">
        <x:f>'Evaluation Plan'!B82</x:f>
        <x:v>Visual generalization</x:v>
      </x:c>
      <x:c r="C82" s="10" t="str">
        <x:f>'Evaluation Plan'!D82</x:f>
        <x:v>SR-F11</x:v>
      </x:c>
      <x:c r="D82" s="10" t="n">
        <x:f>IF('Evaluation Plan'!B82="Concept/compositional transfer","",'Evaluation Plan'!E82)</x:f>
        <x:v>20</x:v>
      </x:c>
      <x:c r="E82" s="7" t="str">
        <x:f>'Evaluation Plan'!F82</x:f>
        <x:v>Put the upright object in the bowl.</x:v>
      </x:c>
      <x:c r="F82" s="7" t="str">
        <x:f>'Evaluation Plan'!G82</x:f>
        <x:v>P1 U4 (see Object Inventory) (UD); P2 glass spice container B (C, UD); P3 U3 (see Object Inventory) (UR) [TARGET]; P4 yellow-white striped cup B (C, UD)</x:v>
      </x:c>
      <x:c r="G82" s="10" t="str">
        <x:f>'Evaluation Plan'!H82</x:f>
        <x:v>U3</x:v>
      </x:c>
      <x:c r="H82" s="10" t="str">
        <x:v>Not started</x:v>
      </x:c>
      <x:c r="I82" s="10"/>
      <x:c r="J82" s="10"/>
      <x:c r="K82" s="7"/>
    </x:row>
    <x:row r="83" ht="54" customHeight="1">
      <x:c r="A83" s="10" t="n">
        <x:f>'Evaluation Plan'!A83</x:f>
        <x:v>81</x:v>
      </x:c>
      <x:c r="B83" s="10" t="str">
        <x:f>'Evaluation Plan'!B83</x:f>
        <x:v>Visual generalization</x:v>
      </x:c>
      <x:c r="C83" s="10" t="str">
        <x:f>'Evaluation Plan'!D83</x:f>
        <x:v>SR-F12</x:v>
      </x:c>
      <x:c r="D83" s="10" t="n">
        <x:f>IF('Evaluation Plan'!B83="Concept/compositional transfer","",'Evaluation Plan'!E83)</x:f>
        <x:v>22</x:v>
      </x:c>
      <x:c r="E83" s="7" t="str">
        <x:f>'Evaluation Plan'!F83</x:f>
        <x:v>Move the upright object into the bowl.</x:v>
      </x:c>
      <x:c r="F83" s="7" t="str">
        <x:f>'Evaluation Plan'!G83</x:f>
        <x:v>P1 U3 (see Object Inventory) (UD); P2 white cup A (O, UD); P3 yellow-white striped cup B (C, UD); P4 U4 (see Object Inventory) (UR) [TARGET]</x:v>
      </x:c>
      <x:c r="G83" s="10" t="str">
        <x:f>'Evaluation Plan'!H83</x:f>
        <x:v>U4</x:v>
      </x:c>
      <x:c r="H83" s="10" t="str">
        <x:v>Not started</x:v>
      </x:c>
      <x:c r="I83" s="10"/>
      <x:c r="J83" s="10"/>
      <x:c r="K83" s="7"/>
    </x:row>
    <x:row r="84" ht="54" customHeight="1">
      <x:c r="A84" s="10" t="n">
        <x:f>'Evaluation Plan'!A84</x:f>
        <x:v>82</x:v>
      </x:c>
      <x:c r="B84" s="10" t="str">
        <x:f>'Evaluation Plan'!B84</x:f>
        <x:v>Visual generalization</x:v>
      </x:c>
      <x:c r="C84" s="10" t="str">
        <x:f>'Evaluation Plan'!D84</x:f>
        <x:v>SR-F13</x:v>
      </x:c>
      <x:c r="D84" s="10" t="n">
        <x:f>IF('Evaluation Plan'!B84="Concept/compositional transfer","",'Evaluation Plan'!E84)</x:f>
        <x:v>24</x:v>
      </x:c>
      <x:c r="E84" s="7" t="str">
        <x:f>'Evaluation Plan'!F84</x:f>
        <x:v>Place the upright object in the bowl.</x:v>
      </x:c>
      <x:c r="F84" s="7" t="str">
        <x:f>'Evaluation Plan'!G84</x:f>
        <x:v>P1 U3 (see Object Inventory) (UR) [TARGET]; P2 U4 (see Object Inventory) (UD); P3 brown cup A (O, UD); P4 glass spice container B (C, UD)</x:v>
      </x:c>
      <x:c r="G84" s="10" t="str">
        <x:f>'Evaluation Plan'!H84</x:f>
        <x:v>U3</x:v>
      </x:c>
      <x:c r="H84" s="10" t="str">
        <x:v>Not started</x:v>
      </x:c>
      <x:c r="I84" s="10"/>
      <x:c r="J84" s="10"/>
      <x:c r="K84" s="7"/>
    </x:row>
    <x:row r="85" ht="54" customHeight="1">
      <x:c r="A85" s="10" t="n">
        <x:f>'Evaluation Plan'!A85</x:f>
        <x:v>83</x:v>
      </x:c>
      <x:c r="B85" s="10" t="str">
        <x:f>'Evaluation Plan'!B85</x:f>
        <x:v>Visual generalization</x:v>
      </x:c>
      <x:c r="C85" s="10" t="str">
        <x:f>'Evaluation Plan'!D85</x:f>
        <x:v>SR-F14</x:v>
      </x:c>
      <x:c r="D85" s="10" t="n">
        <x:f>IF('Evaluation Plan'!B85="Concept/compositional transfer","",'Evaluation Plan'!E85)</x:f>
        <x:v>26</x:v>
      </x:c>
      <x:c r="E85" s="7" t="str">
        <x:f>'Evaluation Plan'!F85</x:f>
        <x:v>Put the upright object in the bowl.</x:v>
      </x:c>
      <x:c r="F85" s="7" t="str">
        <x:f>'Evaluation Plan'!G85</x:f>
        <x:v>P1 U3 (see Object Inventory) (UD); P2 U4 (see Object Inventory) (UR) [TARGET]; P3 glass spice container B (C, UD); P4 white cup A (O, UD)</x:v>
      </x:c>
      <x:c r="G85" s="10" t="str">
        <x:f>'Evaluation Plan'!H85</x:f>
        <x:v>U4</x:v>
      </x:c>
      <x:c r="H85" s="10" t="str">
        <x:v>Not started</x:v>
      </x:c>
      <x:c r="I85" s="10"/>
      <x:c r="J85" s="10"/>
      <x:c r="K85" s="7"/>
    </x:row>
    <x:row r="86" ht="54" customHeight="1">
      <x:c r="A86" s="10" t="n">
        <x:f>'Evaluation Plan'!A86</x:f>
        <x:v>84</x:v>
      </x:c>
      <x:c r="B86" s="10" t="str">
        <x:f>'Evaluation Plan'!B86</x:f>
        <x:v>Visual generalization</x:v>
      </x:c>
      <x:c r="C86" s="10" t="str">
        <x:f>'Evaluation Plan'!D86</x:f>
        <x:v>SR-F15</x:v>
      </x:c>
      <x:c r="D86" s="10" t="n">
        <x:f>IF('Evaluation Plan'!B86="Concept/compositional transfer","",'Evaluation Plan'!E86)</x:f>
        <x:v>28</x:v>
      </x:c>
      <x:c r="E86" s="7" t="str">
        <x:f>'Evaluation Plan'!F86</x:f>
        <x:v>Move the upright object into the bowl.</x:v>
      </x:c>
      <x:c r="F86" s="7" t="str">
        <x:f>'Evaluation Plan'!G86</x:f>
        <x:v>P1 U4 (see Object Inventory) (UD); P2 glass spice container B (C, UD); P3 U3 (see Object Inventory) (UR) [TARGET]; P4 yellow-white striped cup B (C, UD)</x:v>
      </x:c>
      <x:c r="G86" s="10" t="str">
        <x:f>'Evaluation Plan'!H86</x:f>
        <x:v>U3</x:v>
      </x:c>
      <x:c r="H86" s="10" t="str">
        <x:v>Not started</x:v>
      </x:c>
      <x:c r="I86" s="10"/>
      <x:c r="J86" s="10"/>
      <x:c r="K86" s="7"/>
    </x:row>
    <x:row r="87" ht="54" customHeight="1">
      <x:c r="A87" s="10" t="n">
        <x:f>'Evaluation Plan'!A87</x:f>
        <x:v>85</x:v>
      </x:c>
      <x:c r="B87" s="10" t="str">
        <x:f>'Evaluation Plan'!B87</x:f>
        <x:v>Visual generalization</x:v>
      </x:c>
      <x:c r="C87" s="10" t="str">
        <x:f>'Evaluation Plan'!D87</x:f>
        <x:v>SR-F16</x:v>
      </x:c>
      <x:c r="D87" s="10" t="n">
        <x:f>IF('Evaluation Plan'!B87="Concept/compositional transfer","",'Evaluation Plan'!E87)</x:f>
        <x:v>30</x:v>
      </x:c>
      <x:c r="E87" s="7" t="str">
        <x:f>'Evaluation Plan'!F87</x:f>
        <x:v>Place the upright object in the bowl.</x:v>
      </x:c>
      <x:c r="F87" s="7" t="str">
        <x:f>'Evaluation Plan'!G87</x:f>
        <x:v>P1 U3 (see Object Inventory) (UD); P2 white cup A (O, UD); P3 yellow-white striped cup B (C, UD); P4 U4 (see Object Inventory) (UR) [TARGET]</x:v>
      </x:c>
      <x:c r="G87" s="10" t="str">
        <x:f>'Evaluation Plan'!H87</x:f>
        <x:v>U4</x:v>
      </x:c>
      <x:c r="H87" s="10" t="str">
        <x:v>Not started</x:v>
      </x:c>
      <x:c r="I87" s="10"/>
      <x:c r="J87" s="10"/>
      <x:c r="K87" s="7"/>
    </x:row>
    <x:row r="88" ht="54" customHeight="1">
      <x:c r="A88" s="10" t="n">
        <x:f>'Evaluation Plan'!A88</x:f>
        <x:v>86</x:v>
      </x:c>
      <x:c r="B88" s="10" t="str">
        <x:f>'Evaluation Plan'!B88</x:f>
        <x:v>Visual generalization</x:v>
      </x:c>
      <x:c r="C88" s="10" t="str">
        <x:f>'Evaluation Plan'!D88</x:f>
        <x:v>SR-F17</x:v>
      </x:c>
      <x:c r="D88" s="10" t="n">
        <x:f>IF('Evaluation Plan'!B88="Concept/compositional transfer","",'Evaluation Plan'!E88)</x:f>
        <x:v>32</x:v>
      </x:c>
      <x:c r="E88" s="7" t="str">
        <x:f>'Evaluation Plan'!F88</x:f>
        <x:v>Put the upright object in the bowl.</x:v>
      </x:c>
      <x:c r="F88" s="7" t="str">
        <x:f>'Evaluation Plan'!G88</x:f>
        <x:v>P1 U3 (see Object Inventory) (UR) [TARGET]; P2 U4 (see Object Inventory) (UD); P3 brown cup A (O, UD); P4 glass spice container B (C, UD)</x:v>
      </x:c>
      <x:c r="G88" s="10" t="str">
        <x:f>'Evaluation Plan'!H88</x:f>
        <x:v>U3</x:v>
      </x:c>
      <x:c r="H88" s="10" t="str">
        <x:v>Not started</x:v>
      </x:c>
      <x:c r="I88" s="10"/>
      <x:c r="J88" s="10"/>
      <x:c r="K88" s="7"/>
    </x:row>
    <x:row r="89" ht="54" customHeight="1">
      <x:c r="A89" s="10" t="n">
        <x:f>'Evaluation Plan'!A89</x:f>
        <x:v>87</x:v>
      </x:c>
      <x:c r="B89" s="10" t="str">
        <x:f>'Evaluation Plan'!B89</x:f>
        <x:v>Visual generalization</x:v>
      </x:c>
      <x:c r="C89" s="10" t="str">
        <x:f>'Evaluation Plan'!D89</x:f>
        <x:v>SR-F18</x:v>
      </x:c>
      <x:c r="D89" s="10" t="n">
        <x:f>IF('Evaluation Plan'!B89="Concept/compositional transfer","",'Evaluation Plan'!E89)</x:f>
        <x:v>34</x:v>
      </x:c>
      <x:c r="E89" s="7" t="str">
        <x:f>'Evaluation Plan'!F89</x:f>
        <x:v>Move the upright object into the bowl.</x:v>
      </x:c>
      <x:c r="F89" s="7" t="str">
        <x:f>'Evaluation Plan'!G89</x:f>
        <x:v>P1 U3 (see Object Inventory) (UD); P2 U4 (see Object Inventory) (UR) [TARGET]; P3 glass spice container B (C, UD); P4 white cup A (O, UD)</x:v>
      </x:c>
      <x:c r="G89" s="10" t="str">
        <x:f>'Evaluation Plan'!H89</x:f>
        <x:v>U4</x:v>
      </x:c>
      <x:c r="H89" s="10" t="str">
        <x:v>Not started</x:v>
      </x:c>
      <x:c r="I89" s="10"/>
      <x:c r="J89" s="10"/>
      <x:c r="K89" s="7"/>
    </x:row>
    <x:row r="90" ht="54" customHeight="1">
      <x:c r="A90" s="10" t="n">
        <x:f>'Evaluation Plan'!A90</x:f>
        <x:v>88</x:v>
      </x:c>
      <x:c r="B90" s="10" t="str">
        <x:f>'Evaluation Plan'!B90</x:f>
        <x:v>Visual generalization</x:v>
      </x:c>
      <x:c r="C90" s="10" t="str">
        <x:f>'Evaluation Plan'!D90</x:f>
        <x:v>SR-F19</x:v>
      </x:c>
      <x:c r="D90" s="10" t="n">
        <x:f>IF('Evaluation Plan'!B90="Concept/compositional transfer","",'Evaluation Plan'!E90)</x:f>
        <x:v>36</x:v>
      </x:c>
      <x:c r="E90" s="7" t="str">
        <x:f>'Evaluation Plan'!F90</x:f>
        <x:v>Place the upright object in the bowl.</x:v>
      </x:c>
      <x:c r="F90" s="7" t="str">
        <x:f>'Evaluation Plan'!G90</x:f>
        <x:v>P1 U4 (see Object Inventory) (UD); P2 glass spice container B (C, UD); P3 U3 (see Object Inventory) (UR) [TARGET]; P4 yellow-white striped cup B (C, UD)</x:v>
      </x:c>
      <x:c r="G90" s="10" t="str">
        <x:f>'Evaluation Plan'!H90</x:f>
        <x:v>U3</x:v>
      </x:c>
      <x:c r="H90" s="10" t="str">
        <x:v>Not started</x:v>
      </x:c>
      <x:c r="I90" s="10"/>
      <x:c r="J90" s="10"/>
      <x:c r="K90" s="7"/>
    </x:row>
    <x:row r="91" ht="54" customHeight="1">
      <x:c r="A91" s="10" t="n">
        <x:f>'Evaluation Plan'!A91</x:f>
        <x:v>89</x:v>
      </x:c>
      <x:c r="B91" s="10" t="str">
        <x:f>'Evaluation Plan'!B91</x:f>
        <x:v>Visual generalization</x:v>
      </x:c>
      <x:c r="C91" s="10" t="str">
        <x:f>'Evaluation Plan'!D91</x:f>
        <x:v>SR-F20</x:v>
      </x:c>
      <x:c r="D91" s="10" t="n">
        <x:f>IF('Evaluation Plan'!B91="Concept/compositional transfer","",'Evaluation Plan'!E91)</x:f>
        <x:v>38</x:v>
      </x:c>
      <x:c r="E91" s="7" t="str">
        <x:f>'Evaluation Plan'!F91</x:f>
        <x:v>Put the upright object in the bowl.</x:v>
      </x:c>
      <x:c r="F91" s="7" t="str">
        <x:f>'Evaluation Plan'!G91</x:f>
        <x:v>P1 U3 (see Object Inventory) (UD); P2 white cup A (O, UD); P3 yellow-white striped cup B (C, UD); P4 U4 (see Object Inventory) (UR) [TARGET]</x:v>
      </x:c>
      <x:c r="G91" s="10" t="str">
        <x:f>'Evaluation Plan'!H91</x:f>
        <x:v>U4</x:v>
      </x:c>
      <x:c r="H91" s="10" t="str">
        <x:v>Not started</x:v>
      </x:c>
      <x:c r="I91" s="10"/>
      <x:c r="J91" s="10"/>
      <x:c r="K91" s="7"/>
    </x:row>
    <x:row r="92" ht="54" customHeight="1">
      <x:c r="A92" s="10" t="n">
        <x:f>'Evaluation Plan'!A92</x:f>
        <x:v>90</x:v>
      </x:c>
      <x:c r="B92" s="10" t="str">
        <x:f>'Evaluation Plan'!B92</x:f>
        <x:v>Language robustness</x:v>
      </x:c>
      <x:c r="C92" s="10" t="str">
        <x:f>'Evaluation Plan'!D92</x:f>
        <x:v>SR-F01</x:v>
      </x:c>
      <x:c r="D92" s="10" t="n">
        <x:f>IF('Evaluation Plan'!B92="Concept/compositional transfer","",'Evaluation Plan'!E92)</x:f>
        <x:v>0</x:v>
      </x:c>
      <x:c r="E92" s="7" t="str">
        <x:f>'Evaluation Plan'!F92</x:f>
        <x:v>Move the object whose opening is covered into the bowl.</x:v>
      </x:c>
      <x:c r="F92" s="7" t="str">
        <x:f>'Evaluation Plan'!G92</x:f>
        <x:v>P1 white cup A (C, UR) [TARGET]; P2 yellow-white striped cup A (O, UD); P3 brown cup B (O, UR); P4 glass spice container A (O, UD)</x:v>
      </x:c>
      <x:c r="G92" s="10" t="str">
        <x:f>'Evaluation Plan'!H92</x:f>
        <x:v>white cup A</x:v>
      </x:c>
      <x:c r="H92" s="10" t="str">
        <x:v>Not started</x:v>
      </x:c>
      <x:c r="I92" s="10"/>
      <x:c r="J92" s="10"/>
      <x:c r="K92" s="7"/>
    </x:row>
    <x:row r="93" ht="54" customHeight="1">
      <x:c r="A93" s="10" t="n">
        <x:f>'Evaluation Plan'!A93</x:f>
        <x:v>91</x:v>
      </x:c>
      <x:c r="B93" s="10" t="str">
        <x:f>'Evaluation Plan'!B93</x:f>
        <x:v>Language robustness</x:v>
      </x:c>
      <x:c r="C93" s="10" t="str">
        <x:f>'Evaluation Plan'!D93</x:f>
        <x:v>SR-F02</x:v>
      </x:c>
      <x:c r="D93" s="10" t="n">
        <x:f>IF('Evaluation Plan'!B93="Concept/compositional transfer","",'Evaluation Plan'!E93)</x:f>
        <x:v>2</x:v>
      </x:c>
      <x:c r="E93" s="7" t="str">
        <x:f>'Evaluation Plan'!F93</x:f>
        <x:v>Put the item with its cover on in the bowl.</x:v>
      </x:c>
      <x:c r="F93" s="7" t="str">
        <x:f>'Evaluation Plan'!G93</x:f>
        <x:v>P1 white cup A (O, UD); P2 yellow-white striped cup B (C, UD) [TARGET]; P3 brown cup A (O, UD); P4 glass spice container B (O, UR)</x:v>
      </x:c>
      <x:c r="G93" s="10" t="str">
        <x:f>'Evaluation Plan'!H93</x:f>
        <x:v>yellow-white striped cup B</x:v>
      </x:c>
      <x:c r="H93" s="10" t="str">
        <x:v>Not started</x:v>
      </x:c>
      <x:c r="I93" s="10"/>
      <x:c r="J93" s="10"/>
      <x:c r="K93" s="7"/>
    </x:row>
    <x:row r="94" ht="54" customHeight="1">
      <x:c r="A94" s="10" t="n">
        <x:f>'Evaluation Plan'!A94</x:f>
        <x:v>92</x:v>
      </x:c>
      <x:c r="B94" s="10" t="str">
        <x:f>'Evaluation Plan'!B94</x:f>
        <x:v>Language robustness</x:v>
      </x:c>
      <x:c r="C94" s="10" t="str">
        <x:f>'Evaluation Plan'!D94</x:f>
        <x:v>SR-F03</x:v>
      </x:c>
      <x:c r="D94" s="10" t="n">
        <x:f>IF('Evaluation Plan'!B94="Concept/compositional transfer","",'Evaluation Plan'!E94)</x:f>
        <x:v>4</x:v>
      </x:c>
      <x:c r="E94" s="7" t="str">
        <x:f>'Evaluation Plan'!F94</x:f>
        <x:v>Place the object that is not open in the bowl.</x:v>
      </x:c>
      <x:c r="F94" s="7" t="str">
        <x:f>'Evaluation Plan'!G94</x:f>
        <x:v>P1 white cup B (O, UR); P2 yellow-white striped cup A (O, UD); P3 brown cup A (C, UR) [TARGET]; P4 glass spice container A (O, UD)</x:v>
      </x:c>
      <x:c r="G94" s="10" t="str">
        <x:f>'Evaluation Plan'!H94</x:f>
        <x:v>brown cup A</x:v>
      </x:c>
      <x:c r="H94" s="10" t="str">
        <x:v>Not started</x:v>
      </x:c>
      <x:c r="I94" s="10"/>
      <x:c r="J94" s="10"/>
      <x:c r="K94" s="7"/>
    </x:row>
    <x:row r="95" ht="54" customHeight="1">
      <x:c r="A95" s="10" t="n">
        <x:f>'Evaluation Plan'!A95</x:f>
        <x:v>93</x:v>
      </x:c>
      <x:c r="B95" s="10" t="str">
        <x:f>'Evaluation Plan'!B95</x:f>
        <x:v>Language robustness</x:v>
      </x:c>
      <x:c r="C95" s="10" t="str">
        <x:f>'Evaluation Plan'!D95</x:f>
        <x:v>SR-F04</x:v>
      </x:c>
      <x:c r="D95" s="10" t="n">
        <x:f>IF('Evaluation Plan'!B95="Concept/compositional transfer","",'Evaluation Plan'!E95)</x:f>
        <x:v>6</x:v>
      </x:c>
      <x:c r="E95" s="7" t="str">
        <x:f>'Evaluation Plan'!F95</x:f>
        <x:v>Move the closed item into the bowl.</x:v>
      </x:c>
      <x:c r="F95" s="7" t="str">
        <x:f>'Evaluation Plan'!G95</x:f>
        <x:v>P1 white cup A (O, UD); P2 yellow-white striped cup B (O, UR); P3 brown cup A (O, UD); P4 glass spice container B (C, UD) [TARGET]</x:v>
      </x:c>
      <x:c r="G95" s="10" t="str">
        <x:f>'Evaluation Plan'!H95</x:f>
        <x:v>glass spice container B</x:v>
      </x:c>
      <x:c r="H95" s="10" t="str">
        <x:v>Not started</x:v>
      </x:c>
      <x:c r="I95" s="10"/>
      <x:c r="J95" s="10"/>
      <x:c r="K95" s="7"/>
    </x:row>
    <x:row r="96" ht="54" customHeight="1">
      <x:c r="A96" s="10" t="n">
        <x:f>'Evaluation Plan'!A96</x:f>
        <x:v>94</x:v>
      </x:c>
      <x:c r="B96" s="10" t="str">
        <x:f>'Evaluation Plan'!B96</x:f>
        <x:v>Language robustness</x:v>
      </x:c>
      <x:c r="C96" s="10" t="str">
        <x:f>'Evaluation Plan'!D96</x:f>
        <x:v>SR-F05</x:v>
      </x:c>
      <x:c r="D96" s="10" t="n">
        <x:f>IF('Evaluation Plan'!B96="Concept/compositional transfer","",'Evaluation Plan'!E96)</x:f>
        <x:v>8</x:v>
      </x:c>
      <x:c r="E96" s="7" t="str">
        <x:f>'Evaluation Plan'!F96</x:f>
        <x:v>Put the container with its top covered in the bowl.</x:v>
      </x:c>
      <x:c r="F96" s="7" t="str">
        <x:f>'Evaluation Plan'!G96</x:f>
        <x:v>P1 white cup A (C, UR) [TARGET]; P2 yellow-white striped cup A (O, UD); P3 brown cup B (O, UR); P4 glass spice container A (O, UD)</x:v>
      </x:c>
      <x:c r="G96" s="10" t="str">
        <x:f>'Evaluation Plan'!H96</x:f>
        <x:v>white cup A</x:v>
      </x:c>
      <x:c r="H96" s="10" t="str">
        <x:v>Not started</x:v>
      </x:c>
      <x:c r="I96" s="10"/>
      <x:c r="J96" s="10"/>
      <x:c r="K96" s="7"/>
    </x:row>
    <x:row r="97" ht="54" customHeight="1">
      <x:c r="A97" s="10" t="n">
        <x:f>'Evaluation Plan'!A97</x:f>
        <x:v>95</x:v>
      </x:c>
      <x:c r="B97" s="10" t="str">
        <x:f>'Evaluation Plan'!B97</x:f>
        <x:v>Language robustness</x:v>
      </x:c>
      <x:c r="C97" s="10" t="str">
        <x:f>'Evaluation Plan'!D97</x:f>
        <x:v>SR-F06</x:v>
      </x:c>
      <x:c r="D97" s="10" t="n">
        <x:f>IF('Evaluation Plan'!B97="Concept/compositional transfer","",'Evaluation Plan'!E97)</x:f>
        <x:v>10</x:v>
      </x:c>
      <x:c r="E97" s="7" t="str">
        <x:f>'Evaluation Plan'!F97</x:f>
        <x:v>Place the object with its opening covered in the bowl.</x:v>
      </x:c>
      <x:c r="F97" s="7" t="str">
        <x:f>'Evaluation Plan'!G97</x:f>
        <x:v>P1 white cup A (O, UD); P2 yellow-white striped cup B (C, UD) [TARGET]; P3 brown cup A (O, UD); P4 glass spice container B (O, UR)</x:v>
      </x:c>
      <x:c r="G97" s="10" t="str">
        <x:f>'Evaluation Plan'!H97</x:f>
        <x:v>yellow-white striped cup B</x:v>
      </x:c>
      <x:c r="H97" s="10" t="str">
        <x:v>Not started</x:v>
      </x:c>
      <x:c r="I97" s="10"/>
      <x:c r="J97" s="10"/>
      <x:c r="K97" s="7"/>
    </x:row>
    <x:row r="98" ht="54" customHeight="1">
      <x:c r="A98" s="10" t="n">
        <x:f>'Evaluation Plan'!A98</x:f>
        <x:v>96</x:v>
      </x:c>
      <x:c r="B98" s="10" t="str">
        <x:f>'Evaluation Plan'!B98</x:f>
        <x:v>Language robustness</x:v>
      </x:c>
      <x:c r="C98" s="10" t="str">
        <x:f>'Evaluation Plan'!D98</x:f>
        <x:v>SR-F07</x:v>
      </x:c>
      <x:c r="D98" s="10" t="n">
        <x:f>IF('Evaluation Plan'!B98="Concept/compositional transfer","",'Evaluation Plan'!E98)</x:f>
        <x:v>12</x:v>
      </x:c>
      <x:c r="E98" s="7" t="str">
        <x:f>'Evaluation Plan'!F98</x:f>
        <x:v>Move the item that has its cover on into the bowl.</x:v>
      </x:c>
      <x:c r="F98" s="7" t="str">
        <x:f>'Evaluation Plan'!G98</x:f>
        <x:v>P1 white cup B (O, UR); P2 yellow-white striped cup A (O, UD); P3 brown cup A (C, UR) [TARGET]; P4 glass spice container A (O, UD)</x:v>
      </x:c>
      <x:c r="G98" s="10" t="str">
        <x:f>'Evaluation Plan'!H98</x:f>
        <x:v>brown cup A</x:v>
      </x:c>
      <x:c r="H98" s="10" t="str">
        <x:v>Not started</x:v>
      </x:c>
      <x:c r="I98" s="10"/>
      <x:c r="J98" s="10"/>
      <x:c r="K98" s="7"/>
    </x:row>
    <x:row r="99" ht="54" customHeight="1">
      <x:c r="A99" s="10" t="n">
        <x:f>'Evaluation Plan'!A99</x:f>
        <x:v>97</x:v>
      </x:c>
      <x:c r="B99" s="10" t="str">
        <x:f>'Evaluation Plan'!B99</x:f>
        <x:v>Language robustness</x:v>
      </x:c>
      <x:c r="C99" s="10" t="str">
        <x:f>'Evaluation Plan'!D99</x:f>
        <x:v>SR-F08</x:v>
      </x:c>
      <x:c r="D99" s="10" t="n">
        <x:f>IF('Evaluation Plan'!B99="Concept/compositional transfer","",'Evaluation Plan'!E99)</x:f>
        <x:v>14</x:v>
      </x:c>
      <x:c r="E99" s="7" t="str">
        <x:f>'Evaluation Plan'!F99</x:f>
        <x:v>Put the closed container into the bowl.</x:v>
      </x:c>
      <x:c r="F99" s="7" t="str">
        <x:f>'Evaluation Plan'!G99</x:f>
        <x:v>P1 white cup A (O, UD); P2 yellow-white striped cup B (O, UR); P3 brown cup A (O, UD); P4 glass spice container B (C, UD) [TARGET]</x:v>
      </x:c>
      <x:c r="G99" s="10" t="str">
        <x:f>'Evaluation Plan'!H99</x:f>
        <x:v>glass spice container B</x:v>
      </x:c>
      <x:c r="H99" s="10" t="str">
        <x:v>Not started</x:v>
      </x:c>
      <x:c r="I99" s="10"/>
      <x:c r="J99" s="10"/>
      <x:c r="K99" s="7"/>
    </x:row>
    <x:row r="100" ht="54" customHeight="1">
      <x:c r="A100" s="10" t="n">
        <x:f>'Evaluation Plan'!A100</x:f>
        <x:v>98</x:v>
      </x:c>
      <x:c r="B100" s="10" t="str">
        <x:f>'Evaluation Plan'!B100</x:f>
        <x:v>Language robustness</x:v>
      </x:c>
      <x:c r="C100" s="10" t="str">
        <x:f>'Evaluation Plan'!D100</x:f>
        <x:v>SR-F09</x:v>
      </x:c>
      <x:c r="D100" s="10" t="n">
        <x:f>IF('Evaluation Plan'!B100="Concept/compositional transfer","",'Evaluation Plan'!E100)</x:f>
        <x:v>16</x:v>
      </x:c>
      <x:c r="E100" s="7" t="str">
        <x:f>'Evaluation Plan'!F100</x:f>
        <x:v>Find the object that is closed and place it in the bowl.</x:v>
      </x:c>
      <x:c r="F100" s="7" t="str">
        <x:f>'Evaluation Plan'!G100</x:f>
        <x:v>P1 white cup A (C, UR) [TARGET]; P2 yellow-white striped cup A (O, UD); P3 brown cup B (O, UR); P4 glass spice container A (O, UD)</x:v>
      </x:c>
      <x:c r="G100" s="10" t="str">
        <x:f>'Evaluation Plan'!H100</x:f>
        <x:v>white cup A</x:v>
      </x:c>
      <x:c r="H100" s="10" t="str">
        <x:v>Not started</x:v>
      </x:c>
      <x:c r="I100" s="10"/>
      <x:c r="J100" s="10"/>
      <x:c r="K100" s="7"/>
    </x:row>
    <x:row r="101" ht="54" customHeight="1">
      <x:c r="A101" s="10" t="n">
        <x:f>'Evaluation Plan'!A101</x:f>
        <x:v>99</x:v>
      </x:c>
      <x:c r="B101" s="10" t="str">
        <x:f>'Evaluation Plan'!B101</x:f>
        <x:v>Language robustness</x:v>
      </x:c>
      <x:c r="C101" s="10" t="str">
        <x:f>'Evaluation Plan'!D101</x:f>
        <x:v>SR-F10</x:v>
      </x:c>
      <x:c r="D101" s="10" t="n">
        <x:f>IF('Evaluation Plan'!B101="Concept/compositional transfer","",'Evaluation Plan'!E101)</x:f>
        <x:v>18</x:v>
      </x:c>
      <x:c r="E101" s="7" t="str">
        <x:f>'Evaluation Plan'!F101</x:f>
        <x:v>Place the object whose lid is in place in the bowl.</x:v>
      </x:c>
      <x:c r="F101" s="7" t="str">
        <x:f>'Evaluation Plan'!G101</x:f>
        <x:v>P1 white cup A (O, UD); P2 brown cup B (C, UD) [TARGET]; P3 yellow-white striped cup A (O, UD); P4 glass spice container B (O, UR)</x:v>
      </x:c>
      <x:c r="G101" s="10" t="str">
        <x:f>'Evaluation Plan'!H101</x:f>
        <x:v>brown cup B</x:v>
      </x:c>
      <x:c r="H101" s="10" t="str">
        <x:v>Not started</x:v>
      </x:c>
      <x:c r="I101" s="10"/>
      <x:c r="J101" s="10"/>
      <x:c r="K101" s="7"/>
    </x:row>
    <x:row r="102" ht="54" customHeight="1">
      <x:c r="A102" s="10" t="n">
        <x:f>'Evaluation Plan'!A102</x:f>
        <x:v>100</x:v>
      </x:c>
      <x:c r="B102" s="10" t="str">
        <x:f>'Evaluation Plan'!B102</x:f>
        <x:v>Language robustness</x:v>
      </x:c>
      <x:c r="C102" s="10" t="str">
        <x:f>'Evaluation Plan'!D102</x:f>
        <x:v>SR-F11</x:v>
      </x:c>
      <x:c r="D102" s="10" t="n">
        <x:f>IF('Evaluation Plan'!B102="Concept/compositional transfer","",'Evaluation Plan'!E102)</x:f>
        <x:v>20</x:v>
      </x:c>
      <x:c r="E102" s="7" t="str">
        <x:f>'Evaluation Plan'!F102</x:f>
        <x:v>Place the right-side-up object in the bowl.</x:v>
      </x:c>
      <x:c r="F102" s="7" t="str">
        <x:f>'Evaluation Plan'!G102</x:f>
        <x:v>P1 yellow-white striped cup B (O, UD); P2 brown cup A (C, UD); P3 white cup A (O, UR) [TARGET]; P4 glass spice container A (C, UD)</x:v>
      </x:c>
      <x:c r="G102" s="10" t="str">
        <x:f>'Evaluation Plan'!H102</x:f>
        <x:v>white cup A</x:v>
      </x:c>
      <x:c r="H102" s="10" t="str">
        <x:v>Not started</x:v>
      </x:c>
      <x:c r="I102" s="10"/>
      <x:c r="J102" s="10"/>
      <x:c r="K102" s="7"/>
    </x:row>
    <x:row r="103" ht="54" customHeight="1">
      <x:c r="A103" s="10" t="n">
        <x:f>'Evaluation Plan'!A103</x:f>
        <x:v>101</x:v>
      </x:c>
      <x:c r="B103" s="10" t="str">
        <x:f>'Evaluation Plan'!B103</x:f>
        <x:v>Language robustness</x:v>
      </x:c>
      <x:c r="C103" s="10" t="str">
        <x:f>'Evaluation Plan'!D103</x:f>
        <x:v>SR-F12</x:v>
      </x:c>
      <x:c r="D103" s="10" t="n">
        <x:f>IF('Evaluation Plan'!B103="Concept/compositional transfer","",'Evaluation Plan'!E103)</x:f>
        <x:v>22</x:v>
      </x:c>
      <x:c r="E103" s="7" t="str">
        <x:f>'Evaluation Plan'!F103</x:f>
        <x:v>Move the object that is standing upright into the bowl.</x:v>
      </x:c>
      <x:c r="F103" s="7" t="str">
        <x:f>'Evaluation Plan'!G103</x:f>
        <x:v>P1 white cup A (C, UD); P2 brown cup B (O, UD); P3 glass spice container A (C, UD); P4 yellow-white striped cup B (C, UR) [TARGET]</x:v>
      </x:c>
      <x:c r="G103" s="10" t="str">
        <x:f>'Evaluation Plan'!H103</x:f>
        <x:v>yellow-white striped cup B</x:v>
      </x:c>
      <x:c r="H103" s="10" t="str">
        <x:v>Not started</x:v>
      </x:c>
      <x:c r="I103" s="10"/>
      <x:c r="J103" s="10"/>
      <x:c r="K103" s="7"/>
    </x:row>
    <x:row r="104" ht="54" customHeight="1">
      <x:c r="A104" s="10" t="n">
        <x:f>'Evaluation Plan'!A104</x:f>
        <x:v>102</x:v>
      </x:c>
      <x:c r="B104" s="10" t="str">
        <x:f>'Evaluation Plan'!B104</x:f>
        <x:v>Language robustness</x:v>
      </x:c>
      <x:c r="C104" s="10" t="str">
        <x:f>'Evaluation Plan'!D104</x:f>
        <x:v>SR-F13</x:v>
      </x:c>
      <x:c r="D104" s="10" t="n">
        <x:f>IF('Evaluation Plan'!B104="Concept/compositional transfer","",'Evaluation Plan'!E104)</x:f>
        <x:v>24</x:v>
      </x:c>
      <x:c r="E104" s="7" t="str">
        <x:f>'Evaluation Plan'!F104</x:f>
        <x:v>Put the object that is not overturned in the bowl.</x:v>
      </x:c>
      <x:c r="F104" s="7" t="str">
        <x:f>'Evaluation Plan'!G104</x:f>
        <x:v>P1 brown cup A (O, UR) [TARGET]; P2 white cup A (C, UD); P3 yellow-white striped cup B (O, UD); P4 glass spice container A (C, UD)</x:v>
      </x:c>
      <x:c r="G104" s="10" t="str">
        <x:f>'Evaluation Plan'!H104</x:f>
        <x:v>brown cup A</x:v>
      </x:c>
      <x:c r="H104" s="10" t="str">
        <x:v>Not started</x:v>
      </x:c>
      <x:c r="I104" s="10"/>
      <x:c r="J104" s="10"/>
      <x:c r="K104" s="7"/>
    </x:row>
    <x:row r="105" ht="54" customHeight="1">
      <x:c r="A105" s="10" t="n">
        <x:f>'Evaluation Plan'!A105</x:f>
        <x:v>103</x:v>
      </x:c>
      <x:c r="B105" s="10" t="str">
        <x:f>'Evaluation Plan'!B105</x:f>
        <x:v>Language robustness</x:v>
      </x:c>
      <x:c r="C105" s="10" t="str">
        <x:f>'Evaluation Plan'!D105</x:f>
        <x:v>SR-F14</x:v>
      </x:c>
      <x:c r="D105" s="10" t="n">
        <x:f>IF('Evaluation Plan'!B105="Concept/compositional transfer","",'Evaluation Plan'!E105)</x:f>
        <x:v>26</x:v>
      </x:c>
      <x:c r="E105" s="7" t="str">
        <x:f>'Evaluation Plan'!F105</x:f>
        <x:v>Move the upright item into the bowl.</x:v>
      </x:c>
      <x:c r="F105" s="7" t="str">
        <x:f>'Evaluation Plan'!G105</x:f>
        <x:v>P1 white cup A (C, UD); P2 glass spice container B (C, UR) [TARGET]; P3 yellow-white striped cup A (C, UD); P4 brown cup B (O, UD)</x:v>
      </x:c>
      <x:c r="G105" s="10" t="str">
        <x:f>'Evaluation Plan'!H105</x:f>
        <x:v>glass spice container B</x:v>
      </x:c>
      <x:c r="H105" s="10" t="str">
        <x:v>Not started</x:v>
      </x:c>
      <x:c r="I105" s="10"/>
      <x:c r="J105" s="10"/>
      <x:c r="K105" s="7"/>
    </x:row>
    <x:row r="106" ht="54" customHeight="1">
      <x:c r="A106" s="10" t="n">
        <x:f>'Evaluation Plan'!A106</x:f>
        <x:v>104</x:v>
      </x:c>
      <x:c r="B106" s="10" t="str">
        <x:f>'Evaluation Plan'!B106</x:f>
        <x:v>Language robustness</x:v>
      </x:c>
      <x:c r="C106" s="10" t="str">
        <x:f>'Evaluation Plan'!D106</x:f>
        <x:v>SR-F15</x:v>
      </x:c>
      <x:c r="D106" s="10" t="n">
        <x:f>IF('Evaluation Plan'!B106="Concept/compositional transfer","",'Evaluation Plan'!E106)</x:f>
        <x:v>28</x:v>
      </x:c>
      <x:c r="E106" s="7" t="str">
        <x:f>'Evaluation Plan'!F106</x:f>
        <x:v>Place the object with its top pointing upward in the bowl.</x:v>
      </x:c>
      <x:c r="F106" s="7" t="str">
        <x:f>'Evaluation Plan'!G106</x:f>
        <x:v>P1 yellow-white striped cup B (O, UD); P2 brown cup A (C, UD); P3 white cup A (O, UR) [TARGET]; P4 glass spice container A (C, UD)</x:v>
      </x:c>
      <x:c r="G106" s="10" t="str">
        <x:f>'Evaluation Plan'!H106</x:f>
        <x:v>white cup A</x:v>
      </x:c>
      <x:c r="H106" s="10" t="str">
        <x:v>Not started</x:v>
      </x:c>
      <x:c r="I106" s="10"/>
      <x:c r="J106" s="10"/>
      <x:c r="K106" s="7"/>
    </x:row>
    <x:row r="107" ht="54" customHeight="1">
      <x:c r="A107" s="10" t="n">
        <x:f>'Evaluation Plan'!A107</x:f>
        <x:v>105</x:v>
      </x:c>
      <x:c r="B107" s="10" t="str">
        <x:f>'Evaluation Plan'!B107</x:f>
        <x:v>Language robustness</x:v>
      </x:c>
      <x:c r="C107" s="10" t="str">
        <x:f>'Evaluation Plan'!D107</x:f>
        <x:v>SR-F16</x:v>
      </x:c>
      <x:c r="D107" s="10" t="n">
        <x:f>IF('Evaluation Plan'!B107="Concept/compositional transfer","",'Evaluation Plan'!E107)</x:f>
        <x:v>30</x:v>
      </x:c>
      <x:c r="E107" s="7" t="str">
        <x:f>'Evaluation Plan'!F107</x:f>
        <x:v>Place the right-side-up can in the bowl.</x:v>
      </x:c>
      <x:c r="F107" s="7" t="str">
        <x:f>'Evaluation Plan'!G107</x:f>
        <x:v>P1 crushed Pepsi can (UD); P2 glass spice container A (O, UD); P3 white cup B (C, UD); P4 crushed Coke can (UR) [TARGET]</x:v>
      </x:c>
      <x:c r="G107" s="10" t="str">
        <x:f>'Evaluation Plan'!H107</x:f>
        <x:v>crushed Coke can</x:v>
      </x:c>
      <x:c r="H107" s="10" t="str">
        <x:v>Not started</x:v>
      </x:c>
      <x:c r="I107" s="10"/>
      <x:c r="J107" s="10"/>
      <x:c r="K107" s="7"/>
    </x:row>
    <x:row r="108" ht="54" customHeight="1">
      <x:c r="A108" s="10" t="n">
        <x:f>'Evaluation Plan'!A108</x:f>
        <x:v>106</x:v>
      </x:c>
      <x:c r="B108" s="10" t="str">
        <x:f>'Evaluation Plan'!B108</x:f>
        <x:v>Language robustness</x:v>
      </x:c>
      <x:c r="C108" s="10" t="str">
        <x:f>'Evaluation Plan'!D108</x:f>
        <x:v>SR-F17</x:v>
      </x:c>
      <x:c r="D108" s="10" t="n">
        <x:f>IF('Evaluation Plan'!B108="Concept/compositional transfer","",'Evaluation Plan'!E108)</x:f>
        <x:v>32</x:v>
      </x:c>
      <x:c r="E108" s="7" t="str">
        <x:f>'Evaluation Plan'!F108</x:f>
        <x:v>Move the can that is standing upright into the bowl.</x:v>
      </x:c>
      <x:c r="F108" s="7" t="str">
        <x:f>'Evaluation Plan'!G108</x:f>
        <x:v>P1 crushed Pepsi can (UR) [TARGET]; P2 crushed Coke can (UD); P3 white cup A (O, UD); P4 yellow-white striped cup B (C, UD)</x:v>
      </x:c>
      <x:c r="G108" s="10" t="str">
        <x:f>'Evaluation Plan'!H108</x:f>
        <x:v>crushed Pepsi can</x:v>
      </x:c>
      <x:c r="H108" s="10" t="str">
        <x:v>Not started</x:v>
      </x:c>
      <x:c r="I108" s="10"/>
      <x:c r="J108" s="10"/>
      <x:c r="K108" s="7"/>
    </x:row>
    <x:row r="109" ht="54" customHeight="1">
      <x:c r="A109" s="10" t="n">
        <x:f>'Evaluation Plan'!A109</x:f>
        <x:v>107</x:v>
      </x:c>
      <x:c r="B109" s="10" t="str">
        <x:f>'Evaluation Plan'!B109</x:f>
        <x:v>Language robustness</x:v>
      </x:c>
      <x:c r="C109" s="10" t="str">
        <x:f>'Evaluation Plan'!D109</x:f>
        <x:v>SR-F18</x:v>
      </x:c>
      <x:c r="D109" s="10" t="n">
        <x:f>IF('Evaluation Plan'!B109="Concept/compositional transfer","",'Evaluation Plan'!E109)</x:f>
        <x:v>34</x:v>
      </x:c>
      <x:c r="E109" s="7" t="str">
        <x:f>'Evaluation Plan'!F109</x:f>
        <x:v>Put the can that is not overturned in the bowl.</x:v>
      </x:c>
      <x:c r="F109" s="7" t="str">
        <x:f>'Evaluation Plan'!G109</x:f>
        <x:v>P1 crushed Pepsi can (UD); P2 crushed Coke can (UR) [TARGET]; P3 yellow-white striped cup B (C, UD); P4 brown cup A (O, UD)</x:v>
      </x:c>
      <x:c r="G109" s="10" t="str">
        <x:f>'Evaluation Plan'!H109</x:f>
        <x:v>crushed Coke can</x:v>
      </x:c>
      <x:c r="H109" s="10" t="str">
        <x:v>Not started</x:v>
      </x:c>
      <x:c r="I109" s="10"/>
      <x:c r="J109" s="10"/>
      <x:c r="K109" s="7"/>
    </x:row>
    <x:row r="110" ht="54" customHeight="1">
      <x:c r="A110" s="10" t="n">
        <x:f>'Evaluation Plan'!A110</x:f>
        <x:v>108</x:v>
      </x:c>
      <x:c r="B110" s="10" t="str">
        <x:f>'Evaluation Plan'!B110</x:f>
        <x:v>Language robustness</x:v>
      </x:c>
      <x:c r="C110" s="10" t="str">
        <x:f>'Evaluation Plan'!D110</x:f>
        <x:v>SR-F19</x:v>
      </x:c>
      <x:c r="D110" s="10" t="n">
        <x:f>IF('Evaluation Plan'!B110="Concept/compositional transfer","",'Evaluation Plan'!E110)</x:f>
        <x:v>36</x:v>
      </x:c>
      <x:c r="E110" s="7" t="str">
        <x:f>'Evaluation Plan'!F110</x:f>
        <x:v>Move the upright can into the bowl.</x:v>
      </x:c>
      <x:c r="F110" s="7" t="str">
        <x:f>'Evaluation Plan'!G110</x:f>
        <x:v>P1 crushed Coke can (UD); P2 brown cup B (C, UD); P3 crushed Pepsi can (UR) [TARGET]; P4 glass spice container B (C, UD)</x:v>
      </x:c>
      <x:c r="G110" s="10" t="str">
        <x:f>'Evaluation Plan'!H110</x:f>
        <x:v>crushed Pepsi can</x:v>
      </x:c>
      <x:c r="H110" s="10" t="str">
        <x:v>Not started</x:v>
      </x:c>
      <x:c r="I110" s="10"/>
      <x:c r="J110" s="10"/>
      <x:c r="K110" s="7"/>
    </x:row>
    <x:row r="111" ht="54" customHeight="1">
      <x:c r="A111" s="10" t="n">
        <x:f>'Evaluation Plan'!A111</x:f>
        <x:v>109</x:v>
      </x:c>
      <x:c r="B111" s="10" t="str">
        <x:f>'Evaluation Plan'!B111</x:f>
        <x:v>Language robustness</x:v>
      </x:c>
      <x:c r="C111" s="10" t="str">
        <x:f>'Evaluation Plan'!D111</x:f>
        <x:v>SR-F20</x:v>
      </x:c>
      <x:c r="D111" s="10" t="n">
        <x:f>IF('Evaluation Plan'!B111="Concept/compositional transfer","",'Evaluation Plan'!E111)</x:f>
        <x:v>38</x:v>
      </x:c>
      <x:c r="E111" s="7" t="str">
        <x:f>'Evaluation Plan'!F111</x:f>
        <x:v>Place the can with its top pointing upward in the bowl.</x:v>
      </x:c>
      <x:c r="F111" s="7" t="str">
        <x:f>'Evaluation Plan'!G111</x:f>
        <x:v>P1 crushed Pepsi can (UD); P2 glass spice container A (O, UD); P3 white cup B (C, UD); P4 crushed Coke can (UR) [TARGET]</x:v>
      </x:c>
      <x:c r="G111" s="10" t="str">
        <x:f>'Evaluation Plan'!H111</x:f>
        <x:v>crushed Coke can</x:v>
      </x:c>
      <x:c r="H111" s="10" t="str">
        <x:v>Not started</x:v>
      </x:c>
      <x:c r="I111" s="10"/>
      <x:c r="J111" s="10"/>
      <x:c r="K111" s="7"/>
    </x:row>
  </x:sheetData>
  <x:conditionalFormatting sqref="A2:K111">
    <x:cfRule type="expression" dxfId="15" priority="1">
      <x:formula>$H2="Complete"</x:formula>
    </x:cfRule>
    <x:cfRule type="expression" dxfId="16" priority="2">
      <x:formula>$H2="Redo"</x:formula>
    </x:cfRule>
  </x:conditionalFormatting>
  <x:conditionalFormatting sqref="I2:I111">
    <x:cfRule type="containsText" dxfId="17" priority="3" operator="containsText" text="Success"/>
    <x:cfRule type="containsText" dxfId="18" priority="4" operator="containsText" text="Failure"/>
  </x:conditionalFormatting>
  <x:dataValidations count="3">
    <x:dataValidation type="list" sqref="H2:H111">
      <x:formula1>"Not started,Complete,Redo"</x:formula1>
    </x:dataValidation>
    <x:dataValidation type="list" sqref="I2:I111">
      <x:formula1>"Success,Failure,Invalid / Repeat"</x:formula1>
    </x:dataValidation>
    <x:dataValidation type="list" sqref="J2:J111">
      <x:formula1>"Wrong target,No grasp,Drop outside bowl,Timeout,Setup deviation,Hardware fault,Other"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d6d754615cb45c5"/>
  </x:tableParts>
</x:worksheet>
</file>