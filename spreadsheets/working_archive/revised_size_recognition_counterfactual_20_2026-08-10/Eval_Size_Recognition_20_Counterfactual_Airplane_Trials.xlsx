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ad44866ccb4e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aluation Plan" sheetId="1" r:id="Reb6e311f1b634bdf"/>
    <x:sheet xmlns:r="http://schemas.openxmlformats.org/officeDocument/2006/relationships" name="Object Inventory" sheetId="2" r:id="R1b7763c58d1e40e6"/>
    <x:sheet xmlns:r="http://schemas.openxmlformats.org/officeDocument/2006/relationships" name="Training Alignment" sheetId="3" r:id="R39ad25f6d21c49d8"/>
    <x:sheet xmlns:r="http://schemas.openxmlformats.org/officeDocument/2006/relationships" name="Protocol" sheetId="4" r:id="Ra177e7f0646b46ed"/>
    <x:sheet xmlns:r="http://schemas.openxmlformats.org/officeDocument/2006/relationships" name="Design QA" sheetId="5" r:id="R6959d0907738454c"/>
    <x:sheet xmlns:r="http://schemas.openxmlformats.org/officeDocument/2006/relationships" name="pi0.5 Results" sheetId="6" r:id="R8653c74ee3d94bf9"/>
    <x:sheet xmlns:r="http://schemas.openxmlformats.org/officeDocument/2006/relationships" name="VLA0 Results" sheetId="7" r:id="R6017572dad734a13"/>
    <x:sheet xmlns:r="http://schemas.openxmlformats.org/officeDocument/2006/relationships" name="MolmoAct2 Results" sheetId="8" r:id="R9872934978b44d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4DFEC"/>
      </x:patternFill>
    </x:fill>
    <x:fill>
      <x:patternFill patternType="solid">
        <x:fgColor rgb="FFD9EAF7"/>
      </x:patternFill>
    </x:fill>
  </x:fills>
  <x:borders count="3">
    <x:border/>
    <x:border>
      <x:top style="medium">
        <x:color rgb="FF1F4E78"/>
      </x:top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34">
    <x:dxf>
      <x:font>
        <x:color rgb="FFFFFFFF"/>
      </x:font>
      <x:fill>
        <x:patternFill patternType="solid">
          <x:bgColor rgb="FF374151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E4DFEC"/>
        </x:patternFill>
      </x:fill>
    </x:dxf>
    <x:dxf>
      <x:fill>
        <x:patternFill patternType="solid">
          <x:bgColor rgb="FFFCE4D6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color rgb="FFFFFFFF"/>
      </x:font>
      <x:fill>
        <x:patternFill patternType="solid">
          <x:bgColor rgb="FF374151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E4DFEC"/>
        </x:patternFill>
      </x:fill>
    </x:dxf>
    <x:dxf>
      <x:fill>
        <x:patternFill patternType="solid">
          <x:bgColor rgb="FFFCE4D6"/>
        </x:patternFill>
      </x:fill>
    </x:dxf>
    <x:dxf>
      <x:font>
        <x:color rgb="FFFFFFFF"/>
      </x:font>
      <x:fill>
        <x:patternFill patternType="solid">
          <x:bgColor rgb="FF374151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E4DFEC"/>
        </x:patternFill>
      </x:fill>
    </x:dxf>
    <x:dxf>
      <x:fill>
        <x:patternFill patternType="solid">
          <x:bgColor rgb="FFFCE4D6"/>
        </x:patternFill>
      </x:fill>
    </x:dxf>
    <x:dxf>
      <x:font>
        <x:color rgb="FFFFFFFF"/>
      </x:font>
      <x:fill>
        <x:patternFill patternType="solid">
          <x:bgColor rgb="FF374151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E4DFEC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35186038de43aa" /><Relationship Type="http://schemas.openxmlformats.org/officeDocument/2006/relationships/theme" Target="/xl/theme/theme1.xml" Id="R3c431c8150b14083" /><Relationship Type="http://schemas.openxmlformats.org/officeDocument/2006/relationships/sharedStrings" Target="/xl/sharedStrings.xml" Id="R48fc0e9c5f244874" /><Relationship Type="http://schemas.openxmlformats.org/officeDocument/2006/relationships/worksheet" Target="/xl/worksheets/sheet1.xml" Id="Reb6e311f1b634bdf" /><Relationship Type="http://schemas.openxmlformats.org/officeDocument/2006/relationships/worksheet" Target="/xl/worksheets/sheet2.xml" Id="R1b7763c58d1e40e6" /><Relationship Type="http://schemas.openxmlformats.org/officeDocument/2006/relationships/worksheet" Target="/xl/worksheets/sheet3.xml" Id="R39ad25f6d21c49d8" /><Relationship Type="http://schemas.openxmlformats.org/officeDocument/2006/relationships/worksheet" Target="/xl/worksheets/sheet4.xml" Id="Ra177e7f0646b46ed" /><Relationship Type="http://schemas.openxmlformats.org/officeDocument/2006/relationships/worksheet" Target="/xl/worksheets/sheet5.xml" Id="R6959d0907738454c" /><Relationship Type="http://schemas.openxmlformats.org/officeDocument/2006/relationships/worksheet" Target="/xl/worksheets/sheet6.xml" Id="R8653c74ee3d94bf9" /><Relationship Type="http://schemas.openxmlformats.org/officeDocument/2006/relationships/worksheet" Target="/xl/worksheets/sheet7.xml" Id="R6017572dad734a13" /><Relationship Type="http://schemas.openxmlformats.org/officeDocument/2006/relationships/worksheet" Target="/xl/worksheets/sheet8.xml" Id="R9872934978b44d4b" /></Relationships>
</file>

<file path=xl/tables/table1.xml><?xml version="1.0" encoding="utf-8"?>
<x:table xmlns:x="http://schemas.openxmlformats.org/spreadsheetml/2006/main" id="1" name="SizeEvaluationPlan" displayName="SizeEvaluationPlan" ref="A1:S151" headerRowCount="1" totalsRowCount="0" totalsRowShown="0">
  <x:autoFilter ref="A1:S151"/>
  <x:tableColumns count="19">
    <x:tableColumn id="1" name="Status"/>
    <x:tableColumn id="2" name="Episode"/>
    <x:tableColumn id="3" name="Prompt"/>
    <x:tableColumn id="4" name="Scene Setup"/>
    <x:tableColumn id="5" name="Reference Episode"/>
    <x:tableColumn id="6" name="Original Training Episode(s)"/>
    <x:tableColumn id="7" name="Expected Target / Action"/>
    <x:tableColumn id="8" name="Observations"/>
    <x:tableColumn id="9" name="Condition"/>
    <x:tableColumn id="10" name="Scene Family"/>
    <x:tableColumn id="11" name="Comparison"/>
    <x:tableColumn id="12" name="Tested Cell / Role"/>
    <x:tableColumn id="13" name="Target Object"/>
    <x:tableColumn id="14" name="Target Side"/>
    <x:tableColumn id="15" name="Object Count"/>
    <x:tableColumn id="16" name="Separation (cm)"/>
    <x:tableColumn id="17" name="Setup Change from Previous"/>
    <x:tableColumn id="18" name="Design Note"/>
    <x:tableColumn id="19" name="Reference Media Filena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izeObjectInventory" displayName="SizeObjectInventory" ref="A1:F6" headerRowCount="1" totalsRowCount="0" totalsRowShown="0">
  <x:tableColumns count="6">
    <x:tableColumn id="1" name="Object"/>
    <x:tableColumn id="2" name="Training Source"/>
    <x:tableColumn id="3" name="Observed Exposure"/>
    <x:tableColumn id="4" name="Size / Composition Role"/>
    <x:tableColumn id="5" name="Evaluation Role"/>
    <x:tableColumn id="6" name="Documented Rel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izeTrainingAlignment" displayName="SizeTrainingAlignment" ref="A1:C14" headerRowCount="1" totalsRowCount="0" totalsRowShown="0">
  <x:tableColumns count="3">
    <x:tableColumn id="1" name="Training / Evaluation Feature"/>
    <x:tableColumn id="2" name="Manifest evidence"/>
    <x:tableColumn id="3" name="Evaluation consequ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izeDesignQA" displayName="SizeDesignQA" ref="A1:E55" headerRowCount="1" totalsRowCount="0" totalsRowShown="0">
  <x:tableColumns count="5">
    <x:tableColumn id="1" name="Check"/>
    <x:tableColumn id="2" name="Actual"/>
    <x:tableColumn id="3" name="Expected"/>
    <x:tableColumn id="4" name="Status"/>
    <x:tableColumn id="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i05SizeResults" displayName="Pi05SizeResults" ref="A1:S151" headerRowCount="1" totalsRowCount="0" totalsRowShown="0">
  <x:autoFilter ref="A1:S151"/>
  <x:tableColumns count="19">
    <x:tableColumn id="1" name="Status"/>
    <x:tableColumn id="2" name="Episode"/>
    <x:tableColumn id="3" name="Prompt"/>
    <x:tableColumn id="4" name="Scene Setup"/>
    <x:tableColumn id="5" name="Reference Episode"/>
    <x:tableColumn id="6" name="Original Training Episode(s)"/>
    <x:tableColumn id="7" name="Expected Target / Action"/>
    <x:tableColumn id="8" name="Observations"/>
    <x:tableColumn id="9" name="Condition"/>
    <x:tableColumn id="10" name="Scene Family"/>
    <x:tableColumn id="11" name="Comparison"/>
    <x:tableColumn id="12" name="Tested Cell / Role"/>
    <x:tableColumn id="13" name="Target Object"/>
    <x:tableColumn id="14" name="Target Side"/>
    <x:tableColumn id="15" name="Object Count"/>
    <x:tableColumn id="16" name="Separation (cm)"/>
    <x:tableColumn id="17" name="Setup Change from Previous"/>
    <x:tableColumn id="18" name="Design Note"/>
    <x:tableColumn id="19" name="Reference Media Filenam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VLA0SizeResults" displayName="VLA0SizeResults" ref="A1:S151" headerRowCount="1" totalsRowCount="0" totalsRowShown="0">
  <x:autoFilter ref="A1:S151"/>
  <x:tableColumns count="19">
    <x:tableColumn id="1" name="Status"/>
    <x:tableColumn id="2" name="Episode"/>
    <x:tableColumn id="3" name="Prompt"/>
    <x:tableColumn id="4" name="Scene Setup"/>
    <x:tableColumn id="5" name="Reference Episode"/>
    <x:tableColumn id="6" name="Original Training Episode(s)"/>
    <x:tableColumn id="7" name="Expected Target / Action"/>
    <x:tableColumn id="8" name="Observations"/>
    <x:tableColumn id="9" name="Condition"/>
    <x:tableColumn id="10" name="Scene Family"/>
    <x:tableColumn id="11" name="Comparison"/>
    <x:tableColumn id="12" name="Tested Cell / Role"/>
    <x:tableColumn id="13" name="Target Object"/>
    <x:tableColumn id="14" name="Target Side"/>
    <x:tableColumn id="15" name="Object Count"/>
    <x:tableColumn id="16" name="Separation (cm)"/>
    <x:tableColumn id="17" name="Setup Change from Previous"/>
    <x:tableColumn id="18" name="Design Note"/>
    <x:tableColumn id="19" name="Reference Media Filenam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olmoAct2SizeResults" displayName="MolmoAct2SizeResults" ref="A1:S151" headerRowCount="1" totalsRowCount="0" totalsRowShown="0">
  <x:autoFilter ref="A1:S151"/>
  <x:tableColumns count="19">
    <x:tableColumn id="1" name="Status"/>
    <x:tableColumn id="2" name="Episode"/>
    <x:tableColumn id="3" name="Prompt"/>
    <x:tableColumn id="4" name="Scene Setup"/>
    <x:tableColumn id="5" name="Reference Episode"/>
    <x:tableColumn id="6" name="Original Training Episode(s)"/>
    <x:tableColumn id="7" name="Expected Target / Action"/>
    <x:tableColumn id="8" name="Observations"/>
    <x:tableColumn id="9" name="Condition"/>
    <x:tableColumn id="10" name="Scene Family"/>
    <x:tableColumn id="11" name="Comparison"/>
    <x:tableColumn id="12" name="Tested Cell / Role"/>
    <x:tableColumn id="13" name="Target Object"/>
    <x:tableColumn id="14" name="Target Side"/>
    <x:tableColumn id="15" name="Object Count"/>
    <x:tableColumn id="16" name="Separation (cm)"/>
    <x:tableColumn id="17" name="Setup Change from Previous"/>
    <x:tableColumn id="18" name="Design Note"/>
    <x:tableColumn id="19" name="Reference Media File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97b3eb8e3ac42b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856188cdcbc4d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15b81ffacc046e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8a2157701a6448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cf43081896d4f0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48a6470a030405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140415f4fac4d7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9" hidden="0" customWidth="1"/>
    <x:col min="3" max="3" width="51" hidden="0" customWidth="1"/>
    <x:col min="4" max="4" width="78" hidden="0" customWidth="1"/>
    <x:col min="5" max="5" width="14" hidden="0" customWidth="1"/>
    <x:col min="6" max="6" width="24" hidden="0" customWidth="1"/>
    <x:col min="7" max="7" width="34" hidden="0" customWidth="1"/>
    <x:col min="8" max="8" width="42" hidden="0" customWidth="1"/>
    <x:col min="9" max="9" width="33" hidden="0" customWidth="1"/>
    <x:col min="10" max="10" width="18" hidden="0" customWidth="1"/>
    <x:col min="11" max="11" width="13" hidden="0" customWidth="1"/>
    <x:col min="12" max="12" width="50" hidden="0" customWidth="1"/>
    <x:col min="13" max="13" width="34" hidden="0" customWidth="1"/>
    <x:col min="14" max="14" width="12" hidden="0" customWidth="1"/>
    <x:col min="15" max="15" width="12" hidden="0" customWidth="1"/>
    <x:col min="16" max="16" width="14" hidden="0" customWidth="1"/>
    <x:col min="17" max="17" width="64" hidden="0" customWidth="1"/>
    <x:col min="18" max="18" width="80" hidden="0" customWidth="1"/>
    <x:col min="19" max="19" width="30" hidden="0" customWidth="1"/>
  </x:cols>
  <x:sheetData>
    <x:row r="1" ht="40" customHeight="1">
      <x:c r="A1" s="5" t="str">
        <x:v>Status</x:v>
      </x:c>
      <x:c r="B1" s="5" t="str">
        <x:v>Episode</x:v>
      </x:c>
      <x:c r="C1" s="5" t="str">
        <x:v>Prompt</x:v>
      </x:c>
      <x:c r="D1" s="5" t="str">
        <x:v>Scene Setup</x:v>
      </x:c>
      <x:c r="E1" s="5" t="str">
        <x:v>Reference Episode</x:v>
      </x:c>
      <x:c r="F1" s="5" t="str">
        <x:v>Original Training Episode(s)</x:v>
      </x:c>
      <x:c r="G1" s="5" t="str">
        <x:v>Expected Target / Action</x:v>
      </x:c>
      <x:c r="H1" s="5" t="str">
        <x:v>Observations</x:v>
      </x:c>
      <x:c r="I1" s="5" t="str">
        <x:v>Condition</x:v>
      </x:c>
      <x:c r="J1" s="5" t="str">
        <x:v>Scene Family</x:v>
      </x:c>
      <x:c r="K1" s="5" t="str">
        <x:v>Comparison</x:v>
      </x:c>
      <x:c r="L1" s="5" t="str">
        <x:v>Tested Cell / Role</x:v>
      </x:c>
      <x:c r="M1" s="5" t="str">
        <x:v>Target Object</x:v>
      </x:c>
      <x:c r="N1" s="5" t="str">
        <x:v>Target Side</x:v>
      </x:c>
      <x:c r="O1" s="5" t="str">
        <x:v>Object Count</x:v>
      </x:c>
      <x:c r="P1" s="5" t="str">
        <x:v>Separation (cm)</x:v>
      </x:c>
      <x:c r="Q1" s="5" t="str">
        <x:v>Setup Change from Previous</x:v>
      </x:c>
      <x:c r="R1" s="5" t="str">
        <x:v>Design Note</x:v>
      </x:c>
      <x:c r="S1" s="5" t="str">
        <x:v>Reference Media Filename</x:v>
      </x:c>
    </x:row>
    <x:row r="2" ht="68" customHeight="1">
      <x:c r="A2" s="9" t="str">
        <x:v>Not collected</x:v>
      </x:c>
      <x:c r="B2" s="9" t="n">
        <x:v>0</x:v>
      </x:c>
      <x:c r="C2" s="10" t="str">
        <x:v>Move the object that is smallest into the bowl.</x:v>
      </x:c>
      <x:c r="D2" s="10" t="str">
        <x:v>Bowl: empty. Table, robot-left→robot-right: P1 red pencil sharpener; P2 green block; P3 juggling ball; P4 crushed Pepsi can. Adjacent centers 8 cm apart; row centered on the workspace; all objects fully visible and grasp paths clear.</x:v>
      </x:c>
      <x:c r="E2" s="9"/>
      <x:c r="F2" s="9" t="str">
        <x:v>1005</x:v>
      </x:c>
      <x:c r="G2" s="9" t="str">
        <x:v>MOVE red pencil sharpener to bowl</x:v>
      </x:c>
      <x:c r="H2" s="10"/>
      <x:c r="I2" s="9" t="str">
        <x:v>In-distribution concept baseline</x:v>
      </x:c>
      <x:c r="J2" s="9" t="str">
        <x:v>SZ-ID-SH01</x:v>
      </x:c>
      <x:c r="K2" s="9" t="str">
        <x:v>smallest</x:v>
      </x:c>
      <x:c r="L2" s="9" t="str">
        <x:v>Explicitly trained smallest × red pencil sharpener</x:v>
      </x:c>
      <x:c r="M2" s="9" t="str">
        <x:v>red pencil sharpener</x:v>
      </x:c>
      <x:c r="N2" s="9" t="str">
        <x:v>Left</x:v>
      </x:c>
      <x:c r="O2" s="9" t="n">
        <x:v>4</x:v>
      </x:c>
      <x:c r="P2" s="9" t="n">
        <x:v>8</x:v>
      </x:c>
      <x:c r="Q2" s="9" t="str">
        <x:v>Build the listed manifest-supported scene.</x:v>
      </x:c>
      <x:c r="R2" s="10" t="str">
        <x:v>Exact prompt and object composition from training episode 1005; this establishes the familiar smallest × red pencil sharpener cell.</x:v>
      </x:c>
      <x:c r="S2" s="10"/>
    </x:row>
    <x:row r="3" ht="68" customHeight="1">
      <x:c r="A3" s="9" t="str">
        <x:v>Not collected</x:v>
      </x:c>
      <x:c r="B3" s="9" t="n">
        <x:v>1</x:v>
      </x:c>
      <x:c r="C3" s="10" t="str">
        <x:v>Pick up the smallest item and place it in the bowl.</x:v>
      </x:c>
      <x:c r="D3" s="10" t="str">
        <x:v>Bowl: empty. Table, robot-left→robot-right: P1 crushed Pepsi can; P2 juggling ball; P3 green block. Adjacent centers 12 cm apart; row shifted 4 cm toward robot-left; all objects fully visible and grasp paths clear.</x:v>
      </x:c>
      <x:c r="E3" s="9"/>
      <x:c r="F3" s="9" t="str">
        <x:v>1050</x:v>
      </x:c>
      <x:c r="G3" s="9" t="str">
        <x:v>MOVE green block to bowl</x:v>
      </x:c>
      <x:c r="H3" s="10"/>
      <x:c r="I3" s="9" t="str">
        <x:v>In-distribution concept baseline</x:v>
      </x:c>
      <x:c r="J3" s="9" t="str">
        <x:v>SZ-ID-GB01</x:v>
      </x:c>
      <x:c r="K3" s="9" t="str">
        <x:v>smallest</x:v>
      </x:c>
      <x:c r="L3" s="9" t="str">
        <x:v>Explicitly trained smallest × green block</x:v>
      </x:c>
      <x:c r="M3" s="9" t="str">
        <x:v>green block</x:v>
      </x:c>
      <x:c r="N3" s="9" t="str">
        <x:v>Right</x:v>
      </x:c>
      <x:c r="O3" s="9" t="n">
        <x:v>3</x:v>
      </x:c>
      <x:c r="P3" s="9" t="n">
        <x:v>12</x:v>
      </x:c>
      <x:c r="Q3" s="9" t="str">
        <x:v>Build the listed manifest-supported scene.</x:v>
      </x:c>
      <x:c r="R3" s="10" t="str">
        <x:v>Exact prompt and object composition from training episode 1050; this establishes the familiar smallest × green block cell.</x:v>
      </x:c>
      <x:c r="S3" s="10"/>
    </x:row>
    <x:row r="4" ht="68" customHeight="1">
      <x:c r="A4" s="9" t="str">
        <x:v>Not collected</x:v>
      </x:c>
      <x:c r="B4" s="9" t="n">
        <x:v>2</x:v>
      </x:c>
      <x:c r="C4" s="10" t="str">
        <x:v>Put the largest object in the bowl.</x:v>
      </x:c>
      <x:c r="D4" s="10" t="str">
        <x:v>Bowl: empty. Table, robot-left→robot-right: P1 juggling ball; P2 red pencil sharpener; P3 green block. Adjacent centers 16 cm apart; row shifted 4 cm toward robot-right; all objects fully visible and grasp paths clear.</x:v>
      </x:c>
      <x:c r="E4" s="9"/>
      <x:c r="F4" s="9" t="str">
        <x:v>1125</x:v>
      </x:c>
      <x:c r="G4" s="9" t="str">
        <x:v>MOVE juggling ball to bowl</x:v>
      </x:c>
      <x:c r="H4" s="10"/>
      <x:c r="I4" s="9" t="str">
        <x:v>In-distribution concept baseline</x:v>
      </x:c>
      <x:c r="J4" s="9" t="str">
        <x:v>SZ-ID-JB01</x:v>
      </x:c>
      <x:c r="K4" s="9" t="str">
        <x:v>largest</x:v>
      </x:c>
      <x:c r="L4" s="9" t="str">
        <x:v>Explicitly trained largest × juggling ball</x:v>
      </x:c>
      <x:c r="M4" s="9" t="str">
        <x:v>juggling ball</x:v>
      </x:c>
      <x:c r="N4" s="9" t="str">
        <x:v>Left</x:v>
      </x:c>
      <x:c r="O4" s="9" t="n">
        <x:v>3</x:v>
      </x:c>
      <x:c r="P4" s="9" t="n">
        <x:v>16</x:v>
      </x:c>
      <x:c r="Q4" s="9" t="str">
        <x:v>Build the listed manifest-supported scene.</x:v>
      </x:c>
      <x:c r="R4" s="10" t="str">
        <x:v>Exact prompt and object composition from training episode 1125; this establishes the familiar largest × juggling ball cell.</x:v>
      </x:c>
      <x:c r="S4" s="10"/>
    </x:row>
    <x:row r="5" ht="68" customHeight="1">
      <x:c r="A5" s="9" t="str">
        <x:v>Not collected</x:v>
      </x:c>
      <x:c r="B5" s="9" t="n">
        <x:v>3</x:v>
      </x:c>
      <x:c r="C5" s="10" t="str">
        <x:v>Pick up the largest item and place it in the bowl.</x:v>
      </x:c>
      <x:c r="D5" s="10" t="str">
        <x:v>Bowl: empty. Table, robot-left→robot-right: P1 red pencil sharpener; P2 green block; P3 juggling ball; P4 crushed Pepsi can. Adjacent centers 8 cm apart; row shifted 4 cm toward the robot; all objects fully visible and grasp paths clear.</x:v>
      </x:c>
      <x:c r="E5" s="9"/>
      <x:c r="F5" s="9" t="str">
        <x:v>1155</x:v>
      </x:c>
      <x:c r="G5" s="9" t="str">
        <x:v>MOVE crushed Pepsi can to bowl</x:v>
      </x:c>
      <x:c r="H5" s="10"/>
      <x:c r="I5" s="9" t="str">
        <x:v>In-distribution concept baseline</x:v>
      </x:c>
      <x:c r="J5" s="9" t="str">
        <x:v>SZ-ID-PC01</x:v>
      </x:c>
      <x:c r="K5" s="9" t="str">
        <x:v>largest</x:v>
      </x:c>
      <x:c r="L5" s="9" t="str">
        <x:v>Explicitly trained largest × crushed Pepsi can</x:v>
      </x:c>
      <x:c r="M5" s="9" t="str">
        <x:v>crushed Pepsi can</x:v>
      </x:c>
      <x:c r="N5" s="9" t="str">
        <x:v>Right</x:v>
      </x:c>
      <x:c r="O5" s="9" t="n">
        <x:v>4</x:v>
      </x:c>
      <x:c r="P5" s="9" t="n">
        <x:v>8</x:v>
      </x:c>
      <x:c r="Q5" s="9" t="str">
        <x:v>Build the listed manifest-supported scene.</x:v>
      </x:c>
      <x:c r="R5" s="10" t="str">
        <x:v>Exact prompt and object composition from training episode 1155; this establishes the familiar largest × crushed Pepsi can cell.</x:v>
      </x:c>
      <x:c r="S5" s="10"/>
    </x:row>
    <x:row r="6" ht="68" customHeight="1">
      <x:c r="A6" s="9" t="str">
        <x:v>Not collected</x:v>
      </x:c>
      <x:c r="B6" s="9" t="n">
        <x:v>4</x:v>
      </x:c>
      <x:c r="C6" s="10" t="str">
        <x:v>Pick up the smallest item and place it in the bowl.</x:v>
      </x:c>
      <x:c r="D6" s="10" t="str">
        <x:v>Bowl: empty. Table, robot-left→robot-right: P1 juggling ball; P2 crushed Pepsi can; P3 green block; P4 red pencil sharpener. Adjacent centers 12 cm apart; row shifted 4 cm toward robot-left; all objects fully visible and grasp paths clear.</x:v>
      </x:c>
      <x:c r="E6" s="9"/>
      <x:c r="F6" s="9" t="str">
        <x:v>1006</x:v>
      </x:c>
      <x:c r="G6" s="9" t="str">
        <x:v>MOVE red pencil sharpener to bowl</x:v>
      </x:c>
      <x:c r="H6" s="10"/>
      <x:c r="I6" s="9" t="str">
        <x:v>In-distribution concept baseline</x:v>
      </x:c>
      <x:c r="J6" s="9" t="str">
        <x:v>SZ-ID-SH02</x:v>
      </x:c>
      <x:c r="K6" s="9" t="str">
        <x:v>smallest</x:v>
      </x:c>
      <x:c r="L6" s="9" t="str">
        <x:v>Explicitly trained smallest × red pencil sharpener</x:v>
      </x:c>
      <x:c r="M6" s="9" t="str">
        <x:v>red pencil sharpener</x:v>
      </x:c>
      <x:c r="N6" s="9" t="str">
        <x:v>Right</x:v>
      </x:c>
      <x:c r="O6" s="9" t="n">
        <x:v>4</x:v>
      </x:c>
      <x:c r="P6" s="9" t="n">
        <x:v>12</x:v>
      </x:c>
      <x:c r="Q6" s="9" t="str">
        <x:v>Build the listed manifest-supported scene.</x:v>
      </x:c>
      <x:c r="R6" s="10" t="str">
        <x:v>Exact prompt and object composition from training episode 1006; this establishes the familiar smallest × red pencil sharpener cell.</x:v>
      </x:c>
      <x:c r="S6" s="10"/>
    </x:row>
    <x:row r="7" ht="68" customHeight="1">
      <x:c r="A7" s="9" t="str">
        <x:v>Not collected</x:v>
      </x:c>
      <x:c r="B7" s="9" t="n">
        <x:v>5</x:v>
      </x:c>
      <x:c r="C7" s="10" t="str">
        <x:v>Pick up the smallest item and place it in the bowl.</x:v>
      </x:c>
      <x:c r="D7" s="10" t="str">
        <x:v>Bowl: empty. Table, robot-left→robot-right: P1 green block; P2 juggling ball; P3 crushed Pepsi can. Adjacent centers 16 cm apart; row shifted 4 cm toward robot-right; all objects fully visible and grasp paths clear.</x:v>
      </x:c>
      <x:c r="E7" s="9"/>
      <x:c r="F7" s="9" t="str">
        <x:v>1051</x:v>
      </x:c>
      <x:c r="G7" s="9" t="str">
        <x:v>MOVE green block to bowl</x:v>
      </x:c>
      <x:c r="H7" s="10"/>
      <x:c r="I7" s="9" t="str">
        <x:v>In-distribution concept baseline</x:v>
      </x:c>
      <x:c r="J7" s="9" t="str">
        <x:v>SZ-ID-GB02</x:v>
      </x:c>
      <x:c r="K7" s="9" t="str">
        <x:v>smallest</x:v>
      </x:c>
      <x:c r="L7" s="9" t="str">
        <x:v>Explicitly trained smallest × green block</x:v>
      </x:c>
      <x:c r="M7" s="9" t="str">
        <x:v>green block</x:v>
      </x:c>
      <x:c r="N7" s="9" t="str">
        <x:v>Left</x:v>
      </x:c>
      <x:c r="O7" s="9" t="n">
        <x:v>3</x:v>
      </x:c>
      <x:c r="P7" s="9" t="n">
        <x:v>16</x:v>
      </x:c>
      <x:c r="Q7" s="9" t="str">
        <x:v>Build the listed manifest-supported scene.</x:v>
      </x:c>
      <x:c r="R7" s="10" t="str">
        <x:v>Exact prompt and object composition from training episode 1051; this establishes the familiar smallest × green block cell.</x:v>
      </x:c>
      <x:c r="S7" s="10"/>
    </x:row>
    <x:row r="8" ht="68" customHeight="1">
      <x:c r="A8" s="9" t="str">
        <x:v>Not collected</x:v>
      </x:c>
      <x:c r="B8" s="9" t="n">
        <x:v>6</x:v>
      </x:c>
      <x:c r="C8" s="10" t="str">
        <x:v>Pick up the largest item and place it in the bowl.</x:v>
      </x:c>
      <x:c r="D8" s="10" t="str">
        <x:v>Bowl: empty. Table, robot-left→robot-right: P1 green block; P2 red pencil sharpener; P3 juggling ball. Adjacent centers 8 cm apart; row shifted 4 cm toward the robot; all objects fully visible and grasp paths clear.</x:v>
      </x:c>
      <x:c r="E8" s="9"/>
      <x:c r="F8" s="9" t="str">
        <x:v>1126</x:v>
      </x:c>
      <x:c r="G8" s="9" t="str">
        <x:v>MOVE juggling ball to bowl</x:v>
      </x:c>
      <x:c r="H8" s="10"/>
      <x:c r="I8" s="9" t="str">
        <x:v>In-distribution concept baseline</x:v>
      </x:c>
      <x:c r="J8" s="9" t="str">
        <x:v>SZ-ID-JB02</x:v>
      </x:c>
      <x:c r="K8" s="9" t="str">
        <x:v>largest</x:v>
      </x:c>
      <x:c r="L8" s="9" t="str">
        <x:v>Explicitly trained largest × juggling ball</x:v>
      </x:c>
      <x:c r="M8" s="9" t="str">
        <x:v>juggling ball</x:v>
      </x:c>
      <x:c r="N8" s="9" t="str">
        <x:v>Right</x:v>
      </x:c>
      <x:c r="O8" s="9" t="n">
        <x:v>3</x:v>
      </x:c>
      <x:c r="P8" s="9" t="n">
        <x:v>8</x:v>
      </x:c>
      <x:c r="Q8" s="9" t="str">
        <x:v>Build the listed manifest-supported scene.</x:v>
      </x:c>
      <x:c r="R8" s="10" t="str">
        <x:v>Exact prompt and object composition from training episode 1126; this establishes the familiar largest × juggling ball cell.</x:v>
      </x:c>
      <x:c r="S8" s="10"/>
    </x:row>
    <x:row r="9" ht="68" customHeight="1">
      <x:c r="A9" s="9" t="str">
        <x:v>Not collected</x:v>
      </x:c>
      <x:c r="B9" s="9" t="n">
        <x:v>7</x:v>
      </x:c>
      <x:c r="C9" s="10" t="str">
        <x:v>Move the object that is largest into the bowl.</x:v>
      </x:c>
      <x:c r="D9" s="10" t="str">
        <x:v>Bowl: empty. Table, robot-left→robot-right: P1 crushed Pepsi can; P2 green block; P3 juggling ball; P4 red pencil sharpener. Adjacent centers 12 cm apart; row shifted 4 cm away from the robot; all objects fully visible and grasp paths clear.</x:v>
      </x:c>
      <x:c r="E9" s="9"/>
      <x:c r="F9" s="9" t="str">
        <x:v>1156</x:v>
      </x:c>
      <x:c r="G9" s="9" t="str">
        <x:v>MOVE crushed Pepsi can to bowl</x:v>
      </x:c>
      <x:c r="H9" s="10"/>
      <x:c r="I9" s="9" t="str">
        <x:v>In-distribution concept baseline</x:v>
      </x:c>
      <x:c r="J9" s="9" t="str">
        <x:v>SZ-ID-PC02</x:v>
      </x:c>
      <x:c r="K9" s="9" t="str">
        <x:v>largest</x:v>
      </x:c>
      <x:c r="L9" s="9" t="str">
        <x:v>Explicitly trained largest × crushed Pepsi can</x:v>
      </x:c>
      <x:c r="M9" s="9" t="str">
        <x:v>crushed Pepsi can</x:v>
      </x:c>
      <x:c r="N9" s="9" t="str">
        <x:v>Left</x:v>
      </x:c>
      <x:c r="O9" s="9" t="n">
        <x:v>4</x:v>
      </x:c>
      <x:c r="P9" s="9" t="n">
        <x:v>12</x:v>
      </x:c>
      <x:c r="Q9" s="9" t="str">
        <x:v>Build the listed manifest-supported scene.</x:v>
      </x:c>
      <x:c r="R9" s="10" t="str">
        <x:v>Exact prompt and object composition from training episode 1156; this establishes the familiar largest × crushed Pepsi can cell.</x:v>
      </x:c>
      <x:c r="S9" s="10"/>
    </x:row>
    <x:row r="10" ht="68" customHeight="1">
      <x:c r="A10" s="9" t="str">
        <x:v>Not collected</x:v>
      </x:c>
      <x:c r="B10" s="9" t="n">
        <x:v>8</x:v>
      </x:c>
      <x:c r="C10" s="10" t="str">
        <x:v>Move the object that is smallest into the bowl.</x:v>
      </x:c>
      <x:c r="D10" s="10" t="str">
        <x:v>Bowl: empty. Table, robot-left→robot-right: P1 red pencil sharpener; P2 crushed Pepsi can; P3 green block; P4 juggling ball. Adjacent centers 16 cm apart; row shifted 4 cm toward robot-right; all objects fully visible and grasp paths clear.</x:v>
      </x:c>
      <x:c r="E10" s="9"/>
      <x:c r="F10" s="9" t="str">
        <x:v>1007</x:v>
      </x:c>
      <x:c r="G10" s="9" t="str">
        <x:v>MOVE red pencil sharpener to bowl</x:v>
      </x:c>
      <x:c r="H10" s="10"/>
      <x:c r="I10" s="9" t="str">
        <x:v>In-distribution concept baseline</x:v>
      </x:c>
      <x:c r="J10" s="9" t="str">
        <x:v>SZ-ID-SH03</x:v>
      </x:c>
      <x:c r="K10" s="9" t="str">
        <x:v>smallest</x:v>
      </x:c>
      <x:c r="L10" s="9" t="str">
        <x:v>Explicitly trained smallest × red pencil sharpener</x:v>
      </x:c>
      <x:c r="M10" s="9" t="str">
        <x:v>red pencil sharpener</x:v>
      </x:c>
      <x:c r="N10" s="9" t="str">
        <x:v>Left</x:v>
      </x:c>
      <x:c r="O10" s="9" t="n">
        <x:v>4</x:v>
      </x:c>
      <x:c r="P10" s="9" t="n">
        <x:v>16</x:v>
      </x:c>
      <x:c r="Q10" s="9" t="str">
        <x:v>Build the listed manifest-supported scene.</x:v>
      </x:c>
      <x:c r="R10" s="10" t="str">
        <x:v>Exact prompt and object composition from training episode 1007; this establishes the familiar smallest × red pencil sharpener cell.</x:v>
      </x:c>
      <x:c r="S10" s="10"/>
    </x:row>
    <x:row r="11" ht="68" customHeight="1">
      <x:c r="A11" s="9" t="str">
        <x:v>Not collected</x:v>
      </x:c>
      <x:c r="B11" s="9" t="n">
        <x:v>9</x:v>
      </x:c>
      <x:c r="C11" s="10" t="str">
        <x:v>Put the smallest object in the bowl.</x:v>
      </x:c>
      <x:c r="D11" s="10" t="str">
        <x:v>Bowl: empty. Table, robot-left→robot-right: P1 crushed Pepsi can; P2 juggling ball; P3 green block. Adjacent centers 8 cm apart; row shifted 4 cm toward the robot; all objects fully visible and grasp paths clear.</x:v>
      </x:c>
      <x:c r="E11" s="9"/>
      <x:c r="F11" s="9" t="str">
        <x:v>1052</x:v>
      </x:c>
      <x:c r="G11" s="9" t="str">
        <x:v>MOVE green block to bowl</x:v>
      </x:c>
      <x:c r="H11" s="10"/>
      <x:c r="I11" s="9" t="str">
        <x:v>In-distribution concept baseline</x:v>
      </x:c>
      <x:c r="J11" s="9" t="str">
        <x:v>SZ-ID-GB03</x:v>
      </x:c>
      <x:c r="K11" s="9" t="str">
        <x:v>smallest</x:v>
      </x:c>
      <x:c r="L11" s="9" t="str">
        <x:v>Explicitly trained smallest × green block</x:v>
      </x:c>
      <x:c r="M11" s="9" t="str">
        <x:v>green block</x:v>
      </x:c>
      <x:c r="N11" s="9" t="str">
        <x:v>Right</x:v>
      </x:c>
      <x:c r="O11" s="9" t="n">
        <x:v>3</x:v>
      </x:c>
      <x:c r="P11" s="9" t="n">
        <x:v>8</x:v>
      </x:c>
      <x:c r="Q11" s="9" t="str">
        <x:v>Build the listed manifest-supported scene.</x:v>
      </x:c>
      <x:c r="R11" s="10" t="str">
        <x:v>Exact prompt and object composition from training episode 1052; this establishes the familiar smallest × green block cell.</x:v>
      </x:c>
      <x:c r="S11" s="10"/>
    </x:row>
    <x:row r="12" ht="68" customHeight="1">
      <x:c r="A12" s="9" t="str">
        <x:v>Not collected</x:v>
      </x:c>
      <x:c r="B12" s="9" t="n">
        <x:v>10</x:v>
      </x:c>
      <x:c r="C12" s="10" t="str">
        <x:v>Pick up the largest item and place it in the bowl.</x:v>
      </x:c>
      <x:c r="D12" s="10" t="str">
        <x:v>Bowl: empty. Table, robot-left→robot-right: P1 juggling ball; P2 red pencil sharpener; P3 green block. Adjacent centers 12 cm apart; row shifted 4 cm away from the robot; all objects fully visible and grasp paths clear.</x:v>
      </x:c>
      <x:c r="E12" s="9"/>
      <x:c r="F12" s="9" t="str">
        <x:v>1127</x:v>
      </x:c>
      <x:c r="G12" s="9" t="str">
        <x:v>MOVE juggling ball to bowl</x:v>
      </x:c>
      <x:c r="H12" s="10"/>
      <x:c r="I12" s="9" t="str">
        <x:v>In-distribution concept baseline</x:v>
      </x:c>
      <x:c r="J12" s="9" t="str">
        <x:v>SZ-ID-JB03</x:v>
      </x:c>
      <x:c r="K12" s="9" t="str">
        <x:v>largest</x:v>
      </x:c>
      <x:c r="L12" s="9" t="str">
        <x:v>Explicitly trained largest × juggling ball</x:v>
      </x:c>
      <x:c r="M12" s="9" t="str">
        <x:v>juggling ball</x:v>
      </x:c>
      <x:c r="N12" s="9" t="str">
        <x:v>Left</x:v>
      </x:c>
      <x:c r="O12" s="9" t="n">
        <x:v>3</x:v>
      </x:c>
      <x:c r="P12" s="9" t="n">
        <x:v>12</x:v>
      </x:c>
      <x:c r="Q12" s="9" t="str">
        <x:v>Build the listed manifest-supported scene.</x:v>
      </x:c>
      <x:c r="R12" s="10" t="str">
        <x:v>Exact prompt and object composition from training episode 1127; this establishes the familiar largest × juggling ball cell.</x:v>
      </x:c>
      <x:c r="S12" s="10"/>
    </x:row>
    <x:row r="13" ht="68" customHeight="1">
      <x:c r="A13" s="9" t="str">
        <x:v>Not collected</x:v>
      </x:c>
      <x:c r="B13" s="9" t="n">
        <x:v>11</x:v>
      </x:c>
      <x:c r="C13" s="10" t="str">
        <x:v>Put the largest object in the bowl.</x:v>
      </x:c>
      <x:c r="D13" s="10" t="str">
        <x:v>Bowl: empty. Table, robot-left→robot-right: P1 juggling ball; P2 red pencil sharpener; P3 green block; P4 crushed Pepsi can. Adjacent centers 16 cm apart; row centered on the workspace; all objects fully visible and grasp paths clear.</x:v>
      </x:c>
      <x:c r="E13" s="9"/>
      <x:c r="F13" s="9" t="str">
        <x:v>1157</x:v>
      </x:c>
      <x:c r="G13" s="9" t="str">
        <x:v>MOVE crushed Pepsi can to bowl</x:v>
      </x:c>
      <x:c r="H13" s="10"/>
      <x:c r="I13" s="9" t="str">
        <x:v>In-distribution concept baseline</x:v>
      </x:c>
      <x:c r="J13" s="9" t="str">
        <x:v>SZ-ID-PC03</x:v>
      </x:c>
      <x:c r="K13" s="9" t="str">
        <x:v>largest</x:v>
      </x:c>
      <x:c r="L13" s="9" t="str">
        <x:v>Explicitly trained largest × crushed Pepsi can</x:v>
      </x:c>
      <x:c r="M13" s="9" t="str">
        <x:v>crushed Pepsi can</x:v>
      </x:c>
      <x:c r="N13" s="9" t="str">
        <x:v>Right</x:v>
      </x:c>
      <x:c r="O13" s="9" t="n">
        <x:v>4</x:v>
      </x:c>
      <x:c r="P13" s="9" t="n">
        <x:v>16</x:v>
      </x:c>
      <x:c r="Q13" s="9" t="str">
        <x:v>Build the listed manifest-supported scene.</x:v>
      </x:c>
      <x:c r="R13" s="10" t="str">
        <x:v>Exact prompt and object composition from training episode 1157; this establishes the familiar largest × crushed Pepsi can cell.</x:v>
      </x:c>
      <x:c r="S13" s="10"/>
    </x:row>
    <x:row r="14" ht="68" customHeight="1">
      <x:c r="A14" s="9" t="str">
        <x:v>Not collected</x:v>
      </x:c>
      <x:c r="B14" s="9" t="n">
        <x:v>12</x:v>
      </x:c>
      <x:c r="C14" s="10" t="str">
        <x:v>Put the smallest object in the bowl.</x:v>
      </x:c>
      <x:c r="D14" s="10" t="str">
        <x:v>Bowl: empty. Table, robot-left→robot-right: P1 green block; P2 juggling ball; P3 crushed Pepsi can; P4 red pencil sharpener. Adjacent centers 8 cm apart; row shifted 4 cm toward the robot; all objects fully visible and grasp paths clear.</x:v>
      </x:c>
      <x:c r="E14" s="9"/>
      <x:c r="F14" s="9" t="str">
        <x:v>1008</x:v>
      </x:c>
      <x:c r="G14" s="9" t="str">
        <x:v>MOVE red pencil sharpener to bowl</x:v>
      </x:c>
      <x:c r="H14" s="10"/>
      <x:c r="I14" s="9" t="str">
        <x:v>In-distribution concept baseline</x:v>
      </x:c>
      <x:c r="J14" s="9" t="str">
        <x:v>SZ-ID-SH04</x:v>
      </x:c>
      <x:c r="K14" s="9" t="str">
        <x:v>smallest</x:v>
      </x:c>
      <x:c r="L14" s="9" t="str">
        <x:v>Explicitly trained smallest × red pencil sharpener</x:v>
      </x:c>
      <x:c r="M14" s="9" t="str">
        <x:v>red pencil sharpener</x:v>
      </x:c>
      <x:c r="N14" s="9" t="str">
        <x:v>Right</x:v>
      </x:c>
      <x:c r="O14" s="9" t="n">
        <x:v>4</x:v>
      </x:c>
      <x:c r="P14" s="9" t="n">
        <x:v>8</x:v>
      </x:c>
      <x:c r="Q14" s="9" t="str">
        <x:v>Build the listed manifest-supported scene.</x:v>
      </x:c>
      <x:c r="R14" s="10" t="str">
        <x:v>Exact prompt and object composition from training episode 1008; this establishes the familiar smallest × red pencil sharpener cell.</x:v>
      </x:c>
      <x:c r="S14" s="10"/>
    </x:row>
    <x:row r="15" ht="68" customHeight="1">
      <x:c r="A15" s="9" t="str">
        <x:v>Not collected</x:v>
      </x:c>
      <x:c r="B15" s="9" t="n">
        <x:v>13</x:v>
      </x:c>
      <x:c r="C15" s="10" t="str">
        <x:v>Put the smallest object in the bowl.</x:v>
      </x:c>
      <x:c r="D15" s="10" t="str">
        <x:v>Bowl: empty. Table, robot-left→robot-right: P1 green block; P2 juggling ball; P3 crushed Pepsi can. Adjacent centers 12 cm apart; row shifted 4 cm away from the robot; all objects fully visible and grasp paths clear.</x:v>
      </x:c>
      <x:c r="E15" s="9"/>
      <x:c r="F15" s="9" t="str">
        <x:v>1053</x:v>
      </x:c>
      <x:c r="G15" s="9" t="str">
        <x:v>MOVE green block to bowl</x:v>
      </x:c>
      <x:c r="H15" s="10"/>
      <x:c r="I15" s="9" t="str">
        <x:v>In-distribution concept baseline</x:v>
      </x:c>
      <x:c r="J15" s="9" t="str">
        <x:v>SZ-ID-GB04</x:v>
      </x:c>
      <x:c r="K15" s="9" t="str">
        <x:v>smallest</x:v>
      </x:c>
      <x:c r="L15" s="9" t="str">
        <x:v>Explicitly trained smallest × green block</x:v>
      </x:c>
      <x:c r="M15" s="9" t="str">
        <x:v>green block</x:v>
      </x:c>
      <x:c r="N15" s="9" t="str">
        <x:v>Left</x:v>
      </x:c>
      <x:c r="O15" s="9" t="n">
        <x:v>3</x:v>
      </x:c>
      <x:c r="P15" s="9" t="n">
        <x:v>12</x:v>
      </x:c>
      <x:c r="Q15" s="9" t="str">
        <x:v>Build the listed manifest-supported scene.</x:v>
      </x:c>
      <x:c r="R15" s="10" t="str">
        <x:v>Exact prompt and object composition from training episode 1053; this establishes the familiar smallest × green block cell.</x:v>
      </x:c>
      <x:c r="S15" s="10"/>
    </x:row>
    <x:row r="16" ht="68" customHeight="1">
      <x:c r="A16" s="9" t="str">
        <x:v>Not collected</x:v>
      </x:c>
      <x:c r="B16" s="9" t="n">
        <x:v>14</x:v>
      </x:c>
      <x:c r="C16" s="10" t="str">
        <x:v>Pick up the largest item and place it in the bowl.</x:v>
      </x:c>
      <x:c r="D16" s="10" t="str">
        <x:v>Bowl: empty. Table, robot-left→robot-right: P1 green block; P2 red pencil sharpener; P3 juggling ball. Adjacent centers 16 cm apart; row centered on the workspace; all objects fully visible and grasp paths clear.</x:v>
      </x:c>
      <x:c r="E16" s="9"/>
      <x:c r="F16" s="9" t="str">
        <x:v>1128</x:v>
      </x:c>
      <x:c r="G16" s="9" t="str">
        <x:v>MOVE juggling ball to bowl</x:v>
      </x:c>
      <x:c r="H16" s="10"/>
      <x:c r="I16" s="9" t="str">
        <x:v>In-distribution concept baseline</x:v>
      </x:c>
      <x:c r="J16" s="9" t="str">
        <x:v>SZ-ID-JB04</x:v>
      </x:c>
      <x:c r="K16" s="9" t="str">
        <x:v>largest</x:v>
      </x:c>
      <x:c r="L16" s="9" t="str">
        <x:v>Explicitly trained largest × juggling ball</x:v>
      </x:c>
      <x:c r="M16" s="9" t="str">
        <x:v>juggling ball</x:v>
      </x:c>
      <x:c r="N16" s="9" t="str">
        <x:v>Right</x:v>
      </x:c>
      <x:c r="O16" s="9" t="n">
        <x:v>3</x:v>
      </x:c>
      <x:c r="P16" s="9" t="n">
        <x:v>16</x:v>
      </x:c>
      <x:c r="Q16" s="9" t="str">
        <x:v>Build the listed manifest-supported scene.</x:v>
      </x:c>
      <x:c r="R16" s="10" t="str">
        <x:v>Exact prompt and object composition from training episode 1128; this establishes the familiar largest × juggling ball cell.</x:v>
      </x:c>
      <x:c r="S16" s="10"/>
    </x:row>
    <x:row r="17" ht="68" customHeight="1">
      <x:c r="A17" s="9" t="str">
        <x:v>Not collected</x:v>
      </x:c>
      <x:c r="B17" s="9" t="n">
        <x:v>15</x:v>
      </x:c>
      <x:c r="C17" s="10" t="str">
        <x:v>Put the largest object in the bowl.</x:v>
      </x:c>
      <x:c r="D17" s="10" t="str">
        <x:v>Bowl: empty. Table, robot-left→robot-right: P1 crushed Pepsi can; P2 red pencil sharpener; P3 green block; P4 juggling ball. Adjacent centers 8 cm apart; row shifted 4 cm toward robot-left; all objects fully visible and grasp paths clear.</x:v>
      </x:c>
      <x:c r="E17" s="9"/>
      <x:c r="F17" s="9" t="str">
        <x:v>1158</x:v>
      </x:c>
      <x:c r="G17" s="9" t="str">
        <x:v>MOVE crushed Pepsi can to bowl</x:v>
      </x:c>
      <x:c r="H17" s="10"/>
      <x:c r="I17" s="9" t="str">
        <x:v>In-distribution concept baseline</x:v>
      </x:c>
      <x:c r="J17" s="9" t="str">
        <x:v>SZ-ID-PC04</x:v>
      </x:c>
      <x:c r="K17" s="9" t="str">
        <x:v>largest</x:v>
      </x:c>
      <x:c r="L17" s="9" t="str">
        <x:v>Explicitly trained largest × crushed Pepsi can</x:v>
      </x:c>
      <x:c r="M17" s="9" t="str">
        <x:v>crushed Pepsi can</x:v>
      </x:c>
      <x:c r="N17" s="9" t="str">
        <x:v>Left</x:v>
      </x:c>
      <x:c r="O17" s="9" t="n">
        <x:v>4</x:v>
      </x:c>
      <x:c r="P17" s="9" t="n">
        <x:v>8</x:v>
      </x:c>
      <x:c r="Q17" s="9" t="str">
        <x:v>Build the listed manifest-supported scene.</x:v>
      </x:c>
      <x:c r="R17" s="10" t="str">
        <x:v>Exact prompt and object composition from training episode 1158; this establishes the familiar largest × crushed Pepsi can cell.</x:v>
      </x:c>
      <x:c r="S17" s="10"/>
    </x:row>
    <x:row r="18" ht="68" customHeight="1">
      <x:c r="A18" s="9" t="str">
        <x:v>Not collected</x:v>
      </x:c>
      <x:c r="B18" s="9" t="n">
        <x:v>16</x:v>
      </x:c>
      <x:c r="C18" s="10" t="str">
        <x:v>Move the object that is smallest into the bowl.</x:v>
      </x:c>
      <x:c r="D18" s="10" t="str">
        <x:v>Bowl: empty. Table, robot-left→robot-right: P1 red pencil sharpener; P2 juggling ball; P3 crushed Pepsi can; P4 green block. Adjacent centers 12 cm apart; row shifted 4 cm away from the robot; all objects fully visible and grasp paths clear.</x:v>
      </x:c>
      <x:c r="E18" s="9"/>
      <x:c r="F18" s="9" t="str">
        <x:v>1009</x:v>
      </x:c>
      <x:c r="G18" s="9" t="str">
        <x:v>MOVE red pencil sharpener to bowl</x:v>
      </x:c>
      <x:c r="H18" s="10"/>
      <x:c r="I18" s="9" t="str">
        <x:v>In-distribution concept baseline</x:v>
      </x:c>
      <x:c r="J18" s="9" t="str">
        <x:v>SZ-ID-SH05</x:v>
      </x:c>
      <x:c r="K18" s="9" t="str">
        <x:v>smallest</x:v>
      </x:c>
      <x:c r="L18" s="9" t="str">
        <x:v>Explicitly trained smallest × red pencil sharpener</x:v>
      </x:c>
      <x:c r="M18" s="9" t="str">
        <x:v>red pencil sharpener</x:v>
      </x:c>
      <x:c r="N18" s="9" t="str">
        <x:v>Left</x:v>
      </x:c>
      <x:c r="O18" s="9" t="n">
        <x:v>4</x:v>
      </x:c>
      <x:c r="P18" s="9" t="n">
        <x:v>12</x:v>
      </x:c>
      <x:c r="Q18" s="9" t="str">
        <x:v>Build the listed manifest-supported scene.</x:v>
      </x:c>
      <x:c r="R18" s="10" t="str">
        <x:v>Exact prompt and object composition from training episode 1009; this establishes the familiar smallest × red pencil sharpener cell.</x:v>
      </x:c>
      <x:c r="S18" s="10"/>
    </x:row>
    <x:row r="19" ht="68" customHeight="1">
      <x:c r="A19" s="9" t="str">
        <x:v>Not collected</x:v>
      </x:c>
      <x:c r="B19" s="9" t="n">
        <x:v>17</x:v>
      </x:c>
      <x:c r="C19" s="10" t="str">
        <x:v>Put the smallest object in the bowl.</x:v>
      </x:c>
      <x:c r="D19" s="10" t="str">
        <x:v>Bowl: empty. Table, robot-left→robot-right: P1 crushed Pepsi can; P2 juggling ball; P3 green block. Adjacent centers 16 cm apart; row centered on the workspace; all objects fully visible and grasp paths clear.</x:v>
      </x:c>
      <x:c r="E19" s="9"/>
      <x:c r="F19" s="9" t="str">
        <x:v>1054</x:v>
      </x:c>
      <x:c r="G19" s="9" t="str">
        <x:v>MOVE green block to bowl</x:v>
      </x:c>
      <x:c r="H19" s="10"/>
      <x:c r="I19" s="9" t="str">
        <x:v>In-distribution concept baseline</x:v>
      </x:c>
      <x:c r="J19" s="9" t="str">
        <x:v>SZ-ID-GB05</x:v>
      </x:c>
      <x:c r="K19" s="9" t="str">
        <x:v>smallest</x:v>
      </x:c>
      <x:c r="L19" s="9" t="str">
        <x:v>Explicitly trained smallest × green block</x:v>
      </x:c>
      <x:c r="M19" s="9" t="str">
        <x:v>green block</x:v>
      </x:c>
      <x:c r="N19" s="9" t="str">
        <x:v>Right</x:v>
      </x:c>
      <x:c r="O19" s="9" t="n">
        <x:v>3</x:v>
      </x:c>
      <x:c r="P19" s="9" t="n">
        <x:v>16</x:v>
      </x:c>
      <x:c r="Q19" s="9" t="str">
        <x:v>Build the listed manifest-supported scene.</x:v>
      </x:c>
      <x:c r="R19" s="10" t="str">
        <x:v>Exact prompt and object composition from training episode 1054; this establishes the familiar smallest × green block cell.</x:v>
      </x:c>
      <x:c r="S19" s="10"/>
    </x:row>
    <x:row r="20" ht="68" customHeight="1">
      <x:c r="A20" s="9" t="str">
        <x:v>Not collected</x:v>
      </x:c>
      <x:c r="B20" s="9" t="n">
        <x:v>18</x:v>
      </x:c>
      <x:c r="C20" s="10" t="str">
        <x:v>Put the largest object in the bowl.</x:v>
      </x:c>
      <x:c r="D20" s="10" t="str">
        <x:v>Bowl: empty. Table, robot-left→robot-right: P1 juggling ball; P2 red pencil sharpener; P3 green block. Adjacent centers 8 cm apart; row shifted 4 cm toward robot-left; all objects fully visible and grasp paths clear.</x:v>
      </x:c>
      <x:c r="E20" s="9"/>
      <x:c r="F20" s="9" t="str">
        <x:v>1129</x:v>
      </x:c>
      <x:c r="G20" s="9" t="str">
        <x:v>MOVE juggling ball to bowl</x:v>
      </x:c>
      <x:c r="H20" s="10"/>
      <x:c r="I20" s="9" t="str">
        <x:v>In-distribution concept baseline</x:v>
      </x:c>
      <x:c r="J20" s="9" t="str">
        <x:v>SZ-ID-JB05</x:v>
      </x:c>
      <x:c r="K20" s="9" t="str">
        <x:v>largest</x:v>
      </x:c>
      <x:c r="L20" s="9" t="str">
        <x:v>Explicitly trained largest × juggling ball</x:v>
      </x:c>
      <x:c r="M20" s="9" t="str">
        <x:v>juggling ball</x:v>
      </x:c>
      <x:c r="N20" s="9" t="str">
        <x:v>Left</x:v>
      </x:c>
      <x:c r="O20" s="9" t="n">
        <x:v>3</x:v>
      </x:c>
      <x:c r="P20" s="9" t="n">
        <x:v>8</x:v>
      </x:c>
      <x:c r="Q20" s="9" t="str">
        <x:v>Build the listed manifest-supported scene.</x:v>
      </x:c>
      <x:c r="R20" s="10" t="str">
        <x:v>Exact prompt and object composition from training episode 1129; this establishes the familiar largest × juggling ball cell.</x:v>
      </x:c>
      <x:c r="S20" s="10"/>
    </x:row>
    <x:row r="21" ht="68" customHeight="1">
      <x:c r="A21" s="9" t="str">
        <x:v>Not collected</x:v>
      </x:c>
      <x:c r="B21" s="9" t="n">
        <x:v>19</x:v>
      </x:c>
      <x:c r="C21" s="10" t="str">
        <x:v>Move the object that is largest into the bowl.</x:v>
      </x:c>
      <x:c r="D21" s="10" t="str">
        <x:v>Bowl: empty. Table, robot-left→robot-right: P1 green block; P2 juggling ball; P3 red pencil sharpener; P4 crushed Pepsi can. Adjacent centers 12 cm apart; row shifted 4 cm toward robot-right; all objects fully visible and grasp paths clear.</x:v>
      </x:c>
      <x:c r="E21" s="9"/>
      <x:c r="F21" s="9" t="str">
        <x:v>1159</x:v>
      </x:c>
      <x:c r="G21" s="9" t="str">
        <x:v>MOVE crushed Pepsi can to bowl</x:v>
      </x:c>
      <x:c r="H21" s="10"/>
      <x:c r="I21" s="9" t="str">
        <x:v>In-distribution concept baseline</x:v>
      </x:c>
      <x:c r="J21" s="9" t="str">
        <x:v>SZ-ID-PC05</x:v>
      </x:c>
      <x:c r="K21" s="9" t="str">
        <x:v>largest</x:v>
      </x:c>
      <x:c r="L21" s="9" t="str">
        <x:v>Explicitly trained largest × crushed Pepsi can</x:v>
      </x:c>
      <x:c r="M21" s="9" t="str">
        <x:v>crushed Pepsi can</x:v>
      </x:c>
      <x:c r="N21" s="9" t="str">
        <x:v>Right</x:v>
      </x:c>
      <x:c r="O21" s="9" t="n">
        <x:v>4</x:v>
      </x:c>
      <x:c r="P21" s="9" t="n">
        <x:v>12</x:v>
      </x:c>
      <x:c r="Q21" s="9" t="str">
        <x:v>Build the listed manifest-supported scene.</x:v>
      </x:c>
      <x:c r="R21" s="10" t="str">
        <x:v>Exact prompt and object composition from training episode 1159; this establishes the familiar largest × crushed Pepsi can cell.</x:v>
      </x:c>
      <x:c r="S21" s="10"/>
    </x:row>
    <x:row r="22" ht="68" customHeight="1">
      <x:c r="A22" s="9" t="str">
        <x:v>Not collected</x:v>
      </x:c>
      <x:c r="B22" s="9" t="n">
        <x:v>20</x:v>
      </x:c>
      <x:c r="C22" s="10" t="str">
        <x:v>Move the object that is largest into the bowl.</x:v>
      </x:c>
      <x:c r="D22" s="10" t="str">
        <x:v>Bowl: empty. Table, robot-left→robot-right: P1 green block; P2 red pencil sharpener. Adjacent centers 8 cm apart; row centered on the workspace; all objects fully visible and grasp paths clear.</x:v>
      </x:c>
      <x:c r="E22" s="9"/>
      <x:c r="F22" s="9" t="str">
        <x:v>1080</x:v>
      </x:c>
      <x:c r="G22" s="9" t="str">
        <x:v>MOVE green block to bowl</x:v>
      </x:c>
      <x:c r="H22" s="10"/>
      <x:c r="I22" s="9" t="str">
        <x:v>Concept/compositional transfer</x:v>
      </x:c>
      <x:c r="J22" s="9" t="str">
        <x:v>SZ-CT-LG01</x:v>
      </x:c>
      <x:c r="K22" s="9" t="str">
        <x:v>largest</x:v>
      </x:c>
      <x:c r="L22" s="9" t="str">
        <x:v>Held-out largest × green block — Move</x:v>
      </x:c>
      <x:c r="M22" s="9" t="str">
        <x:v>green block</x:v>
      </x:c>
      <x:c r="N22" s="9" t="str">
        <x:v>Left</x:v>
      </x:c>
      <x:c r="O22" s="9" t="n">
        <x:v>2</x:v>
      </x:c>
      <x:c r="P22" s="9" t="n">
        <x:v>8</x:v>
      </x:c>
      <x:c r="Q22" s="9" t="str">
        <x:v>Build the listed two-object scene and save a first-frame filename.</x:v>
      </x:c>
      <x:c r="R22" s="10" t="str">
        <x:v>Primary missing cell. Training episode 1080 contains the same target trajectory but masks the size word with a direct identity prompt.</x:v>
      </x:c>
      <x:c r="S22" s="10"/>
    </x:row>
    <x:row r="23" ht="68" customHeight="1">
      <x:c r="A23" s="8" t="str">
        <x:v>Not collected</x:v>
      </x:c>
      <x:c r="B23" s="8" t="n">
        <x:v>21</x:v>
      </x:c>
      <x:c r="C23" s="7" t="str">
        <x:v>Put the green block in the bowl.</x:v>
      </x:c>
      <x:c r="D23" s="7" t="str">
        <x:v>Bowl: empty. Table, robot-left→robot-right: P1 green block; P2 red pencil sharpener. Adjacent centers 8 cm apart; row centered on the workspace; all objects fully visible and grasp paths clear.</x:v>
      </x:c>
      <x:c r="E23" s="8" t="n">
        <x:v>20</x:v>
      </x:c>
      <x:c r="F23" s="8" t="str">
        <x:v>1075</x:v>
      </x:c>
      <x:c r="G23" s="8" t="str">
        <x:v>MOVE green block to bowl</x:v>
      </x:c>
      <x:c r="H23" s="7"/>
      <x:c r="I23" s="8" t="str">
        <x:v>Matched manipulation control</x:v>
      </x:c>
      <x:c r="J23" s="8" t="str">
        <x:v>SZ-CT-LG01</x:v>
      </x:c>
      <x:c r="K23" s="8" t="str">
        <x:v>Direct</x:v>
      </x:c>
      <x:c r="L23" s="8" t="str">
        <x:v>Same-scene direct target control</x:v>
      </x:c>
      <x:c r="M23" s="8" t="str">
        <x:v>green block</x:v>
      </x:c>
      <x:c r="N23" s="8" t="str">
        <x:v>Left</x:v>
      </x:c>
      <x:c r="O23" s="8" t="n">
        <x:v>2</x:v>
      </x:c>
      <x:c r="P23" s="8" t="n">
        <x:v>8</x:v>
      </x:c>
      <x:c r="Q23" s="8" t="str">
        <x:v>Reset the target to its original pose; change only the prompt.</x:v>
      </x:c>
      <x:c r="R23" s="7" t="str">
        <x:v>Exact-scene control using a direct prompt supported by training episode 1075.</x:v>
      </x:c>
      <x:c r="S23" s="7"/>
    </x:row>
    <x:row r="24" ht="68" customHeight="1">
      <x:c r="A24" s="8" t="str">
        <x:v>Not collected</x:v>
      </x:c>
      <x:c r="B24" s="8" t="n">
        <x:v>22</x:v>
      </x:c>
      <x:c r="C24" s="7" t="str">
        <x:v>Choose the biggest item and move it into the bowl.</x:v>
      </x:c>
      <x:c r="D24" s="7" t="str">
        <x:v>Bowl: empty. Table, robot-left→robot-right: P1 green block; P2 red pencil sharpener. Adjacent centers 8 cm apart; row centered on the workspace; all objects fully visible and grasp paths clear.</x:v>
      </x:c>
      <x:c r="E24" s="8" t="n">
        <x:v>20</x:v>
      </x:c>
      <x:c r="F24" s="8" t="str">
        <x:v>1080</x:v>
      </x:c>
      <x:c r="G24" s="8" t="str">
        <x:v>MOVE green block to bowl</x:v>
      </x:c>
      <x:c r="H24" s="7"/>
      <x:c r="I24" s="8" t="str">
        <x:v>Language robustness</x:v>
      </x:c>
      <x:c r="J24" s="8" t="str">
        <x:v>SZ-CT-LG01</x:v>
      </x:c>
      <x:c r="K24" s="8" t="str">
        <x:v>largest</x:v>
      </x:c>
      <x:c r="L24" s="8" t="str">
        <x:v>Primary compositional-transfer prompt paraphrase</x:v>
      </x:c>
      <x:c r="M24" s="8" t="str">
        <x:v>green block</x:v>
      </x:c>
      <x:c r="N24" s="8" t="str">
        <x:v>Left</x:v>
      </x:c>
      <x:c r="O24" s="8" t="n">
        <x:v>2</x:v>
      </x:c>
      <x:c r="P24" s="8" t="n">
        <x:v>8</x:v>
      </x:c>
      <x:c r="Q24" s="8" t="str">
        <x:v>Reset the target; preserve the exact scene and paraphrase only the transfer prompt.</x:v>
      </x:c>
      <x:c r="R24" s="7" t="str">
        <x:v>Exact-scene paraphrase of the primary transfer instruction.</x:v>
      </x:c>
      <x:c r="S24" s="7"/>
    </x:row>
    <x:row r="25" ht="68" customHeight="1">
      <x:c r="A25" s="8" t="str">
        <x:v>Not collected</x:v>
      </x:c>
      <x:c r="B25" s="8" t="n">
        <x:v>23</x:v>
      </x:c>
      <x:c r="C25" s="7" t="str">
        <x:v>Transfer the green block from the table into the bowl.</x:v>
      </x:c>
      <x:c r="D25" s="7" t="str">
        <x:v>Bowl: empty. Table, robot-left→robot-right: P1 green block; P2 red pencil sharpener. Adjacent centers 8 cm apart; row centered on the workspace; all objects fully visible and grasp paths clear.</x:v>
      </x:c>
      <x:c r="E25" s="8" t="n">
        <x:v>21</x:v>
      </x:c>
      <x:c r="F25" s="8" t="str">
        <x:v>1075</x:v>
      </x:c>
      <x:c r="G25" s="8" t="str">
        <x:v>MOVE green block to bowl</x:v>
      </x:c>
      <x:c r="H25" s="7"/>
      <x:c r="I25" s="8" t="str">
        <x:v>Language robustness</x:v>
      </x:c>
      <x:c r="J25" s="8" t="str">
        <x:v>SZ-CT-LG01</x:v>
      </x:c>
      <x:c r="K25" s="8" t="str">
        <x:v>Direct</x:v>
      </x:c>
      <x:c r="L25" s="8" t="str">
        <x:v>Matched-control direct prompt paraphrase</x:v>
      </x:c>
      <x:c r="M25" s="8" t="str">
        <x:v>green block</x:v>
      </x:c>
      <x:c r="N25" s="8" t="str">
        <x:v>Left</x:v>
      </x:c>
      <x:c r="O25" s="8" t="n">
        <x:v>2</x:v>
      </x:c>
      <x:c r="P25" s="8" t="n">
        <x:v>8</x:v>
      </x:c>
      <x:c r="Q25" s="8" t="str">
        <x:v>Reset the target; preserve the exact scene and paraphrase only the matched-control prompt.</x:v>
      </x:c>
      <x:c r="R25" s="7" t="str">
        <x:v>Exact-scene paraphrase of the direct manipulation control.</x:v>
      </x:c>
      <x:c r="S25" s="7"/>
    </x:row>
    <x:row r="26" ht="68" customHeight="1">
      <x:c r="A26" s="9" t="str">
        <x:v>Not collected</x:v>
      </x:c>
      <x:c r="B26" s="9" t="n">
        <x:v>24</x:v>
      </x:c>
      <x:c r="C26" s="10" t="str">
        <x:v>Pick up the smallest item and place it in the bowl.</x:v>
      </x:c>
      <x:c r="D26" s="10" t="str">
        <x:v>Bowl: empty. Table, robot-left→robot-right: P1 crushed Pepsi can; P2 juggling ball. Adjacent centers 12 cm apart; row shifted 4 cm toward robot-right; all objects fully visible and grasp paths clear.</x:v>
      </x:c>
      <x:c r="E26" s="9"/>
      <x:c r="F26" s="9" t="str">
        <x:v>1105</x:v>
      </x:c>
      <x:c r="G26" s="9" t="str">
        <x:v>MOVE juggling ball to bowl</x:v>
      </x:c>
      <x:c r="H26" s="10"/>
      <x:c r="I26" s="9" t="str">
        <x:v>Concept/compositional transfer</x:v>
      </x:c>
      <x:c r="J26" s="9" t="str">
        <x:v>SZ-CT-SJ01</x:v>
      </x:c>
      <x:c r="K26" s="9" t="str">
        <x:v>smallest</x:v>
      </x:c>
      <x:c r="L26" s="9" t="str">
        <x:v>Held-out smallest × juggling ball — Pick up</x:v>
      </x:c>
      <x:c r="M26" s="9" t="str">
        <x:v>juggling ball</x:v>
      </x:c>
      <x:c r="N26" s="9" t="str">
        <x:v>Right</x:v>
      </x:c>
      <x:c r="O26" s="9" t="n">
        <x:v>2</x:v>
      </x:c>
      <x:c r="P26" s="9" t="n">
        <x:v>12</x:v>
      </x:c>
      <x:c r="Q26" s="9" t="str">
        <x:v>Build the listed two-object scene and save a first-frame filename.</x:v>
      </x:c>
      <x:c r="R26" s="10" t="str">
        <x:v>Primary missing cell. Training episode 1105 contains the same target trajectory but masks the size word with a direct identity prompt.</x:v>
      </x:c>
      <x:c r="S26" s="10"/>
    </x:row>
    <x:row r="27" ht="68" customHeight="1">
      <x:c r="A27" s="8" t="str">
        <x:v>Not collected</x:v>
      </x:c>
      <x:c r="B27" s="8" t="n">
        <x:v>25</x:v>
      </x:c>
      <x:c r="C27" s="7" t="str">
        <x:v>Put the juggling ball in the bowl.</x:v>
      </x:c>
      <x:c r="D27" s="7" t="str">
        <x:v>Bowl: empty. Table, robot-left→robot-right: P1 crushed Pepsi can; P2 juggling ball. Adjacent centers 12 cm apart; row shifted 4 cm toward robot-right; all objects fully visible and grasp paths clear.</x:v>
      </x:c>
      <x:c r="E27" s="8" t="n">
        <x:v>24</x:v>
      </x:c>
      <x:c r="F27" s="8" t="str">
        <x:v>1100</x:v>
      </x:c>
      <x:c r="G27" s="8" t="str">
        <x:v>MOVE juggling ball to bowl</x:v>
      </x:c>
      <x:c r="H27" s="7"/>
      <x:c r="I27" s="8" t="str">
        <x:v>Matched manipulation control</x:v>
      </x:c>
      <x:c r="J27" s="8" t="str">
        <x:v>SZ-CT-SJ01</x:v>
      </x:c>
      <x:c r="K27" s="8" t="str">
        <x:v>Direct</x:v>
      </x:c>
      <x:c r="L27" s="8" t="str">
        <x:v>Same-scene direct target control</x:v>
      </x:c>
      <x:c r="M27" s="8" t="str">
        <x:v>juggling ball</x:v>
      </x:c>
      <x:c r="N27" s="8" t="str">
        <x:v>Right</x:v>
      </x:c>
      <x:c r="O27" s="8" t="n">
        <x:v>2</x:v>
      </x:c>
      <x:c r="P27" s="8" t="n">
        <x:v>12</x:v>
      </x:c>
      <x:c r="Q27" s="8" t="str">
        <x:v>Reset the target to its original pose; change only the prompt.</x:v>
      </x:c>
      <x:c r="R27" s="7" t="str">
        <x:v>Exact-scene control using a direct prompt supported by training episode 1100.</x:v>
      </x:c>
      <x:c r="S27" s="7"/>
    </x:row>
    <x:row r="28" ht="68" customHeight="1">
      <x:c r="A28" s="8" t="str">
        <x:v>Not collected</x:v>
      </x:c>
      <x:c r="B28" s="8" t="n">
        <x:v>26</x:v>
      </x:c>
      <x:c r="C28" s="7" t="str">
        <x:v>Choose the tiniest item and move it into the bowl.</x:v>
      </x:c>
      <x:c r="D28" s="7" t="str">
        <x:v>Bowl: empty. Table, robot-left→robot-right: P1 crushed Pepsi can; P2 juggling ball. Adjacent centers 12 cm apart; row shifted 4 cm toward robot-right; all objects fully visible and grasp paths clear.</x:v>
      </x:c>
      <x:c r="E28" s="8" t="n">
        <x:v>24</x:v>
      </x:c>
      <x:c r="F28" s="8" t="str">
        <x:v>1105</x:v>
      </x:c>
      <x:c r="G28" s="8" t="str">
        <x:v>MOVE juggling ball to bowl</x:v>
      </x:c>
      <x:c r="H28" s="7"/>
      <x:c r="I28" s="8" t="str">
        <x:v>Language robustness</x:v>
      </x:c>
      <x:c r="J28" s="8" t="str">
        <x:v>SZ-CT-SJ01</x:v>
      </x:c>
      <x:c r="K28" s="8" t="str">
        <x:v>smallest</x:v>
      </x:c>
      <x:c r="L28" s="8" t="str">
        <x:v>Primary compositional-transfer prompt paraphrase</x:v>
      </x:c>
      <x:c r="M28" s="8" t="str">
        <x:v>juggling ball</x:v>
      </x:c>
      <x:c r="N28" s="8" t="str">
        <x:v>Right</x:v>
      </x:c>
      <x:c r="O28" s="8" t="n">
        <x:v>2</x:v>
      </x:c>
      <x:c r="P28" s="8" t="n">
        <x:v>12</x:v>
      </x:c>
      <x:c r="Q28" s="8" t="str">
        <x:v>Reset the target; preserve the exact scene and paraphrase only the transfer prompt.</x:v>
      </x:c>
      <x:c r="R28" s="7" t="str">
        <x:v>Exact-scene paraphrase of the primary transfer instruction.</x:v>
      </x:c>
      <x:c r="S28" s="7"/>
    </x:row>
    <x:row r="29" ht="68" customHeight="1">
      <x:c r="A29" s="8" t="str">
        <x:v>Not collected</x:v>
      </x:c>
      <x:c r="B29" s="8" t="n">
        <x:v>27</x:v>
      </x:c>
      <x:c r="C29" s="7" t="str">
        <x:v>Transfer the juggling ball from the table into the bowl.</x:v>
      </x:c>
      <x:c r="D29" s="7" t="str">
        <x:v>Bowl: empty. Table, robot-left→robot-right: P1 crushed Pepsi can; P2 juggling ball. Adjacent centers 12 cm apart; row shifted 4 cm toward robot-right; all objects fully visible and grasp paths clear.</x:v>
      </x:c>
      <x:c r="E29" s="8" t="n">
        <x:v>25</x:v>
      </x:c>
      <x:c r="F29" s="8" t="str">
        <x:v>1100</x:v>
      </x:c>
      <x:c r="G29" s="8" t="str">
        <x:v>MOVE juggling ball to bowl</x:v>
      </x:c>
      <x:c r="H29" s="7"/>
      <x:c r="I29" s="8" t="str">
        <x:v>Language robustness</x:v>
      </x:c>
      <x:c r="J29" s="8" t="str">
        <x:v>SZ-CT-SJ01</x:v>
      </x:c>
      <x:c r="K29" s="8" t="str">
        <x:v>Direct</x:v>
      </x:c>
      <x:c r="L29" s="8" t="str">
        <x:v>Matched-control direct prompt paraphrase</x:v>
      </x:c>
      <x:c r="M29" s="8" t="str">
        <x:v>juggling ball</x:v>
      </x:c>
      <x:c r="N29" s="8" t="str">
        <x:v>Right</x:v>
      </x:c>
      <x:c r="O29" s="8" t="n">
        <x:v>2</x:v>
      </x:c>
      <x:c r="P29" s="8" t="n">
        <x:v>12</x:v>
      </x:c>
      <x:c r="Q29" s="8" t="str">
        <x:v>Reset the target; preserve the exact scene and paraphrase only the matched-control prompt.</x:v>
      </x:c>
      <x:c r="R29" s="7" t="str">
        <x:v>Exact-scene paraphrase of the direct manipulation control.</x:v>
      </x:c>
      <x:c r="S29" s="7"/>
    </x:row>
    <x:row r="30" ht="68" customHeight="1">
      <x:c r="A30" s="9" t="str">
        <x:v>Not collected</x:v>
      </x:c>
      <x:c r="B30" s="9" t="n">
        <x:v>28</x:v>
      </x:c>
      <x:c r="C30" s="10" t="str">
        <x:v>Pick up the largest item and place it in the bowl.</x:v>
      </x:c>
      <x:c r="D30" s="10" t="str">
        <x:v>Bowl: empty. Table, robot-left→robot-right: P1 red pencil sharpener; P2 green block. Adjacent centers 12 cm apart; row shifted 4 cm toward robot-left; all objects fully visible and grasp paths clear.</x:v>
      </x:c>
      <x:c r="E30" s="9"/>
      <x:c r="F30" s="9" t="str">
        <x:v>1081</x:v>
      </x:c>
      <x:c r="G30" s="9" t="str">
        <x:v>MOVE green block to bowl</x:v>
      </x:c>
      <x:c r="H30" s="10"/>
      <x:c r="I30" s="9" t="str">
        <x:v>Concept/compositional transfer</x:v>
      </x:c>
      <x:c r="J30" s="9" t="str">
        <x:v>SZ-CT-LG02</x:v>
      </x:c>
      <x:c r="K30" s="9" t="str">
        <x:v>largest</x:v>
      </x:c>
      <x:c r="L30" s="9" t="str">
        <x:v>Held-out largest × green block — Pick up</x:v>
      </x:c>
      <x:c r="M30" s="9" t="str">
        <x:v>green block</x:v>
      </x:c>
      <x:c r="N30" s="9" t="str">
        <x:v>Right</x:v>
      </x:c>
      <x:c r="O30" s="9" t="n">
        <x:v>2</x:v>
      </x:c>
      <x:c r="P30" s="9" t="n">
        <x:v>12</x:v>
      </x:c>
      <x:c r="Q30" s="9" t="str">
        <x:v>Build the listed two-object scene and save a first-frame filename.</x:v>
      </x:c>
      <x:c r="R30" s="10" t="str">
        <x:v>Primary missing cell. Training episode 1081 contains the same target trajectory but masks the size word with a direct identity prompt.</x:v>
      </x:c>
      <x:c r="S30" s="10"/>
    </x:row>
    <x:row r="31" ht="68" customHeight="1">
      <x:c r="A31" s="8" t="str">
        <x:v>Not collected</x:v>
      </x:c>
      <x:c r="B31" s="8" t="n">
        <x:v>29</x:v>
      </x:c>
      <x:c r="C31" s="7" t="str">
        <x:v>Move the green block into the bowl.</x:v>
      </x:c>
      <x:c r="D31" s="7" t="str">
        <x:v>Bowl: empty. Table, robot-left→robot-right: P1 red pencil sharpener; P2 green block. Adjacent centers 12 cm apart; row shifted 4 cm toward robot-left; all objects fully visible and grasp paths clear.</x:v>
      </x:c>
      <x:c r="E31" s="8" t="n">
        <x:v>28</x:v>
      </x:c>
      <x:c r="F31" s="8" t="str">
        <x:v>1076</x:v>
      </x:c>
      <x:c r="G31" s="8" t="str">
        <x:v>MOVE green block to bowl</x:v>
      </x:c>
      <x:c r="H31" s="7"/>
      <x:c r="I31" s="8" t="str">
        <x:v>Matched manipulation control</x:v>
      </x:c>
      <x:c r="J31" s="8" t="str">
        <x:v>SZ-CT-LG02</x:v>
      </x:c>
      <x:c r="K31" s="8" t="str">
        <x:v>Direct</x:v>
      </x:c>
      <x:c r="L31" s="8" t="str">
        <x:v>Same-scene direct target control</x:v>
      </x:c>
      <x:c r="M31" s="8" t="str">
        <x:v>green block</x:v>
      </x:c>
      <x:c r="N31" s="8" t="str">
        <x:v>Right</x:v>
      </x:c>
      <x:c r="O31" s="8" t="n">
        <x:v>2</x:v>
      </x:c>
      <x:c r="P31" s="8" t="n">
        <x:v>12</x:v>
      </x:c>
      <x:c r="Q31" s="8" t="str">
        <x:v>Reset the target to its original pose; change only the prompt.</x:v>
      </x:c>
      <x:c r="R31" s="7" t="str">
        <x:v>Exact-scene control using a direct prompt supported by training episode 1076.</x:v>
      </x:c>
      <x:c r="S31" s="7"/>
    </x:row>
    <x:row r="32" ht="68" customHeight="1">
      <x:c r="A32" s="8" t="str">
        <x:v>Not collected</x:v>
      </x:c>
      <x:c r="B32" s="8" t="n">
        <x:v>30</x:v>
      </x:c>
      <x:c r="C32" s="7" t="str">
        <x:v>Place whichever object is greatest in size inside the bowl.</x:v>
      </x:c>
      <x:c r="D32" s="7" t="str">
        <x:v>Bowl: empty. Table, robot-left→robot-right: P1 red pencil sharpener; P2 green block. Adjacent centers 12 cm apart; row shifted 4 cm toward robot-left; all objects fully visible and grasp paths clear.</x:v>
      </x:c>
      <x:c r="E32" s="8" t="n">
        <x:v>28</x:v>
      </x:c>
      <x:c r="F32" s="8" t="str">
        <x:v>1081</x:v>
      </x:c>
      <x:c r="G32" s="8" t="str">
        <x:v>MOVE green block to bowl</x:v>
      </x:c>
      <x:c r="H32" s="7"/>
      <x:c r="I32" s="8" t="str">
        <x:v>Language robustness</x:v>
      </x:c>
      <x:c r="J32" s="8" t="str">
        <x:v>SZ-CT-LG02</x:v>
      </x:c>
      <x:c r="K32" s="8" t="str">
        <x:v>largest</x:v>
      </x:c>
      <x:c r="L32" s="8" t="str">
        <x:v>Primary compositional-transfer prompt paraphrase</x:v>
      </x:c>
      <x:c r="M32" s="8" t="str">
        <x:v>green block</x:v>
      </x:c>
      <x:c r="N32" s="8" t="str">
        <x:v>Right</x:v>
      </x:c>
      <x:c r="O32" s="8" t="n">
        <x:v>2</x:v>
      </x:c>
      <x:c r="P32" s="8" t="n">
        <x:v>12</x:v>
      </x:c>
      <x:c r="Q32" s="8" t="str">
        <x:v>Reset the target; preserve the exact scene and paraphrase only the transfer prompt.</x:v>
      </x:c>
      <x:c r="R32" s="7" t="str">
        <x:v>Exact-scene paraphrase of the primary transfer instruction.</x:v>
      </x:c>
      <x:c r="S32" s="7"/>
    </x:row>
    <x:row r="33" ht="68" customHeight="1">
      <x:c r="A33" s="8" t="str">
        <x:v>Not collected</x:v>
      </x:c>
      <x:c r="B33" s="8" t="n">
        <x:v>31</x:v>
      </x:c>
      <x:c r="C33" s="7" t="str">
        <x:v>Lift the green block and set it inside the bowl.</x:v>
      </x:c>
      <x:c r="D33" s="7" t="str">
        <x:v>Bowl: empty. Table, robot-left→robot-right: P1 red pencil sharpener; P2 green block. Adjacent centers 12 cm apart; row shifted 4 cm toward robot-left; all objects fully visible and grasp paths clear.</x:v>
      </x:c>
      <x:c r="E33" s="8" t="n">
        <x:v>29</x:v>
      </x:c>
      <x:c r="F33" s="8" t="str">
        <x:v>1076</x:v>
      </x:c>
      <x:c r="G33" s="8" t="str">
        <x:v>MOVE green block to bowl</x:v>
      </x:c>
      <x:c r="H33" s="7"/>
      <x:c r="I33" s="8" t="str">
        <x:v>Language robustness</x:v>
      </x:c>
      <x:c r="J33" s="8" t="str">
        <x:v>SZ-CT-LG02</x:v>
      </x:c>
      <x:c r="K33" s="8" t="str">
        <x:v>Direct</x:v>
      </x:c>
      <x:c r="L33" s="8" t="str">
        <x:v>Matched-control direct prompt paraphrase</x:v>
      </x:c>
      <x:c r="M33" s="8" t="str">
        <x:v>green block</x:v>
      </x:c>
      <x:c r="N33" s="8" t="str">
        <x:v>Right</x:v>
      </x:c>
      <x:c r="O33" s="8" t="n">
        <x:v>2</x:v>
      </x:c>
      <x:c r="P33" s="8" t="n">
        <x:v>12</x:v>
      </x:c>
      <x:c r="Q33" s="8" t="str">
        <x:v>Reset the target; preserve the exact scene and paraphrase only the matched-control prompt.</x:v>
      </x:c>
      <x:c r="R33" s="7" t="str">
        <x:v>Exact-scene paraphrase of the direct manipulation control.</x:v>
      </x:c>
      <x:c r="S33" s="7"/>
    </x:row>
    <x:row r="34" ht="68" customHeight="1">
      <x:c r="A34" s="9" t="str">
        <x:v>Not collected</x:v>
      </x:c>
      <x:c r="B34" s="9" t="n">
        <x:v>32</x:v>
      </x:c>
      <x:c r="C34" s="10" t="str">
        <x:v>Put the smallest object in the bowl.</x:v>
      </x:c>
      <x:c r="D34" s="10" t="str">
        <x:v>Bowl: empty. Table, robot-left→robot-right: P1 juggling ball; P2 crushed Pepsi can. Adjacent centers 16 cm apart; row shifted 4 cm toward the robot; all objects fully visible and grasp paths clear.</x:v>
      </x:c>
      <x:c r="E34" s="9"/>
      <x:c r="F34" s="9" t="str">
        <x:v>1106</x:v>
      </x:c>
      <x:c r="G34" s="9" t="str">
        <x:v>MOVE juggling ball to bowl</x:v>
      </x:c>
      <x:c r="H34" s="10"/>
      <x:c r="I34" s="9" t="str">
        <x:v>Concept/compositional transfer</x:v>
      </x:c>
      <x:c r="J34" s="9" t="str">
        <x:v>SZ-CT-SJ02</x:v>
      </x:c>
      <x:c r="K34" s="9" t="str">
        <x:v>smallest</x:v>
      </x:c>
      <x:c r="L34" s="9" t="str">
        <x:v>Held-out smallest × juggling ball — Put</x:v>
      </x:c>
      <x:c r="M34" s="9" t="str">
        <x:v>juggling ball</x:v>
      </x:c>
      <x:c r="N34" s="9" t="str">
        <x:v>Left</x:v>
      </x:c>
      <x:c r="O34" s="9" t="n">
        <x:v>2</x:v>
      </x:c>
      <x:c r="P34" s="9" t="n">
        <x:v>16</x:v>
      </x:c>
      <x:c r="Q34" s="9" t="str">
        <x:v>Build the listed two-object scene and save a first-frame filename.</x:v>
      </x:c>
      <x:c r="R34" s="10" t="str">
        <x:v>Primary missing cell. Training episode 1106 contains the same target trajectory but masks the size word with a direct identity prompt.</x:v>
      </x:c>
      <x:c r="S34" s="10"/>
    </x:row>
    <x:row r="35" ht="68" customHeight="1">
      <x:c r="A35" s="8" t="str">
        <x:v>Not collected</x:v>
      </x:c>
      <x:c r="B35" s="8" t="n">
        <x:v>33</x:v>
      </x:c>
      <x:c r="C35" s="7" t="str">
        <x:v>Move the juggling ball into the bowl.</x:v>
      </x:c>
      <x:c r="D35" s="7" t="str">
        <x:v>Bowl: empty. Table, robot-left→robot-right: P1 juggling ball; P2 crushed Pepsi can. Adjacent centers 16 cm apart; row shifted 4 cm toward the robot; all objects fully visible and grasp paths clear.</x:v>
      </x:c>
      <x:c r="E35" s="8" t="n">
        <x:v>32</x:v>
      </x:c>
      <x:c r="F35" s="8" t="str">
        <x:v>1101</x:v>
      </x:c>
      <x:c r="G35" s="8" t="str">
        <x:v>MOVE juggling ball to bowl</x:v>
      </x:c>
      <x:c r="H35" s="7"/>
      <x:c r="I35" s="8" t="str">
        <x:v>Matched manipulation control</x:v>
      </x:c>
      <x:c r="J35" s="8" t="str">
        <x:v>SZ-CT-SJ02</x:v>
      </x:c>
      <x:c r="K35" s="8" t="str">
        <x:v>Direct</x:v>
      </x:c>
      <x:c r="L35" s="8" t="str">
        <x:v>Same-scene direct target control</x:v>
      </x:c>
      <x:c r="M35" s="8" t="str">
        <x:v>juggling ball</x:v>
      </x:c>
      <x:c r="N35" s="8" t="str">
        <x:v>Left</x:v>
      </x:c>
      <x:c r="O35" s="8" t="n">
        <x:v>2</x:v>
      </x:c>
      <x:c r="P35" s="8" t="n">
        <x:v>16</x:v>
      </x:c>
      <x:c r="Q35" s="8" t="str">
        <x:v>Reset the target to its original pose; change only the prompt.</x:v>
      </x:c>
      <x:c r="R35" s="7" t="str">
        <x:v>Exact-scene control using a direct prompt supported by training episode 1101.</x:v>
      </x:c>
      <x:c r="S35" s="7"/>
    </x:row>
    <x:row r="36" ht="68" customHeight="1">
      <x:c r="A36" s="8" t="str">
        <x:v>Not collected</x:v>
      </x:c>
      <x:c r="B36" s="8" t="n">
        <x:v>34</x:v>
      </x:c>
      <x:c r="C36" s="7" t="str">
        <x:v>Place whichever object is least in size inside the bowl.</x:v>
      </x:c>
      <x:c r="D36" s="7" t="str">
        <x:v>Bowl: empty. Table, robot-left→robot-right: P1 juggling ball; P2 crushed Pepsi can. Adjacent centers 16 cm apart; row shifted 4 cm toward the robot; all objects fully visible and grasp paths clear.</x:v>
      </x:c>
      <x:c r="E36" s="8" t="n">
        <x:v>32</x:v>
      </x:c>
      <x:c r="F36" s="8" t="str">
        <x:v>1106</x:v>
      </x:c>
      <x:c r="G36" s="8" t="str">
        <x:v>MOVE juggling ball to bowl</x:v>
      </x:c>
      <x:c r="H36" s="7"/>
      <x:c r="I36" s="8" t="str">
        <x:v>Language robustness</x:v>
      </x:c>
      <x:c r="J36" s="8" t="str">
        <x:v>SZ-CT-SJ02</x:v>
      </x:c>
      <x:c r="K36" s="8" t="str">
        <x:v>smallest</x:v>
      </x:c>
      <x:c r="L36" s="8" t="str">
        <x:v>Primary compositional-transfer prompt paraphrase</x:v>
      </x:c>
      <x:c r="M36" s="8" t="str">
        <x:v>juggling ball</x:v>
      </x:c>
      <x:c r="N36" s="8" t="str">
        <x:v>Left</x:v>
      </x:c>
      <x:c r="O36" s="8" t="n">
        <x:v>2</x:v>
      </x:c>
      <x:c r="P36" s="8" t="n">
        <x:v>16</x:v>
      </x:c>
      <x:c r="Q36" s="8" t="str">
        <x:v>Reset the target; preserve the exact scene and paraphrase only the transfer prompt.</x:v>
      </x:c>
      <x:c r="R36" s="7" t="str">
        <x:v>Exact-scene paraphrase of the primary transfer instruction.</x:v>
      </x:c>
      <x:c r="S36" s="7"/>
    </x:row>
    <x:row r="37" ht="68" customHeight="1">
      <x:c r="A37" s="8" t="str">
        <x:v>Not collected</x:v>
      </x:c>
      <x:c r="B37" s="8" t="n">
        <x:v>35</x:v>
      </x:c>
      <x:c r="C37" s="7" t="str">
        <x:v>Lift the juggling ball and set it inside the bowl.</x:v>
      </x:c>
      <x:c r="D37" s="7" t="str">
        <x:v>Bowl: empty. Table, robot-left→robot-right: P1 juggling ball; P2 crushed Pepsi can. Adjacent centers 16 cm apart; row shifted 4 cm toward the robot; all objects fully visible and grasp paths clear.</x:v>
      </x:c>
      <x:c r="E37" s="8" t="n">
        <x:v>33</x:v>
      </x:c>
      <x:c r="F37" s="8" t="str">
        <x:v>1101</x:v>
      </x:c>
      <x:c r="G37" s="8" t="str">
        <x:v>MOVE juggling ball to bowl</x:v>
      </x:c>
      <x:c r="H37" s="7"/>
      <x:c r="I37" s="8" t="str">
        <x:v>Language robustness</x:v>
      </x:c>
      <x:c r="J37" s="8" t="str">
        <x:v>SZ-CT-SJ02</x:v>
      </x:c>
      <x:c r="K37" s="8" t="str">
        <x:v>Direct</x:v>
      </x:c>
      <x:c r="L37" s="8" t="str">
        <x:v>Matched-control direct prompt paraphrase</x:v>
      </x:c>
      <x:c r="M37" s="8" t="str">
        <x:v>juggling ball</x:v>
      </x:c>
      <x:c r="N37" s="8" t="str">
        <x:v>Left</x:v>
      </x:c>
      <x:c r="O37" s="8" t="n">
        <x:v>2</x:v>
      </x:c>
      <x:c r="P37" s="8" t="n">
        <x:v>16</x:v>
      </x:c>
      <x:c r="Q37" s="8" t="str">
        <x:v>Reset the target; preserve the exact scene and paraphrase only the matched-control prompt.</x:v>
      </x:c>
      <x:c r="R37" s="7" t="str">
        <x:v>Exact-scene paraphrase of the direct manipulation control.</x:v>
      </x:c>
      <x:c r="S37" s="7"/>
    </x:row>
    <x:row r="38" ht="68" customHeight="1">
      <x:c r="A38" s="9" t="str">
        <x:v>Not collected</x:v>
      </x:c>
      <x:c r="B38" s="9" t="n">
        <x:v>36</x:v>
      </x:c>
      <x:c r="C38" s="10" t="str">
        <x:v>Put the largest object in the bowl.</x:v>
      </x:c>
      <x:c r="D38" s="10" t="str">
        <x:v>Bowl: empty. Table, robot-left→robot-right: P1 green block; P2 red pencil sharpener. Adjacent centers 16 cm apart; row shifted 4 cm toward robot-right; all objects fully visible and grasp paths clear.</x:v>
      </x:c>
      <x:c r="E38" s="9"/>
      <x:c r="F38" s="9" t="str">
        <x:v>1082</x:v>
      </x:c>
      <x:c r="G38" s="9" t="str">
        <x:v>MOVE green block to bowl</x:v>
      </x:c>
      <x:c r="H38" s="10"/>
      <x:c r="I38" s="9" t="str">
        <x:v>Concept/compositional transfer</x:v>
      </x:c>
      <x:c r="J38" s="9" t="str">
        <x:v>SZ-CT-LG03</x:v>
      </x:c>
      <x:c r="K38" s="9" t="str">
        <x:v>largest</x:v>
      </x:c>
      <x:c r="L38" s="9" t="str">
        <x:v>Held-out largest × green block — Put</x:v>
      </x:c>
      <x:c r="M38" s="9" t="str">
        <x:v>green block</x:v>
      </x:c>
      <x:c r="N38" s="9" t="str">
        <x:v>Left</x:v>
      </x:c>
      <x:c r="O38" s="9" t="n">
        <x:v>2</x:v>
      </x:c>
      <x:c r="P38" s="9" t="n">
        <x:v>16</x:v>
      </x:c>
      <x:c r="Q38" s="9" t="str">
        <x:v>Build the listed two-object scene and save a first-frame filename.</x:v>
      </x:c>
      <x:c r="R38" s="10" t="str">
        <x:v>Primary missing cell. Training episode 1082 contains the same target trajectory but masks the size word with a direct identity prompt.</x:v>
      </x:c>
      <x:c r="S38" s="10"/>
    </x:row>
    <x:row r="39" ht="68" customHeight="1">
      <x:c r="A39" s="8" t="str">
        <x:v>Not collected</x:v>
      </x:c>
      <x:c r="B39" s="8" t="n">
        <x:v>37</x:v>
      </x:c>
      <x:c r="C39" s="7" t="str">
        <x:v>Pick up the green block and place it in the bowl.</x:v>
      </x:c>
      <x:c r="D39" s="7" t="str">
        <x:v>Bowl: empty. Table, robot-left→robot-right: P1 green block; P2 red pencil sharpener. Adjacent centers 16 cm apart; row shifted 4 cm toward robot-right; all objects fully visible and grasp paths clear.</x:v>
      </x:c>
      <x:c r="E39" s="8" t="n">
        <x:v>36</x:v>
      </x:c>
      <x:c r="F39" s="8" t="str">
        <x:v>1077</x:v>
      </x:c>
      <x:c r="G39" s="8" t="str">
        <x:v>MOVE green block to bowl</x:v>
      </x:c>
      <x:c r="H39" s="7"/>
      <x:c r="I39" s="8" t="str">
        <x:v>Matched manipulation control</x:v>
      </x:c>
      <x:c r="J39" s="8" t="str">
        <x:v>SZ-CT-LG03</x:v>
      </x:c>
      <x:c r="K39" s="8" t="str">
        <x:v>Direct</x:v>
      </x:c>
      <x:c r="L39" s="8" t="str">
        <x:v>Same-scene direct target control</x:v>
      </x:c>
      <x:c r="M39" s="8" t="str">
        <x:v>green block</x:v>
      </x:c>
      <x:c r="N39" s="8" t="str">
        <x:v>Left</x:v>
      </x:c>
      <x:c r="O39" s="8" t="n">
        <x:v>2</x:v>
      </x:c>
      <x:c r="P39" s="8" t="n">
        <x:v>16</x:v>
      </x:c>
      <x:c r="Q39" s="8" t="str">
        <x:v>Reset the target to its original pose; change only the prompt.</x:v>
      </x:c>
      <x:c r="R39" s="7" t="str">
        <x:v>Exact-scene control using a direct prompt supported by training episode 1077.</x:v>
      </x:c>
      <x:c r="S39" s="7"/>
    </x:row>
    <x:row r="40" ht="68" customHeight="1">
      <x:c r="A40" s="8" t="str">
        <x:v>Not collected</x:v>
      </x:c>
      <x:c r="B40" s="8" t="n">
        <x:v>38</x:v>
      </x:c>
      <x:c r="C40" s="7" t="str">
        <x:v>Select the bigger object and put it into the bowl.</x:v>
      </x:c>
      <x:c r="D40" s="7" t="str">
        <x:v>Bowl: empty. Table, robot-left→robot-right: P1 green block; P2 red pencil sharpener. Adjacent centers 16 cm apart; row shifted 4 cm toward robot-right; all objects fully visible and grasp paths clear.</x:v>
      </x:c>
      <x:c r="E40" s="8" t="n">
        <x:v>36</x:v>
      </x:c>
      <x:c r="F40" s="8" t="str">
        <x:v>1082</x:v>
      </x:c>
      <x:c r="G40" s="8" t="str">
        <x:v>MOVE green block to bowl</x:v>
      </x:c>
      <x:c r="H40" s="7"/>
      <x:c r="I40" s="8" t="str">
        <x:v>Language robustness</x:v>
      </x:c>
      <x:c r="J40" s="8" t="str">
        <x:v>SZ-CT-LG03</x:v>
      </x:c>
      <x:c r="K40" s="8" t="str">
        <x:v>largest</x:v>
      </x:c>
      <x:c r="L40" s="8" t="str">
        <x:v>Primary compositional-transfer prompt paraphrase</x:v>
      </x:c>
      <x:c r="M40" s="8" t="str">
        <x:v>green block</x:v>
      </x:c>
      <x:c r="N40" s="8" t="str">
        <x:v>Left</x:v>
      </x:c>
      <x:c r="O40" s="8" t="n">
        <x:v>2</x:v>
      </x:c>
      <x:c r="P40" s="8" t="n">
        <x:v>16</x:v>
      </x:c>
      <x:c r="Q40" s="8" t="str">
        <x:v>Reset the target; preserve the exact scene and paraphrase only the transfer prompt.</x:v>
      </x:c>
      <x:c r="R40" s="7" t="str">
        <x:v>Exact-scene paraphrase of the primary transfer instruction.</x:v>
      </x:c>
      <x:c r="S40" s="7"/>
    </x:row>
    <x:row r="41" ht="68" customHeight="1">
      <x:c r="A41" s="8" t="str">
        <x:v>Not collected</x:v>
      </x:c>
      <x:c r="B41" s="8" t="n">
        <x:v>39</x:v>
      </x:c>
      <x:c r="C41" s="7" t="str">
        <x:v>Move the green block off the table and into the bowl.</x:v>
      </x:c>
      <x:c r="D41" s="7" t="str">
        <x:v>Bowl: empty. Table, robot-left→robot-right: P1 green block; P2 red pencil sharpener. Adjacent centers 16 cm apart; row shifted 4 cm toward robot-right; all objects fully visible and grasp paths clear.</x:v>
      </x:c>
      <x:c r="E41" s="8" t="n">
        <x:v>37</x:v>
      </x:c>
      <x:c r="F41" s="8" t="str">
        <x:v>1077</x:v>
      </x:c>
      <x:c r="G41" s="8" t="str">
        <x:v>MOVE green block to bowl</x:v>
      </x:c>
      <x:c r="H41" s="7"/>
      <x:c r="I41" s="8" t="str">
        <x:v>Language robustness</x:v>
      </x:c>
      <x:c r="J41" s="8" t="str">
        <x:v>SZ-CT-LG03</x:v>
      </x:c>
      <x:c r="K41" s="8" t="str">
        <x:v>Direct</x:v>
      </x:c>
      <x:c r="L41" s="8" t="str">
        <x:v>Matched-control direct prompt paraphrase</x:v>
      </x:c>
      <x:c r="M41" s="8" t="str">
        <x:v>green block</x:v>
      </x:c>
      <x:c r="N41" s="8" t="str">
        <x:v>Left</x:v>
      </x:c>
      <x:c r="O41" s="8" t="n">
        <x:v>2</x:v>
      </x:c>
      <x:c r="P41" s="8" t="n">
        <x:v>16</x:v>
      </x:c>
      <x:c r="Q41" s="8" t="str">
        <x:v>Reset the target; preserve the exact scene and paraphrase only the matched-control prompt.</x:v>
      </x:c>
      <x:c r="R41" s="7" t="str">
        <x:v>Exact-scene paraphrase of the direct manipulation control.</x:v>
      </x:c>
      <x:c r="S41" s="7"/>
    </x:row>
    <x:row r="42" ht="68" customHeight="1">
      <x:c r="A42" s="9" t="str">
        <x:v>Not collected</x:v>
      </x:c>
      <x:c r="B42" s="9" t="n">
        <x:v>40</x:v>
      </x:c>
      <x:c r="C42" s="10" t="str">
        <x:v>Move the object that is smallest into the bowl.</x:v>
      </x:c>
      <x:c r="D42" s="10" t="str">
        <x:v>Bowl: empty. Table, robot-left→robot-right: P1 crushed Pepsi can; P2 juggling ball. Adjacent centers 8 cm apart; row shifted 4 cm away from the robot; all objects fully visible and grasp paths clear.</x:v>
      </x:c>
      <x:c r="E42" s="9"/>
      <x:c r="F42" s="9" t="str">
        <x:v>1107</x:v>
      </x:c>
      <x:c r="G42" s="9" t="str">
        <x:v>MOVE juggling ball to bowl</x:v>
      </x:c>
      <x:c r="H42" s="10"/>
      <x:c r="I42" s="9" t="str">
        <x:v>Concept/compositional transfer</x:v>
      </x:c>
      <x:c r="J42" s="9" t="str">
        <x:v>SZ-CT-SJ03</x:v>
      </x:c>
      <x:c r="K42" s="9" t="str">
        <x:v>smallest</x:v>
      </x:c>
      <x:c r="L42" s="9" t="str">
        <x:v>Held-out smallest × juggling ball — Move</x:v>
      </x:c>
      <x:c r="M42" s="9" t="str">
        <x:v>juggling ball</x:v>
      </x:c>
      <x:c r="N42" s="9" t="str">
        <x:v>Right</x:v>
      </x:c>
      <x:c r="O42" s="9" t="n">
        <x:v>2</x:v>
      </x:c>
      <x:c r="P42" s="9" t="n">
        <x:v>8</x:v>
      </x:c>
      <x:c r="Q42" s="9" t="str">
        <x:v>Build the listed two-object scene and save a first-frame filename.</x:v>
      </x:c>
      <x:c r="R42" s="10" t="str">
        <x:v>Primary missing cell. Training episode 1107 contains the same target trajectory but masks the size word with a direct identity prompt.</x:v>
      </x:c>
      <x:c r="S42" s="10"/>
    </x:row>
    <x:row r="43" ht="68" customHeight="1">
      <x:c r="A43" s="8" t="str">
        <x:v>Not collected</x:v>
      </x:c>
      <x:c r="B43" s="8" t="n">
        <x:v>41</x:v>
      </x:c>
      <x:c r="C43" s="7" t="str">
        <x:v>Pick up the juggling ball and place it in the bowl.</x:v>
      </x:c>
      <x:c r="D43" s="7" t="str">
        <x:v>Bowl: empty. Table, robot-left→robot-right: P1 crushed Pepsi can; P2 juggling ball. Adjacent centers 8 cm apart; row shifted 4 cm away from the robot; all objects fully visible and grasp paths clear.</x:v>
      </x:c>
      <x:c r="E43" s="8" t="n">
        <x:v>40</x:v>
      </x:c>
      <x:c r="F43" s="8" t="str">
        <x:v>1102</x:v>
      </x:c>
      <x:c r="G43" s="8" t="str">
        <x:v>MOVE juggling ball to bowl</x:v>
      </x:c>
      <x:c r="H43" s="7"/>
      <x:c r="I43" s="8" t="str">
        <x:v>Matched manipulation control</x:v>
      </x:c>
      <x:c r="J43" s="8" t="str">
        <x:v>SZ-CT-SJ03</x:v>
      </x:c>
      <x:c r="K43" s="8" t="str">
        <x:v>Direct</x:v>
      </x:c>
      <x:c r="L43" s="8" t="str">
        <x:v>Same-scene direct target control</x:v>
      </x:c>
      <x:c r="M43" s="8" t="str">
        <x:v>juggling ball</x:v>
      </x:c>
      <x:c r="N43" s="8" t="str">
        <x:v>Right</x:v>
      </x:c>
      <x:c r="O43" s="8" t="n">
        <x:v>2</x:v>
      </x:c>
      <x:c r="P43" s="8" t="n">
        <x:v>8</x:v>
      </x:c>
      <x:c r="Q43" s="8" t="str">
        <x:v>Reset the target to its original pose; change only the prompt.</x:v>
      </x:c>
      <x:c r="R43" s="7" t="str">
        <x:v>Exact-scene control using a direct prompt supported by training episode 1102.</x:v>
      </x:c>
      <x:c r="S43" s="7"/>
    </x:row>
    <x:row r="44" ht="68" customHeight="1">
      <x:c r="A44" s="8" t="str">
        <x:v>Not collected</x:v>
      </x:c>
      <x:c r="B44" s="8" t="n">
        <x:v>42</x:v>
      </x:c>
      <x:c r="C44" s="7" t="str">
        <x:v>Select the smaller object and put it into the bowl.</x:v>
      </x:c>
      <x:c r="D44" s="7" t="str">
        <x:v>Bowl: empty. Table, robot-left→robot-right: P1 crushed Pepsi can; P2 juggling ball. Adjacent centers 8 cm apart; row shifted 4 cm away from the robot; all objects fully visible and grasp paths clear.</x:v>
      </x:c>
      <x:c r="E44" s="8" t="n">
        <x:v>40</x:v>
      </x:c>
      <x:c r="F44" s="8" t="str">
        <x:v>1107</x:v>
      </x:c>
      <x:c r="G44" s="8" t="str">
        <x:v>MOVE juggling ball to bowl</x:v>
      </x:c>
      <x:c r="H44" s="7"/>
      <x:c r="I44" s="8" t="str">
        <x:v>Language robustness</x:v>
      </x:c>
      <x:c r="J44" s="8" t="str">
        <x:v>SZ-CT-SJ03</x:v>
      </x:c>
      <x:c r="K44" s="8" t="str">
        <x:v>smallest</x:v>
      </x:c>
      <x:c r="L44" s="8" t="str">
        <x:v>Primary compositional-transfer prompt paraphrase</x:v>
      </x:c>
      <x:c r="M44" s="8" t="str">
        <x:v>juggling ball</x:v>
      </x:c>
      <x:c r="N44" s="8" t="str">
        <x:v>Right</x:v>
      </x:c>
      <x:c r="O44" s="8" t="n">
        <x:v>2</x:v>
      </x:c>
      <x:c r="P44" s="8" t="n">
        <x:v>8</x:v>
      </x:c>
      <x:c r="Q44" s="8" t="str">
        <x:v>Reset the target; preserve the exact scene and paraphrase only the transfer prompt.</x:v>
      </x:c>
      <x:c r="R44" s="7" t="str">
        <x:v>Exact-scene paraphrase of the primary transfer instruction.</x:v>
      </x:c>
      <x:c r="S44" s="7"/>
    </x:row>
    <x:row r="45" ht="68" customHeight="1">
      <x:c r="A45" s="8" t="str">
        <x:v>Not collected</x:v>
      </x:c>
      <x:c r="B45" s="8" t="n">
        <x:v>43</x:v>
      </x:c>
      <x:c r="C45" s="7" t="str">
        <x:v>Move the juggling ball off the table and into the bowl.</x:v>
      </x:c>
      <x:c r="D45" s="7" t="str">
        <x:v>Bowl: empty. Table, robot-left→robot-right: P1 crushed Pepsi can; P2 juggling ball. Adjacent centers 8 cm apart; row shifted 4 cm away from the robot; all objects fully visible and grasp paths clear.</x:v>
      </x:c>
      <x:c r="E45" s="8" t="n">
        <x:v>41</x:v>
      </x:c>
      <x:c r="F45" s="8" t="str">
        <x:v>1102</x:v>
      </x:c>
      <x:c r="G45" s="8" t="str">
        <x:v>MOVE juggling ball to bowl</x:v>
      </x:c>
      <x:c r="H45" s="7"/>
      <x:c r="I45" s="8" t="str">
        <x:v>Language robustness</x:v>
      </x:c>
      <x:c r="J45" s="8" t="str">
        <x:v>SZ-CT-SJ03</x:v>
      </x:c>
      <x:c r="K45" s="8" t="str">
        <x:v>Direct</x:v>
      </x:c>
      <x:c r="L45" s="8" t="str">
        <x:v>Matched-control direct prompt paraphrase</x:v>
      </x:c>
      <x:c r="M45" s="8" t="str">
        <x:v>juggling ball</x:v>
      </x:c>
      <x:c r="N45" s="8" t="str">
        <x:v>Right</x:v>
      </x:c>
      <x:c r="O45" s="8" t="n">
        <x:v>2</x:v>
      </x:c>
      <x:c r="P45" s="8" t="n">
        <x:v>8</x:v>
      </x:c>
      <x:c r="Q45" s="8" t="str">
        <x:v>Reset the target; preserve the exact scene and paraphrase only the matched-control prompt.</x:v>
      </x:c>
      <x:c r="R45" s="7" t="str">
        <x:v>Exact-scene paraphrase of the direct manipulation control.</x:v>
      </x:c>
      <x:c r="S45" s="7"/>
    </x:row>
    <x:row r="46" ht="68" customHeight="1">
      <x:c r="A46" s="9" t="str">
        <x:v>Not collected</x:v>
      </x:c>
      <x:c r="B46" s="9" t="n">
        <x:v>44</x:v>
      </x:c>
      <x:c r="C46" s="10" t="str">
        <x:v>Move the object that is largest into the bowl.</x:v>
      </x:c>
      <x:c r="D46" s="10" t="str">
        <x:v>Bowl: empty. Table, robot-left→robot-right: P1 red pencil sharpener; P2 green block. Adjacent centers 8 cm apart; row shifted 4 cm toward the robot; all objects fully visible and grasp paths clear.</x:v>
      </x:c>
      <x:c r="E46" s="9"/>
      <x:c r="F46" s="9" t="str">
        <x:v>1083</x:v>
      </x:c>
      <x:c r="G46" s="9" t="str">
        <x:v>MOVE green block to bowl</x:v>
      </x:c>
      <x:c r="H46" s="10"/>
      <x:c r="I46" s="9" t="str">
        <x:v>Concept/compositional transfer</x:v>
      </x:c>
      <x:c r="J46" s="9" t="str">
        <x:v>SZ-CT-LG04</x:v>
      </x:c>
      <x:c r="K46" s="9" t="str">
        <x:v>largest</x:v>
      </x:c>
      <x:c r="L46" s="9" t="str">
        <x:v>Held-out largest × green block — Move</x:v>
      </x:c>
      <x:c r="M46" s="9" t="str">
        <x:v>green block</x:v>
      </x:c>
      <x:c r="N46" s="9" t="str">
        <x:v>Right</x:v>
      </x:c>
      <x:c r="O46" s="9" t="n">
        <x:v>2</x:v>
      </x:c>
      <x:c r="P46" s="9" t="n">
        <x:v>8</x:v>
      </x:c>
      <x:c r="Q46" s="9" t="str">
        <x:v>Build the listed two-object scene and save a first-frame filename.</x:v>
      </x:c>
      <x:c r="R46" s="10" t="str">
        <x:v>Primary missing cell. Training episode 1083 contains the same target trajectory but masks the size word with a direct identity prompt.</x:v>
      </x:c>
      <x:c r="S46" s="10"/>
    </x:row>
    <x:row r="47" ht="68" customHeight="1">
      <x:c r="A47" s="8" t="str">
        <x:v>Not collected</x:v>
      </x:c>
      <x:c r="B47" s="8" t="n">
        <x:v>45</x:v>
      </x:c>
      <x:c r="C47" s="7" t="str">
        <x:v>Put the green block in the bowl.</x:v>
      </x:c>
      <x:c r="D47" s="7" t="str">
        <x:v>Bowl: empty. Table, robot-left→robot-right: P1 red pencil sharpener; P2 green block. Adjacent centers 8 cm apart; row shifted 4 cm toward the robot; all objects fully visible and grasp paths clear.</x:v>
      </x:c>
      <x:c r="E47" s="8" t="n">
        <x:v>44</x:v>
      </x:c>
      <x:c r="F47" s="8" t="str">
        <x:v>1078</x:v>
      </x:c>
      <x:c r="G47" s="8" t="str">
        <x:v>MOVE green block to bowl</x:v>
      </x:c>
      <x:c r="H47" s="7"/>
      <x:c r="I47" s="8" t="str">
        <x:v>Matched manipulation control</x:v>
      </x:c>
      <x:c r="J47" s="8" t="str">
        <x:v>SZ-CT-LG04</x:v>
      </x:c>
      <x:c r="K47" s="8" t="str">
        <x:v>Direct</x:v>
      </x:c>
      <x:c r="L47" s="8" t="str">
        <x:v>Same-scene direct target control</x:v>
      </x:c>
      <x:c r="M47" s="8" t="str">
        <x:v>green block</x:v>
      </x:c>
      <x:c r="N47" s="8" t="str">
        <x:v>Right</x:v>
      </x:c>
      <x:c r="O47" s="8" t="n">
        <x:v>2</x:v>
      </x:c>
      <x:c r="P47" s="8" t="n">
        <x:v>8</x:v>
      </x:c>
      <x:c r="Q47" s="8" t="str">
        <x:v>Reset the target to its original pose; change only the prompt.</x:v>
      </x:c>
      <x:c r="R47" s="7" t="str">
        <x:v>Exact-scene control using a direct prompt supported by training episode 1078.</x:v>
      </x:c>
      <x:c r="S47" s="7"/>
    </x:row>
    <x:row r="48" ht="68" customHeight="1">
      <x:c r="A48" s="8" t="str">
        <x:v>Not collected</x:v>
      </x:c>
      <x:c r="B48" s="8" t="n">
        <x:v>46</x:v>
      </x:c>
      <x:c r="C48" s="7" t="str">
        <x:v>Find the greatest-sized item and move it to the bowl.</x:v>
      </x:c>
      <x:c r="D48" s="7" t="str">
        <x:v>Bowl: empty. Table, robot-left→robot-right: P1 red pencil sharpener; P2 green block. Adjacent centers 8 cm apart; row shifted 4 cm toward the robot; all objects fully visible and grasp paths clear.</x:v>
      </x:c>
      <x:c r="E48" s="8" t="n">
        <x:v>44</x:v>
      </x:c>
      <x:c r="F48" s="8" t="str">
        <x:v>1083</x:v>
      </x:c>
      <x:c r="G48" s="8" t="str">
        <x:v>MOVE green block to bowl</x:v>
      </x:c>
      <x:c r="H48" s="7"/>
      <x:c r="I48" s="8" t="str">
        <x:v>Language robustness</x:v>
      </x:c>
      <x:c r="J48" s="8" t="str">
        <x:v>SZ-CT-LG04</x:v>
      </x:c>
      <x:c r="K48" s="8" t="str">
        <x:v>largest</x:v>
      </x:c>
      <x:c r="L48" s="8" t="str">
        <x:v>Primary compositional-transfer prompt paraphrase</x:v>
      </x:c>
      <x:c r="M48" s="8" t="str">
        <x:v>green block</x:v>
      </x:c>
      <x:c r="N48" s="8" t="str">
        <x:v>Right</x:v>
      </x:c>
      <x:c r="O48" s="8" t="n">
        <x:v>2</x:v>
      </x:c>
      <x:c r="P48" s="8" t="n">
        <x:v>8</x:v>
      </x:c>
      <x:c r="Q48" s="8" t="str">
        <x:v>Reset the target; preserve the exact scene and paraphrase only the transfer prompt.</x:v>
      </x:c>
      <x:c r="R48" s="7" t="str">
        <x:v>Exact-scene paraphrase of the primary transfer instruction.</x:v>
      </x:c>
      <x:c r="S48" s="7"/>
    </x:row>
    <x:row r="49" ht="68" customHeight="1">
      <x:c r="A49" s="8" t="str">
        <x:v>Not collected</x:v>
      </x:c>
      <x:c r="B49" s="8" t="n">
        <x:v>47</x:v>
      </x:c>
      <x:c r="C49" s="7" t="str">
        <x:v>Place the table's green block inside the bowl.</x:v>
      </x:c>
      <x:c r="D49" s="7" t="str">
        <x:v>Bowl: empty. Table, robot-left→robot-right: P1 red pencil sharpener; P2 green block. Adjacent centers 8 cm apart; row shifted 4 cm toward the robot; all objects fully visible and grasp paths clear.</x:v>
      </x:c>
      <x:c r="E49" s="8" t="n">
        <x:v>45</x:v>
      </x:c>
      <x:c r="F49" s="8" t="str">
        <x:v>1078</x:v>
      </x:c>
      <x:c r="G49" s="8" t="str">
        <x:v>MOVE green block to bowl</x:v>
      </x:c>
      <x:c r="H49" s="7"/>
      <x:c r="I49" s="8" t="str">
        <x:v>Language robustness</x:v>
      </x:c>
      <x:c r="J49" s="8" t="str">
        <x:v>SZ-CT-LG04</x:v>
      </x:c>
      <x:c r="K49" s="8" t="str">
        <x:v>Direct</x:v>
      </x:c>
      <x:c r="L49" s="8" t="str">
        <x:v>Matched-control direct prompt paraphrase</x:v>
      </x:c>
      <x:c r="M49" s="8" t="str">
        <x:v>green block</x:v>
      </x:c>
      <x:c r="N49" s="8" t="str">
        <x:v>Right</x:v>
      </x:c>
      <x:c r="O49" s="8" t="n">
        <x:v>2</x:v>
      </x:c>
      <x:c r="P49" s="8" t="n">
        <x:v>8</x:v>
      </x:c>
      <x:c r="Q49" s="8" t="str">
        <x:v>Reset the target; preserve the exact scene and paraphrase only the matched-control prompt.</x:v>
      </x:c>
      <x:c r="R49" s="7" t="str">
        <x:v>Exact-scene paraphrase of the direct manipulation control.</x:v>
      </x:c>
      <x:c r="S49" s="7"/>
    </x:row>
    <x:row r="50" ht="68" customHeight="1">
      <x:c r="A50" s="9" t="str">
        <x:v>Not collected</x:v>
      </x:c>
      <x:c r="B50" s="9" t="n">
        <x:v>48</x:v>
      </x:c>
      <x:c r="C50" s="10" t="str">
        <x:v>Pick up the smallest item and place it in the bowl.</x:v>
      </x:c>
      <x:c r="D50" s="10" t="str">
        <x:v>Bowl: empty. Table, robot-left→robot-right: P1 juggling ball; P2 crushed Pepsi can. Adjacent centers 12 cm apart; row centered on the workspace; all objects fully visible and grasp paths clear.</x:v>
      </x:c>
      <x:c r="E50" s="9"/>
      <x:c r="F50" s="9" t="str">
        <x:v>1108</x:v>
      </x:c>
      <x:c r="G50" s="9" t="str">
        <x:v>MOVE juggling ball to bowl</x:v>
      </x:c>
      <x:c r="H50" s="10"/>
      <x:c r="I50" s="9" t="str">
        <x:v>Concept/compositional transfer</x:v>
      </x:c>
      <x:c r="J50" s="9" t="str">
        <x:v>SZ-CT-SJ04</x:v>
      </x:c>
      <x:c r="K50" s="9" t="str">
        <x:v>smallest</x:v>
      </x:c>
      <x:c r="L50" s="9" t="str">
        <x:v>Held-out smallest × juggling ball — Pick up</x:v>
      </x:c>
      <x:c r="M50" s="9" t="str">
        <x:v>juggling ball</x:v>
      </x:c>
      <x:c r="N50" s="9" t="str">
        <x:v>Left</x:v>
      </x:c>
      <x:c r="O50" s="9" t="n">
        <x:v>2</x:v>
      </x:c>
      <x:c r="P50" s="9" t="n">
        <x:v>12</x:v>
      </x:c>
      <x:c r="Q50" s="9" t="str">
        <x:v>Build the listed two-object scene and save a first-frame filename.</x:v>
      </x:c>
      <x:c r="R50" s="10" t="str">
        <x:v>Primary missing cell. Training episode 1108 contains the same target trajectory but masks the size word with a direct identity prompt.</x:v>
      </x:c>
      <x:c r="S50" s="10"/>
    </x:row>
    <x:row r="51" ht="68" customHeight="1">
      <x:c r="A51" s="8" t="str">
        <x:v>Not collected</x:v>
      </x:c>
      <x:c r="B51" s="8" t="n">
        <x:v>49</x:v>
      </x:c>
      <x:c r="C51" s="7" t="str">
        <x:v>Put the juggling ball in the bowl.</x:v>
      </x:c>
      <x:c r="D51" s="7" t="str">
        <x:v>Bowl: empty. Table, robot-left→robot-right: P1 juggling ball; P2 crushed Pepsi can. Adjacent centers 12 cm apart; row centered on the workspace; all objects fully visible and grasp paths clear.</x:v>
      </x:c>
      <x:c r="E51" s="8" t="n">
        <x:v>48</x:v>
      </x:c>
      <x:c r="F51" s="8" t="str">
        <x:v>1103</x:v>
      </x:c>
      <x:c r="G51" s="8" t="str">
        <x:v>MOVE juggling ball to bowl</x:v>
      </x:c>
      <x:c r="H51" s="7"/>
      <x:c r="I51" s="8" t="str">
        <x:v>Matched manipulation control</x:v>
      </x:c>
      <x:c r="J51" s="8" t="str">
        <x:v>SZ-CT-SJ04</x:v>
      </x:c>
      <x:c r="K51" s="8" t="str">
        <x:v>Direct</x:v>
      </x:c>
      <x:c r="L51" s="8" t="str">
        <x:v>Same-scene direct target control</x:v>
      </x:c>
      <x:c r="M51" s="8" t="str">
        <x:v>juggling ball</x:v>
      </x:c>
      <x:c r="N51" s="8" t="str">
        <x:v>Left</x:v>
      </x:c>
      <x:c r="O51" s="8" t="n">
        <x:v>2</x:v>
      </x:c>
      <x:c r="P51" s="8" t="n">
        <x:v>12</x:v>
      </x:c>
      <x:c r="Q51" s="8" t="str">
        <x:v>Reset the target to its original pose; change only the prompt.</x:v>
      </x:c>
      <x:c r="R51" s="7" t="str">
        <x:v>Exact-scene control using a direct prompt supported by training episode 1103.</x:v>
      </x:c>
      <x:c r="S51" s="7"/>
    </x:row>
    <x:row r="52" ht="68" customHeight="1">
      <x:c r="A52" s="8" t="str">
        <x:v>Not collected</x:v>
      </x:c>
      <x:c r="B52" s="8" t="n">
        <x:v>50</x:v>
      </x:c>
      <x:c r="C52" s="7" t="str">
        <x:v>Find the least-sized item and move it to the bowl.</x:v>
      </x:c>
      <x:c r="D52" s="7" t="str">
        <x:v>Bowl: empty. Table, robot-left→robot-right: P1 juggling ball; P2 crushed Pepsi can. Adjacent centers 12 cm apart; row centered on the workspace; all objects fully visible and grasp paths clear.</x:v>
      </x:c>
      <x:c r="E52" s="8" t="n">
        <x:v>48</x:v>
      </x:c>
      <x:c r="F52" s="8" t="str">
        <x:v>1108</x:v>
      </x:c>
      <x:c r="G52" s="8" t="str">
        <x:v>MOVE juggling ball to bowl</x:v>
      </x:c>
      <x:c r="H52" s="7"/>
      <x:c r="I52" s="8" t="str">
        <x:v>Language robustness</x:v>
      </x:c>
      <x:c r="J52" s="8" t="str">
        <x:v>SZ-CT-SJ04</x:v>
      </x:c>
      <x:c r="K52" s="8" t="str">
        <x:v>smallest</x:v>
      </x:c>
      <x:c r="L52" s="8" t="str">
        <x:v>Primary compositional-transfer prompt paraphrase</x:v>
      </x:c>
      <x:c r="M52" s="8" t="str">
        <x:v>juggling ball</x:v>
      </x:c>
      <x:c r="N52" s="8" t="str">
        <x:v>Left</x:v>
      </x:c>
      <x:c r="O52" s="8" t="n">
        <x:v>2</x:v>
      </x:c>
      <x:c r="P52" s="8" t="n">
        <x:v>12</x:v>
      </x:c>
      <x:c r="Q52" s="8" t="str">
        <x:v>Reset the target; preserve the exact scene and paraphrase only the transfer prompt.</x:v>
      </x:c>
      <x:c r="R52" s="7" t="str">
        <x:v>Exact-scene paraphrase of the primary transfer instruction.</x:v>
      </x:c>
      <x:c r="S52" s="7"/>
    </x:row>
    <x:row r="53" ht="68" customHeight="1">
      <x:c r="A53" s="8" t="str">
        <x:v>Not collected</x:v>
      </x:c>
      <x:c r="B53" s="8" t="n">
        <x:v>51</x:v>
      </x:c>
      <x:c r="C53" s="7" t="str">
        <x:v>Place the table's juggling ball inside the bowl.</x:v>
      </x:c>
      <x:c r="D53" s="7" t="str">
        <x:v>Bowl: empty. Table, robot-left→robot-right: P1 juggling ball; P2 crushed Pepsi can. Adjacent centers 12 cm apart; row centered on the workspace; all objects fully visible and grasp paths clear.</x:v>
      </x:c>
      <x:c r="E53" s="8" t="n">
        <x:v>49</x:v>
      </x:c>
      <x:c r="F53" s="8" t="str">
        <x:v>1103</x:v>
      </x:c>
      <x:c r="G53" s="8" t="str">
        <x:v>MOVE juggling ball to bowl</x:v>
      </x:c>
      <x:c r="H53" s="7"/>
      <x:c r="I53" s="8" t="str">
        <x:v>Language robustness</x:v>
      </x:c>
      <x:c r="J53" s="8" t="str">
        <x:v>SZ-CT-SJ04</x:v>
      </x:c>
      <x:c r="K53" s="8" t="str">
        <x:v>Direct</x:v>
      </x:c>
      <x:c r="L53" s="8" t="str">
        <x:v>Matched-control direct prompt paraphrase</x:v>
      </x:c>
      <x:c r="M53" s="8" t="str">
        <x:v>juggling ball</x:v>
      </x:c>
      <x:c r="N53" s="8" t="str">
        <x:v>Left</x:v>
      </x:c>
      <x:c r="O53" s="8" t="n">
        <x:v>2</x:v>
      </x:c>
      <x:c r="P53" s="8" t="n">
        <x:v>12</x:v>
      </x:c>
      <x:c r="Q53" s="8" t="str">
        <x:v>Reset the target; preserve the exact scene and paraphrase only the matched-control prompt.</x:v>
      </x:c>
      <x:c r="R53" s="7" t="str">
        <x:v>Exact-scene paraphrase of the direct manipulation control.</x:v>
      </x:c>
      <x:c r="S53" s="7"/>
    </x:row>
    <x:row r="54" ht="68" customHeight="1">
      <x:c r="A54" s="9" t="str">
        <x:v>Not collected</x:v>
      </x:c>
      <x:c r="B54" s="9" t="n">
        <x:v>52</x:v>
      </x:c>
      <x:c r="C54" s="10" t="str">
        <x:v>Pick up the largest item and place it in the bowl.</x:v>
      </x:c>
      <x:c r="D54" s="10" t="str">
        <x:v>Bowl: empty. Table, robot-left→robot-right: P1 green block; P2 red pencil sharpener. Adjacent centers 12 cm apart; row shifted 4 cm away from the robot; all objects fully visible and grasp paths clear.</x:v>
      </x:c>
      <x:c r="E54" s="9"/>
      <x:c r="F54" s="9" t="str">
        <x:v>1084</x:v>
      </x:c>
      <x:c r="G54" s="9" t="str">
        <x:v>MOVE green block to bowl</x:v>
      </x:c>
      <x:c r="H54" s="10"/>
      <x:c r="I54" s="9" t="str">
        <x:v>Concept/compositional transfer</x:v>
      </x:c>
      <x:c r="J54" s="9" t="str">
        <x:v>SZ-CT-LG05</x:v>
      </x:c>
      <x:c r="K54" s="9" t="str">
        <x:v>largest</x:v>
      </x:c>
      <x:c r="L54" s="9" t="str">
        <x:v>Held-out largest × green block — Pick up</x:v>
      </x:c>
      <x:c r="M54" s="9" t="str">
        <x:v>green block</x:v>
      </x:c>
      <x:c r="N54" s="9" t="str">
        <x:v>Left</x:v>
      </x:c>
      <x:c r="O54" s="9" t="n">
        <x:v>2</x:v>
      </x:c>
      <x:c r="P54" s="9" t="n">
        <x:v>12</x:v>
      </x:c>
      <x:c r="Q54" s="9" t="str">
        <x:v>Build the listed two-object scene and save a first-frame filename.</x:v>
      </x:c>
      <x:c r="R54" s="10" t="str">
        <x:v>Primary missing cell. Training episode 1084 contains the same target trajectory but masks the size word with a direct identity prompt.</x:v>
      </x:c>
      <x:c r="S54" s="10"/>
    </x:row>
    <x:row r="55" ht="68" customHeight="1">
      <x:c r="A55" s="8" t="str">
        <x:v>Not collected</x:v>
      </x:c>
      <x:c r="B55" s="8" t="n">
        <x:v>53</x:v>
      </x:c>
      <x:c r="C55" s="7" t="str">
        <x:v>Move the green block into the bowl.</x:v>
      </x:c>
      <x:c r="D55" s="7" t="str">
        <x:v>Bowl: empty. Table, robot-left→robot-right: P1 green block; P2 red pencil sharpener. Adjacent centers 12 cm apart; row shifted 4 cm away from the robot; all objects fully visible and grasp paths clear.</x:v>
      </x:c>
      <x:c r="E55" s="8" t="n">
        <x:v>52</x:v>
      </x:c>
      <x:c r="F55" s="8" t="str">
        <x:v>1079</x:v>
      </x:c>
      <x:c r="G55" s="8" t="str">
        <x:v>MOVE green block to bowl</x:v>
      </x:c>
      <x:c r="H55" s="7"/>
      <x:c r="I55" s="8" t="str">
        <x:v>Matched manipulation control</x:v>
      </x:c>
      <x:c r="J55" s="8" t="str">
        <x:v>SZ-CT-LG05</x:v>
      </x:c>
      <x:c r="K55" s="8" t="str">
        <x:v>Direct</x:v>
      </x:c>
      <x:c r="L55" s="8" t="str">
        <x:v>Same-scene direct target control</x:v>
      </x:c>
      <x:c r="M55" s="8" t="str">
        <x:v>green block</x:v>
      </x:c>
      <x:c r="N55" s="8" t="str">
        <x:v>Left</x:v>
      </x:c>
      <x:c r="O55" s="8" t="n">
        <x:v>2</x:v>
      </x:c>
      <x:c r="P55" s="8" t="n">
        <x:v>12</x:v>
      </x:c>
      <x:c r="Q55" s="8" t="str">
        <x:v>Reset the target to its original pose; change only the prompt.</x:v>
      </x:c>
      <x:c r="R55" s="7" t="str">
        <x:v>Exact-scene control using a direct prompt supported by training episode 1079.</x:v>
      </x:c>
      <x:c r="S55" s="7"/>
    </x:row>
    <x:row r="56" ht="68" customHeight="1">
      <x:c r="A56" s="8" t="str">
        <x:v>Not collected</x:v>
      </x:c>
      <x:c r="B56" s="8" t="n">
        <x:v>54</x:v>
      </x:c>
      <x:c r="C56" s="7" t="str">
        <x:v>Move whichever item is larger into the bowl.</x:v>
      </x:c>
      <x:c r="D56" s="7" t="str">
        <x:v>Bowl: empty. Table, robot-left→robot-right: P1 green block; P2 red pencil sharpener. Adjacent centers 12 cm apart; row shifted 4 cm away from the robot; all objects fully visible and grasp paths clear.</x:v>
      </x:c>
      <x:c r="E56" s="8" t="n">
        <x:v>52</x:v>
      </x:c>
      <x:c r="F56" s="8" t="str">
        <x:v>1084</x:v>
      </x:c>
      <x:c r="G56" s="8" t="str">
        <x:v>MOVE green block to bowl</x:v>
      </x:c>
      <x:c r="H56" s="7"/>
      <x:c r="I56" s="8" t="str">
        <x:v>Language robustness</x:v>
      </x:c>
      <x:c r="J56" s="8" t="str">
        <x:v>SZ-CT-LG05</x:v>
      </x:c>
      <x:c r="K56" s="8" t="str">
        <x:v>largest</x:v>
      </x:c>
      <x:c r="L56" s="8" t="str">
        <x:v>Primary compositional-transfer prompt paraphrase</x:v>
      </x:c>
      <x:c r="M56" s="8" t="str">
        <x:v>green block</x:v>
      </x:c>
      <x:c r="N56" s="8" t="str">
        <x:v>Left</x:v>
      </x:c>
      <x:c r="O56" s="8" t="n">
        <x:v>2</x:v>
      </x:c>
      <x:c r="P56" s="8" t="n">
        <x:v>12</x:v>
      </x:c>
      <x:c r="Q56" s="8" t="str">
        <x:v>Reset the target; preserve the exact scene and paraphrase only the transfer prompt.</x:v>
      </x:c>
      <x:c r="R56" s="7" t="str">
        <x:v>Exact-scene paraphrase of the primary transfer instruction.</x:v>
      </x:c>
      <x:c r="S56" s="7"/>
    </x:row>
    <x:row r="57" ht="68" customHeight="1">
      <x:c r="A57" s="8" t="str">
        <x:v>Not collected</x:v>
      </x:c>
      <x:c r="B57" s="8" t="n">
        <x:v>55</x:v>
      </x:c>
      <x:c r="C57" s="7" t="str">
        <x:v>Take the green block from the table and put it in the bowl.</x:v>
      </x:c>
      <x:c r="D57" s="7" t="str">
        <x:v>Bowl: empty. Table, robot-left→robot-right: P1 green block; P2 red pencil sharpener. Adjacent centers 12 cm apart; row shifted 4 cm away from the robot; all objects fully visible and grasp paths clear.</x:v>
      </x:c>
      <x:c r="E57" s="8" t="n">
        <x:v>53</x:v>
      </x:c>
      <x:c r="F57" s="8" t="str">
        <x:v>1079</x:v>
      </x:c>
      <x:c r="G57" s="8" t="str">
        <x:v>MOVE green block to bowl</x:v>
      </x:c>
      <x:c r="H57" s="7"/>
      <x:c r="I57" s="8" t="str">
        <x:v>Language robustness</x:v>
      </x:c>
      <x:c r="J57" s="8" t="str">
        <x:v>SZ-CT-LG05</x:v>
      </x:c>
      <x:c r="K57" s="8" t="str">
        <x:v>Direct</x:v>
      </x:c>
      <x:c r="L57" s="8" t="str">
        <x:v>Matched-control direct prompt paraphrase</x:v>
      </x:c>
      <x:c r="M57" s="8" t="str">
        <x:v>green block</x:v>
      </x:c>
      <x:c r="N57" s="8" t="str">
        <x:v>Left</x:v>
      </x:c>
      <x:c r="O57" s="8" t="n">
        <x:v>2</x:v>
      </x:c>
      <x:c r="P57" s="8" t="n">
        <x:v>12</x:v>
      </x:c>
      <x:c r="Q57" s="8" t="str">
        <x:v>Reset the target; preserve the exact scene and paraphrase only the matched-control prompt.</x:v>
      </x:c>
      <x:c r="R57" s="7" t="str">
        <x:v>Exact-scene paraphrase of the direct manipulation control.</x:v>
      </x:c>
      <x:c r="S57" s="7"/>
    </x:row>
    <x:row r="58" ht="68" customHeight="1">
      <x:c r="A58" s="9" t="str">
        <x:v>Not collected</x:v>
      </x:c>
      <x:c r="B58" s="9" t="n">
        <x:v>56</x:v>
      </x:c>
      <x:c r="C58" s="10" t="str">
        <x:v>Put the smallest object in the bowl.</x:v>
      </x:c>
      <x:c r="D58" s="10" t="str">
        <x:v>Bowl: empty. Table, robot-left→robot-right: P1 crushed Pepsi can; P2 juggling ball. Adjacent centers 16 cm apart; row shifted 4 cm toward robot-left; all objects fully visible and grasp paths clear.</x:v>
      </x:c>
      <x:c r="E58" s="9"/>
      <x:c r="F58" s="9" t="str">
        <x:v>1109</x:v>
      </x:c>
      <x:c r="G58" s="9" t="str">
        <x:v>MOVE juggling ball to bowl</x:v>
      </x:c>
      <x:c r="H58" s="10"/>
      <x:c r="I58" s="9" t="str">
        <x:v>Concept/compositional transfer</x:v>
      </x:c>
      <x:c r="J58" s="9" t="str">
        <x:v>SZ-CT-SJ05</x:v>
      </x:c>
      <x:c r="K58" s="9" t="str">
        <x:v>smallest</x:v>
      </x:c>
      <x:c r="L58" s="9" t="str">
        <x:v>Held-out smallest × juggling ball — Put</x:v>
      </x:c>
      <x:c r="M58" s="9" t="str">
        <x:v>juggling ball</x:v>
      </x:c>
      <x:c r="N58" s="9" t="str">
        <x:v>Right</x:v>
      </x:c>
      <x:c r="O58" s="9" t="n">
        <x:v>2</x:v>
      </x:c>
      <x:c r="P58" s="9" t="n">
        <x:v>16</x:v>
      </x:c>
      <x:c r="Q58" s="9" t="str">
        <x:v>Build the listed two-object scene and save a first-frame filename.</x:v>
      </x:c>
      <x:c r="R58" s="10" t="str">
        <x:v>Primary missing cell. Training episode 1109 contains the same target trajectory but masks the size word with a direct identity prompt.</x:v>
      </x:c>
      <x:c r="S58" s="10"/>
    </x:row>
    <x:row r="59" ht="68" customHeight="1">
      <x:c r="A59" s="8" t="str">
        <x:v>Not collected</x:v>
      </x:c>
      <x:c r="B59" s="8" t="n">
        <x:v>57</x:v>
      </x:c>
      <x:c r="C59" s="7" t="str">
        <x:v>Move the juggling ball into the bowl.</x:v>
      </x:c>
      <x:c r="D59" s="7" t="str">
        <x:v>Bowl: empty. Table, robot-left→robot-right: P1 crushed Pepsi can; P2 juggling ball. Adjacent centers 16 cm apart; row shifted 4 cm toward robot-left; all objects fully visible and grasp paths clear.</x:v>
      </x:c>
      <x:c r="E59" s="8" t="n">
        <x:v>56</x:v>
      </x:c>
      <x:c r="F59" s="8" t="str">
        <x:v>1104</x:v>
      </x:c>
      <x:c r="G59" s="8" t="str">
        <x:v>MOVE juggling ball to bowl</x:v>
      </x:c>
      <x:c r="H59" s="7"/>
      <x:c r="I59" s="8" t="str">
        <x:v>Matched manipulation control</x:v>
      </x:c>
      <x:c r="J59" s="8" t="str">
        <x:v>SZ-CT-SJ05</x:v>
      </x:c>
      <x:c r="K59" s="8" t="str">
        <x:v>Direct</x:v>
      </x:c>
      <x:c r="L59" s="8" t="str">
        <x:v>Same-scene direct target control</x:v>
      </x:c>
      <x:c r="M59" s="8" t="str">
        <x:v>juggling ball</x:v>
      </x:c>
      <x:c r="N59" s="8" t="str">
        <x:v>Right</x:v>
      </x:c>
      <x:c r="O59" s="8" t="n">
        <x:v>2</x:v>
      </x:c>
      <x:c r="P59" s="8" t="n">
        <x:v>16</x:v>
      </x:c>
      <x:c r="Q59" s="8" t="str">
        <x:v>Reset the target to its original pose; change only the prompt.</x:v>
      </x:c>
      <x:c r="R59" s="7" t="str">
        <x:v>Exact-scene control using a direct prompt supported by training episode 1104.</x:v>
      </x:c>
      <x:c r="S59" s="7"/>
    </x:row>
    <x:row r="60" ht="68" customHeight="1">
      <x:c r="A60" s="8" t="str">
        <x:v>Not collected</x:v>
      </x:c>
      <x:c r="B60" s="8" t="n">
        <x:v>58</x:v>
      </x:c>
      <x:c r="C60" s="7" t="str">
        <x:v>Move whichever item is smaller into the bowl.</x:v>
      </x:c>
      <x:c r="D60" s="7" t="str">
        <x:v>Bowl: empty. Table, robot-left→robot-right: P1 crushed Pepsi can; P2 juggling ball. Adjacent centers 16 cm apart; row shifted 4 cm toward robot-left; all objects fully visible and grasp paths clear.</x:v>
      </x:c>
      <x:c r="E60" s="8" t="n">
        <x:v>56</x:v>
      </x:c>
      <x:c r="F60" s="8" t="str">
        <x:v>1109</x:v>
      </x:c>
      <x:c r="G60" s="8" t="str">
        <x:v>MOVE juggling ball to bowl</x:v>
      </x:c>
      <x:c r="H60" s="7"/>
      <x:c r="I60" s="8" t="str">
        <x:v>Language robustness</x:v>
      </x:c>
      <x:c r="J60" s="8" t="str">
        <x:v>SZ-CT-SJ05</x:v>
      </x:c>
      <x:c r="K60" s="8" t="str">
        <x:v>smallest</x:v>
      </x:c>
      <x:c r="L60" s="8" t="str">
        <x:v>Primary compositional-transfer prompt paraphrase</x:v>
      </x:c>
      <x:c r="M60" s="8" t="str">
        <x:v>juggling ball</x:v>
      </x:c>
      <x:c r="N60" s="8" t="str">
        <x:v>Right</x:v>
      </x:c>
      <x:c r="O60" s="8" t="n">
        <x:v>2</x:v>
      </x:c>
      <x:c r="P60" s="8" t="n">
        <x:v>16</x:v>
      </x:c>
      <x:c r="Q60" s="8" t="str">
        <x:v>Reset the target; preserve the exact scene and paraphrase only the transfer prompt.</x:v>
      </x:c>
      <x:c r="R60" s="7" t="str">
        <x:v>Exact-scene paraphrase of the primary transfer instruction.</x:v>
      </x:c>
      <x:c r="S60" s="7"/>
    </x:row>
    <x:row r="61" ht="68" customHeight="1">
      <x:c r="A61" s="8" t="str">
        <x:v>Not collected</x:v>
      </x:c>
      <x:c r="B61" s="8" t="n">
        <x:v>59</x:v>
      </x:c>
      <x:c r="C61" s="7" t="str">
        <x:v>Take the juggling ball from the table and put it in the bowl.</x:v>
      </x:c>
      <x:c r="D61" s="7" t="str">
        <x:v>Bowl: empty. Table, robot-left→robot-right: P1 crushed Pepsi can; P2 juggling ball. Adjacent centers 16 cm apart; row shifted 4 cm toward robot-left; all objects fully visible and grasp paths clear.</x:v>
      </x:c>
      <x:c r="E61" s="8" t="n">
        <x:v>57</x:v>
      </x:c>
      <x:c r="F61" s="8" t="str">
        <x:v>1104</x:v>
      </x:c>
      <x:c r="G61" s="8" t="str">
        <x:v>MOVE juggling ball to bowl</x:v>
      </x:c>
      <x:c r="H61" s="7"/>
      <x:c r="I61" s="8" t="str">
        <x:v>Language robustness</x:v>
      </x:c>
      <x:c r="J61" s="8" t="str">
        <x:v>SZ-CT-SJ05</x:v>
      </x:c>
      <x:c r="K61" s="8" t="str">
        <x:v>Direct</x:v>
      </x:c>
      <x:c r="L61" s="8" t="str">
        <x:v>Matched-control direct prompt paraphrase</x:v>
      </x:c>
      <x:c r="M61" s="8" t="str">
        <x:v>juggling ball</x:v>
      </x:c>
      <x:c r="N61" s="8" t="str">
        <x:v>Right</x:v>
      </x:c>
      <x:c r="O61" s="8" t="n">
        <x:v>2</x:v>
      </x:c>
      <x:c r="P61" s="8" t="n">
        <x:v>16</x:v>
      </x:c>
      <x:c r="Q61" s="8" t="str">
        <x:v>Reset the target; preserve the exact scene and paraphrase only the matched-control prompt.</x:v>
      </x:c>
      <x:c r="R61" s="7" t="str">
        <x:v>Exact-scene paraphrase of the direct manipulation control.</x:v>
      </x:c>
      <x:c r="S61" s="7"/>
    </x:row>
    <x:row r="62" ht="68" customHeight="1">
      <x:c r="A62" s="9" t="str">
        <x:v>Not collected</x:v>
      </x:c>
      <x:c r="B62" s="9" t="n">
        <x:v>60</x:v>
      </x:c>
      <x:c r="C62" s="10" t="str">
        <x:v>Put the largest object in the bowl.</x:v>
      </x:c>
      <x:c r="D62" s="10" t="str">
        <x:v>Bowl: empty. Table, robot-left→robot-right: P1 red pencil sharpener; P2 green block. Adjacent centers 16 cm apart; row centered on the workspace; all objects fully visible and grasp paths clear.</x:v>
      </x:c>
      <x:c r="E62" s="9"/>
      <x:c r="F62" s="9" t="str">
        <x:v>1085</x:v>
      </x:c>
      <x:c r="G62" s="9" t="str">
        <x:v>MOVE green block to bowl</x:v>
      </x:c>
      <x:c r="H62" s="10"/>
      <x:c r="I62" s="9" t="str">
        <x:v>Concept/compositional transfer</x:v>
      </x:c>
      <x:c r="J62" s="9" t="str">
        <x:v>SZ-CT-LG06</x:v>
      </x:c>
      <x:c r="K62" s="9" t="str">
        <x:v>largest</x:v>
      </x:c>
      <x:c r="L62" s="9" t="str">
        <x:v>Held-out largest × green block — Put</x:v>
      </x:c>
      <x:c r="M62" s="9" t="str">
        <x:v>green block</x:v>
      </x:c>
      <x:c r="N62" s="9" t="str">
        <x:v>Right</x:v>
      </x:c>
      <x:c r="O62" s="9" t="n">
        <x:v>2</x:v>
      </x:c>
      <x:c r="P62" s="9" t="n">
        <x:v>16</x:v>
      </x:c>
      <x:c r="Q62" s="9" t="str">
        <x:v>Build the listed two-object scene and save a first-frame filename.</x:v>
      </x:c>
      <x:c r="R62" s="10" t="str">
        <x:v>Primary missing cell. Training episode 1085 contains the same target trajectory but masks the size word with a direct identity prompt.</x:v>
      </x:c>
      <x:c r="S62" s="10"/>
    </x:row>
    <x:row r="63" ht="68" customHeight="1">
      <x:c r="A63" s="8" t="str">
        <x:v>Not collected</x:v>
      </x:c>
      <x:c r="B63" s="8" t="n">
        <x:v>61</x:v>
      </x:c>
      <x:c r="C63" s="7" t="str">
        <x:v>Pick up the green block and place it in the bowl.</x:v>
      </x:c>
      <x:c r="D63" s="7" t="str">
        <x:v>Bowl: empty. Table, robot-left→robot-right: P1 red pencil sharpener; P2 green block. Adjacent centers 16 cm apart; row centered on the workspace; all objects fully visible and grasp paths clear.</x:v>
      </x:c>
      <x:c r="E63" s="8" t="n">
        <x:v>60</x:v>
      </x:c>
      <x:c r="F63" s="8" t="str">
        <x:v>1075</x:v>
      </x:c>
      <x:c r="G63" s="8" t="str">
        <x:v>MOVE green block to bowl</x:v>
      </x:c>
      <x:c r="H63" s="7"/>
      <x:c r="I63" s="8" t="str">
        <x:v>Matched manipulation control</x:v>
      </x:c>
      <x:c r="J63" s="8" t="str">
        <x:v>SZ-CT-LG06</x:v>
      </x:c>
      <x:c r="K63" s="8" t="str">
        <x:v>Direct</x:v>
      </x:c>
      <x:c r="L63" s="8" t="str">
        <x:v>Same-scene direct target control</x:v>
      </x:c>
      <x:c r="M63" s="8" t="str">
        <x:v>green block</x:v>
      </x:c>
      <x:c r="N63" s="8" t="str">
        <x:v>Right</x:v>
      </x:c>
      <x:c r="O63" s="8" t="n">
        <x:v>2</x:v>
      </x:c>
      <x:c r="P63" s="8" t="n">
        <x:v>16</x:v>
      </x:c>
      <x:c r="Q63" s="8" t="str">
        <x:v>Reset the target to its original pose; change only the prompt.</x:v>
      </x:c>
      <x:c r="R63" s="7" t="str">
        <x:v>Exact-scene control using a direct prompt supported by training episode 1075.</x:v>
      </x:c>
      <x:c r="S63" s="7"/>
    </x:row>
    <x:row r="64" ht="68" customHeight="1">
      <x:c r="A64" s="9" t="str">
        <x:v>Not collected</x:v>
      </x:c>
      <x:c r="B64" s="9" t="n">
        <x:v>62</x:v>
      </x:c>
      <x:c r="C64" s="10" t="str">
        <x:v>Move the object that is smallest into the bowl.</x:v>
      </x:c>
      <x:c r="D64" s="10" t="str">
        <x:v>Bowl: empty. Table, robot-left→robot-right: P1 juggling ball; P2 crushed Pepsi can. Adjacent centers 8 cm apart; row shifted 4 cm toward robot-right; all objects fully visible and grasp paths clear.</x:v>
      </x:c>
      <x:c r="E64" s="9"/>
      <x:c r="F64" s="9" t="str">
        <x:v>1110</x:v>
      </x:c>
      <x:c r="G64" s="9" t="str">
        <x:v>MOVE juggling ball to bowl</x:v>
      </x:c>
      <x:c r="H64" s="10"/>
      <x:c r="I64" s="9" t="str">
        <x:v>Concept/compositional transfer</x:v>
      </x:c>
      <x:c r="J64" s="9" t="str">
        <x:v>SZ-CT-SJ06</x:v>
      </x:c>
      <x:c r="K64" s="9" t="str">
        <x:v>smallest</x:v>
      </x:c>
      <x:c r="L64" s="9" t="str">
        <x:v>Held-out smallest × juggling ball — Move</x:v>
      </x:c>
      <x:c r="M64" s="9" t="str">
        <x:v>juggling ball</x:v>
      </x:c>
      <x:c r="N64" s="9" t="str">
        <x:v>Left</x:v>
      </x:c>
      <x:c r="O64" s="9" t="n">
        <x:v>2</x:v>
      </x:c>
      <x:c r="P64" s="9" t="n">
        <x:v>8</x:v>
      </x:c>
      <x:c r="Q64" s="9" t="str">
        <x:v>Build the listed two-object scene and save a first-frame filename.</x:v>
      </x:c>
      <x:c r="R64" s="10" t="str">
        <x:v>Primary missing cell. Training episode 1110 contains the same target trajectory but masks the size word with a direct identity prompt.</x:v>
      </x:c>
      <x:c r="S64" s="10"/>
    </x:row>
    <x:row r="65" ht="68" customHeight="1">
      <x:c r="A65" s="8" t="str">
        <x:v>Not collected</x:v>
      </x:c>
      <x:c r="B65" s="8" t="n">
        <x:v>63</x:v>
      </x:c>
      <x:c r="C65" s="7" t="str">
        <x:v>Pick up the juggling ball and place it in the bowl.</x:v>
      </x:c>
      <x:c r="D65" s="7" t="str">
        <x:v>Bowl: empty. Table, robot-left→robot-right: P1 juggling ball; P2 crushed Pepsi can. Adjacent centers 8 cm apart; row shifted 4 cm toward robot-right; all objects fully visible and grasp paths clear.</x:v>
      </x:c>
      <x:c r="E65" s="8" t="n">
        <x:v>62</x:v>
      </x:c>
      <x:c r="F65" s="8" t="str">
        <x:v>1100</x:v>
      </x:c>
      <x:c r="G65" s="8" t="str">
        <x:v>MOVE juggling ball to bowl</x:v>
      </x:c>
      <x:c r="H65" s="7"/>
      <x:c r="I65" s="8" t="str">
        <x:v>Matched manipulation control</x:v>
      </x:c>
      <x:c r="J65" s="8" t="str">
        <x:v>SZ-CT-SJ06</x:v>
      </x:c>
      <x:c r="K65" s="8" t="str">
        <x:v>Direct</x:v>
      </x:c>
      <x:c r="L65" s="8" t="str">
        <x:v>Same-scene direct target control</x:v>
      </x:c>
      <x:c r="M65" s="8" t="str">
        <x:v>juggling ball</x:v>
      </x:c>
      <x:c r="N65" s="8" t="str">
        <x:v>Left</x:v>
      </x:c>
      <x:c r="O65" s="8" t="n">
        <x:v>2</x:v>
      </x:c>
      <x:c r="P65" s="8" t="n">
        <x:v>8</x:v>
      </x:c>
      <x:c r="Q65" s="8" t="str">
        <x:v>Reset the target to its original pose; change only the prompt.</x:v>
      </x:c>
      <x:c r="R65" s="7" t="str">
        <x:v>Exact-scene control using a direct prompt supported by training episode 1100.</x:v>
      </x:c>
      <x:c r="S65" s="7"/>
    </x:row>
    <x:row r="66" ht="68" customHeight="1">
      <x:c r="A66" s="9" t="str">
        <x:v>Not collected</x:v>
      </x:c>
      <x:c r="B66" s="9" t="n">
        <x:v>64</x:v>
      </x:c>
      <x:c r="C66" s="10" t="str">
        <x:v>Move the object that is largest into the bowl.</x:v>
      </x:c>
      <x:c r="D66" s="10" t="str">
        <x:v>Bowl: empty. Table, robot-left→robot-right: P1 green block; P2 red pencil sharpener. Adjacent centers 8 cm apart; row shifted 4 cm toward robot-left; all objects fully visible and grasp paths clear.</x:v>
      </x:c>
      <x:c r="E66" s="9"/>
      <x:c r="F66" s="9" t="str">
        <x:v>1086</x:v>
      </x:c>
      <x:c r="G66" s="9" t="str">
        <x:v>MOVE green block to bowl</x:v>
      </x:c>
      <x:c r="H66" s="10"/>
      <x:c r="I66" s="9" t="str">
        <x:v>Concept/compositional transfer</x:v>
      </x:c>
      <x:c r="J66" s="9" t="str">
        <x:v>SZ-CT-LG07</x:v>
      </x:c>
      <x:c r="K66" s="9" t="str">
        <x:v>largest</x:v>
      </x:c>
      <x:c r="L66" s="9" t="str">
        <x:v>Held-out largest × green block — Move</x:v>
      </x:c>
      <x:c r="M66" s="9" t="str">
        <x:v>green block</x:v>
      </x:c>
      <x:c r="N66" s="9" t="str">
        <x:v>Left</x:v>
      </x:c>
      <x:c r="O66" s="9" t="n">
        <x:v>2</x:v>
      </x:c>
      <x:c r="P66" s="9" t="n">
        <x:v>8</x:v>
      </x:c>
      <x:c r="Q66" s="9" t="str">
        <x:v>Build the listed two-object scene and save a first-frame filename.</x:v>
      </x:c>
      <x:c r="R66" s="10" t="str">
        <x:v>Primary missing cell. Training episode 1086 contains the same target trajectory but masks the size word with a direct identity prompt.</x:v>
      </x:c>
      <x:c r="S66" s="10"/>
    </x:row>
    <x:row r="67" ht="68" customHeight="1">
      <x:c r="A67" s="8" t="str">
        <x:v>Not collected</x:v>
      </x:c>
      <x:c r="B67" s="8" t="n">
        <x:v>65</x:v>
      </x:c>
      <x:c r="C67" s="7" t="str">
        <x:v>Put the green block in the bowl.</x:v>
      </x:c>
      <x:c r="D67" s="7" t="str">
        <x:v>Bowl: empty. Table, robot-left→robot-right: P1 green block; P2 red pencil sharpener. Adjacent centers 8 cm apart; row shifted 4 cm toward robot-left; all objects fully visible and grasp paths clear.</x:v>
      </x:c>
      <x:c r="E67" s="8" t="n">
        <x:v>64</x:v>
      </x:c>
      <x:c r="F67" s="8" t="str">
        <x:v>1076</x:v>
      </x:c>
      <x:c r="G67" s="8" t="str">
        <x:v>MOVE green block to bowl</x:v>
      </x:c>
      <x:c r="H67" s="7"/>
      <x:c r="I67" s="8" t="str">
        <x:v>Matched manipulation control</x:v>
      </x:c>
      <x:c r="J67" s="8" t="str">
        <x:v>SZ-CT-LG07</x:v>
      </x:c>
      <x:c r="K67" s="8" t="str">
        <x:v>Direct</x:v>
      </x:c>
      <x:c r="L67" s="8" t="str">
        <x:v>Same-scene direct target control</x:v>
      </x:c>
      <x:c r="M67" s="8" t="str">
        <x:v>green block</x:v>
      </x:c>
      <x:c r="N67" s="8" t="str">
        <x:v>Left</x:v>
      </x:c>
      <x:c r="O67" s="8" t="n">
        <x:v>2</x:v>
      </x:c>
      <x:c r="P67" s="8" t="n">
        <x:v>8</x:v>
      </x:c>
      <x:c r="Q67" s="8" t="str">
        <x:v>Reset the target to its original pose; change only the prompt.</x:v>
      </x:c>
      <x:c r="R67" s="7" t="str">
        <x:v>Exact-scene control using a direct prompt supported by training episode 1076.</x:v>
      </x:c>
      <x:c r="S67" s="7"/>
    </x:row>
    <x:row r="68" ht="68" customHeight="1">
      <x:c r="A68" s="9" t="str">
        <x:v>Not collected</x:v>
      </x:c>
      <x:c r="B68" s="9" t="n">
        <x:v>66</x:v>
      </x:c>
      <x:c r="C68" s="10" t="str">
        <x:v>Pick up the smallest item and place it in the bowl.</x:v>
      </x:c>
      <x:c r="D68" s="10" t="str">
        <x:v>Bowl: empty. Table, robot-left→robot-right: P1 crushed Pepsi can; P2 juggling ball. Adjacent centers 12 cm apart; row shifted 4 cm toward the robot; all objects fully visible and grasp paths clear.</x:v>
      </x:c>
      <x:c r="E68" s="9"/>
      <x:c r="F68" s="9" t="str">
        <x:v>1111</x:v>
      </x:c>
      <x:c r="G68" s="9" t="str">
        <x:v>MOVE juggling ball to bowl</x:v>
      </x:c>
      <x:c r="H68" s="10"/>
      <x:c r="I68" s="9" t="str">
        <x:v>Concept/compositional transfer</x:v>
      </x:c>
      <x:c r="J68" s="9" t="str">
        <x:v>SZ-CT-SJ07</x:v>
      </x:c>
      <x:c r="K68" s="9" t="str">
        <x:v>smallest</x:v>
      </x:c>
      <x:c r="L68" s="9" t="str">
        <x:v>Held-out smallest × juggling ball — Pick up</x:v>
      </x:c>
      <x:c r="M68" s="9" t="str">
        <x:v>juggling ball</x:v>
      </x:c>
      <x:c r="N68" s="9" t="str">
        <x:v>Right</x:v>
      </x:c>
      <x:c r="O68" s="9" t="n">
        <x:v>2</x:v>
      </x:c>
      <x:c r="P68" s="9" t="n">
        <x:v>12</x:v>
      </x:c>
      <x:c r="Q68" s="9" t="str">
        <x:v>Build the listed two-object scene and save a first-frame filename.</x:v>
      </x:c>
      <x:c r="R68" s="10" t="str">
        <x:v>Primary missing cell. Training episode 1111 contains the same target trajectory but masks the size word with a direct identity prompt.</x:v>
      </x:c>
      <x:c r="S68" s="10"/>
    </x:row>
    <x:row r="69" ht="68" customHeight="1">
      <x:c r="A69" s="8" t="str">
        <x:v>Not collected</x:v>
      </x:c>
      <x:c r="B69" s="8" t="n">
        <x:v>67</x:v>
      </x:c>
      <x:c r="C69" s="7" t="str">
        <x:v>Put the juggling ball in the bowl.</x:v>
      </x:c>
      <x:c r="D69" s="7" t="str">
        <x:v>Bowl: empty. Table, robot-left→robot-right: P1 crushed Pepsi can; P2 juggling ball. Adjacent centers 12 cm apart; row shifted 4 cm toward the robot; all objects fully visible and grasp paths clear.</x:v>
      </x:c>
      <x:c r="E69" s="8" t="n">
        <x:v>66</x:v>
      </x:c>
      <x:c r="F69" s="8" t="str">
        <x:v>1101</x:v>
      </x:c>
      <x:c r="G69" s="8" t="str">
        <x:v>MOVE juggling ball to bowl</x:v>
      </x:c>
      <x:c r="H69" s="7"/>
      <x:c r="I69" s="8" t="str">
        <x:v>Matched manipulation control</x:v>
      </x:c>
      <x:c r="J69" s="8" t="str">
        <x:v>SZ-CT-SJ07</x:v>
      </x:c>
      <x:c r="K69" s="8" t="str">
        <x:v>Direct</x:v>
      </x:c>
      <x:c r="L69" s="8" t="str">
        <x:v>Same-scene direct target control</x:v>
      </x:c>
      <x:c r="M69" s="8" t="str">
        <x:v>juggling ball</x:v>
      </x:c>
      <x:c r="N69" s="8" t="str">
        <x:v>Right</x:v>
      </x:c>
      <x:c r="O69" s="8" t="n">
        <x:v>2</x:v>
      </x:c>
      <x:c r="P69" s="8" t="n">
        <x:v>12</x:v>
      </x:c>
      <x:c r="Q69" s="8" t="str">
        <x:v>Reset the target to its original pose; change only the prompt.</x:v>
      </x:c>
      <x:c r="R69" s="7" t="str">
        <x:v>Exact-scene control using a direct prompt supported by training episode 1101.</x:v>
      </x:c>
      <x:c r="S69" s="7"/>
    </x:row>
    <x:row r="70" ht="68" customHeight="1">
      <x:c r="A70" s="9" t="str">
        <x:v>Not collected</x:v>
      </x:c>
      <x:c r="B70" s="9" t="n">
        <x:v>68</x:v>
      </x:c>
      <x:c r="C70" s="10" t="str">
        <x:v>Pick up the largest item and place it in the bowl.</x:v>
      </x:c>
      <x:c r="D70" s="10" t="str">
        <x:v>Bowl: empty. Table, robot-left→robot-right: P1 red pencil sharpener; P2 green block. Adjacent centers 12 cm apart; row shifted 4 cm toward robot-right; all objects fully visible and grasp paths clear.</x:v>
      </x:c>
      <x:c r="E70" s="9"/>
      <x:c r="F70" s="9" t="str">
        <x:v>1087</x:v>
      </x:c>
      <x:c r="G70" s="9" t="str">
        <x:v>MOVE green block to bowl</x:v>
      </x:c>
      <x:c r="H70" s="10"/>
      <x:c r="I70" s="9" t="str">
        <x:v>Concept/compositional transfer</x:v>
      </x:c>
      <x:c r="J70" s="9" t="str">
        <x:v>SZ-CT-LG08</x:v>
      </x:c>
      <x:c r="K70" s="9" t="str">
        <x:v>largest</x:v>
      </x:c>
      <x:c r="L70" s="9" t="str">
        <x:v>Held-out largest × green block — Pick up</x:v>
      </x:c>
      <x:c r="M70" s="9" t="str">
        <x:v>green block</x:v>
      </x:c>
      <x:c r="N70" s="9" t="str">
        <x:v>Right</x:v>
      </x:c>
      <x:c r="O70" s="9" t="n">
        <x:v>2</x:v>
      </x:c>
      <x:c r="P70" s="9" t="n">
        <x:v>12</x:v>
      </x:c>
      <x:c r="Q70" s="9" t="str">
        <x:v>Build the listed two-object scene and save a first-frame filename.</x:v>
      </x:c>
      <x:c r="R70" s="10" t="str">
        <x:v>Primary missing cell. Training episode 1087 contains the same target trajectory but masks the size word with a direct identity prompt.</x:v>
      </x:c>
      <x:c r="S70" s="10"/>
    </x:row>
    <x:row r="71" ht="68" customHeight="1">
      <x:c r="A71" s="8" t="str">
        <x:v>Not collected</x:v>
      </x:c>
      <x:c r="B71" s="8" t="n">
        <x:v>69</x:v>
      </x:c>
      <x:c r="C71" s="7" t="str">
        <x:v>Move the green block into the bowl.</x:v>
      </x:c>
      <x:c r="D71" s="7" t="str">
        <x:v>Bowl: empty. Table, robot-left→robot-right: P1 red pencil sharpener; P2 green block. Adjacent centers 12 cm apart; row shifted 4 cm toward robot-right; all objects fully visible and grasp paths clear.</x:v>
      </x:c>
      <x:c r="E71" s="8" t="n">
        <x:v>68</x:v>
      </x:c>
      <x:c r="F71" s="8" t="str">
        <x:v>1077</x:v>
      </x:c>
      <x:c r="G71" s="8" t="str">
        <x:v>MOVE green block to bowl</x:v>
      </x:c>
      <x:c r="H71" s="7"/>
      <x:c r="I71" s="8" t="str">
        <x:v>Matched manipulation control</x:v>
      </x:c>
      <x:c r="J71" s="8" t="str">
        <x:v>SZ-CT-LG08</x:v>
      </x:c>
      <x:c r="K71" s="8" t="str">
        <x:v>Direct</x:v>
      </x:c>
      <x:c r="L71" s="8" t="str">
        <x:v>Same-scene direct target control</x:v>
      </x:c>
      <x:c r="M71" s="8" t="str">
        <x:v>green block</x:v>
      </x:c>
      <x:c r="N71" s="8" t="str">
        <x:v>Right</x:v>
      </x:c>
      <x:c r="O71" s="8" t="n">
        <x:v>2</x:v>
      </x:c>
      <x:c r="P71" s="8" t="n">
        <x:v>12</x:v>
      </x:c>
      <x:c r="Q71" s="8" t="str">
        <x:v>Reset the target to its original pose; change only the prompt.</x:v>
      </x:c>
      <x:c r="R71" s="7" t="str">
        <x:v>Exact-scene control using a direct prompt supported by training episode 1077.</x:v>
      </x:c>
      <x:c r="S71" s="7"/>
    </x:row>
    <x:row r="72" ht="68" customHeight="1">
      <x:c r="A72" s="9" t="str">
        <x:v>Not collected</x:v>
      </x:c>
      <x:c r="B72" s="9" t="n">
        <x:v>70</x:v>
      </x:c>
      <x:c r="C72" s="10" t="str">
        <x:v>Put the smallest object in the bowl.</x:v>
      </x:c>
      <x:c r="D72" s="10" t="str">
        <x:v>Bowl: empty. Table, robot-left→robot-right: P1 juggling ball; P2 crushed Pepsi can. Adjacent centers 16 cm apart; row shifted 4 cm away from the robot; all objects fully visible and grasp paths clear.</x:v>
      </x:c>
      <x:c r="E72" s="9"/>
      <x:c r="F72" s="9" t="str">
        <x:v>1112</x:v>
      </x:c>
      <x:c r="G72" s="9" t="str">
        <x:v>MOVE juggling ball to bowl</x:v>
      </x:c>
      <x:c r="H72" s="10"/>
      <x:c r="I72" s="9" t="str">
        <x:v>Concept/compositional transfer</x:v>
      </x:c>
      <x:c r="J72" s="9" t="str">
        <x:v>SZ-CT-SJ08</x:v>
      </x:c>
      <x:c r="K72" s="9" t="str">
        <x:v>smallest</x:v>
      </x:c>
      <x:c r="L72" s="9" t="str">
        <x:v>Held-out smallest × juggling ball — Put</x:v>
      </x:c>
      <x:c r="M72" s="9" t="str">
        <x:v>juggling ball</x:v>
      </x:c>
      <x:c r="N72" s="9" t="str">
        <x:v>Left</x:v>
      </x:c>
      <x:c r="O72" s="9" t="n">
        <x:v>2</x:v>
      </x:c>
      <x:c r="P72" s="9" t="n">
        <x:v>16</x:v>
      </x:c>
      <x:c r="Q72" s="9" t="str">
        <x:v>Build the listed two-object scene and save a first-frame filename.</x:v>
      </x:c>
      <x:c r="R72" s="10" t="str">
        <x:v>Primary missing cell. Training episode 1112 contains the same target trajectory but masks the size word with a direct identity prompt.</x:v>
      </x:c>
      <x:c r="S72" s="10"/>
    </x:row>
    <x:row r="73" ht="68" customHeight="1">
      <x:c r="A73" s="8" t="str">
        <x:v>Not collected</x:v>
      </x:c>
      <x:c r="B73" s="8" t="n">
        <x:v>71</x:v>
      </x:c>
      <x:c r="C73" s="7" t="str">
        <x:v>Move the juggling ball into the bowl.</x:v>
      </x:c>
      <x:c r="D73" s="7" t="str">
        <x:v>Bowl: empty. Table, robot-left→robot-right: P1 juggling ball; P2 crushed Pepsi can. Adjacent centers 16 cm apart; row shifted 4 cm away from the robot; all objects fully visible and grasp paths clear.</x:v>
      </x:c>
      <x:c r="E73" s="8" t="n">
        <x:v>70</x:v>
      </x:c>
      <x:c r="F73" s="8" t="str">
        <x:v>1102</x:v>
      </x:c>
      <x:c r="G73" s="8" t="str">
        <x:v>MOVE juggling ball to bowl</x:v>
      </x:c>
      <x:c r="H73" s="7"/>
      <x:c r="I73" s="8" t="str">
        <x:v>Matched manipulation control</x:v>
      </x:c>
      <x:c r="J73" s="8" t="str">
        <x:v>SZ-CT-SJ08</x:v>
      </x:c>
      <x:c r="K73" s="8" t="str">
        <x:v>Direct</x:v>
      </x:c>
      <x:c r="L73" s="8" t="str">
        <x:v>Same-scene direct target control</x:v>
      </x:c>
      <x:c r="M73" s="8" t="str">
        <x:v>juggling ball</x:v>
      </x:c>
      <x:c r="N73" s="8" t="str">
        <x:v>Left</x:v>
      </x:c>
      <x:c r="O73" s="8" t="n">
        <x:v>2</x:v>
      </x:c>
      <x:c r="P73" s="8" t="n">
        <x:v>16</x:v>
      </x:c>
      <x:c r="Q73" s="8" t="str">
        <x:v>Reset the target to its original pose; change only the prompt.</x:v>
      </x:c>
      <x:c r="R73" s="7" t="str">
        <x:v>Exact-scene control using a direct prompt supported by training episode 1102.</x:v>
      </x:c>
      <x:c r="S73" s="7"/>
    </x:row>
    <x:row r="74" ht="68" customHeight="1">
      <x:c r="A74" s="9" t="str">
        <x:v>Not collected</x:v>
      </x:c>
      <x:c r="B74" s="9" t="n">
        <x:v>72</x:v>
      </x:c>
      <x:c r="C74" s="10" t="str">
        <x:v>Put the largest object in the bowl.</x:v>
      </x:c>
      <x:c r="D74" s="10" t="str">
        <x:v>Bowl: empty. Table, robot-left→robot-right: P1 green block; P2 red pencil sharpener. Adjacent centers 16 cm apart; row shifted 4 cm toward the robot; all objects fully visible and grasp paths clear.</x:v>
      </x:c>
      <x:c r="E74" s="9"/>
      <x:c r="F74" s="9" t="str">
        <x:v>1088</x:v>
      </x:c>
      <x:c r="G74" s="9" t="str">
        <x:v>MOVE green block to bowl</x:v>
      </x:c>
      <x:c r="H74" s="10"/>
      <x:c r="I74" s="9" t="str">
        <x:v>Concept/compositional transfer</x:v>
      </x:c>
      <x:c r="J74" s="9" t="str">
        <x:v>SZ-CT-LG09</x:v>
      </x:c>
      <x:c r="K74" s="9" t="str">
        <x:v>largest</x:v>
      </x:c>
      <x:c r="L74" s="9" t="str">
        <x:v>Held-out largest × green block — Put</x:v>
      </x:c>
      <x:c r="M74" s="9" t="str">
        <x:v>green block</x:v>
      </x:c>
      <x:c r="N74" s="9" t="str">
        <x:v>Left</x:v>
      </x:c>
      <x:c r="O74" s="9" t="n">
        <x:v>2</x:v>
      </x:c>
      <x:c r="P74" s="9" t="n">
        <x:v>16</x:v>
      </x:c>
      <x:c r="Q74" s="9" t="str">
        <x:v>Build the listed two-object scene and save a first-frame filename.</x:v>
      </x:c>
      <x:c r="R74" s="10" t="str">
        <x:v>Primary missing cell. Training episode 1088 contains the same target trajectory but masks the size word with a direct identity prompt.</x:v>
      </x:c>
      <x:c r="S74" s="10"/>
    </x:row>
    <x:row r="75" ht="68" customHeight="1">
      <x:c r="A75" s="8" t="str">
        <x:v>Not collected</x:v>
      </x:c>
      <x:c r="B75" s="8" t="n">
        <x:v>73</x:v>
      </x:c>
      <x:c r="C75" s="7" t="str">
        <x:v>Pick up the green block and place it in the bowl.</x:v>
      </x:c>
      <x:c r="D75" s="7" t="str">
        <x:v>Bowl: empty. Table, robot-left→robot-right: P1 green block; P2 red pencil sharpener. Adjacent centers 16 cm apart; row shifted 4 cm toward the robot; all objects fully visible and grasp paths clear.</x:v>
      </x:c>
      <x:c r="E75" s="8" t="n">
        <x:v>72</x:v>
      </x:c>
      <x:c r="F75" s="8" t="str">
        <x:v>1078</x:v>
      </x:c>
      <x:c r="G75" s="8" t="str">
        <x:v>MOVE green block to bowl</x:v>
      </x:c>
      <x:c r="H75" s="7"/>
      <x:c r="I75" s="8" t="str">
        <x:v>Matched manipulation control</x:v>
      </x:c>
      <x:c r="J75" s="8" t="str">
        <x:v>SZ-CT-LG09</x:v>
      </x:c>
      <x:c r="K75" s="8" t="str">
        <x:v>Direct</x:v>
      </x:c>
      <x:c r="L75" s="8" t="str">
        <x:v>Same-scene direct target control</x:v>
      </x:c>
      <x:c r="M75" s="8" t="str">
        <x:v>green block</x:v>
      </x:c>
      <x:c r="N75" s="8" t="str">
        <x:v>Left</x:v>
      </x:c>
      <x:c r="O75" s="8" t="n">
        <x:v>2</x:v>
      </x:c>
      <x:c r="P75" s="8" t="n">
        <x:v>16</x:v>
      </x:c>
      <x:c r="Q75" s="8" t="str">
        <x:v>Reset the target to its original pose; change only the prompt.</x:v>
      </x:c>
      <x:c r="R75" s="7" t="str">
        <x:v>Exact-scene control using a direct prompt supported by training episode 1078.</x:v>
      </x:c>
      <x:c r="S75" s="7"/>
    </x:row>
    <x:row r="76" ht="68" customHeight="1">
      <x:c r="A76" s="9" t="str">
        <x:v>Not collected</x:v>
      </x:c>
      <x:c r="B76" s="9" t="n">
        <x:v>74</x:v>
      </x:c>
      <x:c r="C76" s="10" t="str">
        <x:v>Move the object that is smallest into the bowl.</x:v>
      </x:c>
      <x:c r="D76" s="10" t="str">
        <x:v>Bowl: empty. Table, robot-left→robot-right: P1 crushed Pepsi can; P2 juggling ball. Adjacent centers 8 cm apart; row centered on the workspace; all objects fully visible and grasp paths clear.</x:v>
      </x:c>
      <x:c r="E76" s="9"/>
      <x:c r="F76" s="9" t="str">
        <x:v>1113</x:v>
      </x:c>
      <x:c r="G76" s="9" t="str">
        <x:v>MOVE juggling ball to bowl</x:v>
      </x:c>
      <x:c r="H76" s="10"/>
      <x:c r="I76" s="9" t="str">
        <x:v>Concept/compositional transfer</x:v>
      </x:c>
      <x:c r="J76" s="9" t="str">
        <x:v>SZ-CT-SJ09</x:v>
      </x:c>
      <x:c r="K76" s="9" t="str">
        <x:v>smallest</x:v>
      </x:c>
      <x:c r="L76" s="9" t="str">
        <x:v>Held-out smallest × juggling ball — Move</x:v>
      </x:c>
      <x:c r="M76" s="9" t="str">
        <x:v>juggling ball</x:v>
      </x:c>
      <x:c r="N76" s="9" t="str">
        <x:v>Right</x:v>
      </x:c>
      <x:c r="O76" s="9" t="n">
        <x:v>2</x:v>
      </x:c>
      <x:c r="P76" s="9" t="n">
        <x:v>8</x:v>
      </x:c>
      <x:c r="Q76" s="9" t="str">
        <x:v>Build the listed two-object scene and save a first-frame filename.</x:v>
      </x:c>
      <x:c r="R76" s="10" t="str">
        <x:v>Primary missing cell. Training episode 1113 contains the same target trajectory but masks the size word with a direct identity prompt.</x:v>
      </x:c>
      <x:c r="S76" s="10"/>
    </x:row>
    <x:row r="77" ht="68" customHeight="1">
      <x:c r="A77" s="8" t="str">
        <x:v>Not collected</x:v>
      </x:c>
      <x:c r="B77" s="8" t="n">
        <x:v>75</x:v>
      </x:c>
      <x:c r="C77" s="7" t="str">
        <x:v>Pick up the juggling ball and place it in the bowl.</x:v>
      </x:c>
      <x:c r="D77" s="7" t="str">
        <x:v>Bowl: empty. Table, robot-left→robot-right: P1 crushed Pepsi can; P2 juggling ball. Adjacent centers 8 cm apart; row centered on the workspace; all objects fully visible and grasp paths clear.</x:v>
      </x:c>
      <x:c r="E77" s="8" t="n">
        <x:v>74</x:v>
      </x:c>
      <x:c r="F77" s="8" t="str">
        <x:v>1103</x:v>
      </x:c>
      <x:c r="G77" s="8" t="str">
        <x:v>MOVE juggling ball to bowl</x:v>
      </x:c>
      <x:c r="H77" s="7"/>
      <x:c r="I77" s="8" t="str">
        <x:v>Matched manipulation control</x:v>
      </x:c>
      <x:c r="J77" s="8" t="str">
        <x:v>SZ-CT-SJ09</x:v>
      </x:c>
      <x:c r="K77" s="8" t="str">
        <x:v>Direct</x:v>
      </x:c>
      <x:c r="L77" s="8" t="str">
        <x:v>Same-scene direct target control</x:v>
      </x:c>
      <x:c r="M77" s="8" t="str">
        <x:v>juggling ball</x:v>
      </x:c>
      <x:c r="N77" s="8" t="str">
        <x:v>Right</x:v>
      </x:c>
      <x:c r="O77" s="8" t="n">
        <x:v>2</x:v>
      </x:c>
      <x:c r="P77" s="8" t="n">
        <x:v>8</x:v>
      </x:c>
      <x:c r="Q77" s="8" t="str">
        <x:v>Reset the target to its original pose; change only the prompt.</x:v>
      </x:c>
      <x:c r="R77" s="7" t="str">
        <x:v>Exact-scene control using a direct prompt supported by training episode 1103.</x:v>
      </x:c>
      <x:c r="S77" s="7"/>
    </x:row>
    <x:row r="78" ht="68" customHeight="1">
      <x:c r="A78" s="9" t="str">
        <x:v>Not collected</x:v>
      </x:c>
      <x:c r="B78" s="9" t="n">
        <x:v>76</x:v>
      </x:c>
      <x:c r="C78" s="10" t="str">
        <x:v>Move the object that is largest into the bowl.</x:v>
      </x:c>
      <x:c r="D78" s="10" t="str">
        <x:v>Bowl: empty. Table, robot-left→robot-right: P1 red pencil sharpener; P2 green block. Adjacent centers 8 cm apart; row shifted 4 cm away from the robot; all objects fully visible and grasp paths clear.</x:v>
      </x:c>
      <x:c r="E78" s="9"/>
      <x:c r="F78" s="9" t="str">
        <x:v>1089</x:v>
      </x:c>
      <x:c r="G78" s="9" t="str">
        <x:v>MOVE green block to bowl</x:v>
      </x:c>
      <x:c r="H78" s="10"/>
      <x:c r="I78" s="9" t="str">
        <x:v>Concept/compositional transfer</x:v>
      </x:c>
      <x:c r="J78" s="9" t="str">
        <x:v>SZ-CT-LG10</x:v>
      </x:c>
      <x:c r="K78" s="9" t="str">
        <x:v>largest</x:v>
      </x:c>
      <x:c r="L78" s="9" t="str">
        <x:v>Held-out largest × green block — Move</x:v>
      </x:c>
      <x:c r="M78" s="9" t="str">
        <x:v>green block</x:v>
      </x:c>
      <x:c r="N78" s="9" t="str">
        <x:v>Right</x:v>
      </x:c>
      <x:c r="O78" s="9" t="n">
        <x:v>2</x:v>
      </x:c>
      <x:c r="P78" s="9" t="n">
        <x:v>8</x:v>
      </x:c>
      <x:c r="Q78" s="9" t="str">
        <x:v>Build the listed two-object scene and save a first-frame filename.</x:v>
      </x:c>
      <x:c r="R78" s="10" t="str">
        <x:v>Primary missing cell. Training episode 1089 contains the same target trajectory but masks the size word with a direct identity prompt.</x:v>
      </x:c>
      <x:c r="S78" s="10"/>
    </x:row>
    <x:row r="79" ht="68" customHeight="1">
      <x:c r="A79" s="8" t="str">
        <x:v>Not collected</x:v>
      </x:c>
      <x:c r="B79" s="8" t="n">
        <x:v>77</x:v>
      </x:c>
      <x:c r="C79" s="7" t="str">
        <x:v>Put the green block in the bowl.</x:v>
      </x:c>
      <x:c r="D79" s="7" t="str">
        <x:v>Bowl: empty. Table, robot-left→robot-right: P1 red pencil sharpener; P2 green block. Adjacent centers 8 cm apart; row shifted 4 cm away from the robot; all objects fully visible and grasp paths clear.</x:v>
      </x:c>
      <x:c r="E79" s="8" t="n">
        <x:v>76</x:v>
      </x:c>
      <x:c r="F79" s="8" t="str">
        <x:v>1079</x:v>
      </x:c>
      <x:c r="G79" s="8" t="str">
        <x:v>MOVE green block to bowl</x:v>
      </x:c>
      <x:c r="H79" s="7"/>
      <x:c r="I79" s="8" t="str">
        <x:v>Matched manipulation control</x:v>
      </x:c>
      <x:c r="J79" s="8" t="str">
        <x:v>SZ-CT-LG10</x:v>
      </x:c>
      <x:c r="K79" s="8" t="str">
        <x:v>Direct</x:v>
      </x:c>
      <x:c r="L79" s="8" t="str">
        <x:v>Same-scene direct target control</x:v>
      </x:c>
      <x:c r="M79" s="8" t="str">
        <x:v>green block</x:v>
      </x:c>
      <x:c r="N79" s="8" t="str">
        <x:v>Right</x:v>
      </x:c>
      <x:c r="O79" s="8" t="n">
        <x:v>2</x:v>
      </x:c>
      <x:c r="P79" s="8" t="n">
        <x:v>8</x:v>
      </x:c>
      <x:c r="Q79" s="8" t="str">
        <x:v>Reset the target to its original pose; change only the prompt.</x:v>
      </x:c>
      <x:c r="R79" s="7" t="str">
        <x:v>Exact-scene control using a direct prompt supported by training episode 1079.</x:v>
      </x:c>
      <x:c r="S79" s="7"/>
    </x:row>
    <x:row r="80" ht="68" customHeight="1">
      <x:c r="A80" s="9" t="str">
        <x:v>Not collected</x:v>
      </x:c>
      <x:c r="B80" s="9" t="n">
        <x:v>78</x:v>
      </x:c>
      <x:c r="C80" s="10" t="str">
        <x:v>Pick up the smallest item and place it in the bowl.</x:v>
      </x:c>
      <x:c r="D80" s="10" t="str">
        <x:v>Bowl: empty. Table, robot-left→robot-right: P1 juggling ball; P2 crushed Pepsi can. Adjacent centers 12 cm apart; row shifted 4 cm toward robot-left; all objects fully visible and grasp paths clear.</x:v>
      </x:c>
      <x:c r="E80" s="9"/>
      <x:c r="F80" s="9" t="str">
        <x:v>1114</x:v>
      </x:c>
      <x:c r="G80" s="9" t="str">
        <x:v>MOVE juggling ball to bowl</x:v>
      </x:c>
      <x:c r="H80" s="10"/>
      <x:c r="I80" s="9" t="str">
        <x:v>Concept/compositional transfer</x:v>
      </x:c>
      <x:c r="J80" s="9" t="str">
        <x:v>SZ-CT-SJ10</x:v>
      </x:c>
      <x:c r="K80" s="9" t="str">
        <x:v>smallest</x:v>
      </x:c>
      <x:c r="L80" s="9" t="str">
        <x:v>Held-out smallest × juggling ball — Pick up</x:v>
      </x:c>
      <x:c r="M80" s="9" t="str">
        <x:v>juggling ball</x:v>
      </x:c>
      <x:c r="N80" s="9" t="str">
        <x:v>Left</x:v>
      </x:c>
      <x:c r="O80" s="9" t="n">
        <x:v>2</x:v>
      </x:c>
      <x:c r="P80" s="9" t="n">
        <x:v>12</x:v>
      </x:c>
      <x:c r="Q80" s="9" t="str">
        <x:v>Build the listed two-object scene and save a first-frame filename.</x:v>
      </x:c>
      <x:c r="R80" s="10" t="str">
        <x:v>Primary missing cell. Training episode 1114 contains the same target trajectory but masks the size word with a direct identity prompt.</x:v>
      </x:c>
      <x:c r="S80" s="10"/>
    </x:row>
    <x:row r="81" ht="68" customHeight="1">
      <x:c r="A81" s="8" t="str">
        <x:v>Not collected</x:v>
      </x:c>
      <x:c r="B81" s="8" t="n">
        <x:v>79</x:v>
      </x:c>
      <x:c r="C81" s="7" t="str">
        <x:v>Put the juggling ball in the bowl.</x:v>
      </x:c>
      <x:c r="D81" s="7" t="str">
        <x:v>Bowl: empty. Table, robot-left→robot-right: P1 juggling ball; P2 crushed Pepsi can. Adjacent centers 12 cm apart; row shifted 4 cm toward robot-left; all objects fully visible and grasp paths clear.</x:v>
      </x:c>
      <x:c r="E81" s="8" t="n">
        <x:v>78</x:v>
      </x:c>
      <x:c r="F81" s="8" t="str">
        <x:v>1104</x:v>
      </x:c>
      <x:c r="G81" s="8" t="str">
        <x:v>MOVE juggling ball to bowl</x:v>
      </x:c>
      <x:c r="H81" s="7"/>
      <x:c r="I81" s="8" t="str">
        <x:v>Matched manipulation control</x:v>
      </x:c>
      <x:c r="J81" s="8" t="str">
        <x:v>SZ-CT-SJ10</x:v>
      </x:c>
      <x:c r="K81" s="8" t="str">
        <x:v>Direct</x:v>
      </x:c>
      <x:c r="L81" s="8" t="str">
        <x:v>Same-scene direct target control</x:v>
      </x:c>
      <x:c r="M81" s="8" t="str">
        <x:v>juggling ball</x:v>
      </x:c>
      <x:c r="N81" s="8" t="str">
        <x:v>Left</x:v>
      </x:c>
      <x:c r="O81" s="8" t="n">
        <x:v>2</x:v>
      </x:c>
      <x:c r="P81" s="8" t="n">
        <x:v>12</x:v>
      </x:c>
      <x:c r="Q81" s="8" t="str">
        <x:v>Reset the target to its original pose; change only the prompt.</x:v>
      </x:c>
      <x:c r="R81" s="7" t="str">
        <x:v>Exact-scene control using a direct prompt supported by training episode 1104.</x:v>
      </x:c>
      <x:c r="S81" s="7"/>
    </x:row>
    <x:row r="82" ht="68" customHeight="1">
      <x:c r="A82" s="9" t="str">
        <x:v>Not collected</x:v>
      </x:c>
      <x:c r="B82" s="9" t="n">
        <x:v>80</x:v>
      </x:c>
      <x:c r="C82" s="10" t="str">
        <x:v>Pick up the largest item and place it in the bowl.</x:v>
      </x:c>
      <x:c r="D82" s="10" t="str">
        <x:v>Bowl: empty. Table, robot-left→robot-right: P1 green block; P2 red pencil sharpener. Adjacent centers 12 cm apart; row centered on the workspace; all objects fully visible and grasp paths clear.</x:v>
      </x:c>
      <x:c r="E82" s="9"/>
      <x:c r="F82" s="9" t="str">
        <x:v>1090</x:v>
      </x:c>
      <x:c r="G82" s="9" t="str">
        <x:v>MOVE green block to bowl</x:v>
      </x:c>
      <x:c r="H82" s="10"/>
      <x:c r="I82" s="9" t="str">
        <x:v>Concept/compositional transfer</x:v>
      </x:c>
      <x:c r="J82" s="9" t="str">
        <x:v>SZ-CT-LG11</x:v>
      </x:c>
      <x:c r="K82" s="9" t="str">
        <x:v>largest</x:v>
      </x:c>
      <x:c r="L82" s="9" t="str">
        <x:v>Held-out largest × green block — Pick up</x:v>
      </x:c>
      <x:c r="M82" s="9" t="str">
        <x:v>green block</x:v>
      </x:c>
      <x:c r="N82" s="9" t="str">
        <x:v>Left</x:v>
      </x:c>
      <x:c r="O82" s="9" t="n">
        <x:v>2</x:v>
      </x:c>
      <x:c r="P82" s="9" t="n">
        <x:v>12</x:v>
      </x:c>
      <x:c r="Q82" s="9" t="str">
        <x:v>Build the listed two-object scene and save a first-frame filename.</x:v>
      </x:c>
      <x:c r="R82" s="10" t="str">
        <x:v>Primary missing cell. Training episode 1090 contains the same target trajectory but masks the size word with a direct identity prompt.</x:v>
      </x:c>
      <x:c r="S82" s="10"/>
    </x:row>
    <x:row r="83" ht="68" customHeight="1">
      <x:c r="A83" s="9" t="str">
        <x:v>Not collected</x:v>
      </x:c>
      <x:c r="B83" s="9" t="n">
        <x:v>81</x:v>
      </x:c>
      <x:c r="C83" s="10" t="str">
        <x:v>Put the smallest object in the bowl.</x:v>
      </x:c>
      <x:c r="D83" s="10" t="str">
        <x:v>Bowl: empty. Table, robot-left→robot-right: P1 crushed Pepsi can; P2 juggling ball. Adjacent centers 16 cm apart; row shifted 4 cm toward robot-right; all objects fully visible and grasp paths clear.</x:v>
      </x:c>
      <x:c r="E83" s="9"/>
      <x:c r="F83" s="9" t="str">
        <x:v>1115</x:v>
      </x:c>
      <x:c r="G83" s="9" t="str">
        <x:v>MOVE juggling ball to bowl</x:v>
      </x:c>
      <x:c r="H83" s="10"/>
      <x:c r="I83" s="9" t="str">
        <x:v>Concept/compositional transfer</x:v>
      </x:c>
      <x:c r="J83" s="9" t="str">
        <x:v>SZ-CT-SJ11</x:v>
      </x:c>
      <x:c r="K83" s="9" t="str">
        <x:v>smallest</x:v>
      </x:c>
      <x:c r="L83" s="9" t="str">
        <x:v>Held-out smallest × juggling ball — Put</x:v>
      </x:c>
      <x:c r="M83" s="9" t="str">
        <x:v>juggling ball</x:v>
      </x:c>
      <x:c r="N83" s="9" t="str">
        <x:v>Right</x:v>
      </x:c>
      <x:c r="O83" s="9" t="n">
        <x:v>2</x:v>
      </x:c>
      <x:c r="P83" s="9" t="n">
        <x:v>16</x:v>
      </x:c>
      <x:c r="Q83" s="9" t="str">
        <x:v>Build the listed two-object scene and save a first-frame filename.</x:v>
      </x:c>
      <x:c r="R83" s="10" t="str">
        <x:v>Primary missing cell. Training episode 1115 contains the same target trajectory but masks the size word with a direct identity prompt.</x:v>
      </x:c>
      <x:c r="S83" s="10"/>
    </x:row>
    <x:row r="84" ht="68" customHeight="1">
      <x:c r="A84" s="9" t="str">
        <x:v>Not collected</x:v>
      </x:c>
      <x:c r="B84" s="9" t="n">
        <x:v>82</x:v>
      </x:c>
      <x:c r="C84" s="10" t="str">
        <x:v>Put the largest object in the bowl.</x:v>
      </x:c>
      <x:c r="D84" s="10" t="str">
        <x:v>Bowl: empty. Table, robot-left→robot-right: P1 red pencil sharpener; P2 green block. Adjacent centers 16 cm apart; row shifted 4 cm toward robot-left; all objects fully visible and grasp paths clear.</x:v>
      </x:c>
      <x:c r="E84" s="9"/>
      <x:c r="F84" s="9" t="str">
        <x:v>1091</x:v>
      </x:c>
      <x:c r="G84" s="9" t="str">
        <x:v>MOVE green block to bowl</x:v>
      </x:c>
      <x:c r="H84" s="10"/>
      <x:c r="I84" s="9" t="str">
        <x:v>Concept/compositional transfer</x:v>
      </x:c>
      <x:c r="J84" s="9" t="str">
        <x:v>SZ-CT-LG12</x:v>
      </x:c>
      <x:c r="K84" s="9" t="str">
        <x:v>largest</x:v>
      </x:c>
      <x:c r="L84" s="9" t="str">
        <x:v>Held-out largest × green block — Put</x:v>
      </x:c>
      <x:c r="M84" s="9" t="str">
        <x:v>green block</x:v>
      </x:c>
      <x:c r="N84" s="9" t="str">
        <x:v>Right</x:v>
      </x:c>
      <x:c r="O84" s="9" t="n">
        <x:v>2</x:v>
      </x:c>
      <x:c r="P84" s="9" t="n">
        <x:v>16</x:v>
      </x:c>
      <x:c r="Q84" s="9" t="str">
        <x:v>Build the listed two-object scene and save a first-frame filename.</x:v>
      </x:c>
      <x:c r="R84" s="10" t="str">
        <x:v>Primary missing cell. Training episode 1091 contains the same target trajectory but masks the size word with a direct identity prompt.</x:v>
      </x:c>
      <x:c r="S84" s="10"/>
    </x:row>
    <x:row r="85" ht="68" customHeight="1">
      <x:c r="A85" s="9" t="str">
        <x:v>Not collected</x:v>
      </x:c>
      <x:c r="B85" s="9" t="n">
        <x:v>83</x:v>
      </x:c>
      <x:c r="C85" s="10" t="str">
        <x:v>Move the object that is smallest into the bowl.</x:v>
      </x:c>
      <x:c r="D85" s="10" t="str">
        <x:v>Bowl: empty. Table, robot-left→robot-right: P1 juggling ball; P2 crushed Pepsi can. Adjacent centers 8 cm apart; row shifted 4 cm toward the robot; all objects fully visible and grasp paths clear.</x:v>
      </x:c>
      <x:c r="E85" s="9"/>
      <x:c r="F85" s="9" t="str">
        <x:v>1116</x:v>
      </x:c>
      <x:c r="G85" s="9" t="str">
        <x:v>MOVE juggling ball to bowl</x:v>
      </x:c>
      <x:c r="H85" s="10"/>
      <x:c r="I85" s="9" t="str">
        <x:v>Concept/compositional transfer</x:v>
      </x:c>
      <x:c r="J85" s="9" t="str">
        <x:v>SZ-CT-SJ12</x:v>
      </x:c>
      <x:c r="K85" s="9" t="str">
        <x:v>smallest</x:v>
      </x:c>
      <x:c r="L85" s="9" t="str">
        <x:v>Held-out smallest × juggling ball — Move</x:v>
      </x:c>
      <x:c r="M85" s="9" t="str">
        <x:v>juggling ball</x:v>
      </x:c>
      <x:c r="N85" s="9" t="str">
        <x:v>Left</x:v>
      </x:c>
      <x:c r="O85" s="9" t="n">
        <x:v>2</x:v>
      </x:c>
      <x:c r="P85" s="9" t="n">
        <x:v>8</x:v>
      </x:c>
      <x:c r="Q85" s="9" t="str">
        <x:v>Build the listed two-object scene and save a first-frame filename.</x:v>
      </x:c>
      <x:c r="R85" s="10" t="str">
        <x:v>Primary missing cell. Training episode 1116 contains the same target trajectory but masks the size word with a direct identity prompt.</x:v>
      </x:c>
      <x:c r="S85" s="10"/>
    </x:row>
    <x:row r="86" ht="68" customHeight="1">
      <x:c r="A86" s="9" t="str">
        <x:v>Not collected</x:v>
      </x:c>
      <x:c r="B86" s="9" t="n">
        <x:v>84</x:v>
      </x:c>
      <x:c r="C86" s="10" t="str">
        <x:v>Move the object that is largest into the bowl.</x:v>
      </x:c>
      <x:c r="D86" s="10" t="str">
        <x:v>Bowl: empty. Table, robot-left→robot-right: P1 green block; P2 red pencil sharpener. Adjacent centers 8 cm apart; row shifted 4 cm toward robot-right; all objects fully visible and grasp paths clear.</x:v>
      </x:c>
      <x:c r="E86" s="9"/>
      <x:c r="F86" s="9" t="str">
        <x:v>1092</x:v>
      </x:c>
      <x:c r="G86" s="9" t="str">
        <x:v>MOVE green block to bowl</x:v>
      </x:c>
      <x:c r="H86" s="10"/>
      <x:c r="I86" s="9" t="str">
        <x:v>Concept/compositional transfer</x:v>
      </x:c>
      <x:c r="J86" s="9" t="str">
        <x:v>SZ-CT-LG13</x:v>
      </x:c>
      <x:c r="K86" s="9" t="str">
        <x:v>largest</x:v>
      </x:c>
      <x:c r="L86" s="9" t="str">
        <x:v>Held-out largest × green block — Move</x:v>
      </x:c>
      <x:c r="M86" s="9" t="str">
        <x:v>green block</x:v>
      </x:c>
      <x:c r="N86" s="9" t="str">
        <x:v>Left</x:v>
      </x:c>
      <x:c r="O86" s="9" t="n">
        <x:v>2</x:v>
      </x:c>
      <x:c r="P86" s="9" t="n">
        <x:v>8</x:v>
      </x:c>
      <x:c r="Q86" s="9" t="str">
        <x:v>Build the listed two-object scene and save a first-frame filename.</x:v>
      </x:c>
      <x:c r="R86" s="10" t="str">
        <x:v>Primary missing cell. Training episode 1092 contains the same target trajectory but masks the size word with a direct identity prompt.</x:v>
      </x:c>
      <x:c r="S86" s="10"/>
    </x:row>
    <x:row r="87" ht="68" customHeight="1">
      <x:c r="A87" s="9" t="str">
        <x:v>Not collected</x:v>
      </x:c>
      <x:c r="B87" s="9" t="n">
        <x:v>85</x:v>
      </x:c>
      <x:c r="C87" s="10" t="str">
        <x:v>Pick up the smallest item and place it in the bowl.</x:v>
      </x:c>
      <x:c r="D87" s="10" t="str">
        <x:v>Bowl: empty. Table, robot-left→robot-right: P1 crushed Pepsi can; P2 juggling ball. Adjacent centers 12 cm apart; row shifted 4 cm away from the robot; all objects fully visible and grasp paths clear.</x:v>
      </x:c>
      <x:c r="E87" s="9"/>
      <x:c r="F87" s="9" t="str">
        <x:v>1117</x:v>
      </x:c>
      <x:c r="G87" s="9" t="str">
        <x:v>MOVE juggling ball to bowl</x:v>
      </x:c>
      <x:c r="H87" s="10"/>
      <x:c r="I87" s="9" t="str">
        <x:v>Concept/compositional transfer</x:v>
      </x:c>
      <x:c r="J87" s="9" t="str">
        <x:v>SZ-CT-SJ13</x:v>
      </x:c>
      <x:c r="K87" s="9" t="str">
        <x:v>smallest</x:v>
      </x:c>
      <x:c r="L87" s="9" t="str">
        <x:v>Held-out smallest × juggling ball — Pick up</x:v>
      </x:c>
      <x:c r="M87" s="9" t="str">
        <x:v>juggling ball</x:v>
      </x:c>
      <x:c r="N87" s="9" t="str">
        <x:v>Right</x:v>
      </x:c>
      <x:c r="O87" s="9" t="n">
        <x:v>2</x:v>
      </x:c>
      <x:c r="P87" s="9" t="n">
        <x:v>12</x:v>
      </x:c>
      <x:c r="Q87" s="9" t="str">
        <x:v>Build the listed two-object scene and save a first-frame filename.</x:v>
      </x:c>
      <x:c r="R87" s="10" t="str">
        <x:v>Primary missing cell. Training episode 1117 contains the same target trajectory but masks the size word with a direct identity prompt.</x:v>
      </x:c>
      <x:c r="S87" s="10"/>
    </x:row>
    <x:row r="88" ht="68" customHeight="1">
      <x:c r="A88" s="9" t="str">
        <x:v>Not collected</x:v>
      </x:c>
      <x:c r="B88" s="9" t="n">
        <x:v>86</x:v>
      </x:c>
      <x:c r="C88" s="10" t="str">
        <x:v>Pick up the largest item and place it in the bowl.</x:v>
      </x:c>
      <x:c r="D88" s="10" t="str">
        <x:v>Bowl: empty. Table, robot-left→robot-right: P1 red pencil sharpener; P2 green block. Adjacent centers 12 cm apart; row shifted 4 cm toward the robot; all objects fully visible and grasp paths clear.</x:v>
      </x:c>
      <x:c r="E88" s="9"/>
      <x:c r="F88" s="9" t="str">
        <x:v>1093</x:v>
      </x:c>
      <x:c r="G88" s="9" t="str">
        <x:v>MOVE green block to bowl</x:v>
      </x:c>
      <x:c r="H88" s="10"/>
      <x:c r="I88" s="9" t="str">
        <x:v>Concept/compositional transfer</x:v>
      </x:c>
      <x:c r="J88" s="9" t="str">
        <x:v>SZ-CT-LG14</x:v>
      </x:c>
      <x:c r="K88" s="9" t="str">
        <x:v>largest</x:v>
      </x:c>
      <x:c r="L88" s="9" t="str">
        <x:v>Held-out largest × green block — Pick up</x:v>
      </x:c>
      <x:c r="M88" s="9" t="str">
        <x:v>green block</x:v>
      </x:c>
      <x:c r="N88" s="9" t="str">
        <x:v>Right</x:v>
      </x:c>
      <x:c r="O88" s="9" t="n">
        <x:v>2</x:v>
      </x:c>
      <x:c r="P88" s="9" t="n">
        <x:v>12</x:v>
      </x:c>
      <x:c r="Q88" s="9" t="str">
        <x:v>Build the listed two-object scene and save a first-frame filename.</x:v>
      </x:c>
      <x:c r="R88" s="10" t="str">
        <x:v>Primary missing cell. Training episode 1093 contains the same target trajectory but masks the size word with a direct identity prompt.</x:v>
      </x:c>
      <x:c r="S88" s="10"/>
    </x:row>
    <x:row r="89" ht="68" customHeight="1">
      <x:c r="A89" s="9" t="str">
        <x:v>Not collected</x:v>
      </x:c>
      <x:c r="B89" s="9" t="n">
        <x:v>87</x:v>
      </x:c>
      <x:c r="C89" s="10" t="str">
        <x:v>Put the smallest object in the bowl.</x:v>
      </x:c>
      <x:c r="D89" s="10" t="str">
        <x:v>Bowl: empty. Table, robot-left→robot-right: P1 juggling ball; P2 crushed Pepsi can. Adjacent centers 16 cm apart; row centered on the workspace; all objects fully visible and grasp paths clear.</x:v>
      </x:c>
      <x:c r="E89" s="9"/>
      <x:c r="F89" s="9" t="str">
        <x:v>1118</x:v>
      </x:c>
      <x:c r="G89" s="9" t="str">
        <x:v>MOVE juggling ball to bowl</x:v>
      </x:c>
      <x:c r="H89" s="10"/>
      <x:c r="I89" s="9" t="str">
        <x:v>Concept/compositional transfer</x:v>
      </x:c>
      <x:c r="J89" s="9" t="str">
        <x:v>SZ-CT-SJ14</x:v>
      </x:c>
      <x:c r="K89" s="9" t="str">
        <x:v>smallest</x:v>
      </x:c>
      <x:c r="L89" s="9" t="str">
        <x:v>Held-out smallest × juggling ball — Put</x:v>
      </x:c>
      <x:c r="M89" s="9" t="str">
        <x:v>juggling ball</x:v>
      </x:c>
      <x:c r="N89" s="9" t="str">
        <x:v>Left</x:v>
      </x:c>
      <x:c r="O89" s="9" t="n">
        <x:v>2</x:v>
      </x:c>
      <x:c r="P89" s="9" t="n">
        <x:v>16</x:v>
      </x:c>
      <x:c r="Q89" s="9" t="str">
        <x:v>Build the listed two-object scene and save a first-frame filename.</x:v>
      </x:c>
      <x:c r="R89" s="10" t="str">
        <x:v>Primary missing cell. Training episode 1118 contains the same target trajectory but masks the size word with a direct identity prompt.</x:v>
      </x:c>
      <x:c r="S89" s="10"/>
    </x:row>
    <x:row r="90" ht="68" customHeight="1">
      <x:c r="A90" s="9" t="str">
        <x:v>Not collected</x:v>
      </x:c>
      <x:c r="B90" s="9" t="n">
        <x:v>88</x:v>
      </x:c>
      <x:c r="C90" s="10" t="str">
        <x:v>Put the largest object in the bowl.</x:v>
      </x:c>
      <x:c r="D90" s="10" t="str">
        <x:v>Bowl: empty. Table, robot-left→robot-right: P1 green block; P2 red pencil sharpener. Adjacent centers 16 cm apart; row shifted 4 cm away from the robot; all objects fully visible and grasp paths clear.</x:v>
      </x:c>
      <x:c r="E90" s="9"/>
      <x:c r="F90" s="9" t="str">
        <x:v>1094</x:v>
      </x:c>
      <x:c r="G90" s="9" t="str">
        <x:v>MOVE green block to bowl</x:v>
      </x:c>
      <x:c r="H90" s="10"/>
      <x:c r="I90" s="9" t="str">
        <x:v>Concept/compositional transfer</x:v>
      </x:c>
      <x:c r="J90" s="9" t="str">
        <x:v>SZ-CT-LG15</x:v>
      </x:c>
      <x:c r="K90" s="9" t="str">
        <x:v>largest</x:v>
      </x:c>
      <x:c r="L90" s="9" t="str">
        <x:v>Held-out largest × green block — Put</x:v>
      </x:c>
      <x:c r="M90" s="9" t="str">
        <x:v>green block</x:v>
      </x:c>
      <x:c r="N90" s="9" t="str">
        <x:v>Left</x:v>
      </x:c>
      <x:c r="O90" s="9" t="n">
        <x:v>2</x:v>
      </x:c>
      <x:c r="P90" s="9" t="n">
        <x:v>16</x:v>
      </x:c>
      <x:c r="Q90" s="9" t="str">
        <x:v>Build the listed two-object scene and save a first-frame filename.</x:v>
      </x:c>
      <x:c r="R90" s="10" t="str">
        <x:v>Primary missing cell. Training episode 1094 contains the same target trajectory but masks the size word with a direct identity prompt.</x:v>
      </x:c>
      <x:c r="S90" s="10"/>
    </x:row>
    <x:row r="91" ht="68" customHeight="1">
      <x:c r="A91" s="9" t="str">
        <x:v>Not collected</x:v>
      </x:c>
      <x:c r="B91" s="9" t="n">
        <x:v>89</x:v>
      </x:c>
      <x:c r="C91" s="10" t="str">
        <x:v>Move the object that is smallest into the bowl.</x:v>
      </x:c>
      <x:c r="D91" s="10" t="str">
        <x:v>Bowl: empty. Table, robot-left→robot-right: P1 crushed Pepsi can; P2 juggling ball. Adjacent centers 8 cm apart; row shifted 4 cm toward robot-left; all objects fully visible and grasp paths clear.</x:v>
      </x:c>
      <x:c r="E91" s="9"/>
      <x:c r="F91" s="9" t="str">
        <x:v>1119</x:v>
      </x:c>
      <x:c r="G91" s="9" t="str">
        <x:v>MOVE juggling ball to bowl</x:v>
      </x:c>
      <x:c r="H91" s="10"/>
      <x:c r="I91" s="9" t="str">
        <x:v>Concept/compositional transfer</x:v>
      </x:c>
      <x:c r="J91" s="9" t="str">
        <x:v>SZ-CT-SJ15</x:v>
      </x:c>
      <x:c r="K91" s="9" t="str">
        <x:v>smallest</x:v>
      </x:c>
      <x:c r="L91" s="9" t="str">
        <x:v>Held-out smallest × juggling ball — Move</x:v>
      </x:c>
      <x:c r="M91" s="9" t="str">
        <x:v>juggling ball</x:v>
      </x:c>
      <x:c r="N91" s="9" t="str">
        <x:v>Right</x:v>
      </x:c>
      <x:c r="O91" s="9" t="n">
        <x:v>2</x:v>
      </x:c>
      <x:c r="P91" s="9" t="n">
        <x:v>8</x:v>
      </x:c>
      <x:c r="Q91" s="9" t="str">
        <x:v>Build the listed two-object scene and save a first-frame filename.</x:v>
      </x:c>
      <x:c r="R91" s="10" t="str">
        <x:v>Primary missing cell. Training episode 1119 contains the same target trajectory but masks the size word with a direct identity prompt.</x:v>
      </x:c>
      <x:c r="S91" s="10"/>
    </x:row>
    <x:row r="92" ht="68" customHeight="1">
      <x:c r="A92" s="9" t="str">
        <x:v>Not collected</x:v>
      </x:c>
      <x:c r="B92" s="9" t="n">
        <x:v>90</x:v>
      </x:c>
      <x:c r="C92" s="10" t="str">
        <x:v>Move the object that is largest into the bowl.</x:v>
      </x:c>
      <x:c r="D92" s="10" t="str">
        <x:v>Bowl: empty. Table, robot-left→robot-right: P1 red pencil sharpener; P2 green block. Adjacent centers 8 cm apart; row centered on the workspace; all objects fully visible and grasp paths clear.</x:v>
      </x:c>
      <x:c r="E92" s="9"/>
      <x:c r="F92" s="9" t="str">
        <x:v>1095</x:v>
      </x:c>
      <x:c r="G92" s="9" t="str">
        <x:v>MOVE green block to bowl</x:v>
      </x:c>
      <x:c r="H92" s="10"/>
      <x:c r="I92" s="9" t="str">
        <x:v>Concept/compositional transfer</x:v>
      </x:c>
      <x:c r="J92" s="9" t="str">
        <x:v>SZ-CT-LG16</x:v>
      </x:c>
      <x:c r="K92" s="9" t="str">
        <x:v>largest</x:v>
      </x:c>
      <x:c r="L92" s="9" t="str">
        <x:v>Held-out largest × green block — Move</x:v>
      </x:c>
      <x:c r="M92" s="9" t="str">
        <x:v>green block</x:v>
      </x:c>
      <x:c r="N92" s="9" t="str">
        <x:v>Right</x:v>
      </x:c>
      <x:c r="O92" s="9" t="n">
        <x:v>2</x:v>
      </x:c>
      <x:c r="P92" s="9" t="n">
        <x:v>8</x:v>
      </x:c>
      <x:c r="Q92" s="9" t="str">
        <x:v>Build the listed two-object scene and save a first-frame filename.</x:v>
      </x:c>
      <x:c r="R92" s="10" t="str">
        <x:v>Primary missing cell. Training episode 1095 contains the same target trajectory but masks the size word with a direct identity prompt.</x:v>
      </x:c>
      <x:c r="S92" s="10"/>
    </x:row>
    <x:row r="93" ht="68" customHeight="1">
      <x:c r="A93" s="9" t="str">
        <x:v>Not collected</x:v>
      </x:c>
      <x:c r="B93" s="9" t="n">
        <x:v>91</x:v>
      </x:c>
      <x:c r="C93" s="10" t="str">
        <x:v>Pick up the smallest item and place it in the bowl.</x:v>
      </x:c>
      <x:c r="D93" s="10" t="str">
        <x:v>Bowl: empty. Table, robot-left→robot-right: P1 juggling ball; P2 crushed Pepsi can. Adjacent centers 12 cm apart; row shifted 4 cm toward robot-right; all objects fully visible and grasp paths clear.</x:v>
      </x:c>
      <x:c r="E93" s="9"/>
      <x:c r="F93" s="9" t="str">
        <x:v>1120</x:v>
      </x:c>
      <x:c r="G93" s="9" t="str">
        <x:v>MOVE juggling ball to bowl</x:v>
      </x:c>
      <x:c r="H93" s="10"/>
      <x:c r="I93" s="9" t="str">
        <x:v>Concept/compositional transfer</x:v>
      </x:c>
      <x:c r="J93" s="9" t="str">
        <x:v>SZ-CT-SJ16</x:v>
      </x:c>
      <x:c r="K93" s="9" t="str">
        <x:v>smallest</x:v>
      </x:c>
      <x:c r="L93" s="9" t="str">
        <x:v>Held-out smallest × juggling ball — Pick up</x:v>
      </x:c>
      <x:c r="M93" s="9" t="str">
        <x:v>juggling ball</x:v>
      </x:c>
      <x:c r="N93" s="9" t="str">
        <x:v>Left</x:v>
      </x:c>
      <x:c r="O93" s="9" t="n">
        <x:v>2</x:v>
      </x:c>
      <x:c r="P93" s="9" t="n">
        <x:v>12</x:v>
      </x:c>
      <x:c r="Q93" s="9" t="str">
        <x:v>Build the listed two-object scene and save a first-frame filename.</x:v>
      </x:c>
      <x:c r="R93" s="10" t="str">
        <x:v>Primary missing cell. Training episode 1120 contains the same target trajectory but masks the size word with a direct identity prompt.</x:v>
      </x:c>
      <x:c r="S93" s="10"/>
    </x:row>
    <x:row r="94" ht="68" customHeight="1">
      <x:c r="A94" s="9" t="str">
        <x:v>Not collected</x:v>
      </x:c>
      <x:c r="B94" s="9" t="n">
        <x:v>92</x:v>
      </x:c>
      <x:c r="C94" s="10" t="str">
        <x:v>Pick up the largest item and place it in the bowl.</x:v>
      </x:c>
      <x:c r="D94" s="10" t="str">
        <x:v>Bowl: empty. Table, robot-left→robot-right: P1 green block; P2 red pencil sharpener. Adjacent centers 12 cm apart; row shifted 4 cm toward robot-left; all objects fully visible and grasp paths clear.</x:v>
      </x:c>
      <x:c r="E94" s="9"/>
      <x:c r="F94" s="9" t="str">
        <x:v>1096</x:v>
      </x:c>
      <x:c r="G94" s="9" t="str">
        <x:v>MOVE green block to bowl</x:v>
      </x:c>
      <x:c r="H94" s="10"/>
      <x:c r="I94" s="9" t="str">
        <x:v>Concept/compositional transfer</x:v>
      </x:c>
      <x:c r="J94" s="9" t="str">
        <x:v>SZ-CT-LG17</x:v>
      </x:c>
      <x:c r="K94" s="9" t="str">
        <x:v>largest</x:v>
      </x:c>
      <x:c r="L94" s="9" t="str">
        <x:v>Held-out largest × green block — Pick up</x:v>
      </x:c>
      <x:c r="M94" s="9" t="str">
        <x:v>green block</x:v>
      </x:c>
      <x:c r="N94" s="9" t="str">
        <x:v>Left</x:v>
      </x:c>
      <x:c r="O94" s="9" t="n">
        <x:v>2</x:v>
      </x:c>
      <x:c r="P94" s="9" t="n">
        <x:v>12</x:v>
      </x:c>
      <x:c r="Q94" s="9" t="str">
        <x:v>Build the listed two-object scene and save a first-frame filename.</x:v>
      </x:c>
      <x:c r="R94" s="10" t="str">
        <x:v>Primary missing cell. Training episode 1096 contains the same target trajectory but masks the size word with a direct identity prompt.</x:v>
      </x:c>
      <x:c r="S94" s="10"/>
    </x:row>
    <x:row r="95" ht="68" customHeight="1">
      <x:c r="A95" s="9" t="str">
        <x:v>Not collected</x:v>
      </x:c>
      <x:c r="B95" s="9" t="n">
        <x:v>93</x:v>
      </x:c>
      <x:c r="C95" s="10" t="str">
        <x:v>Put the smallest object in the bowl.</x:v>
      </x:c>
      <x:c r="D95" s="10" t="str">
        <x:v>Bowl: empty. Table, robot-left→robot-right: P1 crushed Pepsi can; P2 juggling ball. Adjacent centers 16 cm apart; row shifted 4 cm toward the robot; all objects fully visible and grasp paths clear.</x:v>
      </x:c>
      <x:c r="E95" s="9"/>
      <x:c r="F95" s="9" t="str">
        <x:v>1121</x:v>
      </x:c>
      <x:c r="G95" s="9" t="str">
        <x:v>MOVE juggling ball to bowl</x:v>
      </x:c>
      <x:c r="H95" s="10"/>
      <x:c r="I95" s="9" t="str">
        <x:v>Concept/compositional transfer</x:v>
      </x:c>
      <x:c r="J95" s="9" t="str">
        <x:v>SZ-CT-SJ17</x:v>
      </x:c>
      <x:c r="K95" s="9" t="str">
        <x:v>smallest</x:v>
      </x:c>
      <x:c r="L95" s="9" t="str">
        <x:v>Held-out smallest × juggling ball — Put</x:v>
      </x:c>
      <x:c r="M95" s="9" t="str">
        <x:v>juggling ball</x:v>
      </x:c>
      <x:c r="N95" s="9" t="str">
        <x:v>Right</x:v>
      </x:c>
      <x:c r="O95" s="9" t="n">
        <x:v>2</x:v>
      </x:c>
      <x:c r="P95" s="9" t="n">
        <x:v>16</x:v>
      </x:c>
      <x:c r="Q95" s="9" t="str">
        <x:v>Build the listed two-object scene and save a first-frame filename.</x:v>
      </x:c>
      <x:c r="R95" s="10" t="str">
        <x:v>Primary missing cell. Training episode 1121 contains the same target trajectory but masks the size word with a direct identity prompt.</x:v>
      </x:c>
      <x:c r="S95" s="10"/>
    </x:row>
    <x:row r="96" ht="68" customHeight="1">
      <x:c r="A96" s="9" t="str">
        <x:v>Not collected</x:v>
      </x:c>
      <x:c r="B96" s="9" t="n">
        <x:v>94</x:v>
      </x:c>
      <x:c r="C96" s="10" t="str">
        <x:v>Put the largest object in the bowl.</x:v>
      </x:c>
      <x:c r="D96" s="10" t="str">
        <x:v>Bowl: empty. Table, robot-left→robot-right: P1 red pencil sharpener; P2 green block. Adjacent centers 16 cm apart; row shifted 4 cm toward robot-right; all objects fully visible and grasp paths clear.</x:v>
      </x:c>
      <x:c r="E96" s="9"/>
      <x:c r="F96" s="9" t="str">
        <x:v>1097</x:v>
      </x:c>
      <x:c r="G96" s="9" t="str">
        <x:v>MOVE green block to bowl</x:v>
      </x:c>
      <x:c r="H96" s="10"/>
      <x:c r="I96" s="9" t="str">
        <x:v>Concept/compositional transfer</x:v>
      </x:c>
      <x:c r="J96" s="9" t="str">
        <x:v>SZ-CT-LG18</x:v>
      </x:c>
      <x:c r="K96" s="9" t="str">
        <x:v>largest</x:v>
      </x:c>
      <x:c r="L96" s="9" t="str">
        <x:v>Held-out largest × green block — Put</x:v>
      </x:c>
      <x:c r="M96" s="9" t="str">
        <x:v>green block</x:v>
      </x:c>
      <x:c r="N96" s="9" t="str">
        <x:v>Right</x:v>
      </x:c>
      <x:c r="O96" s="9" t="n">
        <x:v>2</x:v>
      </x:c>
      <x:c r="P96" s="9" t="n">
        <x:v>16</x:v>
      </x:c>
      <x:c r="Q96" s="9" t="str">
        <x:v>Build the listed two-object scene and save a first-frame filename.</x:v>
      </x:c>
      <x:c r="R96" s="10" t="str">
        <x:v>Primary missing cell. Training episode 1097 contains the same target trajectory but masks the size word with a direct identity prompt.</x:v>
      </x:c>
      <x:c r="S96" s="10"/>
    </x:row>
    <x:row r="97" ht="68" customHeight="1">
      <x:c r="A97" s="9" t="str">
        <x:v>Not collected</x:v>
      </x:c>
      <x:c r="B97" s="9" t="n">
        <x:v>95</x:v>
      </x:c>
      <x:c r="C97" s="10" t="str">
        <x:v>Move the object that is smallest into the bowl.</x:v>
      </x:c>
      <x:c r="D97" s="10" t="str">
        <x:v>Bowl: empty. Table, robot-left→robot-right: P1 juggling ball; P2 crushed Pepsi can. Adjacent centers 8 cm apart; row shifted 4 cm away from the robot; all objects fully visible and grasp paths clear.</x:v>
      </x:c>
      <x:c r="E97" s="9"/>
      <x:c r="F97" s="9" t="str">
        <x:v>1122</x:v>
      </x:c>
      <x:c r="G97" s="9" t="str">
        <x:v>MOVE juggling ball to bowl</x:v>
      </x:c>
      <x:c r="H97" s="10"/>
      <x:c r="I97" s="9" t="str">
        <x:v>Concept/compositional transfer</x:v>
      </x:c>
      <x:c r="J97" s="9" t="str">
        <x:v>SZ-CT-SJ18</x:v>
      </x:c>
      <x:c r="K97" s="9" t="str">
        <x:v>smallest</x:v>
      </x:c>
      <x:c r="L97" s="9" t="str">
        <x:v>Held-out smallest × juggling ball — Move</x:v>
      </x:c>
      <x:c r="M97" s="9" t="str">
        <x:v>juggling ball</x:v>
      </x:c>
      <x:c r="N97" s="9" t="str">
        <x:v>Left</x:v>
      </x:c>
      <x:c r="O97" s="9" t="n">
        <x:v>2</x:v>
      </x:c>
      <x:c r="P97" s="9" t="n">
        <x:v>8</x:v>
      </x:c>
      <x:c r="Q97" s="9" t="str">
        <x:v>Build the listed two-object scene and save a first-frame filename.</x:v>
      </x:c>
      <x:c r="R97" s="10" t="str">
        <x:v>Primary missing cell. Training episode 1122 contains the same target trajectory but masks the size word with a direct identity prompt.</x:v>
      </x:c>
      <x:c r="S97" s="10"/>
    </x:row>
    <x:row r="98" ht="68" customHeight="1">
      <x:c r="A98" s="9" t="str">
        <x:v>Not collected</x:v>
      </x:c>
      <x:c r="B98" s="9" t="n">
        <x:v>96</x:v>
      </x:c>
      <x:c r="C98" s="10" t="str">
        <x:v>Move the object that is largest into the bowl.</x:v>
      </x:c>
      <x:c r="D98" s="10" t="str">
        <x:v>Bowl: empty. Table, robot-left→robot-right: P1 green block; P2 red pencil sharpener. Adjacent centers 8 cm apart; row shifted 4 cm toward the robot; all objects fully visible and grasp paths clear.</x:v>
      </x:c>
      <x:c r="E98" s="9"/>
      <x:c r="F98" s="9" t="str">
        <x:v>1098</x:v>
      </x:c>
      <x:c r="G98" s="9" t="str">
        <x:v>MOVE green block to bowl</x:v>
      </x:c>
      <x:c r="H98" s="10"/>
      <x:c r="I98" s="9" t="str">
        <x:v>Concept/compositional transfer</x:v>
      </x:c>
      <x:c r="J98" s="9" t="str">
        <x:v>SZ-CT-LG19</x:v>
      </x:c>
      <x:c r="K98" s="9" t="str">
        <x:v>largest</x:v>
      </x:c>
      <x:c r="L98" s="9" t="str">
        <x:v>Held-out largest × green block — Move</x:v>
      </x:c>
      <x:c r="M98" s="9" t="str">
        <x:v>green block</x:v>
      </x:c>
      <x:c r="N98" s="9" t="str">
        <x:v>Left</x:v>
      </x:c>
      <x:c r="O98" s="9" t="n">
        <x:v>2</x:v>
      </x:c>
      <x:c r="P98" s="9" t="n">
        <x:v>8</x:v>
      </x:c>
      <x:c r="Q98" s="9" t="str">
        <x:v>Build the listed two-object scene and save a first-frame filename.</x:v>
      </x:c>
      <x:c r="R98" s="10" t="str">
        <x:v>Primary missing cell. Training episode 1098 contains the same target trajectory but masks the size word with a direct identity prompt.</x:v>
      </x:c>
      <x:c r="S98" s="10"/>
    </x:row>
    <x:row r="99" ht="68" customHeight="1">
      <x:c r="A99" s="9" t="str">
        <x:v>Not collected</x:v>
      </x:c>
      <x:c r="B99" s="9" t="n">
        <x:v>97</x:v>
      </x:c>
      <x:c r="C99" s="10" t="str">
        <x:v>Pick up the smallest item and place it in the bowl.</x:v>
      </x:c>
      <x:c r="D99" s="10" t="str">
        <x:v>Bowl: empty. Table, robot-left→robot-right: P1 crushed Pepsi can; P2 juggling ball. Adjacent centers 12 cm apart; row centered on the workspace; all objects fully visible and grasp paths clear.</x:v>
      </x:c>
      <x:c r="E99" s="9"/>
      <x:c r="F99" s="9" t="str">
        <x:v>1123</x:v>
      </x:c>
      <x:c r="G99" s="9" t="str">
        <x:v>MOVE juggling ball to bowl</x:v>
      </x:c>
      <x:c r="H99" s="10"/>
      <x:c r="I99" s="9" t="str">
        <x:v>Concept/compositional transfer</x:v>
      </x:c>
      <x:c r="J99" s="9" t="str">
        <x:v>SZ-CT-SJ19</x:v>
      </x:c>
      <x:c r="K99" s="9" t="str">
        <x:v>smallest</x:v>
      </x:c>
      <x:c r="L99" s="9" t="str">
        <x:v>Held-out smallest × juggling ball — Pick up</x:v>
      </x:c>
      <x:c r="M99" s="9" t="str">
        <x:v>juggling ball</x:v>
      </x:c>
      <x:c r="N99" s="9" t="str">
        <x:v>Right</x:v>
      </x:c>
      <x:c r="O99" s="9" t="n">
        <x:v>2</x:v>
      </x:c>
      <x:c r="P99" s="9" t="n">
        <x:v>12</x:v>
      </x:c>
      <x:c r="Q99" s="9" t="str">
        <x:v>Build the listed two-object scene and save a first-frame filename.</x:v>
      </x:c>
      <x:c r="R99" s="10" t="str">
        <x:v>Primary missing cell. Training episode 1123 contains the same target trajectory but masks the size word with a direct identity prompt.</x:v>
      </x:c>
      <x:c r="S99" s="10"/>
    </x:row>
    <x:row r="100" ht="68" customHeight="1">
      <x:c r="A100" s="9" t="str">
        <x:v>Not collected</x:v>
      </x:c>
      <x:c r="B100" s="9" t="n">
        <x:v>98</x:v>
      </x:c>
      <x:c r="C100" s="10" t="str">
        <x:v>Pick up the largest item and place it in the bowl.</x:v>
      </x:c>
      <x:c r="D100" s="10" t="str">
        <x:v>Bowl: empty. Table, robot-left→robot-right: P1 red pencil sharpener; P2 green block. Adjacent centers 12 cm apart; row shifted 4 cm away from the robot; all objects fully visible and grasp paths clear.</x:v>
      </x:c>
      <x:c r="E100" s="9"/>
      <x:c r="F100" s="9" t="str">
        <x:v>1099</x:v>
      </x:c>
      <x:c r="G100" s="9" t="str">
        <x:v>MOVE green block to bowl</x:v>
      </x:c>
      <x:c r="H100" s="10"/>
      <x:c r="I100" s="9" t="str">
        <x:v>Concept/compositional transfer</x:v>
      </x:c>
      <x:c r="J100" s="9" t="str">
        <x:v>SZ-CT-LG20</x:v>
      </x:c>
      <x:c r="K100" s="9" t="str">
        <x:v>largest</x:v>
      </x:c>
      <x:c r="L100" s="9" t="str">
        <x:v>Held-out largest × green block — Pick up</x:v>
      </x:c>
      <x:c r="M100" s="9" t="str">
        <x:v>green block</x:v>
      </x:c>
      <x:c r="N100" s="9" t="str">
        <x:v>Right</x:v>
      </x:c>
      <x:c r="O100" s="9" t="n">
        <x:v>2</x:v>
      </x:c>
      <x:c r="P100" s="9" t="n">
        <x:v>12</x:v>
      </x:c>
      <x:c r="Q100" s="9" t="str">
        <x:v>Build the listed two-object scene and save a first-frame filename.</x:v>
      </x:c>
      <x:c r="R100" s="10" t="str">
        <x:v>Primary missing cell. Training episode 1099 contains the same target trajectory but masks the size word with a direct identity prompt.</x:v>
      </x:c>
      <x:c r="S100" s="10"/>
    </x:row>
    <x:row r="101" ht="68" customHeight="1">
      <x:c r="A101" s="9" t="str">
        <x:v>Not collected</x:v>
      </x:c>
      <x:c r="B101" s="9" t="n">
        <x:v>99</x:v>
      </x:c>
      <x:c r="C101" s="10" t="str">
        <x:v>Put the smallest object in the bowl.</x:v>
      </x:c>
      <x:c r="D101" s="10" t="str">
        <x:v>Bowl: empty. Table, robot-left→robot-right: P1 juggling ball; P2 crushed Pepsi can. Adjacent centers 16 cm apart; row shifted 4 cm toward robot-left; all objects fully visible and grasp paths clear.</x:v>
      </x:c>
      <x:c r="E101" s="9"/>
      <x:c r="F101" s="9" t="str">
        <x:v>1124</x:v>
      </x:c>
      <x:c r="G101" s="9" t="str">
        <x:v>MOVE juggling ball to bowl</x:v>
      </x:c>
      <x:c r="H101" s="10"/>
      <x:c r="I101" s="9" t="str">
        <x:v>Concept/compositional transfer</x:v>
      </x:c>
      <x:c r="J101" s="9" t="str">
        <x:v>SZ-CT-SJ20</x:v>
      </x:c>
      <x:c r="K101" s="9" t="str">
        <x:v>smallest</x:v>
      </x:c>
      <x:c r="L101" s="9" t="str">
        <x:v>Held-out smallest × juggling ball — Put</x:v>
      </x:c>
      <x:c r="M101" s="9" t="str">
        <x:v>juggling ball</x:v>
      </x:c>
      <x:c r="N101" s="9" t="str">
        <x:v>Left</x:v>
      </x:c>
      <x:c r="O101" s="9" t="n">
        <x:v>2</x:v>
      </x:c>
      <x:c r="P101" s="9" t="n">
        <x:v>16</x:v>
      </x:c>
      <x:c r="Q101" s="9" t="str">
        <x:v>Build the listed two-object scene and save a first-frame filename.</x:v>
      </x:c>
      <x:c r="R101" s="10" t="str">
        <x:v>Primary missing cell. Training episode 1124 contains the same target trajectory but masks the size word with a direct identity prompt.</x:v>
      </x:c>
      <x:c r="S101" s="10"/>
    </x:row>
    <x:row r="102" ht="68" customHeight="1">
      <x:c r="A102" s="9" t="str">
        <x:v>Not collected</x:v>
      </x:c>
      <x:c r="B102" s="9" t="n">
        <x:v>100</x:v>
      </x:c>
      <x:c r="C102" s="10" t="str">
        <x:v>Put the largest object in the bowl.</x:v>
      </x:c>
      <x:c r="D102" s="10" t="str">
        <x:v>Bowl: empty. Table, robot-left→robot-right: P1 green block; P2 red pencil sharpener. Adjacent centers 16 cm apart; row centered on the workspace; all objects fully visible and grasp paths clear.</x:v>
      </x:c>
      <x:c r="E102" s="9"/>
      <x:c r="F102" s="9" t="str">
        <x:v>1080</x:v>
      </x:c>
      <x:c r="G102" s="9" t="str">
        <x:v>MOVE green block to bowl</x:v>
      </x:c>
      <x:c r="H102" s="10"/>
      <x:c r="I102" s="9" t="str">
        <x:v>Concept/compositional transfer</x:v>
      </x:c>
      <x:c r="J102" s="9" t="str">
        <x:v>SZ-CT-LG21</x:v>
      </x:c>
      <x:c r="K102" s="9" t="str">
        <x:v>largest</x:v>
      </x:c>
      <x:c r="L102" s="9" t="str">
        <x:v>Held-out largest × green block — Put</x:v>
      </x:c>
      <x:c r="M102" s="9" t="str">
        <x:v>green block</x:v>
      </x:c>
      <x:c r="N102" s="9" t="str">
        <x:v>Left</x:v>
      </x:c>
      <x:c r="O102" s="9" t="n">
        <x:v>2</x:v>
      </x:c>
      <x:c r="P102" s="9" t="n">
        <x:v>16</x:v>
      </x:c>
      <x:c r="Q102" s="9" t="str">
        <x:v>Build the listed two-object scene and save a first-frame filename.</x:v>
      </x:c>
      <x:c r="R102" s="10" t="str">
        <x:v>Primary missing cell. Training episode 1080 contains the same target trajectory but masks the size word with a direct identity prompt.</x:v>
      </x:c>
      <x:c r="S102" s="10"/>
    </x:row>
    <x:row r="103" ht="68" customHeight="1">
      <x:c r="A103" s="9" t="str">
        <x:v>Not collected</x:v>
      </x:c>
      <x:c r="B103" s="9" t="n">
        <x:v>101</x:v>
      </x:c>
      <x:c r="C103" s="10" t="str">
        <x:v>Move the object that is smallest into the bowl.</x:v>
      </x:c>
      <x:c r="D103" s="10" t="str">
        <x:v>Bowl: empty. Table, robot-left→robot-right: P1 crushed Pepsi can; P2 juggling ball. Adjacent centers 8 cm apart; row shifted 4 cm toward robot-right; all objects fully visible and grasp paths clear.</x:v>
      </x:c>
      <x:c r="E103" s="9"/>
      <x:c r="F103" s="9" t="str">
        <x:v>1105</x:v>
      </x:c>
      <x:c r="G103" s="9" t="str">
        <x:v>MOVE juggling ball to bowl</x:v>
      </x:c>
      <x:c r="H103" s="10"/>
      <x:c r="I103" s="9" t="str">
        <x:v>Concept/compositional transfer</x:v>
      </x:c>
      <x:c r="J103" s="9" t="str">
        <x:v>SZ-CT-SJ21</x:v>
      </x:c>
      <x:c r="K103" s="9" t="str">
        <x:v>smallest</x:v>
      </x:c>
      <x:c r="L103" s="9" t="str">
        <x:v>Held-out smallest × juggling ball — Move</x:v>
      </x:c>
      <x:c r="M103" s="9" t="str">
        <x:v>juggling ball</x:v>
      </x:c>
      <x:c r="N103" s="9" t="str">
        <x:v>Right</x:v>
      </x:c>
      <x:c r="O103" s="9" t="n">
        <x:v>2</x:v>
      </x:c>
      <x:c r="P103" s="9" t="n">
        <x:v>8</x:v>
      </x:c>
      <x:c r="Q103" s="9" t="str">
        <x:v>Build the listed two-object scene and save a first-frame filename.</x:v>
      </x:c>
      <x:c r="R103" s="10" t="str">
        <x:v>Primary missing cell. Training episode 1105 contains the same target trajectory but masks the size word with a direct identity prompt.</x:v>
      </x:c>
      <x:c r="S103" s="10"/>
    </x:row>
    <x:row r="104" ht="68" customHeight="1">
      <x:c r="A104" s="9" t="str">
        <x:v>Not collected</x:v>
      </x:c>
      <x:c r="B104" s="9" t="n">
        <x:v>102</x:v>
      </x:c>
      <x:c r="C104" s="10" t="str">
        <x:v>Move the object that is largest into the bowl.</x:v>
      </x:c>
      <x:c r="D104" s="10" t="str">
        <x:v>Bowl: empty. Table, robot-left→robot-right: P1 red pencil sharpener; P2 green block. Adjacent centers 8 cm apart; row shifted 4 cm toward robot-left; all objects fully visible and grasp paths clear.</x:v>
      </x:c>
      <x:c r="E104" s="9"/>
      <x:c r="F104" s="9" t="str">
        <x:v>1081</x:v>
      </x:c>
      <x:c r="G104" s="9" t="str">
        <x:v>MOVE green block to bowl</x:v>
      </x:c>
      <x:c r="H104" s="10"/>
      <x:c r="I104" s="9" t="str">
        <x:v>Concept/compositional transfer</x:v>
      </x:c>
      <x:c r="J104" s="9" t="str">
        <x:v>SZ-CT-LG22</x:v>
      </x:c>
      <x:c r="K104" s="9" t="str">
        <x:v>largest</x:v>
      </x:c>
      <x:c r="L104" s="9" t="str">
        <x:v>Held-out largest × green block — Move</x:v>
      </x:c>
      <x:c r="M104" s="9" t="str">
        <x:v>green block</x:v>
      </x:c>
      <x:c r="N104" s="9" t="str">
        <x:v>Right</x:v>
      </x:c>
      <x:c r="O104" s="9" t="n">
        <x:v>2</x:v>
      </x:c>
      <x:c r="P104" s="9" t="n">
        <x:v>8</x:v>
      </x:c>
      <x:c r="Q104" s="9" t="str">
        <x:v>Build the listed two-object scene and save a first-frame filename.</x:v>
      </x:c>
      <x:c r="R104" s="10" t="str">
        <x:v>Primary missing cell. Training episode 1081 contains the same target trajectory but masks the size word with a direct identity prompt.</x:v>
      </x:c>
      <x:c r="S104" s="10"/>
    </x:row>
    <x:row r="105" ht="68" customHeight="1">
      <x:c r="A105" s="9" t="str">
        <x:v>Not collected</x:v>
      </x:c>
      <x:c r="B105" s="9" t="n">
        <x:v>103</x:v>
      </x:c>
      <x:c r="C105" s="10" t="str">
        <x:v>Pick up the smallest item and place it in the bowl.</x:v>
      </x:c>
      <x:c r="D105" s="10" t="str">
        <x:v>Bowl: empty. Table, robot-left→robot-right: P1 juggling ball; P2 crushed Pepsi can. Adjacent centers 12 cm apart; row shifted 4 cm toward the robot; all objects fully visible and grasp paths clear.</x:v>
      </x:c>
      <x:c r="E105" s="9"/>
      <x:c r="F105" s="9" t="str">
        <x:v>1106</x:v>
      </x:c>
      <x:c r="G105" s="9" t="str">
        <x:v>MOVE juggling ball to bowl</x:v>
      </x:c>
      <x:c r="H105" s="10"/>
      <x:c r="I105" s="9" t="str">
        <x:v>Concept/compositional transfer</x:v>
      </x:c>
      <x:c r="J105" s="9" t="str">
        <x:v>SZ-CT-SJ22</x:v>
      </x:c>
      <x:c r="K105" s="9" t="str">
        <x:v>smallest</x:v>
      </x:c>
      <x:c r="L105" s="9" t="str">
        <x:v>Held-out smallest × juggling ball — Pick up</x:v>
      </x:c>
      <x:c r="M105" s="9" t="str">
        <x:v>juggling ball</x:v>
      </x:c>
      <x:c r="N105" s="9" t="str">
        <x:v>Left</x:v>
      </x:c>
      <x:c r="O105" s="9" t="n">
        <x:v>2</x:v>
      </x:c>
      <x:c r="P105" s="9" t="n">
        <x:v>12</x:v>
      </x:c>
      <x:c r="Q105" s="9" t="str">
        <x:v>Build the listed two-object scene and save a first-frame filename.</x:v>
      </x:c>
      <x:c r="R105" s="10" t="str">
        <x:v>Primary missing cell. Training episode 1106 contains the same target trajectory but masks the size word with a direct identity prompt.</x:v>
      </x:c>
      <x:c r="S105" s="10"/>
    </x:row>
    <x:row r="106" ht="68" customHeight="1">
      <x:c r="A106" s="9" t="str">
        <x:v>Not collected</x:v>
      </x:c>
      <x:c r="B106" s="9" t="n">
        <x:v>104</x:v>
      </x:c>
      <x:c r="C106" s="10" t="str">
        <x:v>Pick up the largest item and place it in the bowl.</x:v>
      </x:c>
      <x:c r="D106" s="10" t="str">
        <x:v>Bowl: empty. Table, robot-left→robot-right: P1 green block; P2 red pencil sharpener. Adjacent centers 12 cm apart; row shifted 4 cm toward robot-right; all objects fully visible and grasp paths clear.</x:v>
      </x:c>
      <x:c r="E106" s="9"/>
      <x:c r="F106" s="9" t="str">
        <x:v>1082</x:v>
      </x:c>
      <x:c r="G106" s="9" t="str">
        <x:v>MOVE green block to bowl</x:v>
      </x:c>
      <x:c r="H106" s="10"/>
      <x:c r="I106" s="9" t="str">
        <x:v>Concept/compositional transfer</x:v>
      </x:c>
      <x:c r="J106" s="9" t="str">
        <x:v>SZ-CT-LG23</x:v>
      </x:c>
      <x:c r="K106" s="9" t="str">
        <x:v>largest</x:v>
      </x:c>
      <x:c r="L106" s="9" t="str">
        <x:v>Held-out largest × green block — Pick up</x:v>
      </x:c>
      <x:c r="M106" s="9" t="str">
        <x:v>green block</x:v>
      </x:c>
      <x:c r="N106" s="9" t="str">
        <x:v>Left</x:v>
      </x:c>
      <x:c r="O106" s="9" t="n">
        <x:v>2</x:v>
      </x:c>
      <x:c r="P106" s="9" t="n">
        <x:v>12</x:v>
      </x:c>
      <x:c r="Q106" s="9" t="str">
        <x:v>Build the listed two-object scene and save a first-frame filename.</x:v>
      </x:c>
      <x:c r="R106" s="10" t="str">
        <x:v>Primary missing cell. Training episode 1082 contains the same target trajectory but masks the size word with a direct identity prompt.</x:v>
      </x:c>
      <x:c r="S106" s="10"/>
    </x:row>
    <x:row r="107" ht="68" customHeight="1">
      <x:c r="A107" s="9" t="str">
        <x:v>Not collected</x:v>
      </x:c>
      <x:c r="B107" s="9" t="n">
        <x:v>105</x:v>
      </x:c>
      <x:c r="C107" s="10" t="str">
        <x:v>Put the smallest object in the bowl.</x:v>
      </x:c>
      <x:c r="D107" s="10" t="str">
        <x:v>Bowl: empty. Table, robot-left→robot-right: P1 crushed Pepsi can; P2 juggling ball. Adjacent centers 16 cm apart; row shifted 4 cm away from the robot; all objects fully visible and grasp paths clear.</x:v>
      </x:c>
      <x:c r="E107" s="9"/>
      <x:c r="F107" s="9" t="str">
        <x:v>1107</x:v>
      </x:c>
      <x:c r="G107" s="9" t="str">
        <x:v>MOVE juggling ball to bowl</x:v>
      </x:c>
      <x:c r="H107" s="10"/>
      <x:c r="I107" s="9" t="str">
        <x:v>Concept/compositional transfer</x:v>
      </x:c>
      <x:c r="J107" s="9" t="str">
        <x:v>SZ-CT-SJ23</x:v>
      </x:c>
      <x:c r="K107" s="9" t="str">
        <x:v>smallest</x:v>
      </x:c>
      <x:c r="L107" s="9" t="str">
        <x:v>Held-out smallest × juggling ball — Put</x:v>
      </x:c>
      <x:c r="M107" s="9" t="str">
        <x:v>juggling ball</x:v>
      </x:c>
      <x:c r="N107" s="9" t="str">
        <x:v>Right</x:v>
      </x:c>
      <x:c r="O107" s="9" t="n">
        <x:v>2</x:v>
      </x:c>
      <x:c r="P107" s="9" t="n">
        <x:v>16</x:v>
      </x:c>
      <x:c r="Q107" s="9" t="str">
        <x:v>Build the listed two-object scene and save a first-frame filename.</x:v>
      </x:c>
      <x:c r="R107" s="10" t="str">
        <x:v>Primary missing cell. Training episode 1107 contains the same target trajectory but masks the size word with a direct identity prompt.</x:v>
      </x:c>
      <x:c r="S107" s="10"/>
    </x:row>
    <x:row r="108" ht="68" customHeight="1">
      <x:c r="A108" s="9" t="str">
        <x:v>Not collected</x:v>
      </x:c>
      <x:c r="B108" s="9" t="n">
        <x:v>106</x:v>
      </x:c>
      <x:c r="C108" s="10" t="str">
        <x:v>Put the largest object in the bowl.</x:v>
      </x:c>
      <x:c r="D108" s="10" t="str">
        <x:v>Bowl: empty. Table, robot-left→robot-right: P1 red pencil sharpener; P2 green block. Adjacent centers 16 cm apart; row shifted 4 cm toward the robot; all objects fully visible and grasp paths clear.</x:v>
      </x:c>
      <x:c r="E108" s="9"/>
      <x:c r="F108" s="9" t="str">
        <x:v>1083</x:v>
      </x:c>
      <x:c r="G108" s="9" t="str">
        <x:v>MOVE green block to bowl</x:v>
      </x:c>
      <x:c r="H108" s="10"/>
      <x:c r="I108" s="9" t="str">
        <x:v>Concept/compositional transfer</x:v>
      </x:c>
      <x:c r="J108" s="9" t="str">
        <x:v>SZ-CT-LG24</x:v>
      </x:c>
      <x:c r="K108" s="9" t="str">
        <x:v>largest</x:v>
      </x:c>
      <x:c r="L108" s="9" t="str">
        <x:v>Held-out largest × green block — Put</x:v>
      </x:c>
      <x:c r="M108" s="9" t="str">
        <x:v>green block</x:v>
      </x:c>
      <x:c r="N108" s="9" t="str">
        <x:v>Right</x:v>
      </x:c>
      <x:c r="O108" s="9" t="n">
        <x:v>2</x:v>
      </x:c>
      <x:c r="P108" s="9" t="n">
        <x:v>16</x:v>
      </x:c>
      <x:c r="Q108" s="9" t="str">
        <x:v>Build the listed two-object scene and save a first-frame filename.</x:v>
      </x:c>
      <x:c r="R108" s="10" t="str">
        <x:v>Primary missing cell. Training episode 1083 contains the same target trajectory but masks the size word with a direct identity prompt.</x:v>
      </x:c>
      <x:c r="S108" s="10"/>
    </x:row>
    <x:row r="109" ht="68" customHeight="1">
      <x:c r="A109" s="9" t="str">
        <x:v>Not collected</x:v>
      </x:c>
      <x:c r="B109" s="9" t="n">
        <x:v>107</x:v>
      </x:c>
      <x:c r="C109" s="10" t="str">
        <x:v>Move the object that is smallest into the bowl.</x:v>
      </x:c>
      <x:c r="D109" s="10" t="str">
        <x:v>Bowl: empty. Table, robot-left→robot-right: P1 juggling ball; P2 crushed Pepsi can. Adjacent centers 8 cm apart; row centered on the workspace; all objects fully visible and grasp paths clear.</x:v>
      </x:c>
      <x:c r="E109" s="9"/>
      <x:c r="F109" s="9" t="str">
        <x:v>1108</x:v>
      </x:c>
      <x:c r="G109" s="9" t="str">
        <x:v>MOVE juggling ball to bowl</x:v>
      </x:c>
      <x:c r="H109" s="10"/>
      <x:c r="I109" s="9" t="str">
        <x:v>Concept/compositional transfer</x:v>
      </x:c>
      <x:c r="J109" s="9" t="str">
        <x:v>SZ-CT-SJ24</x:v>
      </x:c>
      <x:c r="K109" s="9" t="str">
        <x:v>smallest</x:v>
      </x:c>
      <x:c r="L109" s="9" t="str">
        <x:v>Held-out smallest × juggling ball — Move</x:v>
      </x:c>
      <x:c r="M109" s="9" t="str">
        <x:v>juggling ball</x:v>
      </x:c>
      <x:c r="N109" s="9" t="str">
        <x:v>Left</x:v>
      </x:c>
      <x:c r="O109" s="9" t="n">
        <x:v>2</x:v>
      </x:c>
      <x:c r="P109" s="9" t="n">
        <x:v>8</x:v>
      </x:c>
      <x:c r="Q109" s="9" t="str">
        <x:v>Build the listed two-object scene and save a first-frame filename.</x:v>
      </x:c>
      <x:c r="R109" s="10" t="str">
        <x:v>Primary missing cell. Training episode 1108 contains the same target trajectory but masks the size word with a direct identity prompt.</x:v>
      </x:c>
      <x:c r="S109" s="10"/>
    </x:row>
    <x:row r="110" ht="68" customHeight="1">
      <x:c r="A110" s="9" t="str">
        <x:v>Not collected</x:v>
      </x:c>
      <x:c r="B110" s="9" t="n">
        <x:v>108</x:v>
      </x:c>
      <x:c r="C110" s="10" t="str">
        <x:v>Move the object that is largest into the bowl.</x:v>
      </x:c>
      <x:c r="D110" s="10" t="str">
        <x:v>Bowl: empty. Table, robot-left→robot-right: P1 green block; P2 red pencil sharpener. Adjacent centers 8 cm apart; row shifted 4 cm away from the robot; all objects fully visible and grasp paths clear.</x:v>
      </x:c>
      <x:c r="E110" s="9"/>
      <x:c r="F110" s="9" t="str">
        <x:v>1084</x:v>
      </x:c>
      <x:c r="G110" s="9" t="str">
        <x:v>MOVE green block to bowl</x:v>
      </x:c>
      <x:c r="H110" s="10"/>
      <x:c r="I110" s="9" t="str">
        <x:v>Concept/compositional transfer</x:v>
      </x:c>
      <x:c r="J110" s="9" t="str">
        <x:v>SZ-CT-LG25</x:v>
      </x:c>
      <x:c r="K110" s="9" t="str">
        <x:v>largest</x:v>
      </x:c>
      <x:c r="L110" s="9" t="str">
        <x:v>Held-out largest × green block — Move</x:v>
      </x:c>
      <x:c r="M110" s="9" t="str">
        <x:v>green block</x:v>
      </x:c>
      <x:c r="N110" s="9" t="str">
        <x:v>Left</x:v>
      </x:c>
      <x:c r="O110" s="9" t="n">
        <x:v>2</x:v>
      </x:c>
      <x:c r="P110" s="9" t="n">
        <x:v>8</x:v>
      </x:c>
      <x:c r="Q110" s="9" t="str">
        <x:v>Build the listed two-object scene and save a first-frame filename.</x:v>
      </x:c>
      <x:c r="R110" s="10" t="str">
        <x:v>Primary missing cell. Training episode 1084 contains the same target trajectory but masks the size word with a direct identity prompt.</x:v>
      </x:c>
      <x:c r="S110" s="10"/>
    </x:row>
    <x:row r="111" ht="68" customHeight="1">
      <x:c r="A111" s="9" t="str">
        <x:v>Not collected</x:v>
      </x:c>
      <x:c r="B111" s="9" t="n">
        <x:v>109</x:v>
      </x:c>
      <x:c r="C111" s="10" t="str">
        <x:v>Pick up the smallest item and place it in the bowl.</x:v>
      </x:c>
      <x:c r="D111" s="10" t="str">
        <x:v>Bowl: empty. Table, robot-left→robot-right: P1 crushed Pepsi can; P2 juggling ball. Adjacent centers 12 cm apart; row shifted 4 cm toward robot-left; all objects fully visible and grasp paths clear.</x:v>
      </x:c>
      <x:c r="E111" s="9"/>
      <x:c r="F111" s="9" t="str">
        <x:v>1109</x:v>
      </x:c>
      <x:c r="G111" s="9" t="str">
        <x:v>MOVE juggling ball to bowl</x:v>
      </x:c>
      <x:c r="H111" s="10"/>
      <x:c r="I111" s="9" t="str">
        <x:v>Concept/compositional transfer</x:v>
      </x:c>
      <x:c r="J111" s="9" t="str">
        <x:v>SZ-CT-SJ25</x:v>
      </x:c>
      <x:c r="K111" s="9" t="str">
        <x:v>smallest</x:v>
      </x:c>
      <x:c r="L111" s="9" t="str">
        <x:v>Held-out smallest × juggling ball — Pick up</x:v>
      </x:c>
      <x:c r="M111" s="9" t="str">
        <x:v>juggling ball</x:v>
      </x:c>
      <x:c r="N111" s="9" t="str">
        <x:v>Right</x:v>
      </x:c>
      <x:c r="O111" s="9" t="n">
        <x:v>2</x:v>
      </x:c>
      <x:c r="P111" s="9" t="n">
        <x:v>12</x:v>
      </x:c>
      <x:c r="Q111" s="9" t="str">
        <x:v>Build the listed two-object scene and save a first-frame filename.</x:v>
      </x:c>
      <x:c r="R111" s="10" t="str">
        <x:v>Primary missing cell. Training episode 1109 contains the same target trajectory but masks the size word with a direct identity prompt.</x:v>
      </x:c>
      <x:c r="S111" s="10"/>
    </x:row>
    <x:row r="112" ht="68" customHeight="1">
      <x:c r="A112" s="9" t="str">
        <x:v>Not collected</x:v>
      </x:c>
      <x:c r="B112" s="9" t="n">
        <x:v>110</x:v>
      </x:c>
      <x:c r="C112" s="10" t="str">
        <x:v>Move the object that is largest into the bowl.</x:v>
      </x:c>
      <x:c r="D112" s="10" t="str">
        <x:v>Bowl: empty. Table, robot-left→robot-right: P1 airplane toy with propellers; P2 red pencil sharpener. Adjacent centers 8 cm apart; row centered on the workspace; all objects fully visible and grasp paths clear.</x:v>
      </x:c>
      <x:c r="E112" s="9"/>
      <x:c r="F112" s="9" t="str">
        <x:v>airplane exposure 550</x:v>
      </x:c>
      <x:c r="G112" s="9" t="str">
        <x:v>MOVE airplane toy with propellers to bowl</x:v>
      </x:c>
      <x:c r="H112" s="10"/>
      <x:c r="I112" s="9" t="str">
        <x:v>Cross-task airplane reasoning</x:v>
      </x:c>
      <x:c r="J112" s="9" t="str">
        <x:v>SZ-XA01</x:v>
      </x:c>
      <x:c r="K112" s="9" t="str">
        <x:v>largest</x:v>
      </x:c>
      <x:c r="L112" s="9" t="str">
        <x:v>Airplane is largest</x:v>
      </x:c>
      <x:c r="M112" s="9" t="str">
        <x:v>airplane toy with propellers</x:v>
      </x:c>
      <x:c r="N112" s="9" t="str">
        <x:v>Left</x:v>
      </x:c>
      <x:c r="O112" s="9" t="n">
        <x:v>2</x:v>
      </x:c>
      <x:c r="P112" s="9" t="n">
        <x:v>8</x:v>
      </x:c>
      <x:c r="Q112" s="9" t="str">
        <x:v>Build the listed airplane scene and save a first-frame filename.</x:v>
      </x:c>
      <x:c r="R112" s="10" t="str">
        <x:v>The airplane is larger than the red pencil sharpener. It is known globally but never received size language in training.</x:v>
      </x:c>
      <x:c r="S112" s="10"/>
    </x:row>
    <x:row r="113" ht="68" customHeight="1">
      <x:c r="A113" s="8" t="str">
        <x:v>Not collected</x:v>
      </x:c>
      <x:c r="B113" s="8" t="n">
        <x:v>111</x:v>
      </x:c>
      <x:c r="C113" s="7" t="str">
        <x:v>Put the smallest object in the bowl.</x:v>
      </x:c>
      <x:c r="D113" s="7" t="str">
        <x:v>Bowl: empty. Table, robot-left→robot-right: P1 airplane toy with propellers; P2 red pencil sharpener. Adjacent centers 8 cm apart; row centered on the workspace; all objects fully visible and grasp paths clear.</x:v>
      </x:c>
      <x:c r="E113" s="8" t="n">
        <x:v>110</x:v>
      </x:c>
      <x:c r="F113" s="8" t="str">
        <x:v>1005; airplane exposure 550</x:v>
      </x:c>
      <x:c r="G113" s="8" t="str">
        <x:v>MOVE red pencil sharpener to bowl</x:v>
      </x:c>
      <x:c r="H113" s="7"/>
      <x:c r="I113" s="8" t="str">
        <x:v>Cross-task airplane counterfactual</x:v>
      </x:c>
      <x:c r="J113" s="8" t="str">
        <x:v>SZ-XA01</x:v>
      </x:c>
      <x:c r="K113" s="8" t="str">
        <x:v>smallest</x:v>
      </x:c>
      <x:c r="L113" s="8" t="str">
        <x:v>Exact-scene opposite-comparison reasoning control</x:v>
      </x:c>
      <x:c r="M113" s="8" t="str">
        <x:v>red pencil sharpener</x:v>
      </x:c>
      <x:c r="N113" s="8" t="str">
        <x:v>Right</x:v>
      </x:c>
      <x:c r="O113" s="8" t="n">
        <x:v>2</x:v>
      </x:c>
      <x:c r="P113" s="8" t="n">
        <x:v>8</x:v>
      </x:c>
      <x:c r="Q113" s="8" t="str">
        <x:v>Reset the airplane; preserve the exact scene and reverse only the size comparison.</x:v>
      </x:c>
      <x:c r="R113" s="7" t="str">
        <x:v>Reasoning-only counterfactual grounded by trained cell smallest × red pencil sharpener; an always-pick-airplane shortcut must fail.</x:v>
      </x:c>
      <x:c r="S113" s="7"/>
    </x:row>
    <x:row r="114" ht="68" customHeight="1">
      <x:c r="A114" s="9" t="str">
        <x:v>Not collected</x:v>
      </x:c>
      <x:c r="B114" s="9" t="n">
        <x:v>112</x:v>
      </x:c>
      <x:c r="C114" s="10" t="str">
        <x:v>Pick up the smallest item and place it in the bowl.</x:v>
      </x:c>
      <x:c r="D114" s="10" t="str">
        <x:v>Bowl: empty. Table, robot-left→robot-right: P1 airplane toy with propellers; P2 green block; P3 crushed Pepsi can. Adjacent centers 12 cm apart; row shifted 4 cm toward robot-right; all objects fully visible and grasp paths clear.</x:v>
      </x:c>
      <x:c r="E114" s="9"/>
      <x:c r="F114" s="9" t="str">
        <x:v>airplane exposure 552</x:v>
      </x:c>
      <x:c r="G114" s="9" t="str">
        <x:v>MOVE airplane toy with propellers to bowl</x:v>
      </x:c>
      <x:c r="H114" s="10"/>
      <x:c r="I114" s="9" t="str">
        <x:v>Cross-task airplane reasoning</x:v>
      </x:c>
      <x:c r="J114" s="9" t="str">
        <x:v>SZ-XA02</x:v>
      </x:c>
      <x:c r="K114" s="9" t="str">
        <x:v>smallest</x:v>
      </x:c>
      <x:c r="L114" s="9" t="str">
        <x:v>Airplane is smallest</x:v>
      </x:c>
      <x:c r="M114" s="9" t="str">
        <x:v>airplane toy with propellers</x:v>
      </x:c>
      <x:c r="N114" s="9" t="str">
        <x:v>Left</x:v>
      </x:c>
      <x:c r="O114" s="9" t="n">
        <x:v>3</x:v>
      </x:c>
      <x:c r="P114" s="9" t="n">
        <x:v>12</x:v>
      </x:c>
      <x:c r="Q114" s="9" t="str">
        <x:v>Build the listed airplane scene and save a first-frame filename.</x:v>
      </x:c>
      <x:c r="R114" s="10" t="str">
        <x:v>The airplane is smaller than every listed table comparator. Green-block scenes also include a trained larger endpoint so the counterfactual does not test largest×green.</x:v>
      </x:c>
      <x:c r="S114" s="10"/>
    </x:row>
    <x:row r="115" ht="68" customHeight="1">
      <x:c r="A115" s="8" t="str">
        <x:v>Not collected</x:v>
      </x:c>
      <x:c r="B115" s="8" t="n">
        <x:v>113</x:v>
      </x:c>
      <x:c r="C115" s="7" t="str">
        <x:v>Put the largest object in the bowl.</x:v>
      </x:c>
      <x:c r="D115" s="7" t="str">
        <x:v>Bowl: empty. Table, robot-left→robot-right: P1 airplane toy with propellers; P2 green block; P3 crushed Pepsi can. Adjacent centers 12 cm apart; row shifted 4 cm toward robot-right; all objects fully visible and grasp paths clear.</x:v>
      </x:c>
      <x:c r="E115" s="8" t="n">
        <x:v>112</x:v>
      </x:c>
      <x:c r="F115" s="8" t="str">
        <x:v>1155; airplane exposure 552</x:v>
      </x:c>
      <x:c r="G115" s="8" t="str">
        <x:v>MOVE crushed Pepsi can to bowl</x:v>
      </x:c>
      <x:c r="H115" s="7"/>
      <x:c r="I115" s="8" t="str">
        <x:v>Cross-task airplane counterfactual</x:v>
      </x:c>
      <x:c r="J115" s="8" t="str">
        <x:v>SZ-XA02</x:v>
      </x:c>
      <x:c r="K115" s="8" t="str">
        <x:v>largest</x:v>
      </x:c>
      <x:c r="L115" s="8" t="str">
        <x:v>Exact-scene opposite-comparison reasoning control</x:v>
      </x:c>
      <x:c r="M115" s="8" t="str">
        <x:v>crushed Pepsi can</x:v>
      </x:c>
      <x:c r="N115" s="8" t="str">
        <x:v>Right</x:v>
      </x:c>
      <x:c r="O115" s="8" t="n">
        <x:v>3</x:v>
      </x:c>
      <x:c r="P115" s="8" t="n">
        <x:v>12</x:v>
      </x:c>
      <x:c r="Q115" s="8" t="str">
        <x:v>Reset the airplane; preserve the exact scene and reverse only the size comparison.</x:v>
      </x:c>
      <x:c r="R115" s="7" t="str">
        <x:v>Reasoning-only counterfactual grounded by trained cell largest × crushed Pepsi can; an always-pick-airplane shortcut must fail.</x:v>
      </x:c>
      <x:c r="S115" s="7"/>
    </x:row>
    <x:row r="116" ht="68" customHeight="1">
      <x:c r="A116" s="9" t="str">
        <x:v>Not collected</x:v>
      </x:c>
      <x:c r="B116" s="9" t="n">
        <x:v>114</x:v>
      </x:c>
      <x:c r="C116" s="10" t="str">
        <x:v>Pick up the largest item and place it in the bowl.</x:v>
      </x:c>
      <x:c r="D116" s="10" t="str">
        <x:v>Bowl: empty. Table, robot-left→robot-right: P1 red pencil sharpener; P2 airplane toy with propellers. Adjacent centers 12 cm apart; row shifted 4 cm toward robot-left; all objects fully visible and grasp paths clear.</x:v>
      </x:c>
      <x:c r="E116" s="9"/>
      <x:c r="F116" s="9" t="str">
        <x:v>airplane exposure 554</x:v>
      </x:c>
      <x:c r="G116" s="9" t="str">
        <x:v>MOVE airplane toy with propellers to bowl</x:v>
      </x:c>
      <x:c r="H116" s="10"/>
      <x:c r="I116" s="9" t="str">
        <x:v>Cross-task airplane reasoning</x:v>
      </x:c>
      <x:c r="J116" s="9" t="str">
        <x:v>SZ-XA03</x:v>
      </x:c>
      <x:c r="K116" s="9" t="str">
        <x:v>largest</x:v>
      </x:c>
      <x:c r="L116" s="9" t="str">
        <x:v>Airplane is largest</x:v>
      </x:c>
      <x:c r="M116" s="9" t="str">
        <x:v>airplane toy with propellers</x:v>
      </x:c>
      <x:c r="N116" s="9" t="str">
        <x:v>Right</x:v>
      </x:c>
      <x:c r="O116" s="9" t="n">
        <x:v>2</x:v>
      </x:c>
      <x:c r="P116" s="9" t="n">
        <x:v>12</x:v>
      </x:c>
      <x:c r="Q116" s="9" t="str">
        <x:v>Build the listed airplane scene and save a first-frame filename.</x:v>
      </x:c>
      <x:c r="R116" s="10" t="str">
        <x:v>The airplane is larger than the red pencil sharpener. It is known globally but never received size language in training.</x:v>
      </x:c>
      <x:c r="S116" s="10"/>
    </x:row>
    <x:row r="117" ht="68" customHeight="1">
      <x:c r="A117" s="8" t="str">
        <x:v>Not collected</x:v>
      </x:c>
      <x:c r="B117" s="8" t="n">
        <x:v>115</x:v>
      </x:c>
      <x:c r="C117" s="7" t="str">
        <x:v>Move the object that is smallest into the bowl.</x:v>
      </x:c>
      <x:c r="D117" s="7" t="str">
        <x:v>Bowl: empty. Table, robot-left→robot-right: P1 red pencil sharpener; P2 airplane toy with propellers. Adjacent centers 12 cm apart; row shifted 4 cm toward robot-left; all objects fully visible and grasp paths clear.</x:v>
      </x:c>
      <x:c r="E117" s="8" t="n">
        <x:v>114</x:v>
      </x:c>
      <x:c r="F117" s="8" t="str">
        <x:v>1006; airplane exposure 554</x:v>
      </x:c>
      <x:c r="G117" s="8" t="str">
        <x:v>MOVE red pencil sharpener to bowl</x:v>
      </x:c>
      <x:c r="H117" s="7"/>
      <x:c r="I117" s="8" t="str">
        <x:v>Cross-task airplane counterfactual</x:v>
      </x:c>
      <x:c r="J117" s="8" t="str">
        <x:v>SZ-XA03</x:v>
      </x:c>
      <x:c r="K117" s="8" t="str">
        <x:v>smallest</x:v>
      </x:c>
      <x:c r="L117" s="8" t="str">
        <x:v>Exact-scene opposite-comparison reasoning control</x:v>
      </x:c>
      <x:c r="M117" s="8" t="str">
        <x:v>red pencil sharpener</x:v>
      </x:c>
      <x:c r="N117" s="8" t="str">
        <x:v>Left</x:v>
      </x:c>
      <x:c r="O117" s="8" t="n">
        <x:v>2</x:v>
      </x:c>
      <x:c r="P117" s="8" t="n">
        <x:v>12</x:v>
      </x:c>
      <x:c r="Q117" s="8" t="str">
        <x:v>Reset the airplane; preserve the exact scene and reverse only the size comparison.</x:v>
      </x:c>
      <x:c r="R117" s="7" t="str">
        <x:v>Reasoning-only counterfactual grounded by trained cell smallest × red pencil sharpener; an always-pick-airplane shortcut must fail.</x:v>
      </x:c>
      <x:c r="S117" s="7"/>
    </x:row>
    <x:row r="118" ht="68" customHeight="1">
      <x:c r="A118" s="9" t="str">
        <x:v>Not collected</x:v>
      </x:c>
      <x:c r="B118" s="9" t="n">
        <x:v>116</x:v>
      </x:c>
      <x:c r="C118" s="10" t="str">
        <x:v>Put the smallest object in the bowl.</x:v>
      </x:c>
      <x:c r="D118" s="10" t="str">
        <x:v>Bowl: empty. Table, robot-left→robot-right: P1 juggling ball; P2 green block; P3 airplane toy with propellers. Adjacent centers 16 cm apart; row shifted 4 cm toward the robot; all objects fully visible and grasp paths clear.</x:v>
      </x:c>
      <x:c r="E118" s="9"/>
      <x:c r="F118" s="9" t="str">
        <x:v>airplane exposure 556</x:v>
      </x:c>
      <x:c r="G118" s="9" t="str">
        <x:v>MOVE airplane toy with propellers to bowl</x:v>
      </x:c>
      <x:c r="H118" s="10"/>
      <x:c r="I118" s="9" t="str">
        <x:v>Cross-task airplane reasoning</x:v>
      </x:c>
      <x:c r="J118" s="9" t="str">
        <x:v>SZ-XA04</x:v>
      </x:c>
      <x:c r="K118" s="9" t="str">
        <x:v>smallest</x:v>
      </x:c>
      <x:c r="L118" s="9" t="str">
        <x:v>Airplane is smallest</x:v>
      </x:c>
      <x:c r="M118" s="9" t="str">
        <x:v>airplane toy with propellers</x:v>
      </x:c>
      <x:c r="N118" s="9" t="str">
        <x:v>Right</x:v>
      </x:c>
      <x:c r="O118" s="9" t="n">
        <x:v>3</x:v>
      </x:c>
      <x:c r="P118" s="9" t="n">
        <x:v>16</x:v>
      </x:c>
      <x:c r="Q118" s="9" t="str">
        <x:v>Build the listed airplane scene and save a first-frame filename.</x:v>
      </x:c>
      <x:c r="R118" s="10" t="str">
        <x:v>The airplane is smaller than every listed table comparator. Green-block scenes also include a trained larger endpoint so the counterfactual does not test largest×green.</x:v>
      </x:c>
      <x:c r="S118" s="10"/>
    </x:row>
    <x:row r="119" ht="68" customHeight="1">
      <x:c r="A119" s="8" t="str">
        <x:v>Not collected</x:v>
      </x:c>
      <x:c r="B119" s="8" t="n">
        <x:v>117</x:v>
      </x:c>
      <x:c r="C119" s="7" t="str">
        <x:v>Move the object that is largest into the bowl.</x:v>
      </x:c>
      <x:c r="D119" s="7" t="str">
        <x:v>Bowl: empty. Table, robot-left→robot-right: P1 juggling ball; P2 green block; P3 airplane toy with propellers. Adjacent centers 16 cm apart; row shifted 4 cm toward the robot; all objects fully visible and grasp paths clear.</x:v>
      </x:c>
      <x:c r="E119" s="8" t="n">
        <x:v>116</x:v>
      </x:c>
      <x:c r="F119" s="8" t="str">
        <x:v>1126; airplane exposure 556</x:v>
      </x:c>
      <x:c r="G119" s="8" t="str">
        <x:v>MOVE juggling ball to bowl</x:v>
      </x:c>
      <x:c r="H119" s="7"/>
      <x:c r="I119" s="8" t="str">
        <x:v>Cross-task airplane counterfactual</x:v>
      </x:c>
      <x:c r="J119" s="8" t="str">
        <x:v>SZ-XA04</x:v>
      </x:c>
      <x:c r="K119" s="8" t="str">
        <x:v>largest</x:v>
      </x:c>
      <x:c r="L119" s="8" t="str">
        <x:v>Exact-scene opposite-comparison reasoning control</x:v>
      </x:c>
      <x:c r="M119" s="8" t="str">
        <x:v>juggling ball</x:v>
      </x:c>
      <x:c r="N119" s="8" t="str">
        <x:v>Left</x:v>
      </x:c>
      <x:c r="O119" s="8" t="n">
        <x:v>3</x:v>
      </x:c>
      <x:c r="P119" s="8" t="n">
        <x:v>16</x:v>
      </x:c>
      <x:c r="Q119" s="8" t="str">
        <x:v>Reset the airplane; preserve the exact scene and reverse only the size comparison.</x:v>
      </x:c>
      <x:c r="R119" s="7" t="str">
        <x:v>Reasoning-only counterfactual grounded by trained cell largest × juggling ball; an always-pick-airplane shortcut must fail.</x:v>
      </x:c>
      <x:c r="S119" s="7"/>
    </x:row>
    <x:row r="120" ht="68" customHeight="1">
      <x:c r="A120" s="9" t="str">
        <x:v>Not collected</x:v>
      </x:c>
      <x:c r="B120" s="9" t="n">
        <x:v>118</x:v>
      </x:c>
      <x:c r="C120" s="10" t="str">
        <x:v>Put the largest object in the bowl.</x:v>
      </x:c>
      <x:c r="D120" s="10" t="str">
        <x:v>Bowl: empty. Table, robot-left→robot-right: P1 airplane toy with propellers; P2 red pencil sharpener. Adjacent centers 16 cm apart; row shifted 4 cm toward robot-right; all objects fully visible and grasp paths clear.</x:v>
      </x:c>
      <x:c r="E120" s="9"/>
      <x:c r="F120" s="9" t="str">
        <x:v>airplane exposure 558</x:v>
      </x:c>
      <x:c r="G120" s="9" t="str">
        <x:v>MOVE airplane toy with propellers to bowl</x:v>
      </x:c>
      <x:c r="H120" s="10"/>
      <x:c r="I120" s="9" t="str">
        <x:v>Cross-task airplane reasoning</x:v>
      </x:c>
      <x:c r="J120" s="9" t="str">
        <x:v>SZ-XA05</x:v>
      </x:c>
      <x:c r="K120" s="9" t="str">
        <x:v>largest</x:v>
      </x:c>
      <x:c r="L120" s="9" t="str">
        <x:v>Airplane is largest</x:v>
      </x:c>
      <x:c r="M120" s="9" t="str">
        <x:v>airplane toy with propellers</x:v>
      </x:c>
      <x:c r="N120" s="9" t="str">
        <x:v>Left</x:v>
      </x:c>
      <x:c r="O120" s="9" t="n">
        <x:v>2</x:v>
      </x:c>
      <x:c r="P120" s="9" t="n">
        <x:v>16</x:v>
      </x:c>
      <x:c r="Q120" s="9" t="str">
        <x:v>Build the listed airplane scene and save a first-frame filename.</x:v>
      </x:c>
      <x:c r="R120" s="10" t="str">
        <x:v>The airplane is larger than the red pencil sharpener. It is known globally but never received size language in training.</x:v>
      </x:c>
      <x:c r="S120" s="10"/>
    </x:row>
    <x:row r="121" ht="68" customHeight="1">
      <x:c r="A121" s="8" t="str">
        <x:v>Not collected</x:v>
      </x:c>
      <x:c r="B121" s="8" t="n">
        <x:v>119</x:v>
      </x:c>
      <x:c r="C121" s="7" t="str">
        <x:v>Pick up the smallest item and place it in the bowl.</x:v>
      </x:c>
      <x:c r="D121" s="7" t="str">
        <x:v>Bowl: empty. Table, robot-left→robot-right: P1 airplane toy with propellers; P2 red pencil sharpener. Adjacent centers 16 cm apart; row shifted 4 cm toward robot-right; all objects fully visible and grasp paths clear.</x:v>
      </x:c>
      <x:c r="E121" s="8" t="n">
        <x:v>118</x:v>
      </x:c>
      <x:c r="F121" s="8" t="str">
        <x:v>1007; airplane exposure 558</x:v>
      </x:c>
      <x:c r="G121" s="8" t="str">
        <x:v>MOVE red pencil sharpener to bowl</x:v>
      </x:c>
      <x:c r="H121" s="7"/>
      <x:c r="I121" s="8" t="str">
        <x:v>Cross-task airplane counterfactual</x:v>
      </x:c>
      <x:c r="J121" s="8" t="str">
        <x:v>SZ-XA05</x:v>
      </x:c>
      <x:c r="K121" s="8" t="str">
        <x:v>smallest</x:v>
      </x:c>
      <x:c r="L121" s="8" t="str">
        <x:v>Exact-scene opposite-comparison reasoning control</x:v>
      </x:c>
      <x:c r="M121" s="8" t="str">
        <x:v>red pencil sharpener</x:v>
      </x:c>
      <x:c r="N121" s="8" t="str">
        <x:v>Right</x:v>
      </x:c>
      <x:c r="O121" s="8" t="n">
        <x:v>2</x:v>
      </x:c>
      <x:c r="P121" s="8" t="n">
        <x:v>16</x:v>
      </x:c>
      <x:c r="Q121" s="8" t="str">
        <x:v>Reset the airplane; preserve the exact scene and reverse only the size comparison.</x:v>
      </x:c>
      <x:c r="R121" s="7" t="str">
        <x:v>Reasoning-only counterfactual grounded by trained cell smallest × red pencil sharpener; an always-pick-airplane shortcut must fail.</x:v>
      </x:c>
      <x:c r="S121" s="7"/>
    </x:row>
    <x:row r="122" ht="68" customHeight="1">
      <x:c r="A122" s="9" t="str">
        <x:v>Not collected</x:v>
      </x:c>
      <x:c r="B122" s="9" t="n">
        <x:v>120</x:v>
      </x:c>
      <x:c r="C122" s="10" t="str">
        <x:v>Move the object that is smallest into the bowl.</x:v>
      </x:c>
      <x:c r="D122" s="10" t="str">
        <x:v>Bowl: empty. Table, robot-left→robot-right: P1 green block; P2 crushed Pepsi can; P3 airplane toy with propellers. Adjacent centers 8 cm apart; row shifted 4 cm away from the robot; all objects fully visible and grasp paths clear.</x:v>
      </x:c>
      <x:c r="E122" s="9"/>
      <x:c r="F122" s="9" t="str">
        <x:v>airplane exposure 560</x:v>
      </x:c>
      <x:c r="G122" s="9" t="str">
        <x:v>MOVE airplane toy with propellers to bowl</x:v>
      </x:c>
      <x:c r="H122" s="10"/>
      <x:c r="I122" s="9" t="str">
        <x:v>Cross-task airplane reasoning</x:v>
      </x:c>
      <x:c r="J122" s="9" t="str">
        <x:v>SZ-XA06</x:v>
      </x:c>
      <x:c r="K122" s="9" t="str">
        <x:v>smallest</x:v>
      </x:c>
      <x:c r="L122" s="9" t="str">
        <x:v>Airplane is smallest</x:v>
      </x:c>
      <x:c r="M122" s="9" t="str">
        <x:v>airplane toy with propellers</x:v>
      </x:c>
      <x:c r="N122" s="9" t="str">
        <x:v>Right</x:v>
      </x:c>
      <x:c r="O122" s="9" t="n">
        <x:v>3</x:v>
      </x:c>
      <x:c r="P122" s="9" t="n">
        <x:v>8</x:v>
      </x:c>
      <x:c r="Q122" s="9" t="str">
        <x:v>Build the listed airplane scene and save a first-frame filename.</x:v>
      </x:c>
      <x:c r="R122" s="10" t="str">
        <x:v>The airplane is smaller than every listed table comparator. Green-block scenes also include a trained larger endpoint so the counterfactual does not test largest×green.</x:v>
      </x:c>
      <x:c r="S122" s="10"/>
    </x:row>
    <x:row r="123" ht="68" customHeight="1">
      <x:c r="A123" s="8" t="str">
        <x:v>Not collected</x:v>
      </x:c>
      <x:c r="B123" s="8" t="n">
        <x:v>121</x:v>
      </x:c>
      <x:c r="C123" s="7" t="str">
        <x:v>Pick up the largest item and place it in the bowl.</x:v>
      </x:c>
      <x:c r="D123" s="7" t="str">
        <x:v>Bowl: empty. Table, robot-left→robot-right: P1 green block; P2 crushed Pepsi can; P3 airplane toy with propellers. Adjacent centers 8 cm apart; row shifted 4 cm away from the robot; all objects fully visible and grasp paths clear.</x:v>
      </x:c>
      <x:c r="E123" s="8" t="n">
        <x:v>120</x:v>
      </x:c>
      <x:c r="F123" s="8" t="str">
        <x:v>1157; airplane exposure 560</x:v>
      </x:c>
      <x:c r="G123" s="8" t="str">
        <x:v>MOVE crushed Pepsi can to bowl</x:v>
      </x:c>
      <x:c r="H123" s="7"/>
      <x:c r="I123" s="8" t="str">
        <x:v>Cross-task airplane counterfactual</x:v>
      </x:c>
      <x:c r="J123" s="8" t="str">
        <x:v>SZ-XA06</x:v>
      </x:c>
      <x:c r="K123" s="8" t="str">
        <x:v>largest</x:v>
      </x:c>
      <x:c r="L123" s="8" t="str">
        <x:v>Exact-scene opposite-comparison reasoning control</x:v>
      </x:c>
      <x:c r="M123" s="8" t="str">
        <x:v>crushed Pepsi can</x:v>
      </x:c>
      <x:c r="N123" s="8" t="str">
        <x:v>Center</x:v>
      </x:c>
      <x:c r="O123" s="8" t="n">
        <x:v>3</x:v>
      </x:c>
      <x:c r="P123" s="8" t="n">
        <x:v>8</x:v>
      </x:c>
      <x:c r="Q123" s="8" t="str">
        <x:v>Reset the airplane; preserve the exact scene and reverse only the size comparison.</x:v>
      </x:c>
      <x:c r="R123" s="7" t="str">
        <x:v>Reasoning-only counterfactual grounded by trained cell largest × crushed Pepsi can; an always-pick-airplane shortcut must fail.</x:v>
      </x:c>
      <x:c r="S123" s="7"/>
    </x:row>
    <x:row r="124" ht="68" customHeight="1">
      <x:c r="A124" s="9" t="str">
        <x:v>Not collected</x:v>
      </x:c>
      <x:c r="B124" s="9" t="n">
        <x:v>122</x:v>
      </x:c>
      <x:c r="C124" s="10" t="str">
        <x:v>Move the object that is largest into the bowl.</x:v>
      </x:c>
      <x:c r="D124" s="10" t="str">
        <x:v>Bowl: empty. Table, robot-left→robot-right: P1 red pencil sharpener; P2 airplane toy with propellers. Adjacent centers 8 cm apart; row shifted 4 cm toward the robot; all objects fully visible and grasp paths clear.</x:v>
      </x:c>
      <x:c r="E124" s="9"/>
      <x:c r="F124" s="9" t="str">
        <x:v>airplane exposure 562</x:v>
      </x:c>
      <x:c r="G124" s="9" t="str">
        <x:v>MOVE airplane toy with propellers to bowl</x:v>
      </x:c>
      <x:c r="H124" s="10"/>
      <x:c r="I124" s="9" t="str">
        <x:v>Cross-task airplane reasoning</x:v>
      </x:c>
      <x:c r="J124" s="9" t="str">
        <x:v>SZ-XA07</x:v>
      </x:c>
      <x:c r="K124" s="9" t="str">
        <x:v>largest</x:v>
      </x:c>
      <x:c r="L124" s="9" t="str">
        <x:v>Airplane is largest</x:v>
      </x:c>
      <x:c r="M124" s="9" t="str">
        <x:v>airplane toy with propellers</x:v>
      </x:c>
      <x:c r="N124" s="9" t="str">
        <x:v>Right</x:v>
      </x:c>
      <x:c r="O124" s="9" t="n">
        <x:v>2</x:v>
      </x:c>
      <x:c r="P124" s="9" t="n">
        <x:v>8</x:v>
      </x:c>
      <x:c r="Q124" s="9" t="str">
        <x:v>Build the listed airplane scene and save a first-frame filename.</x:v>
      </x:c>
      <x:c r="R124" s="10" t="str">
        <x:v>The airplane is larger than the red pencil sharpener. It is known globally but never received size language in training.</x:v>
      </x:c>
      <x:c r="S124" s="10"/>
    </x:row>
    <x:row r="125" ht="68" customHeight="1">
      <x:c r="A125" s="8" t="str">
        <x:v>Not collected</x:v>
      </x:c>
      <x:c r="B125" s="8" t="n">
        <x:v>123</x:v>
      </x:c>
      <x:c r="C125" s="7" t="str">
        <x:v>Put the smallest object in the bowl.</x:v>
      </x:c>
      <x:c r="D125" s="7" t="str">
        <x:v>Bowl: empty. Table, robot-left→robot-right: P1 red pencil sharpener; P2 airplane toy with propellers. Adjacent centers 8 cm apart; row shifted 4 cm toward the robot; all objects fully visible and grasp paths clear.</x:v>
      </x:c>
      <x:c r="E125" s="8" t="n">
        <x:v>122</x:v>
      </x:c>
      <x:c r="F125" s="8" t="str">
        <x:v>1008; airplane exposure 562</x:v>
      </x:c>
      <x:c r="G125" s="8" t="str">
        <x:v>MOVE red pencil sharpener to bowl</x:v>
      </x:c>
      <x:c r="H125" s="7"/>
      <x:c r="I125" s="8" t="str">
        <x:v>Cross-task airplane counterfactual</x:v>
      </x:c>
      <x:c r="J125" s="8" t="str">
        <x:v>SZ-XA07</x:v>
      </x:c>
      <x:c r="K125" s="8" t="str">
        <x:v>smallest</x:v>
      </x:c>
      <x:c r="L125" s="8" t="str">
        <x:v>Exact-scene opposite-comparison reasoning control</x:v>
      </x:c>
      <x:c r="M125" s="8" t="str">
        <x:v>red pencil sharpener</x:v>
      </x:c>
      <x:c r="N125" s="8" t="str">
        <x:v>Left</x:v>
      </x:c>
      <x:c r="O125" s="8" t="n">
        <x:v>2</x:v>
      </x:c>
      <x:c r="P125" s="8" t="n">
        <x:v>8</x:v>
      </x:c>
      <x:c r="Q125" s="8" t="str">
        <x:v>Reset the airplane; preserve the exact scene and reverse only the size comparison.</x:v>
      </x:c>
      <x:c r="R125" s="7" t="str">
        <x:v>Reasoning-only counterfactual grounded by trained cell smallest × red pencil sharpener; an always-pick-airplane shortcut must fail.</x:v>
      </x:c>
      <x:c r="S125" s="7"/>
    </x:row>
    <x:row r="126" ht="68" customHeight="1">
      <x:c r="A126" s="9" t="str">
        <x:v>Not collected</x:v>
      </x:c>
      <x:c r="B126" s="9" t="n">
        <x:v>124</x:v>
      </x:c>
      <x:c r="C126" s="10" t="str">
        <x:v>Pick up the smallest item and place it in the bowl.</x:v>
      </x:c>
      <x:c r="D126" s="10" t="str">
        <x:v>Bowl: empty. Table, robot-left→robot-right: P1 airplane toy with propellers; P2 green block; P3 juggling ball. Adjacent centers 12 cm apart; row centered on the workspace; all objects fully visible and grasp paths clear.</x:v>
      </x:c>
      <x:c r="E126" s="9"/>
      <x:c r="F126" s="9" t="str">
        <x:v>airplane exposure 564</x:v>
      </x:c>
      <x:c r="G126" s="9" t="str">
        <x:v>MOVE airplane toy with propellers to bowl</x:v>
      </x:c>
      <x:c r="H126" s="10"/>
      <x:c r="I126" s="9" t="str">
        <x:v>Cross-task airplane reasoning</x:v>
      </x:c>
      <x:c r="J126" s="9" t="str">
        <x:v>SZ-XA08</x:v>
      </x:c>
      <x:c r="K126" s="9" t="str">
        <x:v>smallest</x:v>
      </x:c>
      <x:c r="L126" s="9" t="str">
        <x:v>Airplane is smallest</x:v>
      </x:c>
      <x:c r="M126" s="9" t="str">
        <x:v>airplane toy with propellers</x:v>
      </x:c>
      <x:c r="N126" s="9" t="str">
        <x:v>Left</x:v>
      </x:c>
      <x:c r="O126" s="9" t="n">
        <x:v>3</x:v>
      </x:c>
      <x:c r="P126" s="9" t="n">
        <x:v>12</x:v>
      </x:c>
      <x:c r="Q126" s="9" t="str">
        <x:v>Build the listed airplane scene and save a first-frame filename.</x:v>
      </x:c>
      <x:c r="R126" s="10" t="str">
        <x:v>The airplane is smaller than every listed table comparator. Green-block scenes also include a trained larger endpoint so the counterfactual does not test largest×green.</x:v>
      </x:c>
      <x:c r="S126" s="10"/>
    </x:row>
    <x:row r="127" ht="68" customHeight="1">
      <x:c r="A127" s="8" t="str">
        <x:v>Not collected</x:v>
      </x:c>
      <x:c r="B127" s="8" t="n">
        <x:v>125</x:v>
      </x:c>
      <x:c r="C127" s="7" t="str">
        <x:v>Put the largest object in the bowl.</x:v>
      </x:c>
      <x:c r="D127" s="7" t="str">
        <x:v>Bowl: empty. Table, robot-left→robot-right: P1 airplane toy with propellers; P2 green block; P3 juggling ball. Adjacent centers 12 cm apart; row centered on the workspace; all objects fully visible and grasp paths clear.</x:v>
      </x:c>
      <x:c r="E127" s="8" t="n">
        <x:v>124</x:v>
      </x:c>
      <x:c r="F127" s="8" t="str">
        <x:v>1128; airplane exposure 564</x:v>
      </x:c>
      <x:c r="G127" s="8" t="str">
        <x:v>MOVE juggling ball to bowl</x:v>
      </x:c>
      <x:c r="H127" s="7"/>
      <x:c r="I127" s="8" t="str">
        <x:v>Cross-task airplane counterfactual</x:v>
      </x:c>
      <x:c r="J127" s="8" t="str">
        <x:v>SZ-XA08</x:v>
      </x:c>
      <x:c r="K127" s="8" t="str">
        <x:v>largest</x:v>
      </x:c>
      <x:c r="L127" s="8" t="str">
        <x:v>Exact-scene opposite-comparison reasoning control</x:v>
      </x:c>
      <x:c r="M127" s="8" t="str">
        <x:v>juggling ball</x:v>
      </x:c>
      <x:c r="N127" s="8" t="str">
        <x:v>Right</x:v>
      </x:c>
      <x:c r="O127" s="8" t="n">
        <x:v>3</x:v>
      </x:c>
      <x:c r="P127" s="8" t="n">
        <x:v>12</x:v>
      </x:c>
      <x:c r="Q127" s="8" t="str">
        <x:v>Reset the airplane; preserve the exact scene and reverse only the size comparison.</x:v>
      </x:c>
      <x:c r="R127" s="7" t="str">
        <x:v>Reasoning-only counterfactual grounded by trained cell largest × juggling ball; an always-pick-airplane shortcut must fail.</x:v>
      </x:c>
      <x:c r="S127" s="7"/>
    </x:row>
    <x:row r="128" ht="68" customHeight="1">
      <x:c r="A128" s="9" t="str">
        <x:v>Not collected</x:v>
      </x:c>
      <x:c r="B128" s="9" t="n">
        <x:v>126</x:v>
      </x:c>
      <x:c r="C128" s="10" t="str">
        <x:v>Pick up the largest item and place it in the bowl.</x:v>
      </x:c>
      <x:c r="D128" s="10" t="str">
        <x:v>Bowl: empty. Table, robot-left→robot-right: P1 airplane toy with propellers; P2 red pencil sharpener. Adjacent centers 12 cm apart; row shifted 4 cm away from the robot; all objects fully visible and grasp paths clear.</x:v>
      </x:c>
      <x:c r="E128" s="9"/>
      <x:c r="F128" s="9" t="str">
        <x:v>airplane exposure 566</x:v>
      </x:c>
      <x:c r="G128" s="9" t="str">
        <x:v>MOVE airplane toy with propellers to bowl</x:v>
      </x:c>
      <x:c r="H128" s="10"/>
      <x:c r="I128" s="9" t="str">
        <x:v>Cross-task airplane reasoning</x:v>
      </x:c>
      <x:c r="J128" s="9" t="str">
        <x:v>SZ-XA09</x:v>
      </x:c>
      <x:c r="K128" s="9" t="str">
        <x:v>largest</x:v>
      </x:c>
      <x:c r="L128" s="9" t="str">
        <x:v>Airplane is largest</x:v>
      </x:c>
      <x:c r="M128" s="9" t="str">
        <x:v>airplane toy with propellers</x:v>
      </x:c>
      <x:c r="N128" s="9" t="str">
        <x:v>Left</x:v>
      </x:c>
      <x:c r="O128" s="9" t="n">
        <x:v>2</x:v>
      </x:c>
      <x:c r="P128" s="9" t="n">
        <x:v>12</x:v>
      </x:c>
      <x:c r="Q128" s="9" t="str">
        <x:v>Build the listed airplane scene and save a first-frame filename.</x:v>
      </x:c>
      <x:c r="R128" s="10" t="str">
        <x:v>The airplane is larger than the red pencil sharpener. It is known globally but never received size language in training.</x:v>
      </x:c>
      <x:c r="S128" s="10"/>
    </x:row>
    <x:row r="129" ht="68" customHeight="1">
      <x:c r="A129" s="8" t="str">
        <x:v>Not collected</x:v>
      </x:c>
      <x:c r="B129" s="8" t="n">
        <x:v>127</x:v>
      </x:c>
      <x:c r="C129" s="7" t="str">
        <x:v>Move the object that is smallest into the bowl.</x:v>
      </x:c>
      <x:c r="D129" s="7" t="str">
        <x:v>Bowl: empty. Table, robot-left→robot-right: P1 airplane toy with propellers; P2 red pencil sharpener. Adjacent centers 12 cm apart; row shifted 4 cm away from the robot; all objects fully visible and grasp paths clear.</x:v>
      </x:c>
      <x:c r="E129" s="8" t="n">
        <x:v>126</x:v>
      </x:c>
      <x:c r="F129" s="8" t="str">
        <x:v>1009; airplane exposure 566</x:v>
      </x:c>
      <x:c r="G129" s="8" t="str">
        <x:v>MOVE red pencil sharpener to bowl</x:v>
      </x:c>
      <x:c r="H129" s="7"/>
      <x:c r="I129" s="8" t="str">
        <x:v>Cross-task airplane counterfactual</x:v>
      </x:c>
      <x:c r="J129" s="8" t="str">
        <x:v>SZ-XA09</x:v>
      </x:c>
      <x:c r="K129" s="8" t="str">
        <x:v>smallest</x:v>
      </x:c>
      <x:c r="L129" s="8" t="str">
        <x:v>Exact-scene opposite-comparison reasoning control</x:v>
      </x:c>
      <x:c r="M129" s="8" t="str">
        <x:v>red pencil sharpener</x:v>
      </x:c>
      <x:c r="N129" s="8" t="str">
        <x:v>Right</x:v>
      </x:c>
      <x:c r="O129" s="8" t="n">
        <x:v>2</x:v>
      </x:c>
      <x:c r="P129" s="8" t="n">
        <x:v>12</x:v>
      </x:c>
      <x:c r="Q129" s="8" t="str">
        <x:v>Reset the airplane; preserve the exact scene and reverse only the size comparison.</x:v>
      </x:c>
      <x:c r="R129" s="7" t="str">
        <x:v>Reasoning-only counterfactual grounded by trained cell smallest × red pencil sharpener; an always-pick-airplane shortcut must fail.</x:v>
      </x:c>
      <x:c r="S129" s="7"/>
    </x:row>
    <x:row r="130" ht="68" customHeight="1">
      <x:c r="A130" s="9" t="str">
        <x:v>Not collected</x:v>
      </x:c>
      <x:c r="B130" s="9" t="n">
        <x:v>128</x:v>
      </x:c>
      <x:c r="C130" s="10" t="str">
        <x:v>Put the smallest object in the bowl.</x:v>
      </x:c>
      <x:c r="D130" s="10" t="str">
        <x:v>Bowl: empty. Table, robot-left→robot-right: P1 crushed Pepsi can; P2 juggling ball; P3 airplane toy with propellers. Adjacent centers 16 cm apart; row shifted 4 cm toward robot-left; all objects fully visible and grasp paths clear.</x:v>
      </x:c>
      <x:c r="E130" s="9"/>
      <x:c r="F130" s="9" t="str">
        <x:v>airplane exposure 568</x:v>
      </x:c>
      <x:c r="G130" s="9" t="str">
        <x:v>MOVE airplane toy with propellers to bowl</x:v>
      </x:c>
      <x:c r="H130" s="10"/>
      <x:c r="I130" s="9" t="str">
        <x:v>Cross-task airplane reasoning</x:v>
      </x:c>
      <x:c r="J130" s="9" t="str">
        <x:v>SZ-XA10</x:v>
      </x:c>
      <x:c r="K130" s="9" t="str">
        <x:v>smallest</x:v>
      </x:c>
      <x:c r="L130" s="9" t="str">
        <x:v>Airplane is smallest</x:v>
      </x:c>
      <x:c r="M130" s="9" t="str">
        <x:v>airplane toy with propellers</x:v>
      </x:c>
      <x:c r="N130" s="9" t="str">
        <x:v>Right</x:v>
      </x:c>
      <x:c r="O130" s="9" t="n">
        <x:v>3</x:v>
      </x:c>
      <x:c r="P130" s="9" t="n">
        <x:v>16</x:v>
      </x:c>
      <x:c r="Q130" s="9" t="str">
        <x:v>Build the listed airplane scene and save a first-frame filename.</x:v>
      </x:c>
      <x:c r="R130" s="10" t="str">
        <x:v>The airplane is smaller than every listed table comparator. Green-block scenes also include a trained larger endpoint so the counterfactual does not test largest×green.</x:v>
      </x:c>
      <x:c r="S130" s="10"/>
    </x:row>
    <x:row r="131" ht="68" customHeight="1">
      <x:c r="A131" s="8" t="str">
        <x:v>Not collected</x:v>
      </x:c>
      <x:c r="B131" s="8" t="n">
        <x:v>129</x:v>
      </x:c>
      <x:c r="C131" s="7" t="str">
        <x:v>Move the object that is largest into the bowl.</x:v>
      </x:c>
      <x:c r="D131" s="7" t="str">
        <x:v>Bowl: empty. Table, robot-left→robot-right: P1 crushed Pepsi can; P2 juggling ball; P3 airplane toy with propellers. Adjacent centers 16 cm apart; row shifted 4 cm toward robot-left; all objects fully visible and grasp paths clear.</x:v>
      </x:c>
      <x:c r="E131" s="8" t="n">
        <x:v>128</x:v>
      </x:c>
      <x:c r="F131" s="8" t="str">
        <x:v>1159; airplane exposure 568</x:v>
      </x:c>
      <x:c r="G131" s="8" t="str">
        <x:v>MOVE crushed Pepsi can to bowl</x:v>
      </x:c>
      <x:c r="H131" s="7"/>
      <x:c r="I131" s="8" t="str">
        <x:v>Cross-task airplane counterfactual</x:v>
      </x:c>
      <x:c r="J131" s="8" t="str">
        <x:v>SZ-XA10</x:v>
      </x:c>
      <x:c r="K131" s="8" t="str">
        <x:v>largest</x:v>
      </x:c>
      <x:c r="L131" s="8" t="str">
        <x:v>Exact-scene opposite-comparison reasoning control</x:v>
      </x:c>
      <x:c r="M131" s="8" t="str">
        <x:v>crushed Pepsi can</x:v>
      </x:c>
      <x:c r="N131" s="8" t="str">
        <x:v>Left</x:v>
      </x:c>
      <x:c r="O131" s="8" t="n">
        <x:v>3</x:v>
      </x:c>
      <x:c r="P131" s="8" t="n">
        <x:v>16</x:v>
      </x:c>
      <x:c r="Q131" s="8" t="str">
        <x:v>Reset the airplane; preserve the exact scene and reverse only the size comparison.</x:v>
      </x:c>
      <x:c r="R131" s="7" t="str">
        <x:v>Reasoning-only counterfactual grounded by trained cell largest × crushed Pepsi can; an always-pick-airplane shortcut must fail.</x:v>
      </x:c>
      <x:c r="S131" s="7"/>
    </x:row>
    <x:row r="132" ht="68" customHeight="1">
      <x:c r="A132" s="9" t="str">
        <x:v>Not collected</x:v>
      </x:c>
      <x:c r="B132" s="9" t="n">
        <x:v>130</x:v>
      </x:c>
      <x:c r="C132" s="10" t="str">
        <x:v>Move the object that is smallest into the bowl.</x:v>
      </x:c>
      <x:c r="D132" s="10" t="str">
        <x:v>Bowl: red pencil sharpener. Table: green block. row centered on the workspace; every object fully visible. The requested extremal object is already in the bowl.</x:v>
      </x:c>
      <x:c r="E132" s="9"/>
      <x:c r="F132" s="9" t="str">
        <x:v>1010</x:v>
      </x:c>
      <x:c r="G132" s="9" t="str">
        <x:v>NO MOVEMENT — goal already satisfied</x:v>
      </x:c>
      <x:c r="H132" s="10"/>
      <x:c r="I132" s="9" t="str">
        <x:v>Goal already satisfied / no movement</x:v>
      </x:c>
      <x:c r="J132" s="9" t="str">
        <x:v>SZ-NOOP-1-1</x:v>
      </x:c>
      <x:c r="K132" s="9" t="str">
        <x:v>smallest</x:v>
      </x:c>
      <x:c r="L132" s="9" t="str">
        <x:v>Trained smallest × red pencil sharpener; target already in bowl</x:v>
      </x:c>
      <x:c r="M132" s="9" t="str">
        <x:v>red pencil sharpener</x:v>
      </x:c>
      <x:c r="N132" s="9" t="str">
        <x:v>In bowl</x:v>
      </x:c>
      <x:c r="O132" s="9" t="n">
        <x:v>2</x:v>
      </x:c>
      <x:c r="P132" s="9"/>
      <x:c r="Q132" s="9" t="str">
        <x:v>Place the target in the bowl before starting; arrange the listed distractors on the table.</x:v>
      </x:c>
      <x:c r="R132" s="10" t="str">
        <x:v>Normal training-supported size wording is retained, so no-movement behavior is not correlated with a special phrase. Success requires no object contact or displacement.</x:v>
      </x:c>
      <x:c r="S132" s="10"/>
    </x:row>
    <x:row r="133" ht="68" customHeight="1">
      <x:c r="A133" s="9" t="str">
        <x:v>Not collected</x:v>
      </x:c>
      <x:c r="B133" s="9" t="n">
        <x:v>131</x:v>
      </x:c>
      <x:c r="C133" s="10" t="str">
        <x:v>Pick up the smallest item and place it in the bowl.</x:v>
      </x:c>
      <x:c r="D133" s="10" t="str">
        <x:v>Bowl: green block. Table: juggling ball. row shifted 4 cm toward robot-left; every object fully visible. The requested extremal object is already in the bowl.</x:v>
      </x:c>
      <x:c r="E133" s="9"/>
      <x:c r="F133" s="9" t="str">
        <x:v>1055</x:v>
      </x:c>
      <x:c r="G133" s="9" t="str">
        <x:v>NO MOVEMENT — goal already satisfied</x:v>
      </x:c>
      <x:c r="H133" s="10"/>
      <x:c r="I133" s="9" t="str">
        <x:v>Goal already satisfied / no movement</x:v>
      </x:c>
      <x:c r="J133" s="9" t="str">
        <x:v>SZ-NOOP-2-1</x:v>
      </x:c>
      <x:c r="K133" s="9" t="str">
        <x:v>smallest</x:v>
      </x:c>
      <x:c r="L133" s="9" t="str">
        <x:v>Trained smallest × green block; target already in bowl</x:v>
      </x:c>
      <x:c r="M133" s="9" t="str">
        <x:v>green block</x:v>
      </x:c>
      <x:c r="N133" s="9" t="str">
        <x:v>In bowl</x:v>
      </x:c>
      <x:c r="O133" s="9" t="n">
        <x:v>2</x:v>
      </x:c>
      <x:c r="P133" s="9"/>
      <x:c r="Q133" s="9" t="str">
        <x:v>Place the target in the bowl before starting; arrange the listed distractors on the table.</x:v>
      </x:c>
      <x:c r="R133" s="10" t="str">
        <x:v>Normal training-supported size wording is retained, so no-movement behavior is not correlated with a special phrase. Success requires no object contact or displacement.</x:v>
      </x:c>
      <x:c r="S133" s="10"/>
    </x:row>
    <x:row r="134" ht="68" customHeight="1">
      <x:c r="A134" s="9" t="str">
        <x:v>Not collected</x:v>
      </x:c>
      <x:c r="B134" s="9" t="n">
        <x:v>132</x:v>
      </x:c>
      <x:c r="C134" s="10" t="str">
        <x:v>Put the largest object in the bowl.</x:v>
      </x:c>
      <x:c r="D134" s="10" t="str">
        <x:v>Bowl: juggling ball. Table: red pencil sharpener. row shifted 4 cm toward robot-right; every object fully visible. The requested extremal object is already in the bowl.</x:v>
      </x:c>
      <x:c r="E134" s="9"/>
      <x:c r="F134" s="9" t="str">
        <x:v>1130</x:v>
      </x:c>
      <x:c r="G134" s="9" t="str">
        <x:v>NO MOVEMENT — goal already satisfied</x:v>
      </x:c>
      <x:c r="H134" s="10"/>
      <x:c r="I134" s="9" t="str">
        <x:v>Goal already satisfied / no movement</x:v>
      </x:c>
      <x:c r="J134" s="9" t="str">
        <x:v>SZ-NOOP-3-1</x:v>
      </x:c>
      <x:c r="K134" s="9" t="str">
        <x:v>largest</x:v>
      </x:c>
      <x:c r="L134" s="9" t="str">
        <x:v>Trained largest × juggling ball; target already in bowl</x:v>
      </x:c>
      <x:c r="M134" s="9" t="str">
        <x:v>juggling ball</x:v>
      </x:c>
      <x:c r="N134" s="9" t="str">
        <x:v>In bowl</x:v>
      </x:c>
      <x:c r="O134" s="9" t="n">
        <x:v>2</x:v>
      </x:c>
      <x:c r="P134" s="9"/>
      <x:c r="Q134" s="9" t="str">
        <x:v>Place the target in the bowl before starting; arrange the listed distractors on the table.</x:v>
      </x:c>
      <x:c r="R134" s="10" t="str">
        <x:v>Normal training-supported size wording is retained, so no-movement behavior is not correlated with a special phrase. Success requires no object contact or displacement.</x:v>
      </x:c>
      <x:c r="S134" s="10"/>
    </x:row>
    <x:row r="135" ht="68" customHeight="1">
      <x:c r="A135" s="9" t="str">
        <x:v>Not collected</x:v>
      </x:c>
      <x:c r="B135" s="9" t="n">
        <x:v>133</x:v>
      </x:c>
      <x:c r="C135" s="10" t="str">
        <x:v>Move the object that is largest into the bowl.</x:v>
      </x:c>
      <x:c r="D135" s="10" t="str">
        <x:v>Bowl: crushed Pepsi can. Table: juggling ball. row shifted 4 cm toward the robot; every object fully visible. The requested extremal object is already in the bowl.</x:v>
      </x:c>
      <x:c r="E135" s="9"/>
      <x:c r="F135" s="9" t="str">
        <x:v>1160</x:v>
      </x:c>
      <x:c r="G135" s="9" t="str">
        <x:v>NO MOVEMENT — goal already satisfied</x:v>
      </x:c>
      <x:c r="H135" s="10"/>
      <x:c r="I135" s="9" t="str">
        <x:v>Goal already satisfied / no movement</x:v>
      </x:c>
      <x:c r="J135" s="9" t="str">
        <x:v>SZ-NOOP-4-1</x:v>
      </x:c>
      <x:c r="K135" s="9" t="str">
        <x:v>largest</x:v>
      </x:c>
      <x:c r="L135" s="9" t="str">
        <x:v>Trained largest × crushed Pepsi can; target already in bowl</x:v>
      </x:c>
      <x:c r="M135" s="9" t="str">
        <x:v>crushed Pepsi can</x:v>
      </x:c>
      <x:c r="N135" s="9" t="str">
        <x:v>In bowl</x:v>
      </x:c>
      <x:c r="O135" s="9" t="n">
        <x:v>2</x:v>
      </x:c>
      <x:c r="P135" s="9"/>
      <x:c r="Q135" s="9" t="str">
        <x:v>Place the target in the bowl before starting; arrange the listed distractors on the table.</x:v>
      </x:c>
      <x:c r="R135" s="10" t="str">
        <x:v>Normal training-supported size wording is retained, so no-movement behavior is not correlated with a special phrase. Success requires no object contact or displacement.</x:v>
      </x:c>
      <x:c r="S135" s="10"/>
    </x:row>
    <x:row r="136" ht="68" customHeight="1">
      <x:c r="A136" s="9" t="str">
        <x:v>Not collected</x:v>
      </x:c>
      <x:c r="B136" s="9" t="n">
        <x:v>134</x:v>
      </x:c>
      <x:c r="C136" s="10" t="str">
        <x:v>Pick up the smallest item and place it in the bowl.</x:v>
      </x:c>
      <x:c r="D136" s="10" t="str">
        <x:v>Bowl: red pencil sharpener. Table: juggling ball; crushed Pepsi can. row shifted 4 cm toward robot-left; every object fully visible. The requested extremal object is already in the bowl.</x:v>
      </x:c>
      <x:c r="E136" s="9"/>
      <x:c r="F136" s="9" t="str">
        <x:v>1011</x:v>
      </x:c>
      <x:c r="G136" s="9" t="str">
        <x:v>NO MOVEMENT — goal already satisfied</x:v>
      </x:c>
      <x:c r="H136" s="10"/>
      <x:c r="I136" s="9" t="str">
        <x:v>Goal already satisfied / no movement</x:v>
      </x:c>
      <x:c r="J136" s="9" t="str">
        <x:v>SZ-NOOP-1-2</x:v>
      </x:c>
      <x:c r="K136" s="9" t="str">
        <x:v>smallest</x:v>
      </x:c>
      <x:c r="L136" s="9" t="str">
        <x:v>Trained smallest × red pencil sharpener; target already in bowl</x:v>
      </x:c>
      <x:c r="M136" s="9" t="str">
        <x:v>red pencil sharpener</x:v>
      </x:c>
      <x:c r="N136" s="9" t="str">
        <x:v>In bowl</x:v>
      </x:c>
      <x:c r="O136" s="9" t="n">
        <x:v>3</x:v>
      </x:c>
      <x:c r="P136" s="9"/>
      <x:c r="Q136" s="9" t="str">
        <x:v>Place the target in the bowl before starting; arrange the listed distractors on the table.</x:v>
      </x:c>
      <x:c r="R136" s="10" t="str">
        <x:v>Normal training-supported size wording is retained, so no-movement behavior is not correlated with a special phrase. Success requires no object contact or displacement.</x:v>
      </x:c>
      <x:c r="S136" s="10"/>
    </x:row>
    <x:row r="137" ht="68" customHeight="1">
      <x:c r="A137" s="9" t="str">
        <x:v>Not collected</x:v>
      </x:c>
      <x:c r="B137" s="9" t="n">
        <x:v>135</x:v>
      </x:c>
      <x:c r="C137" s="10" t="str">
        <x:v>Put the smallest object in the bowl.</x:v>
      </x:c>
      <x:c r="D137" s="10" t="str">
        <x:v>Bowl: green block. Table: crushed Pepsi can. row shifted 4 cm toward robot-right; every object fully visible. The requested extremal object is already in the bowl.</x:v>
      </x:c>
      <x:c r="E137" s="9"/>
      <x:c r="F137" s="9" t="str">
        <x:v>1056</x:v>
      </x:c>
      <x:c r="G137" s="9" t="str">
        <x:v>NO MOVEMENT — goal already satisfied</x:v>
      </x:c>
      <x:c r="H137" s="10"/>
      <x:c r="I137" s="9" t="str">
        <x:v>Goal already satisfied / no movement</x:v>
      </x:c>
      <x:c r="J137" s="9" t="str">
        <x:v>SZ-NOOP-2-2</x:v>
      </x:c>
      <x:c r="K137" s="9" t="str">
        <x:v>smallest</x:v>
      </x:c>
      <x:c r="L137" s="9" t="str">
        <x:v>Trained smallest × green block; target already in bowl</x:v>
      </x:c>
      <x:c r="M137" s="9" t="str">
        <x:v>green block</x:v>
      </x:c>
      <x:c r="N137" s="9" t="str">
        <x:v>In bowl</x:v>
      </x:c>
      <x:c r="O137" s="9" t="n">
        <x:v>2</x:v>
      </x:c>
      <x:c r="P137" s="9"/>
      <x:c r="Q137" s="9" t="str">
        <x:v>Place the target in the bowl before starting; arrange the listed distractors on the table.</x:v>
      </x:c>
      <x:c r="R137" s="10" t="str">
        <x:v>Normal training-supported size wording is retained, so no-movement behavior is not correlated with a special phrase. Success requires no object contact or displacement.</x:v>
      </x:c>
      <x:c r="S137" s="10"/>
    </x:row>
    <x:row r="138" ht="68" customHeight="1">
      <x:c r="A138" s="9" t="str">
        <x:v>Not collected</x:v>
      </x:c>
      <x:c r="B138" s="9" t="n">
        <x:v>136</x:v>
      </x:c>
      <x:c r="C138" s="10" t="str">
        <x:v>Move the object that is largest into the bowl.</x:v>
      </x:c>
      <x:c r="D138" s="10" t="str">
        <x:v>Bowl: juggling ball. Table: green block. row shifted 4 cm toward the robot; every object fully visible. The requested extremal object is already in the bowl.</x:v>
      </x:c>
      <x:c r="E138" s="9"/>
      <x:c r="F138" s="9" t="str">
        <x:v>1131</x:v>
      </x:c>
      <x:c r="G138" s="9" t="str">
        <x:v>NO MOVEMENT — goal already satisfied</x:v>
      </x:c>
      <x:c r="H138" s="10"/>
      <x:c r="I138" s="9" t="str">
        <x:v>Goal already satisfied / no movement</x:v>
      </x:c>
      <x:c r="J138" s="9" t="str">
        <x:v>SZ-NOOP-3-2</x:v>
      </x:c>
      <x:c r="K138" s="9" t="str">
        <x:v>largest</x:v>
      </x:c>
      <x:c r="L138" s="9" t="str">
        <x:v>Trained largest × juggling ball; target already in bowl</x:v>
      </x:c>
      <x:c r="M138" s="9" t="str">
        <x:v>juggling ball</x:v>
      </x:c>
      <x:c r="N138" s="9" t="str">
        <x:v>In bowl</x:v>
      </x:c>
      <x:c r="O138" s="9" t="n">
        <x:v>2</x:v>
      </x:c>
      <x:c r="P138" s="9"/>
      <x:c r="Q138" s="9" t="str">
        <x:v>Place the target in the bowl before starting; arrange the listed distractors on the table.</x:v>
      </x:c>
      <x:c r="R138" s="10" t="str">
        <x:v>Normal training-supported size wording is retained, so no-movement behavior is not correlated with a special phrase. Success requires no object contact or displacement.</x:v>
      </x:c>
      <x:c r="S138" s="10"/>
    </x:row>
    <x:row r="139" ht="68" customHeight="1">
      <x:c r="A139" s="9" t="str">
        <x:v>Not collected</x:v>
      </x:c>
      <x:c r="B139" s="9" t="n">
        <x:v>137</x:v>
      </x:c>
      <x:c r="C139" s="10" t="str">
        <x:v>Pick up the largest item and place it in the bowl.</x:v>
      </x:c>
      <x:c r="D139" s="10" t="str">
        <x:v>Bowl: crushed Pepsi can. Table: green block. row shifted 4 cm away from the robot; every object fully visible. The requested extremal object is already in the bowl.</x:v>
      </x:c>
      <x:c r="E139" s="9"/>
      <x:c r="F139" s="9" t="str">
        <x:v>1161</x:v>
      </x:c>
      <x:c r="G139" s="9" t="str">
        <x:v>NO MOVEMENT — goal already satisfied</x:v>
      </x:c>
      <x:c r="H139" s="10"/>
      <x:c r="I139" s="9" t="str">
        <x:v>Goal already satisfied / no movement</x:v>
      </x:c>
      <x:c r="J139" s="9" t="str">
        <x:v>SZ-NOOP-4-2</x:v>
      </x:c>
      <x:c r="K139" s="9" t="str">
        <x:v>largest</x:v>
      </x:c>
      <x:c r="L139" s="9" t="str">
        <x:v>Trained largest × crushed Pepsi can; target already in bowl</x:v>
      </x:c>
      <x:c r="M139" s="9" t="str">
        <x:v>crushed Pepsi can</x:v>
      </x:c>
      <x:c r="N139" s="9" t="str">
        <x:v>In bowl</x:v>
      </x:c>
      <x:c r="O139" s="9" t="n">
        <x:v>2</x:v>
      </x:c>
      <x:c r="P139" s="9"/>
      <x:c r="Q139" s="9" t="str">
        <x:v>Place the target in the bowl before starting; arrange the listed distractors on the table.</x:v>
      </x:c>
      <x:c r="R139" s="10" t="str">
        <x:v>Normal training-supported size wording is retained, so no-movement behavior is not correlated with a special phrase. Success requires no object contact or displacement.</x:v>
      </x:c>
      <x:c r="S139" s="10"/>
    </x:row>
    <x:row r="140" ht="68" customHeight="1">
      <x:c r="A140" s="9" t="str">
        <x:v>Not collected</x:v>
      </x:c>
      <x:c r="B140" s="9" t="n">
        <x:v>138</x:v>
      </x:c>
      <x:c r="C140" s="10" t="str">
        <x:v>Put the smallest object in the bowl.</x:v>
      </x:c>
      <x:c r="D140" s="10" t="str">
        <x:v>Bowl: red pencil sharpener. Table: green block; juggling ball; crushed Pepsi can. row shifted 4 cm toward robot-right; every object fully visible. The requested extremal object is already in the bowl.</x:v>
      </x:c>
      <x:c r="E140" s="9"/>
      <x:c r="F140" s="9" t="str">
        <x:v>1012</x:v>
      </x:c>
      <x:c r="G140" s="9" t="str">
        <x:v>NO MOVEMENT — goal already satisfied</x:v>
      </x:c>
      <x:c r="H140" s="10"/>
      <x:c r="I140" s="9" t="str">
        <x:v>Goal already satisfied / no movement</x:v>
      </x:c>
      <x:c r="J140" s="9" t="str">
        <x:v>SZ-NOOP-1-3</x:v>
      </x:c>
      <x:c r="K140" s="9" t="str">
        <x:v>smallest</x:v>
      </x:c>
      <x:c r="L140" s="9" t="str">
        <x:v>Trained smallest × red pencil sharpener; target already in bowl</x:v>
      </x:c>
      <x:c r="M140" s="9" t="str">
        <x:v>red pencil sharpener</x:v>
      </x:c>
      <x:c r="N140" s="9" t="str">
        <x:v>In bowl</x:v>
      </x:c>
      <x:c r="O140" s="9" t="n">
        <x:v>4</x:v>
      </x:c>
      <x:c r="P140" s="9"/>
      <x:c r="Q140" s="9" t="str">
        <x:v>Place the target in the bowl before starting; arrange the listed distractors on the table.</x:v>
      </x:c>
      <x:c r="R140" s="10" t="str">
        <x:v>Normal training-supported size wording is retained, so no-movement behavior is not correlated with a special phrase. Success requires no object contact or displacement.</x:v>
      </x:c>
      <x:c r="S140" s="10"/>
    </x:row>
    <x:row r="141" ht="68" customHeight="1">
      <x:c r="A141" s="9" t="str">
        <x:v>Not collected</x:v>
      </x:c>
      <x:c r="B141" s="9" t="n">
        <x:v>139</x:v>
      </x:c>
      <x:c r="C141" s="10" t="str">
        <x:v>Move the object that is smallest into the bowl.</x:v>
      </x:c>
      <x:c r="D141" s="10" t="str">
        <x:v>Bowl: green block. Table: juggling ball; crushed Pepsi can. row shifted 4 cm toward the robot; every object fully visible. The requested extremal object is already in the bowl.</x:v>
      </x:c>
      <x:c r="E141" s="9"/>
      <x:c r="F141" s="9" t="str">
        <x:v>1057</x:v>
      </x:c>
      <x:c r="G141" s="9" t="str">
        <x:v>NO MOVEMENT — goal already satisfied</x:v>
      </x:c>
      <x:c r="H141" s="10"/>
      <x:c r="I141" s="9" t="str">
        <x:v>Goal already satisfied / no movement</x:v>
      </x:c>
      <x:c r="J141" s="9" t="str">
        <x:v>SZ-NOOP-2-3</x:v>
      </x:c>
      <x:c r="K141" s="9" t="str">
        <x:v>smallest</x:v>
      </x:c>
      <x:c r="L141" s="9" t="str">
        <x:v>Trained smallest × green block; target already in bowl</x:v>
      </x:c>
      <x:c r="M141" s="9" t="str">
        <x:v>green block</x:v>
      </x:c>
      <x:c r="N141" s="9" t="str">
        <x:v>In bowl</x:v>
      </x:c>
      <x:c r="O141" s="9" t="n">
        <x:v>3</x:v>
      </x:c>
      <x:c r="P141" s="9"/>
      <x:c r="Q141" s="9" t="str">
        <x:v>Place the target in the bowl before starting; arrange the listed distractors on the table.</x:v>
      </x:c>
      <x:c r="R141" s="10" t="str">
        <x:v>Normal training-supported size wording is retained, so no-movement behavior is not correlated with a special phrase. Success requires no object contact or displacement.</x:v>
      </x:c>
      <x:c r="S141" s="10"/>
    </x:row>
    <x:row r="142" ht="68" customHeight="1">
      <x:c r="A142" s="9" t="str">
        <x:v>Not collected</x:v>
      </x:c>
      <x:c r="B142" s="9" t="n">
        <x:v>140</x:v>
      </x:c>
      <x:c r="C142" s="10" t="str">
        <x:v>Pick up the largest item and place it in the bowl.</x:v>
      </x:c>
      <x:c r="D142" s="10" t="str">
        <x:v>Bowl: juggling ball. Table: red pencil sharpener; green block. row shifted 4 cm away from the robot; every object fully visible. The requested extremal object is already in the bowl.</x:v>
      </x:c>
      <x:c r="E142" s="9"/>
      <x:c r="F142" s="9" t="str">
        <x:v>1132</x:v>
      </x:c>
      <x:c r="G142" s="9" t="str">
        <x:v>NO MOVEMENT — goal already satisfied</x:v>
      </x:c>
      <x:c r="H142" s="10"/>
      <x:c r="I142" s="9" t="str">
        <x:v>Goal already satisfied / no movement</x:v>
      </x:c>
      <x:c r="J142" s="9" t="str">
        <x:v>SZ-NOOP-3-3</x:v>
      </x:c>
      <x:c r="K142" s="9" t="str">
        <x:v>largest</x:v>
      </x:c>
      <x:c r="L142" s="9" t="str">
        <x:v>Trained largest × juggling ball; target already in bowl</x:v>
      </x:c>
      <x:c r="M142" s="9" t="str">
        <x:v>juggling ball</x:v>
      </x:c>
      <x:c r="N142" s="9" t="str">
        <x:v>In bowl</x:v>
      </x:c>
      <x:c r="O142" s="9" t="n">
        <x:v>3</x:v>
      </x:c>
      <x:c r="P142" s="9"/>
      <x:c r="Q142" s="9" t="str">
        <x:v>Place the target in the bowl before starting; arrange the listed distractors on the table.</x:v>
      </x:c>
      <x:c r="R142" s="10" t="str">
        <x:v>Normal training-supported size wording is retained, so no-movement behavior is not correlated with a special phrase. Success requires no object contact or displacement.</x:v>
      </x:c>
      <x:c r="S142" s="10"/>
    </x:row>
    <x:row r="143" ht="68" customHeight="1">
      <x:c r="A143" s="9" t="str">
        <x:v>Not collected</x:v>
      </x:c>
      <x:c r="B143" s="9" t="n">
        <x:v>141</x:v>
      </x:c>
      <x:c r="C143" s="10" t="str">
        <x:v>Put the largest object in the bowl.</x:v>
      </x:c>
      <x:c r="D143" s="10" t="str">
        <x:v>Bowl: crushed Pepsi can. Table: red pencil sharpener; green block; juggling ball. row centered on the workspace; every object fully visible. The requested extremal object is already in the bowl.</x:v>
      </x:c>
      <x:c r="E143" s="9"/>
      <x:c r="F143" s="9" t="str">
        <x:v>1162</x:v>
      </x:c>
      <x:c r="G143" s="9" t="str">
        <x:v>NO MOVEMENT — goal already satisfied</x:v>
      </x:c>
      <x:c r="H143" s="10"/>
      <x:c r="I143" s="9" t="str">
        <x:v>Goal already satisfied / no movement</x:v>
      </x:c>
      <x:c r="J143" s="9" t="str">
        <x:v>SZ-NOOP-4-3</x:v>
      </x:c>
      <x:c r="K143" s="9" t="str">
        <x:v>largest</x:v>
      </x:c>
      <x:c r="L143" s="9" t="str">
        <x:v>Trained largest × crushed Pepsi can; target already in bowl</x:v>
      </x:c>
      <x:c r="M143" s="9" t="str">
        <x:v>crushed Pepsi can</x:v>
      </x:c>
      <x:c r="N143" s="9" t="str">
        <x:v>In bowl</x:v>
      </x:c>
      <x:c r="O143" s="9" t="n">
        <x:v>4</x:v>
      </x:c>
      <x:c r="P143" s="9"/>
      <x:c r="Q143" s="9" t="str">
        <x:v>Place the target in the bowl before starting; arrange the listed distractors on the table.</x:v>
      </x:c>
      <x:c r="R143" s="10" t="str">
        <x:v>Normal training-supported size wording is retained, so no-movement behavior is not correlated with a special phrase. Success requires no object contact or displacement.</x:v>
      </x:c>
      <x:c r="S143" s="10"/>
    </x:row>
    <x:row r="144" ht="68" customHeight="1">
      <x:c r="A144" s="9" t="str">
        <x:v>Not collected</x:v>
      </x:c>
      <x:c r="B144" s="9" t="n">
        <x:v>142</x:v>
      </x:c>
      <x:c r="C144" s="10" t="str">
        <x:v>Move the object that is smallest into the bowl.</x:v>
      </x:c>
      <x:c r="D144" s="10" t="str">
        <x:v>Bowl: red pencil sharpener. Table: juggling ball; crushed Pepsi can; green block. row shifted 4 cm toward the robot; every object fully visible. The requested extremal object is already in the bowl.</x:v>
      </x:c>
      <x:c r="E144" s="9"/>
      <x:c r="F144" s="9" t="str">
        <x:v>1013</x:v>
      </x:c>
      <x:c r="G144" s="9" t="str">
        <x:v>NO MOVEMENT — goal already satisfied</x:v>
      </x:c>
      <x:c r="H144" s="10"/>
      <x:c r="I144" s="9" t="str">
        <x:v>Goal already satisfied / no movement</x:v>
      </x:c>
      <x:c r="J144" s="9" t="str">
        <x:v>SZ-NOOP-1-4</x:v>
      </x:c>
      <x:c r="K144" s="9" t="str">
        <x:v>smallest</x:v>
      </x:c>
      <x:c r="L144" s="9" t="str">
        <x:v>Trained smallest × red pencil sharpener; target already in bowl</x:v>
      </x:c>
      <x:c r="M144" s="9" t="str">
        <x:v>red pencil sharpener</x:v>
      </x:c>
      <x:c r="N144" s="9" t="str">
        <x:v>In bowl</x:v>
      </x:c>
      <x:c r="O144" s="9" t="n">
        <x:v>4</x:v>
      </x:c>
      <x:c r="P144" s="9"/>
      <x:c r="Q144" s="9" t="str">
        <x:v>Place the target in the bowl before starting; arrange the listed distractors on the table.</x:v>
      </x:c>
      <x:c r="R144" s="10" t="str">
        <x:v>Normal training-supported size wording is retained, so no-movement behavior is not correlated with a special phrase. Success requires no object contact or displacement.</x:v>
      </x:c>
      <x:c r="S144" s="10"/>
    </x:row>
    <x:row r="145" ht="68" customHeight="1">
      <x:c r="A145" s="9" t="str">
        <x:v>Not collected</x:v>
      </x:c>
      <x:c r="B145" s="9" t="n">
        <x:v>143</x:v>
      </x:c>
      <x:c r="C145" s="10" t="str">
        <x:v>Pick up the smallest item and place it in the bowl.</x:v>
      </x:c>
      <x:c r="D145" s="10" t="str">
        <x:v>Bowl: green block. Table: crushed Pepsi can; juggling ball. row shifted 4 cm away from the robot; every object fully visible. The requested extremal object is already in the bowl.</x:v>
      </x:c>
      <x:c r="E145" s="9"/>
      <x:c r="F145" s="9" t="str">
        <x:v>1058</x:v>
      </x:c>
      <x:c r="G145" s="9" t="str">
        <x:v>NO MOVEMENT — goal already satisfied</x:v>
      </x:c>
      <x:c r="H145" s="10"/>
      <x:c r="I145" s="9" t="str">
        <x:v>Goal already satisfied / no movement</x:v>
      </x:c>
      <x:c r="J145" s="9" t="str">
        <x:v>SZ-NOOP-2-4</x:v>
      </x:c>
      <x:c r="K145" s="9" t="str">
        <x:v>smallest</x:v>
      </x:c>
      <x:c r="L145" s="9" t="str">
        <x:v>Trained smallest × green block; target already in bowl</x:v>
      </x:c>
      <x:c r="M145" s="9" t="str">
        <x:v>green block</x:v>
      </x:c>
      <x:c r="N145" s="9" t="str">
        <x:v>In bowl</x:v>
      </x:c>
      <x:c r="O145" s="9" t="n">
        <x:v>3</x:v>
      </x:c>
      <x:c r="P145" s="9"/>
      <x:c r="Q145" s="9" t="str">
        <x:v>Place the target in the bowl before starting; arrange the listed distractors on the table.</x:v>
      </x:c>
      <x:c r="R145" s="10" t="str">
        <x:v>Normal training-supported size wording is retained, so no-movement behavior is not correlated with a special phrase. Success requires no object contact or displacement.</x:v>
      </x:c>
      <x:c r="S145" s="10"/>
    </x:row>
    <x:row r="146" ht="68" customHeight="1">
      <x:c r="A146" s="9" t="str">
        <x:v>Not collected</x:v>
      </x:c>
      <x:c r="B146" s="9" t="n">
        <x:v>144</x:v>
      </x:c>
      <x:c r="C146" s="10" t="str">
        <x:v>Put the largest object in the bowl.</x:v>
      </x:c>
      <x:c r="D146" s="10" t="str">
        <x:v>Bowl: juggling ball. Table: green block; red pencil sharpener. row centered on the workspace; every object fully visible. The requested extremal object is already in the bowl.</x:v>
      </x:c>
      <x:c r="E146" s="9"/>
      <x:c r="F146" s="9" t="str">
        <x:v>1133</x:v>
      </x:c>
      <x:c r="G146" s="9" t="str">
        <x:v>NO MOVEMENT — goal already satisfied</x:v>
      </x:c>
      <x:c r="H146" s="10"/>
      <x:c r="I146" s="9" t="str">
        <x:v>Goal already satisfied / no movement</x:v>
      </x:c>
      <x:c r="J146" s="9" t="str">
        <x:v>SZ-NOOP-3-4</x:v>
      </x:c>
      <x:c r="K146" s="9" t="str">
        <x:v>largest</x:v>
      </x:c>
      <x:c r="L146" s="9" t="str">
        <x:v>Trained largest × juggling ball; target already in bowl</x:v>
      </x:c>
      <x:c r="M146" s="9" t="str">
        <x:v>juggling ball</x:v>
      </x:c>
      <x:c r="N146" s="9" t="str">
        <x:v>In bowl</x:v>
      </x:c>
      <x:c r="O146" s="9" t="n">
        <x:v>3</x:v>
      </x:c>
      <x:c r="P146" s="9"/>
      <x:c r="Q146" s="9" t="str">
        <x:v>Place the target in the bowl before starting; arrange the listed distractors on the table.</x:v>
      </x:c>
      <x:c r="R146" s="10" t="str">
        <x:v>Normal training-supported size wording is retained, so no-movement behavior is not correlated with a special phrase. Success requires no object contact or displacement.</x:v>
      </x:c>
      <x:c r="S146" s="10"/>
    </x:row>
    <x:row r="147" ht="68" customHeight="1">
      <x:c r="A147" s="9" t="str">
        <x:v>Not collected</x:v>
      </x:c>
      <x:c r="B147" s="9" t="n">
        <x:v>145</x:v>
      </x:c>
      <x:c r="C147" s="10" t="str">
        <x:v>Move the object that is largest into the bowl.</x:v>
      </x:c>
      <x:c r="D147" s="10" t="str">
        <x:v>Bowl: crushed Pepsi can. Table: green block; juggling ball; red pencil sharpener. row shifted 4 cm toward robot-left; every object fully visible. The requested extremal object is already in the bowl.</x:v>
      </x:c>
      <x:c r="E147" s="9"/>
      <x:c r="F147" s="9" t="str">
        <x:v>1163</x:v>
      </x:c>
      <x:c r="G147" s="9" t="str">
        <x:v>NO MOVEMENT — goal already satisfied</x:v>
      </x:c>
      <x:c r="H147" s="10"/>
      <x:c r="I147" s="9" t="str">
        <x:v>Goal already satisfied / no movement</x:v>
      </x:c>
      <x:c r="J147" s="9" t="str">
        <x:v>SZ-NOOP-4-4</x:v>
      </x:c>
      <x:c r="K147" s="9" t="str">
        <x:v>largest</x:v>
      </x:c>
      <x:c r="L147" s="9" t="str">
        <x:v>Trained largest × crushed Pepsi can; target already in bowl</x:v>
      </x:c>
      <x:c r="M147" s="9" t="str">
        <x:v>crushed Pepsi can</x:v>
      </x:c>
      <x:c r="N147" s="9" t="str">
        <x:v>In bowl</x:v>
      </x:c>
      <x:c r="O147" s="9" t="n">
        <x:v>4</x:v>
      </x:c>
      <x:c r="P147" s="9"/>
      <x:c r="Q147" s="9" t="str">
        <x:v>Place the target in the bowl before starting; arrange the listed distractors on the table.</x:v>
      </x:c>
      <x:c r="R147" s="10" t="str">
        <x:v>Normal training-supported size wording is retained, so no-movement behavior is not correlated with a special phrase. Success requires no object contact or displacement.</x:v>
      </x:c>
      <x:c r="S147" s="10"/>
    </x:row>
    <x:row r="148" ht="68" customHeight="1">
      <x:c r="A148" s="9" t="str">
        <x:v>Not collected</x:v>
      </x:c>
      <x:c r="B148" s="9" t="n">
        <x:v>146</x:v>
      </x:c>
      <x:c r="C148" s="10" t="str">
        <x:v>Pick up the smallest item and place it in the bowl.</x:v>
      </x:c>
      <x:c r="D148" s="10" t="str">
        <x:v>Bowl: red pencil sharpener. Table: crushed Pepsi can; green block; juggling ball. row shifted 4 cm away from the robot; every object fully visible. The requested extremal object is already in the bowl.</x:v>
      </x:c>
      <x:c r="E148" s="9"/>
      <x:c r="F148" s="9" t="str">
        <x:v>1014</x:v>
      </x:c>
      <x:c r="G148" s="9" t="str">
        <x:v>NO MOVEMENT — goal already satisfied</x:v>
      </x:c>
      <x:c r="H148" s="10"/>
      <x:c r="I148" s="9" t="str">
        <x:v>Goal already satisfied / no movement</x:v>
      </x:c>
      <x:c r="J148" s="9" t="str">
        <x:v>SZ-NOOP-1-5</x:v>
      </x:c>
      <x:c r="K148" s="9" t="str">
        <x:v>smallest</x:v>
      </x:c>
      <x:c r="L148" s="9" t="str">
        <x:v>Trained smallest × red pencil sharpener; target already in bowl</x:v>
      </x:c>
      <x:c r="M148" s="9" t="str">
        <x:v>red pencil sharpener</x:v>
      </x:c>
      <x:c r="N148" s="9" t="str">
        <x:v>In bowl</x:v>
      </x:c>
      <x:c r="O148" s="9" t="n">
        <x:v>4</x:v>
      </x:c>
      <x:c r="P148" s="9"/>
      <x:c r="Q148" s="9" t="str">
        <x:v>Place the target in the bowl before starting; arrange the listed distractors on the table.</x:v>
      </x:c>
      <x:c r="R148" s="10" t="str">
        <x:v>Normal training-supported size wording is retained, so no-movement behavior is not correlated with a special phrase. Success requires no object contact or displacement.</x:v>
      </x:c>
      <x:c r="S148" s="10"/>
    </x:row>
    <x:row r="149" ht="68" customHeight="1">
      <x:c r="A149" s="9" t="str">
        <x:v>Not collected</x:v>
      </x:c>
      <x:c r="B149" s="9" t="n">
        <x:v>147</x:v>
      </x:c>
      <x:c r="C149" s="10" t="str">
        <x:v>Put the smallest object in the bowl.</x:v>
      </x:c>
      <x:c r="D149" s="10" t="str">
        <x:v>Bowl: green block. Table: juggling ball; crushed Pepsi can. row centered on the workspace; every object fully visible. The requested extremal object is already in the bowl.</x:v>
      </x:c>
      <x:c r="E149" s="9"/>
      <x:c r="F149" s="9" t="str">
        <x:v>1059</x:v>
      </x:c>
      <x:c r="G149" s="9" t="str">
        <x:v>NO MOVEMENT — goal already satisfied</x:v>
      </x:c>
      <x:c r="H149" s="10"/>
      <x:c r="I149" s="9" t="str">
        <x:v>Goal already satisfied / no movement</x:v>
      </x:c>
      <x:c r="J149" s="9" t="str">
        <x:v>SZ-NOOP-2-5</x:v>
      </x:c>
      <x:c r="K149" s="9" t="str">
        <x:v>smallest</x:v>
      </x:c>
      <x:c r="L149" s="9" t="str">
        <x:v>Trained smallest × green block; target already in bowl</x:v>
      </x:c>
      <x:c r="M149" s="9" t="str">
        <x:v>green block</x:v>
      </x:c>
      <x:c r="N149" s="9" t="str">
        <x:v>In bowl</x:v>
      </x:c>
      <x:c r="O149" s="9" t="n">
        <x:v>3</x:v>
      </x:c>
      <x:c r="P149" s="9"/>
      <x:c r="Q149" s="9" t="str">
        <x:v>Place the target in the bowl before starting; arrange the listed distractors on the table.</x:v>
      </x:c>
      <x:c r="R149" s="10" t="str">
        <x:v>Normal training-supported size wording is retained, so no-movement behavior is not correlated with a special phrase. Success requires no object contact or displacement.</x:v>
      </x:c>
      <x:c r="S149" s="10"/>
    </x:row>
    <x:row r="150" ht="68" customHeight="1">
      <x:c r="A150" s="9" t="str">
        <x:v>Not collected</x:v>
      </x:c>
      <x:c r="B150" s="9" t="n">
        <x:v>148</x:v>
      </x:c>
      <x:c r="C150" s="10" t="str">
        <x:v>Move the object that is largest into the bowl.</x:v>
      </x:c>
      <x:c r="D150" s="10" t="str">
        <x:v>Bowl: juggling ball. Table: red pencil sharpener; green block. row shifted 4 cm toward robot-left; every object fully visible. The requested extremal object is already in the bowl.</x:v>
      </x:c>
      <x:c r="E150" s="9"/>
      <x:c r="F150" s="9" t="str">
        <x:v>1134</x:v>
      </x:c>
      <x:c r="G150" s="9" t="str">
        <x:v>NO MOVEMENT — goal already satisfied</x:v>
      </x:c>
      <x:c r="H150" s="10"/>
      <x:c r="I150" s="9" t="str">
        <x:v>Goal already satisfied / no movement</x:v>
      </x:c>
      <x:c r="J150" s="9" t="str">
        <x:v>SZ-NOOP-3-5</x:v>
      </x:c>
      <x:c r="K150" s="9" t="str">
        <x:v>largest</x:v>
      </x:c>
      <x:c r="L150" s="9" t="str">
        <x:v>Trained largest × juggling ball; target already in bowl</x:v>
      </x:c>
      <x:c r="M150" s="9" t="str">
        <x:v>juggling ball</x:v>
      </x:c>
      <x:c r="N150" s="9" t="str">
        <x:v>In bowl</x:v>
      </x:c>
      <x:c r="O150" s="9" t="n">
        <x:v>3</x:v>
      </x:c>
      <x:c r="P150" s="9"/>
      <x:c r="Q150" s="9" t="str">
        <x:v>Place the target in the bowl before starting; arrange the listed distractors on the table.</x:v>
      </x:c>
      <x:c r="R150" s="10" t="str">
        <x:v>Normal training-supported size wording is retained, so no-movement behavior is not correlated with a special phrase. Success requires no object contact or displacement.</x:v>
      </x:c>
      <x:c r="S150" s="10"/>
    </x:row>
    <x:row r="151" ht="68" customHeight="1">
      <x:c r="A151" s="9" t="str">
        <x:v>Not collected</x:v>
      </x:c>
      <x:c r="B151" s="9" t="n">
        <x:v>149</x:v>
      </x:c>
      <x:c r="C151" s="10" t="str">
        <x:v>Pick up the largest item and place it in the bowl.</x:v>
      </x:c>
      <x:c r="D151" s="10" t="str">
        <x:v>Bowl: crushed Pepsi can. Table: juggling ball; red pencil sharpener; green block. row shifted 4 cm toward robot-right; every object fully visible. The requested extremal object is already in the bowl.</x:v>
      </x:c>
      <x:c r="E151" s="9"/>
      <x:c r="F151" s="9" t="str">
        <x:v>1164</x:v>
      </x:c>
      <x:c r="G151" s="9" t="str">
        <x:v>NO MOVEMENT — goal already satisfied</x:v>
      </x:c>
      <x:c r="H151" s="10"/>
      <x:c r="I151" s="9" t="str">
        <x:v>Goal already satisfied / no movement</x:v>
      </x:c>
      <x:c r="J151" s="9" t="str">
        <x:v>SZ-NOOP-4-5</x:v>
      </x:c>
      <x:c r="K151" s="9" t="str">
        <x:v>largest</x:v>
      </x:c>
      <x:c r="L151" s="9" t="str">
        <x:v>Trained largest × crushed Pepsi can; target already in bowl</x:v>
      </x:c>
      <x:c r="M151" s="9" t="str">
        <x:v>crushed Pepsi can</x:v>
      </x:c>
      <x:c r="N151" s="9" t="str">
        <x:v>In bowl</x:v>
      </x:c>
      <x:c r="O151" s="9" t="n">
        <x:v>4</x:v>
      </x:c>
      <x:c r="P151" s="9"/>
      <x:c r="Q151" s="9" t="str">
        <x:v>Place the target in the bowl before starting; arrange the listed distractors on the table.</x:v>
      </x:c>
      <x:c r="R151" s="10" t="str">
        <x:v>Normal training-supported size wording is retained, so no-movement behavior is not correlated with a special phrase. Success requires no object contact or displacement.</x:v>
      </x:c>
      <x:c r="S151" s="10"/>
    </x:row>
  </x:sheetData>
  <x:conditionalFormatting sqref="A2:S151">
    <x:cfRule type="expression" dxfId="0" priority="1">
      <x:formula>$A2="Success"</x:formula>
    </x:cfRule>
    <x:cfRule type="expression" dxfId="1" priority="2">
      <x:formula>$A2="Failure"</x:formula>
    </x:cfRule>
  </x:conditionalFormatting>
  <x:conditionalFormatting sqref="I2:I151">
    <x:cfRule type="containsText" dxfId="2" priority="3" operator="containsText" text="In-distribution"/>
    <x:cfRule type="containsText" dxfId="3" priority="4" operator="containsText" text="Concept/compositional"/>
    <x:cfRule type="containsText" dxfId="4" priority="5" operator="containsText" text="Matched manipulation"/>
    <x:cfRule type="containsText" dxfId="5" priority="6" operator="containsText" text="Language robustness"/>
    <x:cfRule type="containsText" dxfId="6" priority="7" operator="containsText" text="Cross-task"/>
    <x:cfRule type="containsText" dxfId="7" priority="8" operator="containsText" text="Goal already"/>
  </x:conditionalFormatting>
  <x:dataValidations count="1">
    <x:dataValidation type="list" sqref="A2:A151">
      <x:formula1>"Not collected,Success,Failure"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97b3eb8e3ac42b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38" hidden="0" customWidth="1"/>
    <x:col min="3" max="3" width="52" hidden="0" customWidth="1"/>
    <x:col min="4" max="4" width="48" hidden="0" customWidth="1"/>
    <x:col min="5" max="5" width="66" hidden="0" customWidth="1"/>
    <x:col min="6" max="6" width="76" hidden="0" customWidth="1"/>
  </x:cols>
  <x:sheetData>
    <x:row r="1" ht="36" customHeight="1">
      <x:c r="A1" s="4" t="str">
        <x:v>Object</x:v>
      </x:c>
      <x:c r="B1" s="4" t="str">
        <x:v>Training Source</x:v>
      </x:c>
      <x:c r="C1" s="4" t="str">
        <x:v>Observed Exposure</x:v>
      </x:c>
      <x:c r="D1" s="4" t="str">
        <x:v>Size / Composition Role</x:v>
      </x:c>
      <x:c r="E1" s="4" t="str">
        <x:v>Evaluation Role</x:v>
      </x:c>
      <x:c r="F1" s="4" t="str">
        <x:v>Documented Relation</x:v>
      </x:c>
    </x:row>
    <x:row r="2" ht="68" customHeight="1">
      <x:c r="A2" s="7" t="str">
        <x:v>red pencil sharpener</x:v>
      </x:c>
      <x:c r="B2" s="7" t="str">
        <x:v>Same-task Size Recognition</x:v>
      </x:c>
      <x:c r="C2" s="7" t="str">
        <x:v>Explicit smallest; direct identity</x:v>
      </x:c>
      <x:c r="D2" s="7" t="str">
        <x:v>Smallest known Size object</x:v>
      </x:c>
      <x:c r="E2" s="7" t="str">
        <x:v>In-distribution, primary comparator, airplane-largest comparator, no-op</x:v>
      </x:c>
      <x:c r="F2" s="7" t="str">
        <x:v>smaller than green block, juggling ball, Pepsi can, and designated airplane</x:v>
      </x:c>
    </x:row>
    <x:row r="3" ht="68" customHeight="1">
      <x:c r="A3" s="7" t="str">
        <x:v>green block</x:v>
      </x:c>
      <x:c r="B3" s="7" t="str">
        <x:v>Same-task Size Recognition</x:v>
      </x:c>
      <x:c r="C3" s="7" t="str">
        <x:v>Explicit smallest; largest masked</x:v>
      </x:c>
      <x:c r="D3" s="7" t="str">
        <x:v>Held-out largest composition</x:v>
      </x:c>
      <x:c r="E3" s="7" t="str">
        <x:v>Primary target; airplane-smallest comparator; no-op trained-smallest</x:v>
      </x:c>
      <x:c r="F3" s="7" t="str">
        <x:v>larger than sharpener and airplane; smaller than juggling ball and Pepsi can</x:v>
      </x:c>
    </x:row>
    <x:row r="4" ht="68" customHeight="1">
      <x:c r="A4" s="7" t="str">
        <x:v>juggling ball</x:v>
      </x:c>
      <x:c r="B4" s="7" t="str">
        <x:v>Same-task Size Recognition</x:v>
      </x:c>
      <x:c r="C4" s="7" t="str">
        <x:v>Explicit largest; smallest masked</x:v>
      </x:c>
      <x:c r="D4" s="7" t="str">
        <x:v>Held-out smallest composition</x:v>
      </x:c>
      <x:c r="E4" s="7" t="str">
        <x:v>Primary target; airplane-smallest comparator; no-op trained-largest</x:v>
      </x:c>
      <x:c r="F4" s="7" t="str">
        <x:v>larger than sharpener, green block, and airplane; smaller than Pepsi can</x:v>
      </x:c>
    </x:row>
    <x:row r="5" ht="68" customHeight="1">
      <x:c r="A5" s="7" t="str">
        <x:v>crushed Pepsi can</x:v>
      </x:c>
      <x:c r="B5" s="7" t="str">
        <x:v>Same-task Size Recognition</x:v>
      </x:c>
      <x:c r="C5" s="7" t="str">
        <x:v>Explicit largest; direct identity</x:v>
      </x:c>
      <x:c r="D5" s="7" t="str">
        <x:v>Largest known Size object</x:v>
      </x:c>
      <x:c r="E5" s="7" t="str">
        <x:v>In-distribution; airplane-smallest comparator; no-op</x:v>
      </x:c>
      <x:c r="F5" s="7" t="str">
        <x:v>larger than all other listed objects</x:v>
      </x:c>
    </x:row>
    <x:row r="6" ht="68" customHeight="1">
      <x:c r="A6" s="11" t="str">
        <x:v>airplane toy with propellers</x:v>
      </x:c>
      <x:c r="B6" s="11" t="str">
        <x:v>Referential Disambiguation + Ordering/Sequencing</x:v>
      </x:c>
      <x:c r="C6" s="11" t="str">
        <x:v>269 global training scenes; target in 75; 0 Size scenes</x:v>
      </x:c>
      <x:c r="D6" s="11" t="str">
        <x:v>Known globally but novel to Size Recognition</x:v>
      </x:c>
      <x:c r="E6" s="11" t="str">
        <x:v>10 airplane-target reasoning trials plus 10 exact-scene counterfactual controls</x:v>
      </x:c>
      <x:c r="F6" s="11" t="str">
        <x:v>larger than sharpener; smaller than green block, juggling ball, and Pepsi can</x:v>
      </x:c>
    </x:row>
  </x:sheetData>
  <x:pageMargins left="0.7" right="0.7" top="0.75" bottom="0.75" header="0.3" footer="0.3"/>
  <x:tableParts count="1">
    <x:tablePart xmlns:r="http://schemas.openxmlformats.org/officeDocument/2006/relationships" r:id="Rb856188cdcbc4d9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88" hidden="0" customWidth="1"/>
    <x:col min="3" max="3" width="94" hidden="0" customWidth="1"/>
  </x:cols>
  <x:sheetData>
    <x:row r="1" ht="36" customHeight="1">
      <x:c r="A1" s="4" t="str">
        <x:v>Training / Evaluation Feature</x:v>
      </x:c>
      <x:c r="B1" s="4" t="str">
        <x:v>Manifest evidence</x:v>
      </x:c>
      <x:c r="C1" s="4" t="str">
        <x:v>Evaluation consequence</x:v>
      </x:c>
    </x:row>
    <x:row r="2" ht="62" customHeight="1">
      <x:c r="A2" s="7" t="str">
        <x:v>Size Recognition training episodes</x:v>
      </x:c>
      <x:c r="B2" s="7" t="n">
        <x:v>200</x:v>
      </x:c>
      <x:c r="C2" s="7" t="str">
        <x:v>The revised evaluation cites global source episode numbers 1000-1199.</x:v>
      </x:c>
    </x:row>
    <x:row r="3" ht="62" customHeight="1">
      <x:c r="A3" s="7" t="str">
        <x:v>Explicit size grounding</x:v>
      </x:c>
      <x:c r="B3" s="7" t="n">
        <x:v>140</x:v>
      </x:c>
      <x:c r="C3" s="7" t="str">
        <x:v>45 smallest-sharpener, 25 smallest-green, 25 largest-juggling, and 45 largest-Pepsi episodes.</x:v>
      </x:c>
    </x:row>
    <x:row r="4" ht="62" customHeight="1">
      <x:c r="A4" s="7" t="str">
        <x:v>Direct identity controls</x:v>
      </x:c>
      <x:c r="B4" s="7" t="n">
        <x:v>20</x:v>
      </x:c>
      <x:c r="C4" s="7" t="str">
        <x:v>Five per Size object.</x:v>
      </x:c>
    </x:row>
    <x:row r="5" ht="62" customHeight="1">
      <x:c r="A5" s="7" t="str">
        <x:v>Masked compositions</x:v>
      </x:c>
      <x:c r="B5" s="7" t="n">
        <x:v>40</x:v>
      </x:c>
      <x:c r="C5" s="7" t="str">
        <x:v>20 largest-green and 20 smallest-juggling trajectories are relabelled with direct target names.</x:v>
      </x:c>
    </x:row>
    <x:row r="6" ht="62" customHeight="1">
      <x:c r="A6" s="7" t="str">
        <x:v>Primary missing cells</x:v>
      </x:c>
      <x:c r="B6" s="7" t="str">
        <x:v>largest × green block; smallest × juggling ball</x:v>
      </x:c>
      <x:c r="C6" s="7" t="str">
        <x:v>Fifty primary trials are balanced 25/25.</x:v>
      </x:c>
    </x:row>
    <x:row r="7" ht="62" customHeight="1">
      <x:c r="A7" s="7" t="str">
        <x:v>In-distribution cells</x:v>
      </x:c>
      <x:c r="B7" s="7" t="str">
        <x:v>smallest × sharpener/green; largest × juggling/Pepsi</x:v>
      </x:c>
      <x:c r="C7" s="7" t="str">
        <x:v>Twenty baselines use exact manifest prompts and cite five source episodes per cell.</x:v>
      </x:c>
    </x:row>
    <x:row r="8" ht="62" customHeight="1">
      <x:c r="A8" s="7" t="str">
        <x:v>Matched and language controls</x:v>
      </x:c>
      <x:c r="B8" s="7" t="str">
        <x:v>20 matched; 10 transfer paraphrases; 10 control paraphrases</x:v>
      </x:c>
      <x:c r="C8" s="7" t="str">
        <x:v>First ten primary families are adjacent four-row exact-scene families.</x:v>
      </x:c>
    </x:row>
    <x:row r="9" ht="62" customHeight="1">
      <x:c r="A9" s="7" t="str">
        <x:v>Airplane status</x:v>
      </x:c>
      <x:c r="B9" s="7" t="str">
        <x:v>269 global scenes; target in 75; 0 Size scenes</x:v>
      </x:c>
      <x:c r="C9" s="7" t="str">
        <x:v>Report as cross-task object transfer, not globally unseen-object generalization.</x:v>
      </x:c>
    </x:row>
    <x:row r="10" ht="62" customHeight="1">
      <x:c r="A10" s="7" t="str">
        <x:v>Airplane target block</x:v>
      </x:c>
      <x:c r="B10" s="7" t="str">
        <x:v>5 largest + 5 smallest airplane selections</x:v>
      </x:c>
      <x:c r="C10" s="7" t="str">
        <x:v>All use comparative reasoning prompts; no direct-name airplane prompts.</x:v>
      </x:c>
    </x:row>
    <x:row r="11" ht="62" customHeight="1">
      <x:c r="A11" s="7" t="str">
        <x:v>Airplane shortcut control</x:v>
      </x:c>
      <x:c r="B11" s="7" t="str">
        <x:v>10 exact-scene opposite-comparison trials</x:v>
      </x:c>
      <x:c r="C11" s="7" t="str">
        <x:v>Without these rows, always selecting the airplane would score 10/10.</x:v>
      </x:c>
    </x:row>
    <x:row r="12" ht="62" customHeight="1">
      <x:c r="A12" s="7" t="str">
        <x:v>No-movement block</x:v>
      </x:c>
      <x:c r="B12" s="7" t="str">
        <x:v>Four explicitly trained cells, five rows each</x:v>
      </x:c>
      <x:c r="C12" s="7" t="str">
        <x:v>The extremal target begins in the bowl; ordinary wording prevents phrase/no-op correlation.</x:v>
      </x:c>
    </x:row>
    <x:row r="13" ht="62" customHeight="1">
      <x:c r="A13" s="7" t="str">
        <x:v>Total evaluation</x:v>
      </x:c>
      <x:c r="B13" s="7" t="n">
        <x:v>150</x:v>
      </x:c>
      <x:c r="C13" s="7" t="str">
        <x:v>The 20-trial airplane block contains ten target trials and ten exact-scene counterfactual controls.</x:v>
      </x:c>
    </x:row>
    <x:row r="14" ht="62" customHeight="1">
      <x:c r="A14" s="7" t="str">
        <x:v>Source files</x:v>
      </x:c>
      <x:c r="B14" s="7" t="str">
        <x:v>/Users/justintiensmith/Documents/lerobot/outputs/vla_reasoning_training_dataset_1200_2026-08-06/VLA_Reasoning_Dataset_Missing_Cell_Prompt_Manifest.csv
/Users/justintiensmith/Downloads/Eval_Size_Recognition.xlsx</x:v>
      </x:c>
      <x:c r="C14" s="7" t="str">
        <x:v>Manifest defines training support; the supplied workbook defines presentation conventions.</x:v>
      </x:c>
    </x:row>
  </x:sheetData>
  <x:pageMargins left="0.7" right="0.7" top="0.75" bottom="0.75" header="0.3" footer="0.3"/>
  <x:tableParts count="1">
    <x:tablePart xmlns:r="http://schemas.openxmlformats.org/officeDocument/2006/relationships" r:id="R715b81ffacc046e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32" hidden="0" customWidth="1"/>
  </x:cols>
  <x:sheetData>
    <x:row r="1" ht="40" customHeight="1">
      <x:c r="A1" s="19" t="str">
        <x:v>SIZE RECOGNITION EVALUATION — ISOLATED DESIGN (150 TRIALS)</x:v>
      </x:c>
      <x:c r="B1" s="19"/>
    </x:row>
    <x:row r="2" ht="62" customHeight="1">
      <x:c r="A2" s="20" t="str">
        <x:v>Episodes 0-19</x:v>
      </x:c>
      <x:c r="B2" s="21" t="str">
        <x:v>In-distribution concept baselines. Five exact manifest-supported prompts per trained cell, with source episodes recorded.</x:v>
      </x:c>
    </x:row>
    <x:row r="3" ht="62" customHeight="1">
      <x:c r="A3" s="20" t="str">
        <x:v>Episodes 20-59</x:v>
      </x:c>
      <x:c r="B3" s="21" t="str">
        <x:v>Ten adjacent four-row families: canonical transfer → matched direct control → transfer paraphrase → matched-control paraphrase.</x:v>
      </x:c>
    </x:row>
    <x:row r="4" ht="62" customHeight="1">
      <x:c r="A4" s="20" t="str">
        <x:v>Episodes 60-79</x:v>
      </x:c>
      <x:c r="B4" s="21" t="str">
        <x:v>Ten adjacent transfer/control pairs using exact same scenes.</x:v>
      </x:c>
    </x:row>
    <x:row r="5" ht="62" customHeight="1">
      <x:c r="A5" s="20" t="str">
        <x:v>Episodes 80-109</x:v>
      </x:c>
      <x:c r="B5" s="21" t="str">
        <x:v>Thirty additional primary transfer trials.</x:v>
      </x:c>
    </x:row>
    <x:row r="6" ht="62" customHeight="1">
      <x:c r="A6" s="20" t="str">
        <x:v>Episodes 110-129</x:v>
      </x:c>
      <x:c r="B6" s="21" t="str">
        <x:v>Ten adjacent airplane reasoning/counterfactual pairs. Five make the airplane the largest target and five make it the smallest target; the paired prompt selects another object in the exact same scene.</x:v>
      </x:c>
    </x:row>
    <x:row r="7" ht="62" customHeight="1">
      <x:c r="A7" s="20" t="str">
        <x:v>Episodes 130-149</x:v>
      </x:c>
      <x:c r="B7" s="21" t="str">
        <x:v>Goal-already-satisfied trials using only trained size×object cells.</x:v>
      </x:c>
    </x:row>
    <x:row r="8" ht="62" customHeight="1">
      <x:c r="A8" s="20" t="str">
        <x:v>Primary endpoint</x:v>
      </x:c>
      <x:c r="B8" s="21" t="str">
        <x:v>Report 50 compositional-transfer trials: 25 largest-green and 25 smallest-juggling.</x:v>
      </x:c>
    </x:row>
    <x:row r="9" ht="62" customHeight="1">
      <x:c r="A9" s="20" t="str">
        <x:v>Matched controls</x:v>
      </x:c>
      <x:c r="B9" s="21" t="str">
        <x:v>Same target, scene, side, layout, and spacing as the paired primary row; only the prompt becomes a trained direct instruction.</x:v>
      </x:c>
    </x:row>
    <x:row r="10" ht="62" customHeight="1">
      <x:c r="A10" s="20" t="str">
        <x:v>Language split</x:v>
      </x:c>
      <x:c r="B10" s="21" t="str">
        <x:v>Ten exact primary scenes and ten exact matched-control scenes are reused with paraphrased wording.</x:v>
      </x:c>
    </x:row>
    <x:row r="11" ht="62" customHeight="1">
      <x:c r="A11" s="20" t="str">
        <x:v>Airplane target requirement</x:v>
      </x:c>
      <x:c r="B11" s="21" t="str">
        <x:v>The airplane is selected five times as largest versus the sharpener and five times as smallest relative to block, juggling ball, and/or Pepsi can.</x:v>
      </x:c>
    </x:row>
    <x:row r="12" ht="62" customHeight="1">
      <x:c r="A12" s="20" t="str">
        <x:v>Why 10 airplane counterfactuals</x:v>
      </x:c>
      <x:c r="B12" s="21" t="str">
        <x:v>Each airplane-target trial has an adjacent exact-scene prompt that selects another object. Reversing largest↔smallest forces target switching and prevents an always-pick-airplane shortcut.</x:v>
      </x:c>
    </x:row>
    <x:row r="13" ht="62" customHeight="1">
      <x:c r="A13" s="20" t="str">
        <x:v>No direct airplane prompt</x:v>
      </x:c>
      <x:c r="B13" s="21" t="str">
        <x:v>Every airplane-block row uses smallest/largest reasoning. Counterfactual targets use explicitly trained size cells.</x:v>
      </x:c>
    </x:row>
    <x:row r="14" ht="62" customHeight="1">
      <x:c r="A14" s="20" t="str">
        <x:v>No-op definition</x:v>
      </x:c>
      <x:c r="B14" s="21" t="str">
        <x:v>The requested extremal object is already in the bowl. Success means no object contact or displacement for the full decision window.</x:v>
      </x:c>
    </x:row>
    <x:row r="15" ht="62" customHeight="1">
      <x:c r="A15" s="20" t="str">
        <x:v>Scene coordinates</x:v>
      </x:c>
      <x:c r="B15" s="21" t="str">
        <x:v>All left/right labels are from the robot's perspective. Preserve object instances, order, layout, spacing, bowl location, camera pose, and lighting across models.</x:v>
      </x:c>
    </x:row>
    <x:row r="16" ht="62" customHeight="1">
      <x:c r="A16" s="20" t="str">
        <x:v>Size ordering assumption</x:v>
      </x:c>
      <x:c r="B16" s="21" t="str">
        <x:v>red pencil sharpener &lt; airplane toy with propellers &lt; green block &lt; juggling ball &lt; crushed Pepsi can. Verify this visually for the exact instances before collection.</x:v>
      </x:c>
    </x:row>
    <x:row r="17" ht="62" customHeight="1">
      <x:c r="A17" s="20" t="str">
        <x:v>Collection reproducibility</x:v>
      </x:c>
      <x:c r="B17" s="21" t="str">
        <x:v>Save one first-frame filename per scene family and reuse it across models.</x:v>
      </x:c>
    </x:row>
    <x:row r="18" ht="62" customHeight="1">
      <x:c r="A18" s="20" t="str">
        <x:v>Success</x:v>
      </x:c>
      <x:c r="B18" s="21" t="str">
        <x:v>Active rows succeed only when the expected object reaches the bowl. No-op rows succeed only when the robot leaves the scene unchanged.</x:v>
      </x:c>
    </x:row>
    <x:row r="19" ht="62" customHeight="1">
      <x:c r="A19" s="20" t="str">
        <x:v>Failure annotation</x:v>
      </x:c>
      <x:c r="B19" s="21" t="str">
        <x:v>Record wrong object, reversed comparison, fixed-side behavior, fixed-airplane behavior, grasp failure, placement failure, timeout, premature movement, or scene disturbance.</x:v>
      </x:c>
    </x:row>
    <x:row r="20" ht="62" customHeight="1">
      <x:c r="A20" s="20" t="str">
        <x:v>Analysis</x:v>
      </x:c>
      <x:c r="B20" s="21" t="str">
        <x:v>Report Clopper-Pearson intervals by condition. For paired families, also report discordant outcomes and an exact paired test when comparing paired prompts.</x:v>
      </x:c>
    </x:row>
    <x:row r="21" ht="62" customHeight="1">
      <x:c r="A21" s="20" t="str">
        <x:v>Claim boundary</x:v>
      </x:c>
      <x:c r="B21" s="21" t="str">
        <x:v>Primary claims concern two masked size×object compositions. Airplane and no-op results are separate diagnostics and must not be pooled into the primary score.</x:v>
      </x:c>
    </x:row>
    <x:row r="22" ht="62" customHeight="1">
      <x:c r="A22" s="20" t="str">
        <x:v>Important limitation</x:v>
      </x:c>
      <x:c r="B22" s="21" t="str">
        <x:v>The physical object hierarchy constrains which comparators can make the airplane smallest or largest. Interpret the airplane block as context-dependent rank transfer, not arbitrary shape generalization.</x:v>
      </x:c>
    </x:row>
  </x:sheetData>
  <x:mergeCells>
    <x:mergeCell ref="A1:B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4" hidden="0" customWidth="1"/>
    <x:col min="3" max="3" width="14" hidden="0" customWidth="1"/>
    <x:col min="4" max="4" width="14" hidden="0" customWidth="1"/>
    <x:col min="5" max="5" width="82" hidden="0" customWidth="1"/>
  </x:cols>
  <x:sheetData>
    <x:row r="1" ht="36" customHeight="1">
      <x:c r="A1" s="4" t="str">
        <x:v>Check</x:v>
      </x:c>
      <x:c r="B1" s="4" t="str">
        <x:v>Actual</x:v>
      </x:c>
      <x:c r="C1" s="4" t="str">
        <x:v>Expected</x:v>
      </x:c>
      <x:c r="D1" s="4" t="str">
        <x:v>Status</x:v>
      </x:c>
      <x:c r="E1" s="4" t="str">
        <x:v>Notes</x:v>
      </x:c>
    </x:row>
    <x:row r="2" ht="42" customHeight="1">
      <x:c r="A2" s="7" t="str">
        <x:v>Total evaluation rows</x:v>
      </x:c>
      <x:c r="B2" s="7" t="n">
        <x:f>COUNTA('Evaluation Plan'!B2:B151)</x:f>
        <x:v>150</x:v>
      </x:c>
      <x:c r="C2" s="7" t="n">
        <x:v>150</x:v>
      </x:c>
      <x:c r="D2" s="7" t="str">
        <x:f>IF(B2=C2,"PASS","CHECK")</x:f>
        <x:v>PASS</x:v>
      </x:c>
      <x:c r="E2" s="7" t="str">
        <x:v>Episodes 0-149.</x:v>
      </x:c>
    </x:row>
    <x:row r="3" ht="42" customHeight="1">
      <x:c r="A3" s="7" t="str">
        <x:v>Rows with training provenance</x:v>
      </x:c>
      <x:c r="B3" s="7" t="n">
        <x:f>COUNTA('Evaluation Plan'!F2:F151)</x:f>
        <x:v>150</x:v>
      </x:c>
      <x:c r="C3" s="7" t="n">
        <x:v>150</x:v>
      </x:c>
      <x:c r="D3" s="7" t="str">
        <x:f>IF(B3=C3,"PASS","CHECK")</x:f>
        <x:v>PASS</x:v>
      </x:c>
      <x:c r="E3" s="7" t="str">
        <x:v>Every row cites manifest grounding or airplane exposure.</x:v>
      </x:c>
    </x:row>
    <x:row r="4" ht="42" customHeight="1">
      <x:c r="A4" s="7" t="str">
        <x:v>In-distribution total</x:v>
      </x:c>
      <x:c r="B4" s="7" t="n">
        <x:f>COUNTIF('Evaluation Plan'!I2:I151,"In-distribution concept baseline")</x:f>
        <x:v>20</x:v>
      </x:c>
      <x:c r="C4" s="7" t="n">
        <x:v>20</x:v>
      </x:c>
      <x:c r="D4" s="7" t="str">
        <x:f>IF(B4=C4,"PASS","CHECK")</x:f>
        <x:v>PASS</x:v>
      </x:c>
      <x:c r="E4" s="7" t="str">
        <x:v>Episodes 0-19.</x:v>
      </x:c>
    </x:row>
    <x:row r="5" ht="42" customHeight="1">
      <x:c r="A5" s="7" t="str">
        <x:v>ID cell: smallest × red pencil sharpener</x:v>
      </x:c>
      <x:c r="B5" s="7" t="n">
        <x:f>COUNTIFS('Evaluation Plan'!I2:I151,"In-distribution concept baseline",'Evaluation Plan'!M2:M151,"red pencil sharpener",'Evaluation Plan'!K2:K151,"smallest")</x:f>
        <x:v>5</x:v>
      </x:c>
      <x:c r="C5" s="7" t="n">
        <x:v>5</x:v>
      </x:c>
      <x:c r="D5" s="7" t="str">
        <x:f>IF(B5=C5,"PASS","CHECK")</x:f>
        <x:v>PASS</x:v>
      </x:c>
      <x:c r="E5" s="7" t="str">
        <x:v>Five exact manifest-supported rows.</x:v>
      </x:c>
    </x:row>
    <x:row r="6" ht="42" customHeight="1">
      <x:c r="A6" s="7" t="str">
        <x:v>ID cell: smallest × green block</x:v>
      </x:c>
      <x:c r="B6" s="7" t="n">
        <x:f>COUNTIFS('Evaluation Plan'!I2:I151,"In-distribution concept baseline",'Evaluation Plan'!M2:M151,"green block",'Evaluation Plan'!K2:K151,"smallest")</x:f>
        <x:v>5</x:v>
      </x:c>
      <x:c r="C6" s="7" t="n">
        <x:v>5</x:v>
      </x:c>
      <x:c r="D6" s="7" t="str">
        <x:f>IF(B6=C6,"PASS","CHECK")</x:f>
        <x:v>PASS</x:v>
      </x:c>
      <x:c r="E6" s="7" t="str">
        <x:v>Five exact manifest-supported rows.</x:v>
      </x:c>
    </x:row>
    <x:row r="7" ht="42" customHeight="1">
      <x:c r="A7" s="7" t="str">
        <x:v>ID cell: largest × juggling ball</x:v>
      </x:c>
      <x:c r="B7" s="7" t="n">
        <x:f>COUNTIFS('Evaluation Plan'!I2:I151,"In-distribution concept baseline",'Evaluation Plan'!M2:M151,"juggling ball",'Evaluation Plan'!K2:K151,"largest")</x:f>
        <x:v>5</x:v>
      </x:c>
      <x:c r="C7" s="7" t="n">
        <x:v>5</x:v>
      </x:c>
      <x:c r="D7" s="7" t="str">
        <x:f>IF(B7=C7,"PASS","CHECK")</x:f>
        <x:v>PASS</x:v>
      </x:c>
      <x:c r="E7" s="7" t="str">
        <x:v>Five exact manifest-supported rows.</x:v>
      </x:c>
    </x:row>
    <x:row r="8" ht="42" customHeight="1">
      <x:c r="A8" s="7" t="str">
        <x:v>ID cell: largest × crushed Pepsi can</x:v>
      </x:c>
      <x:c r="B8" s="7" t="n">
        <x:f>COUNTIFS('Evaluation Plan'!I2:I151,"In-distribution concept baseline",'Evaluation Plan'!M2:M151,"crushed Pepsi can",'Evaluation Plan'!K2:K151,"largest")</x:f>
        <x:v>5</x:v>
      </x:c>
      <x:c r="C8" s="7" t="n">
        <x:v>5</x:v>
      </x:c>
      <x:c r="D8" s="7" t="str">
        <x:f>IF(B8=C8,"PASS","CHECK")</x:f>
        <x:v>PASS</x:v>
      </x:c>
      <x:c r="E8" s="7" t="str">
        <x:v>Five exact manifest-supported rows.</x:v>
      </x:c>
    </x:row>
    <x:row r="9" ht="42" customHeight="1">
      <x:c r="A9" s="7" t="str">
        <x:v>Primary total</x:v>
      </x:c>
      <x:c r="B9" s="7" t="n">
        <x:f>COUNTIF('Evaluation Plan'!I2:I151,"Concept/compositional transfer")</x:f>
        <x:v>50</x:v>
      </x:c>
      <x:c r="C9" s="7" t="n">
        <x:v>50</x:v>
      </x:c>
      <x:c r="D9" s="7" t="str">
        <x:f>IF(B9=C9,"PASS","CHECK")</x:f>
        <x:v>PASS</x:v>
      </x:c>
      <x:c r="E9" s="7" t="str">
        <x:v>Primary endpoint.</x:v>
      </x:c>
    </x:row>
    <x:row r="10" ht="42" customHeight="1">
      <x:c r="A10" s="7" t="str">
        <x:v>Primary largest × green block</x:v>
      </x:c>
      <x:c r="B10" s="7" t="n">
        <x:f>COUNTIFS('Evaluation Plan'!I2:I151,"Concept/compositional transfer",'Evaluation Plan'!M2:M151,"green block",'Evaluation Plan'!K2:K151,"largest")</x:f>
        <x:v>25</x:v>
      </x:c>
      <x:c r="C10" s="7" t="n">
        <x:v>25</x:v>
      </x:c>
      <x:c r="D10" s="7" t="str">
        <x:f>IF(B10=C10,"PASS","CHECK")</x:f>
        <x:v>PASS</x:v>
      </x:c>
      <x:c r="E10" s="7" t="str">
        <x:v>Held-out composition A.</x:v>
      </x:c>
    </x:row>
    <x:row r="11" ht="42" customHeight="1">
      <x:c r="A11" s="7" t="str">
        <x:v>Primary smallest × juggling ball</x:v>
      </x:c>
      <x:c r="B11" s="7" t="n">
        <x:f>COUNTIFS('Evaluation Plan'!I2:I151,"Concept/compositional transfer",'Evaluation Plan'!M2:M151,"juggling ball",'Evaluation Plan'!K2:K151,"smallest")</x:f>
        <x:v>25</x:v>
      </x:c>
      <x:c r="C11" s="7" t="n">
        <x:v>25</x:v>
      </x:c>
      <x:c r="D11" s="7" t="str">
        <x:f>IF(B11=C11,"PASS","CHECK")</x:f>
        <x:v>PASS</x:v>
      </x:c>
      <x:c r="E11" s="7" t="str">
        <x:v>Held-out composition B.</x:v>
      </x:c>
    </x:row>
    <x:row r="12" ht="42" customHeight="1">
      <x:c r="A12" s="7" t="str">
        <x:v>Primary largest-green wording: Move</x:v>
      </x:c>
      <x:c r="B12" s="7" t="n">
        <x:f>COUNTIFS('Evaluation Plan'!I2:I151,"Concept/compositional transfer",'Evaluation Plan'!L2:L151,"Held-out largest × green block — Move")</x:f>
        <x:v>9</x:v>
      </x:c>
      <x:c r="C12" s="7" t="n">
        <x:v>9</x:v>
      </x:c>
      <x:c r="D12" s="7" t="str">
        <x:f>IF(B12=C12,"PASS","CHECK")</x:f>
        <x:v>PASS</x:v>
      </x:c>
      <x:c r="E12" s="7" t="str">
        <x:v>Action frames balanced 9/8/8.</x:v>
      </x:c>
    </x:row>
    <x:row r="13" ht="42" customHeight="1">
      <x:c r="A13" s="7" t="str">
        <x:v>Primary largest-green wording: Pick up</x:v>
      </x:c>
      <x:c r="B13" s="7" t="n">
        <x:f>COUNTIFS('Evaluation Plan'!I2:I151,"Concept/compositional transfer",'Evaluation Plan'!L2:L151,"Held-out largest × green block — Pick up")</x:f>
        <x:v>8</x:v>
      </x:c>
      <x:c r="C13" s="7" t="n">
        <x:v>8</x:v>
      </x:c>
      <x:c r="D13" s="7" t="str">
        <x:f>IF(B13=C13,"PASS","CHECK")</x:f>
        <x:v>PASS</x:v>
      </x:c>
      <x:c r="E13" s="7" t="str">
        <x:v>Action frames balanced 9/8/8.</x:v>
      </x:c>
    </x:row>
    <x:row r="14" ht="42" customHeight="1">
      <x:c r="A14" s="7" t="str">
        <x:v>Primary largest-green wording: Put</x:v>
      </x:c>
      <x:c r="B14" s="7" t="n">
        <x:f>COUNTIFS('Evaluation Plan'!I2:I151,"Concept/compositional transfer",'Evaluation Plan'!L2:L151,"Held-out largest × green block — Put")</x:f>
        <x:v>8</x:v>
      </x:c>
      <x:c r="C14" s="7" t="n">
        <x:v>8</x:v>
      </x:c>
      <x:c r="D14" s="7" t="str">
        <x:f>IF(B14=C14,"PASS","CHECK")</x:f>
        <x:v>PASS</x:v>
      </x:c>
      <x:c r="E14" s="7" t="str">
        <x:v>Action frames balanced 9/8/8.</x:v>
      </x:c>
    </x:row>
    <x:row r="15" ht="42" customHeight="1">
      <x:c r="A15" s="7" t="str">
        <x:v>Primary smallest-juggling wording: Move</x:v>
      </x:c>
      <x:c r="B15" s="7" t="n">
        <x:f>COUNTIFS('Evaluation Plan'!I2:I151,"Concept/compositional transfer",'Evaluation Plan'!L2:L151,"Held-out smallest × juggling ball — Move")</x:f>
        <x:v>8</x:v>
      </x:c>
      <x:c r="C15" s="7" t="n">
        <x:v>8</x:v>
      </x:c>
      <x:c r="D15" s="7" t="str">
        <x:f>IF(B15=C15,"PASS","CHECK")</x:f>
        <x:v>PASS</x:v>
      </x:c>
      <x:c r="E15" s="7" t="str">
        <x:v>Action frames balanced 8/9/8.</x:v>
      </x:c>
    </x:row>
    <x:row r="16" ht="42" customHeight="1">
      <x:c r="A16" s="7" t="str">
        <x:v>Primary smallest-juggling wording: Pick up</x:v>
      </x:c>
      <x:c r="B16" s="7" t="n">
        <x:f>COUNTIFS('Evaluation Plan'!I2:I151,"Concept/compositional transfer",'Evaluation Plan'!L2:L151,"Held-out smallest × juggling ball — Pick up")</x:f>
        <x:v>9</x:v>
      </x:c>
      <x:c r="C16" s="7" t="n">
        <x:v>9</x:v>
      </x:c>
      <x:c r="D16" s="7" t="str">
        <x:f>IF(B16=C16,"PASS","CHECK")</x:f>
        <x:v>PASS</x:v>
      </x:c>
      <x:c r="E16" s="7" t="str">
        <x:v>Action frames balanced 8/9/8.</x:v>
      </x:c>
    </x:row>
    <x:row r="17" ht="42" customHeight="1">
      <x:c r="A17" s="7" t="str">
        <x:v>Primary smallest-juggling wording: Put</x:v>
      </x:c>
      <x:c r="B17" s="7" t="n">
        <x:f>COUNTIFS('Evaluation Plan'!I2:I151,"Concept/compositional transfer",'Evaluation Plan'!L2:L151,"Held-out smallest × juggling ball — Put")</x:f>
        <x:v>8</x:v>
      </x:c>
      <x:c r="C17" s="7" t="n">
        <x:v>8</x:v>
      </x:c>
      <x:c r="D17" s="7" t="str">
        <x:f>IF(B17=C17,"PASS","CHECK")</x:f>
        <x:v>PASS</x:v>
      </x:c>
      <x:c r="E17" s="7" t="str">
        <x:v>Action frames balanced 8/9/8.</x:v>
      </x:c>
    </x:row>
    <x:row r="18" ht="42" customHeight="1">
      <x:c r="A18" s="7" t="str">
        <x:v>Primary target on left</x:v>
      </x:c>
      <x:c r="B18" s="7" t="n">
        <x:f>COUNTIFS('Evaluation Plan'!I2:I151,"Concept/compositional transfer",'Evaluation Plan'!N2:N151,"Left")</x:f>
        <x:v>25</x:v>
      </x:c>
      <x:c r="C18" s="7" t="n">
        <x:v>25</x:v>
      </x:c>
      <x:c r="D18" s="7" t="str">
        <x:f>IF(B18=C18,"PASS","CHECK")</x:f>
        <x:v>PASS</x:v>
      </x:c>
      <x:c r="E18" s="7" t="str">
        <x:v>Balanced side.</x:v>
      </x:c>
    </x:row>
    <x:row r="19" ht="42" customHeight="1">
      <x:c r="A19" s="7" t="str">
        <x:v>Primary target on right</x:v>
      </x:c>
      <x:c r="B19" s="7" t="n">
        <x:f>COUNTIFS('Evaluation Plan'!I2:I151,"Concept/compositional transfer",'Evaluation Plan'!N2:N151,"Right")</x:f>
        <x:v>25</x:v>
      </x:c>
      <x:c r="C19" s="7" t="n">
        <x:v>25</x:v>
      </x:c>
      <x:c r="D19" s="7" t="str">
        <x:f>IF(B19=C19,"PASS","CHECK")</x:f>
        <x:v>PASS</x:v>
      </x:c>
      <x:c r="E19" s="7" t="str">
        <x:v>Balanced side.</x:v>
      </x:c>
    </x:row>
    <x:row r="20" ht="42" customHeight="1">
      <x:c r="A20" s="7" t="str">
        <x:v>Matched controls</x:v>
      </x:c>
      <x:c r="B20" s="7" t="n">
        <x:f>COUNTIF('Evaluation Plan'!I2:I151,"Matched manipulation control")</x:f>
        <x:v>20</x:v>
      </x:c>
      <x:c r="C20" s="7" t="n">
        <x:v>20</x:v>
      </x:c>
      <x:c r="D20" s="7" t="str">
        <x:f>IF(B20=C20,"PASS","CHECK")</x:f>
        <x:v>PASS</x:v>
      </x:c>
      <x:c r="E20" s="7" t="str">
        <x:v>Same scene and same target as primary.</x:v>
      </x:c>
    </x:row>
    <x:row r="21" ht="42" customHeight="1">
      <x:c r="A21" s="7" t="str">
        <x:v>Matched green targets</x:v>
      </x:c>
      <x:c r="B21" s="7" t="n">
        <x:f>COUNTIFS('Evaluation Plan'!I2:I151,"Matched manipulation control",'Evaluation Plan'!M2:M151,"green block")</x:f>
        <x:v>10</x:v>
      </x:c>
      <x:c r="C21" s="7" t="n">
        <x:v>10</x:v>
      </x:c>
      <x:c r="D21" s="7" t="str">
        <x:f>IF(B21=C21,"PASS","CHECK")</x:f>
        <x:v>PASS</x:v>
      </x:c>
      <x:c r="E21" s="7" t="str">
        <x:v>Balanced target identity.</x:v>
      </x:c>
    </x:row>
    <x:row r="22" ht="42" customHeight="1">
      <x:c r="A22" s="7" t="str">
        <x:v>Matched juggling targets</x:v>
      </x:c>
      <x:c r="B22" s="7" t="n">
        <x:f>COUNTIFS('Evaluation Plan'!I2:I151,"Matched manipulation control",'Evaluation Plan'!M2:M151,"juggling ball")</x:f>
        <x:v>10</x:v>
      </x:c>
      <x:c r="C22" s="7" t="n">
        <x:v>10</x:v>
      </x:c>
      <x:c r="D22" s="7" t="str">
        <x:f>IF(B22=C22,"PASS","CHECK")</x:f>
        <x:v>PASS</x:v>
      </x:c>
      <x:c r="E22" s="7" t="str">
        <x:v>Balanced target identity.</x:v>
      </x:c>
    </x:row>
    <x:row r="23" ht="42" customHeight="1">
      <x:c r="A23" s="7" t="str">
        <x:v>Matched rows with references</x:v>
      </x:c>
      <x:c r="B23" s="7" t="n">
        <x:f>COUNTIFS('Evaluation Plan'!I2:I151,"Matched manipulation control",'Evaluation Plan'!E2:E151,"&gt;=0")</x:f>
        <x:v>20</x:v>
      </x:c>
      <x:c r="C23" s="7" t="n">
        <x:v>20</x:v>
      </x:c>
      <x:c r="D23" s="7" t="str">
        <x:f>IF(B23=C23,"PASS","CHECK")</x:f>
        <x:v>PASS</x:v>
      </x:c>
      <x:c r="E23" s="7" t="str">
        <x:v>Exact-scene linkage.</x:v>
      </x:c>
    </x:row>
    <x:row r="24" ht="42" customHeight="1">
      <x:c r="A24" s="7" t="str">
        <x:v>Language robustness total</x:v>
      </x:c>
      <x:c r="B24" s="7" t="n">
        <x:f>COUNTIF('Evaluation Plan'!I2:I151,"Language robustness")</x:f>
        <x:v>20</x:v>
      </x:c>
      <x:c r="C24" s="7" t="n">
        <x:v>20</x:v>
      </x:c>
      <x:c r="D24" s="7" t="str">
        <x:f>IF(B24=C24,"PASS","CHECK")</x:f>
        <x:v>PASS</x:v>
      </x:c>
      <x:c r="E24" s="7" t="str">
        <x:v>Ten transfer + ten matched controls.</x:v>
      </x:c>
    </x:row>
    <x:row r="25" ht="42" customHeight="1">
      <x:c r="A25" s="7" t="str">
        <x:v>Language transfer paraphrases</x:v>
      </x:c>
      <x:c r="B25" s="7" t="n">
        <x:f>COUNTIFS('Evaluation Plan'!I2:I151,"Language robustness",'Evaluation Plan'!L2:L151,"Primary compositional-transfer prompt paraphrase")</x:f>
        <x:v>10</x:v>
      </x:c>
      <x:c r="C25" s="7" t="n">
        <x:v>10</x:v>
      </x:c>
      <x:c r="D25" s="7" t="str">
        <x:f>IF(B25=C25,"PASS","CHECK")</x:f>
        <x:v>PASS</x:v>
      </x:c>
      <x:c r="E25" s="7" t="str">
        <x:v>Exact primary scenes.</x:v>
      </x:c>
    </x:row>
    <x:row r="26" ht="42" customHeight="1">
      <x:c r="A26" s="7" t="str">
        <x:v>Language control paraphrases</x:v>
      </x:c>
      <x:c r="B26" s="7" t="n">
        <x:f>COUNTIFS('Evaluation Plan'!I2:I151,"Language robustness",'Evaluation Plan'!L2:L151,"Matched-control direct prompt paraphrase")</x:f>
        <x:v>10</x:v>
      </x:c>
      <x:c r="C26" s="7" t="n">
        <x:v>10</x:v>
      </x:c>
      <x:c r="D26" s="7" t="str">
        <x:f>IF(B26=C26,"PASS","CHECK")</x:f>
        <x:v>PASS</x:v>
      </x:c>
      <x:c r="E26" s="7" t="str">
        <x:v>Exact control scenes.</x:v>
      </x:c>
    </x:row>
    <x:row r="27" ht="42" customHeight="1">
      <x:c r="A27" s="7" t="str">
        <x:v>Airplane-target reasoning total</x:v>
      </x:c>
      <x:c r="B27" s="7" t="n">
        <x:f>COUNTIF('Evaluation Plan'!I2:I151,"Cross-task airplane reasoning")</x:f>
        <x:v>10</x:v>
      </x:c>
      <x:c r="C27" s="7" t="n">
        <x:v>10</x:v>
      </x:c>
      <x:c r="D27" s="7" t="str">
        <x:f>IF(B27=C27,"PASS","CHECK")</x:f>
        <x:v>PASS</x:v>
      </x:c>
      <x:c r="E27" s="7" t="str">
        <x:v>Ten airplane-target trials.</x:v>
      </x:c>
    </x:row>
    <x:row r="28" ht="42" customHeight="1">
      <x:c r="A28" s="7" t="str">
        <x:v>Airplane target as largest</x:v>
      </x:c>
      <x:c r="B28" s="7" t="n">
        <x:f>COUNTIFS('Evaluation Plan'!I2:I151,"Cross-task airplane reasoning",'Evaluation Plan'!K2:K151,"largest")</x:f>
        <x:v>5</x:v>
      </x:c>
      <x:c r="C28" s="7" t="n">
        <x:v>5</x:v>
      </x:c>
      <x:c r="D28" s="7" t="str">
        <x:f>IF(B28=C28,"PASS","CHECK")</x:f>
        <x:v>PASS</x:v>
      </x:c>
      <x:c r="E28" s="7" t="str">
        <x:v>Versus sharpener.</x:v>
      </x:c>
    </x:row>
    <x:row r="29" ht="42" customHeight="1">
      <x:c r="A29" s="7" t="str">
        <x:v>Airplane target as smallest</x:v>
      </x:c>
      <x:c r="B29" s="7" t="n">
        <x:f>COUNTIFS('Evaluation Plan'!I2:I151,"Cross-task airplane reasoning",'Evaluation Plan'!K2:K151,"smallest")</x:f>
        <x:v>5</x:v>
      </x:c>
      <x:c r="C29" s="7" t="n">
        <x:v>5</x:v>
      </x:c>
      <x:c r="D29" s="7" t="str">
        <x:f>IF(B29=C29,"PASS","CHECK")</x:f>
        <x:v>PASS</x:v>
      </x:c>
      <x:c r="E29" s="7" t="str">
        <x:v>Relative to larger comparators.</x:v>
      </x:c>
    </x:row>
    <x:row r="30" ht="42" customHeight="1">
      <x:c r="A30" s="7" t="str">
        <x:v>Airplane target on left</x:v>
      </x:c>
      <x:c r="B30" s="7" t="n">
        <x:f>COUNTIFS('Evaluation Plan'!I2:I151,"Cross-task airplane reasoning",'Evaluation Plan'!N2:N151,"Left")</x:f>
        <x:v>5</x:v>
      </x:c>
      <x:c r="C30" s="7" t="n">
        <x:v>5</x:v>
      </x:c>
      <x:c r="D30" s="7" t="str">
        <x:f>IF(B30=C30,"PASS","CHECK")</x:f>
        <x:v>PASS</x:v>
      </x:c>
      <x:c r="E30" s="7" t="str">
        <x:v>Balanced side.</x:v>
      </x:c>
    </x:row>
    <x:row r="31" ht="42" customHeight="1">
      <x:c r="A31" s="7" t="str">
        <x:v>Airplane target on right</x:v>
      </x:c>
      <x:c r="B31" s="7" t="n">
        <x:f>COUNTIFS('Evaluation Plan'!I2:I151,"Cross-task airplane reasoning",'Evaluation Plan'!N2:N151,"Right")</x:f>
        <x:v>5</x:v>
      </x:c>
      <x:c r="C31" s="7" t="n">
        <x:v>5</x:v>
      </x:c>
      <x:c r="D31" s="7" t="str">
        <x:f>IF(B31=C31,"PASS","CHECK")</x:f>
        <x:v>PASS</x:v>
      </x:c>
      <x:c r="E31" s="7" t="str">
        <x:v>Balanced side.</x:v>
      </x:c>
    </x:row>
    <x:row r="32" ht="42" customHeight="1">
      <x:c r="A32" s="7" t="str">
        <x:v>Airplane-largest scenes with two objects</x:v>
      </x:c>
      <x:c r="B32" s="7" t="n">
        <x:f>COUNTIFS('Evaluation Plan'!I2:I151,"Cross-task airplane reasoning",'Evaluation Plan'!K2:K151,"largest",'Evaluation Plan'!O2:O151,2)</x:f>
        <x:v>5</x:v>
      </x:c>
      <x:c r="C32" s="7" t="n">
        <x:v>5</x:v>
      </x:c>
      <x:c r="D32" s="7" t="str">
        <x:f>IF(B32=C32,"PASS","CHECK")</x:f>
        <x:v>PASS</x:v>
      </x:c>
      <x:c r="E32" s="7" t="str">
        <x:v>Airplane plus sharpener.</x:v>
      </x:c>
    </x:row>
    <x:row r="33" ht="42" customHeight="1">
      <x:c r="A33" s="7" t="str">
        <x:v>Airplane-smallest scenes with three objects</x:v>
      </x:c>
      <x:c r="B33" s="7" t="n">
        <x:f>COUNTIFS('Evaluation Plan'!I2:I151,"Cross-task airplane reasoning",'Evaluation Plan'!K2:K151,"smallest",'Evaluation Plan'!O2:O151,3)</x:f>
        <x:v>5</x:v>
      </x:c>
      <x:c r="C33" s="7" t="n">
        <x:v>5</x:v>
      </x:c>
      <x:c r="D33" s="7" t="str">
        <x:f>IF(B33=C33,"PASS","CHECK")</x:f>
        <x:v>PASS</x:v>
      </x:c>
      <x:c r="E33" s="7" t="str">
        <x:v>Two larger comparators; opposite target is trained.</x:v>
      </x:c>
    </x:row>
    <x:row r="34" ht="42" customHeight="1">
      <x:c r="A34" s="7" t="str">
        <x:v>Airplane counterfactual total</x:v>
      </x:c>
      <x:c r="B34" s="7" t="n">
        <x:f>COUNTIF('Evaluation Plan'!I2:I151,"Cross-task airplane counterfactual")</x:f>
        <x:v>10</x:v>
      </x:c>
      <x:c r="C34" s="7" t="n">
        <x:v>10</x:v>
      </x:c>
      <x:c r="D34" s="7" t="str">
        <x:f>IF(B34=C34,"PASS","CHECK")</x:f>
        <x:v>PASS</x:v>
      </x:c>
      <x:c r="E34" s="7" t="str">
        <x:v>One exact-scene control per airplane-target trial.</x:v>
      </x:c>
    </x:row>
    <x:row r="35" ht="42" customHeight="1">
      <x:c r="A35" s="7" t="str">
        <x:v>Airplane counterfactuals targeting another object</x:v>
      </x:c>
      <x:c r="B35" s="7" t="n">
        <x:f>COUNTIFS('Evaluation Plan'!I2:I151,"Cross-task airplane counterfactual",'Evaluation Plan'!M2:M151,"&lt;&gt;airplane toy with propellers")</x:f>
        <x:v>10</x:v>
      </x:c>
      <x:c r="C35" s="7" t="n">
        <x:v>10</x:v>
      </x:c>
      <x:c r="D35" s="7" t="str">
        <x:f>IF(B35=C35,"PASS","CHECK")</x:f>
        <x:v>PASS</x:v>
      </x:c>
      <x:c r="E35" s="7" t="str">
        <x:v>The airplane is never the target in the paired control.</x:v>
      </x:c>
    </x:row>
    <x:row r="36" ht="42" customHeight="1">
      <x:c r="A36" s="7" t="str">
        <x:v>Airplane counterfactual smallest prompts</x:v>
      </x:c>
      <x:c r="B36" s="7" t="n">
        <x:f>COUNTIFS('Evaluation Plan'!I2:I151,"Cross-task airplane counterfactual",'Evaluation Plan'!K2:K151,"smallest")</x:f>
        <x:v>5</x:v>
      </x:c>
      <x:c r="C36" s="7" t="n">
        <x:v>5</x:v>
      </x:c>
      <x:c r="D36" s="7" t="str">
        <x:f>IF(B36=C36,"PASS","CHECK")</x:f>
        <x:v>PASS</x:v>
      </x:c>
      <x:c r="E36" s="7" t="str">
        <x:v>Paired with the five airplane-largest trials.</x:v>
      </x:c>
    </x:row>
    <x:row r="37" ht="42" customHeight="1">
      <x:c r="A37" s="7" t="str">
        <x:v>Airplane counterfactual largest prompts</x:v>
      </x:c>
      <x:c r="B37" s="7" t="n">
        <x:f>COUNTIFS('Evaluation Plan'!I2:I151,"Cross-task airplane counterfactual",'Evaluation Plan'!K2:K151,"largest")</x:f>
        <x:v>5</x:v>
      </x:c>
      <x:c r="C37" s="7" t="n">
        <x:v>5</x:v>
      </x:c>
      <x:c r="D37" s="7" t="str">
        <x:f>IF(B37=C37,"PASS","CHECK")</x:f>
        <x:v>PASS</x:v>
      </x:c>
      <x:c r="E37" s="7" t="str">
        <x:v>Paired with the five airplane-smallest trials.</x:v>
      </x:c>
    </x:row>
    <x:row r="38" ht="42" customHeight="1">
      <x:c r="A38" s="7" t="str">
        <x:v>Airplane counterfactual rows with references</x:v>
      </x:c>
      <x:c r="B38" s="7" t="n">
        <x:f>COUNTIFS('Evaluation Plan'!I2:I151,"Cross-task airplane counterfactual",'Evaluation Plan'!E2:E151,"&gt;=0")</x:f>
        <x:v>10</x:v>
      </x:c>
      <x:c r="C38" s="7" t="n">
        <x:v>10</x:v>
      </x:c>
      <x:c r="D38" s="7" t="str">
        <x:f>IF(B38=C38,"PASS","CHECK")</x:f>
        <x:v>PASS</x:v>
      </x:c>
      <x:c r="E38" s="7" t="str">
        <x:v>Each control points to its adjacent exact-scene airplane-target row.</x:v>
      </x:c>
    </x:row>
    <x:row r="39" ht="42" customHeight="1">
      <x:c r="A39" s="7" t="str">
        <x:v>Counterfactual target: red pencil sharpener</x:v>
      </x:c>
      <x:c r="B39" s="7" t="n">
        <x:f>COUNTIFS('Evaluation Plan'!I2:I151,"Cross-task airplane counterfactual",'Evaluation Plan'!M2:M151,"red pencil sharpener")</x:f>
        <x:v>5</x:v>
      </x:c>
      <x:c r="C39" s="7" t="n">
        <x:v>5</x:v>
      </x:c>
      <x:c r="D39" s="7" t="str">
        <x:f>IF(B39=C39,"PASS","CHECK")</x:f>
        <x:v>PASS</x:v>
      </x:c>
      <x:c r="E39" s="7" t="str">
        <x:v>Paired with airplane-largest scenes.</x:v>
      </x:c>
    </x:row>
    <x:row r="40" ht="42" customHeight="1">
      <x:c r="A40" s="7" t="str">
        <x:v>Counterfactual target: juggling ball</x:v>
      </x:c>
      <x:c r="B40" s="7" t="n">
        <x:f>COUNTIFS('Evaluation Plan'!I2:I151,"Cross-task airplane counterfactual",'Evaluation Plan'!M2:M151,"juggling ball")</x:f>
        <x:v>2</x:v>
      </x:c>
      <x:c r="C40" s="7" t="n">
        <x:v>2</x:v>
      </x:c>
      <x:c r="D40" s="7" t="str">
        <x:f>IF(B40=C40,"PASS","CHECK")</x:f>
        <x:v>PASS</x:v>
      </x:c>
      <x:c r="E40" s="7" t="str">
        <x:v>Trained largest cell.</x:v>
      </x:c>
    </x:row>
    <x:row r="41" ht="42" customHeight="1">
      <x:c r="A41" s="7" t="str">
        <x:v>Counterfactual target: crushed Pepsi can</x:v>
      </x:c>
      <x:c r="B41" s="7" t="n">
        <x:f>COUNTIFS('Evaluation Plan'!I2:I151,"Cross-task airplane counterfactual",'Evaluation Plan'!M2:M151,"crushed Pepsi can")</x:f>
        <x:v>3</x:v>
      </x:c>
      <x:c r="C41" s="7" t="n">
        <x:v>3</x:v>
      </x:c>
      <x:c r="D41" s="7" t="str">
        <x:f>IF(B41=C41,"PASS","CHECK")</x:f>
        <x:v>PASS</x:v>
      </x:c>
      <x:c r="E41" s="7" t="str">
        <x:v>Trained largest cell.</x:v>
      </x:c>
    </x:row>
    <x:row r="42" ht="42" customHeight="1">
      <x:c r="A42" s="7" t="str">
        <x:v>Airplane block direct prompts</x:v>
      </x:c>
      <x:c r="B42" s="7" t="n">
        <x:f>COUNTIFS('Evaluation Plan'!I2:I151,"Cross-task airplane*",'Evaluation Plan'!K2:K151,"Direct")</x:f>
        <x:v>0</x:v>
      </x:c>
      <x:c r="C42" s="7" t="n">
        <x:v>0</x:v>
      </x:c>
      <x:c r="D42" s="7" t="str">
        <x:f>IF(B42=C42,"PASS","CHECK")</x:f>
        <x:v>PASS</x:v>
      </x:c>
      <x:c r="E42" s="7" t="str">
        <x:v>Reasoning prompts only.</x:v>
      </x:c>
    </x:row>
    <x:row r="43" ht="42" customHeight="1">
      <x:c r="A43" s="7" t="str">
        <x:v>Goal-already-satisfied total</x:v>
      </x:c>
      <x:c r="B43" s="7" t="n">
        <x:f>COUNTIF('Evaluation Plan'!I2:I151,"Goal already satisfied / no movement")</x:f>
        <x:v>20</x:v>
      </x:c>
      <x:c r="C43" s="7" t="n">
        <x:v>20</x:v>
      </x:c>
      <x:c r="D43" s="7" t="str">
        <x:f>IF(B43=C43,"PASS","CHECK")</x:f>
        <x:v>PASS</x:v>
      </x:c>
      <x:c r="E43" s="7" t="str">
        <x:v>Separate diagnostic.</x:v>
      </x:c>
    </x:row>
    <x:row r="44" ht="42" customHeight="1">
      <x:c r="A44" s="7" t="str">
        <x:v>No-op smallest</x:v>
      </x:c>
      <x:c r="B44" s="7" t="n">
        <x:f>COUNTIFS('Evaluation Plan'!I2:I151,"Goal already satisfied / no movement",'Evaluation Plan'!K2:K151,"smallest")</x:f>
        <x:v>10</x:v>
      </x:c>
      <x:c r="C44" s="7" t="n">
        <x:v>10</x:v>
      </x:c>
      <x:c r="D44" s="7" t="str">
        <x:f>IF(B44=C44,"PASS","CHECK")</x:f>
        <x:v>PASS</x:v>
      </x:c>
      <x:c r="E44" s="7" t="str">
        <x:v>Balanced comparison.</x:v>
      </x:c>
    </x:row>
    <x:row r="45" ht="42" customHeight="1">
      <x:c r="A45" s="7" t="str">
        <x:v>No-op largest</x:v>
      </x:c>
      <x:c r="B45" s="7" t="n">
        <x:f>COUNTIFS('Evaluation Plan'!I2:I151,"Goal already satisfied / no movement",'Evaluation Plan'!K2:K151,"largest")</x:f>
        <x:v>10</x:v>
      </x:c>
      <x:c r="C45" s="7" t="n">
        <x:v>10</x:v>
      </x:c>
      <x:c r="D45" s="7" t="str">
        <x:f>IF(B45=C45,"PASS","CHECK")</x:f>
        <x:v>PASS</x:v>
      </x:c>
      <x:c r="E45" s="7" t="str">
        <x:v>Balanced comparison.</x:v>
      </x:c>
    </x:row>
    <x:row r="46" ht="42" customHeight="1">
      <x:c r="A46" s="7" t="str">
        <x:v>No-op target: red pencil sharpener</x:v>
      </x:c>
      <x:c r="B46" s="7" t="n">
        <x:f>COUNTIFS('Evaluation Plan'!I2:I151,"Goal already satisfied / no movement",'Evaluation Plan'!M2:M151,"red pencil sharpener")</x:f>
        <x:v>5</x:v>
      </x:c>
      <x:c r="C46" s="7" t="n">
        <x:v>5</x:v>
      </x:c>
      <x:c r="D46" s="7" t="str">
        <x:f>IF(B46=C46,"PASS","CHECK")</x:f>
        <x:v>PASS</x:v>
      </x:c>
      <x:c r="E46" s="7" t="str">
        <x:v>Five per trained cell.</x:v>
      </x:c>
    </x:row>
    <x:row r="47" ht="42" customHeight="1">
      <x:c r="A47" s="7" t="str">
        <x:v>No-op target: green block</x:v>
      </x:c>
      <x:c r="B47" s="7" t="n">
        <x:f>COUNTIFS('Evaluation Plan'!I2:I151,"Goal already satisfied / no movement",'Evaluation Plan'!M2:M151,"green block")</x:f>
        <x:v>5</x:v>
      </x:c>
      <x:c r="C47" s="7" t="n">
        <x:v>5</x:v>
      </x:c>
      <x:c r="D47" s="7" t="str">
        <x:f>IF(B47=C47,"PASS","CHECK")</x:f>
        <x:v>PASS</x:v>
      </x:c>
      <x:c r="E47" s="7" t="str">
        <x:v>Five per trained cell.</x:v>
      </x:c>
    </x:row>
    <x:row r="48" ht="42" customHeight="1">
      <x:c r="A48" s="7" t="str">
        <x:v>No-op target: juggling ball</x:v>
      </x:c>
      <x:c r="B48" s="7" t="n">
        <x:f>COUNTIFS('Evaluation Plan'!I2:I151,"Goal already satisfied / no movement",'Evaluation Plan'!M2:M151,"juggling ball")</x:f>
        <x:v>5</x:v>
      </x:c>
      <x:c r="C48" s="7" t="n">
        <x:v>5</x:v>
      </x:c>
      <x:c r="D48" s="7" t="str">
        <x:f>IF(B48=C48,"PASS","CHECK")</x:f>
        <x:v>PASS</x:v>
      </x:c>
      <x:c r="E48" s="7" t="str">
        <x:v>Five per trained cell.</x:v>
      </x:c>
    </x:row>
    <x:row r="49" ht="42" customHeight="1">
      <x:c r="A49" s="7" t="str">
        <x:v>No-op target: crushed Pepsi can</x:v>
      </x:c>
      <x:c r="B49" s="7" t="n">
        <x:f>COUNTIFS('Evaluation Plan'!I2:I151,"Goal already satisfied / no movement",'Evaluation Plan'!M2:M151,"crushed Pepsi can")</x:f>
        <x:v>5</x:v>
      </x:c>
      <x:c r="C49" s="7" t="n">
        <x:v>5</x:v>
      </x:c>
      <x:c r="D49" s="7" t="str">
        <x:f>IF(B49=C49,"PASS","CHECK")</x:f>
        <x:v>PASS</x:v>
      </x:c>
      <x:c r="E49" s="7" t="str">
        <x:v>Five per trained cell.</x:v>
      </x:c>
    </x:row>
    <x:row r="50" ht="42" customHeight="1">
      <x:c r="A50" s="7" t="str">
        <x:v>No-op scenes with two objects</x:v>
      </x:c>
      <x:c r="B50" s="7" t="n">
        <x:f>COUNTIFS('Evaluation Plan'!I2:I151,"Goal already satisfied / no movement",'Evaluation Plan'!O2:O151,2)</x:f>
        <x:v>7</x:v>
      </x:c>
      <x:c r="C50" s="7" t="n">
        <x:v>7</x:v>
      </x:c>
      <x:c r="D50" s="7" t="str">
        <x:f>IF(B50=C50,"PASS","CHECK")</x:f>
        <x:v>PASS</x:v>
      </x:c>
      <x:c r="E50" s="7" t="str">
        <x:v>Varied scene complexity.</x:v>
      </x:c>
    </x:row>
    <x:row r="51" ht="42" customHeight="1">
      <x:c r="A51" s="7" t="str">
        <x:v>No-op scenes with three objects</x:v>
      </x:c>
      <x:c r="B51" s="7" t="n">
        <x:f>COUNTIFS('Evaluation Plan'!I2:I151,"Goal already satisfied / no movement",'Evaluation Plan'!O2:O151,3)</x:f>
        <x:v>7</x:v>
      </x:c>
      <x:c r="C51" s="7" t="n">
        <x:v>7</x:v>
      </x:c>
      <x:c r="D51" s="7" t="str">
        <x:f>IF(B51=C51,"PASS","CHECK")</x:f>
        <x:v>PASS</x:v>
      </x:c>
      <x:c r="E51" s="7" t="str">
        <x:v>Varied scene complexity.</x:v>
      </x:c>
    </x:row>
    <x:row r="52" ht="42" customHeight="1">
      <x:c r="A52" s="7" t="str">
        <x:v>No-op scenes with four objects</x:v>
      </x:c>
      <x:c r="B52" s="7" t="n">
        <x:f>COUNTIFS('Evaluation Plan'!I2:I151,"Goal already satisfied / no movement",'Evaluation Plan'!O2:O151,4)</x:f>
        <x:v>6</x:v>
      </x:c>
      <x:c r="C52" s="7" t="n">
        <x:v>6</x:v>
      </x:c>
      <x:c r="D52" s="7" t="str">
        <x:f>IF(B52=C52,"PASS","CHECK")</x:f>
        <x:v>PASS</x:v>
      </x:c>
      <x:c r="E52" s="7" t="str">
        <x:v>Varied scene complexity.</x:v>
      </x:c>
    </x:row>
    <x:row r="53" ht="42" customHeight="1">
      <x:c r="A53" s="7" t="str">
        <x:v>Initial Not collected statuses</x:v>
      </x:c>
      <x:c r="B53" s="7" t="n">
        <x:f>COUNTIF('Evaluation Plan'!A2:A151,"Not collected")</x:f>
        <x:v>150</x:v>
      </x:c>
      <x:c r="C53" s="7" t="n">
        <x:v>150</x:v>
      </x:c>
      <x:c r="D53" s="7" t="str">
        <x:f>IF(B53=C53,"PASS","CHECK")</x:f>
        <x:v>PASS</x:v>
      </x:c>
      <x:c r="E53" s="7" t="str">
        <x:v>Ready for collection.</x:v>
      </x:c>
    </x:row>
    <x:row r="54" ht="42" customHeight="1">
      <x:c r="A54" s="7" t="str">
        <x:v>Minimum episode</x:v>
      </x:c>
      <x:c r="B54" s="7" t="n">
        <x:f>MIN('Evaluation Plan'!B2:B151)</x:f>
        <x:v>0</x:v>
      </x:c>
      <x:c r="C54" s="7" t="n">
        <x:v>0</x:v>
      </x:c>
      <x:c r="D54" s="7" t="str">
        <x:f>IF(B54=C54,"PASS","CHECK")</x:f>
        <x:v>PASS</x:v>
      </x:c>
      <x:c r="E54" s="7" t="str">
        <x:v>No gaps.</x:v>
      </x:c>
    </x:row>
    <x:row r="55" ht="42" customHeight="1">
      <x:c r="A55" s="7" t="str">
        <x:v>Maximum episode</x:v>
      </x:c>
      <x:c r="B55" s="7" t="n">
        <x:f>MAX('Evaluation Plan'!B2:B151)</x:f>
        <x:v>149</x:v>
      </x:c>
      <x:c r="C55" s="7" t="n">
        <x:v>149</x:v>
      </x:c>
      <x:c r="D55" s="7" t="str">
        <x:f>IF(B55=C55,"PASS","CHECK")</x:f>
        <x:v>PASS</x:v>
      </x:c>
      <x:c r="E55" s="7" t="str">
        <x:v>No gaps.</x:v>
      </x:c>
    </x:row>
  </x:sheetData>
  <x:conditionalFormatting sqref="D2:D55">
    <x:cfRule type="containsText" dxfId="8" priority="1" operator="containsText" text="PASS"/>
    <x:cfRule type="containsText" dxfId="9" priority="2" operator="containsText" text="CHECK"/>
  </x:conditionalFormatting>
  <x:pageMargins left="0.7" right="0.7" top="0.75" bottom="0.75" header="0.3" footer="0.3"/>
  <x:tableParts count="1">
    <x:tablePart xmlns:r="http://schemas.openxmlformats.org/officeDocument/2006/relationships" r:id="R98a2157701a6448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9" hidden="0" customWidth="1"/>
    <x:col min="3" max="3" width="51" hidden="0" customWidth="1"/>
    <x:col min="4" max="4" width="78" hidden="0" customWidth="1"/>
    <x:col min="5" max="5" width="14" hidden="0" customWidth="1"/>
    <x:col min="6" max="6" width="24" hidden="0" customWidth="1"/>
    <x:col min="7" max="7" width="34" hidden="0" customWidth="1"/>
    <x:col min="8" max="8" width="42" hidden="0" customWidth="1"/>
    <x:col min="9" max="9" width="33" hidden="0" customWidth="1"/>
    <x:col min="10" max="10" width="18" hidden="0" customWidth="1"/>
    <x:col min="11" max="11" width="13" hidden="0" customWidth="1"/>
    <x:col min="12" max="12" width="50" hidden="0" customWidth="1"/>
    <x:col min="13" max="13" width="34" hidden="0" customWidth="1"/>
    <x:col min="14" max="14" width="12" hidden="0" customWidth="1"/>
    <x:col min="15" max="15" width="12" hidden="0" customWidth="1"/>
    <x:col min="16" max="16" width="14" hidden="0" customWidth="1"/>
    <x:col min="17" max="17" width="64" hidden="0" customWidth="1"/>
    <x:col min="18" max="18" width="80" hidden="0" customWidth="1"/>
    <x:col min="19" max="19" width="30" hidden="0" customWidth="1"/>
  </x:cols>
  <x:sheetData>
    <x:row r="1" ht="40" customHeight="1">
      <x:c r="A1" s="5" t="str">
        <x:v>Status</x:v>
      </x:c>
      <x:c r="B1" s="5" t="str">
        <x:v>Episode</x:v>
      </x:c>
      <x:c r="C1" s="5" t="str">
        <x:v>Prompt</x:v>
      </x:c>
      <x:c r="D1" s="5" t="str">
        <x:v>Scene Setup</x:v>
      </x:c>
      <x:c r="E1" s="5" t="str">
        <x:v>Reference Episode</x:v>
      </x:c>
      <x:c r="F1" s="5" t="str">
        <x:v>Original Training Episode(s)</x:v>
      </x:c>
      <x:c r="G1" s="5" t="str">
        <x:v>Expected Target / Action</x:v>
      </x:c>
      <x:c r="H1" s="5" t="str">
        <x:v>Observations</x:v>
      </x:c>
      <x:c r="I1" s="5" t="str">
        <x:v>Condition</x:v>
      </x:c>
      <x:c r="J1" s="5" t="str">
        <x:v>Scene Family</x:v>
      </x:c>
      <x:c r="K1" s="5" t="str">
        <x:v>Comparison</x:v>
      </x:c>
      <x:c r="L1" s="5" t="str">
        <x:v>Tested Cell / Role</x:v>
      </x:c>
      <x:c r="M1" s="5" t="str">
        <x:v>Target Object</x:v>
      </x:c>
      <x:c r="N1" s="5" t="str">
        <x:v>Target Side</x:v>
      </x:c>
      <x:c r="O1" s="5" t="str">
        <x:v>Object Count</x:v>
      </x:c>
      <x:c r="P1" s="5" t="str">
        <x:v>Separation (cm)</x:v>
      </x:c>
      <x:c r="Q1" s="5" t="str">
        <x:v>Setup Change from Previous</x:v>
      </x:c>
      <x:c r="R1" s="5" t="str">
        <x:v>Design Note</x:v>
      </x:c>
      <x:c r="S1" s="5" t="str">
        <x:v>Reference Media Filename</x:v>
      </x:c>
    </x:row>
    <x:row r="2" ht="68" customHeight="1">
      <x:c r="A2" s="9" t="str">
        <x:v>Not collected</x:v>
      </x:c>
      <x:c r="B2" s="9" t="n">
        <x:f>'Evaluation Plan'!B2</x:f>
        <x:v>0</x:v>
      </x:c>
      <x:c r="C2" s="10" t="str">
        <x:f>'Evaluation Plan'!C2</x:f>
        <x:v>Move the object that is smallest into the bowl.</x:v>
      </x:c>
      <x:c r="D2" s="10" t="str">
        <x:f>'Evaluation Plan'!D2</x:f>
        <x:v>Bowl: empty. Table, robot-left→robot-right: P1 red pencil sharpener; P2 green block; P3 juggling ball; P4 crushed Pepsi can. Adjacent centers 8 cm apart; row centered on the workspace; all objects fully visible and grasp paths clear.</x:v>
      </x:c>
      <x:c r="E2" s="9" t="str">
        <x:f>IF(ISBLANK('Evaluation Plan'!E2),"",'Evaluation Plan'!E2)</x:f>
      </x:c>
      <x:c r="F2" s="9" t="str">
        <x:f>'Evaluation Plan'!F2</x:f>
        <x:v>1005</x:v>
      </x:c>
      <x:c r="G2" s="9" t="str">
        <x:f>'Evaluation Plan'!G2</x:f>
        <x:v>MOVE red pencil sharpener to bowl</x:v>
      </x:c>
      <x:c r="H2" s="10"/>
      <x:c r="I2" s="9" t="str">
        <x:f>'Evaluation Plan'!I2</x:f>
        <x:v>In-distribution concept baseline</x:v>
      </x:c>
      <x:c r="J2" s="9" t="str">
        <x:f>'Evaluation Plan'!J2</x:f>
        <x:v>SZ-ID-SH01</x:v>
      </x:c>
      <x:c r="K2" s="9" t="str">
        <x:f>'Evaluation Plan'!K2</x:f>
        <x:v>smallest</x:v>
      </x:c>
      <x:c r="L2" s="9" t="str">
        <x:f>'Evaluation Plan'!L2</x:f>
        <x:v>Explicitly trained smallest × red pencil sharpener</x:v>
      </x:c>
      <x:c r="M2" s="9" t="str">
        <x:f>'Evaluation Plan'!M2</x:f>
        <x:v>red pencil sharpener</x:v>
      </x:c>
      <x:c r="N2" s="9" t="str">
        <x:f>'Evaluation Plan'!N2</x:f>
        <x:v>Left</x:v>
      </x:c>
      <x:c r="O2" s="9" t="n">
        <x:f>'Evaluation Plan'!O2</x:f>
        <x:v>4</x:v>
      </x:c>
      <x:c r="P2" s="9" t="n">
        <x:f>IF(ISBLANK('Evaluation Plan'!P2),"",'Evaluation Plan'!P2)</x:f>
        <x:v>8</x:v>
      </x:c>
      <x:c r="Q2" s="9" t="str">
        <x:f>'Evaluation Plan'!Q2</x:f>
        <x:v>Build the listed manifest-supported scene.</x:v>
      </x:c>
      <x:c r="R2" s="10" t="str">
        <x:f>'Evaluation Plan'!R2</x:f>
        <x:v>Exact prompt and object composition from training episode 1005; this establishes the familiar smallest × red pencil sharpener cell.</x:v>
      </x:c>
      <x:c r="S2" s="10" t="str">
        <x:f>IF(ISBLANK('Evaluation Plan'!S2),"",'Evaluation Plan'!S2)</x:f>
      </x:c>
    </x:row>
    <x:row r="3" ht="68" customHeight="1">
      <x:c r="A3" s="9" t="str">
        <x:v>Not collected</x:v>
      </x:c>
      <x:c r="B3" s="9" t="n">
        <x:f>'Evaluation Plan'!B3</x:f>
        <x:v>1</x:v>
      </x:c>
      <x:c r="C3" s="10" t="str">
        <x:f>'Evaluation Plan'!C3</x:f>
        <x:v>Pick up the smallest item and place it in the bowl.</x:v>
      </x:c>
      <x:c r="D3" s="10" t="str">
        <x:f>'Evaluation Plan'!D3</x:f>
        <x:v>Bowl: empty. Table, robot-left→robot-right: P1 crushed Pepsi can; P2 juggling ball; P3 green block. Adjacent centers 12 cm apart; row shifted 4 cm toward robot-left; all objects fully visible and grasp paths clear.</x:v>
      </x:c>
      <x:c r="E3" s="9" t="str">
        <x:f>IF(ISBLANK('Evaluation Plan'!E3),"",'Evaluation Plan'!E3)</x:f>
      </x:c>
      <x:c r="F3" s="9" t="str">
        <x:f>'Evaluation Plan'!F3</x:f>
        <x:v>1050</x:v>
      </x:c>
      <x:c r="G3" s="9" t="str">
        <x:f>'Evaluation Plan'!G3</x:f>
        <x:v>MOVE green block to bowl</x:v>
      </x:c>
      <x:c r="H3" s="10"/>
      <x:c r="I3" s="9" t="str">
        <x:f>'Evaluation Plan'!I3</x:f>
        <x:v>In-distribution concept baseline</x:v>
      </x:c>
      <x:c r="J3" s="9" t="str">
        <x:f>'Evaluation Plan'!J3</x:f>
        <x:v>SZ-ID-GB01</x:v>
      </x:c>
      <x:c r="K3" s="9" t="str">
        <x:f>'Evaluation Plan'!K3</x:f>
        <x:v>smallest</x:v>
      </x:c>
      <x:c r="L3" s="9" t="str">
        <x:f>'Evaluation Plan'!L3</x:f>
        <x:v>Explicitly trained smallest × green block</x:v>
      </x:c>
      <x:c r="M3" s="9" t="str">
        <x:f>'Evaluation Plan'!M3</x:f>
        <x:v>green block</x:v>
      </x:c>
      <x:c r="N3" s="9" t="str">
        <x:f>'Evaluation Plan'!N3</x:f>
        <x:v>Right</x:v>
      </x:c>
      <x:c r="O3" s="9" t="n">
        <x:f>'Evaluation Plan'!O3</x:f>
        <x:v>3</x:v>
      </x:c>
      <x:c r="P3" s="9" t="n">
        <x:f>IF(ISBLANK('Evaluation Plan'!P3),"",'Evaluation Plan'!P3)</x:f>
        <x:v>12</x:v>
      </x:c>
      <x:c r="Q3" s="9" t="str">
        <x:f>'Evaluation Plan'!Q3</x:f>
        <x:v>Build the listed manifest-supported scene.</x:v>
      </x:c>
      <x:c r="R3" s="10" t="str">
        <x:f>'Evaluation Plan'!R3</x:f>
        <x:v>Exact prompt and object composition from training episode 1050; this establishes the familiar smallest × green block cell.</x:v>
      </x:c>
      <x:c r="S3" s="10" t="str">
        <x:f>IF(ISBLANK('Evaluation Plan'!S3),"",'Evaluation Plan'!S3)</x:f>
      </x:c>
    </x:row>
    <x:row r="4" ht="68" customHeight="1">
      <x:c r="A4" s="9" t="str">
        <x:v>Not collected</x:v>
      </x:c>
      <x:c r="B4" s="9" t="n">
        <x:f>'Evaluation Plan'!B4</x:f>
        <x:v>2</x:v>
      </x:c>
      <x:c r="C4" s="10" t="str">
        <x:f>'Evaluation Plan'!C4</x:f>
        <x:v>Put the largest object in the bowl.</x:v>
      </x:c>
      <x:c r="D4" s="10" t="str">
        <x:f>'Evaluation Plan'!D4</x:f>
        <x:v>Bowl: empty. Table, robot-left→robot-right: P1 juggling ball; P2 red pencil sharpener; P3 green block. Adjacent centers 16 cm apart; row shifted 4 cm toward robot-right; all objects fully visible and grasp paths clear.</x:v>
      </x:c>
      <x:c r="E4" s="9" t="str">
        <x:f>IF(ISBLANK('Evaluation Plan'!E4),"",'Evaluation Plan'!E4)</x:f>
      </x:c>
      <x:c r="F4" s="9" t="str">
        <x:f>'Evaluation Plan'!F4</x:f>
        <x:v>1125</x:v>
      </x:c>
      <x:c r="G4" s="9" t="str">
        <x:f>'Evaluation Plan'!G4</x:f>
        <x:v>MOVE juggling ball to bowl</x:v>
      </x:c>
      <x:c r="H4" s="10"/>
      <x:c r="I4" s="9" t="str">
        <x:f>'Evaluation Plan'!I4</x:f>
        <x:v>In-distribution concept baseline</x:v>
      </x:c>
      <x:c r="J4" s="9" t="str">
        <x:f>'Evaluation Plan'!J4</x:f>
        <x:v>SZ-ID-JB01</x:v>
      </x:c>
      <x:c r="K4" s="9" t="str">
        <x:f>'Evaluation Plan'!K4</x:f>
        <x:v>largest</x:v>
      </x:c>
      <x:c r="L4" s="9" t="str">
        <x:f>'Evaluation Plan'!L4</x:f>
        <x:v>Explicitly trained largest × juggling ball</x:v>
      </x:c>
      <x:c r="M4" s="9" t="str">
        <x:f>'Evaluation Plan'!M4</x:f>
        <x:v>juggling ball</x:v>
      </x:c>
      <x:c r="N4" s="9" t="str">
        <x:f>'Evaluation Plan'!N4</x:f>
        <x:v>Left</x:v>
      </x:c>
      <x:c r="O4" s="9" t="n">
        <x:f>'Evaluation Plan'!O4</x:f>
        <x:v>3</x:v>
      </x:c>
      <x:c r="P4" s="9" t="n">
        <x:f>IF(ISBLANK('Evaluation Plan'!P4),"",'Evaluation Plan'!P4)</x:f>
        <x:v>16</x:v>
      </x:c>
      <x:c r="Q4" s="9" t="str">
        <x:f>'Evaluation Plan'!Q4</x:f>
        <x:v>Build the listed manifest-supported scene.</x:v>
      </x:c>
      <x:c r="R4" s="10" t="str">
        <x:f>'Evaluation Plan'!R4</x:f>
        <x:v>Exact prompt and object composition from training episode 1125; this establishes the familiar largest × juggling ball cell.</x:v>
      </x:c>
      <x:c r="S4" s="10" t="str">
        <x:f>IF(ISBLANK('Evaluation Plan'!S4),"",'Evaluation Plan'!S4)</x:f>
      </x:c>
    </x:row>
    <x:row r="5" ht="68" customHeight="1">
      <x:c r="A5" s="9" t="str">
        <x:v>Not collected</x:v>
      </x:c>
      <x:c r="B5" s="9" t="n">
        <x:f>'Evaluation Plan'!B5</x:f>
        <x:v>3</x:v>
      </x:c>
      <x:c r="C5" s="10" t="str">
        <x:f>'Evaluation Plan'!C5</x:f>
        <x:v>Pick up the largest item and place it in the bowl.</x:v>
      </x:c>
      <x:c r="D5" s="10" t="str">
        <x:f>'Evaluation Plan'!D5</x:f>
        <x:v>Bowl: empty. Table, robot-left→robot-right: P1 red pencil sharpener; P2 green block; P3 juggling ball; P4 crushed Pepsi can. Adjacent centers 8 cm apart; row shifted 4 cm toward the robot; all objects fully visible and grasp paths clear.</x:v>
      </x:c>
      <x:c r="E5" s="9" t="str">
        <x:f>IF(ISBLANK('Evaluation Plan'!E5),"",'Evaluation Plan'!E5)</x:f>
      </x:c>
      <x:c r="F5" s="9" t="str">
        <x:f>'Evaluation Plan'!F5</x:f>
        <x:v>1155</x:v>
      </x:c>
      <x:c r="G5" s="9" t="str">
        <x:f>'Evaluation Plan'!G5</x:f>
        <x:v>MOVE crushed Pepsi can to bowl</x:v>
      </x:c>
      <x:c r="H5" s="10"/>
      <x:c r="I5" s="9" t="str">
        <x:f>'Evaluation Plan'!I5</x:f>
        <x:v>In-distribution concept baseline</x:v>
      </x:c>
      <x:c r="J5" s="9" t="str">
        <x:f>'Evaluation Plan'!J5</x:f>
        <x:v>SZ-ID-PC01</x:v>
      </x:c>
      <x:c r="K5" s="9" t="str">
        <x:f>'Evaluation Plan'!K5</x:f>
        <x:v>largest</x:v>
      </x:c>
      <x:c r="L5" s="9" t="str">
        <x:f>'Evaluation Plan'!L5</x:f>
        <x:v>Explicitly trained largest × crushed Pepsi can</x:v>
      </x:c>
      <x:c r="M5" s="9" t="str">
        <x:f>'Evaluation Plan'!M5</x:f>
        <x:v>crushed Pepsi can</x:v>
      </x:c>
      <x:c r="N5" s="9" t="str">
        <x:f>'Evaluation Plan'!N5</x:f>
        <x:v>Right</x:v>
      </x:c>
      <x:c r="O5" s="9" t="n">
        <x:f>'Evaluation Plan'!O5</x:f>
        <x:v>4</x:v>
      </x:c>
      <x:c r="P5" s="9" t="n">
        <x:f>IF(ISBLANK('Evaluation Plan'!P5),"",'Evaluation Plan'!P5)</x:f>
        <x:v>8</x:v>
      </x:c>
      <x:c r="Q5" s="9" t="str">
        <x:f>'Evaluation Plan'!Q5</x:f>
        <x:v>Build the listed manifest-supported scene.</x:v>
      </x:c>
      <x:c r="R5" s="10" t="str">
        <x:f>'Evaluation Plan'!R5</x:f>
        <x:v>Exact prompt and object composition from training episode 1155; this establishes the familiar largest × crushed Pepsi can cell.</x:v>
      </x:c>
      <x:c r="S5" s="10" t="str">
        <x:f>IF(ISBLANK('Evaluation Plan'!S5),"",'Evaluation Plan'!S5)</x:f>
      </x:c>
    </x:row>
    <x:row r="6" ht="68" customHeight="1">
      <x:c r="A6" s="9" t="str">
        <x:v>Not collected</x:v>
      </x:c>
      <x:c r="B6" s="9" t="n">
        <x:f>'Evaluation Plan'!B6</x:f>
        <x:v>4</x:v>
      </x:c>
      <x:c r="C6" s="10" t="str">
        <x:f>'Evaluation Plan'!C6</x:f>
        <x:v>Pick up the smallest item and place it in the bowl.</x:v>
      </x:c>
      <x:c r="D6" s="10" t="str">
        <x:f>'Evaluation Plan'!D6</x:f>
        <x:v>Bowl: empty. Table, robot-left→robot-right: P1 juggling ball; P2 crushed Pepsi can; P3 green block; P4 red pencil sharpener. Adjacent centers 12 cm apart; row shifted 4 cm toward robot-left; all objects fully visible and grasp paths clear.</x:v>
      </x:c>
      <x:c r="E6" s="9" t="str">
        <x:f>IF(ISBLANK('Evaluation Plan'!E6),"",'Evaluation Plan'!E6)</x:f>
      </x:c>
      <x:c r="F6" s="9" t="str">
        <x:f>'Evaluation Plan'!F6</x:f>
        <x:v>1006</x:v>
      </x:c>
      <x:c r="G6" s="9" t="str">
        <x:f>'Evaluation Plan'!G6</x:f>
        <x:v>MOVE red pencil sharpener to bowl</x:v>
      </x:c>
      <x:c r="H6" s="10"/>
      <x:c r="I6" s="9" t="str">
        <x:f>'Evaluation Plan'!I6</x:f>
        <x:v>In-distribution concept baseline</x:v>
      </x:c>
      <x:c r="J6" s="9" t="str">
        <x:f>'Evaluation Plan'!J6</x:f>
        <x:v>SZ-ID-SH02</x:v>
      </x:c>
      <x:c r="K6" s="9" t="str">
        <x:f>'Evaluation Plan'!K6</x:f>
        <x:v>smallest</x:v>
      </x:c>
      <x:c r="L6" s="9" t="str">
        <x:f>'Evaluation Plan'!L6</x:f>
        <x:v>Explicitly trained smallest × red pencil sharpener</x:v>
      </x:c>
      <x:c r="M6" s="9" t="str">
        <x:f>'Evaluation Plan'!M6</x:f>
        <x:v>red pencil sharpener</x:v>
      </x:c>
      <x:c r="N6" s="9" t="str">
        <x:f>'Evaluation Plan'!N6</x:f>
        <x:v>Right</x:v>
      </x:c>
      <x:c r="O6" s="9" t="n">
        <x:f>'Evaluation Plan'!O6</x:f>
        <x:v>4</x:v>
      </x:c>
      <x:c r="P6" s="9" t="n">
        <x:f>IF(ISBLANK('Evaluation Plan'!P6),"",'Evaluation Plan'!P6)</x:f>
        <x:v>12</x:v>
      </x:c>
      <x:c r="Q6" s="9" t="str">
        <x:f>'Evaluation Plan'!Q6</x:f>
        <x:v>Build the listed manifest-supported scene.</x:v>
      </x:c>
      <x:c r="R6" s="10" t="str">
        <x:f>'Evaluation Plan'!R6</x:f>
        <x:v>Exact prompt and object composition from training episode 1006; this establishes the familiar smallest × red pencil sharpener cell.</x:v>
      </x:c>
      <x:c r="S6" s="10" t="str">
        <x:f>IF(ISBLANK('Evaluation Plan'!S6),"",'Evaluation Plan'!S6)</x:f>
      </x:c>
    </x:row>
    <x:row r="7" ht="68" customHeight="1">
      <x:c r="A7" s="9" t="str">
        <x:v>Not collected</x:v>
      </x:c>
      <x:c r="B7" s="9" t="n">
        <x:f>'Evaluation Plan'!B7</x:f>
        <x:v>5</x:v>
      </x:c>
      <x:c r="C7" s="10" t="str">
        <x:f>'Evaluation Plan'!C7</x:f>
        <x:v>Pick up the smallest item and place it in the bowl.</x:v>
      </x:c>
      <x:c r="D7" s="10" t="str">
        <x:f>'Evaluation Plan'!D7</x:f>
        <x:v>Bowl: empty. Table, robot-left→robot-right: P1 green block; P2 juggling ball; P3 crushed Pepsi can. Adjacent centers 16 cm apart; row shifted 4 cm toward robot-right; all objects fully visible and grasp paths clear.</x:v>
      </x:c>
      <x:c r="E7" s="9" t="str">
        <x:f>IF(ISBLANK('Evaluation Plan'!E7),"",'Evaluation Plan'!E7)</x:f>
      </x:c>
      <x:c r="F7" s="9" t="str">
        <x:f>'Evaluation Plan'!F7</x:f>
        <x:v>1051</x:v>
      </x:c>
      <x:c r="G7" s="9" t="str">
        <x:f>'Evaluation Plan'!G7</x:f>
        <x:v>MOVE green block to bowl</x:v>
      </x:c>
      <x:c r="H7" s="10"/>
      <x:c r="I7" s="9" t="str">
        <x:f>'Evaluation Plan'!I7</x:f>
        <x:v>In-distribution concept baseline</x:v>
      </x:c>
      <x:c r="J7" s="9" t="str">
        <x:f>'Evaluation Plan'!J7</x:f>
        <x:v>SZ-ID-GB02</x:v>
      </x:c>
      <x:c r="K7" s="9" t="str">
        <x:f>'Evaluation Plan'!K7</x:f>
        <x:v>smallest</x:v>
      </x:c>
      <x:c r="L7" s="9" t="str">
        <x:f>'Evaluation Plan'!L7</x:f>
        <x:v>Explicitly trained smallest × green block</x:v>
      </x:c>
      <x:c r="M7" s="9" t="str">
        <x:f>'Evaluation Plan'!M7</x:f>
        <x:v>green block</x:v>
      </x:c>
      <x:c r="N7" s="9" t="str">
        <x:f>'Evaluation Plan'!N7</x:f>
        <x:v>Left</x:v>
      </x:c>
      <x:c r="O7" s="9" t="n">
        <x:f>'Evaluation Plan'!O7</x:f>
        <x:v>3</x:v>
      </x:c>
      <x:c r="P7" s="9" t="n">
        <x:f>IF(ISBLANK('Evaluation Plan'!P7),"",'Evaluation Plan'!P7)</x:f>
        <x:v>16</x:v>
      </x:c>
      <x:c r="Q7" s="9" t="str">
        <x:f>'Evaluation Plan'!Q7</x:f>
        <x:v>Build the listed manifest-supported scene.</x:v>
      </x:c>
      <x:c r="R7" s="10" t="str">
        <x:f>'Evaluation Plan'!R7</x:f>
        <x:v>Exact prompt and object composition from training episode 1051; this establishes the familiar smallest × green block cell.</x:v>
      </x:c>
      <x:c r="S7" s="10" t="str">
        <x:f>IF(ISBLANK('Evaluation Plan'!S7),"",'Evaluation Plan'!S7)</x:f>
      </x:c>
    </x:row>
    <x:row r="8" ht="68" customHeight="1">
      <x:c r="A8" s="9" t="str">
        <x:v>Not collected</x:v>
      </x:c>
      <x:c r="B8" s="9" t="n">
        <x:f>'Evaluation Plan'!B8</x:f>
        <x:v>6</x:v>
      </x:c>
      <x:c r="C8" s="10" t="str">
        <x:f>'Evaluation Plan'!C8</x:f>
        <x:v>Pick up the largest item and place it in the bowl.</x:v>
      </x:c>
      <x:c r="D8" s="10" t="str">
        <x:f>'Evaluation Plan'!D8</x:f>
        <x:v>Bowl: empty. Table, robot-left→robot-right: P1 green block; P2 red pencil sharpener; P3 juggling ball. Adjacent centers 8 cm apart; row shifted 4 cm toward the robot; all objects fully visible and grasp paths clear.</x:v>
      </x:c>
      <x:c r="E8" s="9" t="str">
        <x:f>IF(ISBLANK('Evaluation Plan'!E8),"",'Evaluation Plan'!E8)</x:f>
      </x:c>
      <x:c r="F8" s="9" t="str">
        <x:f>'Evaluation Plan'!F8</x:f>
        <x:v>1126</x:v>
      </x:c>
      <x:c r="G8" s="9" t="str">
        <x:f>'Evaluation Plan'!G8</x:f>
        <x:v>MOVE juggling ball to bowl</x:v>
      </x:c>
      <x:c r="H8" s="10"/>
      <x:c r="I8" s="9" t="str">
        <x:f>'Evaluation Plan'!I8</x:f>
        <x:v>In-distribution concept baseline</x:v>
      </x:c>
      <x:c r="J8" s="9" t="str">
        <x:f>'Evaluation Plan'!J8</x:f>
        <x:v>SZ-ID-JB02</x:v>
      </x:c>
      <x:c r="K8" s="9" t="str">
        <x:f>'Evaluation Plan'!K8</x:f>
        <x:v>largest</x:v>
      </x:c>
      <x:c r="L8" s="9" t="str">
        <x:f>'Evaluation Plan'!L8</x:f>
        <x:v>Explicitly trained largest × juggling ball</x:v>
      </x:c>
      <x:c r="M8" s="9" t="str">
        <x:f>'Evaluation Plan'!M8</x:f>
        <x:v>juggling ball</x:v>
      </x:c>
      <x:c r="N8" s="9" t="str">
        <x:f>'Evaluation Plan'!N8</x:f>
        <x:v>Right</x:v>
      </x:c>
      <x:c r="O8" s="9" t="n">
        <x:f>'Evaluation Plan'!O8</x:f>
        <x:v>3</x:v>
      </x:c>
      <x:c r="P8" s="9" t="n">
        <x:f>IF(ISBLANK('Evaluation Plan'!P8),"",'Evaluation Plan'!P8)</x:f>
        <x:v>8</x:v>
      </x:c>
      <x:c r="Q8" s="9" t="str">
        <x:f>'Evaluation Plan'!Q8</x:f>
        <x:v>Build the listed manifest-supported scene.</x:v>
      </x:c>
      <x:c r="R8" s="10" t="str">
        <x:f>'Evaluation Plan'!R8</x:f>
        <x:v>Exact prompt and object composition from training episode 1126; this establishes the familiar largest × juggling ball cell.</x:v>
      </x:c>
      <x:c r="S8" s="10" t="str">
        <x:f>IF(ISBLANK('Evaluation Plan'!S8),"",'Evaluation Plan'!S8)</x:f>
      </x:c>
    </x:row>
    <x:row r="9" ht="68" customHeight="1">
      <x:c r="A9" s="9" t="str">
        <x:v>Not collected</x:v>
      </x:c>
      <x:c r="B9" s="9" t="n">
        <x:f>'Evaluation Plan'!B9</x:f>
        <x:v>7</x:v>
      </x:c>
      <x:c r="C9" s="10" t="str">
        <x:f>'Evaluation Plan'!C9</x:f>
        <x:v>Move the object that is largest into the bowl.</x:v>
      </x:c>
      <x:c r="D9" s="10" t="str">
        <x:f>'Evaluation Plan'!D9</x:f>
        <x:v>Bowl: empty. Table, robot-left→robot-right: P1 crushed Pepsi can; P2 green block; P3 juggling ball; P4 red pencil sharpener. Adjacent centers 12 cm apart; row shifted 4 cm away from the robot; all objects fully visible and grasp paths clear.</x:v>
      </x:c>
      <x:c r="E9" s="9" t="str">
        <x:f>IF(ISBLANK('Evaluation Plan'!E9),"",'Evaluation Plan'!E9)</x:f>
      </x:c>
      <x:c r="F9" s="9" t="str">
        <x:f>'Evaluation Plan'!F9</x:f>
        <x:v>1156</x:v>
      </x:c>
      <x:c r="G9" s="9" t="str">
        <x:f>'Evaluation Plan'!G9</x:f>
        <x:v>MOVE crushed Pepsi can to bowl</x:v>
      </x:c>
      <x:c r="H9" s="10"/>
      <x:c r="I9" s="9" t="str">
        <x:f>'Evaluation Plan'!I9</x:f>
        <x:v>In-distribution concept baseline</x:v>
      </x:c>
      <x:c r="J9" s="9" t="str">
        <x:f>'Evaluation Plan'!J9</x:f>
        <x:v>SZ-ID-PC02</x:v>
      </x:c>
      <x:c r="K9" s="9" t="str">
        <x:f>'Evaluation Plan'!K9</x:f>
        <x:v>largest</x:v>
      </x:c>
      <x:c r="L9" s="9" t="str">
        <x:f>'Evaluation Plan'!L9</x:f>
        <x:v>Explicitly trained largest × crushed Pepsi can</x:v>
      </x:c>
      <x:c r="M9" s="9" t="str">
        <x:f>'Evaluation Plan'!M9</x:f>
        <x:v>crushed Pepsi can</x:v>
      </x:c>
      <x:c r="N9" s="9" t="str">
        <x:f>'Evaluation Plan'!N9</x:f>
        <x:v>Left</x:v>
      </x:c>
      <x:c r="O9" s="9" t="n">
        <x:f>'Evaluation Plan'!O9</x:f>
        <x:v>4</x:v>
      </x:c>
      <x:c r="P9" s="9" t="n">
        <x:f>IF(ISBLANK('Evaluation Plan'!P9),"",'Evaluation Plan'!P9)</x:f>
        <x:v>12</x:v>
      </x:c>
      <x:c r="Q9" s="9" t="str">
        <x:f>'Evaluation Plan'!Q9</x:f>
        <x:v>Build the listed manifest-supported scene.</x:v>
      </x:c>
      <x:c r="R9" s="10" t="str">
        <x:f>'Evaluation Plan'!R9</x:f>
        <x:v>Exact prompt and object composition from training episode 1156; this establishes the familiar largest × crushed Pepsi can cell.</x:v>
      </x:c>
      <x:c r="S9" s="10" t="str">
        <x:f>IF(ISBLANK('Evaluation Plan'!S9),"",'Evaluation Plan'!S9)</x:f>
      </x:c>
    </x:row>
    <x:row r="10" ht="68" customHeight="1">
      <x:c r="A10" s="9" t="str">
        <x:v>Not collected</x:v>
      </x:c>
      <x:c r="B10" s="9" t="n">
        <x:f>'Evaluation Plan'!B10</x:f>
        <x:v>8</x:v>
      </x:c>
      <x:c r="C10" s="10" t="str">
        <x:f>'Evaluation Plan'!C10</x:f>
        <x:v>Move the object that is smallest into the bowl.</x:v>
      </x:c>
      <x:c r="D10" s="10" t="str">
        <x:f>'Evaluation Plan'!D10</x:f>
        <x:v>Bowl: empty. Table, robot-left→robot-right: P1 red pencil sharpener; P2 crushed Pepsi can; P3 green block; P4 juggling ball. Adjacent centers 16 cm apart; row shifted 4 cm toward robot-right; all objects fully visible and grasp paths clear.</x:v>
      </x:c>
      <x:c r="E10" s="9" t="str">
        <x:f>IF(ISBLANK('Evaluation Plan'!E10),"",'Evaluation Plan'!E10)</x:f>
      </x:c>
      <x:c r="F10" s="9" t="str">
        <x:f>'Evaluation Plan'!F10</x:f>
        <x:v>1007</x:v>
      </x:c>
      <x:c r="G10" s="9" t="str">
        <x:f>'Evaluation Plan'!G10</x:f>
        <x:v>MOVE red pencil sharpener to bowl</x:v>
      </x:c>
      <x:c r="H10" s="10"/>
      <x:c r="I10" s="9" t="str">
        <x:f>'Evaluation Plan'!I10</x:f>
        <x:v>In-distribution concept baseline</x:v>
      </x:c>
      <x:c r="J10" s="9" t="str">
        <x:f>'Evaluation Plan'!J10</x:f>
        <x:v>SZ-ID-SH03</x:v>
      </x:c>
      <x:c r="K10" s="9" t="str">
        <x:f>'Evaluation Plan'!K10</x:f>
        <x:v>smallest</x:v>
      </x:c>
      <x:c r="L10" s="9" t="str">
        <x:f>'Evaluation Plan'!L10</x:f>
        <x:v>Explicitly trained smallest × red pencil sharpener</x:v>
      </x:c>
      <x:c r="M10" s="9" t="str">
        <x:f>'Evaluation Plan'!M10</x:f>
        <x:v>red pencil sharpener</x:v>
      </x:c>
      <x:c r="N10" s="9" t="str">
        <x:f>'Evaluation Plan'!N10</x:f>
        <x:v>Left</x:v>
      </x:c>
      <x:c r="O10" s="9" t="n">
        <x:f>'Evaluation Plan'!O10</x:f>
        <x:v>4</x:v>
      </x:c>
      <x:c r="P10" s="9" t="n">
        <x:f>IF(ISBLANK('Evaluation Plan'!P10),"",'Evaluation Plan'!P10)</x:f>
        <x:v>16</x:v>
      </x:c>
      <x:c r="Q10" s="9" t="str">
        <x:f>'Evaluation Plan'!Q10</x:f>
        <x:v>Build the listed manifest-supported scene.</x:v>
      </x:c>
      <x:c r="R10" s="10" t="str">
        <x:f>'Evaluation Plan'!R10</x:f>
        <x:v>Exact prompt and object composition from training episode 1007; this establishes the familiar smallest × red pencil sharpener cell.</x:v>
      </x:c>
      <x:c r="S10" s="10" t="str">
        <x:f>IF(ISBLANK('Evaluation Plan'!S10),"",'Evaluation Plan'!S10)</x:f>
      </x:c>
    </x:row>
    <x:row r="11" ht="68" customHeight="1">
      <x:c r="A11" s="9" t="str">
        <x:v>Not collected</x:v>
      </x:c>
      <x:c r="B11" s="9" t="n">
        <x:f>'Evaluation Plan'!B11</x:f>
        <x:v>9</x:v>
      </x:c>
      <x:c r="C11" s="10" t="str">
        <x:f>'Evaluation Plan'!C11</x:f>
        <x:v>Put the smallest object in the bowl.</x:v>
      </x:c>
      <x:c r="D11" s="10" t="str">
        <x:f>'Evaluation Plan'!D11</x:f>
        <x:v>Bowl: empty. Table, robot-left→robot-right: P1 crushed Pepsi can; P2 juggling ball; P3 green block. Adjacent centers 8 cm apart; row shifted 4 cm toward the robot; all objects fully visible and grasp paths clear.</x:v>
      </x:c>
      <x:c r="E11" s="9" t="str">
        <x:f>IF(ISBLANK('Evaluation Plan'!E11),"",'Evaluation Plan'!E11)</x:f>
      </x:c>
      <x:c r="F11" s="9" t="str">
        <x:f>'Evaluation Plan'!F11</x:f>
        <x:v>1052</x:v>
      </x:c>
      <x:c r="G11" s="9" t="str">
        <x:f>'Evaluation Plan'!G11</x:f>
        <x:v>MOVE green block to bowl</x:v>
      </x:c>
      <x:c r="H11" s="10"/>
      <x:c r="I11" s="9" t="str">
        <x:f>'Evaluation Plan'!I11</x:f>
        <x:v>In-distribution concept baseline</x:v>
      </x:c>
      <x:c r="J11" s="9" t="str">
        <x:f>'Evaluation Plan'!J11</x:f>
        <x:v>SZ-ID-GB03</x:v>
      </x:c>
      <x:c r="K11" s="9" t="str">
        <x:f>'Evaluation Plan'!K11</x:f>
        <x:v>smallest</x:v>
      </x:c>
      <x:c r="L11" s="9" t="str">
        <x:f>'Evaluation Plan'!L11</x:f>
        <x:v>Explicitly trained smallest × green block</x:v>
      </x:c>
      <x:c r="M11" s="9" t="str">
        <x:f>'Evaluation Plan'!M11</x:f>
        <x:v>green block</x:v>
      </x:c>
      <x:c r="N11" s="9" t="str">
        <x:f>'Evaluation Plan'!N11</x:f>
        <x:v>Right</x:v>
      </x:c>
      <x:c r="O11" s="9" t="n">
        <x:f>'Evaluation Plan'!O11</x:f>
        <x:v>3</x:v>
      </x:c>
      <x:c r="P11" s="9" t="n">
        <x:f>IF(ISBLANK('Evaluation Plan'!P11),"",'Evaluation Plan'!P11)</x:f>
        <x:v>8</x:v>
      </x:c>
      <x:c r="Q11" s="9" t="str">
        <x:f>'Evaluation Plan'!Q11</x:f>
        <x:v>Build the listed manifest-supported scene.</x:v>
      </x:c>
      <x:c r="R11" s="10" t="str">
        <x:f>'Evaluation Plan'!R11</x:f>
        <x:v>Exact prompt and object composition from training episode 1052; this establishes the familiar smallest × green block cell.</x:v>
      </x:c>
      <x:c r="S11" s="10" t="str">
        <x:f>IF(ISBLANK('Evaluation Plan'!S11),"",'Evaluation Plan'!S11)</x:f>
      </x:c>
    </x:row>
    <x:row r="12" ht="68" customHeight="1">
      <x:c r="A12" s="9" t="str">
        <x:v>Not collected</x:v>
      </x:c>
      <x:c r="B12" s="9" t="n">
        <x:f>'Evaluation Plan'!B12</x:f>
        <x:v>10</x:v>
      </x:c>
      <x:c r="C12" s="10" t="str">
        <x:f>'Evaluation Plan'!C12</x:f>
        <x:v>Pick up the largest item and place it in the bowl.</x:v>
      </x:c>
      <x:c r="D12" s="10" t="str">
        <x:f>'Evaluation Plan'!D12</x:f>
        <x:v>Bowl: empty. Table, robot-left→robot-right: P1 juggling ball; P2 red pencil sharpener; P3 green block. Adjacent centers 12 cm apart; row shifted 4 cm away from the robot; all objects fully visible and grasp paths clear.</x:v>
      </x:c>
      <x:c r="E12" s="9" t="str">
        <x:f>IF(ISBLANK('Evaluation Plan'!E12),"",'Evaluation Plan'!E12)</x:f>
      </x:c>
      <x:c r="F12" s="9" t="str">
        <x:f>'Evaluation Plan'!F12</x:f>
        <x:v>1127</x:v>
      </x:c>
      <x:c r="G12" s="9" t="str">
        <x:f>'Evaluation Plan'!G12</x:f>
        <x:v>MOVE juggling ball to bowl</x:v>
      </x:c>
      <x:c r="H12" s="10"/>
      <x:c r="I12" s="9" t="str">
        <x:f>'Evaluation Plan'!I12</x:f>
        <x:v>In-distribution concept baseline</x:v>
      </x:c>
      <x:c r="J12" s="9" t="str">
        <x:f>'Evaluation Plan'!J12</x:f>
        <x:v>SZ-ID-JB03</x:v>
      </x:c>
      <x:c r="K12" s="9" t="str">
        <x:f>'Evaluation Plan'!K12</x:f>
        <x:v>largest</x:v>
      </x:c>
      <x:c r="L12" s="9" t="str">
        <x:f>'Evaluation Plan'!L12</x:f>
        <x:v>Explicitly trained largest × juggling ball</x:v>
      </x:c>
      <x:c r="M12" s="9" t="str">
        <x:f>'Evaluation Plan'!M12</x:f>
        <x:v>juggling ball</x:v>
      </x:c>
      <x:c r="N12" s="9" t="str">
        <x:f>'Evaluation Plan'!N12</x:f>
        <x:v>Left</x:v>
      </x:c>
      <x:c r="O12" s="9" t="n">
        <x:f>'Evaluation Plan'!O12</x:f>
        <x:v>3</x:v>
      </x:c>
      <x:c r="P12" s="9" t="n">
        <x:f>IF(ISBLANK('Evaluation Plan'!P12),"",'Evaluation Plan'!P12)</x:f>
        <x:v>12</x:v>
      </x:c>
      <x:c r="Q12" s="9" t="str">
        <x:f>'Evaluation Plan'!Q12</x:f>
        <x:v>Build the listed manifest-supported scene.</x:v>
      </x:c>
      <x:c r="R12" s="10" t="str">
        <x:f>'Evaluation Plan'!R12</x:f>
        <x:v>Exact prompt and object composition from training episode 1127; this establishes the familiar largest × juggling ball cell.</x:v>
      </x:c>
      <x:c r="S12" s="10" t="str">
        <x:f>IF(ISBLANK('Evaluation Plan'!S12),"",'Evaluation Plan'!S12)</x:f>
      </x:c>
    </x:row>
    <x:row r="13" ht="68" customHeight="1">
      <x:c r="A13" s="9" t="str">
        <x:v>Not collected</x:v>
      </x:c>
      <x:c r="B13" s="9" t="n">
        <x:f>'Evaluation Plan'!B13</x:f>
        <x:v>11</x:v>
      </x:c>
      <x:c r="C13" s="10" t="str">
        <x:f>'Evaluation Plan'!C13</x:f>
        <x:v>Put the largest object in the bowl.</x:v>
      </x:c>
      <x:c r="D13" s="10" t="str">
        <x:f>'Evaluation Plan'!D13</x:f>
        <x:v>Bowl: empty. Table, robot-left→robot-right: P1 juggling ball; P2 red pencil sharpener; P3 green block; P4 crushed Pepsi can. Adjacent centers 16 cm apart; row centered on the workspace; all objects fully visible and grasp paths clear.</x:v>
      </x:c>
      <x:c r="E13" s="9" t="str">
        <x:f>IF(ISBLANK('Evaluation Plan'!E13),"",'Evaluation Plan'!E13)</x:f>
      </x:c>
      <x:c r="F13" s="9" t="str">
        <x:f>'Evaluation Plan'!F13</x:f>
        <x:v>1157</x:v>
      </x:c>
      <x:c r="G13" s="9" t="str">
        <x:f>'Evaluation Plan'!G13</x:f>
        <x:v>MOVE crushed Pepsi can to bowl</x:v>
      </x:c>
      <x:c r="H13" s="10"/>
      <x:c r="I13" s="9" t="str">
        <x:f>'Evaluation Plan'!I13</x:f>
        <x:v>In-distribution concept baseline</x:v>
      </x:c>
      <x:c r="J13" s="9" t="str">
        <x:f>'Evaluation Plan'!J13</x:f>
        <x:v>SZ-ID-PC03</x:v>
      </x:c>
      <x:c r="K13" s="9" t="str">
        <x:f>'Evaluation Plan'!K13</x:f>
        <x:v>largest</x:v>
      </x:c>
      <x:c r="L13" s="9" t="str">
        <x:f>'Evaluation Plan'!L13</x:f>
        <x:v>Explicitly trained largest × crushed Pepsi can</x:v>
      </x:c>
      <x:c r="M13" s="9" t="str">
        <x:f>'Evaluation Plan'!M13</x:f>
        <x:v>crushed Pepsi can</x:v>
      </x:c>
      <x:c r="N13" s="9" t="str">
        <x:f>'Evaluation Plan'!N13</x:f>
        <x:v>Right</x:v>
      </x:c>
      <x:c r="O13" s="9" t="n">
        <x:f>'Evaluation Plan'!O13</x:f>
        <x:v>4</x:v>
      </x:c>
      <x:c r="P13" s="9" t="n">
        <x:f>IF(ISBLANK('Evaluation Plan'!P13),"",'Evaluation Plan'!P13)</x:f>
        <x:v>16</x:v>
      </x:c>
      <x:c r="Q13" s="9" t="str">
        <x:f>'Evaluation Plan'!Q13</x:f>
        <x:v>Build the listed manifest-supported scene.</x:v>
      </x:c>
      <x:c r="R13" s="10" t="str">
        <x:f>'Evaluation Plan'!R13</x:f>
        <x:v>Exact prompt and object composition from training episode 1157; this establishes the familiar largest × crushed Pepsi can cell.</x:v>
      </x:c>
      <x:c r="S13" s="10" t="str">
        <x:f>IF(ISBLANK('Evaluation Plan'!S13),"",'Evaluation Plan'!S13)</x:f>
      </x:c>
    </x:row>
    <x:row r="14" ht="68" customHeight="1">
      <x:c r="A14" s="9" t="str">
        <x:v>Not collected</x:v>
      </x:c>
      <x:c r="B14" s="9" t="n">
        <x:f>'Evaluation Plan'!B14</x:f>
        <x:v>12</x:v>
      </x:c>
      <x:c r="C14" s="10" t="str">
        <x:f>'Evaluation Plan'!C14</x:f>
        <x:v>Put the smallest object in the bowl.</x:v>
      </x:c>
      <x:c r="D14" s="10" t="str">
        <x:f>'Evaluation Plan'!D14</x:f>
        <x:v>Bowl: empty. Table, robot-left→robot-right: P1 green block; P2 juggling ball; P3 crushed Pepsi can; P4 red pencil sharpener. Adjacent centers 8 cm apart; row shifted 4 cm toward the robot; all objects fully visible and grasp paths clear.</x:v>
      </x:c>
      <x:c r="E14" s="9" t="str">
        <x:f>IF(ISBLANK('Evaluation Plan'!E14),"",'Evaluation Plan'!E14)</x:f>
      </x:c>
      <x:c r="F14" s="9" t="str">
        <x:f>'Evaluation Plan'!F14</x:f>
        <x:v>1008</x:v>
      </x:c>
      <x:c r="G14" s="9" t="str">
        <x:f>'Evaluation Plan'!G14</x:f>
        <x:v>MOVE red pencil sharpener to bowl</x:v>
      </x:c>
      <x:c r="H14" s="10"/>
      <x:c r="I14" s="9" t="str">
        <x:f>'Evaluation Plan'!I14</x:f>
        <x:v>In-distribution concept baseline</x:v>
      </x:c>
      <x:c r="J14" s="9" t="str">
        <x:f>'Evaluation Plan'!J14</x:f>
        <x:v>SZ-ID-SH04</x:v>
      </x:c>
      <x:c r="K14" s="9" t="str">
        <x:f>'Evaluation Plan'!K14</x:f>
        <x:v>smallest</x:v>
      </x:c>
      <x:c r="L14" s="9" t="str">
        <x:f>'Evaluation Plan'!L14</x:f>
        <x:v>Explicitly trained smallest × red pencil sharpener</x:v>
      </x:c>
      <x:c r="M14" s="9" t="str">
        <x:f>'Evaluation Plan'!M14</x:f>
        <x:v>red pencil sharpener</x:v>
      </x:c>
      <x:c r="N14" s="9" t="str">
        <x:f>'Evaluation Plan'!N14</x:f>
        <x:v>Right</x:v>
      </x:c>
      <x:c r="O14" s="9" t="n">
        <x:f>'Evaluation Plan'!O14</x:f>
        <x:v>4</x:v>
      </x:c>
      <x:c r="P14" s="9" t="n">
        <x:f>IF(ISBLANK('Evaluation Plan'!P14),"",'Evaluation Plan'!P14)</x:f>
        <x:v>8</x:v>
      </x:c>
      <x:c r="Q14" s="9" t="str">
        <x:f>'Evaluation Plan'!Q14</x:f>
        <x:v>Build the listed manifest-supported scene.</x:v>
      </x:c>
      <x:c r="R14" s="10" t="str">
        <x:f>'Evaluation Plan'!R14</x:f>
        <x:v>Exact prompt and object composition from training episode 1008; this establishes the familiar smallest × red pencil sharpener cell.</x:v>
      </x:c>
      <x:c r="S14" s="10" t="str">
        <x:f>IF(ISBLANK('Evaluation Plan'!S14),"",'Evaluation Plan'!S14)</x:f>
      </x:c>
    </x:row>
    <x:row r="15" ht="68" customHeight="1">
      <x:c r="A15" s="9" t="str">
        <x:v>Not collected</x:v>
      </x:c>
      <x:c r="B15" s="9" t="n">
        <x:f>'Evaluation Plan'!B15</x:f>
        <x:v>13</x:v>
      </x:c>
      <x:c r="C15" s="10" t="str">
        <x:f>'Evaluation Plan'!C15</x:f>
        <x:v>Put the smallest object in the bowl.</x:v>
      </x:c>
      <x:c r="D15" s="10" t="str">
        <x:f>'Evaluation Plan'!D15</x:f>
        <x:v>Bowl: empty. Table, robot-left→robot-right: P1 green block; P2 juggling ball; P3 crushed Pepsi can. Adjacent centers 12 cm apart; row shifted 4 cm away from the robot; all objects fully visible and grasp paths clear.</x:v>
      </x:c>
      <x:c r="E15" s="9" t="str">
        <x:f>IF(ISBLANK('Evaluation Plan'!E15),"",'Evaluation Plan'!E15)</x:f>
      </x:c>
      <x:c r="F15" s="9" t="str">
        <x:f>'Evaluation Plan'!F15</x:f>
        <x:v>1053</x:v>
      </x:c>
      <x:c r="G15" s="9" t="str">
        <x:f>'Evaluation Plan'!G15</x:f>
        <x:v>MOVE green block to bowl</x:v>
      </x:c>
      <x:c r="H15" s="10"/>
      <x:c r="I15" s="9" t="str">
        <x:f>'Evaluation Plan'!I15</x:f>
        <x:v>In-distribution concept baseline</x:v>
      </x:c>
      <x:c r="J15" s="9" t="str">
        <x:f>'Evaluation Plan'!J15</x:f>
        <x:v>SZ-ID-GB04</x:v>
      </x:c>
      <x:c r="K15" s="9" t="str">
        <x:f>'Evaluation Plan'!K15</x:f>
        <x:v>smallest</x:v>
      </x:c>
      <x:c r="L15" s="9" t="str">
        <x:f>'Evaluation Plan'!L15</x:f>
        <x:v>Explicitly trained smallest × green block</x:v>
      </x:c>
      <x:c r="M15" s="9" t="str">
        <x:f>'Evaluation Plan'!M15</x:f>
        <x:v>green block</x:v>
      </x:c>
      <x:c r="N15" s="9" t="str">
        <x:f>'Evaluation Plan'!N15</x:f>
        <x:v>Left</x:v>
      </x:c>
      <x:c r="O15" s="9" t="n">
        <x:f>'Evaluation Plan'!O15</x:f>
        <x:v>3</x:v>
      </x:c>
      <x:c r="P15" s="9" t="n">
        <x:f>IF(ISBLANK('Evaluation Plan'!P15),"",'Evaluation Plan'!P15)</x:f>
        <x:v>12</x:v>
      </x:c>
      <x:c r="Q15" s="9" t="str">
        <x:f>'Evaluation Plan'!Q15</x:f>
        <x:v>Build the listed manifest-supported scene.</x:v>
      </x:c>
      <x:c r="R15" s="10" t="str">
        <x:f>'Evaluation Plan'!R15</x:f>
        <x:v>Exact prompt and object composition from training episode 1053; this establishes the familiar smallest × green block cell.</x:v>
      </x:c>
      <x:c r="S15" s="10" t="str">
        <x:f>IF(ISBLANK('Evaluation Plan'!S15),"",'Evaluation Plan'!S15)</x:f>
      </x:c>
    </x:row>
    <x:row r="16" ht="68" customHeight="1">
      <x:c r="A16" s="9" t="str">
        <x:v>Not collected</x:v>
      </x:c>
      <x:c r="B16" s="9" t="n">
        <x:f>'Evaluation Plan'!B16</x:f>
        <x:v>14</x:v>
      </x:c>
      <x:c r="C16" s="10" t="str">
        <x:f>'Evaluation Plan'!C16</x:f>
        <x:v>Pick up the largest item and place it in the bowl.</x:v>
      </x:c>
      <x:c r="D16" s="10" t="str">
        <x:f>'Evaluation Plan'!D16</x:f>
        <x:v>Bowl: empty. Table, robot-left→robot-right: P1 green block; P2 red pencil sharpener; P3 juggling ball. Adjacent centers 16 cm apart; row centered on the workspace; all objects fully visible and grasp paths clear.</x:v>
      </x:c>
      <x:c r="E16" s="9" t="str">
        <x:f>IF(ISBLANK('Evaluation Plan'!E16),"",'Evaluation Plan'!E16)</x:f>
      </x:c>
      <x:c r="F16" s="9" t="str">
        <x:f>'Evaluation Plan'!F16</x:f>
        <x:v>1128</x:v>
      </x:c>
      <x:c r="G16" s="9" t="str">
        <x:f>'Evaluation Plan'!G16</x:f>
        <x:v>MOVE juggling ball to bowl</x:v>
      </x:c>
      <x:c r="H16" s="10"/>
      <x:c r="I16" s="9" t="str">
        <x:f>'Evaluation Plan'!I16</x:f>
        <x:v>In-distribution concept baseline</x:v>
      </x:c>
      <x:c r="J16" s="9" t="str">
        <x:f>'Evaluation Plan'!J16</x:f>
        <x:v>SZ-ID-JB04</x:v>
      </x:c>
      <x:c r="K16" s="9" t="str">
        <x:f>'Evaluation Plan'!K16</x:f>
        <x:v>largest</x:v>
      </x:c>
      <x:c r="L16" s="9" t="str">
        <x:f>'Evaluation Plan'!L16</x:f>
        <x:v>Explicitly trained largest × juggling ball</x:v>
      </x:c>
      <x:c r="M16" s="9" t="str">
        <x:f>'Evaluation Plan'!M16</x:f>
        <x:v>juggling ball</x:v>
      </x:c>
      <x:c r="N16" s="9" t="str">
        <x:f>'Evaluation Plan'!N16</x:f>
        <x:v>Right</x:v>
      </x:c>
      <x:c r="O16" s="9" t="n">
        <x:f>'Evaluation Plan'!O16</x:f>
        <x:v>3</x:v>
      </x:c>
      <x:c r="P16" s="9" t="n">
        <x:f>IF(ISBLANK('Evaluation Plan'!P16),"",'Evaluation Plan'!P16)</x:f>
        <x:v>16</x:v>
      </x:c>
      <x:c r="Q16" s="9" t="str">
        <x:f>'Evaluation Plan'!Q16</x:f>
        <x:v>Build the listed manifest-supported scene.</x:v>
      </x:c>
      <x:c r="R16" s="10" t="str">
        <x:f>'Evaluation Plan'!R16</x:f>
        <x:v>Exact prompt and object composition from training episode 1128; this establishes the familiar largest × juggling ball cell.</x:v>
      </x:c>
      <x:c r="S16" s="10" t="str">
        <x:f>IF(ISBLANK('Evaluation Plan'!S16),"",'Evaluation Plan'!S16)</x:f>
      </x:c>
    </x:row>
    <x:row r="17" ht="68" customHeight="1">
      <x:c r="A17" s="9" t="str">
        <x:v>Not collected</x:v>
      </x:c>
      <x:c r="B17" s="9" t="n">
        <x:f>'Evaluation Plan'!B17</x:f>
        <x:v>15</x:v>
      </x:c>
      <x:c r="C17" s="10" t="str">
        <x:f>'Evaluation Plan'!C17</x:f>
        <x:v>Put the largest object in the bowl.</x:v>
      </x:c>
      <x:c r="D17" s="10" t="str">
        <x:f>'Evaluation Plan'!D17</x:f>
        <x:v>Bowl: empty. Table, robot-left→robot-right: P1 crushed Pepsi can; P2 red pencil sharpener; P3 green block; P4 juggling ball. Adjacent centers 8 cm apart; row shifted 4 cm toward robot-left; all objects fully visible and grasp paths clear.</x:v>
      </x:c>
      <x:c r="E17" s="9" t="str">
        <x:f>IF(ISBLANK('Evaluation Plan'!E17),"",'Evaluation Plan'!E17)</x:f>
      </x:c>
      <x:c r="F17" s="9" t="str">
        <x:f>'Evaluation Plan'!F17</x:f>
        <x:v>1158</x:v>
      </x:c>
      <x:c r="G17" s="9" t="str">
        <x:f>'Evaluation Plan'!G17</x:f>
        <x:v>MOVE crushed Pepsi can to bowl</x:v>
      </x:c>
      <x:c r="H17" s="10"/>
      <x:c r="I17" s="9" t="str">
        <x:f>'Evaluation Plan'!I17</x:f>
        <x:v>In-distribution concept baseline</x:v>
      </x:c>
      <x:c r="J17" s="9" t="str">
        <x:f>'Evaluation Plan'!J17</x:f>
        <x:v>SZ-ID-PC04</x:v>
      </x:c>
      <x:c r="K17" s="9" t="str">
        <x:f>'Evaluation Plan'!K17</x:f>
        <x:v>largest</x:v>
      </x:c>
      <x:c r="L17" s="9" t="str">
        <x:f>'Evaluation Plan'!L17</x:f>
        <x:v>Explicitly trained largest × crushed Pepsi can</x:v>
      </x:c>
      <x:c r="M17" s="9" t="str">
        <x:f>'Evaluation Plan'!M17</x:f>
        <x:v>crushed Pepsi can</x:v>
      </x:c>
      <x:c r="N17" s="9" t="str">
        <x:f>'Evaluation Plan'!N17</x:f>
        <x:v>Left</x:v>
      </x:c>
      <x:c r="O17" s="9" t="n">
        <x:f>'Evaluation Plan'!O17</x:f>
        <x:v>4</x:v>
      </x:c>
      <x:c r="P17" s="9" t="n">
        <x:f>IF(ISBLANK('Evaluation Plan'!P17),"",'Evaluation Plan'!P17)</x:f>
        <x:v>8</x:v>
      </x:c>
      <x:c r="Q17" s="9" t="str">
        <x:f>'Evaluation Plan'!Q17</x:f>
        <x:v>Build the listed manifest-supported scene.</x:v>
      </x:c>
      <x:c r="R17" s="10" t="str">
        <x:f>'Evaluation Plan'!R17</x:f>
        <x:v>Exact prompt and object composition from training episode 1158; this establishes the familiar largest × crushed Pepsi can cell.</x:v>
      </x:c>
      <x:c r="S17" s="10" t="str">
        <x:f>IF(ISBLANK('Evaluation Plan'!S17),"",'Evaluation Plan'!S17)</x:f>
      </x:c>
    </x:row>
    <x:row r="18" ht="68" customHeight="1">
      <x:c r="A18" s="9" t="str">
        <x:v>Not collected</x:v>
      </x:c>
      <x:c r="B18" s="9" t="n">
        <x:f>'Evaluation Plan'!B18</x:f>
        <x:v>16</x:v>
      </x:c>
      <x:c r="C18" s="10" t="str">
        <x:f>'Evaluation Plan'!C18</x:f>
        <x:v>Move the object that is smallest into the bowl.</x:v>
      </x:c>
      <x:c r="D18" s="10" t="str">
        <x:f>'Evaluation Plan'!D18</x:f>
        <x:v>Bowl: empty. Table, robot-left→robot-right: P1 red pencil sharpener; P2 juggling ball; P3 crushed Pepsi can; P4 green block. Adjacent centers 12 cm apart; row shifted 4 cm away from the robot; all objects fully visible and grasp paths clear.</x:v>
      </x:c>
      <x:c r="E18" s="9" t="str">
        <x:f>IF(ISBLANK('Evaluation Plan'!E18),"",'Evaluation Plan'!E18)</x:f>
      </x:c>
      <x:c r="F18" s="9" t="str">
        <x:f>'Evaluation Plan'!F18</x:f>
        <x:v>1009</x:v>
      </x:c>
      <x:c r="G18" s="9" t="str">
        <x:f>'Evaluation Plan'!G18</x:f>
        <x:v>MOVE red pencil sharpener to bowl</x:v>
      </x:c>
      <x:c r="H18" s="10"/>
      <x:c r="I18" s="9" t="str">
        <x:f>'Evaluation Plan'!I18</x:f>
        <x:v>In-distribution concept baseline</x:v>
      </x:c>
      <x:c r="J18" s="9" t="str">
        <x:f>'Evaluation Plan'!J18</x:f>
        <x:v>SZ-ID-SH05</x:v>
      </x:c>
      <x:c r="K18" s="9" t="str">
        <x:f>'Evaluation Plan'!K18</x:f>
        <x:v>smallest</x:v>
      </x:c>
      <x:c r="L18" s="9" t="str">
        <x:f>'Evaluation Plan'!L18</x:f>
        <x:v>Explicitly trained smallest × red pencil sharpener</x:v>
      </x:c>
      <x:c r="M18" s="9" t="str">
        <x:f>'Evaluation Plan'!M18</x:f>
        <x:v>red pencil sharpener</x:v>
      </x:c>
      <x:c r="N18" s="9" t="str">
        <x:f>'Evaluation Plan'!N18</x:f>
        <x:v>Left</x:v>
      </x:c>
      <x:c r="O18" s="9" t="n">
        <x:f>'Evaluation Plan'!O18</x:f>
        <x:v>4</x:v>
      </x:c>
      <x:c r="P18" s="9" t="n">
        <x:f>IF(ISBLANK('Evaluation Plan'!P18),"",'Evaluation Plan'!P18)</x:f>
        <x:v>12</x:v>
      </x:c>
      <x:c r="Q18" s="9" t="str">
        <x:f>'Evaluation Plan'!Q18</x:f>
        <x:v>Build the listed manifest-supported scene.</x:v>
      </x:c>
      <x:c r="R18" s="10" t="str">
        <x:f>'Evaluation Plan'!R18</x:f>
        <x:v>Exact prompt and object composition from training episode 1009; this establishes the familiar smallest × red pencil sharpener cell.</x:v>
      </x:c>
      <x:c r="S18" s="10" t="str">
        <x:f>IF(ISBLANK('Evaluation Plan'!S18),"",'Evaluation Plan'!S18)</x:f>
      </x:c>
    </x:row>
    <x:row r="19" ht="68" customHeight="1">
      <x:c r="A19" s="9" t="str">
        <x:v>Not collected</x:v>
      </x:c>
      <x:c r="B19" s="9" t="n">
        <x:f>'Evaluation Plan'!B19</x:f>
        <x:v>17</x:v>
      </x:c>
      <x:c r="C19" s="10" t="str">
        <x:f>'Evaluation Plan'!C19</x:f>
        <x:v>Put the smallest object in the bowl.</x:v>
      </x:c>
      <x:c r="D19" s="10" t="str">
        <x:f>'Evaluation Plan'!D19</x:f>
        <x:v>Bowl: empty. Table, robot-left→robot-right: P1 crushed Pepsi can; P2 juggling ball; P3 green block. Adjacent centers 16 cm apart; row centered on the workspace; all objects fully visible and grasp paths clear.</x:v>
      </x:c>
      <x:c r="E19" s="9" t="str">
        <x:f>IF(ISBLANK('Evaluation Plan'!E19),"",'Evaluation Plan'!E19)</x:f>
      </x:c>
      <x:c r="F19" s="9" t="str">
        <x:f>'Evaluation Plan'!F19</x:f>
        <x:v>1054</x:v>
      </x:c>
      <x:c r="G19" s="9" t="str">
        <x:f>'Evaluation Plan'!G19</x:f>
        <x:v>MOVE green block to bowl</x:v>
      </x:c>
      <x:c r="H19" s="10"/>
      <x:c r="I19" s="9" t="str">
        <x:f>'Evaluation Plan'!I19</x:f>
        <x:v>In-distribution concept baseline</x:v>
      </x:c>
      <x:c r="J19" s="9" t="str">
        <x:f>'Evaluation Plan'!J19</x:f>
        <x:v>SZ-ID-GB05</x:v>
      </x:c>
      <x:c r="K19" s="9" t="str">
        <x:f>'Evaluation Plan'!K19</x:f>
        <x:v>smallest</x:v>
      </x:c>
      <x:c r="L19" s="9" t="str">
        <x:f>'Evaluation Plan'!L19</x:f>
        <x:v>Explicitly trained smallest × green block</x:v>
      </x:c>
      <x:c r="M19" s="9" t="str">
        <x:f>'Evaluation Plan'!M19</x:f>
        <x:v>green block</x:v>
      </x:c>
      <x:c r="N19" s="9" t="str">
        <x:f>'Evaluation Plan'!N19</x:f>
        <x:v>Right</x:v>
      </x:c>
      <x:c r="O19" s="9" t="n">
        <x:f>'Evaluation Plan'!O19</x:f>
        <x:v>3</x:v>
      </x:c>
      <x:c r="P19" s="9" t="n">
        <x:f>IF(ISBLANK('Evaluation Plan'!P19),"",'Evaluation Plan'!P19)</x:f>
        <x:v>16</x:v>
      </x:c>
      <x:c r="Q19" s="9" t="str">
        <x:f>'Evaluation Plan'!Q19</x:f>
        <x:v>Build the listed manifest-supported scene.</x:v>
      </x:c>
      <x:c r="R19" s="10" t="str">
        <x:f>'Evaluation Plan'!R19</x:f>
        <x:v>Exact prompt and object composition from training episode 1054; this establishes the familiar smallest × green block cell.</x:v>
      </x:c>
      <x:c r="S19" s="10" t="str">
        <x:f>IF(ISBLANK('Evaluation Plan'!S19),"",'Evaluation Plan'!S19)</x:f>
      </x:c>
    </x:row>
    <x:row r="20" ht="68" customHeight="1">
      <x:c r="A20" s="9" t="str">
        <x:v>Not collected</x:v>
      </x:c>
      <x:c r="B20" s="9" t="n">
        <x:f>'Evaluation Plan'!B20</x:f>
        <x:v>18</x:v>
      </x:c>
      <x:c r="C20" s="10" t="str">
        <x:f>'Evaluation Plan'!C20</x:f>
        <x:v>Put the largest object in the bowl.</x:v>
      </x:c>
      <x:c r="D20" s="10" t="str">
        <x:f>'Evaluation Plan'!D20</x:f>
        <x:v>Bowl: empty. Table, robot-left→robot-right: P1 juggling ball; P2 red pencil sharpener; P3 green block. Adjacent centers 8 cm apart; row shifted 4 cm toward robot-left; all objects fully visible and grasp paths clear.</x:v>
      </x:c>
      <x:c r="E20" s="9" t="str">
        <x:f>IF(ISBLANK('Evaluation Plan'!E20),"",'Evaluation Plan'!E20)</x:f>
      </x:c>
      <x:c r="F20" s="9" t="str">
        <x:f>'Evaluation Plan'!F20</x:f>
        <x:v>1129</x:v>
      </x:c>
      <x:c r="G20" s="9" t="str">
        <x:f>'Evaluation Plan'!G20</x:f>
        <x:v>MOVE juggling ball to bowl</x:v>
      </x:c>
      <x:c r="H20" s="10"/>
      <x:c r="I20" s="9" t="str">
        <x:f>'Evaluation Plan'!I20</x:f>
        <x:v>In-distribution concept baseline</x:v>
      </x:c>
      <x:c r="J20" s="9" t="str">
        <x:f>'Evaluation Plan'!J20</x:f>
        <x:v>SZ-ID-JB05</x:v>
      </x:c>
      <x:c r="K20" s="9" t="str">
        <x:f>'Evaluation Plan'!K20</x:f>
        <x:v>largest</x:v>
      </x:c>
      <x:c r="L20" s="9" t="str">
        <x:f>'Evaluation Plan'!L20</x:f>
        <x:v>Explicitly trained largest × juggling ball</x:v>
      </x:c>
      <x:c r="M20" s="9" t="str">
        <x:f>'Evaluation Plan'!M20</x:f>
        <x:v>juggling ball</x:v>
      </x:c>
      <x:c r="N20" s="9" t="str">
        <x:f>'Evaluation Plan'!N20</x:f>
        <x:v>Left</x:v>
      </x:c>
      <x:c r="O20" s="9" t="n">
        <x:f>'Evaluation Plan'!O20</x:f>
        <x:v>3</x:v>
      </x:c>
      <x:c r="P20" s="9" t="n">
        <x:f>IF(ISBLANK('Evaluation Plan'!P20),"",'Evaluation Plan'!P20)</x:f>
        <x:v>8</x:v>
      </x:c>
      <x:c r="Q20" s="9" t="str">
        <x:f>'Evaluation Plan'!Q20</x:f>
        <x:v>Build the listed manifest-supported scene.</x:v>
      </x:c>
      <x:c r="R20" s="10" t="str">
        <x:f>'Evaluation Plan'!R20</x:f>
        <x:v>Exact prompt and object composition from training episode 1129; this establishes the familiar largest × juggling ball cell.</x:v>
      </x:c>
      <x:c r="S20" s="10" t="str">
        <x:f>IF(ISBLANK('Evaluation Plan'!S20),"",'Evaluation Plan'!S20)</x:f>
      </x:c>
    </x:row>
    <x:row r="21" ht="68" customHeight="1">
      <x:c r="A21" s="9" t="str">
        <x:v>Not collected</x:v>
      </x:c>
      <x:c r="B21" s="9" t="n">
        <x:f>'Evaluation Plan'!B21</x:f>
        <x:v>19</x:v>
      </x:c>
      <x:c r="C21" s="10" t="str">
        <x:f>'Evaluation Plan'!C21</x:f>
        <x:v>Move the object that is largest into the bowl.</x:v>
      </x:c>
      <x:c r="D21" s="10" t="str">
        <x:f>'Evaluation Plan'!D21</x:f>
        <x:v>Bowl: empty. Table, robot-left→robot-right: P1 green block; P2 juggling ball; P3 red pencil sharpener; P4 crushed Pepsi can. Adjacent centers 12 cm apart; row shifted 4 cm toward robot-right; all objects fully visible and grasp paths clear.</x:v>
      </x:c>
      <x:c r="E21" s="9" t="str">
        <x:f>IF(ISBLANK('Evaluation Plan'!E21),"",'Evaluation Plan'!E21)</x:f>
      </x:c>
      <x:c r="F21" s="9" t="str">
        <x:f>'Evaluation Plan'!F21</x:f>
        <x:v>1159</x:v>
      </x:c>
      <x:c r="G21" s="9" t="str">
        <x:f>'Evaluation Plan'!G21</x:f>
        <x:v>MOVE crushed Pepsi can to bowl</x:v>
      </x:c>
      <x:c r="H21" s="10"/>
      <x:c r="I21" s="9" t="str">
        <x:f>'Evaluation Plan'!I21</x:f>
        <x:v>In-distribution concept baseline</x:v>
      </x:c>
      <x:c r="J21" s="9" t="str">
        <x:f>'Evaluation Plan'!J21</x:f>
        <x:v>SZ-ID-PC05</x:v>
      </x:c>
      <x:c r="K21" s="9" t="str">
        <x:f>'Evaluation Plan'!K21</x:f>
        <x:v>largest</x:v>
      </x:c>
      <x:c r="L21" s="9" t="str">
        <x:f>'Evaluation Plan'!L21</x:f>
        <x:v>Explicitly trained largest × crushed Pepsi can</x:v>
      </x:c>
      <x:c r="M21" s="9" t="str">
        <x:f>'Evaluation Plan'!M21</x:f>
        <x:v>crushed Pepsi can</x:v>
      </x:c>
      <x:c r="N21" s="9" t="str">
        <x:f>'Evaluation Plan'!N21</x:f>
        <x:v>Right</x:v>
      </x:c>
      <x:c r="O21" s="9" t="n">
        <x:f>'Evaluation Plan'!O21</x:f>
        <x:v>4</x:v>
      </x:c>
      <x:c r="P21" s="9" t="n">
        <x:f>IF(ISBLANK('Evaluation Plan'!P21),"",'Evaluation Plan'!P21)</x:f>
        <x:v>12</x:v>
      </x:c>
      <x:c r="Q21" s="9" t="str">
        <x:f>'Evaluation Plan'!Q21</x:f>
        <x:v>Build the listed manifest-supported scene.</x:v>
      </x:c>
      <x:c r="R21" s="10" t="str">
        <x:f>'Evaluation Plan'!R21</x:f>
        <x:v>Exact prompt and object composition from training episode 1159; this establishes the familiar largest × crushed Pepsi can cell.</x:v>
      </x:c>
      <x:c r="S21" s="10" t="str">
        <x:f>IF(ISBLANK('Evaluation Plan'!S21),"",'Evaluation Plan'!S21)</x:f>
      </x:c>
    </x:row>
    <x:row r="22" ht="68" customHeight="1">
      <x:c r="A22" s="9" t="str">
        <x:v>Not collected</x:v>
      </x:c>
      <x:c r="B22" s="9" t="n">
        <x:f>'Evaluation Plan'!B22</x:f>
        <x:v>20</x:v>
      </x:c>
      <x:c r="C22" s="10" t="str">
        <x:f>'Evaluation Plan'!C22</x:f>
        <x:v>Move the object that is largest into the bowl.</x:v>
      </x:c>
      <x:c r="D22" s="10" t="str">
        <x:f>'Evaluation Plan'!D22</x:f>
        <x:v>Bowl: empty. Table, robot-left→robot-right: P1 green block; P2 red pencil sharpener. Adjacent centers 8 cm apart; row centered on the workspace; all objects fully visible and grasp paths clear.</x:v>
      </x:c>
      <x:c r="E22" s="9" t="str">
        <x:f>IF(ISBLANK('Evaluation Plan'!E22),"",'Evaluation Plan'!E22)</x:f>
      </x:c>
      <x:c r="F22" s="9" t="str">
        <x:f>'Evaluation Plan'!F22</x:f>
        <x:v>1080</x:v>
      </x:c>
      <x:c r="G22" s="9" t="str">
        <x:f>'Evaluation Plan'!G22</x:f>
        <x:v>MOVE green block to bowl</x:v>
      </x:c>
      <x:c r="H22" s="10"/>
      <x:c r="I22" s="9" t="str">
        <x:f>'Evaluation Plan'!I22</x:f>
        <x:v>Concept/compositional transfer</x:v>
      </x:c>
      <x:c r="J22" s="9" t="str">
        <x:f>'Evaluation Plan'!J22</x:f>
        <x:v>SZ-CT-LG01</x:v>
      </x:c>
      <x:c r="K22" s="9" t="str">
        <x:f>'Evaluation Plan'!K22</x:f>
        <x:v>largest</x:v>
      </x:c>
      <x:c r="L22" s="9" t="str">
        <x:f>'Evaluation Plan'!L22</x:f>
        <x:v>Held-out largest × green block — Move</x:v>
      </x:c>
      <x:c r="M22" s="9" t="str">
        <x:f>'Evaluation Plan'!M22</x:f>
        <x:v>green block</x:v>
      </x:c>
      <x:c r="N22" s="9" t="str">
        <x:f>'Evaluation Plan'!N22</x:f>
        <x:v>Left</x:v>
      </x:c>
      <x:c r="O22" s="9" t="n">
        <x:f>'Evaluation Plan'!O22</x:f>
        <x:v>2</x:v>
      </x:c>
      <x:c r="P22" s="9" t="n">
        <x:f>IF(ISBLANK('Evaluation Plan'!P22),"",'Evaluation Plan'!P22)</x:f>
        <x:v>8</x:v>
      </x:c>
      <x:c r="Q22" s="9" t="str">
        <x:f>'Evaluation Plan'!Q22</x:f>
        <x:v>Build the listed two-object scene and save a first-frame filename.</x:v>
      </x:c>
      <x:c r="R22" s="10" t="str">
        <x:f>'Evaluation Plan'!R22</x:f>
        <x:v>Primary missing cell. Training episode 1080 contains the same target trajectory but masks the size word with a direct identity prompt.</x:v>
      </x:c>
      <x:c r="S22" s="10" t="str">
        <x:f>IF(ISBLANK('Evaluation Plan'!S22),"",'Evaluation Plan'!S22)</x:f>
      </x:c>
    </x:row>
    <x:row r="23" ht="68" customHeight="1">
      <x:c r="A23" s="8" t="str">
        <x:v>Not collected</x:v>
      </x:c>
      <x:c r="B23" s="8" t="n">
        <x:f>'Evaluation Plan'!B23</x:f>
        <x:v>21</x:v>
      </x:c>
      <x:c r="C23" s="7" t="str">
        <x:f>'Evaluation Plan'!C23</x:f>
        <x:v>Put the green block in the bowl.</x:v>
      </x:c>
      <x:c r="D23" s="7" t="str">
        <x:f>'Evaluation Plan'!D23</x:f>
        <x:v>Bowl: empty. Table, robot-left→robot-right: P1 green block; P2 red pencil sharpener. Adjacent centers 8 cm apart; row centered on the workspace; all objects fully visible and grasp paths clear.</x:v>
      </x:c>
      <x:c r="E23" s="8" t="n">
        <x:f>IF(ISBLANK('Evaluation Plan'!E23),"",'Evaluation Plan'!E23)</x:f>
        <x:v>20</x:v>
      </x:c>
      <x:c r="F23" s="8" t="str">
        <x:f>'Evaluation Plan'!F23</x:f>
        <x:v>1075</x:v>
      </x:c>
      <x:c r="G23" s="8" t="str">
        <x:f>'Evaluation Plan'!G23</x:f>
        <x:v>MOVE green block to bowl</x:v>
      </x:c>
      <x:c r="H23" s="7"/>
      <x:c r="I23" s="8" t="str">
        <x:f>'Evaluation Plan'!I23</x:f>
        <x:v>Matched manipulation control</x:v>
      </x:c>
      <x:c r="J23" s="8" t="str">
        <x:f>'Evaluation Plan'!J23</x:f>
        <x:v>SZ-CT-LG01</x:v>
      </x:c>
      <x:c r="K23" s="8" t="str">
        <x:f>'Evaluation Plan'!K23</x:f>
        <x:v>Direct</x:v>
      </x:c>
      <x:c r="L23" s="8" t="str">
        <x:f>'Evaluation Plan'!L23</x:f>
        <x:v>Same-scene direct target control</x:v>
      </x:c>
      <x:c r="M23" s="8" t="str">
        <x:f>'Evaluation Plan'!M23</x:f>
        <x:v>green block</x:v>
      </x:c>
      <x:c r="N23" s="8" t="str">
        <x:f>'Evaluation Plan'!N23</x:f>
        <x:v>Left</x:v>
      </x:c>
      <x:c r="O23" s="8" t="n">
        <x:f>'Evaluation Plan'!O23</x:f>
        <x:v>2</x:v>
      </x:c>
      <x:c r="P23" s="8" t="n">
        <x:f>IF(ISBLANK('Evaluation Plan'!P23),"",'Evaluation Plan'!P23)</x:f>
        <x:v>8</x:v>
      </x:c>
      <x:c r="Q23" s="8" t="str">
        <x:f>'Evaluation Plan'!Q23</x:f>
        <x:v>Reset the target to its original pose; change only the prompt.</x:v>
      </x:c>
      <x:c r="R23" s="7" t="str">
        <x:f>'Evaluation Plan'!R23</x:f>
        <x:v>Exact-scene control using a direct prompt supported by training episode 1075.</x:v>
      </x:c>
      <x:c r="S23" s="7" t="str">
        <x:f>IF(ISBLANK('Evaluation Plan'!S23),"",'Evaluation Plan'!S23)</x:f>
      </x:c>
    </x:row>
    <x:row r="24" ht="68" customHeight="1">
      <x:c r="A24" s="8" t="str">
        <x:v>Not collected</x:v>
      </x:c>
      <x:c r="B24" s="8" t="n">
        <x:f>'Evaluation Plan'!B24</x:f>
        <x:v>22</x:v>
      </x:c>
      <x:c r="C24" s="7" t="str">
        <x:f>'Evaluation Plan'!C24</x:f>
        <x:v>Choose the biggest item and move it into the bowl.</x:v>
      </x:c>
      <x:c r="D24" s="7" t="str">
        <x:f>'Evaluation Plan'!D24</x:f>
        <x:v>Bowl: empty. Table, robot-left→robot-right: P1 green block; P2 red pencil sharpener. Adjacent centers 8 cm apart; row centered on the workspace; all objects fully visible and grasp paths clear.</x:v>
      </x:c>
      <x:c r="E24" s="8" t="n">
        <x:f>IF(ISBLANK('Evaluation Plan'!E24),"",'Evaluation Plan'!E24)</x:f>
        <x:v>20</x:v>
      </x:c>
      <x:c r="F24" s="8" t="str">
        <x:f>'Evaluation Plan'!F24</x:f>
        <x:v>1080</x:v>
      </x:c>
      <x:c r="G24" s="8" t="str">
        <x:f>'Evaluation Plan'!G24</x:f>
        <x:v>MOVE green block to bowl</x:v>
      </x:c>
      <x:c r="H24" s="7"/>
      <x:c r="I24" s="8" t="str">
        <x:f>'Evaluation Plan'!I24</x:f>
        <x:v>Language robustness</x:v>
      </x:c>
      <x:c r="J24" s="8" t="str">
        <x:f>'Evaluation Plan'!J24</x:f>
        <x:v>SZ-CT-LG01</x:v>
      </x:c>
      <x:c r="K24" s="8" t="str">
        <x:f>'Evaluation Plan'!K24</x:f>
        <x:v>largest</x:v>
      </x:c>
      <x:c r="L24" s="8" t="str">
        <x:f>'Evaluation Plan'!L24</x:f>
        <x:v>Primary compositional-transfer prompt paraphrase</x:v>
      </x:c>
      <x:c r="M24" s="8" t="str">
        <x:f>'Evaluation Plan'!M24</x:f>
        <x:v>green block</x:v>
      </x:c>
      <x:c r="N24" s="8" t="str">
        <x:f>'Evaluation Plan'!N24</x:f>
        <x:v>Left</x:v>
      </x:c>
      <x:c r="O24" s="8" t="n">
        <x:f>'Evaluation Plan'!O24</x:f>
        <x:v>2</x:v>
      </x:c>
      <x:c r="P24" s="8" t="n">
        <x:f>IF(ISBLANK('Evaluation Plan'!P24),"",'Evaluation Plan'!P24)</x:f>
        <x:v>8</x:v>
      </x:c>
      <x:c r="Q24" s="8" t="str">
        <x:f>'Evaluation Plan'!Q24</x:f>
        <x:v>Reset the target; preserve the exact scene and paraphrase only the transfer prompt.</x:v>
      </x:c>
      <x:c r="R24" s="7" t="str">
        <x:f>'Evaluation Plan'!R24</x:f>
        <x:v>Exact-scene paraphrase of the primary transfer instruction.</x:v>
      </x:c>
      <x:c r="S24" s="7" t="str">
        <x:f>IF(ISBLANK('Evaluation Plan'!S24),"",'Evaluation Plan'!S24)</x:f>
      </x:c>
    </x:row>
    <x:row r="25" ht="68" customHeight="1">
      <x:c r="A25" s="8" t="str">
        <x:v>Not collected</x:v>
      </x:c>
      <x:c r="B25" s="8" t="n">
        <x:f>'Evaluation Plan'!B25</x:f>
        <x:v>23</x:v>
      </x:c>
      <x:c r="C25" s="7" t="str">
        <x:f>'Evaluation Plan'!C25</x:f>
        <x:v>Transfer the green block from the table into the bowl.</x:v>
      </x:c>
      <x:c r="D25" s="7" t="str">
        <x:f>'Evaluation Plan'!D25</x:f>
        <x:v>Bowl: empty. Table, robot-left→robot-right: P1 green block; P2 red pencil sharpener. Adjacent centers 8 cm apart; row centered on the workspace; all objects fully visible and grasp paths clear.</x:v>
      </x:c>
      <x:c r="E25" s="8" t="n">
        <x:f>IF(ISBLANK('Evaluation Plan'!E25),"",'Evaluation Plan'!E25)</x:f>
        <x:v>21</x:v>
      </x:c>
      <x:c r="F25" s="8" t="str">
        <x:f>'Evaluation Plan'!F25</x:f>
        <x:v>1075</x:v>
      </x:c>
      <x:c r="G25" s="8" t="str">
        <x:f>'Evaluation Plan'!G25</x:f>
        <x:v>MOVE green block to bowl</x:v>
      </x:c>
      <x:c r="H25" s="7"/>
      <x:c r="I25" s="8" t="str">
        <x:f>'Evaluation Plan'!I25</x:f>
        <x:v>Language robustness</x:v>
      </x:c>
      <x:c r="J25" s="8" t="str">
        <x:f>'Evaluation Plan'!J25</x:f>
        <x:v>SZ-CT-LG01</x:v>
      </x:c>
      <x:c r="K25" s="8" t="str">
        <x:f>'Evaluation Plan'!K25</x:f>
        <x:v>Direct</x:v>
      </x:c>
      <x:c r="L25" s="8" t="str">
        <x:f>'Evaluation Plan'!L25</x:f>
        <x:v>Matched-control direct prompt paraphrase</x:v>
      </x:c>
      <x:c r="M25" s="8" t="str">
        <x:f>'Evaluation Plan'!M25</x:f>
        <x:v>green block</x:v>
      </x:c>
      <x:c r="N25" s="8" t="str">
        <x:f>'Evaluation Plan'!N25</x:f>
        <x:v>Left</x:v>
      </x:c>
      <x:c r="O25" s="8" t="n">
        <x:f>'Evaluation Plan'!O25</x:f>
        <x:v>2</x:v>
      </x:c>
      <x:c r="P25" s="8" t="n">
        <x:f>IF(ISBLANK('Evaluation Plan'!P25),"",'Evaluation Plan'!P25)</x:f>
        <x:v>8</x:v>
      </x:c>
      <x:c r="Q25" s="8" t="str">
        <x:f>'Evaluation Plan'!Q25</x:f>
        <x:v>Reset the target; preserve the exact scene and paraphrase only the matched-control prompt.</x:v>
      </x:c>
      <x:c r="R25" s="7" t="str">
        <x:f>'Evaluation Plan'!R25</x:f>
        <x:v>Exact-scene paraphrase of the direct manipulation control.</x:v>
      </x:c>
      <x:c r="S25" s="7" t="str">
        <x:f>IF(ISBLANK('Evaluation Plan'!S25),"",'Evaluation Plan'!S25)</x:f>
      </x:c>
    </x:row>
    <x:row r="26" ht="68" customHeight="1">
      <x:c r="A26" s="9" t="str">
        <x:v>Not collected</x:v>
      </x:c>
      <x:c r="B26" s="9" t="n">
        <x:f>'Evaluation Plan'!B26</x:f>
        <x:v>24</x:v>
      </x:c>
      <x:c r="C26" s="10" t="str">
        <x:f>'Evaluation Plan'!C26</x:f>
        <x:v>Pick up the smallest item and place it in the bowl.</x:v>
      </x:c>
      <x:c r="D26" s="10" t="str">
        <x:f>'Evaluation Plan'!D26</x:f>
        <x:v>Bowl: empty. Table, robot-left→robot-right: P1 crushed Pepsi can; P2 juggling ball. Adjacent centers 12 cm apart; row shifted 4 cm toward robot-right; all objects fully visible and grasp paths clear.</x:v>
      </x:c>
      <x:c r="E26" s="9" t="str">
        <x:f>IF(ISBLANK('Evaluation Plan'!E26),"",'Evaluation Plan'!E26)</x:f>
      </x:c>
      <x:c r="F26" s="9" t="str">
        <x:f>'Evaluation Plan'!F26</x:f>
        <x:v>1105</x:v>
      </x:c>
      <x:c r="G26" s="9" t="str">
        <x:f>'Evaluation Plan'!G26</x:f>
        <x:v>MOVE juggling ball to bowl</x:v>
      </x:c>
      <x:c r="H26" s="10"/>
      <x:c r="I26" s="9" t="str">
        <x:f>'Evaluation Plan'!I26</x:f>
        <x:v>Concept/compositional transfer</x:v>
      </x:c>
      <x:c r="J26" s="9" t="str">
        <x:f>'Evaluation Plan'!J26</x:f>
        <x:v>SZ-CT-SJ01</x:v>
      </x:c>
      <x:c r="K26" s="9" t="str">
        <x:f>'Evaluation Plan'!K26</x:f>
        <x:v>smallest</x:v>
      </x:c>
      <x:c r="L26" s="9" t="str">
        <x:f>'Evaluation Plan'!L26</x:f>
        <x:v>Held-out smallest × juggling ball — Pick up</x:v>
      </x:c>
      <x:c r="M26" s="9" t="str">
        <x:f>'Evaluation Plan'!M26</x:f>
        <x:v>juggling ball</x:v>
      </x:c>
      <x:c r="N26" s="9" t="str">
        <x:f>'Evaluation Plan'!N26</x:f>
        <x:v>Right</x:v>
      </x:c>
      <x:c r="O26" s="9" t="n">
        <x:f>'Evaluation Plan'!O26</x:f>
        <x:v>2</x:v>
      </x:c>
      <x:c r="P26" s="9" t="n">
        <x:f>IF(ISBLANK('Evaluation Plan'!P26),"",'Evaluation Plan'!P26)</x:f>
        <x:v>12</x:v>
      </x:c>
      <x:c r="Q26" s="9" t="str">
        <x:f>'Evaluation Plan'!Q26</x:f>
        <x:v>Build the listed two-object scene and save a first-frame filename.</x:v>
      </x:c>
      <x:c r="R26" s="10" t="str">
        <x:f>'Evaluation Plan'!R26</x:f>
        <x:v>Primary missing cell. Training episode 1105 contains the same target trajectory but masks the size word with a direct identity prompt.</x:v>
      </x:c>
      <x:c r="S26" s="10" t="str">
        <x:f>IF(ISBLANK('Evaluation Plan'!S26),"",'Evaluation Plan'!S26)</x:f>
      </x:c>
    </x:row>
    <x:row r="27" ht="68" customHeight="1">
      <x:c r="A27" s="8" t="str">
        <x:v>Not collected</x:v>
      </x:c>
      <x:c r="B27" s="8" t="n">
        <x:f>'Evaluation Plan'!B27</x:f>
        <x:v>25</x:v>
      </x:c>
      <x:c r="C27" s="7" t="str">
        <x:f>'Evaluation Plan'!C27</x:f>
        <x:v>Put the juggling ball in the bowl.</x:v>
      </x:c>
      <x:c r="D27" s="7" t="str">
        <x:f>'Evaluation Plan'!D27</x:f>
        <x:v>Bowl: empty. Table, robot-left→robot-right: P1 crushed Pepsi can; P2 juggling ball. Adjacent centers 12 cm apart; row shifted 4 cm toward robot-right; all objects fully visible and grasp paths clear.</x:v>
      </x:c>
      <x:c r="E27" s="8" t="n">
        <x:f>IF(ISBLANK('Evaluation Plan'!E27),"",'Evaluation Plan'!E27)</x:f>
        <x:v>24</x:v>
      </x:c>
      <x:c r="F27" s="8" t="str">
        <x:f>'Evaluation Plan'!F27</x:f>
        <x:v>1100</x:v>
      </x:c>
      <x:c r="G27" s="8" t="str">
        <x:f>'Evaluation Plan'!G27</x:f>
        <x:v>MOVE juggling ball to bowl</x:v>
      </x:c>
      <x:c r="H27" s="7"/>
      <x:c r="I27" s="8" t="str">
        <x:f>'Evaluation Plan'!I27</x:f>
        <x:v>Matched manipulation control</x:v>
      </x:c>
      <x:c r="J27" s="8" t="str">
        <x:f>'Evaluation Plan'!J27</x:f>
        <x:v>SZ-CT-SJ01</x:v>
      </x:c>
      <x:c r="K27" s="8" t="str">
        <x:f>'Evaluation Plan'!K27</x:f>
        <x:v>Direct</x:v>
      </x:c>
      <x:c r="L27" s="8" t="str">
        <x:f>'Evaluation Plan'!L27</x:f>
        <x:v>Same-scene direct target control</x:v>
      </x:c>
      <x:c r="M27" s="8" t="str">
        <x:f>'Evaluation Plan'!M27</x:f>
        <x:v>juggling ball</x:v>
      </x:c>
      <x:c r="N27" s="8" t="str">
        <x:f>'Evaluation Plan'!N27</x:f>
        <x:v>Right</x:v>
      </x:c>
      <x:c r="O27" s="8" t="n">
        <x:f>'Evaluation Plan'!O27</x:f>
        <x:v>2</x:v>
      </x:c>
      <x:c r="P27" s="8" t="n">
        <x:f>IF(ISBLANK('Evaluation Plan'!P27),"",'Evaluation Plan'!P27)</x:f>
        <x:v>12</x:v>
      </x:c>
      <x:c r="Q27" s="8" t="str">
        <x:f>'Evaluation Plan'!Q27</x:f>
        <x:v>Reset the target to its original pose; change only the prompt.</x:v>
      </x:c>
      <x:c r="R27" s="7" t="str">
        <x:f>'Evaluation Plan'!R27</x:f>
        <x:v>Exact-scene control using a direct prompt supported by training episode 1100.</x:v>
      </x:c>
      <x:c r="S27" s="7" t="str">
        <x:f>IF(ISBLANK('Evaluation Plan'!S27),"",'Evaluation Plan'!S27)</x:f>
      </x:c>
    </x:row>
    <x:row r="28" ht="68" customHeight="1">
      <x:c r="A28" s="8" t="str">
        <x:v>Not collected</x:v>
      </x:c>
      <x:c r="B28" s="8" t="n">
        <x:f>'Evaluation Plan'!B28</x:f>
        <x:v>26</x:v>
      </x:c>
      <x:c r="C28" s="7" t="str">
        <x:f>'Evaluation Plan'!C28</x:f>
        <x:v>Choose the tiniest item and move it into the bowl.</x:v>
      </x:c>
      <x:c r="D28" s="7" t="str">
        <x:f>'Evaluation Plan'!D28</x:f>
        <x:v>Bowl: empty. Table, robot-left→robot-right: P1 crushed Pepsi can; P2 juggling ball. Adjacent centers 12 cm apart; row shifted 4 cm toward robot-right; all objects fully visible and grasp paths clear.</x:v>
      </x:c>
      <x:c r="E28" s="8" t="n">
        <x:f>IF(ISBLANK('Evaluation Plan'!E28),"",'Evaluation Plan'!E28)</x:f>
        <x:v>24</x:v>
      </x:c>
      <x:c r="F28" s="8" t="str">
        <x:f>'Evaluation Plan'!F28</x:f>
        <x:v>1105</x:v>
      </x:c>
      <x:c r="G28" s="8" t="str">
        <x:f>'Evaluation Plan'!G28</x:f>
        <x:v>MOVE juggling ball to bowl</x:v>
      </x:c>
      <x:c r="H28" s="7"/>
      <x:c r="I28" s="8" t="str">
        <x:f>'Evaluation Plan'!I28</x:f>
        <x:v>Language robustness</x:v>
      </x:c>
      <x:c r="J28" s="8" t="str">
        <x:f>'Evaluation Plan'!J28</x:f>
        <x:v>SZ-CT-SJ01</x:v>
      </x:c>
      <x:c r="K28" s="8" t="str">
        <x:f>'Evaluation Plan'!K28</x:f>
        <x:v>smallest</x:v>
      </x:c>
      <x:c r="L28" s="8" t="str">
        <x:f>'Evaluation Plan'!L28</x:f>
        <x:v>Primary compositional-transfer prompt paraphrase</x:v>
      </x:c>
      <x:c r="M28" s="8" t="str">
        <x:f>'Evaluation Plan'!M28</x:f>
        <x:v>juggling ball</x:v>
      </x:c>
      <x:c r="N28" s="8" t="str">
        <x:f>'Evaluation Plan'!N28</x:f>
        <x:v>Right</x:v>
      </x:c>
      <x:c r="O28" s="8" t="n">
        <x:f>'Evaluation Plan'!O28</x:f>
        <x:v>2</x:v>
      </x:c>
      <x:c r="P28" s="8" t="n">
        <x:f>IF(ISBLANK('Evaluation Plan'!P28),"",'Evaluation Plan'!P28)</x:f>
        <x:v>12</x:v>
      </x:c>
      <x:c r="Q28" s="8" t="str">
        <x:f>'Evaluation Plan'!Q28</x:f>
        <x:v>Reset the target; preserve the exact scene and paraphrase only the transfer prompt.</x:v>
      </x:c>
      <x:c r="R28" s="7" t="str">
        <x:f>'Evaluation Plan'!R28</x:f>
        <x:v>Exact-scene paraphrase of the primary transfer instruction.</x:v>
      </x:c>
      <x:c r="S28" s="7" t="str">
        <x:f>IF(ISBLANK('Evaluation Plan'!S28),"",'Evaluation Plan'!S28)</x:f>
      </x:c>
    </x:row>
    <x:row r="29" ht="68" customHeight="1">
      <x:c r="A29" s="8" t="str">
        <x:v>Not collected</x:v>
      </x:c>
      <x:c r="B29" s="8" t="n">
        <x:f>'Evaluation Plan'!B29</x:f>
        <x:v>27</x:v>
      </x:c>
      <x:c r="C29" s="7" t="str">
        <x:f>'Evaluation Plan'!C29</x:f>
        <x:v>Transfer the juggling ball from the table into the bowl.</x:v>
      </x:c>
      <x:c r="D29" s="7" t="str">
        <x:f>'Evaluation Plan'!D29</x:f>
        <x:v>Bowl: empty. Table, robot-left→robot-right: P1 crushed Pepsi can; P2 juggling ball. Adjacent centers 12 cm apart; row shifted 4 cm toward robot-right; all objects fully visible and grasp paths clear.</x:v>
      </x:c>
      <x:c r="E29" s="8" t="n">
        <x:f>IF(ISBLANK('Evaluation Plan'!E29),"",'Evaluation Plan'!E29)</x:f>
        <x:v>25</x:v>
      </x:c>
      <x:c r="F29" s="8" t="str">
        <x:f>'Evaluation Plan'!F29</x:f>
        <x:v>1100</x:v>
      </x:c>
      <x:c r="G29" s="8" t="str">
        <x:f>'Evaluation Plan'!G29</x:f>
        <x:v>MOVE juggling ball to bowl</x:v>
      </x:c>
      <x:c r="H29" s="7"/>
      <x:c r="I29" s="8" t="str">
        <x:f>'Evaluation Plan'!I29</x:f>
        <x:v>Language robustness</x:v>
      </x:c>
      <x:c r="J29" s="8" t="str">
        <x:f>'Evaluation Plan'!J29</x:f>
        <x:v>SZ-CT-SJ01</x:v>
      </x:c>
      <x:c r="K29" s="8" t="str">
        <x:f>'Evaluation Plan'!K29</x:f>
        <x:v>Direct</x:v>
      </x:c>
      <x:c r="L29" s="8" t="str">
        <x:f>'Evaluation Plan'!L29</x:f>
        <x:v>Matched-control direct prompt paraphrase</x:v>
      </x:c>
      <x:c r="M29" s="8" t="str">
        <x:f>'Evaluation Plan'!M29</x:f>
        <x:v>juggling ball</x:v>
      </x:c>
      <x:c r="N29" s="8" t="str">
        <x:f>'Evaluation Plan'!N29</x:f>
        <x:v>Right</x:v>
      </x:c>
      <x:c r="O29" s="8" t="n">
        <x:f>'Evaluation Plan'!O29</x:f>
        <x:v>2</x:v>
      </x:c>
      <x:c r="P29" s="8" t="n">
        <x:f>IF(ISBLANK('Evaluation Plan'!P29),"",'Evaluation Plan'!P29)</x:f>
        <x:v>12</x:v>
      </x:c>
      <x:c r="Q29" s="8" t="str">
        <x:f>'Evaluation Plan'!Q29</x:f>
        <x:v>Reset the target; preserve the exact scene and paraphrase only the matched-control prompt.</x:v>
      </x:c>
      <x:c r="R29" s="7" t="str">
        <x:f>'Evaluation Plan'!R29</x:f>
        <x:v>Exact-scene paraphrase of the direct manipulation control.</x:v>
      </x:c>
      <x:c r="S29" s="7" t="str">
        <x:f>IF(ISBLANK('Evaluation Plan'!S29),"",'Evaluation Plan'!S29)</x:f>
      </x:c>
    </x:row>
    <x:row r="30" ht="68" customHeight="1">
      <x:c r="A30" s="9" t="str">
        <x:v>Not collected</x:v>
      </x:c>
      <x:c r="B30" s="9" t="n">
        <x:f>'Evaluation Plan'!B30</x:f>
        <x:v>28</x:v>
      </x:c>
      <x:c r="C30" s="10" t="str">
        <x:f>'Evaluation Plan'!C30</x:f>
        <x:v>Pick up the largest item and place it in the bowl.</x:v>
      </x:c>
      <x:c r="D30" s="10" t="str">
        <x:f>'Evaluation Plan'!D30</x:f>
        <x:v>Bowl: empty. Table, robot-left→robot-right: P1 red pencil sharpener; P2 green block. Adjacent centers 12 cm apart; row shifted 4 cm toward robot-left; all objects fully visible and grasp paths clear.</x:v>
      </x:c>
      <x:c r="E30" s="9" t="str">
        <x:f>IF(ISBLANK('Evaluation Plan'!E30),"",'Evaluation Plan'!E30)</x:f>
      </x:c>
      <x:c r="F30" s="9" t="str">
        <x:f>'Evaluation Plan'!F30</x:f>
        <x:v>1081</x:v>
      </x:c>
      <x:c r="G30" s="9" t="str">
        <x:f>'Evaluation Plan'!G30</x:f>
        <x:v>MOVE green block to bowl</x:v>
      </x:c>
      <x:c r="H30" s="10"/>
      <x:c r="I30" s="9" t="str">
        <x:f>'Evaluation Plan'!I30</x:f>
        <x:v>Concept/compositional transfer</x:v>
      </x:c>
      <x:c r="J30" s="9" t="str">
        <x:f>'Evaluation Plan'!J30</x:f>
        <x:v>SZ-CT-LG02</x:v>
      </x:c>
      <x:c r="K30" s="9" t="str">
        <x:f>'Evaluation Plan'!K30</x:f>
        <x:v>largest</x:v>
      </x:c>
      <x:c r="L30" s="9" t="str">
        <x:f>'Evaluation Plan'!L30</x:f>
        <x:v>Held-out largest × green block — Pick up</x:v>
      </x:c>
      <x:c r="M30" s="9" t="str">
        <x:f>'Evaluation Plan'!M30</x:f>
        <x:v>green block</x:v>
      </x:c>
      <x:c r="N30" s="9" t="str">
        <x:f>'Evaluation Plan'!N30</x:f>
        <x:v>Right</x:v>
      </x:c>
      <x:c r="O30" s="9" t="n">
        <x:f>'Evaluation Plan'!O30</x:f>
        <x:v>2</x:v>
      </x:c>
      <x:c r="P30" s="9" t="n">
        <x:f>IF(ISBLANK('Evaluation Plan'!P30),"",'Evaluation Plan'!P30)</x:f>
        <x:v>12</x:v>
      </x:c>
      <x:c r="Q30" s="9" t="str">
        <x:f>'Evaluation Plan'!Q30</x:f>
        <x:v>Build the listed two-object scene and save a first-frame filename.</x:v>
      </x:c>
      <x:c r="R30" s="10" t="str">
        <x:f>'Evaluation Plan'!R30</x:f>
        <x:v>Primary missing cell. Training episode 1081 contains the same target trajectory but masks the size word with a direct identity prompt.</x:v>
      </x:c>
      <x:c r="S30" s="10" t="str">
        <x:f>IF(ISBLANK('Evaluation Plan'!S30),"",'Evaluation Plan'!S30)</x:f>
      </x:c>
    </x:row>
    <x:row r="31" ht="68" customHeight="1">
      <x:c r="A31" s="8" t="str">
        <x:v>Not collected</x:v>
      </x:c>
      <x:c r="B31" s="8" t="n">
        <x:f>'Evaluation Plan'!B31</x:f>
        <x:v>29</x:v>
      </x:c>
      <x:c r="C31" s="7" t="str">
        <x:f>'Evaluation Plan'!C31</x:f>
        <x:v>Move the green block into the bowl.</x:v>
      </x:c>
      <x:c r="D31" s="7" t="str">
        <x:f>'Evaluation Plan'!D31</x:f>
        <x:v>Bowl: empty. Table, robot-left→robot-right: P1 red pencil sharpener; P2 green block. Adjacent centers 12 cm apart; row shifted 4 cm toward robot-left; all objects fully visible and grasp paths clear.</x:v>
      </x:c>
      <x:c r="E31" s="8" t="n">
        <x:f>IF(ISBLANK('Evaluation Plan'!E31),"",'Evaluation Plan'!E31)</x:f>
        <x:v>28</x:v>
      </x:c>
      <x:c r="F31" s="8" t="str">
        <x:f>'Evaluation Plan'!F31</x:f>
        <x:v>1076</x:v>
      </x:c>
      <x:c r="G31" s="8" t="str">
        <x:f>'Evaluation Plan'!G31</x:f>
        <x:v>MOVE green block to bowl</x:v>
      </x:c>
      <x:c r="H31" s="7"/>
      <x:c r="I31" s="8" t="str">
        <x:f>'Evaluation Plan'!I31</x:f>
        <x:v>Matched manipulation control</x:v>
      </x:c>
      <x:c r="J31" s="8" t="str">
        <x:f>'Evaluation Plan'!J31</x:f>
        <x:v>SZ-CT-LG02</x:v>
      </x:c>
      <x:c r="K31" s="8" t="str">
        <x:f>'Evaluation Plan'!K31</x:f>
        <x:v>Direct</x:v>
      </x:c>
      <x:c r="L31" s="8" t="str">
        <x:f>'Evaluation Plan'!L31</x:f>
        <x:v>Same-scene direct target control</x:v>
      </x:c>
      <x:c r="M31" s="8" t="str">
        <x:f>'Evaluation Plan'!M31</x:f>
        <x:v>green block</x:v>
      </x:c>
      <x:c r="N31" s="8" t="str">
        <x:f>'Evaluation Plan'!N31</x:f>
        <x:v>Right</x:v>
      </x:c>
      <x:c r="O31" s="8" t="n">
        <x:f>'Evaluation Plan'!O31</x:f>
        <x:v>2</x:v>
      </x:c>
      <x:c r="P31" s="8" t="n">
        <x:f>IF(ISBLANK('Evaluation Plan'!P31),"",'Evaluation Plan'!P31)</x:f>
        <x:v>12</x:v>
      </x:c>
      <x:c r="Q31" s="8" t="str">
        <x:f>'Evaluation Plan'!Q31</x:f>
        <x:v>Reset the target to its original pose; change only the prompt.</x:v>
      </x:c>
      <x:c r="R31" s="7" t="str">
        <x:f>'Evaluation Plan'!R31</x:f>
        <x:v>Exact-scene control using a direct prompt supported by training episode 1076.</x:v>
      </x:c>
      <x:c r="S31" s="7" t="str">
        <x:f>IF(ISBLANK('Evaluation Plan'!S31),"",'Evaluation Plan'!S31)</x:f>
      </x:c>
    </x:row>
    <x:row r="32" ht="68" customHeight="1">
      <x:c r="A32" s="8" t="str">
        <x:v>Not collected</x:v>
      </x:c>
      <x:c r="B32" s="8" t="n">
        <x:f>'Evaluation Plan'!B32</x:f>
        <x:v>30</x:v>
      </x:c>
      <x:c r="C32" s="7" t="str">
        <x:f>'Evaluation Plan'!C32</x:f>
        <x:v>Place whichever object is greatest in size inside the bowl.</x:v>
      </x:c>
      <x:c r="D32" s="7" t="str">
        <x:f>'Evaluation Plan'!D32</x:f>
        <x:v>Bowl: empty. Table, robot-left→robot-right: P1 red pencil sharpener; P2 green block. Adjacent centers 12 cm apart; row shifted 4 cm toward robot-left; all objects fully visible and grasp paths clear.</x:v>
      </x:c>
      <x:c r="E32" s="8" t="n">
        <x:f>IF(ISBLANK('Evaluation Plan'!E32),"",'Evaluation Plan'!E32)</x:f>
        <x:v>28</x:v>
      </x:c>
      <x:c r="F32" s="8" t="str">
        <x:f>'Evaluation Plan'!F32</x:f>
        <x:v>1081</x:v>
      </x:c>
      <x:c r="G32" s="8" t="str">
        <x:f>'Evaluation Plan'!G32</x:f>
        <x:v>MOVE green block to bowl</x:v>
      </x:c>
      <x:c r="H32" s="7"/>
      <x:c r="I32" s="8" t="str">
        <x:f>'Evaluation Plan'!I32</x:f>
        <x:v>Language robustness</x:v>
      </x:c>
      <x:c r="J32" s="8" t="str">
        <x:f>'Evaluation Plan'!J32</x:f>
        <x:v>SZ-CT-LG02</x:v>
      </x:c>
      <x:c r="K32" s="8" t="str">
        <x:f>'Evaluation Plan'!K32</x:f>
        <x:v>largest</x:v>
      </x:c>
      <x:c r="L32" s="8" t="str">
        <x:f>'Evaluation Plan'!L32</x:f>
        <x:v>Primary compositional-transfer prompt paraphrase</x:v>
      </x:c>
      <x:c r="M32" s="8" t="str">
        <x:f>'Evaluation Plan'!M32</x:f>
        <x:v>green block</x:v>
      </x:c>
      <x:c r="N32" s="8" t="str">
        <x:f>'Evaluation Plan'!N32</x:f>
        <x:v>Right</x:v>
      </x:c>
      <x:c r="O32" s="8" t="n">
        <x:f>'Evaluation Plan'!O32</x:f>
        <x:v>2</x:v>
      </x:c>
      <x:c r="P32" s="8" t="n">
        <x:f>IF(ISBLANK('Evaluation Plan'!P32),"",'Evaluation Plan'!P32)</x:f>
        <x:v>12</x:v>
      </x:c>
      <x:c r="Q32" s="8" t="str">
        <x:f>'Evaluation Plan'!Q32</x:f>
        <x:v>Reset the target; preserve the exact scene and paraphrase only the transfer prompt.</x:v>
      </x:c>
      <x:c r="R32" s="7" t="str">
        <x:f>'Evaluation Plan'!R32</x:f>
        <x:v>Exact-scene paraphrase of the primary transfer instruction.</x:v>
      </x:c>
      <x:c r="S32" s="7" t="str">
        <x:f>IF(ISBLANK('Evaluation Plan'!S32),"",'Evaluation Plan'!S32)</x:f>
      </x:c>
    </x:row>
    <x:row r="33" ht="68" customHeight="1">
      <x:c r="A33" s="8" t="str">
        <x:v>Not collected</x:v>
      </x:c>
      <x:c r="B33" s="8" t="n">
        <x:f>'Evaluation Plan'!B33</x:f>
        <x:v>31</x:v>
      </x:c>
      <x:c r="C33" s="7" t="str">
        <x:f>'Evaluation Plan'!C33</x:f>
        <x:v>Lift the green block and set it inside the bowl.</x:v>
      </x:c>
      <x:c r="D33" s="7" t="str">
        <x:f>'Evaluation Plan'!D33</x:f>
        <x:v>Bowl: empty. Table, robot-left→robot-right: P1 red pencil sharpener; P2 green block. Adjacent centers 12 cm apart; row shifted 4 cm toward robot-left; all objects fully visible and grasp paths clear.</x:v>
      </x:c>
      <x:c r="E33" s="8" t="n">
        <x:f>IF(ISBLANK('Evaluation Plan'!E33),"",'Evaluation Plan'!E33)</x:f>
        <x:v>29</x:v>
      </x:c>
      <x:c r="F33" s="8" t="str">
        <x:f>'Evaluation Plan'!F33</x:f>
        <x:v>1076</x:v>
      </x:c>
      <x:c r="G33" s="8" t="str">
        <x:f>'Evaluation Plan'!G33</x:f>
        <x:v>MOVE green block to bowl</x:v>
      </x:c>
      <x:c r="H33" s="7"/>
      <x:c r="I33" s="8" t="str">
        <x:f>'Evaluation Plan'!I33</x:f>
        <x:v>Language robustness</x:v>
      </x:c>
      <x:c r="J33" s="8" t="str">
        <x:f>'Evaluation Plan'!J33</x:f>
        <x:v>SZ-CT-LG02</x:v>
      </x:c>
      <x:c r="K33" s="8" t="str">
        <x:f>'Evaluation Plan'!K33</x:f>
        <x:v>Direct</x:v>
      </x:c>
      <x:c r="L33" s="8" t="str">
        <x:f>'Evaluation Plan'!L33</x:f>
        <x:v>Matched-control direct prompt paraphrase</x:v>
      </x:c>
      <x:c r="M33" s="8" t="str">
        <x:f>'Evaluation Plan'!M33</x:f>
        <x:v>green block</x:v>
      </x:c>
      <x:c r="N33" s="8" t="str">
        <x:f>'Evaluation Plan'!N33</x:f>
        <x:v>Right</x:v>
      </x:c>
      <x:c r="O33" s="8" t="n">
        <x:f>'Evaluation Plan'!O33</x:f>
        <x:v>2</x:v>
      </x:c>
      <x:c r="P33" s="8" t="n">
        <x:f>IF(ISBLANK('Evaluation Plan'!P33),"",'Evaluation Plan'!P33)</x:f>
        <x:v>12</x:v>
      </x:c>
      <x:c r="Q33" s="8" t="str">
        <x:f>'Evaluation Plan'!Q33</x:f>
        <x:v>Reset the target; preserve the exact scene and paraphrase only the matched-control prompt.</x:v>
      </x:c>
      <x:c r="R33" s="7" t="str">
        <x:f>'Evaluation Plan'!R33</x:f>
        <x:v>Exact-scene paraphrase of the direct manipulation control.</x:v>
      </x:c>
      <x:c r="S33" s="7" t="str">
        <x:f>IF(ISBLANK('Evaluation Plan'!S33),"",'Evaluation Plan'!S33)</x:f>
      </x:c>
    </x:row>
    <x:row r="34" ht="68" customHeight="1">
      <x:c r="A34" s="9" t="str">
        <x:v>Not collected</x:v>
      </x:c>
      <x:c r="B34" s="9" t="n">
        <x:f>'Evaluation Plan'!B34</x:f>
        <x:v>32</x:v>
      </x:c>
      <x:c r="C34" s="10" t="str">
        <x:f>'Evaluation Plan'!C34</x:f>
        <x:v>Put the smallest object in the bowl.</x:v>
      </x:c>
      <x:c r="D34" s="10" t="str">
        <x:f>'Evaluation Plan'!D34</x:f>
        <x:v>Bowl: empty. Table, robot-left→robot-right: P1 juggling ball; P2 crushed Pepsi can. Adjacent centers 16 cm apart; row shifted 4 cm toward the robot; all objects fully visible and grasp paths clear.</x:v>
      </x:c>
      <x:c r="E34" s="9" t="str">
        <x:f>IF(ISBLANK('Evaluation Plan'!E34),"",'Evaluation Plan'!E34)</x:f>
      </x:c>
      <x:c r="F34" s="9" t="str">
        <x:f>'Evaluation Plan'!F34</x:f>
        <x:v>1106</x:v>
      </x:c>
      <x:c r="G34" s="9" t="str">
        <x:f>'Evaluation Plan'!G34</x:f>
        <x:v>MOVE juggling ball to bowl</x:v>
      </x:c>
      <x:c r="H34" s="10"/>
      <x:c r="I34" s="9" t="str">
        <x:f>'Evaluation Plan'!I34</x:f>
        <x:v>Concept/compositional transfer</x:v>
      </x:c>
      <x:c r="J34" s="9" t="str">
        <x:f>'Evaluation Plan'!J34</x:f>
        <x:v>SZ-CT-SJ02</x:v>
      </x:c>
      <x:c r="K34" s="9" t="str">
        <x:f>'Evaluation Plan'!K34</x:f>
        <x:v>smallest</x:v>
      </x:c>
      <x:c r="L34" s="9" t="str">
        <x:f>'Evaluation Plan'!L34</x:f>
        <x:v>Held-out smallest × juggling ball — Put</x:v>
      </x:c>
      <x:c r="M34" s="9" t="str">
        <x:f>'Evaluation Plan'!M34</x:f>
        <x:v>juggling ball</x:v>
      </x:c>
      <x:c r="N34" s="9" t="str">
        <x:f>'Evaluation Plan'!N34</x:f>
        <x:v>Left</x:v>
      </x:c>
      <x:c r="O34" s="9" t="n">
        <x:f>'Evaluation Plan'!O34</x:f>
        <x:v>2</x:v>
      </x:c>
      <x:c r="P34" s="9" t="n">
        <x:f>IF(ISBLANK('Evaluation Plan'!P34),"",'Evaluation Plan'!P34)</x:f>
        <x:v>16</x:v>
      </x:c>
      <x:c r="Q34" s="9" t="str">
        <x:f>'Evaluation Plan'!Q34</x:f>
        <x:v>Build the listed two-object scene and save a first-frame filename.</x:v>
      </x:c>
      <x:c r="R34" s="10" t="str">
        <x:f>'Evaluation Plan'!R34</x:f>
        <x:v>Primary missing cell. Training episode 1106 contains the same target trajectory but masks the size word with a direct identity prompt.</x:v>
      </x:c>
      <x:c r="S34" s="10" t="str">
        <x:f>IF(ISBLANK('Evaluation Plan'!S34),"",'Evaluation Plan'!S34)</x:f>
      </x:c>
    </x:row>
    <x:row r="35" ht="68" customHeight="1">
      <x:c r="A35" s="8" t="str">
        <x:v>Not collected</x:v>
      </x:c>
      <x:c r="B35" s="8" t="n">
        <x:f>'Evaluation Plan'!B35</x:f>
        <x:v>33</x:v>
      </x:c>
      <x:c r="C35" s="7" t="str">
        <x:f>'Evaluation Plan'!C35</x:f>
        <x:v>Move the juggling ball into the bowl.</x:v>
      </x:c>
      <x:c r="D35" s="7" t="str">
        <x:f>'Evaluation Plan'!D35</x:f>
        <x:v>Bowl: empty. Table, robot-left→robot-right: P1 juggling ball; P2 crushed Pepsi can. Adjacent centers 16 cm apart; row shifted 4 cm toward the robot; all objects fully visible and grasp paths clear.</x:v>
      </x:c>
      <x:c r="E35" s="8" t="n">
        <x:f>IF(ISBLANK('Evaluation Plan'!E35),"",'Evaluation Plan'!E35)</x:f>
        <x:v>32</x:v>
      </x:c>
      <x:c r="F35" s="8" t="str">
        <x:f>'Evaluation Plan'!F35</x:f>
        <x:v>1101</x:v>
      </x:c>
      <x:c r="G35" s="8" t="str">
        <x:f>'Evaluation Plan'!G35</x:f>
        <x:v>MOVE juggling ball to bowl</x:v>
      </x:c>
      <x:c r="H35" s="7"/>
      <x:c r="I35" s="8" t="str">
        <x:f>'Evaluation Plan'!I35</x:f>
        <x:v>Matched manipulation control</x:v>
      </x:c>
      <x:c r="J35" s="8" t="str">
        <x:f>'Evaluation Plan'!J35</x:f>
        <x:v>SZ-CT-SJ02</x:v>
      </x:c>
      <x:c r="K35" s="8" t="str">
        <x:f>'Evaluation Plan'!K35</x:f>
        <x:v>Direct</x:v>
      </x:c>
      <x:c r="L35" s="8" t="str">
        <x:f>'Evaluation Plan'!L35</x:f>
        <x:v>Same-scene direct target control</x:v>
      </x:c>
      <x:c r="M35" s="8" t="str">
        <x:f>'Evaluation Plan'!M35</x:f>
        <x:v>juggling ball</x:v>
      </x:c>
      <x:c r="N35" s="8" t="str">
        <x:f>'Evaluation Plan'!N35</x:f>
        <x:v>Left</x:v>
      </x:c>
      <x:c r="O35" s="8" t="n">
        <x:f>'Evaluation Plan'!O35</x:f>
        <x:v>2</x:v>
      </x:c>
      <x:c r="P35" s="8" t="n">
        <x:f>IF(ISBLANK('Evaluation Plan'!P35),"",'Evaluation Plan'!P35)</x:f>
        <x:v>16</x:v>
      </x:c>
      <x:c r="Q35" s="8" t="str">
        <x:f>'Evaluation Plan'!Q35</x:f>
        <x:v>Reset the target to its original pose; change only the prompt.</x:v>
      </x:c>
      <x:c r="R35" s="7" t="str">
        <x:f>'Evaluation Plan'!R35</x:f>
        <x:v>Exact-scene control using a direct prompt supported by training episode 1101.</x:v>
      </x:c>
      <x:c r="S35" s="7" t="str">
        <x:f>IF(ISBLANK('Evaluation Plan'!S35),"",'Evaluation Plan'!S35)</x:f>
      </x:c>
    </x:row>
    <x:row r="36" ht="68" customHeight="1">
      <x:c r="A36" s="8" t="str">
        <x:v>Not collected</x:v>
      </x:c>
      <x:c r="B36" s="8" t="n">
        <x:f>'Evaluation Plan'!B36</x:f>
        <x:v>34</x:v>
      </x:c>
      <x:c r="C36" s="7" t="str">
        <x:f>'Evaluation Plan'!C36</x:f>
        <x:v>Place whichever object is least in size inside the bowl.</x:v>
      </x:c>
      <x:c r="D36" s="7" t="str">
        <x:f>'Evaluation Plan'!D36</x:f>
        <x:v>Bowl: empty. Table, robot-left→robot-right: P1 juggling ball; P2 crushed Pepsi can. Adjacent centers 16 cm apart; row shifted 4 cm toward the robot; all objects fully visible and grasp paths clear.</x:v>
      </x:c>
      <x:c r="E36" s="8" t="n">
        <x:f>IF(ISBLANK('Evaluation Plan'!E36),"",'Evaluation Plan'!E36)</x:f>
        <x:v>32</x:v>
      </x:c>
      <x:c r="F36" s="8" t="str">
        <x:f>'Evaluation Plan'!F36</x:f>
        <x:v>1106</x:v>
      </x:c>
      <x:c r="G36" s="8" t="str">
        <x:f>'Evaluation Plan'!G36</x:f>
        <x:v>MOVE juggling ball to bowl</x:v>
      </x:c>
      <x:c r="H36" s="7"/>
      <x:c r="I36" s="8" t="str">
        <x:f>'Evaluation Plan'!I36</x:f>
        <x:v>Language robustness</x:v>
      </x:c>
      <x:c r="J36" s="8" t="str">
        <x:f>'Evaluation Plan'!J36</x:f>
        <x:v>SZ-CT-SJ02</x:v>
      </x:c>
      <x:c r="K36" s="8" t="str">
        <x:f>'Evaluation Plan'!K36</x:f>
        <x:v>smallest</x:v>
      </x:c>
      <x:c r="L36" s="8" t="str">
        <x:f>'Evaluation Plan'!L36</x:f>
        <x:v>Primary compositional-transfer prompt paraphrase</x:v>
      </x:c>
      <x:c r="M36" s="8" t="str">
        <x:f>'Evaluation Plan'!M36</x:f>
        <x:v>juggling ball</x:v>
      </x:c>
      <x:c r="N36" s="8" t="str">
        <x:f>'Evaluation Plan'!N36</x:f>
        <x:v>Left</x:v>
      </x:c>
      <x:c r="O36" s="8" t="n">
        <x:f>'Evaluation Plan'!O36</x:f>
        <x:v>2</x:v>
      </x:c>
      <x:c r="P36" s="8" t="n">
        <x:f>IF(ISBLANK('Evaluation Plan'!P36),"",'Evaluation Plan'!P36)</x:f>
        <x:v>16</x:v>
      </x:c>
      <x:c r="Q36" s="8" t="str">
        <x:f>'Evaluation Plan'!Q36</x:f>
        <x:v>Reset the target; preserve the exact scene and paraphrase only the transfer prompt.</x:v>
      </x:c>
      <x:c r="R36" s="7" t="str">
        <x:f>'Evaluation Plan'!R36</x:f>
        <x:v>Exact-scene paraphrase of the primary transfer instruction.</x:v>
      </x:c>
      <x:c r="S36" s="7" t="str">
        <x:f>IF(ISBLANK('Evaluation Plan'!S36),"",'Evaluation Plan'!S36)</x:f>
      </x:c>
    </x:row>
    <x:row r="37" ht="68" customHeight="1">
      <x:c r="A37" s="8" t="str">
        <x:v>Not collected</x:v>
      </x:c>
      <x:c r="B37" s="8" t="n">
        <x:f>'Evaluation Plan'!B37</x:f>
        <x:v>35</x:v>
      </x:c>
      <x:c r="C37" s="7" t="str">
        <x:f>'Evaluation Plan'!C37</x:f>
        <x:v>Lift the juggling ball and set it inside the bowl.</x:v>
      </x:c>
      <x:c r="D37" s="7" t="str">
        <x:f>'Evaluation Plan'!D37</x:f>
        <x:v>Bowl: empty. Table, robot-left→robot-right: P1 juggling ball; P2 crushed Pepsi can. Adjacent centers 16 cm apart; row shifted 4 cm toward the robot; all objects fully visible and grasp paths clear.</x:v>
      </x:c>
      <x:c r="E37" s="8" t="n">
        <x:f>IF(ISBLANK('Evaluation Plan'!E37),"",'Evaluation Plan'!E37)</x:f>
        <x:v>33</x:v>
      </x:c>
      <x:c r="F37" s="8" t="str">
        <x:f>'Evaluation Plan'!F37</x:f>
        <x:v>1101</x:v>
      </x:c>
      <x:c r="G37" s="8" t="str">
        <x:f>'Evaluation Plan'!G37</x:f>
        <x:v>MOVE juggling ball to bowl</x:v>
      </x:c>
      <x:c r="H37" s="7"/>
      <x:c r="I37" s="8" t="str">
        <x:f>'Evaluation Plan'!I37</x:f>
        <x:v>Language robustness</x:v>
      </x:c>
      <x:c r="J37" s="8" t="str">
        <x:f>'Evaluation Plan'!J37</x:f>
        <x:v>SZ-CT-SJ02</x:v>
      </x:c>
      <x:c r="K37" s="8" t="str">
        <x:f>'Evaluation Plan'!K37</x:f>
        <x:v>Direct</x:v>
      </x:c>
      <x:c r="L37" s="8" t="str">
        <x:f>'Evaluation Plan'!L37</x:f>
        <x:v>Matched-control direct prompt paraphrase</x:v>
      </x:c>
      <x:c r="M37" s="8" t="str">
        <x:f>'Evaluation Plan'!M37</x:f>
        <x:v>juggling ball</x:v>
      </x:c>
      <x:c r="N37" s="8" t="str">
        <x:f>'Evaluation Plan'!N37</x:f>
        <x:v>Left</x:v>
      </x:c>
      <x:c r="O37" s="8" t="n">
        <x:f>'Evaluation Plan'!O37</x:f>
        <x:v>2</x:v>
      </x:c>
      <x:c r="P37" s="8" t="n">
        <x:f>IF(ISBLANK('Evaluation Plan'!P37),"",'Evaluation Plan'!P37)</x:f>
        <x:v>16</x:v>
      </x:c>
      <x:c r="Q37" s="8" t="str">
        <x:f>'Evaluation Plan'!Q37</x:f>
        <x:v>Reset the target; preserve the exact scene and paraphrase only the matched-control prompt.</x:v>
      </x:c>
      <x:c r="R37" s="7" t="str">
        <x:f>'Evaluation Plan'!R37</x:f>
        <x:v>Exact-scene paraphrase of the direct manipulation control.</x:v>
      </x:c>
      <x:c r="S37" s="7" t="str">
        <x:f>IF(ISBLANK('Evaluation Plan'!S37),"",'Evaluation Plan'!S37)</x:f>
      </x:c>
    </x:row>
    <x:row r="38" ht="68" customHeight="1">
      <x:c r="A38" s="9" t="str">
        <x:v>Not collected</x:v>
      </x:c>
      <x:c r="B38" s="9" t="n">
        <x:f>'Evaluation Plan'!B38</x:f>
        <x:v>36</x:v>
      </x:c>
      <x:c r="C38" s="10" t="str">
        <x:f>'Evaluation Plan'!C38</x:f>
        <x:v>Put the largest object in the bowl.</x:v>
      </x:c>
      <x:c r="D38" s="10" t="str">
        <x:f>'Evaluation Plan'!D38</x:f>
        <x:v>Bowl: empty. Table, robot-left→robot-right: P1 green block; P2 red pencil sharpener. Adjacent centers 16 cm apart; row shifted 4 cm toward robot-right; all objects fully visible and grasp paths clear.</x:v>
      </x:c>
      <x:c r="E38" s="9" t="str">
        <x:f>IF(ISBLANK('Evaluation Plan'!E38),"",'Evaluation Plan'!E38)</x:f>
      </x:c>
      <x:c r="F38" s="9" t="str">
        <x:f>'Evaluation Plan'!F38</x:f>
        <x:v>1082</x:v>
      </x:c>
      <x:c r="G38" s="9" t="str">
        <x:f>'Evaluation Plan'!G38</x:f>
        <x:v>MOVE green block to bowl</x:v>
      </x:c>
      <x:c r="H38" s="10"/>
      <x:c r="I38" s="9" t="str">
        <x:f>'Evaluation Plan'!I38</x:f>
        <x:v>Concept/compositional transfer</x:v>
      </x:c>
      <x:c r="J38" s="9" t="str">
        <x:f>'Evaluation Plan'!J38</x:f>
        <x:v>SZ-CT-LG03</x:v>
      </x:c>
      <x:c r="K38" s="9" t="str">
        <x:f>'Evaluation Plan'!K38</x:f>
        <x:v>largest</x:v>
      </x:c>
      <x:c r="L38" s="9" t="str">
        <x:f>'Evaluation Plan'!L38</x:f>
        <x:v>Held-out largest × green block — Put</x:v>
      </x:c>
      <x:c r="M38" s="9" t="str">
        <x:f>'Evaluation Plan'!M38</x:f>
        <x:v>green block</x:v>
      </x:c>
      <x:c r="N38" s="9" t="str">
        <x:f>'Evaluation Plan'!N38</x:f>
        <x:v>Left</x:v>
      </x:c>
      <x:c r="O38" s="9" t="n">
        <x:f>'Evaluation Plan'!O38</x:f>
        <x:v>2</x:v>
      </x:c>
      <x:c r="P38" s="9" t="n">
        <x:f>IF(ISBLANK('Evaluation Plan'!P38),"",'Evaluation Plan'!P38)</x:f>
        <x:v>16</x:v>
      </x:c>
      <x:c r="Q38" s="9" t="str">
        <x:f>'Evaluation Plan'!Q38</x:f>
        <x:v>Build the listed two-object scene and save a first-frame filename.</x:v>
      </x:c>
      <x:c r="R38" s="10" t="str">
        <x:f>'Evaluation Plan'!R38</x:f>
        <x:v>Primary missing cell. Training episode 1082 contains the same target trajectory but masks the size word with a direct identity prompt.</x:v>
      </x:c>
      <x:c r="S38" s="10" t="str">
        <x:f>IF(ISBLANK('Evaluation Plan'!S38),"",'Evaluation Plan'!S38)</x:f>
      </x:c>
    </x:row>
    <x:row r="39" ht="68" customHeight="1">
      <x:c r="A39" s="8" t="str">
        <x:v>Not collected</x:v>
      </x:c>
      <x:c r="B39" s="8" t="n">
        <x:f>'Evaluation Plan'!B39</x:f>
        <x:v>37</x:v>
      </x:c>
      <x:c r="C39" s="7" t="str">
        <x:f>'Evaluation Plan'!C39</x:f>
        <x:v>Pick up the green block and place it in the bowl.</x:v>
      </x:c>
      <x:c r="D39" s="7" t="str">
        <x:f>'Evaluation Plan'!D39</x:f>
        <x:v>Bowl: empty. Table, robot-left→robot-right: P1 green block; P2 red pencil sharpener. Adjacent centers 16 cm apart; row shifted 4 cm toward robot-right; all objects fully visible and grasp paths clear.</x:v>
      </x:c>
      <x:c r="E39" s="8" t="n">
        <x:f>IF(ISBLANK('Evaluation Plan'!E39),"",'Evaluation Plan'!E39)</x:f>
        <x:v>36</x:v>
      </x:c>
      <x:c r="F39" s="8" t="str">
        <x:f>'Evaluation Plan'!F39</x:f>
        <x:v>1077</x:v>
      </x:c>
      <x:c r="G39" s="8" t="str">
        <x:f>'Evaluation Plan'!G39</x:f>
        <x:v>MOVE green block to bowl</x:v>
      </x:c>
      <x:c r="H39" s="7"/>
      <x:c r="I39" s="8" t="str">
        <x:f>'Evaluation Plan'!I39</x:f>
        <x:v>Matched manipulation control</x:v>
      </x:c>
      <x:c r="J39" s="8" t="str">
        <x:f>'Evaluation Plan'!J39</x:f>
        <x:v>SZ-CT-LG03</x:v>
      </x:c>
      <x:c r="K39" s="8" t="str">
        <x:f>'Evaluation Plan'!K39</x:f>
        <x:v>Direct</x:v>
      </x:c>
      <x:c r="L39" s="8" t="str">
        <x:f>'Evaluation Plan'!L39</x:f>
        <x:v>Same-scene direct target control</x:v>
      </x:c>
      <x:c r="M39" s="8" t="str">
        <x:f>'Evaluation Plan'!M39</x:f>
        <x:v>green block</x:v>
      </x:c>
      <x:c r="N39" s="8" t="str">
        <x:f>'Evaluation Plan'!N39</x:f>
        <x:v>Left</x:v>
      </x:c>
      <x:c r="O39" s="8" t="n">
        <x:f>'Evaluation Plan'!O39</x:f>
        <x:v>2</x:v>
      </x:c>
      <x:c r="P39" s="8" t="n">
        <x:f>IF(ISBLANK('Evaluation Plan'!P39),"",'Evaluation Plan'!P39)</x:f>
        <x:v>16</x:v>
      </x:c>
      <x:c r="Q39" s="8" t="str">
        <x:f>'Evaluation Plan'!Q39</x:f>
        <x:v>Reset the target to its original pose; change only the prompt.</x:v>
      </x:c>
      <x:c r="R39" s="7" t="str">
        <x:f>'Evaluation Plan'!R39</x:f>
        <x:v>Exact-scene control using a direct prompt supported by training episode 1077.</x:v>
      </x:c>
      <x:c r="S39" s="7" t="str">
        <x:f>IF(ISBLANK('Evaluation Plan'!S39),"",'Evaluation Plan'!S39)</x:f>
      </x:c>
    </x:row>
    <x:row r="40" ht="68" customHeight="1">
      <x:c r="A40" s="8" t="str">
        <x:v>Not collected</x:v>
      </x:c>
      <x:c r="B40" s="8" t="n">
        <x:f>'Evaluation Plan'!B40</x:f>
        <x:v>38</x:v>
      </x:c>
      <x:c r="C40" s="7" t="str">
        <x:f>'Evaluation Plan'!C40</x:f>
        <x:v>Select the bigger object and put it into the bowl.</x:v>
      </x:c>
      <x:c r="D40" s="7" t="str">
        <x:f>'Evaluation Plan'!D40</x:f>
        <x:v>Bowl: empty. Table, robot-left→robot-right: P1 green block; P2 red pencil sharpener. Adjacent centers 16 cm apart; row shifted 4 cm toward robot-right; all objects fully visible and grasp paths clear.</x:v>
      </x:c>
      <x:c r="E40" s="8" t="n">
        <x:f>IF(ISBLANK('Evaluation Plan'!E40),"",'Evaluation Plan'!E40)</x:f>
        <x:v>36</x:v>
      </x:c>
      <x:c r="F40" s="8" t="str">
        <x:f>'Evaluation Plan'!F40</x:f>
        <x:v>1082</x:v>
      </x:c>
      <x:c r="G40" s="8" t="str">
        <x:f>'Evaluation Plan'!G40</x:f>
        <x:v>MOVE green block to bowl</x:v>
      </x:c>
      <x:c r="H40" s="7"/>
      <x:c r="I40" s="8" t="str">
        <x:f>'Evaluation Plan'!I40</x:f>
        <x:v>Language robustness</x:v>
      </x:c>
      <x:c r="J40" s="8" t="str">
        <x:f>'Evaluation Plan'!J40</x:f>
        <x:v>SZ-CT-LG03</x:v>
      </x:c>
      <x:c r="K40" s="8" t="str">
        <x:f>'Evaluation Plan'!K40</x:f>
        <x:v>largest</x:v>
      </x:c>
      <x:c r="L40" s="8" t="str">
        <x:f>'Evaluation Plan'!L40</x:f>
        <x:v>Primary compositional-transfer prompt paraphrase</x:v>
      </x:c>
      <x:c r="M40" s="8" t="str">
        <x:f>'Evaluation Plan'!M40</x:f>
        <x:v>green block</x:v>
      </x:c>
      <x:c r="N40" s="8" t="str">
        <x:f>'Evaluation Plan'!N40</x:f>
        <x:v>Left</x:v>
      </x:c>
      <x:c r="O40" s="8" t="n">
        <x:f>'Evaluation Plan'!O40</x:f>
        <x:v>2</x:v>
      </x:c>
      <x:c r="P40" s="8" t="n">
        <x:f>IF(ISBLANK('Evaluation Plan'!P40),"",'Evaluation Plan'!P40)</x:f>
        <x:v>16</x:v>
      </x:c>
      <x:c r="Q40" s="8" t="str">
        <x:f>'Evaluation Plan'!Q40</x:f>
        <x:v>Reset the target; preserve the exact scene and paraphrase only the transfer prompt.</x:v>
      </x:c>
      <x:c r="R40" s="7" t="str">
        <x:f>'Evaluation Plan'!R40</x:f>
        <x:v>Exact-scene paraphrase of the primary transfer instruction.</x:v>
      </x:c>
      <x:c r="S40" s="7" t="str">
        <x:f>IF(ISBLANK('Evaluation Plan'!S40),"",'Evaluation Plan'!S40)</x:f>
      </x:c>
    </x:row>
    <x:row r="41" ht="68" customHeight="1">
      <x:c r="A41" s="8" t="str">
        <x:v>Not collected</x:v>
      </x:c>
      <x:c r="B41" s="8" t="n">
        <x:f>'Evaluation Plan'!B41</x:f>
        <x:v>39</x:v>
      </x:c>
      <x:c r="C41" s="7" t="str">
        <x:f>'Evaluation Plan'!C41</x:f>
        <x:v>Move the green block off the table and into the bowl.</x:v>
      </x:c>
      <x:c r="D41" s="7" t="str">
        <x:f>'Evaluation Plan'!D41</x:f>
        <x:v>Bowl: empty. Table, robot-left→robot-right: P1 green block; P2 red pencil sharpener. Adjacent centers 16 cm apart; row shifted 4 cm toward robot-right; all objects fully visible and grasp paths clear.</x:v>
      </x:c>
      <x:c r="E41" s="8" t="n">
        <x:f>IF(ISBLANK('Evaluation Plan'!E41),"",'Evaluation Plan'!E41)</x:f>
        <x:v>37</x:v>
      </x:c>
      <x:c r="F41" s="8" t="str">
        <x:f>'Evaluation Plan'!F41</x:f>
        <x:v>1077</x:v>
      </x:c>
      <x:c r="G41" s="8" t="str">
        <x:f>'Evaluation Plan'!G41</x:f>
        <x:v>MOVE green block to bowl</x:v>
      </x:c>
      <x:c r="H41" s="7"/>
      <x:c r="I41" s="8" t="str">
        <x:f>'Evaluation Plan'!I41</x:f>
        <x:v>Language robustness</x:v>
      </x:c>
      <x:c r="J41" s="8" t="str">
        <x:f>'Evaluation Plan'!J41</x:f>
        <x:v>SZ-CT-LG03</x:v>
      </x:c>
      <x:c r="K41" s="8" t="str">
        <x:f>'Evaluation Plan'!K41</x:f>
        <x:v>Direct</x:v>
      </x:c>
      <x:c r="L41" s="8" t="str">
        <x:f>'Evaluation Plan'!L41</x:f>
        <x:v>Matched-control direct prompt paraphrase</x:v>
      </x:c>
      <x:c r="M41" s="8" t="str">
        <x:f>'Evaluation Plan'!M41</x:f>
        <x:v>green block</x:v>
      </x:c>
      <x:c r="N41" s="8" t="str">
        <x:f>'Evaluation Plan'!N41</x:f>
        <x:v>Left</x:v>
      </x:c>
      <x:c r="O41" s="8" t="n">
        <x:f>'Evaluation Plan'!O41</x:f>
        <x:v>2</x:v>
      </x:c>
      <x:c r="P41" s="8" t="n">
        <x:f>IF(ISBLANK('Evaluation Plan'!P41),"",'Evaluation Plan'!P41)</x:f>
        <x:v>16</x:v>
      </x:c>
      <x:c r="Q41" s="8" t="str">
        <x:f>'Evaluation Plan'!Q41</x:f>
        <x:v>Reset the target; preserve the exact scene and paraphrase only the matched-control prompt.</x:v>
      </x:c>
      <x:c r="R41" s="7" t="str">
        <x:f>'Evaluation Plan'!R41</x:f>
        <x:v>Exact-scene paraphrase of the direct manipulation control.</x:v>
      </x:c>
      <x:c r="S41" s="7" t="str">
        <x:f>IF(ISBLANK('Evaluation Plan'!S41),"",'Evaluation Plan'!S41)</x:f>
      </x:c>
    </x:row>
    <x:row r="42" ht="68" customHeight="1">
      <x:c r="A42" s="9" t="str">
        <x:v>Not collected</x:v>
      </x:c>
      <x:c r="B42" s="9" t="n">
        <x:f>'Evaluation Plan'!B42</x:f>
        <x:v>40</x:v>
      </x:c>
      <x:c r="C42" s="10" t="str">
        <x:f>'Evaluation Plan'!C42</x:f>
        <x:v>Move the object that is smallest into the bowl.</x:v>
      </x:c>
      <x:c r="D42" s="10" t="str">
        <x:f>'Evaluation Plan'!D42</x:f>
        <x:v>Bowl: empty. Table, robot-left→robot-right: P1 crushed Pepsi can; P2 juggling ball. Adjacent centers 8 cm apart; row shifted 4 cm away from the robot; all objects fully visible and grasp paths clear.</x:v>
      </x:c>
      <x:c r="E42" s="9" t="str">
        <x:f>IF(ISBLANK('Evaluation Plan'!E42),"",'Evaluation Plan'!E42)</x:f>
      </x:c>
      <x:c r="F42" s="9" t="str">
        <x:f>'Evaluation Plan'!F42</x:f>
        <x:v>1107</x:v>
      </x:c>
      <x:c r="G42" s="9" t="str">
        <x:f>'Evaluation Plan'!G42</x:f>
        <x:v>MOVE juggling ball to bowl</x:v>
      </x:c>
      <x:c r="H42" s="10"/>
      <x:c r="I42" s="9" t="str">
        <x:f>'Evaluation Plan'!I42</x:f>
        <x:v>Concept/compositional transfer</x:v>
      </x:c>
      <x:c r="J42" s="9" t="str">
        <x:f>'Evaluation Plan'!J42</x:f>
        <x:v>SZ-CT-SJ03</x:v>
      </x:c>
      <x:c r="K42" s="9" t="str">
        <x:f>'Evaluation Plan'!K42</x:f>
        <x:v>smallest</x:v>
      </x:c>
      <x:c r="L42" s="9" t="str">
        <x:f>'Evaluation Plan'!L42</x:f>
        <x:v>Held-out smallest × juggling ball — Move</x:v>
      </x:c>
      <x:c r="M42" s="9" t="str">
        <x:f>'Evaluation Plan'!M42</x:f>
        <x:v>juggling ball</x:v>
      </x:c>
      <x:c r="N42" s="9" t="str">
        <x:f>'Evaluation Plan'!N42</x:f>
        <x:v>Right</x:v>
      </x:c>
      <x:c r="O42" s="9" t="n">
        <x:f>'Evaluation Plan'!O42</x:f>
        <x:v>2</x:v>
      </x:c>
      <x:c r="P42" s="9" t="n">
        <x:f>IF(ISBLANK('Evaluation Plan'!P42),"",'Evaluation Plan'!P42)</x:f>
        <x:v>8</x:v>
      </x:c>
      <x:c r="Q42" s="9" t="str">
        <x:f>'Evaluation Plan'!Q42</x:f>
        <x:v>Build the listed two-object scene and save a first-frame filename.</x:v>
      </x:c>
      <x:c r="R42" s="10" t="str">
        <x:f>'Evaluation Plan'!R42</x:f>
        <x:v>Primary missing cell. Training episode 1107 contains the same target trajectory but masks the size word with a direct identity prompt.</x:v>
      </x:c>
      <x:c r="S42" s="10" t="str">
        <x:f>IF(ISBLANK('Evaluation Plan'!S42),"",'Evaluation Plan'!S42)</x:f>
      </x:c>
    </x:row>
    <x:row r="43" ht="68" customHeight="1">
      <x:c r="A43" s="8" t="str">
        <x:v>Not collected</x:v>
      </x:c>
      <x:c r="B43" s="8" t="n">
        <x:f>'Evaluation Plan'!B43</x:f>
        <x:v>41</x:v>
      </x:c>
      <x:c r="C43" s="7" t="str">
        <x:f>'Evaluation Plan'!C43</x:f>
        <x:v>Pick up the juggling ball and place it in the bowl.</x:v>
      </x:c>
      <x:c r="D43" s="7" t="str">
        <x:f>'Evaluation Plan'!D43</x:f>
        <x:v>Bowl: empty. Table, robot-left→robot-right: P1 crushed Pepsi can; P2 juggling ball. Adjacent centers 8 cm apart; row shifted 4 cm away from the robot; all objects fully visible and grasp paths clear.</x:v>
      </x:c>
      <x:c r="E43" s="8" t="n">
        <x:f>IF(ISBLANK('Evaluation Plan'!E43),"",'Evaluation Plan'!E43)</x:f>
        <x:v>40</x:v>
      </x:c>
      <x:c r="F43" s="8" t="str">
        <x:f>'Evaluation Plan'!F43</x:f>
        <x:v>1102</x:v>
      </x:c>
      <x:c r="G43" s="8" t="str">
        <x:f>'Evaluation Plan'!G43</x:f>
        <x:v>MOVE juggling ball to bowl</x:v>
      </x:c>
      <x:c r="H43" s="7"/>
      <x:c r="I43" s="8" t="str">
        <x:f>'Evaluation Plan'!I43</x:f>
        <x:v>Matched manipulation control</x:v>
      </x:c>
      <x:c r="J43" s="8" t="str">
        <x:f>'Evaluation Plan'!J43</x:f>
        <x:v>SZ-CT-SJ03</x:v>
      </x:c>
      <x:c r="K43" s="8" t="str">
        <x:f>'Evaluation Plan'!K43</x:f>
        <x:v>Direct</x:v>
      </x:c>
      <x:c r="L43" s="8" t="str">
        <x:f>'Evaluation Plan'!L43</x:f>
        <x:v>Same-scene direct target control</x:v>
      </x:c>
      <x:c r="M43" s="8" t="str">
        <x:f>'Evaluation Plan'!M43</x:f>
        <x:v>juggling ball</x:v>
      </x:c>
      <x:c r="N43" s="8" t="str">
        <x:f>'Evaluation Plan'!N43</x:f>
        <x:v>Right</x:v>
      </x:c>
      <x:c r="O43" s="8" t="n">
        <x:f>'Evaluation Plan'!O43</x:f>
        <x:v>2</x:v>
      </x:c>
      <x:c r="P43" s="8" t="n">
        <x:f>IF(ISBLANK('Evaluation Plan'!P43),"",'Evaluation Plan'!P43)</x:f>
        <x:v>8</x:v>
      </x:c>
      <x:c r="Q43" s="8" t="str">
        <x:f>'Evaluation Plan'!Q43</x:f>
        <x:v>Reset the target to its original pose; change only the prompt.</x:v>
      </x:c>
      <x:c r="R43" s="7" t="str">
        <x:f>'Evaluation Plan'!R43</x:f>
        <x:v>Exact-scene control using a direct prompt supported by training episode 1102.</x:v>
      </x:c>
      <x:c r="S43" s="7" t="str">
        <x:f>IF(ISBLANK('Evaluation Plan'!S43),"",'Evaluation Plan'!S43)</x:f>
      </x:c>
    </x:row>
    <x:row r="44" ht="68" customHeight="1">
      <x:c r="A44" s="8" t="str">
        <x:v>Not collected</x:v>
      </x:c>
      <x:c r="B44" s="8" t="n">
        <x:f>'Evaluation Plan'!B44</x:f>
        <x:v>42</x:v>
      </x:c>
      <x:c r="C44" s="7" t="str">
        <x:f>'Evaluation Plan'!C44</x:f>
        <x:v>Select the smaller object and put it into the bowl.</x:v>
      </x:c>
      <x:c r="D44" s="7" t="str">
        <x:f>'Evaluation Plan'!D44</x:f>
        <x:v>Bowl: empty. Table, robot-left→robot-right: P1 crushed Pepsi can; P2 juggling ball. Adjacent centers 8 cm apart; row shifted 4 cm away from the robot; all objects fully visible and grasp paths clear.</x:v>
      </x:c>
      <x:c r="E44" s="8" t="n">
        <x:f>IF(ISBLANK('Evaluation Plan'!E44),"",'Evaluation Plan'!E44)</x:f>
        <x:v>40</x:v>
      </x:c>
      <x:c r="F44" s="8" t="str">
        <x:f>'Evaluation Plan'!F44</x:f>
        <x:v>1107</x:v>
      </x:c>
      <x:c r="G44" s="8" t="str">
        <x:f>'Evaluation Plan'!G44</x:f>
        <x:v>MOVE juggling ball to bowl</x:v>
      </x:c>
      <x:c r="H44" s="7"/>
      <x:c r="I44" s="8" t="str">
        <x:f>'Evaluation Plan'!I44</x:f>
        <x:v>Language robustness</x:v>
      </x:c>
      <x:c r="J44" s="8" t="str">
        <x:f>'Evaluation Plan'!J44</x:f>
        <x:v>SZ-CT-SJ03</x:v>
      </x:c>
      <x:c r="K44" s="8" t="str">
        <x:f>'Evaluation Plan'!K44</x:f>
        <x:v>smallest</x:v>
      </x:c>
      <x:c r="L44" s="8" t="str">
        <x:f>'Evaluation Plan'!L44</x:f>
        <x:v>Primary compositional-transfer prompt paraphrase</x:v>
      </x:c>
      <x:c r="M44" s="8" t="str">
        <x:f>'Evaluation Plan'!M44</x:f>
        <x:v>juggling ball</x:v>
      </x:c>
      <x:c r="N44" s="8" t="str">
        <x:f>'Evaluation Plan'!N44</x:f>
        <x:v>Right</x:v>
      </x:c>
      <x:c r="O44" s="8" t="n">
        <x:f>'Evaluation Plan'!O44</x:f>
        <x:v>2</x:v>
      </x:c>
      <x:c r="P44" s="8" t="n">
        <x:f>IF(ISBLANK('Evaluation Plan'!P44),"",'Evaluation Plan'!P44)</x:f>
        <x:v>8</x:v>
      </x:c>
      <x:c r="Q44" s="8" t="str">
        <x:f>'Evaluation Plan'!Q44</x:f>
        <x:v>Reset the target; preserve the exact scene and paraphrase only the transfer prompt.</x:v>
      </x:c>
      <x:c r="R44" s="7" t="str">
        <x:f>'Evaluation Plan'!R44</x:f>
        <x:v>Exact-scene paraphrase of the primary transfer instruction.</x:v>
      </x:c>
      <x:c r="S44" s="7" t="str">
        <x:f>IF(ISBLANK('Evaluation Plan'!S44),"",'Evaluation Plan'!S44)</x:f>
      </x:c>
    </x:row>
    <x:row r="45" ht="68" customHeight="1">
      <x:c r="A45" s="8" t="str">
        <x:v>Not collected</x:v>
      </x:c>
      <x:c r="B45" s="8" t="n">
        <x:f>'Evaluation Plan'!B45</x:f>
        <x:v>43</x:v>
      </x:c>
      <x:c r="C45" s="7" t="str">
        <x:f>'Evaluation Plan'!C45</x:f>
        <x:v>Move the juggling ball off the table and into the bowl.</x:v>
      </x:c>
      <x:c r="D45" s="7" t="str">
        <x:f>'Evaluation Plan'!D45</x:f>
        <x:v>Bowl: empty. Table, robot-left→robot-right: P1 crushed Pepsi can; P2 juggling ball. Adjacent centers 8 cm apart; row shifted 4 cm away from the robot; all objects fully visible and grasp paths clear.</x:v>
      </x:c>
      <x:c r="E45" s="8" t="n">
        <x:f>IF(ISBLANK('Evaluation Plan'!E45),"",'Evaluation Plan'!E45)</x:f>
        <x:v>41</x:v>
      </x:c>
      <x:c r="F45" s="8" t="str">
        <x:f>'Evaluation Plan'!F45</x:f>
        <x:v>1102</x:v>
      </x:c>
      <x:c r="G45" s="8" t="str">
        <x:f>'Evaluation Plan'!G45</x:f>
        <x:v>MOVE juggling ball to bowl</x:v>
      </x:c>
      <x:c r="H45" s="7"/>
      <x:c r="I45" s="8" t="str">
        <x:f>'Evaluation Plan'!I45</x:f>
        <x:v>Language robustness</x:v>
      </x:c>
      <x:c r="J45" s="8" t="str">
        <x:f>'Evaluation Plan'!J45</x:f>
        <x:v>SZ-CT-SJ03</x:v>
      </x:c>
      <x:c r="K45" s="8" t="str">
        <x:f>'Evaluation Plan'!K45</x:f>
        <x:v>Direct</x:v>
      </x:c>
      <x:c r="L45" s="8" t="str">
        <x:f>'Evaluation Plan'!L45</x:f>
        <x:v>Matched-control direct prompt paraphrase</x:v>
      </x:c>
      <x:c r="M45" s="8" t="str">
        <x:f>'Evaluation Plan'!M45</x:f>
        <x:v>juggling ball</x:v>
      </x:c>
      <x:c r="N45" s="8" t="str">
        <x:f>'Evaluation Plan'!N45</x:f>
        <x:v>Right</x:v>
      </x:c>
      <x:c r="O45" s="8" t="n">
        <x:f>'Evaluation Plan'!O45</x:f>
        <x:v>2</x:v>
      </x:c>
      <x:c r="P45" s="8" t="n">
        <x:f>IF(ISBLANK('Evaluation Plan'!P45),"",'Evaluation Plan'!P45)</x:f>
        <x:v>8</x:v>
      </x:c>
      <x:c r="Q45" s="8" t="str">
        <x:f>'Evaluation Plan'!Q45</x:f>
        <x:v>Reset the target; preserve the exact scene and paraphrase only the matched-control prompt.</x:v>
      </x:c>
      <x:c r="R45" s="7" t="str">
        <x:f>'Evaluation Plan'!R45</x:f>
        <x:v>Exact-scene paraphrase of the direct manipulation control.</x:v>
      </x:c>
      <x:c r="S45" s="7" t="str">
        <x:f>IF(ISBLANK('Evaluation Plan'!S45),"",'Evaluation Plan'!S45)</x:f>
      </x:c>
    </x:row>
    <x:row r="46" ht="68" customHeight="1">
      <x:c r="A46" s="9" t="str">
        <x:v>Not collected</x:v>
      </x:c>
      <x:c r="B46" s="9" t="n">
        <x:f>'Evaluation Plan'!B46</x:f>
        <x:v>44</x:v>
      </x:c>
      <x:c r="C46" s="10" t="str">
        <x:f>'Evaluation Plan'!C46</x:f>
        <x:v>Move the object that is largest into the bowl.</x:v>
      </x:c>
      <x:c r="D46" s="10" t="str">
        <x:f>'Evaluation Plan'!D46</x:f>
        <x:v>Bowl: empty. Table, robot-left→robot-right: P1 red pencil sharpener; P2 green block. Adjacent centers 8 cm apart; row shifted 4 cm toward the robot; all objects fully visible and grasp paths clear.</x:v>
      </x:c>
      <x:c r="E46" s="9" t="str">
        <x:f>IF(ISBLANK('Evaluation Plan'!E46),"",'Evaluation Plan'!E46)</x:f>
      </x:c>
      <x:c r="F46" s="9" t="str">
        <x:f>'Evaluation Plan'!F46</x:f>
        <x:v>1083</x:v>
      </x:c>
      <x:c r="G46" s="9" t="str">
        <x:f>'Evaluation Plan'!G46</x:f>
        <x:v>MOVE green block to bowl</x:v>
      </x:c>
      <x:c r="H46" s="10"/>
      <x:c r="I46" s="9" t="str">
        <x:f>'Evaluation Plan'!I46</x:f>
        <x:v>Concept/compositional transfer</x:v>
      </x:c>
      <x:c r="J46" s="9" t="str">
        <x:f>'Evaluation Plan'!J46</x:f>
        <x:v>SZ-CT-LG04</x:v>
      </x:c>
      <x:c r="K46" s="9" t="str">
        <x:f>'Evaluation Plan'!K46</x:f>
        <x:v>largest</x:v>
      </x:c>
      <x:c r="L46" s="9" t="str">
        <x:f>'Evaluation Plan'!L46</x:f>
        <x:v>Held-out largest × green block — Move</x:v>
      </x:c>
      <x:c r="M46" s="9" t="str">
        <x:f>'Evaluation Plan'!M46</x:f>
        <x:v>green block</x:v>
      </x:c>
      <x:c r="N46" s="9" t="str">
        <x:f>'Evaluation Plan'!N46</x:f>
        <x:v>Right</x:v>
      </x:c>
      <x:c r="O46" s="9" t="n">
        <x:f>'Evaluation Plan'!O46</x:f>
        <x:v>2</x:v>
      </x:c>
      <x:c r="P46" s="9" t="n">
        <x:f>IF(ISBLANK('Evaluation Plan'!P46),"",'Evaluation Plan'!P46)</x:f>
        <x:v>8</x:v>
      </x:c>
      <x:c r="Q46" s="9" t="str">
        <x:f>'Evaluation Plan'!Q46</x:f>
        <x:v>Build the listed two-object scene and save a first-frame filename.</x:v>
      </x:c>
      <x:c r="R46" s="10" t="str">
        <x:f>'Evaluation Plan'!R46</x:f>
        <x:v>Primary missing cell. Training episode 1083 contains the same target trajectory but masks the size word with a direct identity prompt.</x:v>
      </x:c>
      <x:c r="S46" s="10" t="str">
        <x:f>IF(ISBLANK('Evaluation Plan'!S46),"",'Evaluation Plan'!S46)</x:f>
      </x:c>
    </x:row>
    <x:row r="47" ht="68" customHeight="1">
      <x:c r="A47" s="8" t="str">
        <x:v>Not collected</x:v>
      </x:c>
      <x:c r="B47" s="8" t="n">
        <x:f>'Evaluation Plan'!B47</x:f>
        <x:v>45</x:v>
      </x:c>
      <x:c r="C47" s="7" t="str">
        <x:f>'Evaluation Plan'!C47</x:f>
        <x:v>Put the green block in the bowl.</x:v>
      </x:c>
      <x:c r="D47" s="7" t="str">
        <x:f>'Evaluation Plan'!D47</x:f>
        <x:v>Bowl: empty. Table, robot-left→robot-right: P1 red pencil sharpener; P2 green block. Adjacent centers 8 cm apart; row shifted 4 cm toward the robot; all objects fully visible and grasp paths clear.</x:v>
      </x:c>
      <x:c r="E47" s="8" t="n">
        <x:f>IF(ISBLANK('Evaluation Plan'!E47),"",'Evaluation Plan'!E47)</x:f>
        <x:v>44</x:v>
      </x:c>
      <x:c r="F47" s="8" t="str">
        <x:f>'Evaluation Plan'!F47</x:f>
        <x:v>1078</x:v>
      </x:c>
      <x:c r="G47" s="8" t="str">
        <x:f>'Evaluation Plan'!G47</x:f>
        <x:v>MOVE green block to bowl</x:v>
      </x:c>
      <x:c r="H47" s="7"/>
      <x:c r="I47" s="8" t="str">
        <x:f>'Evaluation Plan'!I47</x:f>
        <x:v>Matched manipulation control</x:v>
      </x:c>
      <x:c r="J47" s="8" t="str">
        <x:f>'Evaluation Plan'!J47</x:f>
        <x:v>SZ-CT-LG04</x:v>
      </x:c>
      <x:c r="K47" s="8" t="str">
        <x:f>'Evaluation Plan'!K47</x:f>
        <x:v>Direct</x:v>
      </x:c>
      <x:c r="L47" s="8" t="str">
        <x:f>'Evaluation Plan'!L47</x:f>
        <x:v>Same-scene direct target control</x:v>
      </x:c>
      <x:c r="M47" s="8" t="str">
        <x:f>'Evaluation Plan'!M47</x:f>
        <x:v>green block</x:v>
      </x:c>
      <x:c r="N47" s="8" t="str">
        <x:f>'Evaluation Plan'!N47</x:f>
        <x:v>Right</x:v>
      </x:c>
      <x:c r="O47" s="8" t="n">
        <x:f>'Evaluation Plan'!O47</x:f>
        <x:v>2</x:v>
      </x:c>
      <x:c r="P47" s="8" t="n">
        <x:f>IF(ISBLANK('Evaluation Plan'!P47),"",'Evaluation Plan'!P47)</x:f>
        <x:v>8</x:v>
      </x:c>
      <x:c r="Q47" s="8" t="str">
        <x:f>'Evaluation Plan'!Q47</x:f>
        <x:v>Reset the target to its original pose; change only the prompt.</x:v>
      </x:c>
      <x:c r="R47" s="7" t="str">
        <x:f>'Evaluation Plan'!R47</x:f>
        <x:v>Exact-scene control using a direct prompt supported by training episode 1078.</x:v>
      </x:c>
      <x:c r="S47" s="7" t="str">
        <x:f>IF(ISBLANK('Evaluation Plan'!S47),"",'Evaluation Plan'!S47)</x:f>
      </x:c>
    </x:row>
    <x:row r="48" ht="68" customHeight="1">
      <x:c r="A48" s="8" t="str">
        <x:v>Not collected</x:v>
      </x:c>
      <x:c r="B48" s="8" t="n">
        <x:f>'Evaluation Plan'!B48</x:f>
        <x:v>46</x:v>
      </x:c>
      <x:c r="C48" s="7" t="str">
        <x:f>'Evaluation Plan'!C48</x:f>
        <x:v>Find the greatest-sized item and move it to the bowl.</x:v>
      </x:c>
      <x:c r="D48" s="7" t="str">
        <x:f>'Evaluation Plan'!D48</x:f>
        <x:v>Bowl: empty. Table, robot-left→robot-right: P1 red pencil sharpener; P2 green block. Adjacent centers 8 cm apart; row shifted 4 cm toward the robot; all objects fully visible and grasp paths clear.</x:v>
      </x:c>
      <x:c r="E48" s="8" t="n">
        <x:f>IF(ISBLANK('Evaluation Plan'!E48),"",'Evaluation Plan'!E48)</x:f>
        <x:v>44</x:v>
      </x:c>
      <x:c r="F48" s="8" t="str">
        <x:f>'Evaluation Plan'!F48</x:f>
        <x:v>1083</x:v>
      </x:c>
      <x:c r="G48" s="8" t="str">
        <x:f>'Evaluation Plan'!G48</x:f>
        <x:v>MOVE green block to bowl</x:v>
      </x:c>
      <x:c r="H48" s="7"/>
      <x:c r="I48" s="8" t="str">
        <x:f>'Evaluation Plan'!I48</x:f>
        <x:v>Language robustness</x:v>
      </x:c>
      <x:c r="J48" s="8" t="str">
        <x:f>'Evaluation Plan'!J48</x:f>
        <x:v>SZ-CT-LG04</x:v>
      </x:c>
      <x:c r="K48" s="8" t="str">
        <x:f>'Evaluation Plan'!K48</x:f>
        <x:v>largest</x:v>
      </x:c>
      <x:c r="L48" s="8" t="str">
        <x:f>'Evaluation Plan'!L48</x:f>
        <x:v>Primary compositional-transfer prompt paraphrase</x:v>
      </x:c>
      <x:c r="M48" s="8" t="str">
        <x:f>'Evaluation Plan'!M48</x:f>
        <x:v>green block</x:v>
      </x:c>
      <x:c r="N48" s="8" t="str">
        <x:f>'Evaluation Plan'!N48</x:f>
        <x:v>Right</x:v>
      </x:c>
      <x:c r="O48" s="8" t="n">
        <x:f>'Evaluation Plan'!O48</x:f>
        <x:v>2</x:v>
      </x:c>
      <x:c r="P48" s="8" t="n">
        <x:f>IF(ISBLANK('Evaluation Plan'!P48),"",'Evaluation Plan'!P48)</x:f>
        <x:v>8</x:v>
      </x:c>
      <x:c r="Q48" s="8" t="str">
        <x:f>'Evaluation Plan'!Q48</x:f>
        <x:v>Reset the target; preserve the exact scene and paraphrase only the transfer prompt.</x:v>
      </x:c>
      <x:c r="R48" s="7" t="str">
        <x:f>'Evaluation Plan'!R48</x:f>
        <x:v>Exact-scene paraphrase of the primary transfer instruction.</x:v>
      </x:c>
      <x:c r="S48" s="7" t="str">
        <x:f>IF(ISBLANK('Evaluation Plan'!S48),"",'Evaluation Plan'!S48)</x:f>
      </x:c>
    </x:row>
    <x:row r="49" ht="68" customHeight="1">
      <x:c r="A49" s="8" t="str">
        <x:v>Not collected</x:v>
      </x:c>
      <x:c r="B49" s="8" t="n">
        <x:f>'Evaluation Plan'!B49</x:f>
        <x:v>47</x:v>
      </x:c>
      <x:c r="C49" s="7" t="str">
        <x:f>'Evaluation Plan'!C49</x:f>
        <x:v>Place the table's green block inside the bowl.</x:v>
      </x:c>
      <x:c r="D49" s="7" t="str">
        <x:f>'Evaluation Plan'!D49</x:f>
        <x:v>Bowl: empty. Table, robot-left→robot-right: P1 red pencil sharpener; P2 green block. Adjacent centers 8 cm apart; row shifted 4 cm toward the robot; all objects fully visible and grasp paths clear.</x:v>
      </x:c>
      <x:c r="E49" s="8" t="n">
        <x:f>IF(ISBLANK('Evaluation Plan'!E49),"",'Evaluation Plan'!E49)</x:f>
        <x:v>45</x:v>
      </x:c>
      <x:c r="F49" s="8" t="str">
        <x:f>'Evaluation Plan'!F49</x:f>
        <x:v>1078</x:v>
      </x:c>
      <x:c r="G49" s="8" t="str">
        <x:f>'Evaluation Plan'!G49</x:f>
        <x:v>MOVE green block to bowl</x:v>
      </x:c>
      <x:c r="H49" s="7"/>
      <x:c r="I49" s="8" t="str">
        <x:f>'Evaluation Plan'!I49</x:f>
        <x:v>Language robustness</x:v>
      </x:c>
      <x:c r="J49" s="8" t="str">
        <x:f>'Evaluation Plan'!J49</x:f>
        <x:v>SZ-CT-LG04</x:v>
      </x:c>
      <x:c r="K49" s="8" t="str">
        <x:f>'Evaluation Plan'!K49</x:f>
        <x:v>Direct</x:v>
      </x:c>
      <x:c r="L49" s="8" t="str">
        <x:f>'Evaluation Plan'!L49</x:f>
        <x:v>Matched-control direct prompt paraphrase</x:v>
      </x:c>
      <x:c r="M49" s="8" t="str">
        <x:f>'Evaluation Plan'!M49</x:f>
        <x:v>green block</x:v>
      </x:c>
      <x:c r="N49" s="8" t="str">
        <x:f>'Evaluation Plan'!N49</x:f>
        <x:v>Right</x:v>
      </x:c>
      <x:c r="O49" s="8" t="n">
        <x:f>'Evaluation Plan'!O49</x:f>
        <x:v>2</x:v>
      </x:c>
      <x:c r="P49" s="8" t="n">
        <x:f>IF(ISBLANK('Evaluation Plan'!P49),"",'Evaluation Plan'!P49)</x:f>
        <x:v>8</x:v>
      </x:c>
      <x:c r="Q49" s="8" t="str">
        <x:f>'Evaluation Plan'!Q49</x:f>
        <x:v>Reset the target; preserve the exact scene and paraphrase only the matched-control prompt.</x:v>
      </x:c>
      <x:c r="R49" s="7" t="str">
        <x:f>'Evaluation Plan'!R49</x:f>
        <x:v>Exact-scene paraphrase of the direct manipulation control.</x:v>
      </x:c>
      <x:c r="S49" s="7" t="str">
        <x:f>IF(ISBLANK('Evaluation Plan'!S49),"",'Evaluation Plan'!S49)</x:f>
      </x:c>
    </x:row>
    <x:row r="50" ht="68" customHeight="1">
      <x:c r="A50" s="9" t="str">
        <x:v>Not collected</x:v>
      </x:c>
      <x:c r="B50" s="9" t="n">
        <x:f>'Evaluation Plan'!B50</x:f>
        <x:v>48</x:v>
      </x:c>
      <x:c r="C50" s="10" t="str">
        <x:f>'Evaluation Plan'!C50</x:f>
        <x:v>Pick up the smallest item and place it in the bowl.</x:v>
      </x:c>
      <x:c r="D50" s="10" t="str">
        <x:f>'Evaluation Plan'!D50</x:f>
        <x:v>Bowl: empty. Table, robot-left→robot-right: P1 juggling ball; P2 crushed Pepsi can. Adjacent centers 12 cm apart; row centered on the workspace; all objects fully visible and grasp paths clear.</x:v>
      </x:c>
      <x:c r="E50" s="9" t="str">
        <x:f>IF(ISBLANK('Evaluation Plan'!E50),"",'Evaluation Plan'!E50)</x:f>
      </x:c>
      <x:c r="F50" s="9" t="str">
        <x:f>'Evaluation Plan'!F50</x:f>
        <x:v>1108</x:v>
      </x:c>
      <x:c r="G50" s="9" t="str">
        <x:f>'Evaluation Plan'!G50</x:f>
        <x:v>MOVE juggling ball to bowl</x:v>
      </x:c>
      <x:c r="H50" s="10"/>
      <x:c r="I50" s="9" t="str">
        <x:f>'Evaluation Plan'!I50</x:f>
        <x:v>Concept/compositional transfer</x:v>
      </x:c>
      <x:c r="J50" s="9" t="str">
        <x:f>'Evaluation Plan'!J50</x:f>
        <x:v>SZ-CT-SJ04</x:v>
      </x:c>
      <x:c r="K50" s="9" t="str">
        <x:f>'Evaluation Plan'!K50</x:f>
        <x:v>smallest</x:v>
      </x:c>
      <x:c r="L50" s="9" t="str">
        <x:f>'Evaluation Plan'!L50</x:f>
        <x:v>Held-out smallest × juggling ball — Pick up</x:v>
      </x:c>
      <x:c r="M50" s="9" t="str">
        <x:f>'Evaluation Plan'!M50</x:f>
        <x:v>juggling ball</x:v>
      </x:c>
      <x:c r="N50" s="9" t="str">
        <x:f>'Evaluation Plan'!N50</x:f>
        <x:v>Left</x:v>
      </x:c>
      <x:c r="O50" s="9" t="n">
        <x:f>'Evaluation Plan'!O50</x:f>
        <x:v>2</x:v>
      </x:c>
      <x:c r="P50" s="9" t="n">
        <x:f>IF(ISBLANK('Evaluation Plan'!P50),"",'Evaluation Plan'!P50)</x:f>
        <x:v>12</x:v>
      </x:c>
      <x:c r="Q50" s="9" t="str">
        <x:f>'Evaluation Plan'!Q50</x:f>
        <x:v>Build the listed two-object scene and save a first-frame filename.</x:v>
      </x:c>
      <x:c r="R50" s="10" t="str">
        <x:f>'Evaluation Plan'!R50</x:f>
        <x:v>Primary missing cell. Training episode 1108 contains the same target trajectory but masks the size word with a direct identity prompt.</x:v>
      </x:c>
      <x:c r="S50" s="10" t="str">
        <x:f>IF(ISBLANK('Evaluation Plan'!S50),"",'Evaluation Plan'!S50)</x:f>
      </x:c>
    </x:row>
    <x:row r="51" ht="68" customHeight="1">
      <x:c r="A51" s="8" t="str">
        <x:v>Not collected</x:v>
      </x:c>
      <x:c r="B51" s="8" t="n">
        <x:f>'Evaluation Plan'!B51</x:f>
        <x:v>49</x:v>
      </x:c>
      <x:c r="C51" s="7" t="str">
        <x:f>'Evaluation Plan'!C51</x:f>
        <x:v>Put the juggling ball in the bowl.</x:v>
      </x:c>
      <x:c r="D51" s="7" t="str">
        <x:f>'Evaluation Plan'!D51</x:f>
        <x:v>Bowl: empty. Table, robot-left→robot-right: P1 juggling ball; P2 crushed Pepsi can. Adjacent centers 12 cm apart; row centered on the workspace; all objects fully visible and grasp paths clear.</x:v>
      </x:c>
      <x:c r="E51" s="8" t="n">
        <x:f>IF(ISBLANK('Evaluation Plan'!E51),"",'Evaluation Plan'!E51)</x:f>
        <x:v>48</x:v>
      </x:c>
      <x:c r="F51" s="8" t="str">
        <x:f>'Evaluation Plan'!F51</x:f>
        <x:v>1103</x:v>
      </x:c>
      <x:c r="G51" s="8" t="str">
        <x:f>'Evaluation Plan'!G51</x:f>
        <x:v>MOVE juggling ball to bowl</x:v>
      </x:c>
      <x:c r="H51" s="7"/>
      <x:c r="I51" s="8" t="str">
        <x:f>'Evaluation Plan'!I51</x:f>
        <x:v>Matched manipulation control</x:v>
      </x:c>
      <x:c r="J51" s="8" t="str">
        <x:f>'Evaluation Plan'!J51</x:f>
        <x:v>SZ-CT-SJ04</x:v>
      </x:c>
      <x:c r="K51" s="8" t="str">
        <x:f>'Evaluation Plan'!K51</x:f>
        <x:v>Direct</x:v>
      </x:c>
      <x:c r="L51" s="8" t="str">
        <x:f>'Evaluation Plan'!L51</x:f>
        <x:v>Same-scene direct target control</x:v>
      </x:c>
      <x:c r="M51" s="8" t="str">
        <x:f>'Evaluation Plan'!M51</x:f>
        <x:v>juggling ball</x:v>
      </x:c>
      <x:c r="N51" s="8" t="str">
        <x:f>'Evaluation Plan'!N51</x:f>
        <x:v>Left</x:v>
      </x:c>
      <x:c r="O51" s="8" t="n">
        <x:f>'Evaluation Plan'!O51</x:f>
        <x:v>2</x:v>
      </x:c>
      <x:c r="P51" s="8" t="n">
        <x:f>IF(ISBLANK('Evaluation Plan'!P51),"",'Evaluation Plan'!P51)</x:f>
        <x:v>12</x:v>
      </x:c>
      <x:c r="Q51" s="8" t="str">
        <x:f>'Evaluation Plan'!Q51</x:f>
        <x:v>Reset the target to its original pose; change only the prompt.</x:v>
      </x:c>
      <x:c r="R51" s="7" t="str">
        <x:f>'Evaluation Plan'!R51</x:f>
        <x:v>Exact-scene control using a direct prompt supported by training episode 1103.</x:v>
      </x:c>
      <x:c r="S51" s="7" t="str">
        <x:f>IF(ISBLANK('Evaluation Plan'!S51),"",'Evaluation Plan'!S51)</x:f>
      </x:c>
    </x:row>
    <x:row r="52" ht="68" customHeight="1">
      <x:c r="A52" s="8" t="str">
        <x:v>Not collected</x:v>
      </x:c>
      <x:c r="B52" s="8" t="n">
        <x:f>'Evaluation Plan'!B52</x:f>
        <x:v>50</x:v>
      </x:c>
      <x:c r="C52" s="7" t="str">
        <x:f>'Evaluation Plan'!C52</x:f>
        <x:v>Find the least-sized item and move it to the bowl.</x:v>
      </x:c>
      <x:c r="D52" s="7" t="str">
        <x:f>'Evaluation Plan'!D52</x:f>
        <x:v>Bowl: empty. Table, robot-left→robot-right: P1 juggling ball; P2 crushed Pepsi can. Adjacent centers 12 cm apart; row centered on the workspace; all objects fully visible and grasp paths clear.</x:v>
      </x:c>
      <x:c r="E52" s="8" t="n">
        <x:f>IF(ISBLANK('Evaluation Plan'!E52),"",'Evaluation Plan'!E52)</x:f>
        <x:v>48</x:v>
      </x:c>
      <x:c r="F52" s="8" t="str">
        <x:f>'Evaluation Plan'!F52</x:f>
        <x:v>1108</x:v>
      </x:c>
      <x:c r="G52" s="8" t="str">
        <x:f>'Evaluation Plan'!G52</x:f>
        <x:v>MOVE juggling ball to bowl</x:v>
      </x:c>
      <x:c r="H52" s="7"/>
      <x:c r="I52" s="8" t="str">
        <x:f>'Evaluation Plan'!I52</x:f>
        <x:v>Language robustness</x:v>
      </x:c>
      <x:c r="J52" s="8" t="str">
        <x:f>'Evaluation Plan'!J52</x:f>
        <x:v>SZ-CT-SJ04</x:v>
      </x:c>
      <x:c r="K52" s="8" t="str">
        <x:f>'Evaluation Plan'!K52</x:f>
        <x:v>smallest</x:v>
      </x:c>
      <x:c r="L52" s="8" t="str">
        <x:f>'Evaluation Plan'!L52</x:f>
        <x:v>Primary compositional-transfer prompt paraphrase</x:v>
      </x:c>
      <x:c r="M52" s="8" t="str">
        <x:f>'Evaluation Plan'!M52</x:f>
        <x:v>juggling ball</x:v>
      </x:c>
      <x:c r="N52" s="8" t="str">
        <x:f>'Evaluation Plan'!N52</x:f>
        <x:v>Left</x:v>
      </x:c>
      <x:c r="O52" s="8" t="n">
        <x:f>'Evaluation Plan'!O52</x:f>
        <x:v>2</x:v>
      </x:c>
      <x:c r="P52" s="8" t="n">
        <x:f>IF(ISBLANK('Evaluation Plan'!P52),"",'Evaluation Plan'!P52)</x:f>
        <x:v>12</x:v>
      </x:c>
      <x:c r="Q52" s="8" t="str">
        <x:f>'Evaluation Plan'!Q52</x:f>
        <x:v>Reset the target; preserve the exact scene and paraphrase only the transfer prompt.</x:v>
      </x:c>
      <x:c r="R52" s="7" t="str">
        <x:f>'Evaluation Plan'!R52</x:f>
        <x:v>Exact-scene paraphrase of the primary transfer instruction.</x:v>
      </x:c>
      <x:c r="S52" s="7" t="str">
        <x:f>IF(ISBLANK('Evaluation Plan'!S52),"",'Evaluation Plan'!S52)</x:f>
      </x:c>
    </x:row>
    <x:row r="53" ht="68" customHeight="1">
      <x:c r="A53" s="8" t="str">
        <x:v>Not collected</x:v>
      </x:c>
      <x:c r="B53" s="8" t="n">
        <x:f>'Evaluation Plan'!B53</x:f>
        <x:v>51</x:v>
      </x:c>
      <x:c r="C53" s="7" t="str">
        <x:f>'Evaluation Plan'!C53</x:f>
        <x:v>Place the table's juggling ball inside the bowl.</x:v>
      </x:c>
      <x:c r="D53" s="7" t="str">
        <x:f>'Evaluation Plan'!D53</x:f>
        <x:v>Bowl: empty. Table, robot-left→robot-right: P1 juggling ball; P2 crushed Pepsi can. Adjacent centers 12 cm apart; row centered on the workspace; all objects fully visible and grasp paths clear.</x:v>
      </x:c>
      <x:c r="E53" s="8" t="n">
        <x:f>IF(ISBLANK('Evaluation Plan'!E53),"",'Evaluation Plan'!E53)</x:f>
        <x:v>49</x:v>
      </x:c>
      <x:c r="F53" s="8" t="str">
        <x:f>'Evaluation Plan'!F53</x:f>
        <x:v>1103</x:v>
      </x:c>
      <x:c r="G53" s="8" t="str">
        <x:f>'Evaluation Plan'!G53</x:f>
        <x:v>MOVE juggling ball to bowl</x:v>
      </x:c>
      <x:c r="H53" s="7"/>
      <x:c r="I53" s="8" t="str">
        <x:f>'Evaluation Plan'!I53</x:f>
        <x:v>Language robustness</x:v>
      </x:c>
      <x:c r="J53" s="8" t="str">
        <x:f>'Evaluation Plan'!J53</x:f>
        <x:v>SZ-CT-SJ04</x:v>
      </x:c>
      <x:c r="K53" s="8" t="str">
        <x:f>'Evaluation Plan'!K53</x:f>
        <x:v>Direct</x:v>
      </x:c>
      <x:c r="L53" s="8" t="str">
        <x:f>'Evaluation Plan'!L53</x:f>
        <x:v>Matched-control direct prompt paraphrase</x:v>
      </x:c>
      <x:c r="M53" s="8" t="str">
        <x:f>'Evaluation Plan'!M53</x:f>
        <x:v>juggling ball</x:v>
      </x:c>
      <x:c r="N53" s="8" t="str">
        <x:f>'Evaluation Plan'!N53</x:f>
        <x:v>Left</x:v>
      </x:c>
      <x:c r="O53" s="8" t="n">
        <x:f>'Evaluation Plan'!O53</x:f>
        <x:v>2</x:v>
      </x:c>
      <x:c r="P53" s="8" t="n">
        <x:f>IF(ISBLANK('Evaluation Plan'!P53),"",'Evaluation Plan'!P53)</x:f>
        <x:v>12</x:v>
      </x:c>
      <x:c r="Q53" s="8" t="str">
        <x:f>'Evaluation Plan'!Q53</x:f>
        <x:v>Reset the target; preserve the exact scene and paraphrase only the matched-control prompt.</x:v>
      </x:c>
      <x:c r="R53" s="7" t="str">
        <x:f>'Evaluation Plan'!R53</x:f>
        <x:v>Exact-scene paraphrase of the direct manipulation control.</x:v>
      </x:c>
      <x:c r="S53" s="7" t="str">
        <x:f>IF(ISBLANK('Evaluation Plan'!S53),"",'Evaluation Plan'!S53)</x:f>
      </x:c>
    </x:row>
    <x:row r="54" ht="68" customHeight="1">
      <x:c r="A54" s="9" t="str">
        <x:v>Not collected</x:v>
      </x:c>
      <x:c r="B54" s="9" t="n">
        <x:f>'Evaluation Plan'!B54</x:f>
        <x:v>52</x:v>
      </x:c>
      <x:c r="C54" s="10" t="str">
        <x:f>'Evaluation Plan'!C54</x:f>
        <x:v>Pick up the largest item and place it in the bowl.</x:v>
      </x:c>
      <x:c r="D54" s="10" t="str">
        <x:f>'Evaluation Plan'!D54</x:f>
        <x:v>Bowl: empty. Table, robot-left→robot-right: P1 green block; P2 red pencil sharpener. Adjacent centers 12 cm apart; row shifted 4 cm away from the robot; all objects fully visible and grasp paths clear.</x:v>
      </x:c>
      <x:c r="E54" s="9" t="str">
        <x:f>IF(ISBLANK('Evaluation Plan'!E54),"",'Evaluation Plan'!E54)</x:f>
      </x:c>
      <x:c r="F54" s="9" t="str">
        <x:f>'Evaluation Plan'!F54</x:f>
        <x:v>1084</x:v>
      </x:c>
      <x:c r="G54" s="9" t="str">
        <x:f>'Evaluation Plan'!G54</x:f>
        <x:v>MOVE green block to bowl</x:v>
      </x:c>
      <x:c r="H54" s="10"/>
      <x:c r="I54" s="9" t="str">
        <x:f>'Evaluation Plan'!I54</x:f>
        <x:v>Concept/compositional transfer</x:v>
      </x:c>
      <x:c r="J54" s="9" t="str">
        <x:f>'Evaluation Plan'!J54</x:f>
        <x:v>SZ-CT-LG05</x:v>
      </x:c>
      <x:c r="K54" s="9" t="str">
        <x:f>'Evaluation Plan'!K54</x:f>
        <x:v>largest</x:v>
      </x:c>
      <x:c r="L54" s="9" t="str">
        <x:f>'Evaluation Plan'!L54</x:f>
        <x:v>Held-out largest × green block — Pick up</x:v>
      </x:c>
      <x:c r="M54" s="9" t="str">
        <x:f>'Evaluation Plan'!M54</x:f>
        <x:v>green block</x:v>
      </x:c>
      <x:c r="N54" s="9" t="str">
        <x:f>'Evaluation Plan'!N54</x:f>
        <x:v>Left</x:v>
      </x:c>
      <x:c r="O54" s="9" t="n">
        <x:f>'Evaluation Plan'!O54</x:f>
        <x:v>2</x:v>
      </x:c>
      <x:c r="P54" s="9" t="n">
        <x:f>IF(ISBLANK('Evaluation Plan'!P54),"",'Evaluation Plan'!P54)</x:f>
        <x:v>12</x:v>
      </x:c>
      <x:c r="Q54" s="9" t="str">
        <x:f>'Evaluation Plan'!Q54</x:f>
        <x:v>Build the listed two-object scene and save a first-frame filename.</x:v>
      </x:c>
      <x:c r="R54" s="10" t="str">
        <x:f>'Evaluation Plan'!R54</x:f>
        <x:v>Primary missing cell. Training episode 1084 contains the same target trajectory but masks the size word with a direct identity prompt.</x:v>
      </x:c>
      <x:c r="S54" s="10" t="str">
        <x:f>IF(ISBLANK('Evaluation Plan'!S54),"",'Evaluation Plan'!S54)</x:f>
      </x:c>
    </x:row>
    <x:row r="55" ht="68" customHeight="1">
      <x:c r="A55" s="8" t="str">
        <x:v>Not collected</x:v>
      </x:c>
      <x:c r="B55" s="8" t="n">
        <x:f>'Evaluation Plan'!B55</x:f>
        <x:v>53</x:v>
      </x:c>
      <x:c r="C55" s="7" t="str">
        <x:f>'Evaluation Plan'!C55</x:f>
        <x:v>Move the green block into the bowl.</x:v>
      </x:c>
      <x:c r="D55" s="7" t="str">
        <x:f>'Evaluation Plan'!D55</x:f>
        <x:v>Bowl: empty. Table, robot-left→robot-right: P1 green block; P2 red pencil sharpener. Adjacent centers 12 cm apart; row shifted 4 cm away from the robot; all objects fully visible and grasp paths clear.</x:v>
      </x:c>
      <x:c r="E55" s="8" t="n">
        <x:f>IF(ISBLANK('Evaluation Plan'!E55),"",'Evaluation Plan'!E55)</x:f>
        <x:v>52</x:v>
      </x:c>
      <x:c r="F55" s="8" t="str">
        <x:f>'Evaluation Plan'!F55</x:f>
        <x:v>1079</x:v>
      </x:c>
      <x:c r="G55" s="8" t="str">
        <x:f>'Evaluation Plan'!G55</x:f>
        <x:v>MOVE green block to bowl</x:v>
      </x:c>
      <x:c r="H55" s="7"/>
      <x:c r="I55" s="8" t="str">
        <x:f>'Evaluation Plan'!I55</x:f>
        <x:v>Matched manipulation control</x:v>
      </x:c>
      <x:c r="J55" s="8" t="str">
        <x:f>'Evaluation Plan'!J55</x:f>
        <x:v>SZ-CT-LG05</x:v>
      </x:c>
      <x:c r="K55" s="8" t="str">
        <x:f>'Evaluation Plan'!K55</x:f>
        <x:v>Direct</x:v>
      </x:c>
      <x:c r="L55" s="8" t="str">
        <x:f>'Evaluation Plan'!L55</x:f>
        <x:v>Same-scene direct target control</x:v>
      </x:c>
      <x:c r="M55" s="8" t="str">
        <x:f>'Evaluation Plan'!M55</x:f>
        <x:v>green block</x:v>
      </x:c>
      <x:c r="N55" s="8" t="str">
        <x:f>'Evaluation Plan'!N55</x:f>
        <x:v>Left</x:v>
      </x:c>
      <x:c r="O55" s="8" t="n">
        <x:f>'Evaluation Plan'!O55</x:f>
        <x:v>2</x:v>
      </x:c>
      <x:c r="P55" s="8" t="n">
        <x:f>IF(ISBLANK('Evaluation Plan'!P55),"",'Evaluation Plan'!P55)</x:f>
        <x:v>12</x:v>
      </x:c>
      <x:c r="Q55" s="8" t="str">
        <x:f>'Evaluation Plan'!Q55</x:f>
        <x:v>Reset the target to its original pose; change only the prompt.</x:v>
      </x:c>
      <x:c r="R55" s="7" t="str">
        <x:f>'Evaluation Plan'!R55</x:f>
        <x:v>Exact-scene control using a direct prompt supported by training episode 1079.</x:v>
      </x:c>
      <x:c r="S55" s="7" t="str">
        <x:f>IF(ISBLANK('Evaluation Plan'!S55),"",'Evaluation Plan'!S55)</x:f>
      </x:c>
    </x:row>
    <x:row r="56" ht="68" customHeight="1">
      <x:c r="A56" s="8" t="str">
        <x:v>Not collected</x:v>
      </x:c>
      <x:c r="B56" s="8" t="n">
        <x:f>'Evaluation Plan'!B56</x:f>
        <x:v>54</x:v>
      </x:c>
      <x:c r="C56" s="7" t="str">
        <x:f>'Evaluation Plan'!C56</x:f>
        <x:v>Move whichever item is larger into the bowl.</x:v>
      </x:c>
      <x:c r="D56" s="7" t="str">
        <x:f>'Evaluation Plan'!D56</x:f>
        <x:v>Bowl: empty. Table, robot-left→robot-right: P1 green block; P2 red pencil sharpener. Adjacent centers 12 cm apart; row shifted 4 cm away from the robot; all objects fully visible and grasp paths clear.</x:v>
      </x:c>
      <x:c r="E56" s="8" t="n">
        <x:f>IF(ISBLANK('Evaluation Plan'!E56),"",'Evaluation Plan'!E56)</x:f>
        <x:v>52</x:v>
      </x:c>
      <x:c r="F56" s="8" t="str">
        <x:f>'Evaluation Plan'!F56</x:f>
        <x:v>1084</x:v>
      </x:c>
      <x:c r="G56" s="8" t="str">
        <x:f>'Evaluation Plan'!G56</x:f>
        <x:v>MOVE green block to bowl</x:v>
      </x:c>
      <x:c r="H56" s="7"/>
      <x:c r="I56" s="8" t="str">
        <x:f>'Evaluation Plan'!I56</x:f>
        <x:v>Language robustness</x:v>
      </x:c>
      <x:c r="J56" s="8" t="str">
        <x:f>'Evaluation Plan'!J56</x:f>
        <x:v>SZ-CT-LG05</x:v>
      </x:c>
      <x:c r="K56" s="8" t="str">
        <x:f>'Evaluation Plan'!K56</x:f>
        <x:v>largest</x:v>
      </x:c>
      <x:c r="L56" s="8" t="str">
        <x:f>'Evaluation Plan'!L56</x:f>
        <x:v>Primary compositional-transfer prompt paraphrase</x:v>
      </x:c>
      <x:c r="M56" s="8" t="str">
        <x:f>'Evaluation Plan'!M56</x:f>
        <x:v>green block</x:v>
      </x:c>
      <x:c r="N56" s="8" t="str">
        <x:f>'Evaluation Plan'!N56</x:f>
        <x:v>Left</x:v>
      </x:c>
      <x:c r="O56" s="8" t="n">
        <x:f>'Evaluation Plan'!O56</x:f>
        <x:v>2</x:v>
      </x:c>
      <x:c r="P56" s="8" t="n">
        <x:f>IF(ISBLANK('Evaluation Plan'!P56),"",'Evaluation Plan'!P56)</x:f>
        <x:v>12</x:v>
      </x:c>
      <x:c r="Q56" s="8" t="str">
        <x:f>'Evaluation Plan'!Q56</x:f>
        <x:v>Reset the target; preserve the exact scene and paraphrase only the transfer prompt.</x:v>
      </x:c>
      <x:c r="R56" s="7" t="str">
        <x:f>'Evaluation Plan'!R56</x:f>
        <x:v>Exact-scene paraphrase of the primary transfer instruction.</x:v>
      </x:c>
      <x:c r="S56" s="7" t="str">
        <x:f>IF(ISBLANK('Evaluation Plan'!S56),"",'Evaluation Plan'!S56)</x:f>
      </x:c>
    </x:row>
    <x:row r="57" ht="68" customHeight="1">
      <x:c r="A57" s="8" t="str">
        <x:v>Not collected</x:v>
      </x:c>
      <x:c r="B57" s="8" t="n">
        <x:f>'Evaluation Plan'!B57</x:f>
        <x:v>55</x:v>
      </x:c>
      <x:c r="C57" s="7" t="str">
        <x:f>'Evaluation Plan'!C57</x:f>
        <x:v>Take the green block from the table and put it in the bowl.</x:v>
      </x:c>
      <x:c r="D57" s="7" t="str">
        <x:f>'Evaluation Plan'!D57</x:f>
        <x:v>Bowl: empty. Table, robot-left→robot-right: P1 green block; P2 red pencil sharpener. Adjacent centers 12 cm apart; row shifted 4 cm away from the robot; all objects fully visible and grasp paths clear.</x:v>
      </x:c>
      <x:c r="E57" s="8" t="n">
        <x:f>IF(ISBLANK('Evaluation Plan'!E57),"",'Evaluation Plan'!E57)</x:f>
        <x:v>53</x:v>
      </x:c>
      <x:c r="F57" s="8" t="str">
        <x:f>'Evaluation Plan'!F57</x:f>
        <x:v>1079</x:v>
      </x:c>
      <x:c r="G57" s="8" t="str">
        <x:f>'Evaluation Plan'!G57</x:f>
        <x:v>MOVE green block to bowl</x:v>
      </x:c>
      <x:c r="H57" s="7"/>
      <x:c r="I57" s="8" t="str">
        <x:f>'Evaluation Plan'!I57</x:f>
        <x:v>Language robustness</x:v>
      </x:c>
      <x:c r="J57" s="8" t="str">
        <x:f>'Evaluation Plan'!J57</x:f>
        <x:v>SZ-CT-LG05</x:v>
      </x:c>
      <x:c r="K57" s="8" t="str">
        <x:f>'Evaluation Plan'!K57</x:f>
        <x:v>Direct</x:v>
      </x:c>
      <x:c r="L57" s="8" t="str">
        <x:f>'Evaluation Plan'!L57</x:f>
        <x:v>Matched-control direct prompt paraphrase</x:v>
      </x:c>
      <x:c r="M57" s="8" t="str">
        <x:f>'Evaluation Plan'!M57</x:f>
        <x:v>green block</x:v>
      </x:c>
      <x:c r="N57" s="8" t="str">
        <x:f>'Evaluation Plan'!N57</x:f>
        <x:v>Left</x:v>
      </x:c>
      <x:c r="O57" s="8" t="n">
        <x:f>'Evaluation Plan'!O57</x:f>
        <x:v>2</x:v>
      </x:c>
      <x:c r="P57" s="8" t="n">
        <x:f>IF(ISBLANK('Evaluation Plan'!P57),"",'Evaluation Plan'!P57)</x:f>
        <x:v>12</x:v>
      </x:c>
      <x:c r="Q57" s="8" t="str">
        <x:f>'Evaluation Plan'!Q57</x:f>
        <x:v>Reset the target; preserve the exact scene and paraphrase only the matched-control prompt.</x:v>
      </x:c>
      <x:c r="R57" s="7" t="str">
        <x:f>'Evaluation Plan'!R57</x:f>
        <x:v>Exact-scene paraphrase of the direct manipulation control.</x:v>
      </x:c>
      <x:c r="S57" s="7" t="str">
        <x:f>IF(ISBLANK('Evaluation Plan'!S57),"",'Evaluation Plan'!S57)</x:f>
      </x:c>
    </x:row>
    <x:row r="58" ht="68" customHeight="1">
      <x:c r="A58" s="9" t="str">
        <x:v>Not collected</x:v>
      </x:c>
      <x:c r="B58" s="9" t="n">
        <x:f>'Evaluation Plan'!B58</x:f>
        <x:v>56</x:v>
      </x:c>
      <x:c r="C58" s="10" t="str">
        <x:f>'Evaluation Plan'!C58</x:f>
        <x:v>Put the smallest object in the bowl.</x:v>
      </x:c>
      <x:c r="D58" s="10" t="str">
        <x:f>'Evaluation Plan'!D58</x:f>
        <x:v>Bowl: empty. Table, robot-left→robot-right: P1 crushed Pepsi can; P2 juggling ball. Adjacent centers 16 cm apart; row shifted 4 cm toward robot-left; all objects fully visible and grasp paths clear.</x:v>
      </x:c>
      <x:c r="E58" s="9" t="str">
        <x:f>IF(ISBLANK('Evaluation Plan'!E58),"",'Evaluation Plan'!E58)</x:f>
      </x:c>
      <x:c r="F58" s="9" t="str">
        <x:f>'Evaluation Plan'!F58</x:f>
        <x:v>1109</x:v>
      </x:c>
      <x:c r="G58" s="9" t="str">
        <x:f>'Evaluation Plan'!G58</x:f>
        <x:v>MOVE juggling ball to bowl</x:v>
      </x:c>
      <x:c r="H58" s="10"/>
      <x:c r="I58" s="9" t="str">
        <x:f>'Evaluation Plan'!I58</x:f>
        <x:v>Concept/compositional transfer</x:v>
      </x:c>
      <x:c r="J58" s="9" t="str">
        <x:f>'Evaluation Plan'!J58</x:f>
        <x:v>SZ-CT-SJ05</x:v>
      </x:c>
      <x:c r="K58" s="9" t="str">
        <x:f>'Evaluation Plan'!K58</x:f>
        <x:v>smallest</x:v>
      </x:c>
      <x:c r="L58" s="9" t="str">
        <x:f>'Evaluation Plan'!L58</x:f>
        <x:v>Held-out smallest × juggling ball — Put</x:v>
      </x:c>
      <x:c r="M58" s="9" t="str">
        <x:f>'Evaluation Plan'!M58</x:f>
        <x:v>juggling ball</x:v>
      </x:c>
      <x:c r="N58" s="9" t="str">
        <x:f>'Evaluation Plan'!N58</x:f>
        <x:v>Right</x:v>
      </x:c>
      <x:c r="O58" s="9" t="n">
        <x:f>'Evaluation Plan'!O58</x:f>
        <x:v>2</x:v>
      </x:c>
      <x:c r="P58" s="9" t="n">
        <x:f>IF(ISBLANK('Evaluation Plan'!P58),"",'Evaluation Plan'!P58)</x:f>
        <x:v>16</x:v>
      </x:c>
      <x:c r="Q58" s="9" t="str">
        <x:f>'Evaluation Plan'!Q58</x:f>
        <x:v>Build the listed two-object scene and save a first-frame filename.</x:v>
      </x:c>
      <x:c r="R58" s="10" t="str">
        <x:f>'Evaluation Plan'!R58</x:f>
        <x:v>Primary missing cell. Training episode 1109 contains the same target trajectory but masks the size word with a direct identity prompt.</x:v>
      </x:c>
      <x:c r="S58" s="10" t="str">
        <x:f>IF(ISBLANK('Evaluation Plan'!S58),"",'Evaluation Plan'!S58)</x:f>
      </x:c>
    </x:row>
    <x:row r="59" ht="68" customHeight="1">
      <x:c r="A59" s="8" t="str">
        <x:v>Not collected</x:v>
      </x:c>
      <x:c r="B59" s="8" t="n">
        <x:f>'Evaluation Plan'!B59</x:f>
        <x:v>57</x:v>
      </x:c>
      <x:c r="C59" s="7" t="str">
        <x:f>'Evaluation Plan'!C59</x:f>
        <x:v>Move the juggling ball into the bowl.</x:v>
      </x:c>
      <x:c r="D59" s="7" t="str">
        <x:f>'Evaluation Plan'!D59</x:f>
        <x:v>Bowl: empty. Table, robot-left→robot-right: P1 crushed Pepsi can; P2 juggling ball. Adjacent centers 16 cm apart; row shifted 4 cm toward robot-left; all objects fully visible and grasp paths clear.</x:v>
      </x:c>
      <x:c r="E59" s="8" t="n">
        <x:f>IF(ISBLANK('Evaluation Plan'!E59),"",'Evaluation Plan'!E59)</x:f>
        <x:v>56</x:v>
      </x:c>
      <x:c r="F59" s="8" t="str">
        <x:f>'Evaluation Plan'!F59</x:f>
        <x:v>1104</x:v>
      </x:c>
      <x:c r="G59" s="8" t="str">
        <x:f>'Evaluation Plan'!G59</x:f>
        <x:v>MOVE juggling ball to bowl</x:v>
      </x:c>
      <x:c r="H59" s="7"/>
      <x:c r="I59" s="8" t="str">
        <x:f>'Evaluation Plan'!I59</x:f>
        <x:v>Matched manipulation control</x:v>
      </x:c>
      <x:c r="J59" s="8" t="str">
        <x:f>'Evaluation Plan'!J59</x:f>
        <x:v>SZ-CT-SJ05</x:v>
      </x:c>
      <x:c r="K59" s="8" t="str">
        <x:f>'Evaluation Plan'!K59</x:f>
        <x:v>Direct</x:v>
      </x:c>
      <x:c r="L59" s="8" t="str">
        <x:f>'Evaluation Plan'!L59</x:f>
        <x:v>Same-scene direct target control</x:v>
      </x:c>
      <x:c r="M59" s="8" t="str">
        <x:f>'Evaluation Plan'!M59</x:f>
        <x:v>juggling ball</x:v>
      </x:c>
      <x:c r="N59" s="8" t="str">
        <x:f>'Evaluation Plan'!N59</x:f>
        <x:v>Right</x:v>
      </x:c>
      <x:c r="O59" s="8" t="n">
        <x:f>'Evaluation Plan'!O59</x:f>
        <x:v>2</x:v>
      </x:c>
      <x:c r="P59" s="8" t="n">
        <x:f>IF(ISBLANK('Evaluation Plan'!P59),"",'Evaluation Plan'!P59)</x:f>
        <x:v>16</x:v>
      </x:c>
      <x:c r="Q59" s="8" t="str">
        <x:f>'Evaluation Plan'!Q59</x:f>
        <x:v>Reset the target to its original pose; change only the prompt.</x:v>
      </x:c>
      <x:c r="R59" s="7" t="str">
        <x:f>'Evaluation Plan'!R59</x:f>
        <x:v>Exact-scene control using a direct prompt supported by training episode 1104.</x:v>
      </x:c>
      <x:c r="S59" s="7" t="str">
        <x:f>IF(ISBLANK('Evaluation Plan'!S59),"",'Evaluation Plan'!S59)</x:f>
      </x:c>
    </x:row>
    <x:row r="60" ht="68" customHeight="1">
      <x:c r="A60" s="8" t="str">
        <x:v>Not collected</x:v>
      </x:c>
      <x:c r="B60" s="8" t="n">
        <x:f>'Evaluation Plan'!B60</x:f>
        <x:v>58</x:v>
      </x:c>
      <x:c r="C60" s="7" t="str">
        <x:f>'Evaluation Plan'!C60</x:f>
        <x:v>Move whichever item is smaller into the bowl.</x:v>
      </x:c>
      <x:c r="D60" s="7" t="str">
        <x:f>'Evaluation Plan'!D60</x:f>
        <x:v>Bowl: empty. Table, robot-left→robot-right: P1 crushed Pepsi can; P2 juggling ball. Adjacent centers 16 cm apart; row shifted 4 cm toward robot-left; all objects fully visible and grasp paths clear.</x:v>
      </x:c>
      <x:c r="E60" s="8" t="n">
        <x:f>IF(ISBLANK('Evaluation Plan'!E60),"",'Evaluation Plan'!E60)</x:f>
        <x:v>56</x:v>
      </x:c>
      <x:c r="F60" s="8" t="str">
        <x:f>'Evaluation Plan'!F60</x:f>
        <x:v>1109</x:v>
      </x:c>
      <x:c r="G60" s="8" t="str">
        <x:f>'Evaluation Plan'!G60</x:f>
        <x:v>MOVE juggling ball to bowl</x:v>
      </x:c>
      <x:c r="H60" s="7"/>
      <x:c r="I60" s="8" t="str">
        <x:f>'Evaluation Plan'!I60</x:f>
        <x:v>Language robustness</x:v>
      </x:c>
      <x:c r="J60" s="8" t="str">
        <x:f>'Evaluation Plan'!J60</x:f>
        <x:v>SZ-CT-SJ05</x:v>
      </x:c>
      <x:c r="K60" s="8" t="str">
        <x:f>'Evaluation Plan'!K60</x:f>
        <x:v>smallest</x:v>
      </x:c>
      <x:c r="L60" s="8" t="str">
        <x:f>'Evaluation Plan'!L60</x:f>
        <x:v>Primary compositional-transfer prompt paraphrase</x:v>
      </x:c>
      <x:c r="M60" s="8" t="str">
        <x:f>'Evaluation Plan'!M60</x:f>
        <x:v>juggling ball</x:v>
      </x:c>
      <x:c r="N60" s="8" t="str">
        <x:f>'Evaluation Plan'!N60</x:f>
        <x:v>Right</x:v>
      </x:c>
      <x:c r="O60" s="8" t="n">
        <x:f>'Evaluation Plan'!O60</x:f>
        <x:v>2</x:v>
      </x:c>
      <x:c r="P60" s="8" t="n">
        <x:f>IF(ISBLANK('Evaluation Plan'!P60),"",'Evaluation Plan'!P60)</x:f>
        <x:v>16</x:v>
      </x:c>
      <x:c r="Q60" s="8" t="str">
        <x:f>'Evaluation Plan'!Q60</x:f>
        <x:v>Reset the target; preserve the exact scene and paraphrase only the transfer prompt.</x:v>
      </x:c>
      <x:c r="R60" s="7" t="str">
        <x:f>'Evaluation Plan'!R60</x:f>
        <x:v>Exact-scene paraphrase of the primary transfer instruction.</x:v>
      </x:c>
      <x:c r="S60" s="7" t="str">
        <x:f>IF(ISBLANK('Evaluation Plan'!S60),"",'Evaluation Plan'!S60)</x:f>
      </x:c>
    </x:row>
    <x:row r="61" ht="68" customHeight="1">
      <x:c r="A61" s="8" t="str">
        <x:v>Not collected</x:v>
      </x:c>
      <x:c r="B61" s="8" t="n">
        <x:f>'Evaluation Plan'!B61</x:f>
        <x:v>59</x:v>
      </x:c>
      <x:c r="C61" s="7" t="str">
        <x:f>'Evaluation Plan'!C61</x:f>
        <x:v>Take the juggling ball from the table and put it in the bowl.</x:v>
      </x:c>
      <x:c r="D61" s="7" t="str">
        <x:f>'Evaluation Plan'!D61</x:f>
        <x:v>Bowl: empty. Table, robot-left→robot-right: P1 crushed Pepsi can; P2 juggling ball. Adjacent centers 16 cm apart; row shifted 4 cm toward robot-left; all objects fully visible and grasp paths clear.</x:v>
      </x:c>
      <x:c r="E61" s="8" t="n">
        <x:f>IF(ISBLANK('Evaluation Plan'!E61),"",'Evaluation Plan'!E61)</x:f>
        <x:v>57</x:v>
      </x:c>
      <x:c r="F61" s="8" t="str">
        <x:f>'Evaluation Plan'!F61</x:f>
        <x:v>1104</x:v>
      </x:c>
      <x:c r="G61" s="8" t="str">
        <x:f>'Evaluation Plan'!G61</x:f>
        <x:v>MOVE juggling ball to bowl</x:v>
      </x:c>
      <x:c r="H61" s="7"/>
      <x:c r="I61" s="8" t="str">
        <x:f>'Evaluation Plan'!I61</x:f>
        <x:v>Language robustness</x:v>
      </x:c>
      <x:c r="J61" s="8" t="str">
        <x:f>'Evaluation Plan'!J61</x:f>
        <x:v>SZ-CT-SJ05</x:v>
      </x:c>
      <x:c r="K61" s="8" t="str">
        <x:f>'Evaluation Plan'!K61</x:f>
        <x:v>Direct</x:v>
      </x:c>
      <x:c r="L61" s="8" t="str">
        <x:f>'Evaluation Plan'!L61</x:f>
        <x:v>Matched-control direct prompt paraphrase</x:v>
      </x:c>
      <x:c r="M61" s="8" t="str">
        <x:f>'Evaluation Plan'!M61</x:f>
        <x:v>juggling ball</x:v>
      </x:c>
      <x:c r="N61" s="8" t="str">
        <x:f>'Evaluation Plan'!N61</x:f>
        <x:v>Right</x:v>
      </x:c>
      <x:c r="O61" s="8" t="n">
        <x:f>'Evaluation Plan'!O61</x:f>
        <x:v>2</x:v>
      </x:c>
      <x:c r="P61" s="8" t="n">
        <x:f>IF(ISBLANK('Evaluation Plan'!P61),"",'Evaluation Plan'!P61)</x:f>
        <x:v>16</x:v>
      </x:c>
      <x:c r="Q61" s="8" t="str">
        <x:f>'Evaluation Plan'!Q61</x:f>
        <x:v>Reset the target; preserve the exact scene and paraphrase only the matched-control prompt.</x:v>
      </x:c>
      <x:c r="R61" s="7" t="str">
        <x:f>'Evaluation Plan'!R61</x:f>
        <x:v>Exact-scene paraphrase of the direct manipulation control.</x:v>
      </x:c>
      <x:c r="S61" s="7" t="str">
        <x:f>IF(ISBLANK('Evaluation Plan'!S61),"",'Evaluation Plan'!S61)</x:f>
      </x:c>
    </x:row>
    <x:row r="62" ht="68" customHeight="1">
      <x:c r="A62" s="9" t="str">
        <x:v>Not collected</x:v>
      </x:c>
      <x:c r="B62" s="9" t="n">
        <x:f>'Evaluation Plan'!B62</x:f>
        <x:v>60</x:v>
      </x:c>
      <x:c r="C62" s="10" t="str">
        <x:f>'Evaluation Plan'!C62</x:f>
        <x:v>Put the largest object in the bowl.</x:v>
      </x:c>
      <x:c r="D62" s="10" t="str">
        <x:f>'Evaluation Plan'!D62</x:f>
        <x:v>Bowl: empty. Table, robot-left→robot-right: P1 red pencil sharpener; P2 green block. Adjacent centers 16 cm apart; row centered on the workspace; all objects fully visible and grasp paths clear.</x:v>
      </x:c>
      <x:c r="E62" s="9" t="str">
        <x:f>IF(ISBLANK('Evaluation Plan'!E62),"",'Evaluation Plan'!E62)</x:f>
      </x:c>
      <x:c r="F62" s="9" t="str">
        <x:f>'Evaluation Plan'!F62</x:f>
        <x:v>1085</x:v>
      </x:c>
      <x:c r="G62" s="9" t="str">
        <x:f>'Evaluation Plan'!G62</x:f>
        <x:v>MOVE green block to bowl</x:v>
      </x:c>
      <x:c r="H62" s="10"/>
      <x:c r="I62" s="9" t="str">
        <x:f>'Evaluation Plan'!I62</x:f>
        <x:v>Concept/compositional transfer</x:v>
      </x:c>
      <x:c r="J62" s="9" t="str">
        <x:f>'Evaluation Plan'!J62</x:f>
        <x:v>SZ-CT-LG06</x:v>
      </x:c>
      <x:c r="K62" s="9" t="str">
        <x:f>'Evaluation Plan'!K62</x:f>
        <x:v>largest</x:v>
      </x:c>
      <x:c r="L62" s="9" t="str">
        <x:f>'Evaluation Plan'!L62</x:f>
        <x:v>Held-out largest × green block — Put</x:v>
      </x:c>
      <x:c r="M62" s="9" t="str">
        <x:f>'Evaluation Plan'!M62</x:f>
        <x:v>green block</x:v>
      </x:c>
      <x:c r="N62" s="9" t="str">
        <x:f>'Evaluation Plan'!N62</x:f>
        <x:v>Right</x:v>
      </x:c>
      <x:c r="O62" s="9" t="n">
        <x:f>'Evaluation Plan'!O62</x:f>
        <x:v>2</x:v>
      </x:c>
      <x:c r="P62" s="9" t="n">
        <x:f>IF(ISBLANK('Evaluation Plan'!P62),"",'Evaluation Plan'!P62)</x:f>
        <x:v>16</x:v>
      </x:c>
      <x:c r="Q62" s="9" t="str">
        <x:f>'Evaluation Plan'!Q62</x:f>
        <x:v>Build the listed two-object scene and save a first-frame filename.</x:v>
      </x:c>
      <x:c r="R62" s="10" t="str">
        <x:f>'Evaluation Plan'!R62</x:f>
        <x:v>Primary missing cell. Training episode 1085 contains the same target trajectory but masks the size word with a direct identity prompt.</x:v>
      </x:c>
      <x:c r="S62" s="10" t="str">
        <x:f>IF(ISBLANK('Evaluation Plan'!S62),"",'Evaluation Plan'!S62)</x:f>
      </x:c>
    </x:row>
    <x:row r="63" ht="68" customHeight="1">
      <x:c r="A63" s="8" t="str">
        <x:v>Not collected</x:v>
      </x:c>
      <x:c r="B63" s="8" t="n">
        <x:f>'Evaluation Plan'!B63</x:f>
        <x:v>61</x:v>
      </x:c>
      <x:c r="C63" s="7" t="str">
        <x:f>'Evaluation Plan'!C63</x:f>
        <x:v>Pick up the green block and place it in the bowl.</x:v>
      </x:c>
      <x:c r="D63" s="7" t="str">
        <x:f>'Evaluation Plan'!D63</x:f>
        <x:v>Bowl: empty. Table, robot-left→robot-right: P1 red pencil sharpener; P2 green block. Adjacent centers 16 cm apart; row centered on the workspace; all objects fully visible and grasp paths clear.</x:v>
      </x:c>
      <x:c r="E63" s="8" t="n">
        <x:f>IF(ISBLANK('Evaluation Plan'!E63),"",'Evaluation Plan'!E63)</x:f>
        <x:v>60</x:v>
      </x:c>
      <x:c r="F63" s="8" t="str">
        <x:f>'Evaluation Plan'!F63</x:f>
        <x:v>1075</x:v>
      </x:c>
      <x:c r="G63" s="8" t="str">
        <x:f>'Evaluation Plan'!G63</x:f>
        <x:v>MOVE green block to bowl</x:v>
      </x:c>
      <x:c r="H63" s="7"/>
      <x:c r="I63" s="8" t="str">
        <x:f>'Evaluation Plan'!I63</x:f>
        <x:v>Matched manipulation control</x:v>
      </x:c>
      <x:c r="J63" s="8" t="str">
        <x:f>'Evaluation Plan'!J63</x:f>
        <x:v>SZ-CT-LG06</x:v>
      </x:c>
      <x:c r="K63" s="8" t="str">
        <x:f>'Evaluation Plan'!K63</x:f>
        <x:v>Direct</x:v>
      </x:c>
      <x:c r="L63" s="8" t="str">
        <x:f>'Evaluation Plan'!L63</x:f>
        <x:v>Same-scene direct target control</x:v>
      </x:c>
      <x:c r="M63" s="8" t="str">
        <x:f>'Evaluation Plan'!M63</x:f>
        <x:v>green block</x:v>
      </x:c>
      <x:c r="N63" s="8" t="str">
        <x:f>'Evaluation Plan'!N63</x:f>
        <x:v>Right</x:v>
      </x:c>
      <x:c r="O63" s="8" t="n">
        <x:f>'Evaluation Plan'!O63</x:f>
        <x:v>2</x:v>
      </x:c>
      <x:c r="P63" s="8" t="n">
        <x:f>IF(ISBLANK('Evaluation Plan'!P63),"",'Evaluation Plan'!P63)</x:f>
        <x:v>16</x:v>
      </x:c>
      <x:c r="Q63" s="8" t="str">
        <x:f>'Evaluation Plan'!Q63</x:f>
        <x:v>Reset the target to its original pose; change only the prompt.</x:v>
      </x:c>
      <x:c r="R63" s="7" t="str">
        <x:f>'Evaluation Plan'!R63</x:f>
        <x:v>Exact-scene control using a direct prompt supported by training episode 1075.</x:v>
      </x:c>
      <x:c r="S63" s="7" t="str">
        <x:f>IF(ISBLANK('Evaluation Plan'!S63),"",'Evaluation Plan'!S63)</x:f>
      </x:c>
    </x:row>
    <x:row r="64" ht="68" customHeight="1">
      <x:c r="A64" s="9" t="str">
        <x:v>Not collected</x:v>
      </x:c>
      <x:c r="B64" s="9" t="n">
        <x:f>'Evaluation Plan'!B64</x:f>
        <x:v>62</x:v>
      </x:c>
      <x:c r="C64" s="10" t="str">
        <x:f>'Evaluation Plan'!C64</x:f>
        <x:v>Move the object that is smallest into the bowl.</x:v>
      </x:c>
      <x:c r="D64" s="10" t="str">
        <x:f>'Evaluation Plan'!D64</x:f>
        <x:v>Bowl: empty. Table, robot-left→robot-right: P1 juggling ball; P2 crushed Pepsi can. Adjacent centers 8 cm apart; row shifted 4 cm toward robot-right; all objects fully visible and grasp paths clear.</x:v>
      </x:c>
      <x:c r="E64" s="9" t="str">
        <x:f>IF(ISBLANK('Evaluation Plan'!E64),"",'Evaluation Plan'!E64)</x:f>
      </x:c>
      <x:c r="F64" s="9" t="str">
        <x:f>'Evaluation Plan'!F64</x:f>
        <x:v>1110</x:v>
      </x:c>
      <x:c r="G64" s="9" t="str">
        <x:f>'Evaluation Plan'!G64</x:f>
        <x:v>MOVE juggling ball to bowl</x:v>
      </x:c>
      <x:c r="H64" s="10"/>
      <x:c r="I64" s="9" t="str">
        <x:f>'Evaluation Plan'!I64</x:f>
        <x:v>Concept/compositional transfer</x:v>
      </x:c>
      <x:c r="J64" s="9" t="str">
        <x:f>'Evaluation Plan'!J64</x:f>
        <x:v>SZ-CT-SJ06</x:v>
      </x:c>
      <x:c r="K64" s="9" t="str">
        <x:f>'Evaluation Plan'!K64</x:f>
        <x:v>smallest</x:v>
      </x:c>
      <x:c r="L64" s="9" t="str">
        <x:f>'Evaluation Plan'!L64</x:f>
        <x:v>Held-out smallest × juggling ball — Move</x:v>
      </x:c>
      <x:c r="M64" s="9" t="str">
        <x:f>'Evaluation Plan'!M64</x:f>
        <x:v>juggling ball</x:v>
      </x:c>
      <x:c r="N64" s="9" t="str">
        <x:f>'Evaluation Plan'!N64</x:f>
        <x:v>Left</x:v>
      </x:c>
      <x:c r="O64" s="9" t="n">
        <x:f>'Evaluation Plan'!O64</x:f>
        <x:v>2</x:v>
      </x:c>
      <x:c r="P64" s="9" t="n">
        <x:f>IF(ISBLANK('Evaluation Plan'!P64),"",'Evaluation Plan'!P64)</x:f>
        <x:v>8</x:v>
      </x:c>
      <x:c r="Q64" s="9" t="str">
        <x:f>'Evaluation Plan'!Q64</x:f>
        <x:v>Build the listed two-object scene and save a first-frame filename.</x:v>
      </x:c>
      <x:c r="R64" s="10" t="str">
        <x:f>'Evaluation Plan'!R64</x:f>
        <x:v>Primary missing cell. Training episode 1110 contains the same target trajectory but masks the size word with a direct identity prompt.</x:v>
      </x:c>
      <x:c r="S64" s="10" t="str">
        <x:f>IF(ISBLANK('Evaluation Plan'!S64),"",'Evaluation Plan'!S64)</x:f>
      </x:c>
    </x:row>
    <x:row r="65" ht="68" customHeight="1">
      <x:c r="A65" s="8" t="str">
        <x:v>Not collected</x:v>
      </x:c>
      <x:c r="B65" s="8" t="n">
        <x:f>'Evaluation Plan'!B65</x:f>
        <x:v>63</x:v>
      </x:c>
      <x:c r="C65" s="7" t="str">
        <x:f>'Evaluation Plan'!C65</x:f>
        <x:v>Pick up the juggling ball and place it in the bowl.</x:v>
      </x:c>
      <x:c r="D65" s="7" t="str">
        <x:f>'Evaluation Plan'!D65</x:f>
        <x:v>Bowl: empty. Table, robot-left→robot-right: P1 juggling ball; P2 crushed Pepsi can. Adjacent centers 8 cm apart; row shifted 4 cm toward robot-right; all objects fully visible and grasp paths clear.</x:v>
      </x:c>
      <x:c r="E65" s="8" t="n">
        <x:f>IF(ISBLANK('Evaluation Plan'!E65),"",'Evaluation Plan'!E65)</x:f>
        <x:v>62</x:v>
      </x:c>
      <x:c r="F65" s="8" t="str">
        <x:f>'Evaluation Plan'!F65</x:f>
        <x:v>1100</x:v>
      </x:c>
      <x:c r="G65" s="8" t="str">
        <x:f>'Evaluation Plan'!G65</x:f>
        <x:v>MOVE juggling ball to bowl</x:v>
      </x:c>
      <x:c r="H65" s="7"/>
      <x:c r="I65" s="8" t="str">
        <x:f>'Evaluation Plan'!I65</x:f>
        <x:v>Matched manipulation control</x:v>
      </x:c>
      <x:c r="J65" s="8" t="str">
        <x:f>'Evaluation Plan'!J65</x:f>
        <x:v>SZ-CT-SJ06</x:v>
      </x:c>
      <x:c r="K65" s="8" t="str">
        <x:f>'Evaluation Plan'!K65</x:f>
        <x:v>Direct</x:v>
      </x:c>
      <x:c r="L65" s="8" t="str">
        <x:f>'Evaluation Plan'!L65</x:f>
        <x:v>Same-scene direct target control</x:v>
      </x:c>
      <x:c r="M65" s="8" t="str">
        <x:f>'Evaluation Plan'!M65</x:f>
        <x:v>juggling ball</x:v>
      </x:c>
      <x:c r="N65" s="8" t="str">
        <x:f>'Evaluation Plan'!N65</x:f>
        <x:v>Left</x:v>
      </x:c>
      <x:c r="O65" s="8" t="n">
        <x:f>'Evaluation Plan'!O65</x:f>
        <x:v>2</x:v>
      </x:c>
      <x:c r="P65" s="8" t="n">
        <x:f>IF(ISBLANK('Evaluation Plan'!P65),"",'Evaluation Plan'!P65)</x:f>
        <x:v>8</x:v>
      </x:c>
      <x:c r="Q65" s="8" t="str">
        <x:f>'Evaluation Plan'!Q65</x:f>
        <x:v>Reset the target to its original pose; change only the prompt.</x:v>
      </x:c>
      <x:c r="R65" s="7" t="str">
        <x:f>'Evaluation Plan'!R65</x:f>
        <x:v>Exact-scene control using a direct prompt supported by training episode 1100.</x:v>
      </x:c>
      <x:c r="S65" s="7" t="str">
        <x:f>IF(ISBLANK('Evaluation Plan'!S65),"",'Evaluation Plan'!S65)</x:f>
      </x:c>
    </x:row>
    <x:row r="66" ht="68" customHeight="1">
      <x:c r="A66" s="9" t="str">
        <x:v>Not collected</x:v>
      </x:c>
      <x:c r="B66" s="9" t="n">
        <x:f>'Evaluation Plan'!B66</x:f>
        <x:v>64</x:v>
      </x:c>
      <x:c r="C66" s="10" t="str">
        <x:f>'Evaluation Plan'!C66</x:f>
        <x:v>Move the object that is largest into the bowl.</x:v>
      </x:c>
      <x:c r="D66" s="10" t="str">
        <x:f>'Evaluation Plan'!D66</x:f>
        <x:v>Bowl: empty. Table, robot-left→robot-right: P1 green block; P2 red pencil sharpener. Adjacent centers 8 cm apart; row shifted 4 cm toward robot-left; all objects fully visible and grasp paths clear.</x:v>
      </x:c>
      <x:c r="E66" s="9" t="str">
        <x:f>IF(ISBLANK('Evaluation Plan'!E66),"",'Evaluation Plan'!E66)</x:f>
      </x:c>
      <x:c r="F66" s="9" t="str">
        <x:f>'Evaluation Plan'!F66</x:f>
        <x:v>1086</x:v>
      </x:c>
      <x:c r="G66" s="9" t="str">
        <x:f>'Evaluation Plan'!G66</x:f>
        <x:v>MOVE green block to bowl</x:v>
      </x:c>
      <x:c r="H66" s="10"/>
      <x:c r="I66" s="9" t="str">
        <x:f>'Evaluation Plan'!I66</x:f>
        <x:v>Concept/compositional transfer</x:v>
      </x:c>
      <x:c r="J66" s="9" t="str">
        <x:f>'Evaluation Plan'!J66</x:f>
        <x:v>SZ-CT-LG07</x:v>
      </x:c>
      <x:c r="K66" s="9" t="str">
        <x:f>'Evaluation Plan'!K66</x:f>
        <x:v>largest</x:v>
      </x:c>
      <x:c r="L66" s="9" t="str">
        <x:f>'Evaluation Plan'!L66</x:f>
        <x:v>Held-out largest × green block — Move</x:v>
      </x:c>
      <x:c r="M66" s="9" t="str">
        <x:f>'Evaluation Plan'!M66</x:f>
        <x:v>green block</x:v>
      </x:c>
      <x:c r="N66" s="9" t="str">
        <x:f>'Evaluation Plan'!N66</x:f>
        <x:v>Left</x:v>
      </x:c>
      <x:c r="O66" s="9" t="n">
        <x:f>'Evaluation Plan'!O66</x:f>
        <x:v>2</x:v>
      </x:c>
      <x:c r="P66" s="9" t="n">
        <x:f>IF(ISBLANK('Evaluation Plan'!P66),"",'Evaluation Plan'!P66)</x:f>
        <x:v>8</x:v>
      </x:c>
      <x:c r="Q66" s="9" t="str">
        <x:f>'Evaluation Plan'!Q66</x:f>
        <x:v>Build the listed two-object scene and save a first-frame filename.</x:v>
      </x:c>
      <x:c r="R66" s="10" t="str">
        <x:f>'Evaluation Plan'!R66</x:f>
        <x:v>Primary missing cell. Training episode 1086 contains the same target trajectory but masks the size word with a direct identity prompt.</x:v>
      </x:c>
      <x:c r="S66" s="10" t="str">
        <x:f>IF(ISBLANK('Evaluation Plan'!S66),"",'Evaluation Plan'!S66)</x:f>
      </x:c>
    </x:row>
    <x:row r="67" ht="68" customHeight="1">
      <x:c r="A67" s="8" t="str">
        <x:v>Not collected</x:v>
      </x:c>
      <x:c r="B67" s="8" t="n">
        <x:f>'Evaluation Plan'!B67</x:f>
        <x:v>65</x:v>
      </x:c>
      <x:c r="C67" s="7" t="str">
        <x:f>'Evaluation Plan'!C67</x:f>
        <x:v>Put the green block in the bowl.</x:v>
      </x:c>
      <x:c r="D67" s="7" t="str">
        <x:f>'Evaluation Plan'!D67</x:f>
        <x:v>Bowl: empty. Table, robot-left→robot-right: P1 green block; P2 red pencil sharpener. Adjacent centers 8 cm apart; row shifted 4 cm toward robot-left; all objects fully visible and grasp paths clear.</x:v>
      </x:c>
      <x:c r="E67" s="8" t="n">
        <x:f>IF(ISBLANK('Evaluation Plan'!E67),"",'Evaluation Plan'!E67)</x:f>
        <x:v>64</x:v>
      </x:c>
      <x:c r="F67" s="8" t="str">
        <x:f>'Evaluation Plan'!F67</x:f>
        <x:v>1076</x:v>
      </x:c>
      <x:c r="G67" s="8" t="str">
        <x:f>'Evaluation Plan'!G67</x:f>
        <x:v>MOVE green block to bowl</x:v>
      </x:c>
      <x:c r="H67" s="7"/>
      <x:c r="I67" s="8" t="str">
        <x:f>'Evaluation Plan'!I67</x:f>
        <x:v>Matched manipulation control</x:v>
      </x:c>
      <x:c r="J67" s="8" t="str">
        <x:f>'Evaluation Plan'!J67</x:f>
        <x:v>SZ-CT-LG07</x:v>
      </x:c>
      <x:c r="K67" s="8" t="str">
        <x:f>'Evaluation Plan'!K67</x:f>
        <x:v>Direct</x:v>
      </x:c>
      <x:c r="L67" s="8" t="str">
        <x:f>'Evaluation Plan'!L67</x:f>
        <x:v>Same-scene direct target control</x:v>
      </x:c>
      <x:c r="M67" s="8" t="str">
        <x:f>'Evaluation Plan'!M67</x:f>
        <x:v>green block</x:v>
      </x:c>
      <x:c r="N67" s="8" t="str">
        <x:f>'Evaluation Plan'!N67</x:f>
        <x:v>Left</x:v>
      </x:c>
      <x:c r="O67" s="8" t="n">
        <x:f>'Evaluation Plan'!O67</x:f>
        <x:v>2</x:v>
      </x:c>
      <x:c r="P67" s="8" t="n">
        <x:f>IF(ISBLANK('Evaluation Plan'!P67),"",'Evaluation Plan'!P67)</x:f>
        <x:v>8</x:v>
      </x:c>
      <x:c r="Q67" s="8" t="str">
        <x:f>'Evaluation Plan'!Q67</x:f>
        <x:v>Reset the target to its original pose; change only the prompt.</x:v>
      </x:c>
      <x:c r="R67" s="7" t="str">
        <x:f>'Evaluation Plan'!R67</x:f>
        <x:v>Exact-scene control using a direct prompt supported by training episode 1076.</x:v>
      </x:c>
      <x:c r="S67" s="7" t="str">
        <x:f>IF(ISBLANK('Evaluation Plan'!S67),"",'Evaluation Plan'!S67)</x:f>
      </x:c>
    </x:row>
    <x:row r="68" ht="68" customHeight="1">
      <x:c r="A68" s="9" t="str">
        <x:v>Not collected</x:v>
      </x:c>
      <x:c r="B68" s="9" t="n">
        <x:f>'Evaluation Plan'!B68</x:f>
        <x:v>66</x:v>
      </x:c>
      <x:c r="C68" s="10" t="str">
        <x:f>'Evaluation Plan'!C68</x:f>
        <x:v>Pick up the smallest item and place it in the bowl.</x:v>
      </x:c>
      <x:c r="D68" s="10" t="str">
        <x:f>'Evaluation Plan'!D68</x:f>
        <x:v>Bowl: empty. Table, robot-left→robot-right: P1 crushed Pepsi can; P2 juggling ball. Adjacent centers 12 cm apart; row shifted 4 cm toward the robot; all objects fully visible and grasp paths clear.</x:v>
      </x:c>
      <x:c r="E68" s="9" t="str">
        <x:f>IF(ISBLANK('Evaluation Plan'!E68),"",'Evaluation Plan'!E68)</x:f>
      </x:c>
      <x:c r="F68" s="9" t="str">
        <x:f>'Evaluation Plan'!F68</x:f>
        <x:v>1111</x:v>
      </x:c>
      <x:c r="G68" s="9" t="str">
        <x:f>'Evaluation Plan'!G68</x:f>
        <x:v>MOVE juggling ball to bowl</x:v>
      </x:c>
      <x:c r="H68" s="10"/>
      <x:c r="I68" s="9" t="str">
        <x:f>'Evaluation Plan'!I68</x:f>
        <x:v>Concept/compositional transfer</x:v>
      </x:c>
      <x:c r="J68" s="9" t="str">
        <x:f>'Evaluation Plan'!J68</x:f>
        <x:v>SZ-CT-SJ07</x:v>
      </x:c>
      <x:c r="K68" s="9" t="str">
        <x:f>'Evaluation Plan'!K68</x:f>
        <x:v>smallest</x:v>
      </x:c>
      <x:c r="L68" s="9" t="str">
        <x:f>'Evaluation Plan'!L68</x:f>
        <x:v>Held-out smallest × juggling ball — Pick up</x:v>
      </x:c>
      <x:c r="M68" s="9" t="str">
        <x:f>'Evaluation Plan'!M68</x:f>
        <x:v>juggling ball</x:v>
      </x:c>
      <x:c r="N68" s="9" t="str">
        <x:f>'Evaluation Plan'!N68</x:f>
        <x:v>Right</x:v>
      </x:c>
      <x:c r="O68" s="9" t="n">
        <x:f>'Evaluation Plan'!O68</x:f>
        <x:v>2</x:v>
      </x:c>
      <x:c r="P68" s="9" t="n">
        <x:f>IF(ISBLANK('Evaluation Plan'!P68),"",'Evaluation Plan'!P68)</x:f>
        <x:v>12</x:v>
      </x:c>
      <x:c r="Q68" s="9" t="str">
        <x:f>'Evaluation Plan'!Q68</x:f>
        <x:v>Build the listed two-object scene and save a first-frame filename.</x:v>
      </x:c>
      <x:c r="R68" s="10" t="str">
        <x:f>'Evaluation Plan'!R68</x:f>
        <x:v>Primary missing cell. Training episode 1111 contains the same target trajectory but masks the size word with a direct identity prompt.</x:v>
      </x:c>
      <x:c r="S68" s="10" t="str">
        <x:f>IF(ISBLANK('Evaluation Plan'!S68),"",'Evaluation Plan'!S68)</x:f>
      </x:c>
    </x:row>
    <x:row r="69" ht="68" customHeight="1">
      <x:c r="A69" s="8" t="str">
        <x:v>Not collected</x:v>
      </x:c>
      <x:c r="B69" s="8" t="n">
        <x:f>'Evaluation Plan'!B69</x:f>
        <x:v>67</x:v>
      </x:c>
      <x:c r="C69" s="7" t="str">
        <x:f>'Evaluation Plan'!C69</x:f>
        <x:v>Put the juggling ball in the bowl.</x:v>
      </x:c>
      <x:c r="D69" s="7" t="str">
        <x:f>'Evaluation Plan'!D69</x:f>
        <x:v>Bowl: empty. Table, robot-left→robot-right: P1 crushed Pepsi can; P2 juggling ball. Adjacent centers 12 cm apart; row shifted 4 cm toward the robot; all objects fully visible and grasp paths clear.</x:v>
      </x:c>
      <x:c r="E69" s="8" t="n">
        <x:f>IF(ISBLANK('Evaluation Plan'!E69),"",'Evaluation Plan'!E69)</x:f>
        <x:v>66</x:v>
      </x:c>
      <x:c r="F69" s="8" t="str">
        <x:f>'Evaluation Plan'!F69</x:f>
        <x:v>1101</x:v>
      </x:c>
      <x:c r="G69" s="8" t="str">
        <x:f>'Evaluation Plan'!G69</x:f>
        <x:v>MOVE juggling ball to bowl</x:v>
      </x:c>
      <x:c r="H69" s="7"/>
      <x:c r="I69" s="8" t="str">
        <x:f>'Evaluation Plan'!I69</x:f>
        <x:v>Matched manipulation control</x:v>
      </x:c>
      <x:c r="J69" s="8" t="str">
        <x:f>'Evaluation Plan'!J69</x:f>
        <x:v>SZ-CT-SJ07</x:v>
      </x:c>
      <x:c r="K69" s="8" t="str">
        <x:f>'Evaluation Plan'!K69</x:f>
        <x:v>Direct</x:v>
      </x:c>
      <x:c r="L69" s="8" t="str">
        <x:f>'Evaluation Plan'!L69</x:f>
        <x:v>Same-scene direct target control</x:v>
      </x:c>
      <x:c r="M69" s="8" t="str">
        <x:f>'Evaluation Plan'!M69</x:f>
        <x:v>juggling ball</x:v>
      </x:c>
      <x:c r="N69" s="8" t="str">
        <x:f>'Evaluation Plan'!N69</x:f>
        <x:v>Right</x:v>
      </x:c>
      <x:c r="O69" s="8" t="n">
        <x:f>'Evaluation Plan'!O69</x:f>
        <x:v>2</x:v>
      </x:c>
      <x:c r="P69" s="8" t="n">
        <x:f>IF(ISBLANK('Evaluation Plan'!P69),"",'Evaluation Plan'!P69)</x:f>
        <x:v>12</x:v>
      </x:c>
      <x:c r="Q69" s="8" t="str">
        <x:f>'Evaluation Plan'!Q69</x:f>
        <x:v>Reset the target to its original pose; change only the prompt.</x:v>
      </x:c>
      <x:c r="R69" s="7" t="str">
        <x:f>'Evaluation Plan'!R69</x:f>
        <x:v>Exact-scene control using a direct prompt supported by training episode 1101.</x:v>
      </x:c>
      <x:c r="S69" s="7" t="str">
        <x:f>IF(ISBLANK('Evaluation Plan'!S69),"",'Evaluation Plan'!S69)</x:f>
      </x:c>
    </x:row>
    <x:row r="70" ht="68" customHeight="1">
      <x:c r="A70" s="9" t="str">
        <x:v>Not collected</x:v>
      </x:c>
      <x:c r="B70" s="9" t="n">
        <x:f>'Evaluation Plan'!B70</x:f>
        <x:v>68</x:v>
      </x:c>
      <x:c r="C70" s="10" t="str">
        <x:f>'Evaluation Plan'!C70</x:f>
        <x:v>Pick up the largest item and place it in the bowl.</x:v>
      </x:c>
      <x:c r="D70" s="10" t="str">
        <x:f>'Evaluation Plan'!D70</x:f>
        <x:v>Bowl: empty. Table, robot-left→robot-right: P1 red pencil sharpener; P2 green block. Adjacent centers 12 cm apart; row shifted 4 cm toward robot-right; all objects fully visible and grasp paths clear.</x:v>
      </x:c>
      <x:c r="E70" s="9" t="str">
        <x:f>IF(ISBLANK('Evaluation Plan'!E70),"",'Evaluation Plan'!E70)</x:f>
      </x:c>
      <x:c r="F70" s="9" t="str">
        <x:f>'Evaluation Plan'!F70</x:f>
        <x:v>1087</x:v>
      </x:c>
      <x:c r="G70" s="9" t="str">
        <x:f>'Evaluation Plan'!G70</x:f>
        <x:v>MOVE green block to bowl</x:v>
      </x:c>
      <x:c r="H70" s="10"/>
      <x:c r="I70" s="9" t="str">
        <x:f>'Evaluation Plan'!I70</x:f>
        <x:v>Concept/compositional transfer</x:v>
      </x:c>
      <x:c r="J70" s="9" t="str">
        <x:f>'Evaluation Plan'!J70</x:f>
        <x:v>SZ-CT-LG08</x:v>
      </x:c>
      <x:c r="K70" s="9" t="str">
        <x:f>'Evaluation Plan'!K70</x:f>
        <x:v>largest</x:v>
      </x:c>
      <x:c r="L70" s="9" t="str">
        <x:f>'Evaluation Plan'!L70</x:f>
        <x:v>Held-out largest × green block — Pick up</x:v>
      </x:c>
      <x:c r="M70" s="9" t="str">
        <x:f>'Evaluation Plan'!M70</x:f>
        <x:v>green block</x:v>
      </x:c>
      <x:c r="N70" s="9" t="str">
        <x:f>'Evaluation Plan'!N70</x:f>
        <x:v>Right</x:v>
      </x:c>
      <x:c r="O70" s="9" t="n">
        <x:f>'Evaluation Plan'!O70</x:f>
        <x:v>2</x:v>
      </x:c>
      <x:c r="P70" s="9" t="n">
        <x:f>IF(ISBLANK('Evaluation Plan'!P70),"",'Evaluation Plan'!P70)</x:f>
        <x:v>12</x:v>
      </x:c>
      <x:c r="Q70" s="9" t="str">
        <x:f>'Evaluation Plan'!Q70</x:f>
        <x:v>Build the listed two-object scene and save a first-frame filename.</x:v>
      </x:c>
      <x:c r="R70" s="10" t="str">
        <x:f>'Evaluation Plan'!R70</x:f>
        <x:v>Primary missing cell. Training episode 1087 contains the same target trajectory but masks the size word with a direct identity prompt.</x:v>
      </x:c>
      <x:c r="S70" s="10" t="str">
        <x:f>IF(ISBLANK('Evaluation Plan'!S70),"",'Evaluation Plan'!S70)</x:f>
      </x:c>
    </x:row>
    <x:row r="71" ht="68" customHeight="1">
      <x:c r="A71" s="8" t="str">
        <x:v>Not collected</x:v>
      </x:c>
      <x:c r="B71" s="8" t="n">
        <x:f>'Evaluation Plan'!B71</x:f>
        <x:v>69</x:v>
      </x:c>
      <x:c r="C71" s="7" t="str">
        <x:f>'Evaluation Plan'!C71</x:f>
        <x:v>Move the green block into the bowl.</x:v>
      </x:c>
      <x:c r="D71" s="7" t="str">
        <x:f>'Evaluation Plan'!D71</x:f>
        <x:v>Bowl: empty. Table, robot-left→robot-right: P1 red pencil sharpener; P2 green block. Adjacent centers 12 cm apart; row shifted 4 cm toward robot-right; all objects fully visible and grasp paths clear.</x:v>
      </x:c>
      <x:c r="E71" s="8" t="n">
        <x:f>IF(ISBLANK('Evaluation Plan'!E71),"",'Evaluation Plan'!E71)</x:f>
        <x:v>68</x:v>
      </x:c>
      <x:c r="F71" s="8" t="str">
        <x:f>'Evaluation Plan'!F71</x:f>
        <x:v>1077</x:v>
      </x:c>
      <x:c r="G71" s="8" t="str">
        <x:f>'Evaluation Plan'!G71</x:f>
        <x:v>MOVE green block to bowl</x:v>
      </x:c>
      <x:c r="H71" s="7"/>
      <x:c r="I71" s="8" t="str">
        <x:f>'Evaluation Plan'!I71</x:f>
        <x:v>Matched manipulation control</x:v>
      </x:c>
      <x:c r="J71" s="8" t="str">
        <x:f>'Evaluation Plan'!J71</x:f>
        <x:v>SZ-CT-LG08</x:v>
      </x:c>
      <x:c r="K71" s="8" t="str">
        <x:f>'Evaluation Plan'!K71</x:f>
        <x:v>Direct</x:v>
      </x:c>
      <x:c r="L71" s="8" t="str">
        <x:f>'Evaluation Plan'!L71</x:f>
        <x:v>Same-scene direct target control</x:v>
      </x:c>
      <x:c r="M71" s="8" t="str">
        <x:f>'Evaluation Plan'!M71</x:f>
        <x:v>green block</x:v>
      </x:c>
      <x:c r="N71" s="8" t="str">
        <x:f>'Evaluation Plan'!N71</x:f>
        <x:v>Right</x:v>
      </x:c>
      <x:c r="O71" s="8" t="n">
        <x:f>'Evaluation Plan'!O71</x:f>
        <x:v>2</x:v>
      </x:c>
      <x:c r="P71" s="8" t="n">
        <x:f>IF(ISBLANK('Evaluation Plan'!P71),"",'Evaluation Plan'!P71)</x:f>
        <x:v>12</x:v>
      </x:c>
      <x:c r="Q71" s="8" t="str">
        <x:f>'Evaluation Plan'!Q71</x:f>
        <x:v>Reset the target to its original pose; change only the prompt.</x:v>
      </x:c>
      <x:c r="R71" s="7" t="str">
        <x:f>'Evaluation Plan'!R71</x:f>
        <x:v>Exact-scene control using a direct prompt supported by training episode 1077.</x:v>
      </x:c>
      <x:c r="S71" s="7" t="str">
        <x:f>IF(ISBLANK('Evaluation Plan'!S71),"",'Evaluation Plan'!S71)</x:f>
      </x:c>
    </x:row>
    <x:row r="72" ht="68" customHeight="1">
      <x:c r="A72" s="9" t="str">
        <x:v>Not collected</x:v>
      </x:c>
      <x:c r="B72" s="9" t="n">
        <x:f>'Evaluation Plan'!B72</x:f>
        <x:v>70</x:v>
      </x:c>
      <x:c r="C72" s="10" t="str">
        <x:f>'Evaluation Plan'!C72</x:f>
        <x:v>Put the smallest object in the bowl.</x:v>
      </x:c>
      <x:c r="D72" s="10" t="str">
        <x:f>'Evaluation Plan'!D72</x:f>
        <x:v>Bowl: empty. Table, robot-left→robot-right: P1 juggling ball; P2 crushed Pepsi can. Adjacent centers 16 cm apart; row shifted 4 cm away from the robot; all objects fully visible and grasp paths clear.</x:v>
      </x:c>
      <x:c r="E72" s="9" t="str">
        <x:f>IF(ISBLANK('Evaluation Plan'!E72),"",'Evaluation Plan'!E72)</x:f>
      </x:c>
      <x:c r="F72" s="9" t="str">
        <x:f>'Evaluation Plan'!F72</x:f>
        <x:v>1112</x:v>
      </x:c>
      <x:c r="G72" s="9" t="str">
        <x:f>'Evaluation Plan'!G72</x:f>
        <x:v>MOVE juggling ball to bowl</x:v>
      </x:c>
      <x:c r="H72" s="10"/>
      <x:c r="I72" s="9" t="str">
        <x:f>'Evaluation Plan'!I72</x:f>
        <x:v>Concept/compositional transfer</x:v>
      </x:c>
      <x:c r="J72" s="9" t="str">
        <x:f>'Evaluation Plan'!J72</x:f>
        <x:v>SZ-CT-SJ08</x:v>
      </x:c>
      <x:c r="K72" s="9" t="str">
        <x:f>'Evaluation Plan'!K72</x:f>
        <x:v>smallest</x:v>
      </x:c>
      <x:c r="L72" s="9" t="str">
        <x:f>'Evaluation Plan'!L72</x:f>
        <x:v>Held-out smallest × juggling ball — Put</x:v>
      </x:c>
      <x:c r="M72" s="9" t="str">
        <x:f>'Evaluation Plan'!M72</x:f>
        <x:v>juggling ball</x:v>
      </x:c>
      <x:c r="N72" s="9" t="str">
        <x:f>'Evaluation Plan'!N72</x:f>
        <x:v>Left</x:v>
      </x:c>
      <x:c r="O72" s="9" t="n">
        <x:f>'Evaluation Plan'!O72</x:f>
        <x:v>2</x:v>
      </x:c>
      <x:c r="P72" s="9" t="n">
        <x:f>IF(ISBLANK('Evaluation Plan'!P72),"",'Evaluation Plan'!P72)</x:f>
        <x:v>16</x:v>
      </x:c>
      <x:c r="Q72" s="9" t="str">
        <x:f>'Evaluation Plan'!Q72</x:f>
        <x:v>Build the listed two-object scene and save a first-frame filename.</x:v>
      </x:c>
      <x:c r="R72" s="10" t="str">
        <x:f>'Evaluation Plan'!R72</x:f>
        <x:v>Primary missing cell. Training episode 1112 contains the same target trajectory but masks the size word with a direct identity prompt.</x:v>
      </x:c>
      <x:c r="S72" s="10" t="str">
        <x:f>IF(ISBLANK('Evaluation Plan'!S72),"",'Evaluation Plan'!S72)</x:f>
      </x:c>
    </x:row>
    <x:row r="73" ht="68" customHeight="1">
      <x:c r="A73" s="8" t="str">
        <x:v>Not collected</x:v>
      </x:c>
      <x:c r="B73" s="8" t="n">
        <x:f>'Evaluation Plan'!B73</x:f>
        <x:v>71</x:v>
      </x:c>
      <x:c r="C73" s="7" t="str">
        <x:f>'Evaluation Plan'!C73</x:f>
        <x:v>Move the juggling ball into the bowl.</x:v>
      </x:c>
      <x:c r="D73" s="7" t="str">
        <x:f>'Evaluation Plan'!D73</x:f>
        <x:v>Bowl: empty. Table, robot-left→robot-right: P1 juggling ball; P2 crushed Pepsi can. Adjacent centers 16 cm apart; row shifted 4 cm away from the robot; all objects fully visible and grasp paths clear.</x:v>
      </x:c>
      <x:c r="E73" s="8" t="n">
        <x:f>IF(ISBLANK('Evaluation Plan'!E73),"",'Evaluation Plan'!E73)</x:f>
        <x:v>70</x:v>
      </x:c>
      <x:c r="F73" s="8" t="str">
        <x:f>'Evaluation Plan'!F73</x:f>
        <x:v>1102</x:v>
      </x:c>
      <x:c r="G73" s="8" t="str">
        <x:f>'Evaluation Plan'!G73</x:f>
        <x:v>MOVE juggling ball to bowl</x:v>
      </x:c>
      <x:c r="H73" s="7"/>
      <x:c r="I73" s="8" t="str">
        <x:f>'Evaluation Plan'!I73</x:f>
        <x:v>Matched manipulation control</x:v>
      </x:c>
      <x:c r="J73" s="8" t="str">
        <x:f>'Evaluation Plan'!J73</x:f>
        <x:v>SZ-CT-SJ08</x:v>
      </x:c>
      <x:c r="K73" s="8" t="str">
        <x:f>'Evaluation Plan'!K73</x:f>
        <x:v>Direct</x:v>
      </x:c>
      <x:c r="L73" s="8" t="str">
        <x:f>'Evaluation Plan'!L73</x:f>
        <x:v>Same-scene direct target control</x:v>
      </x:c>
      <x:c r="M73" s="8" t="str">
        <x:f>'Evaluation Plan'!M73</x:f>
        <x:v>juggling ball</x:v>
      </x:c>
      <x:c r="N73" s="8" t="str">
        <x:f>'Evaluation Plan'!N73</x:f>
        <x:v>Left</x:v>
      </x:c>
      <x:c r="O73" s="8" t="n">
        <x:f>'Evaluation Plan'!O73</x:f>
        <x:v>2</x:v>
      </x:c>
      <x:c r="P73" s="8" t="n">
        <x:f>IF(ISBLANK('Evaluation Plan'!P73),"",'Evaluation Plan'!P73)</x:f>
        <x:v>16</x:v>
      </x:c>
      <x:c r="Q73" s="8" t="str">
        <x:f>'Evaluation Plan'!Q73</x:f>
        <x:v>Reset the target to its original pose; change only the prompt.</x:v>
      </x:c>
      <x:c r="R73" s="7" t="str">
        <x:f>'Evaluation Plan'!R73</x:f>
        <x:v>Exact-scene control using a direct prompt supported by training episode 1102.</x:v>
      </x:c>
      <x:c r="S73" s="7" t="str">
        <x:f>IF(ISBLANK('Evaluation Plan'!S73),"",'Evaluation Plan'!S73)</x:f>
      </x:c>
    </x:row>
    <x:row r="74" ht="68" customHeight="1">
      <x:c r="A74" s="9" t="str">
        <x:v>Not collected</x:v>
      </x:c>
      <x:c r="B74" s="9" t="n">
        <x:f>'Evaluation Plan'!B74</x:f>
        <x:v>72</x:v>
      </x:c>
      <x:c r="C74" s="10" t="str">
        <x:f>'Evaluation Plan'!C74</x:f>
        <x:v>Put the largest object in the bowl.</x:v>
      </x:c>
      <x:c r="D74" s="10" t="str">
        <x:f>'Evaluation Plan'!D74</x:f>
        <x:v>Bowl: empty. Table, robot-left→robot-right: P1 green block; P2 red pencil sharpener. Adjacent centers 16 cm apart; row shifted 4 cm toward the robot; all objects fully visible and grasp paths clear.</x:v>
      </x:c>
      <x:c r="E74" s="9" t="str">
        <x:f>IF(ISBLANK('Evaluation Plan'!E74),"",'Evaluation Plan'!E74)</x:f>
      </x:c>
      <x:c r="F74" s="9" t="str">
        <x:f>'Evaluation Plan'!F74</x:f>
        <x:v>1088</x:v>
      </x:c>
      <x:c r="G74" s="9" t="str">
        <x:f>'Evaluation Plan'!G74</x:f>
        <x:v>MOVE green block to bowl</x:v>
      </x:c>
      <x:c r="H74" s="10"/>
      <x:c r="I74" s="9" t="str">
        <x:f>'Evaluation Plan'!I74</x:f>
        <x:v>Concept/compositional transfer</x:v>
      </x:c>
      <x:c r="J74" s="9" t="str">
        <x:f>'Evaluation Plan'!J74</x:f>
        <x:v>SZ-CT-LG09</x:v>
      </x:c>
      <x:c r="K74" s="9" t="str">
        <x:f>'Evaluation Plan'!K74</x:f>
        <x:v>largest</x:v>
      </x:c>
      <x:c r="L74" s="9" t="str">
        <x:f>'Evaluation Plan'!L74</x:f>
        <x:v>Held-out largest × green block — Put</x:v>
      </x:c>
      <x:c r="M74" s="9" t="str">
        <x:f>'Evaluation Plan'!M74</x:f>
        <x:v>green block</x:v>
      </x:c>
      <x:c r="N74" s="9" t="str">
        <x:f>'Evaluation Plan'!N74</x:f>
        <x:v>Left</x:v>
      </x:c>
      <x:c r="O74" s="9" t="n">
        <x:f>'Evaluation Plan'!O74</x:f>
        <x:v>2</x:v>
      </x:c>
      <x:c r="P74" s="9" t="n">
        <x:f>IF(ISBLANK('Evaluation Plan'!P74),"",'Evaluation Plan'!P74)</x:f>
        <x:v>16</x:v>
      </x:c>
      <x:c r="Q74" s="9" t="str">
        <x:f>'Evaluation Plan'!Q74</x:f>
        <x:v>Build the listed two-object scene and save a first-frame filename.</x:v>
      </x:c>
      <x:c r="R74" s="10" t="str">
        <x:f>'Evaluation Plan'!R74</x:f>
        <x:v>Primary missing cell. Training episode 1088 contains the same target trajectory but masks the size word with a direct identity prompt.</x:v>
      </x:c>
      <x:c r="S74" s="10" t="str">
        <x:f>IF(ISBLANK('Evaluation Plan'!S74),"",'Evaluation Plan'!S74)</x:f>
      </x:c>
    </x:row>
    <x:row r="75" ht="68" customHeight="1">
      <x:c r="A75" s="8" t="str">
        <x:v>Not collected</x:v>
      </x:c>
      <x:c r="B75" s="8" t="n">
        <x:f>'Evaluation Plan'!B75</x:f>
        <x:v>73</x:v>
      </x:c>
      <x:c r="C75" s="7" t="str">
        <x:f>'Evaluation Plan'!C75</x:f>
        <x:v>Pick up the green block and place it in the bowl.</x:v>
      </x:c>
      <x:c r="D75" s="7" t="str">
        <x:f>'Evaluation Plan'!D75</x:f>
        <x:v>Bowl: empty. Table, robot-left→robot-right: P1 green block; P2 red pencil sharpener. Adjacent centers 16 cm apart; row shifted 4 cm toward the robot; all objects fully visible and grasp paths clear.</x:v>
      </x:c>
      <x:c r="E75" s="8" t="n">
        <x:f>IF(ISBLANK('Evaluation Plan'!E75),"",'Evaluation Plan'!E75)</x:f>
        <x:v>72</x:v>
      </x:c>
      <x:c r="F75" s="8" t="str">
        <x:f>'Evaluation Plan'!F75</x:f>
        <x:v>1078</x:v>
      </x:c>
      <x:c r="G75" s="8" t="str">
        <x:f>'Evaluation Plan'!G75</x:f>
        <x:v>MOVE green block to bowl</x:v>
      </x:c>
      <x:c r="H75" s="7"/>
      <x:c r="I75" s="8" t="str">
        <x:f>'Evaluation Plan'!I75</x:f>
        <x:v>Matched manipulation control</x:v>
      </x:c>
      <x:c r="J75" s="8" t="str">
        <x:f>'Evaluation Plan'!J75</x:f>
        <x:v>SZ-CT-LG09</x:v>
      </x:c>
      <x:c r="K75" s="8" t="str">
        <x:f>'Evaluation Plan'!K75</x:f>
        <x:v>Direct</x:v>
      </x:c>
      <x:c r="L75" s="8" t="str">
        <x:f>'Evaluation Plan'!L75</x:f>
        <x:v>Same-scene direct target control</x:v>
      </x:c>
      <x:c r="M75" s="8" t="str">
        <x:f>'Evaluation Plan'!M75</x:f>
        <x:v>green block</x:v>
      </x:c>
      <x:c r="N75" s="8" t="str">
        <x:f>'Evaluation Plan'!N75</x:f>
        <x:v>Left</x:v>
      </x:c>
      <x:c r="O75" s="8" t="n">
        <x:f>'Evaluation Plan'!O75</x:f>
        <x:v>2</x:v>
      </x:c>
      <x:c r="P75" s="8" t="n">
        <x:f>IF(ISBLANK('Evaluation Plan'!P75),"",'Evaluation Plan'!P75)</x:f>
        <x:v>16</x:v>
      </x:c>
      <x:c r="Q75" s="8" t="str">
        <x:f>'Evaluation Plan'!Q75</x:f>
        <x:v>Reset the target to its original pose; change only the prompt.</x:v>
      </x:c>
      <x:c r="R75" s="7" t="str">
        <x:f>'Evaluation Plan'!R75</x:f>
        <x:v>Exact-scene control using a direct prompt supported by training episode 1078.</x:v>
      </x:c>
      <x:c r="S75" s="7" t="str">
        <x:f>IF(ISBLANK('Evaluation Plan'!S75),"",'Evaluation Plan'!S75)</x:f>
      </x:c>
    </x:row>
    <x:row r="76" ht="68" customHeight="1">
      <x:c r="A76" s="9" t="str">
        <x:v>Not collected</x:v>
      </x:c>
      <x:c r="B76" s="9" t="n">
        <x:f>'Evaluation Plan'!B76</x:f>
        <x:v>74</x:v>
      </x:c>
      <x:c r="C76" s="10" t="str">
        <x:f>'Evaluation Plan'!C76</x:f>
        <x:v>Move the object that is smallest into the bowl.</x:v>
      </x:c>
      <x:c r="D76" s="10" t="str">
        <x:f>'Evaluation Plan'!D76</x:f>
        <x:v>Bowl: empty. Table, robot-left→robot-right: P1 crushed Pepsi can; P2 juggling ball. Adjacent centers 8 cm apart; row centered on the workspace; all objects fully visible and grasp paths clear.</x:v>
      </x:c>
      <x:c r="E76" s="9" t="str">
        <x:f>IF(ISBLANK('Evaluation Plan'!E76),"",'Evaluation Plan'!E76)</x:f>
      </x:c>
      <x:c r="F76" s="9" t="str">
        <x:f>'Evaluation Plan'!F76</x:f>
        <x:v>1113</x:v>
      </x:c>
      <x:c r="G76" s="9" t="str">
        <x:f>'Evaluation Plan'!G76</x:f>
        <x:v>MOVE juggling ball to bowl</x:v>
      </x:c>
      <x:c r="H76" s="10"/>
      <x:c r="I76" s="9" t="str">
        <x:f>'Evaluation Plan'!I76</x:f>
        <x:v>Concept/compositional transfer</x:v>
      </x:c>
      <x:c r="J76" s="9" t="str">
        <x:f>'Evaluation Plan'!J76</x:f>
        <x:v>SZ-CT-SJ09</x:v>
      </x:c>
      <x:c r="K76" s="9" t="str">
        <x:f>'Evaluation Plan'!K76</x:f>
        <x:v>smallest</x:v>
      </x:c>
      <x:c r="L76" s="9" t="str">
        <x:f>'Evaluation Plan'!L76</x:f>
        <x:v>Held-out smallest × juggling ball — Move</x:v>
      </x:c>
      <x:c r="M76" s="9" t="str">
        <x:f>'Evaluation Plan'!M76</x:f>
        <x:v>juggling ball</x:v>
      </x:c>
      <x:c r="N76" s="9" t="str">
        <x:f>'Evaluation Plan'!N76</x:f>
        <x:v>Right</x:v>
      </x:c>
      <x:c r="O76" s="9" t="n">
        <x:f>'Evaluation Plan'!O76</x:f>
        <x:v>2</x:v>
      </x:c>
      <x:c r="P76" s="9" t="n">
        <x:f>IF(ISBLANK('Evaluation Plan'!P76),"",'Evaluation Plan'!P76)</x:f>
        <x:v>8</x:v>
      </x:c>
      <x:c r="Q76" s="9" t="str">
        <x:f>'Evaluation Plan'!Q76</x:f>
        <x:v>Build the listed two-object scene and save a first-frame filename.</x:v>
      </x:c>
      <x:c r="R76" s="10" t="str">
        <x:f>'Evaluation Plan'!R76</x:f>
        <x:v>Primary missing cell. Training episode 1113 contains the same target trajectory but masks the size word with a direct identity prompt.</x:v>
      </x:c>
      <x:c r="S76" s="10" t="str">
        <x:f>IF(ISBLANK('Evaluation Plan'!S76),"",'Evaluation Plan'!S76)</x:f>
      </x:c>
    </x:row>
    <x:row r="77" ht="68" customHeight="1">
      <x:c r="A77" s="8" t="str">
        <x:v>Not collected</x:v>
      </x:c>
      <x:c r="B77" s="8" t="n">
        <x:f>'Evaluation Plan'!B77</x:f>
        <x:v>75</x:v>
      </x:c>
      <x:c r="C77" s="7" t="str">
        <x:f>'Evaluation Plan'!C77</x:f>
        <x:v>Pick up the juggling ball and place it in the bowl.</x:v>
      </x:c>
      <x:c r="D77" s="7" t="str">
        <x:f>'Evaluation Plan'!D77</x:f>
        <x:v>Bowl: empty. Table, robot-left→robot-right: P1 crushed Pepsi can; P2 juggling ball. Adjacent centers 8 cm apart; row centered on the workspace; all objects fully visible and grasp paths clear.</x:v>
      </x:c>
      <x:c r="E77" s="8" t="n">
        <x:f>IF(ISBLANK('Evaluation Plan'!E77),"",'Evaluation Plan'!E77)</x:f>
        <x:v>74</x:v>
      </x:c>
      <x:c r="F77" s="8" t="str">
        <x:f>'Evaluation Plan'!F77</x:f>
        <x:v>1103</x:v>
      </x:c>
      <x:c r="G77" s="8" t="str">
        <x:f>'Evaluation Plan'!G77</x:f>
        <x:v>MOVE juggling ball to bowl</x:v>
      </x:c>
      <x:c r="H77" s="7"/>
      <x:c r="I77" s="8" t="str">
        <x:f>'Evaluation Plan'!I77</x:f>
        <x:v>Matched manipulation control</x:v>
      </x:c>
      <x:c r="J77" s="8" t="str">
        <x:f>'Evaluation Plan'!J77</x:f>
        <x:v>SZ-CT-SJ09</x:v>
      </x:c>
      <x:c r="K77" s="8" t="str">
        <x:f>'Evaluation Plan'!K77</x:f>
        <x:v>Direct</x:v>
      </x:c>
      <x:c r="L77" s="8" t="str">
        <x:f>'Evaluation Plan'!L77</x:f>
        <x:v>Same-scene direct target control</x:v>
      </x:c>
      <x:c r="M77" s="8" t="str">
        <x:f>'Evaluation Plan'!M77</x:f>
        <x:v>juggling ball</x:v>
      </x:c>
      <x:c r="N77" s="8" t="str">
        <x:f>'Evaluation Plan'!N77</x:f>
        <x:v>Right</x:v>
      </x:c>
      <x:c r="O77" s="8" t="n">
        <x:f>'Evaluation Plan'!O77</x:f>
        <x:v>2</x:v>
      </x:c>
      <x:c r="P77" s="8" t="n">
        <x:f>IF(ISBLANK('Evaluation Plan'!P77),"",'Evaluation Plan'!P77)</x:f>
        <x:v>8</x:v>
      </x:c>
      <x:c r="Q77" s="8" t="str">
        <x:f>'Evaluation Plan'!Q77</x:f>
        <x:v>Reset the target to its original pose; change only the prompt.</x:v>
      </x:c>
      <x:c r="R77" s="7" t="str">
        <x:f>'Evaluation Plan'!R77</x:f>
        <x:v>Exact-scene control using a direct prompt supported by training episode 1103.</x:v>
      </x:c>
      <x:c r="S77" s="7" t="str">
        <x:f>IF(ISBLANK('Evaluation Plan'!S77),"",'Evaluation Plan'!S77)</x:f>
      </x:c>
    </x:row>
    <x:row r="78" ht="68" customHeight="1">
      <x:c r="A78" s="9" t="str">
        <x:v>Not collected</x:v>
      </x:c>
      <x:c r="B78" s="9" t="n">
        <x:f>'Evaluation Plan'!B78</x:f>
        <x:v>76</x:v>
      </x:c>
      <x:c r="C78" s="10" t="str">
        <x:f>'Evaluation Plan'!C78</x:f>
        <x:v>Move the object that is largest into the bowl.</x:v>
      </x:c>
      <x:c r="D78" s="10" t="str">
        <x:f>'Evaluation Plan'!D78</x:f>
        <x:v>Bowl: empty. Table, robot-left→robot-right: P1 red pencil sharpener; P2 green block. Adjacent centers 8 cm apart; row shifted 4 cm away from the robot; all objects fully visible and grasp paths clear.</x:v>
      </x:c>
      <x:c r="E78" s="9" t="str">
        <x:f>IF(ISBLANK('Evaluation Plan'!E78),"",'Evaluation Plan'!E78)</x:f>
      </x:c>
      <x:c r="F78" s="9" t="str">
        <x:f>'Evaluation Plan'!F78</x:f>
        <x:v>1089</x:v>
      </x:c>
      <x:c r="G78" s="9" t="str">
        <x:f>'Evaluation Plan'!G78</x:f>
        <x:v>MOVE green block to bowl</x:v>
      </x:c>
      <x:c r="H78" s="10"/>
      <x:c r="I78" s="9" t="str">
        <x:f>'Evaluation Plan'!I78</x:f>
        <x:v>Concept/compositional transfer</x:v>
      </x:c>
      <x:c r="J78" s="9" t="str">
        <x:f>'Evaluation Plan'!J78</x:f>
        <x:v>SZ-CT-LG10</x:v>
      </x:c>
      <x:c r="K78" s="9" t="str">
        <x:f>'Evaluation Plan'!K78</x:f>
        <x:v>largest</x:v>
      </x:c>
      <x:c r="L78" s="9" t="str">
        <x:f>'Evaluation Plan'!L78</x:f>
        <x:v>Held-out largest × green block — Move</x:v>
      </x:c>
      <x:c r="M78" s="9" t="str">
        <x:f>'Evaluation Plan'!M78</x:f>
        <x:v>green block</x:v>
      </x:c>
      <x:c r="N78" s="9" t="str">
        <x:f>'Evaluation Plan'!N78</x:f>
        <x:v>Right</x:v>
      </x:c>
      <x:c r="O78" s="9" t="n">
        <x:f>'Evaluation Plan'!O78</x:f>
        <x:v>2</x:v>
      </x:c>
      <x:c r="P78" s="9" t="n">
        <x:f>IF(ISBLANK('Evaluation Plan'!P78),"",'Evaluation Plan'!P78)</x:f>
        <x:v>8</x:v>
      </x:c>
      <x:c r="Q78" s="9" t="str">
        <x:f>'Evaluation Plan'!Q78</x:f>
        <x:v>Build the listed two-object scene and save a first-frame filename.</x:v>
      </x:c>
      <x:c r="R78" s="10" t="str">
        <x:f>'Evaluation Plan'!R78</x:f>
        <x:v>Primary missing cell. Training episode 1089 contains the same target trajectory but masks the size word with a direct identity prompt.</x:v>
      </x:c>
      <x:c r="S78" s="10" t="str">
        <x:f>IF(ISBLANK('Evaluation Plan'!S78),"",'Evaluation Plan'!S78)</x:f>
      </x:c>
    </x:row>
    <x:row r="79" ht="68" customHeight="1">
      <x:c r="A79" s="8" t="str">
        <x:v>Not collected</x:v>
      </x:c>
      <x:c r="B79" s="8" t="n">
        <x:f>'Evaluation Plan'!B79</x:f>
        <x:v>77</x:v>
      </x:c>
      <x:c r="C79" s="7" t="str">
        <x:f>'Evaluation Plan'!C79</x:f>
        <x:v>Put the green block in the bowl.</x:v>
      </x:c>
      <x:c r="D79" s="7" t="str">
        <x:f>'Evaluation Plan'!D79</x:f>
        <x:v>Bowl: empty. Table, robot-left→robot-right: P1 red pencil sharpener; P2 green block. Adjacent centers 8 cm apart; row shifted 4 cm away from the robot; all objects fully visible and grasp paths clear.</x:v>
      </x:c>
      <x:c r="E79" s="8" t="n">
        <x:f>IF(ISBLANK('Evaluation Plan'!E79),"",'Evaluation Plan'!E79)</x:f>
        <x:v>76</x:v>
      </x:c>
      <x:c r="F79" s="8" t="str">
        <x:f>'Evaluation Plan'!F79</x:f>
        <x:v>1079</x:v>
      </x:c>
      <x:c r="G79" s="8" t="str">
        <x:f>'Evaluation Plan'!G79</x:f>
        <x:v>MOVE green block to bowl</x:v>
      </x:c>
      <x:c r="H79" s="7"/>
      <x:c r="I79" s="8" t="str">
        <x:f>'Evaluation Plan'!I79</x:f>
        <x:v>Matched manipulation control</x:v>
      </x:c>
      <x:c r="J79" s="8" t="str">
        <x:f>'Evaluation Plan'!J79</x:f>
        <x:v>SZ-CT-LG10</x:v>
      </x:c>
      <x:c r="K79" s="8" t="str">
        <x:f>'Evaluation Plan'!K79</x:f>
        <x:v>Direct</x:v>
      </x:c>
      <x:c r="L79" s="8" t="str">
        <x:f>'Evaluation Plan'!L79</x:f>
        <x:v>Same-scene direct target control</x:v>
      </x:c>
      <x:c r="M79" s="8" t="str">
        <x:f>'Evaluation Plan'!M79</x:f>
        <x:v>green block</x:v>
      </x:c>
      <x:c r="N79" s="8" t="str">
        <x:f>'Evaluation Plan'!N79</x:f>
        <x:v>Right</x:v>
      </x:c>
      <x:c r="O79" s="8" t="n">
        <x:f>'Evaluation Plan'!O79</x:f>
        <x:v>2</x:v>
      </x:c>
      <x:c r="P79" s="8" t="n">
        <x:f>IF(ISBLANK('Evaluation Plan'!P79),"",'Evaluation Plan'!P79)</x:f>
        <x:v>8</x:v>
      </x:c>
      <x:c r="Q79" s="8" t="str">
        <x:f>'Evaluation Plan'!Q79</x:f>
        <x:v>Reset the target to its original pose; change only the prompt.</x:v>
      </x:c>
      <x:c r="R79" s="7" t="str">
        <x:f>'Evaluation Plan'!R79</x:f>
        <x:v>Exact-scene control using a direct prompt supported by training episode 1079.</x:v>
      </x:c>
      <x:c r="S79" s="7" t="str">
        <x:f>IF(ISBLANK('Evaluation Plan'!S79),"",'Evaluation Plan'!S79)</x:f>
      </x:c>
    </x:row>
    <x:row r="80" ht="68" customHeight="1">
      <x:c r="A80" s="9" t="str">
        <x:v>Not collected</x:v>
      </x:c>
      <x:c r="B80" s="9" t="n">
        <x:f>'Evaluation Plan'!B80</x:f>
        <x:v>78</x:v>
      </x:c>
      <x:c r="C80" s="10" t="str">
        <x:f>'Evaluation Plan'!C80</x:f>
        <x:v>Pick up the smallest item and place it in the bowl.</x:v>
      </x:c>
      <x:c r="D80" s="10" t="str">
        <x:f>'Evaluation Plan'!D80</x:f>
        <x:v>Bowl: empty. Table, robot-left→robot-right: P1 juggling ball; P2 crushed Pepsi can. Adjacent centers 12 cm apart; row shifted 4 cm toward robot-left; all objects fully visible and grasp paths clear.</x:v>
      </x:c>
      <x:c r="E80" s="9" t="str">
        <x:f>IF(ISBLANK('Evaluation Plan'!E80),"",'Evaluation Plan'!E80)</x:f>
      </x:c>
      <x:c r="F80" s="9" t="str">
        <x:f>'Evaluation Plan'!F80</x:f>
        <x:v>1114</x:v>
      </x:c>
      <x:c r="G80" s="9" t="str">
        <x:f>'Evaluation Plan'!G80</x:f>
        <x:v>MOVE juggling ball to bowl</x:v>
      </x:c>
      <x:c r="H80" s="10"/>
      <x:c r="I80" s="9" t="str">
        <x:f>'Evaluation Plan'!I80</x:f>
        <x:v>Concept/compositional transfer</x:v>
      </x:c>
      <x:c r="J80" s="9" t="str">
        <x:f>'Evaluation Plan'!J80</x:f>
        <x:v>SZ-CT-SJ10</x:v>
      </x:c>
      <x:c r="K80" s="9" t="str">
        <x:f>'Evaluation Plan'!K80</x:f>
        <x:v>smallest</x:v>
      </x:c>
      <x:c r="L80" s="9" t="str">
        <x:f>'Evaluation Plan'!L80</x:f>
        <x:v>Held-out smallest × juggling ball — Pick up</x:v>
      </x:c>
      <x:c r="M80" s="9" t="str">
        <x:f>'Evaluation Plan'!M80</x:f>
        <x:v>juggling ball</x:v>
      </x:c>
      <x:c r="N80" s="9" t="str">
        <x:f>'Evaluation Plan'!N80</x:f>
        <x:v>Left</x:v>
      </x:c>
      <x:c r="O80" s="9" t="n">
        <x:f>'Evaluation Plan'!O80</x:f>
        <x:v>2</x:v>
      </x:c>
      <x:c r="P80" s="9" t="n">
        <x:f>IF(ISBLANK('Evaluation Plan'!P80),"",'Evaluation Plan'!P80)</x:f>
        <x:v>12</x:v>
      </x:c>
      <x:c r="Q80" s="9" t="str">
        <x:f>'Evaluation Plan'!Q80</x:f>
        <x:v>Build the listed two-object scene and save a first-frame filename.</x:v>
      </x:c>
      <x:c r="R80" s="10" t="str">
        <x:f>'Evaluation Plan'!R80</x:f>
        <x:v>Primary missing cell. Training episode 1114 contains the same target trajectory but masks the size word with a direct identity prompt.</x:v>
      </x:c>
      <x:c r="S80" s="10" t="str">
        <x:f>IF(ISBLANK('Evaluation Plan'!S80),"",'Evaluation Plan'!S80)</x:f>
      </x:c>
    </x:row>
    <x:row r="81" ht="68" customHeight="1">
      <x:c r="A81" s="8" t="str">
        <x:v>Not collected</x:v>
      </x:c>
      <x:c r="B81" s="8" t="n">
        <x:f>'Evaluation Plan'!B81</x:f>
        <x:v>79</x:v>
      </x:c>
      <x:c r="C81" s="7" t="str">
        <x:f>'Evaluation Plan'!C81</x:f>
        <x:v>Put the juggling ball in the bowl.</x:v>
      </x:c>
      <x:c r="D81" s="7" t="str">
        <x:f>'Evaluation Plan'!D81</x:f>
        <x:v>Bowl: empty. Table, robot-left→robot-right: P1 juggling ball; P2 crushed Pepsi can. Adjacent centers 12 cm apart; row shifted 4 cm toward robot-left; all objects fully visible and grasp paths clear.</x:v>
      </x:c>
      <x:c r="E81" s="8" t="n">
        <x:f>IF(ISBLANK('Evaluation Plan'!E81),"",'Evaluation Plan'!E81)</x:f>
        <x:v>78</x:v>
      </x:c>
      <x:c r="F81" s="8" t="str">
        <x:f>'Evaluation Plan'!F81</x:f>
        <x:v>1104</x:v>
      </x:c>
      <x:c r="G81" s="8" t="str">
        <x:f>'Evaluation Plan'!G81</x:f>
        <x:v>MOVE juggling ball to bowl</x:v>
      </x:c>
      <x:c r="H81" s="7"/>
      <x:c r="I81" s="8" t="str">
        <x:f>'Evaluation Plan'!I81</x:f>
        <x:v>Matched manipulation control</x:v>
      </x:c>
      <x:c r="J81" s="8" t="str">
        <x:f>'Evaluation Plan'!J81</x:f>
        <x:v>SZ-CT-SJ10</x:v>
      </x:c>
      <x:c r="K81" s="8" t="str">
        <x:f>'Evaluation Plan'!K81</x:f>
        <x:v>Direct</x:v>
      </x:c>
      <x:c r="L81" s="8" t="str">
        <x:f>'Evaluation Plan'!L81</x:f>
        <x:v>Same-scene direct target control</x:v>
      </x:c>
      <x:c r="M81" s="8" t="str">
        <x:f>'Evaluation Plan'!M81</x:f>
        <x:v>juggling ball</x:v>
      </x:c>
      <x:c r="N81" s="8" t="str">
        <x:f>'Evaluation Plan'!N81</x:f>
        <x:v>Left</x:v>
      </x:c>
      <x:c r="O81" s="8" t="n">
        <x:f>'Evaluation Plan'!O81</x:f>
        <x:v>2</x:v>
      </x:c>
      <x:c r="P81" s="8" t="n">
        <x:f>IF(ISBLANK('Evaluation Plan'!P81),"",'Evaluation Plan'!P81)</x:f>
        <x:v>12</x:v>
      </x:c>
      <x:c r="Q81" s="8" t="str">
        <x:f>'Evaluation Plan'!Q81</x:f>
        <x:v>Reset the target to its original pose; change only the prompt.</x:v>
      </x:c>
      <x:c r="R81" s="7" t="str">
        <x:f>'Evaluation Plan'!R81</x:f>
        <x:v>Exact-scene control using a direct prompt supported by training episode 1104.</x:v>
      </x:c>
      <x:c r="S81" s="7" t="str">
        <x:f>IF(ISBLANK('Evaluation Plan'!S81),"",'Evaluation Plan'!S81)</x:f>
      </x:c>
    </x:row>
    <x:row r="82" ht="68" customHeight="1">
      <x:c r="A82" s="9" t="str">
        <x:v>Not collected</x:v>
      </x:c>
      <x:c r="B82" s="9" t="n">
        <x:f>'Evaluation Plan'!B82</x:f>
        <x:v>80</x:v>
      </x:c>
      <x:c r="C82" s="10" t="str">
        <x:f>'Evaluation Plan'!C82</x:f>
        <x:v>Pick up the largest item and place it in the bowl.</x:v>
      </x:c>
      <x:c r="D82" s="10" t="str">
        <x:f>'Evaluation Plan'!D82</x:f>
        <x:v>Bowl: empty. Table, robot-left→robot-right: P1 green block; P2 red pencil sharpener. Adjacent centers 12 cm apart; row centered on the workspace; all objects fully visible and grasp paths clear.</x:v>
      </x:c>
      <x:c r="E82" s="9" t="str">
        <x:f>IF(ISBLANK('Evaluation Plan'!E82),"",'Evaluation Plan'!E82)</x:f>
      </x:c>
      <x:c r="F82" s="9" t="str">
        <x:f>'Evaluation Plan'!F82</x:f>
        <x:v>1090</x:v>
      </x:c>
      <x:c r="G82" s="9" t="str">
        <x:f>'Evaluation Plan'!G82</x:f>
        <x:v>MOVE green block to bowl</x:v>
      </x:c>
      <x:c r="H82" s="10"/>
      <x:c r="I82" s="9" t="str">
        <x:f>'Evaluation Plan'!I82</x:f>
        <x:v>Concept/compositional transfer</x:v>
      </x:c>
      <x:c r="J82" s="9" t="str">
        <x:f>'Evaluation Plan'!J82</x:f>
        <x:v>SZ-CT-LG11</x:v>
      </x:c>
      <x:c r="K82" s="9" t="str">
        <x:f>'Evaluation Plan'!K82</x:f>
        <x:v>largest</x:v>
      </x:c>
      <x:c r="L82" s="9" t="str">
        <x:f>'Evaluation Plan'!L82</x:f>
        <x:v>Held-out largest × green block — Pick up</x:v>
      </x:c>
      <x:c r="M82" s="9" t="str">
        <x:f>'Evaluation Plan'!M82</x:f>
        <x:v>green block</x:v>
      </x:c>
      <x:c r="N82" s="9" t="str">
        <x:f>'Evaluation Plan'!N82</x:f>
        <x:v>Left</x:v>
      </x:c>
      <x:c r="O82" s="9" t="n">
        <x:f>'Evaluation Plan'!O82</x:f>
        <x:v>2</x:v>
      </x:c>
      <x:c r="P82" s="9" t="n">
        <x:f>IF(ISBLANK('Evaluation Plan'!P82),"",'Evaluation Plan'!P82)</x:f>
        <x:v>12</x:v>
      </x:c>
      <x:c r="Q82" s="9" t="str">
        <x:f>'Evaluation Plan'!Q82</x:f>
        <x:v>Build the listed two-object scene and save a first-frame filename.</x:v>
      </x:c>
      <x:c r="R82" s="10" t="str">
        <x:f>'Evaluation Plan'!R82</x:f>
        <x:v>Primary missing cell. Training episode 1090 contains the same target trajectory but masks the size word with a direct identity prompt.</x:v>
      </x:c>
      <x:c r="S82" s="10" t="str">
        <x:f>IF(ISBLANK('Evaluation Plan'!S82),"",'Evaluation Plan'!S82)</x:f>
      </x:c>
    </x:row>
    <x:row r="83" ht="68" customHeight="1">
      <x:c r="A83" s="9" t="str">
        <x:v>Not collected</x:v>
      </x:c>
      <x:c r="B83" s="9" t="n">
        <x:f>'Evaluation Plan'!B83</x:f>
        <x:v>81</x:v>
      </x:c>
      <x:c r="C83" s="10" t="str">
        <x:f>'Evaluation Plan'!C83</x:f>
        <x:v>Put the smallest object in the bowl.</x:v>
      </x:c>
      <x:c r="D83" s="10" t="str">
        <x:f>'Evaluation Plan'!D83</x:f>
        <x:v>Bowl: empty. Table, robot-left→robot-right: P1 crushed Pepsi can; P2 juggling ball. Adjacent centers 16 cm apart; row shifted 4 cm toward robot-right; all objects fully visible and grasp paths clear.</x:v>
      </x:c>
      <x:c r="E83" s="9" t="str">
        <x:f>IF(ISBLANK('Evaluation Plan'!E83),"",'Evaluation Plan'!E83)</x:f>
      </x:c>
      <x:c r="F83" s="9" t="str">
        <x:f>'Evaluation Plan'!F83</x:f>
        <x:v>1115</x:v>
      </x:c>
      <x:c r="G83" s="9" t="str">
        <x:f>'Evaluation Plan'!G83</x:f>
        <x:v>MOVE juggling ball to bowl</x:v>
      </x:c>
      <x:c r="H83" s="10"/>
      <x:c r="I83" s="9" t="str">
        <x:f>'Evaluation Plan'!I83</x:f>
        <x:v>Concept/compositional transfer</x:v>
      </x:c>
      <x:c r="J83" s="9" t="str">
        <x:f>'Evaluation Plan'!J83</x:f>
        <x:v>SZ-CT-SJ11</x:v>
      </x:c>
      <x:c r="K83" s="9" t="str">
        <x:f>'Evaluation Plan'!K83</x:f>
        <x:v>smallest</x:v>
      </x:c>
      <x:c r="L83" s="9" t="str">
        <x:f>'Evaluation Plan'!L83</x:f>
        <x:v>Held-out smallest × juggling ball — Put</x:v>
      </x:c>
      <x:c r="M83" s="9" t="str">
        <x:f>'Evaluation Plan'!M83</x:f>
        <x:v>juggling ball</x:v>
      </x:c>
      <x:c r="N83" s="9" t="str">
        <x:f>'Evaluation Plan'!N83</x:f>
        <x:v>Right</x:v>
      </x:c>
      <x:c r="O83" s="9" t="n">
        <x:f>'Evaluation Plan'!O83</x:f>
        <x:v>2</x:v>
      </x:c>
      <x:c r="P83" s="9" t="n">
        <x:f>IF(ISBLANK('Evaluation Plan'!P83),"",'Evaluation Plan'!P83)</x:f>
        <x:v>16</x:v>
      </x:c>
      <x:c r="Q83" s="9" t="str">
        <x:f>'Evaluation Plan'!Q83</x:f>
        <x:v>Build the listed two-object scene and save a first-frame filename.</x:v>
      </x:c>
      <x:c r="R83" s="10" t="str">
        <x:f>'Evaluation Plan'!R83</x:f>
        <x:v>Primary missing cell. Training episode 1115 contains the same target trajectory but masks the size word with a direct identity prompt.</x:v>
      </x:c>
      <x:c r="S83" s="10" t="str">
        <x:f>IF(ISBLANK('Evaluation Plan'!S83),"",'Evaluation Plan'!S83)</x:f>
      </x:c>
    </x:row>
    <x:row r="84" ht="68" customHeight="1">
      <x:c r="A84" s="9" t="str">
        <x:v>Not collected</x:v>
      </x:c>
      <x:c r="B84" s="9" t="n">
        <x:f>'Evaluation Plan'!B84</x:f>
        <x:v>82</x:v>
      </x:c>
      <x:c r="C84" s="10" t="str">
        <x:f>'Evaluation Plan'!C84</x:f>
        <x:v>Put the largest object in the bowl.</x:v>
      </x:c>
      <x:c r="D84" s="10" t="str">
        <x:f>'Evaluation Plan'!D84</x:f>
        <x:v>Bowl: empty. Table, robot-left→robot-right: P1 red pencil sharpener; P2 green block. Adjacent centers 16 cm apart; row shifted 4 cm toward robot-left; all objects fully visible and grasp paths clear.</x:v>
      </x:c>
      <x:c r="E84" s="9" t="str">
        <x:f>IF(ISBLANK('Evaluation Plan'!E84),"",'Evaluation Plan'!E84)</x:f>
      </x:c>
      <x:c r="F84" s="9" t="str">
        <x:f>'Evaluation Plan'!F84</x:f>
        <x:v>1091</x:v>
      </x:c>
      <x:c r="G84" s="9" t="str">
        <x:f>'Evaluation Plan'!G84</x:f>
        <x:v>MOVE green block to bowl</x:v>
      </x:c>
      <x:c r="H84" s="10"/>
      <x:c r="I84" s="9" t="str">
        <x:f>'Evaluation Plan'!I84</x:f>
        <x:v>Concept/compositional transfer</x:v>
      </x:c>
      <x:c r="J84" s="9" t="str">
        <x:f>'Evaluation Plan'!J84</x:f>
        <x:v>SZ-CT-LG12</x:v>
      </x:c>
      <x:c r="K84" s="9" t="str">
        <x:f>'Evaluation Plan'!K84</x:f>
        <x:v>largest</x:v>
      </x:c>
      <x:c r="L84" s="9" t="str">
        <x:f>'Evaluation Plan'!L84</x:f>
        <x:v>Held-out largest × green block — Put</x:v>
      </x:c>
      <x:c r="M84" s="9" t="str">
        <x:f>'Evaluation Plan'!M84</x:f>
        <x:v>green block</x:v>
      </x:c>
      <x:c r="N84" s="9" t="str">
        <x:f>'Evaluation Plan'!N84</x:f>
        <x:v>Right</x:v>
      </x:c>
      <x:c r="O84" s="9" t="n">
        <x:f>'Evaluation Plan'!O84</x:f>
        <x:v>2</x:v>
      </x:c>
      <x:c r="P84" s="9" t="n">
        <x:f>IF(ISBLANK('Evaluation Plan'!P84),"",'Evaluation Plan'!P84)</x:f>
        <x:v>16</x:v>
      </x:c>
      <x:c r="Q84" s="9" t="str">
        <x:f>'Evaluation Plan'!Q84</x:f>
        <x:v>Build the listed two-object scene and save a first-frame filename.</x:v>
      </x:c>
      <x:c r="R84" s="10" t="str">
        <x:f>'Evaluation Plan'!R84</x:f>
        <x:v>Primary missing cell. Training episode 1091 contains the same target trajectory but masks the size word with a direct identity prompt.</x:v>
      </x:c>
      <x:c r="S84" s="10" t="str">
        <x:f>IF(ISBLANK('Evaluation Plan'!S84),"",'Evaluation Plan'!S84)</x:f>
      </x:c>
    </x:row>
    <x:row r="85" ht="68" customHeight="1">
      <x:c r="A85" s="9" t="str">
        <x:v>Not collected</x:v>
      </x:c>
      <x:c r="B85" s="9" t="n">
        <x:f>'Evaluation Plan'!B85</x:f>
        <x:v>83</x:v>
      </x:c>
      <x:c r="C85" s="10" t="str">
        <x:f>'Evaluation Plan'!C85</x:f>
        <x:v>Move the object that is smallest into the bowl.</x:v>
      </x:c>
      <x:c r="D85" s="10" t="str">
        <x:f>'Evaluation Plan'!D85</x:f>
        <x:v>Bowl: empty. Table, robot-left→robot-right: P1 juggling ball; P2 crushed Pepsi can. Adjacent centers 8 cm apart; row shifted 4 cm toward the robot; all objects fully visible and grasp paths clear.</x:v>
      </x:c>
      <x:c r="E85" s="9" t="str">
        <x:f>IF(ISBLANK('Evaluation Plan'!E85),"",'Evaluation Plan'!E85)</x:f>
      </x:c>
      <x:c r="F85" s="9" t="str">
        <x:f>'Evaluation Plan'!F85</x:f>
        <x:v>1116</x:v>
      </x:c>
      <x:c r="G85" s="9" t="str">
        <x:f>'Evaluation Plan'!G85</x:f>
        <x:v>MOVE juggling ball to bowl</x:v>
      </x:c>
      <x:c r="H85" s="10"/>
      <x:c r="I85" s="9" t="str">
        <x:f>'Evaluation Plan'!I85</x:f>
        <x:v>Concept/compositional transfer</x:v>
      </x:c>
      <x:c r="J85" s="9" t="str">
        <x:f>'Evaluation Plan'!J85</x:f>
        <x:v>SZ-CT-SJ12</x:v>
      </x:c>
      <x:c r="K85" s="9" t="str">
        <x:f>'Evaluation Plan'!K85</x:f>
        <x:v>smallest</x:v>
      </x:c>
      <x:c r="L85" s="9" t="str">
        <x:f>'Evaluation Plan'!L85</x:f>
        <x:v>Held-out smallest × juggling ball — Move</x:v>
      </x:c>
      <x:c r="M85" s="9" t="str">
        <x:f>'Evaluation Plan'!M85</x:f>
        <x:v>juggling ball</x:v>
      </x:c>
      <x:c r="N85" s="9" t="str">
        <x:f>'Evaluation Plan'!N85</x:f>
        <x:v>Left</x:v>
      </x:c>
      <x:c r="O85" s="9" t="n">
        <x:f>'Evaluation Plan'!O85</x:f>
        <x:v>2</x:v>
      </x:c>
      <x:c r="P85" s="9" t="n">
        <x:f>IF(ISBLANK('Evaluation Plan'!P85),"",'Evaluation Plan'!P85)</x:f>
        <x:v>8</x:v>
      </x:c>
      <x:c r="Q85" s="9" t="str">
        <x:f>'Evaluation Plan'!Q85</x:f>
        <x:v>Build the listed two-object scene and save a first-frame filename.</x:v>
      </x:c>
      <x:c r="R85" s="10" t="str">
        <x:f>'Evaluation Plan'!R85</x:f>
        <x:v>Primary missing cell. Training episode 1116 contains the same target trajectory but masks the size word with a direct identity prompt.</x:v>
      </x:c>
      <x:c r="S85" s="10" t="str">
        <x:f>IF(ISBLANK('Evaluation Plan'!S85),"",'Evaluation Plan'!S85)</x:f>
      </x:c>
    </x:row>
    <x:row r="86" ht="68" customHeight="1">
      <x:c r="A86" s="9" t="str">
        <x:v>Not collected</x:v>
      </x:c>
      <x:c r="B86" s="9" t="n">
        <x:f>'Evaluation Plan'!B86</x:f>
        <x:v>84</x:v>
      </x:c>
      <x:c r="C86" s="10" t="str">
        <x:f>'Evaluation Plan'!C86</x:f>
        <x:v>Move the object that is largest into the bowl.</x:v>
      </x:c>
      <x:c r="D86" s="10" t="str">
        <x:f>'Evaluation Plan'!D86</x:f>
        <x:v>Bowl: empty. Table, robot-left→robot-right: P1 green block; P2 red pencil sharpener. Adjacent centers 8 cm apart; row shifted 4 cm toward robot-right; all objects fully visible and grasp paths clear.</x:v>
      </x:c>
      <x:c r="E86" s="9" t="str">
        <x:f>IF(ISBLANK('Evaluation Plan'!E86),"",'Evaluation Plan'!E86)</x:f>
      </x:c>
      <x:c r="F86" s="9" t="str">
        <x:f>'Evaluation Plan'!F86</x:f>
        <x:v>1092</x:v>
      </x:c>
      <x:c r="G86" s="9" t="str">
        <x:f>'Evaluation Plan'!G86</x:f>
        <x:v>MOVE green block to bowl</x:v>
      </x:c>
      <x:c r="H86" s="10"/>
      <x:c r="I86" s="9" t="str">
        <x:f>'Evaluation Plan'!I86</x:f>
        <x:v>Concept/compositional transfer</x:v>
      </x:c>
      <x:c r="J86" s="9" t="str">
        <x:f>'Evaluation Plan'!J86</x:f>
        <x:v>SZ-CT-LG13</x:v>
      </x:c>
      <x:c r="K86" s="9" t="str">
        <x:f>'Evaluation Plan'!K86</x:f>
        <x:v>largest</x:v>
      </x:c>
      <x:c r="L86" s="9" t="str">
        <x:f>'Evaluation Plan'!L86</x:f>
        <x:v>Held-out largest × green block — Move</x:v>
      </x:c>
      <x:c r="M86" s="9" t="str">
        <x:f>'Evaluation Plan'!M86</x:f>
        <x:v>green block</x:v>
      </x:c>
      <x:c r="N86" s="9" t="str">
        <x:f>'Evaluation Plan'!N86</x:f>
        <x:v>Left</x:v>
      </x:c>
      <x:c r="O86" s="9" t="n">
        <x:f>'Evaluation Plan'!O86</x:f>
        <x:v>2</x:v>
      </x:c>
      <x:c r="P86" s="9" t="n">
        <x:f>IF(ISBLANK('Evaluation Plan'!P86),"",'Evaluation Plan'!P86)</x:f>
        <x:v>8</x:v>
      </x:c>
      <x:c r="Q86" s="9" t="str">
        <x:f>'Evaluation Plan'!Q86</x:f>
        <x:v>Build the listed two-object scene and save a first-frame filename.</x:v>
      </x:c>
      <x:c r="R86" s="10" t="str">
        <x:f>'Evaluation Plan'!R86</x:f>
        <x:v>Primary missing cell. Training episode 1092 contains the same target trajectory but masks the size word with a direct identity prompt.</x:v>
      </x:c>
      <x:c r="S86" s="10" t="str">
        <x:f>IF(ISBLANK('Evaluation Plan'!S86),"",'Evaluation Plan'!S86)</x:f>
      </x:c>
    </x:row>
    <x:row r="87" ht="68" customHeight="1">
      <x:c r="A87" s="9" t="str">
        <x:v>Not collected</x:v>
      </x:c>
      <x:c r="B87" s="9" t="n">
        <x:f>'Evaluation Plan'!B87</x:f>
        <x:v>85</x:v>
      </x:c>
      <x:c r="C87" s="10" t="str">
        <x:f>'Evaluation Plan'!C87</x:f>
        <x:v>Pick up the smallest item and place it in the bowl.</x:v>
      </x:c>
      <x:c r="D87" s="10" t="str">
        <x:f>'Evaluation Plan'!D87</x:f>
        <x:v>Bowl: empty. Table, robot-left→robot-right: P1 crushed Pepsi can; P2 juggling ball. Adjacent centers 12 cm apart; row shifted 4 cm away from the robot; all objects fully visible and grasp paths clear.</x:v>
      </x:c>
      <x:c r="E87" s="9" t="str">
        <x:f>IF(ISBLANK('Evaluation Plan'!E87),"",'Evaluation Plan'!E87)</x:f>
      </x:c>
      <x:c r="F87" s="9" t="str">
        <x:f>'Evaluation Plan'!F87</x:f>
        <x:v>1117</x:v>
      </x:c>
      <x:c r="G87" s="9" t="str">
        <x:f>'Evaluation Plan'!G87</x:f>
        <x:v>MOVE juggling ball to bowl</x:v>
      </x:c>
      <x:c r="H87" s="10"/>
      <x:c r="I87" s="9" t="str">
        <x:f>'Evaluation Plan'!I87</x:f>
        <x:v>Concept/compositional transfer</x:v>
      </x:c>
      <x:c r="J87" s="9" t="str">
        <x:f>'Evaluation Plan'!J87</x:f>
        <x:v>SZ-CT-SJ13</x:v>
      </x:c>
      <x:c r="K87" s="9" t="str">
        <x:f>'Evaluation Plan'!K87</x:f>
        <x:v>smallest</x:v>
      </x:c>
      <x:c r="L87" s="9" t="str">
        <x:f>'Evaluation Plan'!L87</x:f>
        <x:v>Held-out smallest × juggling ball — Pick up</x:v>
      </x:c>
      <x:c r="M87" s="9" t="str">
        <x:f>'Evaluation Plan'!M87</x:f>
        <x:v>juggling ball</x:v>
      </x:c>
      <x:c r="N87" s="9" t="str">
        <x:f>'Evaluation Plan'!N87</x:f>
        <x:v>Right</x:v>
      </x:c>
      <x:c r="O87" s="9" t="n">
        <x:f>'Evaluation Plan'!O87</x:f>
        <x:v>2</x:v>
      </x:c>
      <x:c r="P87" s="9" t="n">
        <x:f>IF(ISBLANK('Evaluation Plan'!P87),"",'Evaluation Plan'!P87)</x:f>
        <x:v>12</x:v>
      </x:c>
      <x:c r="Q87" s="9" t="str">
        <x:f>'Evaluation Plan'!Q87</x:f>
        <x:v>Build the listed two-object scene and save a first-frame filename.</x:v>
      </x:c>
      <x:c r="R87" s="10" t="str">
        <x:f>'Evaluation Plan'!R87</x:f>
        <x:v>Primary missing cell. Training episode 1117 contains the same target trajectory but masks the size word with a direct identity prompt.</x:v>
      </x:c>
      <x:c r="S87" s="10" t="str">
        <x:f>IF(ISBLANK('Evaluation Plan'!S87),"",'Evaluation Plan'!S87)</x:f>
      </x:c>
    </x:row>
    <x:row r="88" ht="68" customHeight="1">
      <x:c r="A88" s="9" t="str">
        <x:v>Not collected</x:v>
      </x:c>
      <x:c r="B88" s="9" t="n">
        <x:f>'Evaluation Plan'!B88</x:f>
        <x:v>86</x:v>
      </x:c>
      <x:c r="C88" s="10" t="str">
        <x:f>'Evaluation Plan'!C88</x:f>
        <x:v>Pick up the largest item and place it in the bowl.</x:v>
      </x:c>
      <x:c r="D88" s="10" t="str">
        <x:f>'Evaluation Plan'!D88</x:f>
        <x:v>Bowl: empty. Table, robot-left→robot-right: P1 red pencil sharpener; P2 green block. Adjacent centers 12 cm apart; row shifted 4 cm toward the robot; all objects fully visible and grasp paths clear.</x:v>
      </x:c>
      <x:c r="E88" s="9" t="str">
        <x:f>IF(ISBLANK('Evaluation Plan'!E88),"",'Evaluation Plan'!E88)</x:f>
      </x:c>
      <x:c r="F88" s="9" t="str">
        <x:f>'Evaluation Plan'!F88</x:f>
        <x:v>1093</x:v>
      </x:c>
      <x:c r="G88" s="9" t="str">
        <x:f>'Evaluation Plan'!G88</x:f>
        <x:v>MOVE green block to bowl</x:v>
      </x:c>
      <x:c r="H88" s="10"/>
      <x:c r="I88" s="9" t="str">
        <x:f>'Evaluation Plan'!I88</x:f>
        <x:v>Concept/compositional transfer</x:v>
      </x:c>
      <x:c r="J88" s="9" t="str">
        <x:f>'Evaluation Plan'!J88</x:f>
        <x:v>SZ-CT-LG14</x:v>
      </x:c>
      <x:c r="K88" s="9" t="str">
        <x:f>'Evaluation Plan'!K88</x:f>
        <x:v>largest</x:v>
      </x:c>
      <x:c r="L88" s="9" t="str">
        <x:f>'Evaluation Plan'!L88</x:f>
        <x:v>Held-out largest × green block — Pick up</x:v>
      </x:c>
      <x:c r="M88" s="9" t="str">
        <x:f>'Evaluation Plan'!M88</x:f>
        <x:v>green block</x:v>
      </x:c>
      <x:c r="N88" s="9" t="str">
        <x:f>'Evaluation Plan'!N88</x:f>
        <x:v>Right</x:v>
      </x:c>
      <x:c r="O88" s="9" t="n">
        <x:f>'Evaluation Plan'!O88</x:f>
        <x:v>2</x:v>
      </x:c>
      <x:c r="P88" s="9" t="n">
        <x:f>IF(ISBLANK('Evaluation Plan'!P88),"",'Evaluation Plan'!P88)</x:f>
        <x:v>12</x:v>
      </x:c>
      <x:c r="Q88" s="9" t="str">
        <x:f>'Evaluation Plan'!Q88</x:f>
        <x:v>Build the listed two-object scene and save a first-frame filename.</x:v>
      </x:c>
      <x:c r="R88" s="10" t="str">
        <x:f>'Evaluation Plan'!R88</x:f>
        <x:v>Primary missing cell. Training episode 1093 contains the same target trajectory but masks the size word with a direct identity prompt.</x:v>
      </x:c>
      <x:c r="S88" s="10" t="str">
        <x:f>IF(ISBLANK('Evaluation Plan'!S88),"",'Evaluation Plan'!S88)</x:f>
      </x:c>
    </x:row>
    <x:row r="89" ht="68" customHeight="1">
      <x:c r="A89" s="9" t="str">
        <x:v>Not collected</x:v>
      </x:c>
      <x:c r="B89" s="9" t="n">
        <x:f>'Evaluation Plan'!B89</x:f>
        <x:v>87</x:v>
      </x:c>
      <x:c r="C89" s="10" t="str">
        <x:f>'Evaluation Plan'!C89</x:f>
        <x:v>Put the smallest object in the bowl.</x:v>
      </x:c>
      <x:c r="D89" s="10" t="str">
        <x:f>'Evaluation Plan'!D89</x:f>
        <x:v>Bowl: empty. Table, robot-left→robot-right: P1 juggling ball; P2 crushed Pepsi can. Adjacent centers 16 cm apart; row centered on the workspace; all objects fully visible and grasp paths clear.</x:v>
      </x:c>
      <x:c r="E89" s="9" t="str">
        <x:f>IF(ISBLANK('Evaluation Plan'!E89),"",'Evaluation Plan'!E89)</x:f>
      </x:c>
      <x:c r="F89" s="9" t="str">
        <x:f>'Evaluation Plan'!F89</x:f>
        <x:v>1118</x:v>
      </x:c>
      <x:c r="G89" s="9" t="str">
        <x:f>'Evaluation Plan'!G89</x:f>
        <x:v>MOVE juggling ball to bowl</x:v>
      </x:c>
      <x:c r="H89" s="10"/>
      <x:c r="I89" s="9" t="str">
        <x:f>'Evaluation Plan'!I89</x:f>
        <x:v>Concept/compositional transfer</x:v>
      </x:c>
      <x:c r="J89" s="9" t="str">
        <x:f>'Evaluation Plan'!J89</x:f>
        <x:v>SZ-CT-SJ14</x:v>
      </x:c>
      <x:c r="K89" s="9" t="str">
        <x:f>'Evaluation Plan'!K89</x:f>
        <x:v>smallest</x:v>
      </x:c>
      <x:c r="L89" s="9" t="str">
        <x:f>'Evaluation Plan'!L89</x:f>
        <x:v>Held-out smallest × juggling ball — Put</x:v>
      </x:c>
      <x:c r="M89" s="9" t="str">
        <x:f>'Evaluation Plan'!M89</x:f>
        <x:v>juggling ball</x:v>
      </x:c>
      <x:c r="N89" s="9" t="str">
        <x:f>'Evaluation Plan'!N89</x:f>
        <x:v>Left</x:v>
      </x:c>
      <x:c r="O89" s="9" t="n">
        <x:f>'Evaluation Plan'!O89</x:f>
        <x:v>2</x:v>
      </x:c>
      <x:c r="P89" s="9" t="n">
        <x:f>IF(ISBLANK('Evaluation Plan'!P89),"",'Evaluation Plan'!P89)</x:f>
        <x:v>16</x:v>
      </x:c>
      <x:c r="Q89" s="9" t="str">
        <x:f>'Evaluation Plan'!Q89</x:f>
        <x:v>Build the listed two-object scene and save a first-frame filename.</x:v>
      </x:c>
      <x:c r="R89" s="10" t="str">
        <x:f>'Evaluation Plan'!R89</x:f>
        <x:v>Primary missing cell. Training episode 1118 contains the same target trajectory but masks the size word with a direct identity prompt.</x:v>
      </x:c>
      <x:c r="S89" s="10" t="str">
        <x:f>IF(ISBLANK('Evaluation Plan'!S89),"",'Evaluation Plan'!S89)</x:f>
      </x:c>
    </x:row>
    <x:row r="90" ht="68" customHeight="1">
      <x:c r="A90" s="9" t="str">
        <x:v>Not collected</x:v>
      </x:c>
      <x:c r="B90" s="9" t="n">
        <x:f>'Evaluation Plan'!B90</x:f>
        <x:v>88</x:v>
      </x:c>
      <x:c r="C90" s="10" t="str">
        <x:f>'Evaluation Plan'!C90</x:f>
        <x:v>Put the largest object in the bowl.</x:v>
      </x:c>
      <x:c r="D90" s="10" t="str">
        <x:f>'Evaluation Plan'!D90</x:f>
        <x:v>Bowl: empty. Table, robot-left→robot-right: P1 green block; P2 red pencil sharpener. Adjacent centers 16 cm apart; row shifted 4 cm away from the robot; all objects fully visible and grasp paths clear.</x:v>
      </x:c>
      <x:c r="E90" s="9" t="str">
        <x:f>IF(ISBLANK('Evaluation Plan'!E90),"",'Evaluation Plan'!E90)</x:f>
      </x:c>
      <x:c r="F90" s="9" t="str">
        <x:f>'Evaluation Plan'!F90</x:f>
        <x:v>1094</x:v>
      </x:c>
      <x:c r="G90" s="9" t="str">
        <x:f>'Evaluation Plan'!G90</x:f>
        <x:v>MOVE green block to bowl</x:v>
      </x:c>
      <x:c r="H90" s="10"/>
      <x:c r="I90" s="9" t="str">
        <x:f>'Evaluation Plan'!I90</x:f>
        <x:v>Concept/compositional transfer</x:v>
      </x:c>
      <x:c r="J90" s="9" t="str">
        <x:f>'Evaluation Plan'!J90</x:f>
        <x:v>SZ-CT-LG15</x:v>
      </x:c>
      <x:c r="K90" s="9" t="str">
        <x:f>'Evaluation Plan'!K90</x:f>
        <x:v>largest</x:v>
      </x:c>
      <x:c r="L90" s="9" t="str">
        <x:f>'Evaluation Plan'!L90</x:f>
        <x:v>Held-out largest × green block — Put</x:v>
      </x:c>
      <x:c r="M90" s="9" t="str">
        <x:f>'Evaluation Plan'!M90</x:f>
        <x:v>green block</x:v>
      </x:c>
      <x:c r="N90" s="9" t="str">
        <x:f>'Evaluation Plan'!N90</x:f>
        <x:v>Left</x:v>
      </x:c>
      <x:c r="O90" s="9" t="n">
        <x:f>'Evaluation Plan'!O90</x:f>
        <x:v>2</x:v>
      </x:c>
      <x:c r="P90" s="9" t="n">
        <x:f>IF(ISBLANK('Evaluation Plan'!P90),"",'Evaluation Plan'!P90)</x:f>
        <x:v>16</x:v>
      </x:c>
      <x:c r="Q90" s="9" t="str">
        <x:f>'Evaluation Plan'!Q90</x:f>
        <x:v>Build the listed two-object scene and save a first-frame filename.</x:v>
      </x:c>
      <x:c r="R90" s="10" t="str">
        <x:f>'Evaluation Plan'!R90</x:f>
        <x:v>Primary missing cell. Training episode 1094 contains the same target trajectory but masks the size word with a direct identity prompt.</x:v>
      </x:c>
      <x:c r="S90" s="10" t="str">
        <x:f>IF(ISBLANK('Evaluation Plan'!S90),"",'Evaluation Plan'!S90)</x:f>
      </x:c>
    </x:row>
    <x:row r="91" ht="68" customHeight="1">
      <x:c r="A91" s="9" t="str">
        <x:v>Not collected</x:v>
      </x:c>
      <x:c r="B91" s="9" t="n">
        <x:f>'Evaluation Plan'!B91</x:f>
        <x:v>89</x:v>
      </x:c>
      <x:c r="C91" s="10" t="str">
        <x:f>'Evaluation Plan'!C91</x:f>
        <x:v>Move the object that is smallest into the bowl.</x:v>
      </x:c>
      <x:c r="D91" s="10" t="str">
        <x:f>'Evaluation Plan'!D91</x:f>
        <x:v>Bowl: empty. Table, robot-left→robot-right: P1 crushed Pepsi can; P2 juggling ball. Adjacent centers 8 cm apart; row shifted 4 cm toward robot-left; all objects fully visible and grasp paths clear.</x:v>
      </x:c>
      <x:c r="E91" s="9" t="str">
        <x:f>IF(ISBLANK('Evaluation Plan'!E91),"",'Evaluation Plan'!E91)</x:f>
      </x:c>
      <x:c r="F91" s="9" t="str">
        <x:f>'Evaluation Plan'!F91</x:f>
        <x:v>1119</x:v>
      </x:c>
      <x:c r="G91" s="9" t="str">
        <x:f>'Evaluation Plan'!G91</x:f>
        <x:v>MOVE juggling ball to bowl</x:v>
      </x:c>
      <x:c r="H91" s="10"/>
      <x:c r="I91" s="9" t="str">
        <x:f>'Evaluation Plan'!I91</x:f>
        <x:v>Concept/compositional transfer</x:v>
      </x:c>
      <x:c r="J91" s="9" t="str">
        <x:f>'Evaluation Plan'!J91</x:f>
        <x:v>SZ-CT-SJ15</x:v>
      </x:c>
      <x:c r="K91" s="9" t="str">
        <x:f>'Evaluation Plan'!K91</x:f>
        <x:v>smallest</x:v>
      </x:c>
      <x:c r="L91" s="9" t="str">
        <x:f>'Evaluation Plan'!L91</x:f>
        <x:v>Held-out smallest × juggling ball — Move</x:v>
      </x:c>
      <x:c r="M91" s="9" t="str">
        <x:f>'Evaluation Plan'!M91</x:f>
        <x:v>juggling ball</x:v>
      </x:c>
      <x:c r="N91" s="9" t="str">
        <x:f>'Evaluation Plan'!N91</x:f>
        <x:v>Right</x:v>
      </x:c>
      <x:c r="O91" s="9" t="n">
        <x:f>'Evaluation Plan'!O91</x:f>
        <x:v>2</x:v>
      </x:c>
      <x:c r="P91" s="9" t="n">
        <x:f>IF(ISBLANK('Evaluation Plan'!P91),"",'Evaluation Plan'!P91)</x:f>
        <x:v>8</x:v>
      </x:c>
      <x:c r="Q91" s="9" t="str">
        <x:f>'Evaluation Plan'!Q91</x:f>
        <x:v>Build the listed two-object scene and save a first-frame filename.</x:v>
      </x:c>
      <x:c r="R91" s="10" t="str">
        <x:f>'Evaluation Plan'!R91</x:f>
        <x:v>Primary missing cell. Training episode 1119 contains the same target trajectory but masks the size word with a direct identity prompt.</x:v>
      </x:c>
      <x:c r="S91" s="10" t="str">
        <x:f>IF(ISBLANK('Evaluation Plan'!S91),"",'Evaluation Plan'!S91)</x:f>
      </x:c>
    </x:row>
    <x:row r="92" ht="68" customHeight="1">
      <x:c r="A92" s="9" t="str">
        <x:v>Not collected</x:v>
      </x:c>
      <x:c r="B92" s="9" t="n">
        <x:f>'Evaluation Plan'!B92</x:f>
        <x:v>90</x:v>
      </x:c>
      <x:c r="C92" s="10" t="str">
        <x:f>'Evaluation Plan'!C92</x:f>
        <x:v>Move the object that is largest into the bowl.</x:v>
      </x:c>
      <x:c r="D92" s="10" t="str">
        <x:f>'Evaluation Plan'!D92</x:f>
        <x:v>Bowl: empty. Table, robot-left→robot-right: P1 red pencil sharpener; P2 green block. Adjacent centers 8 cm apart; row centered on the workspace; all objects fully visible and grasp paths clear.</x:v>
      </x:c>
      <x:c r="E92" s="9" t="str">
        <x:f>IF(ISBLANK('Evaluation Plan'!E92),"",'Evaluation Plan'!E92)</x:f>
      </x:c>
      <x:c r="F92" s="9" t="str">
        <x:f>'Evaluation Plan'!F92</x:f>
        <x:v>1095</x:v>
      </x:c>
      <x:c r="G92" s="9" t="str">
        <x:f>'Evaluation Plan'!G92</x:f>
        <x:v>MOVE green block to bowl</x:v>
      </x:c>
      <x:c r="H92" s="10"/>
      <x:c r="I92" s="9" t="str">
        <x:f>'Evaluation Plan'!I92</x:f>
        <x:v>Concept/compositional transfer</x:v>
      </x:c>
      <x:c r="J92" s="9" t="str">
        <x:f>'Evaluation Plan'!J92</x:f>
        <x:v>SZ-CT-LG16</x:v>
      </x:c>
      <x:c r="K92" s="9" t="str">
        <x:f>'Evaluation Plan'!K92</x:f>
        <x:v>largest</x:v>
      </x:c>
      <x:c r="L92" s="9" t="str">
        <x:f>'Evaluation Plan'!L92</x:f>
        <x:v>Held-out largest × green block — Move</x:v>
      </x:c>
      <x:c r="M92" s="9" t="str">
        <x:f>'Evaluation Plan'!M92</x:f>
        <x:v>green block</x:v>
      </x:c>
      <x:c r="N92" s="9" t="str">
        <x:f>'Evaluation Plan'!N92</x:f>
        <x:v>Right</x:v>
      </x:c>
      <x:c r="O92" s="9" t="n">
        <x:f>'Evaluation Plan'!O92</x:f>
        <x:v>2</x:v>
      </x:c>
      <x:c r="P92" s="9" t="n">
        <x:f>IF(ISBLANK('Evaluation Plan'!P92),"",'Evaluation Plan'!P92)</x:f>
        <x:v>8</x:v>
      </x:c>
      <x:c r="Q92" s="9" t="str">
        <x:f>'Evaluation Plan'!Q92</x:f>
        <x:v>Build the listed two-object scene and save a first-frame filename.</x:v>
      </x:c>
      <x:c r="R92" s="10" t="str">
        <x:f>'Evaluation Plan'!R92</x:f>
        <x:v>Primary missing cell. Training episode 1095 contains the same target trajectory but masks the size word with a direct identity prompt.</x:v>
      </x:c>
      <x:c r="S92" s="10" t="str">
        <x:f>IF(ISBLANK('Evaluation Plan'!S92),"",'Evaluation Plan'!S92)</x:f>
      </x:c>
    </x:row>
    <x:row r="93" ht="68" customHeight="1">
      <x:c r="A93" s="9" t="str">
        <x:v>Not collected</x:v>
      </x:c>
      <x:c r="B93" s="9" t="n">
        <x:f>'Evaluation Plan'!B93</x:f>
        <x:v>91</x:v>
      </x:c>
      <x:c r="C93" s="10" t="str">
        <x:f>'Evaluation Plan'!C93</x:f>
        <x:v>Pick up the smallest item and place it in the bowl.</x:v>
      </x:c>
      <x:c r="D93" s="10" t="str">
        <x:f>'Evaluation Plan'!D93</x:f>
        <x:v>Bowl: empty. Table, robot-left→robot-right: P1 juggling ball; P2 crushed Pepsi can. Adjacent centers 12 cm apart; row shifted 4 cm toward robot-right; all objects fully visible and grasp paths clear.</x:v>
      </x:c>
      <x:c r="E93" s="9" t="str">
        <x:f>IF(ISBLANK('Evaluation Plan'!E93),"",'Evaluation Plan'!E93)</x:f>
      </x:c>
      <x:c r="F93" s="9" t="str">
        <x:f>'Evaluation Plan'!F93</x:f>
        <x:v>1120</x:v>
      </x:c>
      <x:c r="G93" s="9" t="str">
        <x:f>'Evaluation Plan'!G93</x:f>
        <x:v>MOVE juggling ball to bowl</x:v>
      </x:c>
      <x:c r="H93" s="10"/>
      <x:c r="I93" s="9" t="str">
        <x:f>'Evaluation Plan'!I93</x:f>
        <x:v>Concept/compositional transfer</x:v>
      </x:c>
      <x:c r="J93" s="9" t="str">
        <x:f>'Evaluation Plan'!J93</x:f>
        <x:v>SZ-CT-SJ16</x:v>
      </x:c>
      <x:c r="K93" s="9" t="str">
        <x:f>'Evaluation Plan'!K93</x:f>
        <x:v>smallest</x:v>
      </x:c>
      <x:c r="L93" s="9" t="str">
        <x:f>'Evaluation Plan'!L93</x:f>
        <x:v>Held-out smallest × juggling ball — Pick up</x:v>
      </x:c>
      <x:c r="M93" s="9" t="str">
        <x:f>'Evaluation Plan'!M93</x:f>
        <x:v>juggling ball</x:v>
      </x:c>
      <x:c r="N93" s="9" t="str">
        <x:f>'Evaluation Plan'!N93</x:f>
        <x:v>Left</x:v>
      </x:c>
      <x:c r="O93" s="9" t="n">
        <x:f>'Evaluation Plan'!O93</x:f>
        <x:v>2</x:v>
      </x:c>
      <x:c r="P93" s="9" t="n">
        <x:f>IF(ISBLANK('Evaluation Plan'!P93),"",'Evaluation Plan'!P93)</x:f>
        <x:v>12</x:v>
      </x:c>
      <x:c r="Q93" s="9" t="str">
        <x:f>'Evaluation Plan'!Q93</x:f>
        <x:v>Build the listed two-object scene and save a first-frame filename.</x:v>
      </x:c>
      <x:c r="R93" s="10" t="str">
        <x:f>'Evaluation Plan'!R93</x:f>
        <x:v>Primary missing cell. Training episode 1120 contains the same target trajectory but masks the size word with a direct identity prompt.</x:v>
      </x:c>
      <x:c r="S93" s="10" t="str">
        <x:f>IF(ISBLANK('Evaluation Plan'!S93),"",'Evaluation Plan'!S93)</x:f>
      </x:c>
    </x:row>
    <x:row r="94" ht="68" customHeight="1">
      <x:c r="A94" s="9" t="str">
        <x:v>Not collected</x:v>
      </x:c>
      <x:c r="B94" s="9" t="n">
        <x:f>'Evaluation Plan'!B94</x:f>
        <x:v>92</x:v>
      </x:c>
      <x:c r="C94" s="10" t="str">
        <x:f>'Evaluation Plan'!C94</x:f>
        <x:v>Pick up the largest item and place it in the bowl.</x:v>
      </x:c>
      <x:c r="D94" s="10" t="str">
        <x:f>'Evaluation Plan'!D94</x:f>
        <x:v>Bowl: empty. Table, robot-left→robot-right: P1 green block; P2 red pencil sharpener. Adjacent centers 12 cm apart; row shifted 4 cm toward robot-left; all objects fully visible and grasp paths clear.</x:v>
      </x:c>
      <x:c r="E94" s="9" t="str">
        <x:f>IF(ISBLANK('Evaluation Plan'!E94),"",'Evaluation Plan'!E94)</x:f>
      </x:c>
      <x:c r="F94" s="9" t="str">
        <x:f>'Evaluation Plan'!F94</x:f>
        <x:v>1096</x:v>
      </x:c>
      <x:c r="G94" s="9" t="str">
        <x:f>'Evaluation Plan'!G94</x:f>
        <x:v>MOVE green block to bowl</x:v>
      </x:c>
      <x:c r="H94" s="10"/>
      <x:c r="I94" s="9" t="str">
        <x:f>'Evaluation Plan'!I94</x:f>
        <x:v>Concept/compositional transfer</x:v>
      </x:c>
      <x:c r="J94" s="9" t="str">
        <x:f>'Evaluation Plan'!J94</x:f>
        <x:v>SZ-CT-LG17</x:v>
      </x:c>
      <x:c r="K94" s="9" t="str">
        <x:f>'Evaluation Plan'!K94</x:f>
        <x:v>largest</x:v>
      </x:c>
      <x:c r="L94" s="9" t="str">
        <x:f>'Evaluation Plan'!L94</x:f>
        <x:v>Held-out largest × green block — Pick up</x:v>
      </x:c>
      <x:c r="M94" s="9" t="str">
        <x:f>'Evaluation Plan'!M94</x:f>
        <x:v>green block</x:v>
      </x:c>
      <x:c r="N94" s="9" t="str">
        <x:f>'Evaluation Plan'!N94</x:f>
        <x:v>Left</x:v>
      </x:c>
      <x:c r="O94" s="9" t="n">
        <x:f>'Evaluation Plan'!O94</x:f>
        <x:v>2</x:v>
      </x:c>
      <x:c r="P94" s="9" t="n">
        <x:f>IF(ISBLANK('Evaluation Plan'!P94),"",'Evaluation Plan'!P94)</x:f>
        <x:v>12</x:v>
      </x:c>
      <x:c r="Q94" s="9" t="str">
        <x:f>'Evaluation Plan'!Q94</x:f>
        <x:v>Build the listed two-object scene and save a first-frame filename.</x:v>
      </x:c>
      <x:c r="R94" s="10" t="str">
        <x:f>'Evaluation Plan'!R94</x:f>
        <x:v>Primary missing cell. Training episode 1096 contains the same target trajectory but masks the size word with a direct identity prompt.</x:v>
      </x:c>
      <x:c r="S94" s="10" t="str">
        <x:f>IF(ISBLANK('Evaluation Plan'!S94),"",'Evaluation Plan'!S94)</x:f>
      </x:c>
    </x:row>
    <x:row r="95" ht="68" customHeight="1">
      <x:c r="A95" s="9" t="str">
        <x:v>Not collected</x:v>
      </x:c>
      <x:c r="B95" s="9" t="n">
        <x:f>'Evaluation Plan'!B95</x:f>
        <x:v>93</x:v>
      </x:c>
      <x:c r="C95" s="10" t="str">
        <x:f>'Evaluation Plan'!C95</x:f>
        <x:v>Put the smallest object in the bowl.</x:v>
      </x:c>
      <x:c r="D95" s="10" t="str">
        <x:f>'Evaluation Plan'!D95</x:f>
        <x:v>Bowl: empty. Table, robot-left→robot-right: P1 crushed Pepsi can; P2 juggling ball. Adjacent centers 16 cm apart; row shifted 4 cm toward the robot; all objects fully visible and grasp paths clear.</x:v>
      </x:c>
      <x:c r="E95" s="9" t="str">
        <x:f>IF(ISBLANK('Evaluation Plan'!E95),"",'Evaluation Plan'!E95)</x:f>
      </x:c>
      <x:c r="F95" s="9" t="str">
        <x:f>'Evaluation Plan'!F95</x:f>
        <x:v>1121</x:v>
      </x:c>
      <x:c r="G95" s="9" t="str">
        <x:f>'Evaluation Plan'!G95</x:f>
        <x:v>MOVE juggling ball to bowl</x:v>
      </x:c>
      <x:c r="H95" s="10"/>
      <x:c r="I95" s="9" t="str">
        <x:f>'Evaluation Plan'!I95</x:f>
        <x:v>Concept/compositional transfer</x:v>
      </x:c>
      <x:c r="J95" s="9" t="str">
        <x:f>'Evaluation Plan'!J95</x:f>
        <x:v>SZ-CT-SJ17</x:v>
      </x:c>
      <x:c r="K95" s="9" t="str">
        <x:f>'Evaluation Plan'!K95</x:f>
        <x:v>smallest</x:v>
      </x:c>
      <x:c r="L95" s="9" t="str">
        <x:f>'Evaluation Plan'!L95</x:f>
        <x:v>Held-out smallest × juggling ball — Put</x:v>
      </x:c>
      <x:c r="M95" s="9" t="str">
        <x:f>'Evaluation Plan'!M95</x:f>
        <x:v>juggling ball</x:v>
      </x:c>
      <x:c r="N95" s="9" t="str">
        <x:f>'Evaluation Plan'!N95</x:f>
        <x:v>Right</x:v>
      </x:c>
      <x:c r="O95" s="9" t="n">
        <x:f>'Evaluation Plan'!O95</x:f>
        <x:v>2</x:v>
      </x:c>
      <x:c r="P95" s="9" t="n">
        <x:f>IF(ISBLANK('Evaluation Plan'!P95),"",'Evaluation Plan'!P95)</x:f>
        <x:v>16</x:v>
      </x:c>
      <x:c r="Q95" s="9" t="str">
        <x:f>'Evaluation Plan'!Q95</x:f>
        <x:v>Build the listed two-object scene and save a first-frame filename.</x:v>
      </x:c>
      <x:c r="R95" s="10" t="str">
        <x:f>'Evaluation Plan'!R95</x:f>
        <x:v>Primary missing cell. Training episode 1121 contains the same target trajectory but masks the size word with a direct identity prompt.</x:v>
      </x:c>
      <x:c r="S95" s="10" t="str">
        <x:f>IF(ISBLANK('Evaluation Plan'!S95),"",'Evaluation Plan'!S95)</x:f>
      </x:c>
    </x:row>
    <x:row r="96" ht="68" customHeight="1">
      <x:c r="A96" s="9" t="str">
        <x:v>Not collected</x:v>
      </x:c>
      <x:c r="B96" s="9" t="n">
        <x:f>'Evaluation Plan'!B96</x:f>
        <x:v>94</x:v>
      </x:c>
      <x:c r="C96" s="10" t="str">
        <x:f>'Evaluation Plan'!C96</x:f>
        <x:v>Put the largest object in the bowl.</x:v>
      </x:c>
      <x:c r="D96" s="10" t="str">
        <x:f>'Evaluation Plan'!D96</x:f>
        <x:v>Bowl: empty. Table, robot-left→robot-right: P1 red pencil sharpener; P2 green block. Adjacent centers 16 cm apart; row shifted 4 cm toward robot-right; all objects fully visible and grasp paths clear.</x:v>
      </x:c>
      <x:c r="E96" s="9" t="str">
        <x:f>IF(ISBLANK('Evaluation Plan'!E96),"",'Evaluation Plan'!E96)</x:f>
      </x:c>
      <x:c r="F96" s="9" t="str">
        <x:f>'Evaluation Plan'!F96</x:f>
        <x:v>1097</x:v>
      </x:c>
      <x:c r="G96" s="9" t="str">
        <x:f>'Evaluation Plan'!G96</x:f>
        <x:v>MOVE green block to bowl</x:v>
      </x:c>
      <x:c r="H96" s="10"/>
      <x:c r="I96" s="9" t="str">
        <x:f>'Evaluation Plan'!I96</x:f>
        <x:v>Concept/compositional transfer</x:v>
      </x:c>
      <x:c r="J96" s="9" t="str">
        <x:f>'Evaluation Plan'!J96</x:f>
        <x:v>SZ-CT-LG18</x:v>
      </x:c>
      <x:c r="K96" s="9" t="str">
        <x:f>'Evaluation Plan'!K96</x:f>
        <x:v>largest</x:v>
      </x:c>
      <x:c r="L96" s="9" t="str">
        <x:f>'Evaluation Plan'!L96</x:f>
        <x:v>Held-out largest × green block — Put</x:v>
      </x:c>
      <x:c r="M96" s="9" t="str">
        <x:f>'Evaluation Plan'!M96</x:f>
        <x:v>green block</x:v>
      </x:c>
      <x:c r="N96" s="9" t="str">
        <x:f>'Evaluation Plan'!N96</x:f>
        <x:v>Right</x:v>
      </x:c>
      <x:c r="O96" s="9" t="n">
        <x:f>'Evaluation Plan'!O96</x:f>
        <x:v>2</x:v>
      </x:c>
      <x:c r="P96" s="9" t="n">
        <x:f>IF(ISBLANK('Evaluation Plan'!P96),"",'Evaluation Plan'!P96)</x:f>
        <x:v>16</x:v>
      </x:c>
      <x:c r="Q96" s="9" t="str">
        <x:f>'Evaluation Plan'!Q96</x:f>
        <x:v>Build the listed two-object scene and save a first-frame filename.</x:v>
      </x:c>
      <x:c r="R96" s="10" t="str">
        <x:f>'Evaluation Plan'!R96</x:f>
        <x:v>Primary missing cell. Training episode 1097 contains the same target trajectory but masks the size word with a direct identity prompt.</x:v>
      </x:c>
      <x:c r="S96" s="10" t="str">
        <x:f>IF(ISBLANK('Evaluation Plan'!S96),"",'Evaluation Plan'!S96)</x:f>
      </x:c>
    </x:row>
    <x:row r="97" ht="68" customHeight="1">
      <x:c r="A97" s="9" t="str">
        <x:v>Not collected</x:v>
      </x:c>
      <x:c r="B97" s="9" t="n">
        <x:f>'Evaluation Plan'!B97</x:f>
        <x:v>95</x:v>
      </x:c>
      <x:c r="C97" s="10" t="str">
        <x:f>'Evaluation Plan'!C97</x:f>
        <x:v>Move the object that is smallest into the bowl.</x:v>
      </x:c>
      <x:c r="D97" s="10" t="str">
        <x:f>'Evaluation Plan'!D97</x:f>
        <x:v>Bowl: empty. Table, robot-left→robot-right: P1 juggling ball; P2 crushed Pepsi can. Adjacent centers 8 cm apart; row shifted 4 cm away from the robot; all objects fully visible and grasp paths clear.</x:v>
      </x:c>
      <x:c r="E97" s="9" t="str">
        <x:f>IF(ISBLANK('Evaluation Plan'!E97),"",'Evaluation Plan'!E97)</x:f>
      </x:c>
      <x:c r="F97" s="9" t="str">
        <x:f>'Evaluation Plan'!F97</x:f>
        <x:v>1122</x:v>
      </x:c>
      <x:c r="G97" s="9" t="str">
        <x:f>'Evaluation Plan'!G97</x:f>
        <x:v>MOVE juggling ball to bowl</x:v>
      </x:c>
      <x:c r="H97" s="10"/>
      <x:c r="I97" s="9" t="str">
        <x:f>'Evaluation Plan'!I97</x:f>
        <x:v>Concept/compositional transfer</x:v>
      </x:c>
      <x:c r="J97" s="9" t="str">
        <x:f>'Evaluation Plan'!J97</x:f>
        <x:v>SZ-CT-SJ18</x:v>
      </x:c>
      <x:c r="K97" s="9" t="str">
        <x:f>'Evaluation Plan'!K97</x:f>
        <x:v>smallest</x:v>
      </x:c>
      <x:c r="L97" s="9" t="str">
        <x:f>'Evaluation Plan'!L97</x:f>
        <x:v>Held-out smallest × juggling ball — Move</x:v>
      </x:c>
      <x:c r="M97" s="9" t="str">
        <x:f>'Evaluation Plan'!M97</x:f>
        <x:v>juggling ball</x:v>
      </x:c>
      <x:c r="N97" s="9" t="str">
        <x:f>'Evaluation Plan'!N97</x:f>
        <x:v>Left</x:v>
      </x:c>
      <x:c r="O97" s="9" t="n">
        <x:f>'Evaluation Plan'!O97</x:f>
        <x:v>2</x:v>
      </x:c>
      <x:c r="P97" s="9" t="n">
        <x:f>IF(ISBLANK('Evaluation Plan'!P97),"",'Evaluation Plan'!P97)</x:f>
        <x:v>8</x:v>
      </x:c>
      <x:c r="Q97" s="9" t="str">
        <x:f>'Evaluation Plan'!Q97</x:f>
        <x:v>Build the listed two-object scene and save a first-frame filename.</x:v>
      </x:c>
      <x:c r="R97" s="10" t="str">
        <x:f>'Evaluation Plan'!R97</x:f>
        <x:v>Primary missing cell. Training episode 1122 contains the same target trajectory but masks the size word with a direct identity prompt.</x:v>
      </x:c>
      <x:c r="S97" s="10" t="str">
        <x:f>IF(ISBLANK('Evaluation Plan'!S97),"",'Evaluation Plan'!S97)</x:f>
      </x:c>
    </x:row>
    <x:row r="98" ht="68" customHeight="1">
      <x:c r="A98" s="9" t="str">
        <x:v>Not collected</x:v>
      </x:c>
      <x:c r="B98" s="9" t="n">
        <x:f>'Evaluation Plan'!B98</x:f>
        <x:v>96</x:v>
      </x:c>
      <x:c r="C98" s="10" t="str">
        <x:f>'Evaluation Plan'!C98</x:f>
        <x:v>Move the object that is largest into the bowl.</x:v>
      </x:c>
      <x:c r="D98" s="10" t="str">
        <x:f>'Evaluation Plan'!D98</x:f>
        <x:v>Bowl: empty. Table, robot-left→robot-right: P1 green block; P2 red pencil sharpener. Adjacent centers 8 cm apart; row shifted 4 cm toward the robot; all objects fully visible and grasp paths clear.</x:v>
      </x:c>
      <x:c r="E98" s="9" t="str">
        <x:f>IF(ISBLANK('Evaluation Plan'!E98),"",'Evaluation Plan'!E98)</x:f>
      </x:c>
      <x:c r="F98" s="9" t="str">
        <x:f>'Evaluation Plan'!F98</x:f>
        <x:v>1098</x:v>
      </x:c>
      <x:c r="G98" s="9" t="str">
        <x:f>'Evaluation Plan'!G98</x:f>
        <x:v>MOVE green block to bowl</x:v>
      </x:c>
      <x:c r="H98" s="10"/>
      <x:c r="I98" s="9" t="str">
        <x:f>'Evaluation Plan'!I98</x:f>
        <x:v>Concept/compositional transfer</x:v>
      </x:c>
      <x:c r="J98" s="9" t="str">
        <x:f>'Evaluation Plan'!J98</x:f>
        <x:v>SZ-CT-LG19</x:v>
      </x:c>
      <x:c r="K98" s="9" t="str">
        <x:f>'Evaluation Plan'!K98</x:f>
        <x:v>largest</x:v>
      </x:c>
      <x:c r="L98" s="9" t="str">
        <x:f>'Evaluation Plan'!L98</x:f>
        <x:v>Held-out largest × green block — Move</x:v>
      </x:c>
      <x:c r="M98" s="9" t="str">
        <x:f>'Evaluation Plan'!M98</x:f>
        <x:v>green block</x:v>
      </x:c>
      <x:c r="N98" s="9" t="str">
        <x:f>'Evaluation Plan'!N98</x:f>
        <x:v>Left</x:v>
      </x:c>
      <x:c r="O98" s="9" t="n">
        <x:f>'Evaluation Plan'!O98</x:f>
        <x:v>2</x:v>
      </x:c>
      <x:c r="P98" s="9" t="n">
        <x:f>IF(ISBLANK('Evaluation Plan'!P98),"",'Evaluation Plan'!P98)</x:f>
        <x:v>8</x:v>
      </x:c>
      <x:c r="Q98" s="9" t="str">
        <x:f>'Evaluation Plan'!Q98</x:f>
        <x:v>Build the listed two-object scene and save a first-frame filename.</x:v>
      </x:c>
      <x:c r="R98" s="10" t="str">
        <x:f>'Evaluation Plan'!R98</x:f>
        <x:v>Primary missing cell. Training episode 1098 contains the same target trajectory but masks the size word with a direct identity prompt.</x:v>
      </x:c>
      <x:c r="S98" s="10" t="str">
        <x:f>IF(ISBLANK('Evaluation Plan'!S98),"",'Evaluation Plan'!S98)</x:f>
      </x:c>
    </x:row>
    <x:row r="99" ht="68" customHeight="1">
      <x:c r="A99" s="9" t="str">
        <x:v>Not collected</x:v>
      </x:c>
      <x:c r="B99" s="9" t="n">
        <x:f>'Evaluation Plan'!B99</x:f>
        <x:v>97</x:v>
      </x:c>
      <x:c r="C99" s="10" t="str">
        <x:f>'Evaluation Plan'!C99</x:f>
        <x:v>Pick up the smallest item and place it in the bowl.</x:v>
      </x:c>
      <x:c r="D99" s="10" t="str">
        <x:f>'Evaluation Plan'!D99</x:f>
        <x:v>Bowl: empty. Table, robot-left→robot-right: P1 crushed Pepsi can; P2 juggling ball. Adjacent centers 12 cm apart; row centered on the workspace; all objects fully visible and grasp paths clear.</x:v>
      </x:c>
      <x:c r="E99" s="9" t="str">
        <x:f>IF(ISBLANK('Evaluation Plan'!E99),"",'Evaluation Plan'!E99)</x:f>
      </x:c>
      <x:c r="F99" s="9" t="str">
        <x:f>'Evaluation Plan'!F99</x:f>
        <x:v>1123</x:v>
      </x:c>
      <x:c r="G99" s="9" t="str">
        <x:f>'Evaluation Plan'!G99</x:f>
        <x:v>MOVE juggling ball to bowl</x:v>
      </x:c>
      <x:c r="H99" s="10"/>
      <x:c r="I99" s="9" t="str">
        <x:f>'Evaluation Plan'!I99</x:f>
        <x:v>Concept/compositional transfer</x:v>
      </x:c>
      <x:c r="J99" s="9" t="str">
        <x:f>'Evaluation Plan'!J99</x:f>
        <x:v>SZ-CT-SJ19</x:v>
      </x:c>
      <x:c r="K99" s="9" t="str">
        <x:f>'Evaluation Plan'!K99</x:f>
        <x:v>smallest</x:v>
      </x:c>
      <x:c r="L99" s="9" t="str">
        <x:f>'Evaluation Plan'!L99</x:f>
        <x:v>Held-out smallest × juggling ball — Pick up</x:v>
      </x:c>
      <x:c r="M99" s="9" t="str">
        <x:f>'Evaluation Plan'!M99</x:f>
        <x:v>juggling ball</x:v>
      </x:c>
      <x:c r="N99" s="9" t="str">
        <x:f>'Evaluation Plan'!N99</x:f>
        <x:v>Right</x:v>
      </x:c>
      <x:c r="O99" s="9" t="n">
        <x:f>'Evaluation Plan'!O99</x:f>
        <x:v>2</x:v>
      </x:c>
      <x:c r="P99" s="9" t="n">
        <x:f>IF(ISBLANK('Evaluation Plan'!P99),"",'Evaluation Plan'!P99)</x:f>
        <x:v>12</x:v>
      </x:c>
      <x:c r="Q99" s="9" t="str">
        <x:f>'Evaluation Plan'!Q99</x:f>
        <x:v>Build the listed two-object scene and save a first-frame filename.</x:v>
      </x:c>
      <x:c r="R99" s="10" t="str">
        <x:f>'Evaluation Plan'!R99</x:f>
        <x:v>Primary missing cell. Training episode 1123 contains the same target trajectory but masks the size word with a direct identity prompt.</x:v>
      </x:c>
      <x:c r="S99" s="10" t="str">
        <x:f>IF(ISBLANK('Evaluation Plan'!S99),"",'Evaluation Plan'!S99)</x:f>
      </x:c>
    </x:row>
    <x:row r="100" ht="68" customHeight="1">
      <x:c r="A100" s="9" t="str">
        <x:v>Not collected</x:v>
      </x:c>
      <x:c r="B100" s="9" t="n">
        <x:f>'Evaluation Plan'!B100</x:f>
        <x:v>98</x:v>
      </x:c>
      <x:c r="C100" s="10" t="str">
        <x:f>'Evaluation Plan'!C100</x:f>
        <x:v>Pick up the largest item and place it in the bowl.</x:v>
      </x:c>
      <x:c r="D100" s="10" t="str">
        <x:f>'Evaluation Plan'!D100</x:f>
        <x:v>Bowl: empty. Table, robot-left→robot-right: P1 red pencil sharpener; P2 green block. Adjacent centers 12 cm apart; row shifted 4 cm away from the robot; all objects fully visible and grasp paths clear.</x:v>
      </x:c>
      <x:c r="E100" s="9" t="str">
        <x:f>IF(ISBLANK('Evaluation Plan'!E100),"",'Evaluation Plan'!E100)</x:f>
      </x:c>
      <x:c r="F100" s="9" t="str">
        <x:f>'Evaluation Plan'!F100</x:f>
        <x:v>1099</x:v>
      </x:c>
      <x:c r="G100" s="9" t="str">
        <x:f>'Evaluation Plan'!G100</x:f>
        <x:v>MOVE green block to bowl</x:v>
      </x:c>
      <x:c r="H100" s="10"/>
      <x:c r="I100" s="9" t="str">
        <x:f>'Evaluation Plan'!I100</x:f>
        <x:v>Concept/compositional transfer</x:v>
      </x:c>
      <x:c r="J100" s="9" t="str">
        <x:f>'Evaluation Plan'!J100</x:f>
        <x:v>SZ-CT-LG20</x:v>
      </x:c>
      <x:c r="K100" s="9" t="str">
        <x:f>'Evaluation Plan'!K100</x:f>
        <x:v>largest</x:v>
      </x:c>
      <x:c r="L100" s="9" t="str">
        <x:f>'Evaluation Plan'!L100</x:f>
        <x:v>Held-out largest × green block — Pick up</x:v>
      </x:c>
      <x:c r="M100" s="9" t="str">
        <x:f>'Evaluation Plan'!M100</x:f>
        <x:v>green block</x:v>
      </x:c>
      <x:c r="N100" s="9" t="str">
        <x:f>'Evaluation Plan'!N100</x:f>
        <x:v>Right</x:v>
      </x:c>
      <x:c r="O100" s="9" t="n">
        <x:f>'Evaluation Plan'!O100</x:f>
        <x:v>2</x:v>
      </x:c>
      <x:c r="P100" s="9" t="n">
        <x:f>IF(ISBLANK('Evaluation Plan'!P100),"",'Evaluation Plan'!P100)</x:f>
        <x:v>12</x:v>
      </x:c>
      <x:c r="Q100" s="9" t="str">
        <x:f>'Evaluation Plan'!Q100</x:f>
        <x:v>Build the listed two-object scene and save a first-frame filename.</x:v>
      </x:c>
      <x:c r="R100" s="10" t="str">
        <x:f>'Evaluation Plan'!R100</x:f>
        <x:v>Primary missing cell. Training episode 1099 contains the same target trajectory but masks the size word with a direct identity prompt.</x:v>
      </x:c>
      <x:c r="S100" s="10" t="str">
        <x:f>IF(ISBLANK('Evaluation Plan'!S100),"",'Evaluation Plan'!S100)</x:f>
      </x:c>
    </x:row>
    <x:row r="101" ht="68" customHeight="1">
      <x:c r="A101" s="9" t="str">
        <x:v>Not collected</x:v>
      </x:c>
      <x:c r="B101" s="9" t="n">
        <x:f>'Evaluation Plan'!B101</x:f>
        <x:v>99</x:v>
      </x:c>
      <x:c r="C101" s="10" t="str">
        <x:f>'Evaluation Plan'!C101</x:f>
        <x:v>Put the smallest object in the bowl.</x:v>
      </x:c>
      <x:c r="D101" s="10" t="str">
        <x:f>'Evaluation Plan'!D101</x:f>
        <x:v>Bowl: empty. Table, robot-left→robot-right: P1 juggling ball; P2 crushed Pepsi can. Adjacent centers 16 cm apart; row shifted 4 cm toward robot-left; all objects fully visible and grasp paths clear.</x:v>
      </x:c>
      <x:c r="E101" s="9" t="str">
        <x:f>IF(ISBLANK('Evaluation Plan'!E101),"",'Evaluation Plan'!E101)</x:f>
      </x:c>
      <x:c r="F101" s="9" t="str">
        <x:f>'Evaluation Plan'!F101</x:f>
        <x:v>1124</x:v>
      </x:c>
      <x:c r="G101" s="9" t="str">
        <x:f>'Evaluation Plan'!G101</x:f>
        <x:v>MOVE juggling ball to bowl</x:v>
      </x:c>
      <x:c r="H101" s="10"/>
      <x:c r="I101" s="9" t="str">
        <x:f>'Evaluation Plan'!I101</x:f>
        <x:v>Concept/compositional transfer</x:v>
      </x:c>
      <x:c r="J101" s="9" t="str">
        <x:f>'Evaluation Plan'!J101</x:f>
        <x:v>SZ-CT-SJ20</x:v>
      </x:c>
      <x:c r="K101" s="9" t="str">
        <x:f>'Evaluation Plan'!K101</x:f>
        <x:v>smallest</x:v>
      </x:c>
      <x:c r="L101" s="9" t="str">
        <x:f>'Evaluation Plan'!L101</x:f>
        <x:v>Held-out smallest × juggling ball — Put</x:v>
      </x:c>
      <x:c r="M101" s="9" t="str">
        <x:f>'Evaluation Plan'!M101</x:f>
        <x:v>juggling ball</x:v>
      </x:c>
      <x:c r="N101" s="9" t="str">
        <x:f>'Evaluation Plan'!N101</x:f>
        <x:v>Left</x:v>
      </x:c>
      <x:c r="O101" s="9" t="n">
        <x:f>'Evaluation Plan'!O101</x:f>
        <x:v>2</x:v>
      </x:c>
      <x:c r="P101" s="9" t="n">
        <x:f>IF(ISBLANK('Evaluation Plan'!P101),"",'Evaluation Plan'!P101)</x:f>
        <x:v>16</x:v>
      </x:c>
      <x:c r="Q101" s="9" t="str">
        <x:f>'Evaluation Plan'!Q101</x:f>
        <x:v>Build the listed two-object scene and save a first-frame filename.</x:v>
      </x:c>
      <x:c r="R101" s="10" t="str">
        <x:f>'Evaluation Plan'!R101</x:f>
        <x:v>Primary missing cell. Training episode 1124 contains the same target trajectory but masks the size word with a direct identity prompt.</x:v>
      </x:c>
      <x:c r="S101" s="10" t="str">
        <x:f>IF(ISBLANK('Evaluation Plan'!S101),"",'Evaluation Plan'!S101)</x:f>
      </x:c>
    </x:row>
    <x:row r="102" ht="68" customHeight="1">
      <x:c r="A102" s="9" t="str">
        <x:v>Not collected</x:v>
      </x:c>
      <x:c r="B102" s="9" t="n">
        <x:f>'Evaluation Plan'!B102</x:f>
        <x:v>100</x:v>
      </x:c>
      <x:c r="C102" s="10" t="str">
        <x:f>'Evaluation Plan'!C102</x:f>
        <x:v>Put the largest object in the bowl.</x:v>
      </x:c>
      <x:c r="D102" s="10" t="str">
        <x:f>'Evaluation Plan'!D102</x:f>
        <x:v>Bowl: empty. Table, robot-left→robot-right: P1 green block; P2 red pencil sharpener. Adjacent centers 16 cm apart; row centered on the workspace; all objects fully visible and grasp paths clear.</x:v>
      </x:c>
      <x:c r="E102" s="9" t="str">
        <x:f>IF(ISBLANK('Evaluation Plan'!E102),"",'Evaluation Plan'!E102)</x:f>
      </x:c>
      <x:c r="F102" s="9" t="str">
        <x:f>'Evaluation Plan'!F102</x:f>
        <x:v>1080</x:v>
      </x:c>
      <x:c r="G102" s="9" t="str">
        <x:f>'Evaluation Plan'!G102</x:f>
        <x:v>MOVE green block to bowl</x:v>
      </x:c>
      <x:c r="H102" s="10"/>
      <x:c r="I102" s="9" t="str">
        <x:f>'Evaluation Plan'!I102</x:f>
        <x:v>Concept/compositional transfer</x:v>
      </x:c>
      <x:c r="J102" s="9" t="str">
        <x:f>'Evaluation Plan'!J102</x:f>
        <x:v>SZ-CT-LG21</x:v>
      </x:c>
      <x:c r="K102" s="9" t="str">
        <x:f>'Evaluation Plan'!K102</x:f>
        <x:v>largest</x:v>
      </x:c>
      <x:c r="L102" s="9" t="str">
        <x:f>'Evaluation Plan'!L102</x:f>
        <x:v>Held-out largest × green block — Put</x:v>
      </x:c>
      <x:c r="M102" s="9" t="str">
        <x:f>'Evaluation Plan'!M102</x:f>
        <x:v>green block</x:v>
      </x:c>
      <x:c r="N102" s="9" t="str">
        <x:f>'Evaluation Plan'!N102</x:f>
        <x:v>Left</x:v>
      </x:c>
      <x:c r="O102" s="9" t="n">
        <x:f>'Evaluation Plan'!O102</x:f>
        <x:v>2</x:v>
      </x:c>
      <x:c r="P102" s="9" t="n">
        <x:f>IF(ISBLANK('Evaluation Plan'!P102),"",'Evaluation Plan'!P102)</x:f>
        <x:v>16</x:v>
      </x:c>
      <x:c r="Q102" s="9" t="str">
        <x:f>'Evaluation Plan'!Q102</x:f>
        <x:v>Build the listed two-object scene and save a first-frame filename.</x:v>
      </x:c>
      <x:c r="R102" s="10" t="str">
        <x:f>'Evaluation Plan'!R102</x:f>
        <x:v>Primary missing cell. Training episode 1080 contains the same target trajectory but masks the size word with a direct identity prompt.</x:v>
      </x:c>
      <x:c r="S102" s="10" t="str">
        <x:f>IF(ISBLANK('Evaluation Plan'!S102),"",'Evaluation Plan'!S102)</x:f>
      </x:c>
    </x:row>
    <x:row r="103" ht="68" customHeight="1">
      <x:c r="A103" s="9" t="str">
        <x:v>Not collected</x:v>
      </x:c>
      <x:c r="B103" s="9" t="n">
        <x:f>'Evaluation Plan'!B103</x:f>
        <x:v>101</x:v>
      </x:c>
      <x:c r="C103" s="10" t="str">
        <x:f>'Evaluation Plan'!C103</x:f>
        <x:v>Move the object that is smallest into the bowl.</x:v>
      </x:c>
      <x:c r="D103" s="10" t="str">
        <x:f>'Evaluation Plan'!D103</x:f>
        <x:v>Bowl: empty. Table, robot-left→robot-right: P1 crushed Pepsi can; P2 juggling ball. Adjacent centers 8 cm apart; row shifted 4 cm toward robot-right; all objects fully visible and grasp paths clear.</x:v>
      </x:c>
      <x:c r="E103" s="9" t="str">
        <x:f>IF(ISBLANK('Evaluation Plan'!E103),"",'Evaluation Plan'!E103)</x:f>
      </x:c>
      <x:c r="F103" s="9" t="str">
        <x:f>'Evaluation Plan'!F103</x:f>
        <x:v>1105</x:v>
      </x:c>
      <x:c r="G103" s="9" t="str">
        <x:f>'Evaluation Plan'!G103</x:f>
        <x:v>MOVE juggling ball to bowl</x:v>
      </x:c>
      <x:c r="H103" s="10"/>
      <x:c r="I103" s="9" t="str">
        <x:f>'Evaluation Plan'!I103</x:f>
        <x:v>Concept/compositional transfer</x:v>
      </x:c>
      <x:c r="J103" s="9" t="str">
        <x:f>'Evaluation Plan'!J103</x:f>
        <x:v>SZ-CT-SJ21</x:v>
      </x:c>
      <x:c r="K103" s="9" t="str">
        <x:f>'Evaluation Plan'!K103</x:f>
        <x:v>smallest</x:v>
      </x:c>
      <x:c r="L103" s="9" t="str">
        <x:f>'Evaluation Plan'!L103</x:f>
        <x:v>Held-out smallest × juggling ball — Move</x:v>
      </x:c>
      <x:c r="M103" s="9" t="str">
        <x:f>'Evaluation Plan'!M103</x:f>
        <x:v>juggling ball</x:v>
      </x:c>
      <x:c r="N103" s="9" t="str">
        <x:f>'Evaluation Plan'!N103</x:f>
        <x:v>Right</x:v>
      </x:c>
      <x:c r="O103" s="9" t="n">
        <x:f>'Evaluation Plan'!O103</x:f>
        <x:v>2</x:v>
      </x:c>
      <x:c r="P103" s="9" t="n">
        <x:f>IF(ISBLANK('Evaluation Plan'!P103),"",'Evaluation Plan'!P103)</x:f>
        <x:v>8</x:v>
      </x:c>
      <x:c r="Q103" s="9" t="str">
        <x:f>'Evaluation Plan'!Q103</x:f>
        <x:v>Build the listed two-object scene and save a first-frame filename.</x:v>
      </x:c>
      <x:c r="R103" s="10" t="str">
        <x:f>'Evaluation Plan'!R103</x:f>
        <x:v>Primary missing cell. Training episode 1105 contains the same target trajectory but masks the size word with a direct identity prompt.</x:v>
      </x:c>
      <x:c r="S103" s="10" t="str">
        <x:f>IF(ISBLANK('Evaluation Plan'!S103),"",'Evaluation Plan'!S103)</x:f>
      </x:c>
    </x:row>
    <x:row r="104" ht="68" customHeight="1">
      <x:c r="A104" s="9" t="str">
        <x:v>Not collected</x:v>
      </x:c>
      <x:c r="B104" s="9" t="n">
        <x:f>'Evaluation Plan'!B104</x:f>
        <x:v>102</x:v>
      </x:c>
      <x:c r="C104" s="10" t="str">
        <x:f>'Evaluation Plan'!C104</x:f>
        <x:v>Move the object that is largest into the bowl.</x:v>
      </x:c>
      <x:c r="D104" s="10" t="str">
        <x:f>'Evaluation Plan'!D104</x:f>
        <x:v>Bowl: empty. Table, robot-left→robot-right: P1 red pencil sharpener; P2 green block. Adjacent centers 8 cm apart; row shifted 4 cm toward robot-left; all objects fully visible and grasp paths clear.</x:v>
      </x:c>
      <x:c r="E104" s="9" t="str">
        <x:f>IF(ISBLANK('Evaluation Plan'!E104),"",'Evaluation Plan'!E104)</x:f>
      </x:c>
      <x:c r="F104" s="9" t="str">
        <x:f>'Evaluation Plan'!F104</x:f>
        <x:v>1081</x:v>
      </x:c>
      <x:c r="G104" s="9" t="str">
        <x:f>'Evaluation Plan'!G104</x:f>
        <x:v>MOVE green block to bowl</x:v>
      </x:c>
      <x:c r="H104" s="10"/>
      <x:c r="I104" s="9" t="str">
        <x:f>'Evaluation Plan'!I104</x:f>
        <x:v>Concept/compositional transfer</x:v>
      </x:c>
      <x:c r="J104" s="9" t="str">
        <x:f>'Evaluation Plan'!J104</x:f>
        <x:v>SZ-CT-LG22</x:v>
      </x:c>
      <x:c r="K104" s="9" t="str">
        <x:f>'Evaluation Plan'!K104</x:f>
        <x:v>largest</x:v>
      </x:c>
      <x:c r="L104" s="9" t="str">
        <x:f>'Evaluation Plan'!L104</x:f>
        <x:v>Held-out largest × green block — Move</x:v>
      </x:c>
      <x:c r="M104" s="9" t="str">
        <x:f>'Evaluation Plan'!M104</x:f>
        <x:v>green block</x:v>
      </x:c>
      <x:c r="N104" s="9" t="str">
        <x:f>'Evaluation Plan'!N104</x:f>
        <x:v>Right</x:v>
      </x:c>
      <x:c r="O104" s="9" t="n">
        <x:f>'Evaluation Plan'!O104</x:f>
        <x:v>2</x:v>
      </x:c>
      <x:c r="P104" s="9" t="n">
        <x:f>IF(ISBLANK('Evaluation Plan'!P104),"",'Evaluation Plan'!P104)</x:f>
        <x:v>8</x:v>
      </x:c>
      <x:c r="Q104" s="9" t="str">
        <x:f>'Evaluation Plan'!Q104</x:f>
        <x:v>Build the listed two-object scene and save a first-frame filename.</x:v>
      </x:c>
      <x:c r="R104" s="10" t="str">
        <x:f>'Evaluation Plan'!R104</x:f>
        <x:v>Primary missing cell. Training episode 1081 contains the same target trajectory but masks the size word with a direct identity prompt.</x:v>
      </x:c>
      <x:c r="S104" s="10" t="str">
        <x:f>IF(ISBLANK('Evaluation Plan'!S104),"",'Evaluation Plan'!S104)</x:f>
      </x:c>
    </x:row>
    <x:row r="105" ht="68" customHeight="1">
      <x:c r="A105" s="9" t="str">
        <x:v>Not collected</x:v>
      </x:c>
      <x:c r="B105" s="9" t="n">
        <x:f>'Evaluation Plan'!B105</x:f>
        <x:v>103</x:v>
      </x:c>
      <x:c r="C105" s="10" t="str">
        <x:f>'Evaluation Plan'!C105</x:f>
        <x:v>Pick up the smallest item and place it in the bowl.</x:v>
      </x:c>
      <x:c r="D105" s="10" t="str">
        <x:f>'Evaluation Plan'!D105</x:f>
        <x:v>Bowl: empty. Table, robot-left→robot-right: P1 juggling ball; P2 crushed Pepsi can. Adjacent centers 12 cm apart; row shifted 4 cm toward the robot; all objects fully visible and grasp paths clear.</x:v>
      </x:c>
      <x:c r="E105" s="9" t="str">
        <x:f>IF(ISBLANK('Evaluation Plan'!E105),"",'Evaluation Plan'!E105)</x:f>
      </x:c>
      <x:c r="F105" s="9" t="str">
        <x:f>'Evaluation Plan'!F105</x:f>
        <x:v>1106</x:v>
      </x:c>
      <x:c r="G105" s="9" t="str">
        <x:f>'Evaluation Plan'!G105</x:f>
        <x:v>MOVE juggling ball to bowl</x:v>
      </x:c>
      <x:c r="H105" s="10"/>
      <x:c r="I105" s="9" t="str">
        <x:f>'Evaluation Plan'!I105</x:f>
        <x:v>Concept/compositional transfer</x:v>
      </x:c>
      <x:c r="J105" s="9" t="str">
        <x:f>'Evaluation Plan'!J105</x:f>
        <x:v>SZ-CT-SJ22</x:v>
      </x:c>
      <x:c r="K105" s="9" t="str">
        <x:f>'Evaluation Plan'!K105</x:f>
        <x:v>smallest</x:v>
      </x:c>
      <x:c r="L105" s="9" t="str">
        <x:f>'Evaluation Plan'!L105</x:f>
        <x:v>Held-out smallest × juggling ball — Pick up</x:v>
      </x:c>
      <x:c r="M105" s="9" t="str">
        <x:f>'Evaluation Plan'!M105</x:f>
        <x:v>juggling ball</x:v>
      </x:c>
      <x:c r="N105" s="9" t="str">
        <x:f>'Evaluation Plan'!N105</x:f>
        <x:v>Left</x:v>
      </x:c>
      <x:c r="O105" s="9" t="n">
        <x:f>'Evaluation Plan'!O105</x:f>
        <x:v>2</x:v>
      </x:c>
      <x:c r="P105" s="9" t="n">
        <x:f>IF(ISBLANK('Evaluation Plan'!P105),"",'Evaluation Plan'!P105)</x:f>
        <x:v>12</x:v>
      </x:c>
      <x:c r="Q105" s="9" t="str">
        <x:f>'Evaluation Plan'!Q105</x:f>
        <x:v>Build the listed two-object scene and save a first-frame filename.</x:v>
      </x:c>
      <x:c r="R105" s="10" t="str">
        <x:f>'Evaluation Plan'!R105</x:f>
        <x:v>Primary missing cell. Training episode 1106 contains the same target trajectory but masks the size word with a direct identity prompt.</x:v>
      </x:c>
      <x:c r="S105" s="10" t="str">
        <x:f>IF(ISBLANK('Evaluation Plan'!S105),"",'Evaluation Plan'!S105)</x:f>
      </x:c>
    </x:row>
    <x:row r="106" ht="68" customHeight="1">
      <x:c r="A106" s="9" t="str">
        <x:v>Not collected</x:v>
      </x:c>
      <x:c r="B106" s="9" t="n">
        <x:f>'Evaluation Plan'!B106</x:f>
        <x:v>104</x:v>
      </x:c>
      <x:c r="C106" s="10" t="str">
        <x:f>'Evaluation Plan'!C106</x:f>
        <x:v>Pick up the largest item and place it in the bowl.</x:v>
      </x:c>
      <x:c r="D106" s="10" t="str">
        <x:f>'Evaluation Plan'!D106</x:f>
        <x:v>Bowl: empty. Table, robot-left→robot-right: P1 green block; P2 red pencil sharpener. Adjacent centers 12 cm apart; row shifted 4 cm toward robot-right; all objects fully visible and grasp paths clear.</x:v>
      </x:c>
      <x:c r="E106" s="9" t="str">
        <x:f>IF(ISBLANK('Evaluation Plan'!E106),"",'Evaluation Plan'!E106)</x:f>
      </x:c>
      <x:c r="F106" s="9" t="str">
        <x:f>'Evaluation Plan'!F106</x:f>
        <x:v>1082</x:v>
      </x:c>
      <x:c r="G106" s="9" t="str">
        <x:f>'Evaluation Plan'!G106</x:f>
        <x:v>MOVE green block to bowl</x:v>
      </x:c>
      <x:c r="H106" s="10"/>
      <x:c r="I106" s="9" t="str">
        <x:f>'Evaluation Plan'!I106</x:f>
        <x:v>Concept/compositional transfer</x:v>
      </x:c>
      <x:c r="J106" s="9" t="str">
        <x:f>'Evaluation Plan'!J106</x:f>
        <x:v>SZ-CT-LG23</x:v>
      </x:c>
      <x:c r="K106" s="9" t="str">
        <x:f>'Evaluation Plan'!K106</x:f>
        <x:v>largest</x:v>
      </x:c>
      <x:c r="L106" s="9" t="str">
        <x:f>'Evaluation Plan'!L106</x:f>
        <x:v>Held-out largest × green block — Pick up</x:v>
      </x:c>
      <x:c r="M106" s="9" t="str">
        <x:f>'Evaluation Plan'!M106</x:f>
        <x:v>green block</x:v>
      </x:c>
      <x:c r="N106" s="9" t="str">
        <x:f>'Evaluation Plan'!N106</x:f>
        <x:v>Left</x:v>
      </x:c>
      <x:c r="O106" s="9" t="n">
        <x:f>'Evaluation Plan'!O106</x:f>
        <x:v>2</x:v>
      </x:c>
      <x:c r="P106" s="9" t="n">
        <x:f>IF(ISBLANK('Evaluation Plan'!P106),"",'Evaluation Plan'!P106)</x:f>
        <x:v>12</x:v>
      </x:c>
      <x:c r="Q106" s="9" t="str">
        <x:f>'Evaluation Plan'!Q106</x:f>
        <x:v>Build the listed two-object scene and save a first-frame filename.</x:v>
      </x:c>
      <x:c r="R106" s="10" t="str">
        <x:f>'Evaluation Plan'!R106</x:f>
        <x:v>Primary missing cell. Training episode 1082 contains the same target trajectory but masks the size word with a direct identity prompt.</x:v>
      </x:c>
      <x:c r="S106" s="10" t="str">
        <x:f>IF(ISBLANK('Evaluation Plan'!S106),"",'Evaluation Plan'!S106)</x:f>
      </x:c>
    </x:row>
    <x:row r="107" ht="68" customHeight="1">
      <x:c r="A107" s="9" t="str">
        <x:v>Not collected</x:v>
      </x:c>
      <x:c r="B107" s="9" t="n">
        <x:f>'Evaluation Plan'!B107</x:f>
        <x:v>105</x:v>
      </x:c>
      <x:c r="C107" s="10" t="str">
        <x:f>'Evaluation Plan'!C107</x:f>
        <x:v>Put the smallest object in the bowl.</x:v>
      </x:c>
      <x:c r="D107" s="10" t="str">
        <x:f>'Evaluation Plan'!D107</x:f>
        <x:v>Bowl: empty. Table, robot-left→robot-right: P1 crushed Pepsi can; P2 juggling ball. Adjacent centers 16 cm apart; row shifted 4 cm away from the robot; all objects fully visible and grasp paths clear.</x:v>
      </x:c>
      <x:c r="E107" s="9" t="str">
        <x:f>IF(ISBLANK('Evaluation Plan'!E107),"",'Evaluation Plan'!E107)</x:f>
      </x:c>
      <x:c r="F107" s="9" t="str">
        <x:f>'Evaluation Plan'!F107</x:f>
        <x:v>1107</x:v>
      </x:c>
      <x:c r="G107" s="9" t="str">
        <x:f>'Evaluation Plan'!G107</x:f>
        <x:v>MOVE juggling ball to bowl</x:v>
      </x:c>
      <x:c r="H107" s="10"/>
      <x:c r="I107" s="9" t="str">
        <x:f>'Evaluation Plan'!I107</x:f>
        <x:v>Concept/compositional transfer</x:v>
      </x:c>
      <x:c r="J107" s="9" t="str">
        <x:f>'Evaluation Plan'!J107</x:f>
        <x:v>SZ-CT-SJ23</x:v>
      </x:c>
      <x:c r="K107" s="9" t="str">
        <x:f>'Evaluation Plan'!K107</x:f>
        <x:v>smallest</x:v>
      </x:c>
      <x:c r="L107" s="9" t="str">
        <x:f>'Evaluation Plan'!L107</x:f>
        <x:v>Held-out smallest × juggling ball — Put</x:v>
      </x:c>
      <x:c r="M107" s="9" t="str">
        <x:f>'Evaluation Plan'!M107</x:f>
        <x:v>juggling ball</x:v>
      </x:c>
      <x:c r="N107" s="9" t="str">
        <x:f>'Evaluation Plan'!N107</x:f>
        <x:v>Right</x:v>
      </x:c>
      <x:c r="O107" s="9" t="n">
        <x:f>'Evaluation Plan'!O107</x:f>
        <x:v>2</x:v>
      </x:c>
      <x:c r="P107" s="9" t="n">
        <x:f>IF(ISBLANK('Evaluation Plan'!P107),"",'Evaluation Plan'!P107)</x:f>
        <x:v>16</x:v>
      </x:c>
      <x:c r="Q107" s="9" t="str">
        <x:f>'Evaluation Plan'!Q107</x:f>
        <x:v>Build the listed two-object scene and save a first-frame filename.</x:v>
      </x:c>
      <x:c r="R107" s="10" t="str">
        <x:f>'Evaluation Plan'!R107</x:f>
        <x:v>Primary missing cell. Training episode 1107 contains the same target trajectory but masks the size word with a direct identity prompt.</x:v>
      </x:c>
      <x:c r="S107" s="10" t="str">
        <x:f>IF(ISBLANK('Evaluation Plan'!S107),"",'Evaluation Plan'!S107)</x:f>
      </x:c>
    </x:row>
    <x:row r="108" ht="68" customHeight="1">
      <x:c r="A108" s="9" t="str">
        <x:v>Not collected</x:v>
      </x:c>
      <x:c r="B108" s="9" t="n">
        <x:f>'Evaluation Plan'!B108</x:f>
        <x:v>106</x:v>
      </x:c>
      <x:c r="C108" s="10" t="str">
        <x:f>'Evaluation Plan'!C108</x:f>
        <x:v>Put the largest object in the bowl.</x:v>
      </x:c>
      <x:c r="D108" s="10" t="str">
        <x:f>'Evaluation Plan'!D108</x:f>
        <x:v>Bowl: empty. Table, robot-left→robot-right: P1 red pencil sharpener; P2 green block. Adjacent centers 16 cm apart; row shifted 4 cm toward the robot; all objects fully visible and grasp paths clear.</x:v>
      </x:c>
      <x:c r="E108" s="9" t="str">
        <x:f>IF(ISBLANK('Evaluation Plan'!E108),"",'Evaluation Plan'!E108)</x:f>
      </x:c>
      <x:c r="F108" s="9" t="str">
        <x:f>'Evaluation Plan'!F108</x:f>
        <x:v>1083</x:v>
      </x:c>
      <x:c r="G108" s="9" t="str">
        <x:f>'Evaluation Plan'!G108</x:f>
        <x:v>MOVE green block to bowl</x:v>
      </x:c>
      <x:c r="H108" s="10"/>
      <x:c r="I108" s="9" t="str">
        <x:f>'Evaluation Plan'!I108</x:f>
        <x:v>Concept/compositional transfer</x:v>
      </x:c>
      <x:c r="J108" s="9" t="str">
        <x:f>'Evaluation Plan'!J108</x:f>
        <x:v>SZ-CT-LG24</x:v>
      </x:c>
      <x:c r="K108" s="9" t="str">
        <x:f>'Evaluation Plan'!K108</x:f>
        <x:v>largest</x:v>
      </x:c>
      <x:c r="L108" s="9" t="str">
        <x:f>'Evaluation Plan'!L108</x:f>
        <x:v>Held-out largest × green block — Put</x:v>
      </x:c>
      <x:c r="M108" s="9" t="str">
        <x:f>'Evaluation Plan'!M108</x:f>
        <x:v>green block</x:v>
      </x:c>
      <x:c r="N108" s="9" t="str">
        <x:f>'Evaluation Plan'!N108</x:f>
        <x:v>Right</x:v>
      </x:c>
      <x:c r="O108" s="9" t="n">
        <x:f>'Evaluation Plan'!O108</x:f>
        <x:v>2</x:v>
      </x:c>
      <x:c r="P108" s="9" t="n">
        <x:f>IF(ISBLANK('Evaluation Plan'!P108),"",'Evaluation Plan'!P108)</x:f>
        <x:v>16</x:v>
      </x:c>
      <x:c r="Q108" s="9" t="str">
        <x:f>'Evaluation Plan'!Q108</x:f>
        <x:v>Build the listed two-object scene and save a first-frame filename.</x:v>
      </x:c>
      <x:c r="R108" s="10" t="str">
        <x:f>'Evaluation Plan'!R108</x:f>
        <x:v>Primary missing cell. Training episode 1083 contains the same target trajectory but masks the size word with a direct identity prompt.</x:v>
      </x:c>
      <x:c r="S108" s="10" t="str">
        <x:f>IF(ISBLANK('Evaluation Plan'!S108),"",'Evaluation Plan'!S108)</x:f>
      </x:c>
    </x:row>
    <x:row r="109" ht="68" customHeight="1">
      <x:c r="A109" s="9" t="str">
        <x:v>Not collected</x:v>
      </x:c>
      <x:c r="B109" s="9" t="n">
        <x:f>'Evaluation Plan'!B109</x:f>
        <x:v>107</x:v>
      </x:c>
      <x:c r="C109" s="10" t="str">
        <x:f>'Evaluation Plan'!C109</x:f>
        <x:v>Move the object that is smallest into the bowl.</x:v>
      </x:c>
      <x:c r="D109" s="10" t="str">
        <x:f>'Evaluation Plan'!D109</x:f>
        <x:v>Bowl: empty. Table, robot-left→robot-right: P1 juggling ball; P2 crushed Pepsi can. Adjacent centers 8 cm apart; row centered on the workspace; all objects fully visible and grasp paths clear.</x:v>
      </x:c>
      <x:c r="E109" s="9" t="str">
        <x:f>IF(ISBLANK('Evaluation Plan'!E109),"",'Evaluation Plan'!E109)</x:f>
      </x:c>
      <x:c r="F109" s="9" t="str">
        <x:f>'Evaluation Plan'!F109</x:f>
        <x:v>1108</x:v>
      </x:c>
      <x:c r="G109" s="9" t="str">
        <x:f>'Evaluation Plan'!G109</x:f>
        <x:v>MOVE juggling ball to bowl</x:v>
      </x:c>
      <x:c r="H109" s="10"/>
      <x:c r="I109" s="9" t="str">
        <x:f>'Evaluation Plan'!I109</x:f>
        <x:v>Concept/compositional transfer</x:v>
      </x:c>
      <x:c r="J109" s="9" t="str">
        <x:f>'Evaluation Plan'!J109</x:f>
        <x:v>SZ-CT-SJ24</x:v>
      </x:c>
      <x:c r="K109" s="9" t="str">
        <x:f>'Evaluation Plan'!K109</x:f>
        <x:v>smallest</x:v>
      </x:c>
      <x:c r="L109" s="9" t="str">
        <x:f>'Evaluation Plan'!L109</x:f>
        <x:v>Held-out smallest × juggling ball — Move</x:v>
      </x:c>
      <x:c r="M109" s="9" t="str">
        <x:f>'Evaluation Plan'!M109</x:f>
        <x:v>juggling ball</x:v>
      </x:c>
      <x:c r="N109" s="9" t="str">
        <x:f>'Evaluation Plan'!N109</x:f>
        <x:v>Left</x:v>
      </x:c>
      <x:c r="O109" s="9" t="n">
        <x:f>'Evaluation Plan'!O109</x:f>
        <x:v>2</x:v>
      </x:c>
      <x:c r="P109" s="9" t="n">
        <x:f>IF(ISBLANK('Evaluation Plan'!P109),"",'Evaluation Plan'!P109)</x:f>
        <x:v>8</x:v>
      </x:c>
      <x:c r="Q109" s="9" t="str">
        <x:f>'Evaluation Plan'!Q109</x:f>
        <x:v>Build the listed two-object scene and save a first-frame filename.</x:v>
      </x:c>
      <x:c r="R109" s="10" t="str">
        <x:f>'Evaluation Plan'!R109</x:f>
        <x:v>Primary missing cell. Training episode 1108 contains the same target trajectory but masks the size word with a direct identity prompt.</x:v>
      </x:c>
      <x:c r="S109" s="10" t="str">
        <x:f>IF(ISBLANK('Evaluation Plan'!S109),"",'Evaluation Plan'!S109)</x:f>
      </x:c>
    </x:row>
    <x:row r="110" ht="68" customHeight="1">
      <x:c r="A110" s="9" t="str">
        <x:v>Not collected</x:v>
      </x:c>
      <x:c r="B110" s="9" t="n">
        <x:f>'Evaluation Plan'!B110</x:f>
        <x:v>108</x:v>
      </x:c>
      <x:c r="C110" s="10" t="str">
        <x:f>'Evaluation Plan'!C110</x:f>
        <x:v>Move the object that is largest into the bowl.</x:v>
      </x:c>
      <x:c r="D110" s="10" t="str">
        <x:f>'Evaluation Plan'!D110</x:f>
        <x:v>Bowl: empty. Table, robot-left→robot-right: P1 green block; P2 red pencil sharpener. Adjacent centers 8 cm apart; row shifted 4 cm away from the robot; all objects fully visible and grasp paths clear.</x:v>
      </x:c>
      <x:c r="E110" s="9" t="str">
        <x:f>IF(ISBLANK('Evaluation Plan'!E110),"",'Evaluation Plan'!E110)</x:f>
      </x:c>
      <x:c r="F110" s="9" t="str">
        <x:f>'Evaluation Plan'!F110</x:f>
        <x:v>1084</x:v>
      </x:c>
      <x:c r="G110" s="9" t="str">
        <x:f>'Evaluation Plan'!G110</x:f>
        <x:v>MOVE green block to bowl</x:v>
      </x:c>
      <x:c r="H110" s="10"/>
      <x:c r="I110" s="9" t="str">
        <x:f>'Evaluation Plan'!I110</x:f>
        <x:v>Concept/compositional transfer</x:v>
      </x:c>
      <x:c r="J110" s="9" t="str">
        <x:f>'Evaluation Plan'!J110</x:f>
        <x:v>SZ-CT-LG25</x:v>
      </x:c>
      <x:c r="K110" s="9" t="str">
        <x:f>'Evaluation Plan'!K110</x:f>
        <x:v>largest</x:v>
      </x:c>
      <x:c r="L110" s="9" t="str">
        <x:f>'Evaluation Plan'!L110</x:f>
        <x:v>Held-out largest × green block — Move</x:v>
      </x:c>
      <x:c r="M110" s="9" t="str">
        <x:f>'Evaluation Plan'!M110</x:f>
        <x:v>green block</x:v>
      </x:c>
      <x:c r="N110" s="9" t="str">
        <x:f>'Evaluation Plan'!N110</x:f>
        <x:v>Left</x:v>
      </x:c>
      <x:c r="O110" s="9" t="n">
        <x:f>'Evaluation Plan'!O110</x:f>
        <x:v>2</x:v>
      </x:c>
      <x:c r="P110" s="9" t="n">
        <x:f>IF(ISBLANK('Evaluation Plan'!P110),"",'Evaluation Plan'!P110)</x:f>
        <x:v>8</x:v>
      </x:c>
      <x:c r="Q110" s="9" t="str">
        <x:f>'Evaluation Plan'!Q110</x:f>
        <x:v>Build the listed two-object scene and save a first-frame filename.</x:v>
      </x:c>
      <x:c r="R110" s="10" t="str">
        <x:f>'Evaluation Plan'!R110</x:f>
        <x:v>Primary missing cell. Training episode 1084 contains the same target trajectory but masks the size word with a direct identity prompt.</x:v>
      </x:c>
      <x:c r="S110" s="10" t="str">
        <x:f>IF(ISBLANK('Evaluation Plan'!S110),"",'Evaluation Plan'!S110)</x:f>
      </x:c>
    </x:row>
    <x:row r="111" ht="68" customHeight="1">
      <x:c r="A111" s="9" t="str">
        <x:v>Not collected</x:v>
      </x:c>
      <x:c r="B111" s="9" t="n">
        <x:f>'Evaluation Plan'!B111</x:f>
        <x:v>109</x:v>
      </x:c>
      <x:c r="C111" s="10" t="str">
        <x:f>'Evaluation Plan'!C111</x:f>
        <x:v>Pick up the smallest item and place it in the bowl.</x:v>
      </x:c>
      <x:c r="D111" s="10" t="str">
        <x:f>'Evaluation Plan'!D111</x:f>
        <x:v>Bowl: empty. Table, robot-left→robot-right: P1 crushed Pepsi can; P2 juggling ball. Adjacent centers 12 cm apart; row shifted 4 cm toward robot-left; all objects fully visible and grasp paths clear.</x:v>
      </x:c>
      <x:c r="E111" s="9" t="str">
        <x:f>IF(ISBLANK('Evaluation Plan'!E111),"",'Evaluation Plan'!E111)</x:f>
      </x:c>
      <x:c r="F111" s="9" t="str">
        <x:f>'Evaluation Plan'!F111</x:f>
        <x:v>1109</x:v>
      </x:c>
      <x:c r="G111" s="9" t="str">
        <x:f>'Evaluation Plan'!G111</x:f>
        <x:v>MOVE juggling ball to bowl</x:v>
      </x:c>
      <x:c r="H111" s="10"/>
      <x:c r="I111" s="9" t="str">
        <x:f>'Evaluation Plan'!I111</x:f>
        <x:v>Concept/compositional transfer</x:v>
      </x:c>
      <x:c r="J111" s="9" t="str">
        <x:f>'Evaluation Plan'!J111</x:f>
        <x:v>SZ-CT-SJ25</x:v>
      </x:c>
      <x:c r="K111" s="9" t="str">
        <x:f>'Evaluation Plan'!K111</x:f>
        <x:v>smallest</x:v>
      </x:c>
      <x:c r="L111" s="9" t="str">
        <x:f>'Evaluation Plan'!L111</x:f>
        <x:v>Held-out smallest × juggling ball — Pick up</x:v>
      </x:c>
      <x:c r="M111" s="9" t="str">
        <x:f>'Evaluation Plan'!M111</x:f>
        <x:v>juggling ball</x:v>
      </x:c>
      <x:c r="N111" s="9" t="str">
        <x:f>'Evaluation Plan'!N111</x:f>
        <x:v>Right</x:v>
      </x:c>
      <x:c r="O111" s="9" t="n">
        <x:f>'Evaluation Plan'!O111</x:f>
        <x:v>2</x:v>
      </x:c>
      <x:c r="P111" s="9" t="n">
        <x:f>IF(ISBLANK('Evaluation Plan'!P111),"",'Evaluation Plan'!P111)</x:f>
        <x:v>12</x:v>
      </x:c>
      <x:c r="Q111" s="9" t="str">
        <x:f>'Evaluation Plan'!Q111</x:f>
        <x:v>Build the listed two-object scene and save a first-frame filename.</x:v>
      </x:c>
      <x:c r="R111" s="10" t="str">
        <x:f>'Evaluation Plan'!R111</x:f>
        <x:v>Primary missing cell. Training episode 1109 contains the same target trajectory but masks the size word with a direct identity prompt.</x:v>
      </x:c>
      <x:c r="S111" s="10" t="str">
        <x:f>IF(ISBLANK('Evaluation Plan'!S111),"",'Evaluation Plan'!S111)</x:f>
      </x:c>
    </x:row>
    <x:row r="112" ht="68" customHeight="1">
      <x:c r="A112" s="9" t="str">
        <x:v>Not collected</x:v>
      </x:c>
      <x:c r="B112" s="9" t="n">
        <x:f>'Evaluation Plan'!B112</x:f>
        <x:v>110</x:v>
      </x:c>
      <x:c r="C112" s="10" t="str">
        <x:f>'Evaluation Plan'!C112</x:f>
        <x:v>Move the object that is largest into the bowl.</x:v>
      </x:c>
      <x:c r="D112" s="10" t="str">
        <x:f>'Evaluation Plan'!D112</x:f>
        <x:v>Bowl: empty. Table, robot-left→robot-right: P1 airplane toy with propellers; P2 red pencil sharpener. Adjacent centers 8 cm apart; row centered on the workspace; all objects fully visible and grasp paths clear.</x:v>
      </x:c>
      <x:c r="E112" s="9" t="str">
        <x:f>IF(ISBLANK('Evaluation Plan'!E112),"",'Evaluation Plan'!E112)</x:f>
      </x:c>
      <x:c r="F112" s="9" t="str">
        <x:f>'Evaluation Plan'!F112</x:f>
        <x:v>airplane exposure 550</x:v>
      </x:c>
      <x:c r="G112" s="9" t="str">
        <x:f>'Evaluation Plan'!G112</x:f>
        <x:v>MOVE airplane toy with propellers to bowl</x:v>
      </x:c>
      <x:c r="H112" s="10"/>
      <x:c r="I112" s="9" t="str">
        <x:f>'Evaluation Plan'!I112</x:f>
        <x:v>Cross-task airplane reasoning</x:v>
      </x:c>
      <x:c r="J112" s="9" t="str">
        <x:f>'Evaluation Plan'!J112</x:f>
        <x:v>SZ-XA01</x:v>
      </x:c>
      <x:c r="K112" s="9" t="str">
        <x:f>'Evaluation Plan'!K112</x:f>
        <x:v>largest</x:v>
      </x:c>
      <x:c r="L112" s="9" t="str">
        <x:f>'Evaluation Plan'!L112</x:f>
        <x:v>Airplane is largest</x:v>
      </x:c>
      <x:c r="M112" s="9" t="str">
        <x:f>'Evaluation Plan'!M112</x:f>
        <x:v>airplane toy with propellers</x:v>
      </x:c>
      <x:c r="N112" s="9" t="str">
        <x:f>'Evaluation Plan'!N112</x:f>
        <x:v>Left</x:v>
      </x:c>
      <x:c r="O112" s="9" t="n">
        <x:f>'Evaluation Plan'!O112</x:f>
        <x:v>2</x:v>
      </x:c>
      <x:c r="P112" s="9" t="n">
        <x:f>IF(ISBLANK('Evaluation Plan'!P112),"",'Evaluation Plan'!P112)</x:f>
        <x:v>8</x:v>
      </x:c>
      <x:c r="Q112" s="9" t="str">
        <x:f>'Evaluation Plan'!Q112</x:f>
        <x:v>Build the listed airplane scene and save a first-frame filename.</x:v>
      </x:c>
      <x:c r="R112" s="10" t="str">
        <x:f>'Evaluation Plan'!R112</x:f>
        <x:v>The airplane is larger than the red pencil sharpener. It is known globally but never received size language in training.</x:v>
      </x:c>
      <x:c r="S112" s="10" t="str">
        <x:f>IF(ISBLANK('Evaluation Plan'!S112),"",'Evaluation Plan'!S112)</x:f>
      </x:c>
    </x:row>
    <x:row r="113" ht="68" customHeight="1">
      <x:c r="A113" s="8" t="str">
        <x:v>Not collected</x:v>
      </x:c>
      <x:c r="B113" s="8" t="n">
        <x:f>'Evaluation Plan'!B113</x:f>
        <x:v>111</x:v>
      </x:c>
      <x:c r="C113" s="7" t="str">
        <x:f>'Evaluation Plan'!C113</x:f>
        <x:v>Put the smallest object in the bowl.</x:v>
      </x:c>
      <x:c r="D113" s="7" t="str">
        <x:f>'Evaluation Plan'!D113</x:f>
        <x:v>Bowl: empty. Table, robot-left→robot-right: P1 airplane toy with propellers; P2 red pencil sharpener. Adjacent centers 8 cm apart; row centered on the workspace; all objects fully visible and grasp paths clear.</x:v>
      </x:c>
      <x:c r="E113" s="8" t="n">
        <x:f>IF(ISBLANK('Evaluation Plan'!E113),"",'Evaluation Plan'!E113)</x:f>
        <x:v>110</x:v>
      </x:c>
      <x:c r="F113" s="8" t="str">
        <x:f>'Evaluation Plan'!F113</x:f>
        <x:v>1005; airplane exposure 550</x:v>
      </x:c>
      <x:c r="G113" s="8" t="str">
        <x:f>'Evaluation Plan'!G113</x:f>
        <x:v>MOVE red pencil sharpener to bowl</x:v>
      </x:c>
      <x:c r="H113" s="7"/>
      <x:c r="I113" s="8" t="str">
        <x:f>'Evaluation Plan'!I113</x:f>
        <x:v>Cross-task airplane counterfactual</x:v>
      </x:c>
      <x:c r="J113" s="8" t="str">
        <x:f>'Evaluation Plan'!J113</x:f>
        <x:v>SZ-XA01</x:v>
      </x:c>
      <x:c r="K113" s="8" t="str">
        <x:f>'Evaluation Plan'!K113</x:f>
        <x:v>smallest</x:v>
      </x:c>
      <x:c r="L113" s="8" t="str">
        <x:f>'Evaluation Plan'!L113</x:f>
        <x:v>Exact-scene opposite-comparison reasoning control</x:v>
      </x:c>
      <x:c r="M113" s="8" t="str">
        <x:f>'Evaluation Plan'!M113</x:f>
        <x:v>red pencil sharpener</x:v>
      </x:c>
      <x:c r="N113" s="8" t="str">
        <x:f>'Evaluation Plan'!N113</x:f>
        <x:v>Right</x:v>
      </x:c>
      <x:c r="O113" s="8" t="n">
        <x:f>'Evaluation Plan'!O113</x:f>
        <x:v>2</x:v>
      </x:c>
      <x:c r="P113" s="8" t="n">
        <x:f>IF(ISBLANK('Evaluation Plan'!P113),"",'Evaluation Plan'!P113)</x:f>
        <x:v>8</x:v>
      </x:c>
      <x:c r="Q113" s="8" t="str">
        <x:f>'Evaluation Plan'!Q113</x:f>
        <x:v>Reset the airplane; preserve the exact scene and reverse only the size comparison.</x:v>
      </x:c>
      <x:c r="R113" s="7" t="str">
        <x:f>'Evaluation Plan'!R113</x:f>
        <x:v>Reasoning-only counterfactual grounded by trained cell smallest × red pencil sharpener; an always-pick-airplane shortcut must fail.</x:v>
      </x:c>
      <x:c r="S113" s="7" t="str">
        <x:f>IF(ISBLANK('Evaluation Plan'!S113),"",'Evaluation Plan'!S113)</x:f>
      </x:c>
    </x:row>
    <x:row r="114" ht="68" customHeight="1">
      <x:c r="A114" s="9" t="str">
        <x:v>Not collected</x:v>
      </x:c>
      <x:c r="B114" s="9" t="n">
        <x:f>'Evaluation Plan'!B114</x:f>
        <x:v>112</x:v>
      </x:c>
      <x:c r="C114" s="10" t="str">
        <x:f>'Evaluation Plan'!C114</x:f>
        <x:v>Pick up the smallest item and place it in the bowl.</x:v>
      </x:c>
      <x:c r="D114" s="10" t="str">
        <x:f>'Evaluation Plan'!D114</x:f>
        <x:v>Bowl: empty. Table, robot-left→robot-right: P1 airplane toy with propellers; P2 green block; P3 crushed Pepsi can. Adjacent centers 12 cm apart; row shifted 4 cm toward robot-right; all objects fully visible and grasp paths clear.</x:v>
      </x:c>
      <x:c r="E114" s="9" t="str">
        <x:f>IF(ISBLANK('Evaluation Plan'!E114),"",'Evaluation Plan'!E114)</x:f>
      </x:c>
      <x:c r="F114" s="9" t="str">
        <x:f>'Evaluation Plan'!F114</x:f>
        <x:v>airplane exposure 552</x:v>
      </x:c>
      <x:c r="G114" s="9" t="str">
        <x:f>'Evaluation Plan'!G114</x:f>
        <x:v>MOVE airplane toy with propellers to bowl</x:v>
      </x:c>
      <x:c r="H114" s="10"/>
      <x:c r="I114" s="9" t="str">
        <x:f>'Evaluation Plan'!I114</x:f>
        <x:v>Cross-task airplane reasoning</x:v>
      </x:c>
      <x:c r="J114" s="9" t="str">
        <x:f>'Evaluation Plan'!J114</x:f>
        <x:v>SZ-XA02</x:v>
      </x:c>
      <x:c r="K114" s="9" t="str">
        <x:f>'Evaluation Plan'!K114</x:f>
        <x:v>smallest</x:v>
      </x:c>
      <x:c r="L114" s="9" t="str">
        <x:f>'Evaluation Plan'!L114</x:f>
        <x:v>Airplane is smallest</x:v>
      </x:c>
      <x:c r="M114" s="9" t="str">
        <x:f>'Evaluation Plan'!M114</x:f>
        <x:v>airplane toy with propellers</x:v>
      </x:c>
      <x:c r="N114" s="9" t="str">
        <x:f>'Evaluation Plan'!N114</x:f>
        <x:v>Left</x:v>
      </x:c>
      <x:c r="O114" s="9" t="n">
        <x:f>'Evaluation Plan'!O114</x:f>
        <x:v>3</x:v>
      </x:c>
      <x:c r="P114" s="9" t="n">
        <x:f>IF(ISBLANK('Evaluation Plan'!P114),"",'Evaluation Plan'!P114)</x:f>
        <x:v>12</x:v>
      </x:c>
      <x:c r="Q114" s="9" t="str">
        <x:f>'Evaluation Plan'!Q114</x:f>
        <x:v>Build the listed airplane scene and save a first-frame filename.</x:v>
      </x:c>
      <x:c r="R114" s="10" t="str">
        <x:f>'Evaluation Plan'!R114</x:f>
        <x:v>The airplane is smaller than every listed table comparator. Green-block scenes also include a trained larger endpoint so the counterfactual does not test largest×green.</x:v>
      </x:c>
      <x:c r="S114" s="10" t="str">
        <x:f>IF(ISBLANK('Evaluation Plan'!S114),"",'Evaluation Plan'!S114)</x:f>
      </x:c>
    </x:row>
    <x:row r="115" ht="68" customHeight="1">
      <x:c r="A115" s="8" t="str">
        <x:v>Not collected</x:v>
      </x:c>
      <x:c r="B115" s="8" t="n">
        <x:f>'Evaluation Plan'!B115</x:f>
        <x:v>113</x:v>
      </x:c>
      <x:c r="C115" s="7" t="str">
        <x:f>'Evaluation Plan'!C115</x:f>
        <x:v>Put the largest object in the bowl.</x:v>
      </x:c>
      <x:c r="D115" s="7" t="str">
        <x:f>'Evaluation Plan'!D115</x:f>
        <x:v>Bowl: empty. Table, robot-left→robot-right: P1 airplane toy with propellers; P2 green block; P3 crushed Pepsi can. Adjacent centers 12 cm apart; row shifted 4 cm toward robot-right; all objects fully visible and grasp paths clear.</x:v>
      </x:c>
      <x:c r="E115" s="8" t="n">
        <x:f>IF(ISBLANK('Evaluation Plan'!E115),"",'Evaluation Plan'!E115)</x:f>
        <x:v>112</x:v>
      </x:c>
      <x:c r="F115" s="8" t="str">
        <x:f>'Evaluation Plan'!F115</x:f>
        <x:v>1155; airplane exposure 552</x:v>
      </x:c>
      <x:c r="G115" s="8" t="str">
        <x:f>'Evaluation Plan'!G115</x:f>
        <x:v>MOVE crushed Pepsi can to bowl</x:v>
      </x:c>
      <x:c r="H115" s="7"/>
      <x:c r="I115" s="8" t="str">
        <x:f>'Evaluation Plan'!I115</x:f>
        <x:v>Cross-task airplane counterfactual</x:v>
      </x:c>
      <x:c r="J115" s="8" t="str">
        <x:f>'Evaluation Plan'!J115</x:f>
        <x:v>SZ-XA02</x:v>
      </x:c>
      <x:c r="K115" s="8" t="str">
        <x:f>'Evaluation Plan'!K115</x:f>
        <x:v>largest</x:v>
      </x:c>
      <x:c r="L115" s="8" t="str">
        <x:f>'Evaluation Plan'!L115</x:f>
        <x:v>Exact-scene opposite-comparison reasoning control</x:v>
      </x:c>
      <x:c r="M115" s="8" t="str">
        <x:f>'Evaluation Plan'!M115</x:f>
        <x:v>crushed Pepsi can</x:v>
      </x:c>
      <x:c r="N115" s="8" t="str">
        <x:f>'Evaluation Plan'!N115</x:f>
        <x:v>Right</x:v>
      </x:c>
      <x:c r="O115" s="8" t="n">
        <x:f>'Evaluation Plan'!O115</x:f>
        <x:v>3</x:v>
      </x:c>
      <x:c r="P115" s="8" t="n">
        <x:f>IF(ISBLANK('Evaluation Plan'!P115),"",'Evaluation Plan'!P115)</x:f>
        <x:v>12</x:v>
      </x:c>
      <x:c r="Q115" s="8" t="str">
        <x:f>'Evaluation Plan'!Q115</x:f>
        <x:v>Reset the airplane; preserve the exact scene and reverse only the size comparison.</x:v>
      </x:c>
      <x:c r="R115" s="7" t="str">
        <x:f>'Evaluation Plan'!R115</x:f>
        <x:v>Reasoning-only counterfactual grounded by trained cell largest × crushed Pepsi can; an always-pick-airplane shortcut must fail.</x:v>
      </x:c>
      <x:c r="S115" s="7" t="str">
        <x:f>IF(ISBLANK('Evaluation Plan'!S115),"",'Evaluation Plan'!S115)</x:f>
      </x:c>
    </x:row>
    <x:row r="116" ht="68" customHeight="1">
      <x:c r="A116" s="9" t="str">
        <x:v>Not collected</x:v>
      </x:c>
      <x:c r="B116" s="9" t="n">
        <x:f>'Evaluation Plan'!B116</x:f>
        <x:v>114</x:v>
      </x:c>
      <x:c r="C116" s="10" t="str">
        <x:f>'Evaluation Plan'!C116</x:f>
        <x:v>Pick up the largest item and place it in the bowl.</x:v>
      </x:c>
      <x:c r="D116" s="10" t="str">
        <x:f>'Evaluation Plan'!D116</x:f>
        <x:v>Bowl: empty. Table, robot-left→robot-right: P1 red pencil sharpener; P2 airplane toy with propellers. Adjacent centers 12 cm apart; row shifted 4 cm toward robot-left; all objects fully visible and grasp paths clear.</x:v>
      </x:c>
      <x:c r="E116" s="9" t="str">
        <x:f>IF(ISBLANK('Evaluation Plan'!E116),"",'Evaluation Plan'!E116)</x:f>
      </x:c>
      <x:c r="F116" s="9" t="str">
        <x:f>'Evaluation Plan'!F116</x:f>
        <x:v>airplane exposure 554</x:v>
      </x:c>
      <x:c r="G116" s="9" t="str">
        <x:f>'Evaluation Plan'!G116</x:f>
        <x:v>MOVE airplane toy with propellers to bowl</x:v>
      </x:c>
      <x:c r="H116" s="10"/>
      <x:c r="I116" s="9" t="str">
        <x:f>'Evaluation Plan'!I116</x:f>
        <x:v>Cross-task airplane reasoning</x:v>
      </x:c>
      <x:c r="J116" s="9" t="str">
        <x:f>'Evaluation Plan'!J116</x:f>
        <x:v>SZ-XA03</x:v>
      </x:c>
      <x:c r="K116" s="9" t="str">
        <x:f>'Evaluation Plan'!K116</x:f>
        <x:v>largest</x:v>
      </x:c>
      <x:c r="L116" s="9" t="str">
        <x:f>'Evaluation Plan'!L116</x:f>
        <x:v>Airplane is largest</x:v>
      </x:c>
      <x:c r="M116" s="9" t="str">
        <x:f>'Evaluation Plan'!M116</x:f>
        <x:v>airplane toy with propellers</x:v>
      </x:c>
      <x:c r="N116" s="9" t="str">
        <x:f>'Evaluation Plan'!N116</x:f>
        <x:v>Right</x:v>
      </x:c>
      <x:c r="O116" s="9" t="n">
        <x:f>'Evaluation Plan'!O116</x:f>
        <x:v>2</x:v>
      </x:c>
      <x:c r="P116" s="9" t="n">
        <x:f>IF(ISBLANK('Evaluation Plan'!P116),"",'Evaluation Plan'!P116)</x:f>
        <x:v>12</x:v>
      </x:c>
      <x:c r="Q116" s="9" t="str">
        <x:f>'Evaluation Plan'!Q116</x:f>
        <x:v>Build the listed airplane scene and save a first-frame filename.</x:v>
      </x:c>
      <x:c r="R116" s="10" t="str">
        <x:f>'Evaluation Plan'!R116</x:f>
        <x:v>The airplane is larger than the red pencil sharpener. It is known globally but never received size language in training.</x:v>
      </x:c>
      <x:c r="S116" s="10" t="str">
        <x:f>IF(ISBLANK('Evaluation Plan'!S116),"",'Evaluation Plan'!S116)</x:f>
      </x:c>
    </x:row>
    <x:row r="117" ht="68" customHeight="1">
      <x:c r="A117" s="8" t="str">
        <x:v>Not collected</x:v>
      </x:c>
      <x:c r="B117" s="8" t="n">
        <x:f>'Evaluation Plan'!B117</x:f>
        <x:v>115</x:v>
      </x:c>
      <x:c r="C117" s="7" t="str">
        <x:f>'Evaluation Plan'!C117</x:f>
        <x:v>Move the object that is smallest into the bowl.</x:v>
      </x:c>
      <x:c r="D117" s="7" t="str">
        <x:f>'Evaluation Plan'!D117</x:f>
        <x:v>Bowl: empty. Table, robot-left→robot-right: P1 red pencil sharpener; P2 airplane toy with propellers. Adjacent centers 12 cm apart; row shifted 4 cm toward robot-left; all objects fully visible and grasp paths clear.</x:v>
      </x:c>
      <x:c r="E117" s="8" t="n">
        <x:f>IF(ISBLANK('Evaluation Plan'!E117),"",'Evaluation Plan'!E117)</x:f>
        <x:v>114</x:v>
      </x:c>
      <x:c r="F117" s="8" t="str">
        <x:f>'Evaluation Plan'!F117</x:f>
        <x:v>1006; airplane exposure 554</x:v>
      </x:c>
      <x:c r="G117" s="8" t="str">
        <x:f>'Evaluation Plan'!G117</x:f>
        <x:v>MOVE red pencil sharpener to bowl</x:v>
      </x:c>
      <x:c r="H117" s="7"/>
      <x:c r="I117" s="8" t="str">
        <x:f>'Evaluation Plan'!I117</x:f>
        <x:v>Cross-task airplane counterfactual</x:v>
      </x:c>
      <x:c r="J117" s="8" t="str">
        <x:f>'Evaluation Plan'!J117</x:f>
        <x:v>SZ-XA03</x:v>
      </x:c>
      <x:c r="K117" s="8" t="str">
        <x:f>'Evaluation Plan'!K117</x:f>
        <x:v>smallest</x:v>
      </x:c>
      <x:c r="L117" s="8" t="str">
        <x:f>'Evaluation Plan'!L117</x:f>
        <x:v>Exact-scene opposite-comparison reasoning control</x:v>
      </x:c>
      <x:c r="M117" s="8" t="str">
        <x:f>'Evaluation Plan'!M117</x:f>
        <x:v>red pencil sharpener</x:v>
      </x:c>
      <x:c r="N117" s="8" t="str">
        <x:f>'Evaluation Plan'!N117</x:f>
        <x:v>Left</x:v>
      </x:c>
      <x:c r="O117" s="8" t="n">
        <x:f>'Evaluation Plan'!O117</x:f>
        <x:v>2</x:v>
      </x:c>
      <x:c r="P117" s="8" t="n">
        <x:f>IF(ISBLANK('Evaluation Plan'!P117),"",'Evaluation Plan'!P117)</x:f>
        <x:v>12</x:v>
      </x:c>
      <x:c r="Q117" s="8" t="str">
        <x:f>'Evaluation Plan'!Q117</x:f>
        <x:v>Reset the airplane; preserve the exact scene and reverse only the size comparison.</x:v>
      </x:c>
      <x:c r="R117" s="7" t="str">
        <x:f>'Evaluation Plan'!R117</x:f>
        <x:v>Reasoning-only counterfactual grounded by trained cell smallest × red pencil sharpener; an always-pick-airplane shortcut must fail.</x:v>
      </x:c>
      <x:c r="S117" s="7" t="str">
        <x:f>IF(ISBLANK('Evaluation Plan'!S117),"",'Evaluation Plan'!S117)</x:f>
      </x:c>
    </x:row>
    <x:row r="118" ht="68" customHeight="1">
      <x:c r="A118" s="9" t="str">
        <x:v>Not collected</x:v>
      </x:c>
      <x:c r="B118" s="9" t="n">
        <x:f>'Evaluation Plan'!B118</x:f>
        <x:v>116</x:v>
      </x:c>
      <x:c r="C118" s="10" t="str">
        <x:f>'Evaluation Plan'!C118</x:f>
        <x:v>Put the smallest object in the bowl.</x:v>
      </x:c>
      <x:c r="D118" s="10" t="str">
        <x:f>'Evaluation Plan'!D118</x:f>
        <x:v>Bowl: empty. Table, robot-left→robot-right: P1 juggling ball; P2 green block; P3 airplane toy with propellers. Adjacent centers 16 cm apart; row shifted 4 cm toward the robot; all objects fully visible and grasp paths clear.</x:v>
      </x:c>
      <x:c r="E118" s="9" t="str">
        <x:f>IF(ISBLANK('Evaluation Plan'!E118),"",'Evaluation Plan'!E118)</x:f>
      </x:c>
      <x:c r="F118" s="9" t="str">
        <x:f>'Evaluation Plan'!F118</x:f>
        <x:v>airplane exposure 556</x:v>
      </x:c>
      <x:c r="G118" s="9" t="str">
        <x:f>'Evaluation Plan'!G118</x:f>
        <x:v>MOVE airplane toy with propellers to bowl</x:v>
      </x:c>
      <x:c r="H118" s="10"/>
      <x:c r="I118" s="9" t="str">
        <x:f>'Evaluation Plan'!I118</x:f>
        <x:v>Cross-task airplane reasoning</x:v>
      </x:c>
      <x:c r="J118" s="9" t="str">
        <x:f>'Evaluation Plan'!J118</x:f>
        <x:v>SZ-XA04</x:v>
      </x:c>
      <x:c r="K118" s="9" t="str">
        <x:f>'Evaluation Plan'!K118</x:f>
        <x:v>smallest</x:v>
      </x:c>
      <x:c r="L118" s="9" t="str">
        <x:f>'Evaluation Plan'!L118</x:f>
        <x:v>Airplane is smallest</x:v>
      </x:c>
      <x:c r="M118" s="9" t="str">
        <x:f>'Evaluation Plan'!M118</x:f>
        <x:v>airplane toy with propellers</x:v>
      </x:c>
      <x:c r="N118" s="9" t="str">
        <x:f>'Evaluation Plan'!N118</x:f>
        <x:v>Right</x:v>
      </x:c>
      <x:c r="O118" s="9" t="n">
        <x:f>'Evaluation Plan'!O118</x:f>
        <x:v>3</x:v>
      </x:c>
      <x:c r="P118" s="9" t="n">
        <x:f>IF(ISBLANK('Evaluation Plan'!P118),"",'Evaluation Plan'!P118)</x:f>
        <x:v>16</x:v>
      </x:c>
      <x:c r="Q118" s="9" t="str">
        <x:f>'Evaluation Plan'!Q118</x:f>
        <x:v>Build the listed airplane scene and save a first-frame filename.</x:v>
      </x:c>
      <x:c r="R118" s="10" t="str">
        <x:f>'Evaluation Plan'!R118</x:f>
        <x:v>The airplane is smaller than every listed table comparator. Green-block scenes also include a trained larger endpoint so the counterfactual does not test largest×green.</x:v>
      </x:c>
      <x:c r="S118" s="10" t="str">
        <x:f>IF(ISBLANK('Evaluation Plan'!S118),"",'Evaluation Plan'!S118)</x:f>
      </x:c>
    </x:row>
    <x:row r="119" ht="68" customHeight="1">
      <x:c r="A119" s="8" t="str">
        <x:v>Not collected</x:v>
      </x:c>
      <x:c r="B119" s="8" t="n">
        <x:f>'Evaluation Plan'!B119</x:f>
        <x:v>117</x:v>
      </x:c>
      <x:c r="C119" s="7" t="str">
        <x:f>'Evaluation Plan'!C119</x:f>
        <x:v>Move the object that is largest into the bowl.</x:v>
      </x:c>
      <x:c r="D119" s="7" t="str">
        <x:f>'Evaluation Plan'!D119</x:f>
        <x:v>Bowl: empty. Table, robot-left→robot-right: P1 juggling ball; P2 green block; P3 airplane toy with propellers. Adjacent centers 16 cm apart; row shifted 4 cm toward the robot; all objects fully visible and grasp paths clear.</x:v>
      </x:c>
      <x:c r="E119" s="8" t="n">
        <x:f>IF(ISBLANK('Evaluation Plan'!E119),"",'Evaluation Plan'!E119)</x:f>
        <x:v>116</x:v>
      </x:c>
      <x:c r="F119" s="8" t="str">
        <x:f>'Evaluation Plan'!F119</x:f>
        <x:v>1126; airplane exposure 556</x:v>
      </x:c>
      <x:c r="G119" s="8" t="str">
        <x:f>'Evaluation Plan'!G119</x:f>
        <x:v>MOVE juggling ball to bowl</x:v>
      </x:c>
      <x:c r="H119" s="7"/>
      <x:c r="I119" s="8" t="str">
        <x:f>'Evaluation Plan'!I119</x:f>
        <x:v>Cross-task airplane counterfactual</x:v>
      </x:c>
      <x:c r="J119" s="8" t="str">
        <x:f>'Evaluation Plan'!J119</x:f>
        <x:v>SZ-XA04</x:v>
      </x:c>
      <x:c r="K119" s="8" t="str">
        <x:f>'Evaluation Plan'!K119</x:f>
        <x:v>largest</x:v>
      </x:c>
      <x:c r="L119" s="8" t="str">
        <x:f>'Evaluation Plan'!L119</x:f>
        <x:v>Exact-scene opposite-comparison reasoning control</x:v>
      </x:c>
      <x:c r="M119" s="8" t="str">
        <x:f>'Evaluation Plan'!M119</x:f>
        <x:v>juggling ball</x:v>
      </x:c>
      <x:c r="N119" s="8" t="str">
        <x:f>'Evaluation Plan'!N119</x:f>
        <x:v>Left</x:v>
      </x:c>
      <x:c r="O119" s="8" t="n">
        <x:f>'Evaluation Plan'!O119</x:f>
        <x:v>3</x:v>
      </x:c>
      <x:c r="P119" s="8" t="n">
        <x:f>IF(ISBLANK('Evaluation Plan'!P119),"",'Evaluation Plan'!P119)</x:f>
        <x:v>16</x:v>
      </x:c>
      <x:c r="Q119" s="8" t="str">
        <x:f>'Evaluation Plan'!Q119</x:f>
        <x:v>Reset the airplane; preserve the exact scene and reverse only the size comparison.</x:v>
      </x:c>
      <x:c r="R119" s="7" t="str">
        <x:f>'Evaluation Plan'!R119</x:f>
        <x:v>Reasoning-only counterfactual grounded by trained cell largest × juggling ball; an always-pick-airplane shortcut must fail.</x:v>
      </x:c>
      <x:c r="S119" s="7" t="str">
        <x:f>IF(ISBLANK('Evaluation Plan'!S119),"",'Evaluation Plan'!S119)</x:f>
      </x:c>
    </x:row>
    <x:row r="120" ht="68" customHeight="1">
      <x:c r="A120" s="9" t="str">
        <x:v>Not collected</x:v>
      </x:c>
      <x:c r="B120" s="9" t="n">
        <x:f>'Evaluation Plan'!B120</x:f>
        <x:v>118</x:v>
      </x:c>
      <x:c r="C120" s="10" t="str">
        <x:f>'Evaluation Plan'!C120</x:f>
        <x:v>Put the largest object in the bowl.</x:v>
      </x:c>
      <x:c r="D120" s="10" t="str">
        <x:f>'Evaluation Plan'!D120</x:f>
        <x:v>Bowl: empty. Table, robot-left→robot-right: P1 airplane toy with propellers; P2 red pencil sharpener. Adjacent centers 16 cm apart; row shifted 4 cm toward robot-right; all objects fully visible and grasp paths clear.</x:v>
      </x:c>
      <x:c r="E120" s="9" t="str">
        <x:f>IF(ISBLANK('Evaluation Plan'!E120),"",'Evaluation Plan'!E120)</x:f>
      </x:c>
      <x:c r="F120" s="9" t="str">
        <x:f>'Evaluation Plan'!F120</x:f>
        <x:v>airplane exposure 558</x:v>
      </x:c>
      <x:c r="G120" s="9" t="str">
        <x:f>'Evaluation Plan'!G120</x:f>
        <x:v>MOVE airplane toy with propellers to bowl</x:v>
      </x:c>
      <x:c r="H120" s="10"/>
      <x:c r="I120" s="9" t="str">
        <x:f>'Evaluation Plan'!I120</x:f>
        <x:v>Cross-task airplane reasoning</x:v>
      </x:c>
      <x:c r="J120" s="9" t="str">
        <x:f>'Evaluation Plan'!J120</x:f>
        <x:v>SZ-XA05</x:v>
      </x:c>
      <x:c r="K120" s="9" t="str">
        <x:f>'Evaluation Plan'!K120</x:f>
        <x:v>largest</x:v>
      </x:c>
      <x:c r="L120" s="9" t="str">
        <x:f>'Evaluation Plan'!L120</x:f>
        <x:v>Airplane is largest</x:v>
      </x:c>
      <x:c r="M120" s="9" t="str">
        <x:f>'Evaluation Plan'!M120</x:f>
        <x:v>airplane toy with propellers</x:v>
      </x:c>
      <x:c r="N120" s="9" t="str">
        <x:f>'Evaluation Plan'!N120</x:f>
        <x:v>Left</x:v>
      </x:c>
      <x:c r="O120" s="9" t="n">
        <x:f>'Evaluation Plan'!O120</x:f>
        <x:v>2</x:v>
      </x:c>
      <x:c r="P120" s="9" t="n">
        <x:f>IF(ISBLANK('Evaluation Plan'!P120),"",'Evaluation Plan'!P120)</x:f>
        <x:v>16</x:v>
      </x:c>
      <x:c r="Q120" s="9" t="str">
        <x:f>'Evaluation Plan'!Q120</x:f>
        <x:v>Build the listed airplane scene and save a first-frame filename.</x:v>
      </x:c>
      <x:c r="R120" s="10" t="str">
        <x:f>'Evaluation Plan'!R120</x:f>
        <x:v>The airplane is larger than the red pencil sharpener. It is known globally but never received size language in training.</x:v>
      </x:c>
      <x:c r="S120" s="10" t="str">
        <x:f>IF(ISBLANK('Evaluation Plan'!S120),"",'Evaluation Plan'!S120)</x:f>
      </x:c>
    </x:row>
    <x:row r="121" ht="68" customHeight="1">
      <x:c r="A121" s="8" t="str">
        <x:v>Not collected</x:v>
      </x:c>
      <x:c r="B121" s="8" t="n">
        <x:f>'Evaluation Plan'!B121</x:f>
        <x:v>119</x:v>
      </x:c>
      <x:c r="C121" s="7" t="str">
        <x:f>'Evaluation Plan'!C121</x:f>
        <x:v>Pick up the smallest item and place it in the bowl.</x:v>
      </x:c>
      <x:c r="D121" s="7" t="str">
        <x:f>'Evaluation Plan'!D121</x:f>
        <x:v>Bowl: empty. Table, robot-left→robot-right: P1 airplane toy with propellers; P2 red pencil sharpener. Adjacent centers 16 cm apart; row shifted 4 cm toward robot-right; all objects fully visible and grasp paths clear.</x:v>
      </x:c>
      <x:c r="E121" s="8" t="n">
        <x:f>IF(ISBLANK('Evaluation Plan'!E121),"",'Evaluation Plan'!E121)</x:f>
        <x:v>118</x:v>
      </x:c>
      <x:c r="F121" s="8" t="str">
        <x:f>'Evaluation Plan'!F121</x:f>
        <x:v>1007; airplane exposure 558</x:v>
      </x:c>
      <x:c r="G121" s="8" t="str">
        <x:f>'Evaluation Plan'!G121</x:f>
        <x:v>MOVE red pencil sharpener to bowl</x:v>
      </x:c>
      <x:c r="H121" s="7"/>
      <x:c r="I121" s="8" t="str">
        <x:f>'Evaluation Plan'!I121</x:f>
        <x:v>Cross-task airplane counterfactual</x:v>
      </x:c>
      <x:c r="J121" s="8" t="str">
        <x:f>'Evaluation Plan'!J121</x:f>
        <x:v>SZ-XA05</x:v>
      </x:c>
      <x:c r="K121" s="8" t="str">
        <x:f>'Evaluation Plan'!K121</x:f>
        <x:v>smallest</x:v>
      </x:c>
      <x:c r="L121" s="8" t="str">
        <x:f>'Evaluation Plan'!L121</x:f>
        <x:v>Exact-scene opposite-comparison reasoning control</x:v>
      </x:c>
      <x:c r="M121" s="8" t="str">
        <x:f>'Evaluation Plan'!M121</x:f>
        <x:v>red pencil sharpener</x:v>
      </x:c>
      <x:c r="N121" s="8" t="str">
        <x:f>'Evaluation Plan'!N121</x:f>
        <x:v>Right</x:v>
      </x:c>
      <x:c r="O121" s="8" t="n">
        <x:f>'Evaluation Plan'!O121</x:f>
        <x:v>2</x:v>
      </x:c>
      <x:c r="P121" s="8" t="n">
        <x:f>IF(ISBLANK('Evaluation Plan'!P121),"",'Evaluation Plan'!P121)</x:f>
        <x:v>16</x:v>
      </x:c>
      <x:c r="Q121" s="8" t="str">
        <x:f>'Evaluation Plan'!Q121</x:f>
        <x:v>Reset the airplane; preserve the exact scene and reverse only the size comparison.</x:v>
      </x:c>
      <x:c r="R121" s="7" t="str">
        <x:f>'Evaluation Plan'!R121</x:f>
        <x:v>Reasoning-only counterfactual grounded by trained cell smallest × red pencil sharpener; an always-pick-airplane shortcut must fail.</x:v>
      </x:c>
      <x:c r="S121" s="7" t="str">
        <x:f>IF(ISBLANK('Evaluation Plan'!S121),"",'Evaluation Plan'!S121)</x:f>
      </x:c>
    </x:row>
    <x:row r="122" ht="68" customHeight="1">
      <x:c r="A122" s="9" t="str">
        <x:v>Not collected</x:v>
      </x:c>
      <x:c r="B122" s="9" t="n">
        <x:f>'Evaluation Plan'!B122</x:f>
        <x:v>120</x:v>
      </x:c>
      <x:c r="C122" s="10" t="str">
        <x:f>'Evaluation Plan'!C122</x:f>
        <x:v>Move the object that is smallest into the bowl.</x:v>
      </x:c>
      <x:c r="D122" s="10" t="str">
        <x:f>'Evaluation Plan'!D122</x:f>
        <x:v>Bowl: empty. Table, robot-left→robot-right: P1 green block; P2 crushed Pepsi can; P3 airplane toy with propellers. Adjacent centers 8 cm apart; row shifted 4 cm away from the robot; all objects fully visible and grasp paths clear.</x:v>
      </x:c>
      <x:c r="E122" s="9" t="str">
        <x:f>IF(ISBLANK('Evaluation Plan'!E122),"",'Evaluation Plan'!E122)</x:f>
      </x:c>
      <x:c r="F122" s="9" t="str">
        <x:f>'Evaluation Plan'!F122</x:f>
        <x:v>airplane exposure 560</x:v>
      </x:c>
      <x:c r="G122" s="9" t="str">
        <x:f>'Evaluation Plan'!G122</x:f>
        <x:v>MOVE airplane toy with propellers to bowl</x:v>
      </x:c>
      <x:c r="H122" s="10"/>
      <x:c r="I122" s="9" t="str">
        <x:f>'Evaluation Plan'!I122</x:f>
        <x:v>Cross-task airplane reasoning</x:v>
      </x:c>
      <x:c r="J122" s="9" t="str">
        <x:f>'Evaluation Plan'!J122</x:f>
        <x:v>SZ-XA06</x:v>
      </x:c>
      <x:c r="K122" s="9" t="str">
        <x:f>'Evaluation Plan'!K122</x:f>
        <x:v>smallest</x:v>
      </x:c>
      <x:c r="L122" s="9" t="str">
        <x:f>'Evaluation Plan'!L122</x:f>
        <x:v>Airplane is smallest</x:v>
      </x:c>
      <x:c r="M122" s="9" t="str">
        <x:f>'Evaluation Plan'!M122</x:f>
        <x:v>airplane toy with propellers</x:v>
      </x:c>
      <x:c r="N122" s="9" t="str">
        <x:f>'Evaluation Plan'!N122</x:f>
        <x:v>Right</x:v>
      </x:c>
      <x:c r="O122" s="9" t="n">
        <x:f>'Evaluation Plan'!O122</x:f>
        <x:v>3</x:v>
      </x:c>
      <x:c r="P122" s="9" t="n">
        <x:f>IF(ISBLANK('Evaluation Plan'!P122),"",'Evaluation Plan'!P122)</x:f>
        <x:v>8</x:v>
      </x:c>
      <x:c r="Q122" s="9" t="str">
        <x:f>'Evaluation Plan'!Q122</x:f>
        <x:v>Build the listed airplane scene and save a first-frame filename.</x:v>
      </x:c>
      <x:c r="R122" s="10" t="str">
        <x:f>'Evaluation Plan'!R122</x:f>
        <x:v>The airplane is smaller than every listed table comparator. Green-block scenes also include a trained larger endpoint so the counterfactual does not test largest×green.</x:v>
      </x:c>
      <x:c r="S122" s="10" t="str">
        <x:f>IF(ISBLANK('Evaluation Plan'!S122),"",'Evaluation Plan'!S122)</x:f>
      </x:c>
    </x:row>
    <x:row r="123" ht="68" customHeight="1">
      <x:c r="A123" s="8" t="str">
        <x:v>Not collected</x:v>
      </x:c>
      <x:c r="B123" s="8" t="n">
        <x:f>'Evaluation Plan'!B123</x:f>
        <x:v>121</x:v>
      </x:c>
      <x:c r="C123" s="7" t="str">
        <x:f>'Evaluation Plan'!C123</x:f>
        <x:v>Pick up the largest item and place it in the bowl.</x:v>
      </x:c>
      <x:c r="D123" s="7" t="str">
        <x:f>'Evaluation Plan'!D123</x:f>
        <x:v>Bowl: empty. Table, robot-left→robot-right: P1 green block; P2 crushed Pepsi can; P3 airplane toy with propellers. Adjacent centers 8 cm apart; row shifted 4 cm away from the robot; all objects fully visible and grasp paths clear.</x:v>
      </x:c>
      <x:c r="E123" s="8" t="n">
        <x:f>IF(ISBLANK('Evaluation Plan'!E123),"",'Evaluation Plan'!E123)</x:f>
        <x:v>120</x:v>
      </x:c>
      <x:c r="F123" s="8" t="str">
        <x:f>'Evaluation Plan'!F123</x:f>
        <x:v>1157; airplane exposure 560</x:v>
      </x:c>
      <x:c r="G123" s="8" t="str">
        <x:f>'Evaluation Plan'!G123</x:f>
        <x:v>MOVE crushed Pepsi can to bowl</x:v>
      </x:c>
      <x:c r="H123" s="7"/>
      <x:c r="I123" s="8" t="str">
        <x:f>'Evaluation Plan'!I123</x:f>
        <x:v>Cross-task airplane counterfactual</x:v>
      </x:c>
      <x:c r="J123" s="8" t="str">
        <x:f>'Evaluation Plan'!J123</x:f>
        <x:v>SZ-XA06</x:v>
      </x:c>
      <x:c r="K123" s="8" t="str">
        <x:f>'Evaluation Plan'!K123</x:f>
        <x:v>largest</x:v>
      </x:c>
      <x:c r="L123" s="8" t="str">
        <x:f>'Evaluation Plan'!L123</x:f>
        <x:v>Exact-scene opposite-comparison reasoning control</x:v>
      </x:c>
      <x:c r="M123" s="8" t="str">
        <x:f>'Evaluation Plan'!M123</x:f>
        <x:v>crushed Pepsi can</x:v>
      </x:c>
      <x:c r="N123" s="8" t="str">
        <x:f>'Evaluation Plan'!N123</x:f>
        <x:v>Center</x:v>
      </x:c>
      <x:c r="O123" s="8" t="n">
        <x:f>'Evaluation Plan'!O123</x:f>
        <x:v>3</x:v>
      </x:c>
      <x:c r="P123" s="8" t="n">
        <x:f>IF(ISBLANK('Evaluation Plan'!P123),"",'Evaluation Plan'!P123)</x:f>
        <x:v>8</x:v>
      </x:c>
      <x:c r="Q123" s="8" t="str">
        <x:f>'Evaluation Plan'!Q123</x:f>
        <x:v>Reset the airplane; preserve the exact scene and reverse only the size comparison.</x:v>
      </x:c>
      <x:c r="R123" s="7" t="str">
        <x:f>'Evaluation Plan'!R123</x:f>
        <x:v>Reasoning-only counterfactual grounded by trained cell largest × crushed Pepsi can; an always-pick-airplane shortcut must fail.</x:v>
      </x:c>
      <x:c r="S123" s="7" t="str">
        <x:f>IF(ISBLANK('Evaluation Plan'!S123),"",'Evaluation Plan'!S123)</x:f>
      </x:c>
    </x:row>
    <x:row r="124" ht="68" customHeight="1">
      <x:c r="A124" s="9" t="str">
        <x:v>Not collected</x:v>
      </x:c>
      <x:c r="B124" s="9" t="n">
        <x:f>'Evaluation Plan'!B124</x:f>
        <x:v>122</x:v>
      </x:c>
      <x:c r="C124" s="10" t="str">
        <x:f>'Evaluation Plan'!C124</x:f>
        <x:v>Move the object that is largest into the bowl.</x:v>
      </x:c>
      <x:c r="D124" s="10" t="str">
        <x:f>'Evaluation Plan'!D124</x:f>
        <x:v>Bowl: empty. Table, robot-left→robot-right: P1 red pencil sharpener; P2 airplane toy with propellers. Adjacent centers 8 cm apart; row shifted 4 cm toward the robot; all objects fully visible and grasp paths clear.</x:v>
      </x:c>
      <x:c r="E124" s="9" t="str">
        <x:f>IF(ISBLANK('Evaluation Plan'!E124),"",'Evaluation Plan'!E124)</x:f>
      </x:c>
      <x:c r="F124" s="9" t="str">
        <x:f>'Evaluation Plan'!F124</x:f>
        <x:v>airplane exposure 562</x:v>
      </x:c>
      <x:c r="G124" s="9" t="str">
        <x:f>'Evaluation Plan'!G124</x:f>
        <x:v>MOVE airplane toy with propellers to bowl</x:v>
      </x:c>
      <x:c r="H124" s="10"/>
      <x:c r="I124" s="9" t="str">
        <x:f>'Evaluation Plan'!I124</x:f>
        <x:v>Cross-task airplane reasoning</x:v>
      </x:c>
      <x:c r="J124" s="9" t="str">
        <x:f>'Evaluation Plan'!J124</x:f>
        <x:v>SZ-XA07</x:v>
      </x:c>
      <x:c r="K124" s="9" t="str">
        <x:f>'Evaluation Plan'!K124</x:f>
        <x:v>largest</x:v>
      </x:c>
      <x:c r="L124" s="9" t="str">
        <x:f>'Evaluation Plan'!L124</x:f>
        <x:v>Airplane is largest</x:v>
      </x:c>
      <x:c r="M124" s="9" t="str">
        <x:f>'Evaluation Plan'!M124</x:f>
        <x:v>airplane toy with propellers</x:v>
      </x:c>
      <x:c r="N124" s="9" t="str">
        <x:f>'Evaluation Plan'!N124</x:f>
        <x:v>Right</x:v>
      </x:c>
      <x:c r="O124" s="9" t="n">
        <x:f>'Evaluation Plan'!O124</x:f>
        <x:v>2</x:v>
      </x:c>
      <x:c r="P124" s="9" t="n">
        <x:f>IF(ISBLANK('Evaluation Plan'!P124),"",'Evaluation Plan'!P124)</x:f>
        <x:v>8</x:v>
      </x:c>
      <x:c r="Q124" s="9" t="str">
        <x:f>'Evaluation Plan'!Q124</x:f>
        <x:v>Build the listed airplane scene and save a first-frame filename.</x:v>
      </x:c>
      <x:c r="R124" s="10" t="str">
        <x:f>'Evaluation Plan'!R124</x:f>
        <x:v>The airplane is larger than the red pencil sharpener. It is known globally but never received size language in training.</x:v>
      </x:c>
      <x:c r="S124" s="10" t="str">
        <x:f>IF(ISBLANK('Evaluation Plan'!S124),"",'Evaluation Plan'!S124)</x:f>
      </x:c>
    </x:row>
    <x:row r="125" ht="68" customHeight="1">
      <x:c r="A125" s="8" t="str">
        <x:v>Not collected</x:v>
      </x:c>
      <x:c r="B125" s="8" t="n">
        <x:f>'Evaluation Plan'!B125</x:f>
        <x:v>123</x:v>
      </x:c>
      <x:c r="C125" s="7" t="str">
        <x:f>'Evaluation Plan'!C125</x:f>
        <x:v>Put the smallest object in the bowl.</x:v>
      </x:c>
      <x:c r="D125" s="7" t="str">
        <x:f>'Evaluation Plan'!D125</x:f>
        <x:v>Bowl: empty. Table, robot-left→robot-right: P1 red pencil sharpener; P2 airplane toy with propellers. Adjacent centers 8 cm apart; row shifted 4 cm toward the robot; all objects fully visible and grasp paths clear.</x:v>
      </x:c>
      <x:c r="E125" s="8" t="n">
        <x:f>IF(ISBLANK('Evaluation Plan'!E125),"",'Evaluation Plan'!E125)</x:f>
        <x:v>122</x:v>
      </x:c>
      <x:c r="F125" s="8" t="str">
        <x:f>'Evaluation Plan'!F125</x:f>
        <x:v>1008; airplane exposure 562</x:v>
      </x:c>
      <x:c r="G125" s="8" t="str">
        <x:f>'Evaluation Plan'!G125</x:f>
        <x:v>MOVE red pencil sharpener to bowl</x:v>
      </x:c>
      <x:c r="H125" s="7"/>
      <x:c r="I125" s="8" t="str">
        <x:f>'Evaluation Plan'!I125</x:f>
        <x:v>Cross-task airplane counterfactual</x:v>
      </x:c>
      <x:c r="J125" s="8" t="str">
        <x:f>'Evaluation Plan'!J125</x:f>
        <x:v>SZ-XA07</x:v>
      </x:c>
      <x:c r="K125" s="8" t="str">
        <x:f>'Evaluation Plan'!K125</x:f>
        <x:v>smallest</x:v>
      </x:c>
      <x:c r="L125" s="8" t="str">
        <x:f>'Evaluation Plan'!L125</x:f>
        <x:v>Exact-scene opposite-comparison reasoning control</x:v>
      </x:c>
      <x:c r="M125" s="8" t="str">
        <x:f>'Evaluation Plan'!M125</x:f>
        <x:v>red pencil sharpener</x:v>
      </x:c>
      <x:c r="N125" s="8" t="str">
        <x:f>'Evaluation Plan'!N125</x:f>
        <x:v>Left</x:v>
      </x:c>
      <x:c r="O125" s="8" t="n">
        <x:f>'Evaluation Plan'!O125</x:f>
        <x:v>2</x:v>
      </x:c>
      <x:c r="P125" s="8" t="n">
        <x:f>IF(ISBLANK('Evaluation Plan'!P125),"",'Evaluation Plan'!P125)</x:f>
        <x:v>8</x:v>
      </x:c>
      <x:c r="Q125" s="8" t="str">
        <x:f>'Evaluation Plan'!Q125</x:f>
        <x:v>Reset the airplane; preserve the exact scene and reverse only the size comparison.</x:v>
      </x:c>
      <x:c r="R125" s="7" t="str">
        <x:f>'Evaluation Plan'!R125</x:f>
        <x:v>Reasoning-only counterfactual grounded by trained cell smallest × red pencil sharpener; an always-pick-airplane shortcut must fail.</x:v>
      </x:c>
      <x:c r="S125" s="7" t="str">
        <x:f>IF(ISBLANK('Evaluation Plan'!S125),"",'Evaluation Plan'!S125)</x:f>
      </x:c>
    </x:row>
    <x:row r="126" ht="68" customHeight="1">
      <x:c r="A126" s="9" t="str">
        <x:v>Not collected</x:v>
      </x:c>
      <x:c r="B126" s="9" t="n">
        <x:f>'Evaluation Plan'!B126</x:f>
        <x:v>124</x:v>
      </x:c>
      <x:c r="C126" s="10" t="str">
        <x:f>'Evaluation Plan'!C126</x:f>
        <x:v>Pick up the smallest item and place it in the bowl.</x:v>
      </x:c>
      <x:c r="D126" s="10" t="str">
        <x:f>'Evaluation Plan'!D126</x:f>
        <x:v>Bowl: empty. Table, robot-left→robot-right: P1 airplane toy with propellers; P2 green block; P3 juggling ball. Adjacent centers 12 cm apart; row centered on the workspace; all objects fully visible and grasp paths clear.</x:v>
      </x:c>
      <x:c r="E126" s="9" t="str">
        <x:f>IF(ISBLANK('Evaluation Plan'!E126),"",'Evaluation Plan'!E126)</x:f>
      </x:c>
      <x:c r="F126" s="9" t="str">
        <x:f>'Evaluation Plan'!F126</x:f>
        <x:v>airplane exposure 564</x:v>
      </x:c>
      <x:c r="G126" s="9" t="str">
        <x:f>'Evaluation Plan'!G126</x:f>
        <x:v>MOVE airplane toy with propellers to bowl</x:v>
      </x:c>
      <x:c r="H126" s="10"/>
      <x:c r="I126" s="9" t="str">
        <x:f>'Evaluation Plan'!I126</x:f>
        <x:v>Cross-task airplane reasoning</x:v>
      </x:c>
      <x:c r="J126" s="9" t="str">
        <x:f>'Evaluation Plan'!J126</x:f>
        <x:v>SZ-XA08</x:v>
      </x:c>
      <x:c r="K126" s="9" t="str">
        <x:f>'Evaluation Plan'!K126</x:f>
        <x:v>smallest</x:v>
      </x:c>
      <x:c r="L126" s="9" t="str">
        <x:f>'Evaluation Plan'!L126</x:f>
        <x:v>Airplane is smallest</x:v>
      </x:c>
      <x:c r="M126" s="9" t="str">
        <x:f>'Evaluation Plan'!M126</x:f>
        <x:v>airplane toy with propellers</x:v>
      </x:c>
      <x:c r="N126" s="9" t="str">
        <x:f>'Evaluation Plan'!N126</x:f>
        <x:v>Left</x:v>
      </x:c>
      <x:c r="O126" s="9" t="n">
        <x:f>'Evaluation Plan'!O126</x:f>
        <x:v>3</x:v>
      </x:c>
      <x:c r="P126" s="9" t="n">
        <x:f>IF(ISBLANK('Evaluation Plan'!P126),"",'Evaluation Plan'!P126)</x:f>
        <x:v>12</x:v>
      </x:c>
      <x:c r="Q126" s="9" t="str">
        <x:f>'Evaluation Plan'!Q126</x:f>
        <x:v>Build the listed airplane scene and save a first-frame filename.</x:v>
      </x:c>
      <x:c r="R126" s="10" t="str">
        <x:f>'Evaluation Plan'!R126</x:f>
        <x:v>The airplane is smaller than every listed table comparator. Green-block scenes also include a trained larger endpoint so the counterfactual does not test largest×green.</x:v>
      </x:c>
      <x:c r="S126" s="10" t="str">
        <x:f>IF(ISBLANK('Evaluation Plan'!S126),"",'Evaluation Plan'!S126)</x:f>
      </x:c>
    </x:row>
    <x:row r="127" ht="68" customHeight="1">
      <x:c r="A127" s="8" t="str">
        <x:v>Not collected</x:v>
      </x:c>
      <x:c r="B127" s="8" t="n">
        <x:f>'Evaluation Plan'!B127</x:f>
        <x:v>125</x:v>
      </x:c>
      <x:c r="C127" s="7" t="str">
        <x:f>'Evaluation Plan'!C127</x:f>
        <x:v>Put the largest object in the bowl.</x:v>
      </x:c>
      <x:c r="D127" s="7" t="str">
        <x:f>'Evaluation Plan'!D127</x:f>
        <x:v>Bowl: empty. Table, robot-left→robot-right: P1 airplane toy with propellers; P2 green block; P3 juggling ball. Adjacent centers 12 cm apart; row centered on the workspace; all objects fully visible and grasp paths clear.</x:v>
      </x:c>
      <x:c r="E127" s="8" t="n">
        <x:f>IF(ISBLANK('Evaluation Plan'!E127),"",'Evaluation Plan'!E127)</x:f>
        <x:v>124</x:v>
      </x:c>
      <x:c r="F127" s="8" t="str">
        <x:f>'Evaluation Plan'!F127</x:f>
        <x:v>1128; airplane exposure 564</x:v>
      </x:c>
      <x:c r="G127" s="8" t="str">
        <x:f>'Evaluation Plan'!G127</x:f>
        <x:v>MOVE juggling ball to bowl</x:v>
      </x:c>
      <x:c r="H127" s="7"/>
      <x:c r="I127" s="8" t="str">
        <x:f>'Evaluation Plan'!I127</x:f>
        <x:v>Cross-task airplane counterfactual</x:v>
      </x:c>
      <x:c r="J127" s="8" t="str">
        <x:f>'Evaluation Plan'!J127</x:f>
        <x:v>SZ-XA08</x:v>
      </x:c>
      <x:c r="K127" s="8" t="str">
        <x:f>'Evaluation Plan'!K127</x:f>
        <x:v>largest</x:v>
      </x:c>
      <x:c r="L127" s="8" t="str">
        <x:f>'Evaluation Plan'!L127</x:f>
        <x:v>Exact-scene opposite-comparison reasoning control</x:v>
      </x:c>
      <x:c r="M127" s="8" t="str">
        <x:f>'Evaluation Plan'!M127</x:f>
        <x:v>juggling ball</x:v>
      </x:c>
      <x:c r="N127" s="8" t="str">
        <x:f>'Evaluation Plan'!N127</x:f>
        <x:v>Right</x:v>
      </x:c>
      <x:c r="O127" s="8" t="n">
        <x:f>'Evaluation Plan'!O127</x:f>
        <x:v>3</x:v>
      </x:c>
      <x:c r="P127" s="8" t="n">
        <x:f>IF(ISBLANK('Evaluation Plan'!P127),"",'Evaluation Plan'!P127)</x:f>
        <x:v>12</x:v>
      </x:c>
      <x:c r="Q127" s="8" t="str">
        <x:f>'Evaluation Plan'!Q127</x:f>
        <x:v>Reset the airplane; preserve the exact scene and reverse only the size comparison.</x:v>
      </x:c>
      <x:c r="R127" s="7" t="str">
        <x:f>'Evaluation Plan'!R127</x:f>
        <x:v>Reasoning-only counterfactual grounded by trained cell largest × juggling ball; an always-pick-airplane shortcut must fail.</x:v>
      </x:c>
      <x:c r="S127" s="7" t="str">
        <x:f>IF(ISBLANK('Evaluation Plan'!S127),"",'Evaluation Plan'!S127)</x:f>
      </x:c>
    </x:row>
    <x:row r="128" ht="68" customHeight="1">
      <x:c r="A128" s="9" t="str">
        <x:v>Not collected</x:v>
      </x:c>
      <x:c r="B128" s="9" t="n">
        <x:f>'Evaluation Plan'!B128</x:f>
        <x:v>126</x:v>
      </x:c>
      <x:c r="C128" s="10" t="str">
        <x:f>'Evaluation Plan'!C128</x:f>
        <x:v>Pick up the largest item and place it in the bowl.</x:v>
      </x:c>
      <x:c r="D128" s="10" t="str">
        <x:f>'Evaluation Plan'!D128</x:f>
        <x:v>Bowl: empty. Table, robot-left→robot-right: P1 airplane toy with propellers; P2 red pencil sharpener. Adjacent centers 12 cm apart; row shifted 4 cm away from the robot; all objects fully visible and grasp paths clear.</x:v>
      </x:c>
      <x:c r="E128" s="9" t="str">
        <x:f>IF(ISBLANK('Evaluation Plan'!E128),"",'Evaluation Plan'!E128)</x:f>
      </x:c>
      <x:c r="F128" s="9" t="str">
        <x:f>'Evaluation Plan'!F128</x:f>
        <x:v>airplane exposure 566</x:v>
      </x:c>
      <x:c r="G128" s="9" t="str">
        <x:f>'Evaluation Plan'!G128</x:f>
        <x:v>MOVE airplane toy with propellers to bowl</x:v>
      </x:c>
      <x:c r="H128" s="10"/>
      <x:c r="I128" s="9" t="str">
        <x:f>'Evaluation Plan'!I128</x:f>
        <x:v>Cross-task airplane reasoning</x:v>
      </x:c>
      <x:c r="J128" s="9" t="str">
        <x:f>'Evaluation Plan'!J128</x:f>
        <x:v>SZ-XA09</x:v>
      </x:c>
      <x:c r="K128" s="9" t="str">
        <x:f>'Evaluation Plan'!K128</x:f>
        <x:v>largest</x:v>
      </x:c>
      <x:c r="L128" s="9" t="str">
        <x:f>'Evaluation Plan'!L128</x:f>
        <x:v>Airplane is largest</x:v>
      </x:c>
      <x:c r="M128" s="9" t="str">
        <x:f>'Evaluation Plan'!M128</x:f>
        <x:v>airplane toy with propellers</x:v>
      </x:c>
      <x:c r="N128" s="9" t="str">
        <x:f>'Evaluation Plan'!N128</x:f>
        <x:v>Left</x:v>
      </x:c>
      <x:c r="O128" s="9" t="n">
        <x:f>'Evaluation Plan'!O128</x:f>
        <x:v>2</x:v>
      </x:c>
      <x:c r="P128" s="9" t="n">
        <x:f>IF(ISBLANK('Evaluation Plan'!P128),"",'Evaluation Plan'!P128)</x:f>
        <x:v>12</x:v>
      </x:c>
      <x:c r="Q128" s="9" t="str">
        <x:f>'Evaluation Plan'!Q128</x:f>
        <x:v>Build the listed airplane scene and save a first-frame filename.</x:v>
      </x:c>
      <x:c r="R128" s="10" t="str">
        <x:f>'Evaluation Plan'!R128</x:f>
        <x:v>The airplane is larger than the red pencil sharpener. It is known globally but never received size language in training.</x:v>
      </x:c>
      <x:c r="S128" s="10" t="str">
        <x:f>IF(ISBLANK('Evaluation Plan'!S128),"",'Evaluation Plan'!S128)</x:f>
      </x:c>
    </x:row>
    <x:row r="129" ht="68" customHeight="1">
      <x:c r="A129" s="8" t="str">
        <x:v>Not collected</x:v>
      </x:c>
      <x:c r="B129" s="8" t="n">
        <x:f>'Evaluation Plan'!B129</x:f>
        <x:v>127</x:v>
      </x:c>
      <x:c r="C129" s="7" t="str">
        <x:f>'Evaluation Plan'!C129</x:f>
        <x:v>Move the object that is smallest into the bowl.</x:v>
      </x:c>
      <x:c r="D129" s="7" t="str">
        <x:f>'Evaluation Plan'!D129</x:f>
        <x:v>Bowl: empty. Table, robot-left→robot-right: P1 airplane toy with propellers; P2 red pencil sharpener. Adjacent centers 12 cm apart; row shifted 4 cm away from the robot; all objects fully visible and grasp paths clear.</x:v>
      </x:c>
      <x:c r="E129" s="8" t="n">
        <x:f>IF(ISBLANK('Evaluation Plan'!E129),"",'Evaluation Plan'!E129)</x:f>
        <x:v>126</x:v>
      </x:c>
      <x:c r="F129" s="8" t="str">
        <x:f>'Evaluation Plan'!F129</x:f>
        <x:v>1009; airplane exposure 566</x:v>
      </x:c>
      <x:c r="G129" s="8" t="str">
        <x:f>'Evaluation Plan'!G129</x:f>
        <x:v>MOVE red pencil sharpener to bowl</x:v>
      </x:c>
      <x:c r="H129" s="7"/>
      <x:c r="I129" s="8" t="str">
        <x:f>'Evaluation Plan'!I129</x:f>
        <x:v>Cross-task airplane counterfactual</x:v>
      </x:c>
      <x:c r="J129" s="8" t="str">
        <x:f>'Evaluation Plan'!J129</x:f>
        <x:v>SZ-XA09</x:v>
      </x:c>
      <x:c r="K129" s="8" t="str">
        <x:f>'Evaluation Plan'!K129</x:f>
        <x:v>smallest</x:v>
      </x:c>
      <x:c r="L129" s="8" t="str">
        <x:f>'Evaluation Plan'!L129</x:f>
        <x:v>Exact-scene opposite-comparison reasoning control</x:v>
      </x:c>
      <x:c r="M129" s="8" t="str">
        <x:f>'Evaluation Plan'!M129</x:f>
        <x:v>red pencil sharpener</x:v>
      </x:c>
      <x:c r="N129" s="8" t="str">
        <x:f>'Evaluation Plan'!N129</x:f>
        <x:v>Right</x:v>
      </x:c>
      <x:c r="O129" s="8" t="n">
        <x:f>'Evaluation Plan'!O129</x:f>
        <x:v>2</x:v>
      </x:c>
      <x:c r="P129" s="8" t="n">
        <x:f>IF(ISBLANK('Evaluation Plan'!P129),"",'Evaluation Plan'!P129)</x:f>
        <x:v>12</x:v>
      </x:c>
      <x:c r="Q129" s="8" t="str">
        <x:f>'Evaluation Plan'!Q129</x:f>
        <x:v>Reset the airplane; preserve the exact scene and reverse only the size comparison.</x:v>
      </x:c>
      <x:c r="R129" s="7" t="str">
        <x:f>'Evaluation Plan'!R129</x:f>
        <x:v>Reasoning-only counterfactual grounded by trained cell smallest × red pencil sharpener; an always-pick-airplane shortcut must fail.</x:v>
      </x:c>
      <x:c r="S129" s="7" t="str">
        <x:f>IF(ISBLANK('Evaluation Plan'!S129),"",'Evaluation Plan'!S129)</x:f>
      </x:c>
    </x:row>
    <x:row r="130" ht="68" customHeight="1">
      <x:c r="A130" s="9" t="str">
        <x:v>Not collected</x:v>
      </x:c>
      <x:c r="B130" s="9" t="n">
        <x:f>'Evaluation Plan'!B130</x:f>
        <x:v>128</x:v>
      </x:c>
      <x:c r="C130" s="10" t="str">
        <x:f>'Evaluation Plan'!C130</x:f>
        <x:v>Put the smallest object in the bowl.</x:v>
      </x:c>
      <x:c r="D130" s="10" t="str">
        <x:f>'Evaluation Plan'!D130</x:f>
        <x:v>Bowl: empty. Table, robot-left→robot-right: P1 crushed Pepsi can; P2 juggling ball; P3 airplane toy with propellers. Adjacent centers 16 cm apart; row shifted 4 cm toward robot-left; all objects fully visible and grasp paths clear.</x:v>
      </x:c>
      <x:c r="E130" s="9" t="str">
        <x:f>IF(ISBLANK('Evaluation Plan'!E130),"",'Evaluation Plan'!E130)</x:f>
      </x:c>
      <x:c r="F130" s="9" t="str">
        <x:f>'Evaluation Plan'!F130</x:f>
        <x:v>airplane exposure 568</x:v>
      </x:c>
      <x:c r="G130" s="9" t="str">
        <x:f>'Evaluation Plan'!G130</x:f>
        <x:v>MOVE airplane toy with propellers to bowl</x:v>
      </x:c>
      <x:c r="H130" s="10"/>
      <x:c r="I130" s="9" t="str">
        <x:f>'Evaluation Plan'!I130</x:f>
        <x:v>Cross-task airplane reasoning</x:v>
      </x:c>
      <x:c r="J130" s="9" t="str">
        <x:f>'Evaluation Plan'!J130</x:f>
        <x:v>SZ-XA10</x:v>
      </x:c>
      <x:c r="K130" s="9" t="str">
        <x:f>'Evaluation Plan'!K130</x:f>
        <x:v>smallest</x:v>
      </x:c>
      <x:c r="L130" s="9" t="str">
        <x:f>'Evaluation Plan'!L130</x:f>
        <x:v>Airplane is smallest</x:v>
      </x:c>
      <x:c r="M130" s="9" t="str">
        <x:f>'Evaluation Plan'!M130</x:f>
        <x:v>airplane toy with propellers</x:v>
      </x:c>
      <x:c r="N130" s="9" t="str">
        <x:f>'Evaluation Plan'!N130</x:f>
        <x:v>Right</x:v>
      </x:c>
      <x:c r="O130" s="9" t="n">
        <x:f>'Evaluation Plan'!O130</x:f>
        <x:v>3</x:v>
      </x:c>
      <x:c r="P130" s="9" t="n">
        <x:f>IF(ISBLANK('Evaluation Plan'!P130),"",'Evaluation Plan'!P130)</x:f>
        <x:v>16</x:v>
      </x:c>
      <x:c r="Q130" s="9" t="str">
        <x:f>'Evaluation Plan'!Q130</x:f>
        <x:v>Build the listed airplane scene and save a first-frame filename.</x:v>
      </x:c>
      <x:c r="R130" s="10" t="str">
        <x:f>'Evaluation Plan'!R130</x:f>
        <x:v>The airplane is smaller than every listed table comparator. Green-block scenes also include a trained larger endpoint so the counterfactual does not test largest×green.</x:v>
      </x:c>
      <x:c r="S130" s="10" t="str">
        <x:f>IF(ISBLANK('Evaluation Plan'!S130),"",'Evaluation Plan'!S130)</x:f>
      </x:c>
    </x:row>
    <x:row r="131" ht="68" customHeight="1">
      <x:c r="A131" s="8" t="str">
        <x:v>Not collected</x:v>
      </x:c>
      <x:c r="B131" s="8" t="n">
        <x:f>'Evaluation Plan'!B131</x:f>
        <x:v>129</x:v>
      </x:c>
      <x:c r="C131" s="7" t="str">
        <x:f>'Evaluation Plan'!C131</x:f>
        <x:v>Move the object that is largest into the bowl.</x:v>
      </x:c>
      <x:c r="D131" s="7" t="str">
        <x:f>'Evaluation Plan'!D131</x:f>
        <x:v>Bowl: empty. Table, robot-left→robot-right: P1 crushed Pepsi can; P2 juggling ball; P3 airplane toy with propellers. Adjacent centers 16 cm apart; row shifted 4 cm toward robot-left; all objects fully visible and grasp paths clear.</x:v>
      </x:c>
      <x:c r="E131" s="8" t="n">
        <x:f>IF(ISBLANK('Evaluation Plan'!E131),"",'Evaluation Plan'!E131)</x:f>
        <x:v>128</x:v>
      </x:c>
      <x:c r="F131" s="8" t="str">
        <x:f>'Evaluation Plan'!F131</x:f>
        <x:v>1159; airplane exposure 568</x:v>
      </x:c>
      <x:c r="G131" s="8" t="str">
        <x:f>'Evaluation Plan'!G131</x:f>
        <x:v>MOVE crushed Pepsi can to bowl</x:v>
      </x:c>
      <x:c r="H131" s="7"/>
      <x:c r="I131" s="8" t="str">
        <x:f>'Evaluation Plan'!I131</x:f>
        <x:v>Cross-task airplane counterfactual</x:v>
      </x:c>
      <x:c r="J131" s="8" t="str">
        <x:f>'Evaluation Plan'!J131</x:f>
        <x:v>SZ-XA10</x:v>
      </x:c>
      <x:c r="K131" s="8" t="str">
        <x:f>'Evaluation Plan'!K131</x:f>
        <x:v>largest</x:v>
      </x:c>
      <x:c r="L131" s="8" t="str">
        <x:f>'Evaluation Plan'!L131</x:f>
        <x:v>Exact-scene opposite-comparison reasoning control</x:v>
      </x:c>
      <x:c r="M131" s="8" t="str">
        <x:f>'Evaluation Plan'!M131</x:f>
        <x:v>crushed Pepsi can</x:v>
      </x:c>
      <x:c r="N131" s="8" t="str">
        <x:f>'Evaluation Plan'!N131</x:f>
        <x:v>Left</x:v>
      </x:c>
      <x:c r="O131" s="8" t="n">
        <x:f>'Evaluation Plan'!O131</x:f>
        <x:v>3</x:v>
      </x:c>
      <x:c r="P131" s="8" t="n">
        <x:f>IF(ISBLANK('Evaluation Plan'!P131),"",'Evaluation Plan'!P131)</x:f>
        <x:v>16</x:v>
      </x:c>
      <x:c r="Q131" s="8" t="str">
        <x:f>'Evaluation Plan'!Q131</x:f>
        <x:v>Reset the airplane; preserve the exact scene and reverse only the size comparison.</x:v>
      </x:c>
      <x:c r="R131" s="7" t="str">
        <x:f>'Evaluation Plan'!R131</x:f>
        <x:v>Reasoning-only counterfactual grounded by trained cell largest × crushed Pepsi can; an always-pick-airplane shortcut must fail.</x:v>
      </x:c>
      <x:c r="S131" s="7" t="str">
        <x:f>IF(ISBLANK('Evaluation Plan'!S131),"",'Evaluation Plan'!S131)</x:f>
      </x:c>
    </x:row>
    <x:row r="132" ht="68" customHeight="1">
      <x:c r="A132" s="9" t="str">
        <x:v>Not collected</x:v>
      </x:c>
      <x:c r="B132" s="9" t="n">
        <x:f>'Evaluation Plan'!B132</x:f>
        <x:v>130</x:v>
      </x:c>
      <x:c r="C132" s="10" t="str">
        <x:f>'Evaluation Plan'!C132</x:f>
        <x:v>Move the object that is smallest into the bowl.</x:v>
      </x:c>
      <x:c r="D132" s="10" t="str">
        <x:f>'Evaluation Plan'!D132</x:f>
        <x:v>Bowl: red pencil sharpener. Table: green block. row centered on the workspace; every object fully visible. The requested extremal object is already in the bowl.</x:v>
      </x:c>
      <x:c r="E132" s="9" t="str">
        <x:f>IF(ISBLANK('Evaluation Plan'!E132),"",'Evaluation Plan'!E132)</x:f>
      </x:c>
      <x:c r="F132" s="9" t="str">
        <x:f>'Evaluation Plan'!F132</x:f>
        <x:v>1010</x:v>
      </x:c>
      <x:c r="G132" s="9" t="str">
        <x:f>'Evaluation Plan'!G132</x:f>
        <x:v>NO MOVEMENT — goal already satisfied</x:v>
      </x:c>
      <x:c r="H132" s="10"/>
      <x:c r="I132" s="9" t="str">
        <x:f>'Evaluation Plan'!I132</x:f>
        <x:v>Goal already satisfied / no movement</x:v>
      </x:c>
      <x:c r="J132" s="9" t="str">
        <x:f>'Evaluation Plan'!J132</x:f>
        <x:v>SZ-NOOP-1-1</x:v>
      </x:c>
      <x:c r="K132" s="9" t="str">
        <x:f>'Evaluation Plan'!K132</x:f>
        <x:v>smallest</x:v>
      </x:c>
      <x:c r="L132" s="9" t="str">
        <x:f>'Evaluation Plan'!L132</x:f>
        <x:v>Trained smallest × red pencil sharpener; target already in bowl</x:v>
      </x:c>
      <x:c r="M132" s="9" t="str">
        <x:f>'Evaluation Plan'!M132</x:f>
        <x:v>red pencil sharpener</x:v>
      </x:c>
      <x:c r="N132" s="9" t="str">
        <x:f>'Evaluation Plan'!N132</x:f>
        <x:v>In bowl</x:v>
      </x:c>
      <x:c r="O132" s="9" t="n">
        <x:f>'Evaluation Plan'!O132</x:f>
        <x:v>2</x:v>
      </x:c>
      <x:c r="P132" s="9" t="str">
        <x:f>IF(ISBLANK('Evaluation Plan'!P132),"",'Evaluation Plan'!P132)</x:f>
      </x:c>
      <x:c r="Q132" s="9" t="str">
        <x:f>'Evaluation Plan'!Q132</x:f>
        <x:v>Place the target in the bowl before starting; arrange the listed distractors on the table.</x:v>
      </x:c>
      <x:c r="R132" s="10" t="str">
        <x:f>'Evaluation Plan'!R132</x:f>
        <x:v>Normal training-supported size wording is retained, so no-movement behavior is not correlated with a special phrase. Success requires no object contact or displacement.</x:v>
      </x:c>
      <x:c r="S132" s="10" t="str">
        <x:f>IF(ISBLANK('Evaluation Plan'!S132),"",'Evaluation Plan'!S132)</x:f>
      </x:c>
    </x:row>
    <x:row r="133" ht="68" customHeight="1">
      <x:c r="A133" s="9" t="str">
        <x:v>Not collected</x:v>
      </x:c>
      <x:c r="B133" s="9" t="n">
        <x:f>'Evaluation Plan'!B133</x:f>
        <x:v>131</x:v>
      </x:c>
      <x:c r="C133" s="10" t="str">
        <x:f>'Evaluation Plan'!C133</x:f>
        <x:v>Pick up the smallest item and place it in the bowl.</x:v>
      </x:c>
      <x:c r="D133" s="10" t="str">
        <x:f>'Evaluation Plan'!D133</x:f>
        <x:v>Bowl: green block. Table: juggling ball. row shifted 4 cm toward robot-left; every object fully visible. The requested extremal object is already in the bowl.</x:v>
      </x:c>
      <x:c r="E133" s="9" t="str">
        <x:f>IF(ISBLANK('Evaluation Plan'!E133),"",'Evaluation Plan'!E133)</x:f>
      </x:c>
      <x:c r="F133" s="9" t="str">
        <x:f>'Evaluation Plan'!F133</x:f>
        <x:v>1055</x:v>
      </x:c>
      <x:c r="G133" s="9" t="str">
        <x:f>'Evaluation Plan'!G133</x:f>
        <x:v>NO MOVEMENT — goal already satisfied</x:v>
      </x:c>
      <x:c r="H133" s="10"/>
      <x:c r="I133" s="9" t="str">
        <x:f>'Evaluation Plan'!I133</x:f>
        <x:v>Goal already satisfied / no movement</x:v>
      </x:c>
      <x:c r="J133" s="9" t="str">
        <x:f>'Evaluation Plan'!J133</x:f>
        <x:v>SZ-NOOP-2-1</x:v>
      </x:c>
      <x:c r="K133" s="9" t="str">
        <x:f>'Evaluation Plan'!K133</x:f>
        <x:v>smallest</x:v>
      </x:c>
      <x:c r="L133" s="9" t="str">
        <x:f>'Evaluation Plan'!L133</x:f>
        <x:v>Trained smallest × green block; target already in bowl</x:v>
      </x:c>
      <x:c r="M133" s="9" t="str">
        <x:f>'Evaluation Plan'!M133</x:f>
        <x:v>green block</x:v>
      </x:c>
      <x:c r="N133" s="9" t="str">
        <x:f>'Evaluation Plan'!N133</x:f>
        <x:v>In bowl</x:v>
      </x:c>
      <x:c r="O133" s="9" t="n">
        <x:f>'Evaluation Plan'!O133</x:f>
        <x:v>2</x:v>
      </x:c>
      <x:c r="P133" s="9" t="str">
        <x:f>IF(ISBLANK('Evaluation Plan'!P133),"",'Evaluation Plan'!P133)</x:f>
      </x:c>
      <x:c r="Q133" s="9" t="str">
        <x:f>'Evaluation Plan'!Q133</x:f>
        <x:v>Place the target in the bowl before starting; arrange the listed distractors on the table.</x:v>
      </x:c>
      <x:c r="R133" s="10" t="str">
        <x:f>'Evaluation Plan'!R133</x:f>
        <x:v>Normal training-supported size wording is retained, so no-movement behavior is not correlated with a special phrase. Success requires no object contact or displacement.</x:v>
      </x:c>
      <x:c r="S133" s="10" t="str">
        <x:f>IF(ISBLANK('Evaluation Plan'!S133),"",'Evaluation Plan'!S133)</x:f>
      </x:c>
    </x:row>
    <x:row r="134" ht="68" customHeight="1">
      <x:c r="A134" s="9" t="str">
        <x:v>Not collected</x:v>
      </x:c>
      <x:c r="B134" s="9" t="n">
        <x:f>'Evaluation Plan'!B134</x:f>
        <x:v>132</x:v>
      </x:c>
      <x:c r="C134" s="10" t="str">
        <x:f>'Evaluation Plan'!C134</x:f>
        <x:v>Put the largest object in the bowl.</x:v>
      </x:c>
      <x:c r="D134" s="10" t="str">
        <x:f>'Evaluation Plan'!D134</x:f>
        <x:v>Bowl: juggling ball. Table: red pencil sharpener. row shifted 4 cm toward robot-right; every object fully visible. The requested extremal object is already in the bowl.</x:v>
      </x:c>
      <x:c r="E134" s="9" t="str">
        <x:f>IF(ISBLANK('Evaluation Plan'!E134),"",'Evaluation Plan'!E134)</x:f>
      </x:c>
      <x:c r="F134" s="9" t="str">
        <x:f>'Evaluation Plan'!F134</x:f>
        <x:v>1130</x:v>
      </x:c>
      <x:c r="G134" s="9" t="str">
        <x:f>'Evaluation Plan'!G134</x:f>
        <x:v>NO MOVEMENT — goal already satisfied</x:v>
      </x:c>
      <x:c r="H134" s="10"/>
      <x:c r="I134" s="9" t="str">
        <x:f>'Evaluation Plan'!I134</x:f>
        <x:v>Goal already satisfied / no movement</x:v>
      </x:c>
      <x:c r="J134" s="9" t="str">
        <x:f>'Evaluation Plan'!J134</x:f>
        <x:v>SZ-NOOP-3-1</x:v>
      </x:c>
      <x:c r="K134" s="9" t="str">
        <x:f>'Evaluation Plan'!K134</x:f>
        <x:v>largest</x:v>
      </x:c>
      <x:c r="L134" s="9" t="str">
        <x:f>'Evaluation Plan'!L134</x:f>
        <x:v>Trained largest × juggling ball; target already in bowl</x:v>
      </x:c>
      <x:c r="M134" s="9" t="str">
        <x:f>'Evaluation Plan'!M134</x:f>
        <x:v>juggling ball</x:v>
      </x:c>
      <x:c r="N134" s="9" t="str">
        <x:f>'Evaluation Plan'!N134</x:f>
        <x:v>In bowl</x:v>
      </x:c>
      <x:c r="O134" s="9" t="n">
        <x:f>'Evaluation Plan'!O134</x:f>
        <x:v>2</x:v>
      </x:c>
      <x:c r="P134" s="9" t="str">
        <x:f>IF(ISBLANK('Evaluation Plan'!P134),"",'Evaluation Plan'!P134)</x:f>
      </x:c>
      <x:c r="Q134" s="9" t="str">
        <x:f>'Evaluation Plan'!Q134</x:f>
        <x:v>Place the target in the bowl before starting; arrange the listed distractors on the table.</x:v>
      </x:c>
      <x:c r="R134" s="10" t="str">
        <x:f>'Evaluation Plan'!R134</x:f>
        <x:v>Normal training-supported size wording is retained, so no-movement behavior is not correlated with a special phrase. Success requires no object contact or displacement.</x:v>
      </x:c>
      <x:c r="S134" s="10" t="str">
        <x:f>IF(ISBLANK('Evaluation Plan'!S134),"",'Evaluation Plan'!S134)</x:f>
      </x:c>
    </x:row>
    <x:row r="135" ht="68" customHeight="1">
      <x:c r="A135" s="9" t="str">
        <x:v>Not collected</x:v>
      </x:c>
      <x:c r="B135" s="9" t="n">
        <x:f>'Evaluation Plan'!B135</x:f>
        <x:v>133</x:v>
      </x:c>
      <x:c r="C135" s="10" t="str">
        <x:f>'Evaluation Plan'!C135</x:f>
        <x:v>Move the object that is largest into the bowl.</x:v>
      </x:c>
      <x:c r="D135" s="10" t="str">
        <x:f>'Evaluation Plan'!D135</x:f>
        <x:v>Bowl: crushed Pepsi can. Table: juggling ball. row shifted 4 cm toward the robot; every object fully visible. The requested extremal object is already in the bowl.</x:v>
      </x:c>
      <x:c r="E135" s="9" t="str">
        <x:f>IF(ISBLANK('Evaluation Plan'!E135),"",'Evaluation Plan'!E135)</x:f>
      </x:c>
      <x:c r="F135" s="9" t="str">
        <x:f>'Evaluation Plan'!F135</x:f>
        <x:v>1160</x:v>
      </x:c>
      <x:c r="G135" s="9" t="str">
        <x:f>'Evaluation Plan'!G135</x:f>
        <x:v>NO MOVEMENT — goal already satisfied</x:v>
      </x:c>
      <x:c r="H135" s="10"/>
      <x:c r="I135" s="9" t="str">
        <x:f>'Evaluation Plan'!I135</x:f>
        <x:v>Goal already satisfied / no movement</x:v>
      </x:c>
      <x:c r="J135" s="9" t="str">
        <x:f>'Evaluation Plan'!J135</x:f>
        <x:v>SZ-NOOP-4-1</x:v>
      </x:c>
      <x:c r="K135" s="9" t="str">
        <x:f>'Evaluation Plan'!K135</x:f>
        <x:v>largest</x:v>
      </x:c>
      <x:c r="L135" s="9" t="str">
        <x:f>'Evaluation Plan'!L135</x:f>
        <x:v>Trained largest × crushed Pepsi can; target already in bowl</x:v>
      </x:c>
      <x:c r="M135" s="9" t="str">
        <x:f>'Evaluation Plan'!M135</x:f>
        <x:v>crushed Pepsi can</x:v>
      </x:c>
      <x:c r="N135" s="9" t="str">
        <x:f>'Evaluation Plan'!N135</x:f>
        <x:v>In bowl</x:v>
      </x:c>
      <x:c r="O135" s="9" t="n">
        <x:f>'Evaluation Plan'!O135</x:f>
        <x:v>2</x:v>
      </x:c>
      <x:c r="P135" s="9" t="str">
        <x:f>IF(ISBLANK('Evaluation Plan'!P135),"",'Evaluation Plan'!P135)</x:f>
      </x:c>
      <x:c r="Q135" s="9" t="str">
        <x:f>'Evaluation Plan'!Q135</x:f>
        <x:v>Place the target in the bowl before starting; arrange the listed distractors on the table.</x:v>
      </x:c>
      <x:c r="R135" s="10" t="str">
        <x:f>'Evaluation Plan'!R135</x:f>
        <x:v>Normal training-supported size wording is retained, so no-movement behavior is not correlated with a special phrase. Success requires no object contact or displacement.</x:v>
      </x:c>
      <x:c r="S135" s="10" t="str">
        <x:f>IF(ISBLANK('Evaluation Plan'!S135),"",'Evaluation Plan'!S135)</x:f>
      </x:c>
    </x:row>
    <x:row r="136" ht="68" customHeight="1">
      <x:c r="A136" s="9" t="str">
        <x:v>Not collected</x:v>
      </x:c>
      <x:c r="B136" s="9" t="n">
        <x:f>'Evaluation Plan'!B136</x:f>
        <x:v>134</x:v>
      </x:c>
      <x:c r="C136" s="10" t="str">
        <x:f>'Evaluation Plan'!C136</x:f>
        <x:v>Pick up the smallest item and place it in the bowl.</x:v>
      </x:c>
      <x:c r="D136" s="10" t="str">
        <x:f>'Evaluation Plan'!D136</x:f>
        <x:v>Bowl: red pencil sharpener. Table: juggling ball; crushed Pepsi can. row shifted 4 cm toward robot-left; every object fully visible. The requested extremal object is already in the bowl.</x:v>
      </x:c>
      <x:c r="E136" s="9" t="str">
        <x:f>IF(ISBLANK('Evaluation Plan'!E136),"",'Evaluation Plan'!E136)</x:f>
      </x:c>
      <x:c r="F136" s="9" t="str">
        <x:f>'Evaluation Plan'!F136</x:f>
        <x:v>1011</x:v>
      </x:c>
      <x:c r="G136" s="9" t="str">
        <x:f>'Evaluation Plan'!G136</x:f>
        <x:v>NO MOVEMENT — goal already satisfied</x:v>
      </x:c>
      <x:c r="H136" s="10"/>
      <x:c r="I136" s="9" t="str">
        <x:f>'Evaluation Plan'!I136</x:f>
        <x:v>Goal already satisfied / no movement</x:v>
      </x:c>
      <x:c r="J136" s="9" t="str">
        <x:f>'Evaluation Plan'!J136</x:f>
        <x:v>SZ-NOOP-1-2</x:v>
      </x:c>
      <x:c r="K136" s="9" t="str">
        <x:f>'Evaluation Plan'!K136</x:f>
        <x:v>smallest</x:v>
      </x:c>
      <x:c r="L136" s="9" t="str">
        <x:f>'Evaluation Plan'!L136</x:f>
        <x:v>Trained smallest × red pencil sharpener; target already in bowl</x:v>
      </x:c>
      <x:c r="M136" s="9" t="str">
        <x:f>'Evaluation Plan'!M136</x:f>
        <x:v>red pencil sharpener</x:v>
      </x:c>
      <x:c r="N136" s="9" t="str">
        <x:f>'Evaluation Plan'!N136</x:f>
        <x:v>In bowl</x:v>
      </x:c>
      <x:c r="O136" s="9" t="n">
        <x:f>'Evaluation Plan'!O136</x:f>
        <x:v>3</x:v>
      </x:c>
      <x:c r="P136" s="9" t="str">
        <x:f>IF(ISBLANK('Evaluation Plan'!P136),"",'Evaluation Plan'!P136)</x:f>
      </x:c>
      <x:c r="Q136" s="9" t="str">
        <x:f>'Evaluation Plan'!Q136</x:f>
        <x:v>Place the target in the bowl before starting; arrange the listed distractors on the table.</x:v>
      </x:c>
      <x:c r="R136" s="10" t="str">
        <x:f>'Evaluation Plan'!R136</x:f>
        <x:v>Normal training-supported size wording is retained, so no-movement behavior is not correlated with a special phrase. Success requires no object contact or displacement.</x:v>
      </x:c>
      <x:c r="S136" s="10" t="str">
        <x:f>IF(ISBLANK('Evaluation Plan'!S136),"",'Evaluation Plan'!S136)</x:f>
      </x:c>
    </x:row>
    <x:row r="137" ht="68" customHeight="1">
      <x:c r="A137" s="9" t="str">
        <x:v>Not collected</x:v>
      </x:c>
      <x:c r="B137" s="9" t="n">
        <x:f>'Evaluation Plan'!B137</x:f>
        <x:v>135</x:v>
      </x:c>
      <x:c r="C137" s="10" t="str">
        <x:f>'Evaluation Plan'!C137</x:f>
        <x:v>Put the smallest object in the bowl.</x:v>
      </x:c>
      <x:c r="D137" s="10" t="str">
        <x:f>'Evaluation Plan'!D137</x:f>
        <x:v>Bowl: green block. Table: crushed Pepsi can. row shifted 4 cm toward robot-right; every object fully visible. The requested extremal object is already in the bowl.</x:v>
      </x:c>
      <x:c r="E137" s="9" t="str">
        <x:f>IF(ISBLANK('Evaluation Plan'!E137),"",'Evaluation Plan'!E137)</x:f>
      </x:c>
      <x:c r="F137" s="9" t="str">
        <x:f>'Evaluation Plan'!F137</x:f>
        <x:v>1056</x:v>
      </x:c>
      <x:c r="G137" s="9" t="str">
        <x:f>'Evaluation Plan'!G137</x:f>
        <x:v>NO MOVEMENT — goal already satisfied</x:v>
      </x:c>
      <x:c r="H137" s="10"/>
      <x:c r="I137" s="9" t="str">
        <x:f>'Evaluation Plan'!I137</x:f>
        <x:v>Goal already satisfied / no movement</x:v>
      </x:c>
      <x:c r="J137" s="9" t="str">
        <x:f>'Evaluation Plan'!J137</x:f>
        <x:v>SZ-NOOP-2-2</x:v>
      </x:c>
      <x:c r="K137" s="9" t="str">
        <x:f>'Evaluation Plan'!K137</x:f>
        <x:v>smallest</x:v>
      </x:c>
      <x:c r="L137" s="9" t="str">
        <x:f>'Evaluation Plan'!L137</x:f>
        <x:v>Trained smallest × green block; target already in bowl</x:v>
      </x:c>
      <x:c r="M137" s="9" t="str">
        <x:f>'Evaluation Plan'!M137</x:f>
        <x:v>green block</x:v>
      </x:c>
      <x:c r="N137" s="9" t="str">
        <x:f>'Evaluation Plan'!N137</x:f>
        <x:v>In bowl</x:v>
      </x:c>
      <x:c r="O137" s="9" t="n">
        <x:f>'Evaluation Plan'!O137</x:f>
        <x:v>2</x:v>
      </x:c>
      <x:c r="P137" s="9" t="str">
        <x:f>IF(ISBLANK('Evaluation Plan'!P137),"",'Evaluation Plan'!P137)</x:f>
      </x:c>
      <x:c r="Q137" s="9" t="str">
        <x:f>'Evaluation Plan'!Q137</x:f>
        <x:v>Place the target in the bowl before starting; arrange the listed distractors on the table.</x:v>
      </x:c>
      <x:c r="R137" s="10" t="str">
        <x:f>'Evaluation Plan'!R137</x:f>
        <x:v>Normal training-supported size wording is retained, so no-movement behavior is not correlated with a special phrase. Success requires no object contact or displacement.</x:v>
      </x:c>
      <x:c r="S137" s="10" t="str">
        <x:f>IF(ISBLANK('Evaluation Plan'!S137),"",'Evaluation Plan'!S137)</x:f>
      </x:c>
    </x:row>
    <x:row r="138" ht="68" customHeight="1">
      <x:c r="A138" s="9" t="str">
        <x:v>Not collected</x:v>
      </x:c>
      <x:c r="B138" s="9" t="n">
        <x:f>'Evaluation Plan'!B138</x:f>
        <x:v>136</x:v>
      </x:c>
      <x:c r="C138" s="10" t="str">
        <x:f>'Evaluation Plan'!C138</x:f>
        <x:v>Move the object that is largest into the bowl.</x:v>
      </x:c>
      <x:c r="D138" s="10" t="str">
        <x:f>'Evaluation Plan'!D138</x:f>
        <x:v>Bowl: juggling ball. Table: green block. row shifted 4 cm toward the robot; every object fully visible. The requested extremal object is already in the bowl.</x:v>
      </x:c>
      <x:c r="E138" s="9" t="str">
        <x:f>IF(ISBLANK('Evaluation Plan'!E138),"",'Evaluation Plan'!E138)</x:f>
      </x:c>
      <x:c r="F138" s="9" t="str">
        <x:f>'Evaluation Plan'!F138</x:f>
        <x:v>1131</x:v>
      </x:c>
      <x:c r="G138" s="9" t="str">
        <x:f>'Evaluation Plan'!G138</x:f>
        <x:v>NO MOVEMENT — goal already satisfied</x:v>
      </x:c>
      <x:c r="H138" s="10"/>
      <x:c r="I138" s="9" t="str">
        <x:f>'Evaluation Plan'!I138</x:f>
        <x:v>Goal already satisfied / no movement</x:v>
      </x:c>
      <x:c r="J138" s="9" t="str">
        <x:f>'Evaluation Plan'!J138</x:f>
        <x:v>SZ-NOOP-3-2</x:v>
      </x:c>
      <x:c r="K138" s="9" t="str">
        <x:f>'Evaluation Plan'!K138</x:f>
        <x:v>largest</x:v>
      </x:c>
      <x:c r="L138" s="9" t="str">
        <x:f>'Evaluation Plan'!L138</x:f>
        <x:v>Trained largest × juggling ball; target already in bowl</x:v>
      </x:c>
      <x:c r="M138" s="9" t="str">
        <x:f>'Evaluation Plan'!M138</x:f>
        <x:v>juggling ball</x:v>
      </x:c>
      <x:c r="N138" s="9" t="str">
        <x:f>'Evaluation Plan'!N138</x:f>
        <x:v>In bowl</x:v>
      </x:c>
      <x:c r="O138" s="9" t="n">
        <x:f>'Evaluation Plan'!O138</x:f>
        <x:v>2</x:v>
      </x:c>
      <x:c r="P138" s="9" t="str">
        <x:f>IF(ISBLANK('Evaluation Plan'!P138),"",'Evaluation Plan'!P138)</x:f>
      </x:c>
      <x:c r="Q138" s="9" t="str">
        <x:f>'Evaluation Plan'!Q138</x:f>
        <x:v>Place the target in the bowl before starting; arrange the listed distractors on the table.</x:v>
      </x:c>
      <x:c r="R138" s="10" t="str">
        <x:f>'Evaluation Plan'!R138</x:f>
        <x:v>Normal training-supported size wording is retained, so no-movement behavior is not correlated with a special phrase. Success requires no object contact or displacement.</x:v>
      </x:c>
      <x:c r="S138" s="10" t="str">
        <x:f>IF(ISBLANK('Evaluation Plan'!S138),"",'Evaluation Plan'!S138)</x:f>
      </x:c>
    </x:row>
    <x:row r="139" ht="68" customHeight="1">
      <x:c r="A139" s="9" t="str">
        <x:v>Not collected</x:v>
      </x:c>
      <x:c r="B139" s="9" t="n">
        <x:f>'Evaluation Plan'!B139</x:f>
        <x:v>137</x:v>
      </x:c>
      <x:c r="C139" s="10" t="str">
        <x:f>'Evaluation Plan'!C139</x:f>
        <x:v>Pick up the largest item and place it in the bowl.</x:v>
      </x:c>
      <x:c r="D139" s="10" t="str">
        <x:f>'Evaluation Plan'!D139</x:f>
        <x:v>Bowl: crushed Pepsi can. Table: green block. row shifted 4 cm away from the robot; every object fully visible. The requested extremal object is already in the bowl.</x:v>
      </x:c>
      <x:c r="E139" s="9" t="str">
        <x:f>IF(ISBLANK('Evaluation Plan'!E139),"",'Evaluation Plan'!E139)</x:f>
      </x:c>
      <x:c r="F139" s="9" t="str">
        <x:f>'Evaluation Plan'!F139</x:f>
        <x:v>1161</x:v>
      </x:c>
      <x:c r="G139" s="9" t="str">
        <x:f>'Evaluation Plan'!G139</x:f>
        <x:v>NO MOVEMENT — goal already satisfied</x:v>
      </x:c>
      <x:c r="H139" s="10"/>
      <x:c r="I139" s="9" t="str">
        <x:f>'Evaluation Plan'!I139</x:f>
        <x:v>Goal already satisfied / no movement</x:v>
      </x:c>
      <x:c r="J139" s="9" t="str">
        <x:f>'Evaluation Plan'!J139</x:f>
        <x:v>SZ-NOOP-4-2</x:v>
      </x:c>
      <x:c r="K139" s="9" t="str">
        <x:f>'Evaluation Plan'!K139</x:f>
        <x:v>largest</x:v>
      </x:c>
      <x:c r="L139" s="9" t="str">
        <x:f>'Evaluation Plan'!L139</x:f>
        <x:v>Trained largest × crushed Pepsi can; target already in bowl</x:v>
      </x:c>
      <x:c r="M139" s="9" t="str">
        <x:f>'Evaluation Plan'!M139</x:f>
        <x:v>crushed Pepsi can</x:v>
      </x:c>
      <x:c r="N139" s="9" t="str">
        <x:f>'Evaluation Plan'!N139</x:f>
        <x:v>In bowl</x:v>
      </x:c>
      <x:c r="O139" s="9" t="n">
        <x:f>'Evaluation Plan'!O139</x:f>
        <x:v>2</x:v>
      </x:c>
      <x:c r="P139" s="9" t="str">
        <x:f>IF(ISBLANK('Evaluation Plan'!P139),"",'Evaluation Plan'!P139)</x:f>
      </x:c>
      <x:c r="Q139" s="9" t="str">
        <x:f>'Evaluation Plan'!Q139</x:f>
        <x:v>Place the target in the bowl before starting; arrange the listed distractors on the table.</x:v>
      </x:c>
      <x:c r="R139" s="10" t="str">
        <x:f>'Evaluation Plan'!R139</x:f>
        <x:v>Normal training-supported size wording is retained, so no-movement behavior is not correlated with a special phrase. Success requires no object contact or displacement.</x:v>
      </x:c>
      <x:c r="S139" s="10" t="str">
        <x:f>IF(ISBLANK('Evaluation Plan'!S139),"",'Evaluation Plan'!S139)</x:f>
      </x:c>
    </x:row>
    <x:row r="140" ht="68" customHeight="1">
      <x:c r="A140" s="9" t="str">
        <x:v>Not collected</x:v>
      </x:c>
      <x:c r="B140" s="9" t="n">
        <x:f>'Evaluation Plan'!B140</x:f>
        <x:v>138</x:v>
      </x:c>
      <x:c r="C140" s="10" t="str">
        <x:f>'Evaluation Plan'!C140</x:f>
        <x:v>Put the smallest object in the bowl.</x:v>
      </x:c>
      <x:c r="D140" s="10" t="str">
        <x:f>'Evaluation Plan'!D140</x:f>
        <x:v>Bowl: red pencil sharpener. Table: green block; juggling ball; crushed Pepsi can. row shifted 4 cm toward robot-right; every object fully visible. The requested extremal object is already in the bowl.</x:v>
      </x:c>
      <x:c r="E140" s="9" t="str">
        <x:f>IF(ISBLANK('Evaluation Plan'!E140),"",'Evaluation Plan'!E140)</x:f>
      </x:c>
      <x:c r="F140" s="9" t="str">
        <x:f>'Evaluation Plan'!F140</x:f>
        <x:v>1012</x:v>
      </x:c>
      <x:c r="G140" s="9" t="str">
        <x:f>'Evaluation Plan'!G140</x:f>
        <x:v>NO MOVEMENT — goal already satisfied</x:v>
      </x:c>
      <x:c r="H140" s="10"/>
      <x:c r="I140" s="9" t="str">
        <x:f>'Evaluation Plan'!I140</x:f>
        <x:v>Goal already satisfied / no movement</x:v>
      </x:c>
      <x:c r="J140" s="9" t="str">
        <x:f>'Evaluation Plan'!J140</x:f>
        <x:v>SZ-NOOP-1-3</x:v>
      </x:c>
      <x:c r="K140" s="9" t="str">
        <x:f>'Evaluation Plan'!K140</x:f>
        <x:v>smallest</x:v>
      </x:c>
      <x:c r="L140" s="9" t="str">
        <x:f>'Evaluation Plan'!L140</x:f>
        <x:v>Trained smallest × red pencil sharpener; target already in bowl</x:v>
      </x:c>
      <x:c r="M140" s="9" t="str">
        <x:f>'Evaluation Plan'!M140</x:f>
        <x:v>red pencil sharpener</x:v>
      </x:c>
      <x:c r="N140" s="9" t="str">
        <x:f>'Evaluation Plan'!N140</x:f>
        <x:v>In bowl</x:v>
      </x:c>
      <x:c r="O140" s="9" t="n">
        <x:f>'Evaluation Plan'!O140</x:f>
        <x:v>4</x:v>
      </x:c>
      <x:c r="P140" s="9" t="str">
        <x:f>IF(ISBLANK('Evaluation Plan'!P140),"",'Evaluation Plan'!P140)</x:f>
      </x:c>
      <x:c r="Q140" s="9" t="str">
        <x:f>'Evaluation Plan'!Q140</x:f>
        <x:v>Place the target in the bowl before starting; arrange the listed distractors on the table.</x:v>
      </x:c>
      <x:c r="R140" s="10" t="str">
        <x:f>'Evaluation Plan'!R140</x:f>
        <x:v>Normal training-supported size wording is retained, so no-movement behavior is not correlated with a special phrase. Success requires no object contact or displacement.</x:v>
      </x:c>
      <x:c r="S140" s="10" t="str">
        <x:f>IF(ISBLANK('Evaluation Plan'!S140),"",'Evaluation Plan'!S140)</x:f>
      </x:c>
    </x:row>
    <x:row r="141" ht="68" customHeight="1">
      <x:c r="A141" s="9" t="str">
        <x:v>Not collected</x:v>
      </x:c>
      <x:c r="B141" s="9" t="n">
        <x:f>'Evaluation Plan'!B141</x:f>
        <x:v>139</x:v>
      </x:c>
      <x:c r="C141" s="10" t="str">
        <x:f>'Evaluation Plan'!C141</x:f>
        <x:v>Move the object that is smallest into the bowl.</x:v>
      </x:c>
      <x:c r="D141" s="10" t="str">
        <x:f>'Evaluation Plan'!D141</x:f>
        <x:v>Bowl: green block. Table: juggling ball; crushed Pepsi can. row shifted 4 cm toward the robot; every object fully visible. The requested extremal object is already in the bowl.</x:v>
      </x:c>
      <x:c r="E141" s="9" t="str">
        <x:f>IF(ISBLANK('Evaluation Plan'!E141),"",'Evaluation Plan'!E141)</x:f>
      </x:c>
      <x:c r="F141" s="9" t="str">
        <x:f>'Evaluation Plan'!F141</x:f>
        <x:v>1057</x:v>
      </x:c>
      <x:c r="G141" s="9" t="str">
        <x:f>'Evaluation Plan'!G141</x:f>
        <x:v>NO MOVEMENT — goal already satisfied</x:v>
      </x:c>
      <x:c r="H141" s="10"/>
      <x:c r="I141" s="9" t="str">
        <x:f>'Evaluation Plan'!I141</x:f>
        <x:v>Goal already satisfied / no movement</x:v>
      </x:c>
      <x:c r="J141" s="9" t="str">
        <x:f>'Evaluation Plan'!J141</x:f>
        <x:v>SZ-NOOP-2-3</x:v>
      </x:c>
      <x:c r="K141" s="9" t="str">
        <x:f>'Evaluation Plan'!K141</x:f>
        <x:v>smallest</x:v>
      </x:c>
      <x:c r="L141" s="9" t="str">
        <x:f>'Evaluation Plan'!L141</x:f>
        <x:v>Trained smallest × green block; target already in bowl</x:v>
      </x:c>
      <x:c r="M141" s="9" t="str">
        <x:f>'Evaluation Plan'!M141</x:f>
        <x:v>green block</x:v>
      </x:c>
      <x:c r="N141" s="9" t="str">
        <x:f>'Evaluation Plan'!N141</x:f>
        <x:v>In bowl</x:v>
      </x:c>
      <x:c r="O141" s="9" t="n">
        <x:f>'Evaluation Plan'!O141</x:f>
        <x:v>3</x:v>
      </x:c>
      <x:c r="P141" s="9" t="str">
        <x:f>IF(ISBLANK('Evaluation Plan'!P141),"",'Evaluation Plan'!P141)</x:f>
      </x:c>
      <x:c r="Q141" s="9" t="str">
        <x:f>'Evaluation Plan'!Q141</x:f>
        <x:v>Place the target in the bowl before starting; arrange the listed distractors on the table.</x:v>
      </x:c>
      <x:c r="R141" s="10" t="str">
        <x:f>'Evaluation Plan'!R141</x:f>
        <x:v>Normal training-supported size wording is retained, so no-movement behavior is not correlated with a special phrase. Success requires no object contact or displacement.</x:v>
      </x:c>
      <x:c r="S141" s="10" t="str">
        <x:f>IF(ISBLANK('Evaluation Plan'!S141),"",'Evaluation Plan'!S141)</x:f>
      </x:c>
    </x:row>
    <x:row r="142" ht="68" customHeight="1">
      <x:c r="A142" s="9" t="str">
        <x:v>Not collected</x:v>
      </x:c>
      <x:c r="B142" s="9" t="n">
        <x:f>'Evaluation Plan'!B142</x:f>
        <x:v>140</x:v>
      </x:c>
      <x:c r="C142" s="10" t="str">
        <x:f>'Evaluation Plan'!C142</x:f>
        <x:v>Pick up the largest item and place it in the bowl.</x:v>
      </x:c>
      <x:c r="D142" s="10" t="str">
        <x:f>'Evaluation Plan'!D142</x:f>
        <x:v>Bowl: juggling ball. Table: red pencil sharpener; green block. row shifted 4 cm away from the robot; every object fully visible. The requested extremal object is already in the bowl.</x:v>
      </x:c>
      <x:c r="E142" s="9" t="str">
        <x:f>IF(ISBLANK('Evaluation Plan'!E142),"",'Evaluation Plan'!E142)</x:f>
      </x:c>
      <x:c r="F142" s="9" t="str">
        <x:f>'Evaluation Plan'!F142</x:f>
        <x:v>1132</x:v>
      </x:c>
      <x:c r="G142" s="9" t="str">
        <x:f>'Evaluation Plan'!G142</x:f>
        <x:v>NO MOVEMENT — goal already satisfied</x:v>
      </x:c>
      <x:c r="H142" s="10"/>
      <x:c r="I142" s="9" t="str">
        <x:f>'Evaluation Plan'!I142</x:f>
        <x:v>Goal already satisfied / no movement</x:v>
      </x:c>
      <x:c r="J142" s="9" t="str">
        <x:f>'Evaluation Plan'!J142</x:f>
        <x:v>SZ-NOOP-3-3</x:v>
      </x:c>
      <x:c r="K142" s="9" t="str">
        <x:f>'Evaluation Plan'!K142</x:f>
        <x:v>largest</x:v>
      </x:c>
      <x:c r="L142" s="9" t="str">
        <x:f>'Evaluation Plan'!L142</x:f>
        <x:v>Trained largest × juggling ball; target already in bowl</x:v>
      </x:c>
      <x:c r="M142" s="9" t="str">
        <x:f>'Evaluation Plan'!M142</x:f>
        <x:v>juggling ball</x:v>
      </x:c>
      <x:c r="N142" s="9" t="str">
        <x:f>'Evaluation Plan'!N142</x:f>
        <x:v>In bowl</x:v>
      </x:c>
      <x:c r="O142" s="9" t="n">
        <x:f>'Evaluation Plan'!O142</x:f>
        <x:v>3</x:v>
      </x:c>
      <x:c r="P142" s="9" t="str">
        <x:f>IF(ISBLANK('Evaluation Plan'!P142),"",'Evaluation Plan'!P142)</x:f>
      </x:c>
      <x:c r="Q142" s="9" t="str">
        <x:f>'Evaluation Plan'!Q142</x:f>
        <x:v>Place the target in the bowl before starting; arrange the listed distractors on the table.</x:v>
      </x:c>
      <x:c r="R142" s="10" t="str">
        <x:f>'Evaluation Plan'!R142</x:f>
        <x:v>Normal training-supported size wording is retained, so no-movement behavior is not correlated with a special phrase. Success requires no object contact or displacement.</x:v>
      </x:c>
      <x:c r="S142" s="10" t="str">
        <x:f>IF(ISBLANK('Evaluation Plan'!S142),"",'Evaluation Plan'!S142)</x:f>
      </x:c>
    </x:row>
    <x:row r="143" ht="68" customHeight="1">
      <x:c r="A143" s="9" t="str">
        <x:v>Not collected</x:v>
      </x:c>
      <x:c r="B143" s="9" t="n">
        <x:f>'Evaluation Plan'!B143</x:f>
        <x:v>141</x:v>
      </x:c>
      <x:c r="C143" s="10" t="str">
        <x:f>'Evaluation Plan'!C143</x:f>
        <x:v>Put the largest object in the bowl.</x:v>
      </x:c>
      <x:c r="D143" s="10" t="str">
        <x:f>'Evaluation Plan'!D143</x:f>
        <x:v>Bowl: crushed Pepsi can. Table: red pencil sharpener; green block; juggling ball. row centered on the workspace; every object fully visible. The requested extremal object is already in the bowl.</x:v>
      </x:c>
      <x:c r="E143" s="9" t="str">
        <x:f>IF(ISBLANK('Evaluation Plan'!E143),"",'Evaluation Plan'!E143)</x:f>
      </x:c>
      <x:c r="F143" s="9" t="str">
        <x:f>'Evaluation Plan'!F143</x:f>
        <x:v>1162</x:v>
      </x:c>
      <x:c r="G143" s="9" t="str">
        <x:f>'Evaluation Plan'!G143</x:f>
        <x:v>NO MOVEMENT — goal already satisfied</x:v>
      </x:c>
      <x:c r="H143" s="10"/>
      <x:c r="I143" s="9" t="str">
        <x:f>'Evaluation Plan'!I143</x:f>
        <x:v>Goal already satisfied / no movement</x:v>
      </x:c>
      <x:c r="J143" s="9" t="str">
        <x:f>'Evaluation Plan'!J143</x:f>
        <x:v>SZ-NOOP-4-3</x:v>
      </x:c>
      <x:c r="K143" s="9" t="str">
        <x:f>'Evaluation Plan'!K143</x:f>
        <x:v>largest</x:v>
      </x:c>
      <x:c r="L143" s="9" t="str">
        <x:f>'Evaluation Plan'!L143</x:f>
        <x:v>Trained largest × crushed Pepsi can; target already in bowl</x:v>
      </x:c>
      <x:c r="M143" s="9" t="str">
        <x:f>'Evaluation Plan'!M143</x:f>
        <x:v>crushed Pepsi can</x:v>
      </x:c>
      <x:c r="N143" s="9" t="str">
        <x:f>'Evaluation Plan'!N143</x:f>
        <x:v>In bowl</x:v>
      </x:c>
      <x:c r="O143" s="9" t="n">
        <x:f>'Evaluation Plan'!O143</x:f>
        <x:v>4</x:v>
      </x:c>
      <x:c r="P143" s="9" t="str">
        <x:f>IF(ISBLANK('Evaluation Plan'!P143),"",'Evaluation Plan'!P143)</x:f>
      </x:c>
      <x:c r="Q143" s="9" t="str">
        <x:f>'Evaluation Plan'!Q143</x:f>
        <x:v>Place the target in the bowl before starting; arrange the listed distractors on the table.</x:v>
      </x:c>
      <x:c r="R143" s="10" t="str">
        <x:f>'Evaluation Plan'!R143</x:f>
        <x:v>Normal training-supported size wording is retained, so no-movement behavior is not correlated with a special phrase. Success requires no object contact or displacement.</x:v>
      </x:c>
      <x:c r="S143" s="10" t="str">
        <x:f>IF(ISBLANK('Evaluation Plan'!S143),"",'Evaluation Plan'!S143)</x:f>
      </x:c>
    </x:row>
    <x:row r="144" ht="68" customHeight="1">
      <x:c r="A144" s="9" t="str">
        <x:v>Not collected</x:v>
      </x:c>
      <x:c r="B144" s="9" t="n">
        <x:f>'Evaluation Plan'!B144</x:f>
        <x:v>142</x:v>
      </x:c>
      <x:c r="C144" s="10" t="str">
        <x:f>'Evaluation Plan'!C144</x:f>
        <x:v>Move the object that is smallest into the bowl.</x:v>
      </x:c>
      <x:c r="D144" s="10" t="str">
        <x:f>'Evaluation Plan'!D144</x:f>
        <x:v>Bowl: red pencil sharpener. Table: juggling ball; crushed Pepsi can; green block. row shifted 4 cm toward the robot; every object fully visible. The requested extremal object is already in the bowl.</x:v>
      </x:c>
      <x:c r="E144" s="9" t="str">
        <x:f>IF(ISBLANK('Evaluation Plan'!E144),"",'Evaluation Plan'!E144)</x:f>
      </x:c>
      <x:c r="F144" s="9" t="str">
        <x:f>'Evaluation Plan'!F144</x:f>
        <x:v>1013</x:v>
      </x:c>
      <x:c r="G144" s="9" t="str">
        <x:f>'Evaluation Plan'!G144</x:f>
        <x:v>NO MOVEMENT — goal already satisfied</x:v>
      </x:c>
      <x:c r="H144" s="10"/>
      <x:c r="I144" s="9" t="str">
        <x:f>'Evaluation Plan'!I144</x:f>
        <x:v>Goal already satisfied / no movement</x:v>
      </x:c>
      <x:c r="J144" s="9" t="str">
        <x:f>'Evaluation Plan'!J144</x:f>
        <x:v>SZ-NOOP-1-4</x:v>
      </x:c>
      <x:c r="K144" s="9" t="str">
        <x:f>'Evaluation Plan'!K144</x:f>
        <x:v>smallest</x:v>
      </x:c>
      <x:c r="L144" s="9" t="str">
        <x:f>'Evaluation Plan'!L144</x:f>
        <x:v>Trained smallest × red pencil sharpener; target already in bowl</x:v>
      </x:c>
      <x:c r="M144" s="9" t="str">
        <x:f>'Evaluation Plan'!M144</x:f>
        <x:v>red pencil sharpener</x:v>
      </x:c>
      <x:c r="N144" s="9" t="str">
        <x:f>'Evaluation Plan'!N144</x:f>
        <x:v>In bowl</x:v>
      </x:c>
      <x:c r="O144" s="9" t="n">
        <x:f>'Evaluation Plan'!O144</x:f>
        <x:v>4</x:v>
      </x:c>
      <x:c r="P144" s="9" t="str">
        <x:f>IF(ISBLANK('Evaluation Plan'!P144),"",'Evaluation Plan'!P144)</x:f>
      </x:c>
      <x:c r="Q144" s="9" t="str">
        <x:f>'Evaluation Plan'!Q144</x:f>
        <x:v>Place the target in the bowl before starting; arrange the listed distractors on the table.</x:v>
      </x:c>
      <x:c r="R144" s="10" t="str">
        <x:f>'Evaluation Plan'!R144</x:f>
        <x:v>Normal training-supported size wording is retained, so no-movement behavior is not correlated with a special phrase. Success requires no object contact or displacement.</x:v>
      </x:c>
      <x:c r="S144" s="10" t="str">
        <x:f>IF(ISBLANK('Evaluation Plan'!S144),"",'Evaluation Plan'!S144)</x:f>
      </x:c>
    </x:row>
    <x:row r="145" ht="68" customHeight="1">
      <x:c r="A145" s="9" t="str">
        <x:v>Not collected</x:v>
      </x:c>
      <x:c r="B145" s="9" t="n">
        <x:f>'Evaluation Plan'!B145</x:f>
        <x:v>143</x:v>
      </x:c>
      <x:c r="C145" s="10" t="str">
        <x:f>'Evaluation Plan'!C145</x:f>
        <x:v>Pick up the smallest item and place it in the bowl.</x:v>
      </x:c>
      <x:c r="D145" s="10" t="str">
        <x:f>'Evaluation Plan'!D145</x:f>
        <x:v>Bowl: green block. Table: crushed Pepsi can; juggling ball. row shifted 4 cm away from the robot; every object fully visible. The requested extremal object is already in the bowl.</x:v>
      </x:c>
      <x:c r="E145" s="9" t="str">
        <x:f>IF(ISBLANK('Evaluation Plan'!E145),"",'Evaluation Plan'!E145)</x:f>
      </x:c>
      <x:c r="F145" s="9" t="str">
        <x:f>'Evaluation Plan'!F145</x:f>
        <x:v>1058</x:v>
      </x:c>
      <x:c r="G145" s="9" t="str">
        <x:f>'Evaluation Plan'!G145</x:f>
        <x:v>NO MOVEMENT — goal already satisfied</x:v>
      </x:c>
      <x:c r="H145" s="10"/>
      <x:c r="I145" s="9" t="str">
        <x:f>'Evaluation Plan'!I145</x:f>
        <x:v>Goal already satisfied / no movement</x:v>
      </x:c>
      <x:c r="J145" s="9" t="str">
        <x:f>'Evaluation Plan'!J145</x:f>
        <x:v>SZ-NOOP-2-4</x:v>
      </x:c>
      <x:c r="K145" s="9" t="str">
        <x:f>'Evaluation Plan'!K145</x:f>
        <x:v>smallest</x:v>
      </x:c>
      <x:c r="L145" s="9" t="str">
        <x:f>'Evaluation Plan'!L145</x:f>
        <x:v>Trained smallest × green block; target already in bowl</x:v>
      </x:c>
      <x:c r="M145" s="9" t="str">
        <x:f>'Evaluation Plan'!M145</x:f>
        <x:v>green block</x:v>
      </x:c>
      <x:c r="N145" s="9" t="str">
        <x:f>'Evaluation Plan'!N145</x:f>
        <x:v>In bowl</x:v>
      </x:c>
      <x:c r="O145" s="9" t="n">
        <x:f>'Evaluation Plan'!O145</x:f>
        <x:v>3</x:v>
      </x:c>
      <x:c r="P145" s="9" t="str">
        <x:f>IF(ISBLANK('Evaluation Plan'!P145),"",'Evaluation Plan'!P145)</x:f>
      </x:c>
      <x:c r="Q145" s="9" t="str">
        <x:f>'Evaluation Plan'!Q145</x:f>
        <x:v>Place the target in the bowl before starting; arrange the listed distractors on the table.</x:v>
      </x:c>
      <x:c r="R145" s="10" t="str">
        <x:f>'Evaluation Plan'!R145</x:f>
        <x:v>Normal training-supported size wording is retained, so no-movement behavior is not correlated with a special phrase. Success requires no object contact or displacement.</x:v>
      </x:c>
      <x:c r="S145" s="10" t="str">
        <x:f>IF(ISBLANK('Evaluation Plan'!S145),"",'Evaluation Plan'!S145)</x:f>
      </x:c>
    </x:row>
    <x:row r="146" ht="68" customHeight="1">
      <x:c r="A146" s="9" t="str">
        <x:v>Not collected</x:v>
      </x:c>
      <x:c r="B146" s="9" t="n">
        <x:f>'Evaluation Plan'!B146</x:f>
        <x:v>144</x:v>
      </x:c>
      <x:c r="C146" s="10" t="str">
        <x:f>'Evaluation Plan'!C146</x:f>
        <x:v>Put the largest object in the bowl.</x:v>
      </x:c>
      <x:c r="D146" s="10" t="str">
        <x:f>'Evaluation Plan'!D146</x:f>
        <x:v>Bowl: juggling ball. Table: green block; red pencil sharpener. row centered on the workspace; every object fully visible. The requested extremal object is already in the bowl.</x:v>
      </x:c>
      <x:c r="E146" s="9" t="str">
        <x:f>IF(ISBLANK('Evaluation Plan'!E146),"",'Evaluation Plan'!E146)</x:f>
      </x:c>
      <x:c r="F146" s="9" t="str">
        <x:f>'Evaluation Plan'!F146</x:f>
        <x:v>1133</x:v>
      </x:c>
      <x:c r="G146" s="9" t="str">
        <x:f>'Evaluation Plan'!G146</x:f>
        <x:v>NO MOVEMENT — goal already satisfied</x:v>
      </x:c>
      <x:c r="H146" s="10"/>
      <x:c r="I146" s="9" t="str">
        <x:f>'Evaluation Plan'!I146</x:f>
        <x:v>Goal already satisfied / no movement</x:v>
      </x:c>
      <x:c r="J146" s="9" t="str">
        <x:f>'Evaluation Plan'!J146</x:f>
        <x:v>SZ-NOOP-3-4</x:v>
      </x:c>
      <x:c r="K146" s="9" t="str">
        <x:f>'Evaluation Plan'!K146</x:f>
        <x:v>largest</x:v>
      </x:c>
      <x:c r="L146" s="9" t="str">
        <x:f>'Evaluation Plan'!L146</x:f>
        <x:v>Trained largest × juggling ball; target already in bowl</x:v>
      </x:c>
      <x:c r="M146" s="9" t="str">
        <x:f>'Evaluation Plan'!M146</x:f>
        <x:v>juggling ball</x:v>
      </x:c>
      <x:c r="N146" s="9" t="str">
        <x:f>'Evaluation Plan'!N146</x:f>
        <x:v>In bowl</x:v>
      </x:c>
      <x:c r="O146" s="9" t="n">
        <x:f>'Evaluation Plan'!O146</x:f>
        <x:v>3</x:v>
      </x:c>
      <x:c r="P146" s="9" t="str">
        <x:f>IF(ISBLANK('Evaluation Plan'!P146),"",'Evaluation Plan'!P146)</x:f>
      </x:c>
      <x:c r="Q146" s="9" t="str">
        <x:f>'Evaluation Plan'!Q146</x:f>
        <x:v>Place the target in the bowl before starting; arrange the listed distractors on the table.</x:v>
      </x:c>
      <x:c r="R146" s="10" t="str">
        <x:f>'Evaluation Plan'!R146</x:f>
        <x:v>Normal training-supported size wording is retained, so no-movement behavior is not correlated with a special phrase. Success requires no object contact or displacement.</x:v>
      </x:c>
      <x:c r="S146" s="10" t="str">
        <x:f>IF(ISBLANK('Evaluation Plan'!S146),"",'Evaluation Plan'!S146)</x:f>
      </x:c>
    </x:row>
    <x:row r="147" ht="68" customHeight="1">
      <x:c r="A147" s="9" t="str">
        <x:v>Not collected</x:v>
      </x:c>
      <x:c r="B147" s="9" t="n">
        <x:f>'Evaluation Plan'!B147</x:f>
        <x:v>145</x:v>
      </x:c>
      <x:c r="C147" s="10" t="str">
        <x:f>'Evaluation Plan'!C147</x:f>
        <x:v>Move the object that is largest into the bowl.</x:v>
      </x:c>
      <x:c r="D147" s="10" t="str">
        <x:f>'Evaluation Plan'!D147</x:f>
        <x:v>Bowl: crushed Pepsi can. Table: green block; juggling ball; red pencil sharpener. row shifted 4 cm toward robot-left; every object fully visible. The requested extremal object is already in the bowl.</x:v>
      </x:c>
      <x:c r="E147" s="9" t="str">
        <x:f>IF(ISBLANK('Evaluation Plan'!E147),"",'Evaluation Plan'!E147)</x:f>
      </x:c>
      <x:c r="F147" s="9" t="str">
        <x:f>'Evaluation Plan'!F147</x:f>
        <x:v>1163</x:v>
      </x:c>
      <x:c r="G147" s="9" t="str">
        <x:f>'Evaluation Plan'!G147</x:f>
        <x:v>NO MOVEMENT — goal already satisfied</x:v>
      </x:c>
      <x:c r="H147" s="10"/>
      <x:c r="I147" s="9" t="str">
        <x:f>'Evaluation Plan'!I147</x:f>
        <x:v>Goal already satisfied / no movement</x:v>
      </x:c>
      <x:c r="J147" s="9" t="str">
        <x:f>'Evaluation Plan'!J147</x:f>
        <x:v>SZ-NOOP-4-4</x:v>
      </x:c>
      <x:c r="K147" s="9" t="str">
        <x:f>'Evaluation Plan'!K147</x:f>
        <x:v>largest</x:v>
      </x:c>
      <x:c r="L147" s="9" t="str">
        <x:f>'Evaluation Plan'!L147</x:f>
        <x:v>Trained largest × crushed Pepsi can; target already in bowl</x:v>
      </x:c>
      <x:c r="M147" s="9" t="str">
        <x:f>'Evaluation Plan'!M147</x:f>
        <x:v>crushed Pepsi can</x:v>
      </x:c>
      <x:c r="N147" s="9" t="str">
        <x:f>'Evaluation Plan'!N147</x:f>
        <x:v>In bowl</x:v>
      </x:c>
      <x:c r="O147" s="9" t="n">
        <x:f>'Evaluation Plan'!O147</x:f>
        <x:v>4</x:v>
      </x:c>
      <x:c r="P147" s="9" t="str">
        <x:f>IF(ISBLANK('Evaluation Plan'!P147),"",'Evaluation Plan'!P147)</x:f>
      </x:c>
      <x:c r="Q147" s="9" t="str">
        <x:f>'Evaluation Plan'!Q147</x:f>
        <x:v>Place the target in the bowl before starting; arrange the listed distractors on the table.</x:v>
      </x:c>
      <x:c r="R147" s="10" t="str">
        <x:f>'Evaluation Plan'!R147</x:f>
        <x:v>Normal training-supported size wording is retained, so no-movement behavior is not correlated with a special phrase. Success requires no object contact or displacement.</x:v>
      </x:c>
      <x:c r="S147" s="10" t="str">
        <x:f>IF(ISBLANK('Evaluation Plan'!S147),"",'Evaluation Plan'!S147)</x:f>
      </x:c>
    </x:row>
    <x:row r="148" ht="68" customHeight="1">
      <x:c r="A148" s="9" t="str">
        <x:v>Not collected</x:v>
      </x:c>
      <x:c r="B148" s="9" t="n">
        <x:f>'Evaluation Plan'!B148</x:f>
        <x:v>146</x:v>
      </x:c>
      <x:c r="C148" s="10" t="str">
        <x:f>'Evaluation Plan'!C148</x:f>
        <x:v>Pick up the smallest item and place it in the bowl.</x:v>
      </x:c>
      <x:c r="D148" s="10" t="str">
        <x:f>'Evaluation Plan'!D148</x:f>
        <x:v>Bowl: red pencil sharpener. Table: crushed Pepsi can; green block; juggling ball. row shifted 4 cm away from the robot; every object fully visible. The requested extremal object is already in the bowl.</x:v>
      </x:c>
      <x:c r="E148" s="9" t="str">
        <x:f>IF(ISBLANK('Evaluation Plan'!E148),"",'Evaluation Plan'!E148)</x:f>
      </x:c>
      <x:c r="F148" s="9" t="str">
        <x:f>'Evaluation Plan'!F148</x:f>
        <x:v>1014</x:v>
      </x:c>
      <x:c r="G148" s="9" t="str">
        <x:f>'Evaluation Plan'!G148</x:f>
        <x:v>NO MOVEMENT — goal already satisfied</x:v>
      </x:c>
      <x:c r="H148" s="10"/>
      <x:c r="I148" s="9" t="str">
        <x:f>'Evaluation Plan'!I148</x:f>
        <x:v>Goal already satisfied / no movement</x:v>
      </x:c>
      <x:c r="J148" s="9" t="str">
        <x:f>'Evaluation Plan'!J148</x:f>
        <x:v>SZ-NOOP-1-5</x:v>
      </x:c>
      <x:c r="K148" s="9" t="str">
        <x:f>'Evaluation Plan'!K148</x:f>
        <x:v>smallest</x:v>
      </x:c>
      <x:c r="L148" s="9" t="str">
        <x:f>'Evaluation Plan'!L148</x:f>
        <x:v>Trained smallest × red pencil sharpener; target already in bowl</x:v>
      </x:c>
      <x:c r="M148" s="9" t="str">
        <x:f>'Evaluation Plan'!M148</x:f>
        <x:v>red pencil sharpener</x:v>
      </x:c>
      <x:c r="N148" s="9" t="str">
        <x:f>'Evaluation Plan'!N148</x:f>
        <x:v>In bowl</x:v>
      </x:c>
      <x:c r="O148" s="9" t="n">
        <x:f>'Evaluation Plan'!O148</x:f>
        <x:v>4</x:v>
      </x:c>
      <x:c r="P148" s="9" t="str">
        <x:f>IF(ISBLANK('Evaluation Plan'!P148),"",'Evaluation Plan'!P148)</x:f>
      </x:c>
      <x:c r="Q148" s="9" t="str">
        <x:f>'Evaluation Plan'!Q148</x:f>
        <x:v>Place the target in the bowl before starting; arrange the listed distractors on the table.</x:v>
      </x:c>
      <x:c r="R148" s="10" t="str">
        <x:f>'Evaluation Plan'!R148</x:f>
        <x:v>Normal training-supported size wording is retained, so no-movement behavior is not correlated with a special phrase. Success requires no object contact or displacement.</x:v>
      </x:c>
      <x:c r="S148" s="10" t="str">
        <x:f>IF(ISBLANK('Evaluation Plan'!S148),"",'Evaluation Plan'!S148)</x:f>
      </x:c>
    </x:row>
    <x:row r="149" ht="68" customHeight="1">
      <x:c r="A149" s="9" t="str">
        <x:v>Not collected</x:v>
      </x:c>
      <x:c r="B149" s="9" t="n">
        <x:f>'Evaluation Plan'!B149</x:f>
        <x:v>147</x:v>
      </x:c>
      <x:c r="C149" s="10" t="str">
        <x:f>'Evaluation Plan'!C149</x:f>
        <x:v>Put the smallest object in the bowl.</x:v>
      </x:c>
      <x:c r="D149" s="10" t="str">
        <x:f>'Evaluation Plan'!D149</x:f>
        <x:v>Bowl: green block. Table: juggling ball; crushed Pepsi can. row centered on the workspace; every object fully visible. The requested extremal object is already in the bowl.</x:v>
      </x:c>
      <x:c r="E149" s="9" t="str">
        <x:f>IF(ISBLANK('Evaluation Plan'!E149),"",'Evaluation Plan'!E149)</x:f>
      </x:c>
      <x:c r="F149" s="9" t="str">
        <x:f>'Evaluation Plan'!F149</x:f>
        <x:v>1059</x:v>
      </x:c>
      <x:c r="G149" s="9" t="str">
        <x:f>'Evaluation Plan'!G149</x:f>
        <x:v>NO MOVEMENT — goal already satisfied</x:v>
      </x:c>
      <x:c r="H149" s="10"/>
      <x:c r="I149" s="9" t="str">
        <x:f>'Evaluation Plan'!I149</x:f>
        <x:v>Goal already satisfied / no movement</x:v>
      </x:c>
      <x:c r="J149" s="9" t="str">
        <x:f>'Evaluation Plan'!J149</x:f>
        <x:v>SZ-NOOP-2-5</x:v>
      </x:c>
      <x:c r="K149" s="9" t="str">
        <x:f>'Evaluation Plan'!K149</x:f>
        <x:v>smallest</x:v>
      </x:c>
      <x:c r="L149" s="9" t="str">
        <x:f>'Evaluation Plan'!L149</x:f>
        <x:v>Trained smallest × green block; target already in bowl</x:v>
      </x:c>
      <x:c r="M149" s="9" t="str">
        <x:f>'Evaluation Plan'!M149</x:f>
        <x:v>green block</x:v>
      </x:c>
      <x:c r="N149" s="9" t="str">
        <x:f>'Evaluation Plan'!N149</x:f>
        <x:v>In bowl</x:v>
      </x:c>
      <x:c r="O149" s="9" t="n">
        <x:f>'Evaluation Plan'!O149</x:f>
        <x:v>3</x:v>
      </x:c>
      <x:c r="P149" s="9" t="str">
        <x:f>IF(ISBLANK('Evaluation Plan'!P149),"",'Evaluation Plan'!P149)</x:f>
      </x:c>
      <x:c r="Q149" s="9" t="str">
        <x:f>'Evaluation Plan'!Q149</x:f>
        <x:v>Place the target in the bowl before starting; arrange the listed distractors on the table.</x:v>
      </x:c>
      <x:c r="R149" s="10" t="str">
        <x:f>'Evaluation Plan'!R149</x:f>
        <x:v>Normal training-supported size wording is retained, so no-movement behavior is not correlated with a special phrase. Success requires no object contact or displacement.</x:v>
      </x:c>
      <x:c r="S149" s="10" t="str">
        <x:f>IF(ISBLANK('Evaluation Plan'!S149),"",'Evaluation Plan'!S149)</x:f>
      </x:c>
    </x:row>
    <x:row r="150" ht="68" customHeight="1">
      <x:c r="A150" s="9" t="str">
        <x:v>Not collected</x:v>
      </x:c>
      <x:c r="B150" s="9" t="n">
        <x:f>'Evaluation Plan'!B150</x:f>
        <x:v>148</x:v>
      </x:c>
      <x:c r="C150" s="10" t="str">
        <x:f>'Evaluation Plan'!C150</x:f>
        <x:v>Move the object that is largest into the bowl.</x:v>
      </x:c>
      <x:c r="D150" s="10" t="str">
        <x:f>'Evaluation Plan'!D150</x:f>
        <x:v>Bowl: juggling ball. Table: red pencil sharpener; green block. row shifted 4 cm toward robot-left; every object fully visible. The requested extremal object is already in the bowl.</x:v>
      </x:c>
      <x:c r="E150" s="9" t="str">
        <x:f>IF(ISBLANK('Evaluation Plan'!E150),"",'Evaluation Plan'!E150)</x:f>
      </x:c>
      <x:c r="F150" s="9" t="str">
        <x:f>'Evaluation Plan'!F150</x:f>
        <x:v>1134</x:v>
      </x:c>
      <x:c r="G150" s="9" t="str">
        <x:f>'Evaluation Plan'!G150</x:f>
        <x:v>NO MOVEMENT — goal already satisfied</x:v>
      </x:c>
      <x:c r="H150" s="10"/>
      <x:c r="I150" s="9" t="str">
        <x:f>'Evaluation Plan'!I150</x:f>
        <x:v>Goal already satisfied / no movement</x:v>
      </x:c>
      <x:c r="J150" s="9" t="str">
        <x:f>'Evaluation Plan'!J150</x:f>
        <x:v>SZ-NOOP-3-5</x:v>
      </x:c>
      <x:c r="K150" s="9" t="str">
        <x:f>'Evaluation Plan'!K150</x:f>
        <x:v>largest</x:v>
      </x:c>
      <x:c r="L150" s="9" t="str">
        <x:f>'Evaluation Plan'!L150</x:f>
        <x:v>Trained largest × juggling ball; target already in bowl</x:v>
      </x:c>
      <x:c r="M150" s="9" t="str">
        <x:f>'Evaluation Plan'!M150</x:f>
        <x:v>juggling ball</x:v>
      </x:c>
      <x:c r="N150" s="9" t="str">
        <x:f>'Evaluation Plan'!N150</x:f>
        <x:v>In bowl</x:v>
      </x:c>
      <x:c r="O150" s="9" t="n">
        <x:f>'Evaluation Plan'!O150</x:f>
        <x:v>3</x:v>
      </x:c>
      <x:c r="P150" s="9" t="str">
        <x:f>IF(ISBLANK('Evaluation Plan'!P150),"",'Evaluation Plan'!P150)</x:f>
      </x:c>
      <x:c r="Q150" s="9" t="str">
        <x:f>'Evaluation Plan'!Q150</x:f>
        <x:v>Place the target in the bowl before starting; arrange the listed distractors on the table.</x:v>
      </x:c>
      <x:c r="R150" s="10" t="str">
        <x:f>'Evaluation Plan'!R150</x:f>
        <x:v>Normal training-supported size wording is retained, so no-movement behavior is not correlated with a special phrase. Success requires no object contact or displacement.</x:v>
      </x:c>
      <x:c r="S150" s="10" t="str">
        <x:f>IF(ISBLANK('Evaluation Plan'!S150),"",'Evaluation Plan'!S150)</x:f>
      </x:c>
    </x:row>
    <x:row r="151" ht="68" customHeight="1">
      <x:c r="A151" s="9" t="str">
        <x:v>Not collected</x:v>
      </x:c>
      <x:c r="B151" s="9" t="n">
        <x:f>'Evaluation Plan'!B151</x:f>
        <x:v>149</x:v>
      </x:c>
      <x:c r="C151" s="10" t="str">
        <x:f>'Evaluation Plan'!C151</x:f>
        <x:v>Pick up the largest item and place it in the bowl.</x:v>
      </x:c>
      <x:c r="D151" s="10" t="str">
        <x:f>'Evaluation Plan'!D151</x:f>
        <x:v>Bowl: crushed Pepsi can. Table: juggling ball; red pencil sharpener; green block. row shifted 4 cm toward robot-right; every object fully visible. The requested extremal object is already in the bowl.</x:v>
      </x:c>
      <x:c r="E151" s="9" t="str">
        <x:f>IF(ISBLANK('Evaluation Plan'!E151),"",'Evaluation Plan'!E151)</x:f>
      </x:c>
      <x:c r="F151" s="9" t="str">
        <x:f>'Evaluation Plan'!F151</x:f>
        <x:v>1164</x:v>
      </x:c>
      <x:c r="G151" s="9" t="str">
        <x:f>'Evaluation Plan'!G151</x:f>
        <x:v>NO MOVEMENT — goal already satisfied</x:v>
      </x:c>
      <x:c r="H151" s="10"/>
      <x:c r="I151" s="9" t="str">
        <x:f>'Evaluation Plan'!I151</x:f>
        <x:v>Goal already satisfied / no movement</x:v>
      </x:c>
      <x:c r="J151" s="9" t="str">
        <x:f>'Evaluation Plan'!J151</x:f>
        <x:v>SZ-NOOP-4-5</x:v>
      </x:c>
      <x:c r="K151" s="9" t="str">
        <x:f>'Evaluation Plan'!K151</x:f>
        <x:v>largest</x:v>
      </x:c>
      <x:c r="L151" s="9" t="str">
        <x:f>'Evaluation Plan'!L151</x:f>
        <x:v>Trained largest × crushed Pepsi can; target already in bowl</x:v>
      </x:c>
      <x:c r="M151" s="9" t="str">
        <x:f>'Evaluation Plan'!M151</x:f>
        <x:v>crushed Pepsi can</x:v>
      </x:c>
      <x:c r="N151" s="9" t="str">
        <x:f>'Evaluation Plan'!N151</x:f>
        <x:v>In bowl</x:v>
      </x:c>
      <x:c r="O151" s="9" t="n">
        <x:f>'Evaluation Plan'!O151</x:f>
        <x:v>4</x:v>
      </x:c>
      <x:c r="P151" s="9" t="str">
        <x:f>IF(ISBLANK('Evaluation Plan'!P151),"",'Evaluation Plan'!P151)</x:f>
      </x:c>
      <x:c r="Q151" s="9" t="str">
        <x:f>'Evaluation Plan'!Q151</x:f>
        <x:v>Place the target in the bowl before starting; arrange the listed distractors on the table.</x:v>
      </x:c>
      <x:c r="R151" s="10" t="str">
        <x:f>'Evaluation Plan'!R151</x:f>
        <x:v>Normal training-supported size wording is retained, so no-movement behavior is not correlated with a special phrase. Success requires no object contact or displacement.</x:v>
      </x:c>
      <x:c r="S151" s="10" t="str">
        <x:f>IF(ISBLANK('Evaluation Plan'!S151),"",'Evaluation Plan'!S151)</x:f>
      </x:c>
    </x:row>
  </x:sheetData>
  <x:conditionalFormatting sqref="A2:S151">
    <x:cfRule type="expression" dxfId="10" priority="1">
      <x:formula>$A2="Success"</x:formula>
    </x:cfRule>
    <x:cfRule type="expression" dxfId="11" priority="2">
      <x:formula>$A2="Failure"</x:formula>
    </x:cfRule>
  </x:conditionalFormatting>
  <x:conditionalFormatting sqref="I2:I151">
    <x:cfRule type="containsText" dxfId="12" priority="3" operator="containsText" text="In-distribution"/>
    <x:cfRule type="containsText" dxfId="13" priority="4" operator="containsText" text="Concept/compositional"/>
    <x:cfRule type="containsText" dxfId="14" priority="5" operator="containsText" text="Matched manipulation"/>
    <x:cfRule type="containsText" dxfId="15" priority="6" operator="containsText" text="Language robustness"/>
    <x:cfRule type="containsText" dxfId="16" priority="7" operator="containsText" text="Cross-task"/>
    <x:cfRule type="containsText" dxfId="17" priority="8" operator="containsText" text="Goal already"/>
  </x:conditionalFormatting>
  <x:dataValidations count="1">
    <x:dataValidation type="list" sqref="A2:A151">
      <x:formula1>"Not collected,Success,Failure"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cf43081896d4f0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9" hidden="0" customWidth="1"/>
    <x:col min="3" max="3" width="51" hidden="0" customWidth="1"/>
    <x:col min="4" max="4" width="78" hidden="0" customWidth="1"/>
    <x:col min="5" max="5" width="14" hidden="0" customWidth="1"/>
    <x:col min="6" max="6" width="24" hidden="0" customWidth="1"/>
    <x:col min="7" max="7" width="34" hidden="0" customWidth="1"/>
    <x:col min="8" max="8" width="42" hidden="0" customWidth="1"/>
    <x:col min="9" max="9" width="33" hidden="0" customWidth="1"/>
    <x:col min="10" max="10" width="18" hidden="0" customWidth="1"/>
    <x:col min="11" max="11" width="13" hidden="0" customWidth="1"/>
    <x:col min="12" max="12" width="50" hidden="0" customWidth="1"/>
    <x:col min="13" max="13" width="34" hidden="0" customWidth="1"/>
    <x:col min="14" max="14" width="12" hidden="0" customWidth="1"/>
    <x:col min="15" max="15" width="12" hidden="0" customWidth="1"/>
    <x:col min="16" max="16" width="14" hidden="0" customWidth="1"/>
    <x:col min="17" max="17" width="64" hidden="0" customWidth="1"/>
    <x:col min="18" max="18" width="80" hidden="0" customWidth="1"/>
    <x:col min="19" max="19" width="30" hidden="0" customWidth="1"/>
  </x:cols>
  <x:sheetData>
    <x:row r="1" ht="40" customHeight="1">
      <x:c r="A1" s="5" t="str">
        <x:v>Status</x:v>
      </x:c>
      <x:c r="B1" s="5" t="str">
        <x:v>Episode</x:v>
      </x:c>
      <x:c r="C1" s="5" t="str">
        <x:v>Prompt</x:v>
      </x:c>
      <x:c r="D1" s="5" t="str">
        <x:v>Scene Setup</x:v>
      </x:c>
      <x:c r="E1" s="5" t="str">
        <x:v>Reference Episode</x:v>
      </x:c>
      <x:c r="F1" s="5" t="str">
        <x:v>Original Training Episode(s)</x:v>
      </x:c>
      <x:c r="G1" s="5" t="str">
        <x:v>Expected Target / Action</x:v>
      </x:c>
      <x:c r="H1" s="5" t="str">
        <x:v>Observations</x:v>
      </x:c>
      <x:c r="I1" s="5" t="str">
        <x:v>Condition</x:v>
      </x:c>
      <x:c r="J1" s="5" t="str">
        <x:v>Scene Family</x:v>
      </x:c>
      <x:c r="K1" s="5" t="str">
        <x:v>Comparison</x:v>
      </x:c>
      <x:c r="L1" s="5" t="str">
        <x:v>Tested Cell / Role</x:v>
      </x:c>
      <x:c r="M1" s="5" t="str">
        <x:v>Target Object</x:v>
      </x:c>
      <x:c r="N1" s="5" t="str">
        <x:v>Target Side</x:v>
      </x:c>
      <x:c r="O1" s="5" t="str">
        <x:v>Object Count</x:v>
      </x:c>
      <x:c r="P1" s="5" t="str">
        <x:v>Separation (cm)</x:v>
      </x:c>
      <x:c r="Q1" s="5" t="str">
        <x:v>Setup Change from Previous</x:v>
      </x:c>
      <x:c r="R1" s="5" t="str">
        <x:v>Design Note</x:v>
      </x:c>
      <x:c r="S1" s="5" t="str">
        <x:v>Reference Media Filename</x:v>
      </x:c>
    </x:row>
    <x:row r="2" ht="68" customHeight="1">
      <x:c r="A2" s="9" t="str">
        <x:v>Not collected</x:v>
      </x:c>
      <x:c r="B2" s="9" t="n">
        <x:f>'Evaluation Plan'!B2</x:f>
        <x:v>0</x:v>
      </x:c>
      <x:c r="C2" s="10" t="str">
        <x:f>'Evaluation Plan'!C2</x:f>
        <x:v>Move the object that is smallest into the bowl.</x:v>
      </x:c>
      <x:c r="D2" s="10" t="str">
        <x:f>'Evaluation Plan'!D2</x:f>
        <x:v>Bowl: empty. Table, robot-left→robot-right: P1 red pencil sharpener; P2 green block; P3 juggling ball; P4 crushed Pepsi can. Adjacent centers 8 cm apart; row centered on the workspace; all objects fully visible and grasp paths clear.</x:v>
      </x:c>
      <x:c r="E2" s="9" t="str">
        <x:f>IF(ISBLANK('Evaluation Plan'!E2),"",'Evaluation Plan'!E2)</x:f>
      </x:c>
      <x:c r="F2" s="9" t="str">
        <x:f>'Evaluation Plan'!F2</x:f>
        <x:v>1005</x:v>
      </x:c>
      <x:c r="G2" s="9" t="str">
        <x:f>'Evaluation Plan'!G2</x:f>
        <x:v>MOVE red pencil sharpener to bowl</x:v>
      </x:c>
      <x:c r="H2" s="10"/>
      <x:c r="I2" s="9" t="str">
        <x:f>'Evaluation Plan'!I2</x:f>
        <x:v>In-distribution concept baseline</x:v>
      </x:c>
      <x:c r="J2" s="9" t="str">
        <x:f>'Evaluation Plan'!J2</x:f>
        <x:v>SZ-ID-SH01</x:v>
      </x:c>
      <x:c r="K2" s="9" t="str">
        <x:f>'Evaluation Plan'!K2</x:f>
        <x:v>smallest</x:v>
      </x:c>
      <x:c r="L2" s="9" t="str">
        <x:f>'Evaluation Plan'!L2</x:f>
        <x:v>Explicitly trained smallest × red pencil sharpener</x:v>
      </x:c>
      <x:c r="M2" s="9" t="str">
        <x:f>'Evaluation Plan'!M2</x:f>
        <x:v>red pencil sharpener</x:v>
      </x:c>
      <x:c r="N2" s="9" t="str">
        <x:f>'Evaluation Plan'!N2</x:f>
        <x:v>Left</x:v>
      </x:c>
      <x:c r="O2" s="9" t="n">
        <x:f>'Evaluation Plan'!O2</x:f>
        <x:v>4</x:v>
      </x:c>
      <x:c r="P2" s="9" t="n">
        <x:f>IF(ISBLANK('Evaluation Plan'!P2),"",'Evaluation Plan'!P2)</x:f>
        <x:v>8</x:v>
      </x:c>
      <x:c r="Q2" s="9" t="str">
        <x:f>'Evaluation Plan'!Q2</x:f>
        <x:v>Build the listed manifest-supported scene.</x:v>
      </x:c>
      <x:c r="R2" s="10" t="str">
        <x:f>'Evaluation Plan'!R2</x:f>
        <x:v>Exact prompt and object composition from training episode 1005; this establishes the familiar smallest × red pencil sharpener cell.</x:v>
      </x:c>
      <x:c r="S2" s="10" t="str">
        <x:f>IF(ISBLANK('Evaluation Plan'!S2),"",'Evaluation Plan'!S2)</x:f>
      </x:c>
    </x:row>
    <x:row r="3" ht="68" customHeight="1">
      <x:c r="A3" s="9" t="str">
        <x:v>Not collected</x:v>
      </x:c>
      <x:c r="B3" s="9" t="n">
        <x:f>'Evaluation Plan'!B3</x:f>
        <x:v>1</x:v>
      </x:c>
      <x:c r="C3" s="10" t="str">
        <x:f>'Evaluation Plan'!C3</x:f>
        <x:v>Pick up the smallest item and place it in the bowl.</x:v>
      </x:c>
      <x:c r="D3" s="10" t="str">
        <x:f>'Evaluation Plan'!D3</x:f>
        <x:v>Bowl: empty. Table, robot-left→robot-right: P1 crushed Pepsi can; P2 juggling ball; P3 green block. Adjacent centers 12 cm apart; row shifted 4 cm toward robot-left; all objects fully visible and grasp paths clear.</x:v>
      </x:c>
      <x:c r="E3" s="9" t="str">
        <x:f>IF(ISBLANK('Evaluation Plan'!E3),"",'Evaluation Plan'!E3)</x:f>
      </x:c>
      <x:c r="F3" s="9" t="str">
        <x:f>'Evaluation Plan'!F3</x:f>
        <x:v>1050</x:v>
      </x:c>
      <x:c r="G3" s="9" t="str">
        <x:f>'Evaluation Plan'!G3</x:f>
        <x:v>MOVE green block to bowl</x:v>
      </x:c>
      <x:c r="H3" s="10"/>
      <x:c r="I3" s="9" t="str">
        <x:f>'Evaluation Plan'!I3</x:f>
        <x:v>In-distribution concept baseline</x:v>
      </x:c>
      <x:c r="J3" s="9" t="str">
        <x:f>'Evaluation Plan'!J3</x:f>
        <x:v>SZ-ID-GB01</x:v>
      </x:c>
      <x:c r="K3" s="9" t="str">
        <x:f>'Evaluation Plan'!K3</x:f>
        <x:v>smallest</x:v>
      </x:c>
      <x:c r="L3" s="9" t="str">
        <x:f>'Evaluation Plan'!L3</x:f>
        <x:v>Explicitly trained smallest × green block</x:v>
      </x:c>
      <x:c r="M3" s="9" t="str">
        <x:f>'Evaluation Plan'!M3</x:f>
        <x:v>green block</x:v>
      </x:c>
      <x:c r="N3" s="9" t="str">
        <x:f>'Evaluation Plan'!N3</x:f>
        <x:v>Right</x:v>
      </x:c>
      <x:c r="O3" s="9" t="n">
        <x:f>'Evaluation Plan'!O3</x:f>
        <x:v>3</x:v>
      </x:c>
      <x:c r="P3" s="9" t="n">
        <x:f>IF(ISBLANK('Evaluation Plan'!P3),"",'Evaluation Plan'!P3)</x:f>
        <x:v>12</x:v>
      </x:c>
      <x:c r="Q3" s="9" t="str">
        <x:f>'Evaluation Plan'!Q3</x:f>
        <x:v>Build the listed manifest-supported scene.</x:v>
      </x:c>
      <x:c r="R3" s="10" t="str">
        <x:f>'Evaluation Plan'!R3</x:f>
        <x:v>Exact prompt and object composition from training episode 1050; this establishes the familiar smallest × green block cell.</x:v>
      </x:c>
      <x:c r="S3" s="10" t="str">
        <x:f>IF(ISBLANK('Evaluation Plan'!S3),"",'Evaluation Plan'!S3)</x:f>
      </x:c>
    </x:row>
    <x:row r="4" ht="68" customHeight="1">
      <x:c r="A4" s="9" t="str">
        <x:v>Not collected</x:v>
      </x:c>
      <x:c r="B4" s="9" t="n">
        <x:f>'Evaluation Plan'!B4</x:f>
        <x:v>2</x:v>
      </x:c>
      <x:c r="C4" s="10" t="str">
        <x:f>'Evaluation Plan'!C4</x:f>
        <x:v>Put the largest object in the bowl.</x:v>
      </x:c>
      <x:c r="D4" s="10" t="str">
        <x:f>'Evaluation Plan'!D4</x:f>
        <x:v>Bowl: empty. Table, robot-left→robot-right: P1 juggling ball; P2 red pencil sharpener; P3 green block. Adjacent centers 16 cm apart; row shifted 4 cm toward robot-right; all objects fully visible and grasp paths clear.</x:v>
      </x:c>
      <x:c r="E4" s="9" t="str">
        <x:f>IF(ISBLANK('Evaluation Plan'!E4),"",'Evaluation Plan'!E4)</x:f>
      </x:c>
      <x:c r="F4" s="9" t="str">
        <x:f>'Evaluation Plan'!F4</x:f>
        <x:v>1125</x:v>
      </x:c>
      <x:c r="G4" s="9" t="str">
        <x:f>'Evaluation Plan'!G4</x:f>
        <x:v>MOVE juggling ball to bowl</x:v>
      </x:c>
      <x:c r="H4" s="10"/>
      <x:c r="I4" s="9" t="str">
        <x:f>'Evaluation Plan'!I4</x:f>
        <x:v>In-distribution concept baseline</x:v>
      </x:c>
      <x:c r="J4" s="9" t="str">
        <x:f>'Evaluation Plan'!J4</x:f>
        <x:v>SZ-ID-JB01</x:v>
      </x:c>
      <x:c r="K4" s="9" t="str">
        <x:f>'Evaluation Plan'!K4</x:f>
        <x:v>largest</x:v>
      </x:c>
      <x:c r="L4" s="9" t="str">
        <x:f>'Evaluation Plan'!L4</x:f>
        <x:v>Explicitly trained largest × juggling ball</x:v>
      </x:c>
      <x:c r="M4" s="9" t="str">
        <x:f>'Evaluation Plan'!M4</x:f>
        <x:v>juggling ball</x:v>
      </x:c>
      <x:c r="N4" s="9" t="str">
        <x:f>'Evaluation Plan'!N4</x:f>
        <x:v>Left</x:v>
      </x:c>
      <x:c r="O4" s="9" t="n">
        <x:f>'Evaluation Plan'!O4</x:f>
        <x:v>3</x:v>
      </x:c>
      <x:c r="P4" s="9" t="n">
        <x:f>IF(ISBLANK('Evaluation Plan'!P4),"",'Evaluation Plan'!P4)</x:f>
        <x:v>16</x:v>
      </x:c>
      <x:c r="Q4" s="9" t="str">
        <x:f>'Evaluation Plan'!Q4</x:f>
        <x:v>Build the listed manifest-supported scene.</x:v>
      </x:c>
      <x:c r="R4" s="10" t="str">
        <x:f>'Evaluation Plan'!R4</x:f>
        <x:v>Exact prompt and object composition from training episode 1125; this establishes the familiar largest × juggling ball cell.</x:v>
      </x:c>
      <x:c r="S4" s="10" t="str">
        <x:f>IF(ISBLANK('Evaluation Plan'!S4),"",'Evaluation Plan'!S4)</x:f>
      </x:c>
    </x:row>
    <x:row r="5" ht="68" customHeight="1">
      <x:c r="A5" s="9" t="str">
        <x:v>Not collected</x:v>
      </x:c>
      <x:c r="B5" s="9" t="n">
        <x:f>'Evaluation Plan'!B5</x:f>
        <x:v>3</x:v>
      </x:c>
      <x:c r="C5" s="10" t="str">
        <x:f>'Evaluation Plan'!C5</x:f>
        <x:v>Pick up the largest item and place it in the bowl.</x:v>
      </x:c>
      <x:c r="D5" s="10" t="str">
        <x:f>'Evaluation Plan'!D5</x:f>
        <x:v>Bowl: empty. Table, robot-left→robot-right: P1 red pencil sharpener; P2 green block; P3 juggling ball; P4 crushed Pepsi can. Adjacent centers 8 cm apart; row shifted 4 cm toward the robot; all objects fully visible and grasp paths clear.</x:v>
      </x:c>
      <x:c r="E5" s="9" t="str">
        <x:f>IF(ISBLANK('Evaluation Plan'!E5),"",'Evaluation Plan'!E5)</x:f>
      </x:c>
      <x:c r="F5" s="9" t="str">
        <x:f>'Evaluation Plan'!F5</x:f>
        <x:v>1155</x:v>
      </x:c>
      <x:c r="G5" s="9" t="str">
        <x:f>'Evaluation Plan'!G5</x:f>
        <x:v>MOVE crushed Pepsi can to bowl</x:v>
      </x:c>
      <x:c r="H5" s="10"/>
      <x:c r="I5" s="9" t="str">
        <x:f>'Evaluation Plan'!I5</x:f>
        <x:v>In-distribution concept baseline</x:v>
      </x:c>
      <x:c r="J5" s="9" t="str">
        <x:f>'Evaluation Plan'!J5</x:f>
        <x:v>SZ-ID-PC01</x:v>
      </x:c>
      <x:c r="K5" s="9" t="str">
        <x:f>'Evaluation Plan'!K5</x:f>
        <x:v>largest</x:v>
      </x:c>
      <x:c r="L5" s="9" t="str">
        <x:f>'Evaluation Plan'!L5</x:f>
        <x:v>Explicitly trained largest × crushed Pepsi can</x:v>
      </x:c>
      <x:c r="M5" s="9" t="str">
        <x:f>'Evaluation Plan'!M5</x:f>
        <x:v>crushed Pepsi can</x:v>
      </x:c>
      <x:c r="N5" s="9" t="str">
        <x:f>'Evaluation Plan'!N5</x:f>
        <x:v>Right</x:v>
      </x:c>
      <x:c r="O5" s="9" t="n">
        <x:f>'Evaluation Plan'!O5</x:f>
        <x:v>4</x:v>
      </x:c>
      <x:c r="P5" s="9" t="n">
        <x:f>IF(ISBLANK('Evaluation Plan'!P5),"",'Evaluation Plan'!P5)</x:f>
        <x:v>8</x:v>
      </x:c>
      <x:c r="Q5" s="9" t="str">
        <x:f>'Evaluation Plan'!Q5</x:f>
        <x:v>Build the listed manifest-supported scene.</x:v>
      </x:c>
      <x:c r="R5" s="10" t="str">
        <x:f>'Evaluation Plan'!R5</x:f>
        <x:v>Exact prompt and object composition from training episode 1155; this establishes the familiar largest × crushed Pepsi can cell.</x:v>
      </x:c>
      <x:c r="S5" s="10" t="str">
        <x:f>IF(ISBLANK('Evaluation Plan'!S5),"",'Evaluation Plan'!S5)</x:f>
      </x:c>
    </x:row>
    <x:row r="6" ht="68" customHeight="1">
      <x:c r="A6" s="9" t="str">
        <x:v>Not collected</x:v>
      </x:c>
      <x:c r="B6" s="9" t="n">
        <x:f>'Evaluation Plan'!B6</x:f>
        <x:v>4</x:v>
      </x:c>
      <x:c r="C6" s="10" t="str">
        <x:f>'Evaluation Plan'!C6</x:f>
        <x:v>Pick up the smallest item and place it in the bowl.</x:v>
      </x:c>
      <x:c r="D6" s="10" t="str">
        <x:f>'Evaluation Plan'!D6</x:f>
        <x:v>Bowl: empty. Table, robot-left→robot-right: P1 juggling ball; P2 crushed Pepsi can; P3 green block; P4 red pencil sharpener. Adjacent centers 12 cm apart; row shifted 4 cm toward robot-left; all objects fully visible and grasp paths clear.</x:v>
      </x:c>
      <x:c r="E6" s="9" t="str">
        <x:f>IF(ISBLANK('Evaluation Plan'!E6),"",'Evaluation Plan'!E6)</x:f>
      </x:c>
      <x:c r="F6" s="9" t="str">
        <x:f>'Evaluation Plan'!F6</x:f>
        <x:v>1006</x:v>
      </x:c>
      <x:c r="G6" s="9" t="str">
        <x:f>'Evaluation Plan'!G6</x:f>
        <x:v>MOVE red pencil sharpener to bowl</x:v>
      </x:c>
      <x:c r="H6" s="10"/>
      <x:c r="I6" s="9" t="str">
        <x:f>'Evaluation Plan'!I6</x:f>
        <x:v>In-distribution concept baseline</x:v>
      </x:c>
      <x:c r="J6" s="9" t="str">
        <x:f>'Evaluation Plan'!J6</x:f>
        <x:v>SZ-ID-SH02</x:v>
      </x:c>
      <x:c r="K6" s="9" t="str">
        <x:f>'Evaluation Plan'!K6</x:f>
        <x:v>smallest</x:v>
      </x:c>
      <x:c r="L6" s="9" t="str">
        <x:f>'Evaluation Plan'!L6</x:f>
        <x:v>Explicitly trained smallest × red pencil sharpener</x:v>
      </x:c>
      <x:c r="M6" s="9" t="str">
        <x:f>'Evaluation Plan'!M6</x:f>
        <x:v>red pencil sharpener</x:v>
      </x:c>
      <x:c r="N6" s="9" t="str">
        <x:f>'Evaluation Plan'!N6</x:f>
        <x:v>Right</x:v>
      </x:c>
      <x:c r="O6" s="9" t="n">
        <x:f>'Evaluation Plan'!O6</x:f>
        <x:v>4</x:v>
      </x:c>
      <x:c r="P6" s="9" t="n">
        <x:f>IF(ISBLANK('Evaluation Plan'!P6),"",'Evaluation Plan'!P6)</x:f>
        <x:v>12</x:v>
      </x:c>
      <x:c r="Q6" s="9" t="str">
        <x:f>'Evaluation Plan'!Q6</x:f>
        <x:v>Build the listed manifest-supported scene.</x:v>
      </x:c>
      <x:c r="R6" s="10" t="str">
        <x:f>'Evaluation Plan'!R6</x:f>
        <x:v>Exact prompt and object composition from training episode 1006; this establishes the familiar smallest × red pencil sharpener cell.</x:v>
      </x:c>
      <x:c r="S6" s="10" t="str">
        <x:f>IF(ISBLANK('Evaluation Plan'!S6),"",'Evaluation Plan'!S6)</x:f>
      </x:c>
    </x:row>
    <x:row r="7" ht="68" customHeight="1">
      <x:c r="A7" s="9" t="str">
        <x:v>Not collected</x:v>
      </x:c>
      <x:c r="B7" s="9" t="n">
        <x:f>'Evaluation Plan'!B7</x:f>
        <x:v>5</x:v>
      </x:c>
      <x:c r="C7" s="10" t="str">
        <x:f>'Evaluation Plan'!C7</x:f>
        <x:v>Pick up the smallest item and place it in the bowl.</x:v>
      </x:c>
      <x:c r="D7" s="10" t="str">
        <x:f>'Evaluation Plan'!D7</x:f>
        <x:v>Bowl: empty. Table, robot-left→robot-right: P1 green block; P2 juggling ball; P3 crushed Pepsi can. Adjacent centers 16 cm apart; row shifted 4 cm toward robot-right; all objects fully visible and grasp paths clear.</x:v>
      </x:c>
      <x:c r="E7" s="9" t="str">
        <x:f>IF(ISBLANK('Evaluation Plan'!E7),"",'Evaluation Plan'!E7)</x:f>
      </x:c>
      <x:c r="F7" s="9" t="str">
        <x:f>'Evaluation Plan'!F7</x:f>
        <x:v>1051</x:v>
      </x:c>
      <x:c r="G7" s="9" t="str">
        <x:f>'Evaluation Plan'!G7</x:f>
        <x:v>MOVE green block to bowl</x:v>
      </x:c>
      <x:c r="H7" s="10"/>
      <x:c r="I7" s="9" t="str">
        <x:f>'Evaluation Plan'!I7</x:f>
        <x:v>In-distribution concept baseline</x:v>
      </x:c>
      <x:c r="J7" s="9" t="str">
        <x:f>'Evaluation Plan'!J7</x:f>
        <x:v>SZ-ID-GB02</x:v>
      </x:c>
      <x:c r="K7" s="9" t="str">
        <x:f>'Evaluation Plan'!K7</x:f>
        <x:v>smallest</x:v>
      </x:c>
      <x:c r="L7" s="9" t="str">
        <x:f>'Evaluation Plan'!L7</x:f>
        <x:v>Explicitly trained smallest × green block</x:v>
      </x:c>
      <x:c r="M7" s="9" t="str">
        <x:f>'Evaluation Plan'!M7</x:f>
        <x:v>green block</x:v>
      </x:c>
      <x:c r="N7" s="9" t="str">
        <x:f>'Evaluation Plan'!N7</x:f>
        <x:v>Left</x:v>
      </x:c>
      <x:c r="O7" s="9" t="n">
        <x:f>'Evaluation Plan'!O7</x:f>
        <x:v>3</x:v>
      </x:c>
      <x:c r="P7" s="9" t="n">
        <x:f>IF(ISBLANK('Evaluation Plan'!P7),"",'Evaluation Plan'!P7)</x:f>
        <x:v>16</x:v>
      </x:c>
      <x:c r="Q7" s="9" t="str">
        <x:f>'Evaluation Plan'!Q7</x:f>
        <x:v>Build the listed manifest-supported scene.</x:v>
      </x:c>
      <x:c r="R7" s="10" t="str">
        <x:f>'Evaluation Plan'!R7</x:f>
        <x:v>Exact prompt and object composition from training episode 1051; this establishes the familiar smallest × green block cell.</x:v>
      </x:c>
      <x:c r="S7" s="10" t="str">
        <x:f>IF(ISBLANK('Evaluation Plan'!S7),"",'Evaluation Plan'!S7)</x:f>
      </x:c>
    </x:row>
    <x:row r="8" ht="68" customHeight="1">
      <x:c r="A8" s="9" t="str">
        <x:v>Not collected</x:v>
      </x:c>
      <x:c r="B8" s="9" t="n">
        <x:f>'Evaluation Plan'!B8</x:f>
        <x:v>6</x:v>
      </x:c>
      <x:c r="C8" s="10" t="str">
        <x:f>'Evaluation Plan'!C8</x:f>
        <x:v>Pick up the largest item and place it in the bowl.</x:v>
      </x:c>
      <x:c r="D8" s="10" t="str">
        <x:f>'Evaluation Plan'!D8</x:f>
        <x:v>Bowl: empty. Table, robot-left→robot-right: P1 green block; P2 red pencil sharpener; P3 juggling ball. Adjacent centers 8 cm apart; row shifted 4 cm toward the robot; all objects fully visible and grasp paths clear.</x:v>
      </x:c>
      <x:c r="E8" s="9" t="str">
        <x:f>IF(ISBLANK('Evaluation Plan'!E8),"",'Evaluation Plan'!E8)</x:f>
      </x:c>
      <x:c r="F8" s="9" t="str">
        <x:f>'Evaluation Plan'!F8</x:f>
        <x:v>1126</x:v>
      </x:c>
      <x:c r="G8" s="9" t="str">
        <x:f>'Evaluation Plan'!G8</x:f>
        <x:v>MOVE juggling ball to bowl</x:v>
      </x:c>
      <x:c r="H8" s="10"/>
      <x:c r="I8" s="9" t="str">
        <x:f>'Evaluation Plan'!I8</x:f>
        <x:v>In-distribution concept baseline</x:v>
      </x:c>
      <x:c r="J8" s="9" t="str">
        <x:f>'Evaluation Plan'!J8</x:f>
        <x:v>SZ-ID-JB02</x:v>
      </x:c>
      <x:c r="K8" s="9" t="str">
        <x:f>'Evaluation Plan'!K8</x:f>
        <x:v>largest</x:v>
      </x:c>
      <x:c r="L8" s="9" t="str">
        <x:f>'Evaluation Plan'!L8</x:f>
        <x:v>Explicitly trained largest × juggling ball</x:v>
      </x:c>
      <x:c r="M8" s="9" t="str">
        <x:f>'Evaluation Plan'!M8</x:f>
        <x:v>juggling ball</x:v>
      </x:c>
      <x:c r="N8" s="9" t="str">
        <x:f>'Evaluation Plan'!N8</x:f>
        <x:v>Right</x:v>
      </x:c>
      <x:c r="O8" s="9" t="n">
        <x:f>'Evaluation Plan'!O8</x:f>
        <x:v>3</x:v>
      </x:c>
      <x:c r="P8" s="9" t="n">
        <x:f>IF(ISBLANK('Evaluation Plan'!P8),"",'Evaluation Plan'!P8)</x:f>
        <x:v>8</x:v>
      </x:c>
      <x:c r="Q8" s="9" t="str">
        <x:f>'Evaluation Plan'!Q8</x:f>
        <x:v>Build the listed manifest-supported scene.</x:v>
      </x:c>
      <x:c r="R8" s="10" t="str">
        <x:f>'Evaluation Plan'!R8</x:f>
        <x:v>Exact prompt and object composition from training episode 1126; this establishes the familiar largest × juggling ball cell.</x:v>
      </x:c>
      <x:c r="S8" s="10" t="str">
        <x:f>IF(ISBLANK('Evaluation Plan'!S8),"",'Evaluation Plan'!S8)</x:f>
      </x:c>
    </x:row>
    <x:row r="9" ht="68" customHeight="1">
      <x:c r="A9" s="9" t="str">
        <x:v>Not collected</x:v>
      </x:c>
      <x:c r="B9" s="9" t="n">
        <x:f>'Evaluation Plan'!B9</x:f>
        <x:v>7</x:v>
      </x:c>
      <x:c r="C9" s="10" t="str">
        <x:f>'Evaluation Plan'!C9</x:f>
        <x:v>Move the object that is largest into the bowl.</x:v>
      </x:c>
      <x:c r="D9" s="10" t="str">
        <x:f>'Evaluation Plan'!D9</x:f>
        <x:v>Bowl: empty. Table, robot-left→robot-right: P1 crushed Pepsi can; P2 green block; P3 juggling ball; P4 red pencil sharpener. Adjacent centers 12 cm apart; row shifted 4 cm away from the robot; all objects fully visible and grasp paths clear.</x:v>
      </x:c>
      <x:c r="E9" s="9" t="str">
        <x:f>IF(ISBLANK('Evaluation Plan'!E9),"",'Evaluation Plan'!E9)</x:f>
      </x:c>
      <x:c r="F9" s="9" t="str">
        <x:f>'Evaluation Plan'!F9</x:f>
        <x:v>1156</x:v>
      </x:c>
      <x:c r="G9" s="9" t="str">
        <x:f>'Evaluation Plan'!G9</x:f>
        <x:v>MOVE crushed Pepsi can to bowl</x:v>
      </x:c>
      <x:c r="H9" s="10"/>
      <x:c r="I9" s="9" t="str">
        <x:f>'Evaluation Plan'!I9</x:f>
        <x:v>In-distribution concept baseline</x:v>
      </x:c>
      <x:c r="J9" s="9" t="str">
        <x:f>'Evaluation Plan'!J9</x:f>
        <x:v>SZ-ID-PC02</x:v>
      </x:c>
      <x:c r="K9" s="9" t="str">
        <x:f>'Evaluation Plan'!K9</x:f>
        <x:v>largest</x:v>
      </x:c>
      <x:c r="L9" s="9" t="str">
        <x:f>'Evaluation Plan'!L9</x:f>
        <x:v>Explicitly trained largest × crushed Pepsi can</x:v>
      </x:c>
      <x:c r="M9" s="9" t="str">
        <x:f>'Evaluation Plan'!M9</x:f>
        <x:v>crushed Pepsi can</x:v>
      </x:c>
      <x:c r="N9" s="9" t="str">
        <x:f>'Evaluation Plan'!N9</x:f>
        <x:v>Left</x:v>
      </x:c>
      <x:c r="O9" s="9" t="n">
        <x:f>'Evaluation Plan'!O9</x:f>
        <x:v>4</x:v>
      </x:c>
      <x:c r="P9" s="9" t="n">
        <x:f>IF(ISBLANK('Evaluation Plan'!P9),"",'Evaluation Plan'!P9)</x:f>
        <x:v>12</x:v>
      </x:c>
      <x:c r="Q9" s="9" t="str">
        <x:f>'Evaluation Plan'!Q9</x:f>
        <x:v>Build the listed manifest-supported scene.</x:v>
      </x:c>
      <x:c r="R9" s="10" t="str">
        <x:f>'Evaluation Plan'!R9</x:f>
        <x:v>Exact prompt and object composition from training episode 1156; this establishes the familiar largest × crushed Pepsi can cell.</x:v>
      </x:c>
      <x:c r="S9" s="10" t="str">
        <x:f>IF(ISBLANK('Evaluation Plan'!S9),"",'Evaluation Plan'!S9)</x:f>
      </x:c>
    </x:row>
    <x:row r="10" ht="68" customHeight="1">
      <x:c r="A10" s="9" t="str">
        <x:v>Not collected</x:v>
      </x:c>
      <x:c r="B10" s="9" t="n">
        <x:f>'Evaluation Plan'!B10</x:f>
        <x:v>8</x:v>
      </x:c>
      <x:c r="C10" s="10" t="str">
        <x:f>'Evaluation Plan'!C10</x:f>
        <x:v>Move the object that is smallest into the bowl.</x:v>
      </x:c>
      <x:c r="D10" s="10" t="str">
        <x:f>'Evaluation Plan'!D10</x:f>
        <x:v>Bowl: empty. Table, robot-left→robot-right: P1 red pencil sharpener; P2 crushed Pepsi can; P3 green block; P4 juggling ball. Adjacent centers 16 cm apart; row shifted 4 cm toward robot-right; all objects fully visible and grasp paths clear.</x:v>
      </x:c>
      <x:c r="E10" s="9" t="str">
        <x:f>IF(ISBLANK('Evaluation Plan'!E10),"",'Evaluation Plan'!E10)</x:f>
      </x:c>
      <x:c r="F10" s="9" t="str">
        <x:f>'Evaluation Plan'!F10</x:f>
        <x:v>1007</x:v>
      </x:c>
      <x:c r="G10" s="9" t="str">
        <x:f>'Evaluation Plan'!G10</x:f>
        <x:v>MOVE red pencil sharpener to bowl</x:v>
      </x:c>
      <x:c r="H10" s="10"/>
      <x:c r="I10" s="9" t="str">
        <x:f>'Evaluation Plan'!I10</x:f>
        <x:v>In-distribution concept baseline</x:v>
      </x:c>
      <x:c r="J10" s="9" t="str">
        <x:f>'Evaluation Plan'!J10</x:f>
        <x:v>SZ-ID-SH03</x:v>
      </x:c>
      <x:c r="K10" s="9" t="str">
        <x:f>'Evaluation Plan'!K10</x:f>
        <x:v>smallest</x:v>
      </x:c>
      <x:c r="L10" s="9" t="str">
        <x:f>'Evaluation Plan'!L10</x:f>
        <x:v>Explicitly trained smallest × red pencil sharpener</x:v>
      </x:c>
      <x:c r="M10" s="9" t="str">
        <x:f>'Evaluation Plan'!M10</x:f>
        <x:v>red pencil sharpener</x:v>
      </x:c>
      <x:c r="N10" s="9" t="str">
        <x:f>'Evaluation Plan'!N10</x:f>
        <x:v>Left</x:v>
      </x:c>
      <x:c r="O10" s="9" t="n">
        <x:f>'Evaluation Plan'!O10</x:f>
        <x:v>4</x:v>
      </x:c>
      <x:c r="P10" s="9" t="n">
        <x:f>IF(ISBLANK('Evaluation Plan'!P10),"",'Evaluation Plan'!P10)</x:f>
        <x:v>16</x:v>
      </x:c>
      <x:c r="Q10" s="9" t="str">
        <x:f>'Evaluation Plan'!Q10</x:f>
        <x:v>Build the listed manifest-supported scene.</x:v>
      </x:c>
      <x:c r="R10" s="10" t="str">
        <x:f>'Evaluation Plan'!R10</x:f>
        <x:v>Exact prompt and object composition from training episode 1007; this establishes the familiar smallest × red pencil sharpener cell.</x:v>
      </x:c>
      <x:c r="S10" s="10" t="str">
        <x:f>IF(ISBLANK('Evaluation Plan'!S10),"",'Evaluation Plan'!S10)</x:f>
      </x:c>
    </x:row>
    <x:row r="11" ht="68" customHeight="1">
      <x:c r="A11" s="9" t="str">
        <x:v>Not collected</x:v>
      </x:c>
      <x:c r="B11" s="9" t="n">
        <x:f>'Evaluation Plan'!B11</x:f>
        <x:v>9</x:v>
      </x:c>
      <x:c r="C11" s="10" t="str">
        <x:f>'Evaluation Plan'!C11</x:f>
        <x:v>Put the smallest object in the bowl.</x:v>
      </x:c>
      <x:c r="D11" s="10" t="str">
        <x:f>'Evaluation Plan'!D11</x:f>
        <x:v>Bowl: empty. Table, robot-left→robot-right: P1 crushed Pepsi can; P2 juggling ball; P3 green block. Adjacent centers 8 cm apart; row shifted 4 cm toward the robot; all objects fully visible and grasp paths clear.</x:v>
      </x:c>
      <x:c r="E11" s="9" t="str">
        <x:f>IF(ISBLANK('Evaluation Plan'!E11),"",'Evaluation Plan'!E11)</x:f>
      </x:c>
      <x:c r="F11" s="9" t="str">
        <x:f>'Evaluation Plan'!F11</x:f>
        <x:v>1052</x:v>
      </x:c>
      <x:c r="G11" s="9" t="str">
        <x:f>'Evaluation Plan'!G11</x:f>
        <x:v>MOVE green block to bowl</x:v>
      </x:c>
      <x:c r="H11" s="10"/>
      <x:c r="I11" s="9" t="str">
        <x:f>'Evaluation Plan'!I11</x:f>
        <x:v>In-distribution concept baseline</x:v>
      </x:c>
      <x:c r="J11" s="9" t="str">
        <x:f>'Evaluation Plan'!J11</x:f>
        <x:v>SZ-ID-GB03</x:v>
      </x:c>
      <x:c r="K11" s="9" t="str">
        <x:f>'Evaluation Plan'!K11</x:f>
        <x:v>smallest</x:v>
      </x:c>
      <x:c r="L11" s="9" t="str">
        <x:f>'Evaluation Plan'!L11</x:f>
        <x:v>Explicitly trained smallest × green block</x:v>
      </x:c>
      <x:c r="M11" s="9" t="str">
        <x:f>'Evaluation Plan'!M11</x:f>
        <x:v>green block</x:v>
      </x:c>
      <x:c r="N11" s="9" t="str">
        <x:f>'Evaluation Plan'!N11</x:f>
        <x:v>Right</x:v>
      </x:c>
      <x:c r="O11" s="9" t="n">
        <x:f>'Evaluation Plan'!O11</x:f>
        <x:v>3</x:v>
      </x:c>
      <x:c r="P11" s="9" t="n">
        <x:f>IF(ISBLANK('Evaluation Plan'!P11),"",'Evaluation Plan'!P11)</x:f>
        <x:v>8</x:v>
      </x:c>
      <x:c r="Q11" s="9" t="str">
        <x:f>'Evaluation Plan'!Q11</x:f>
        <x:v>Build the listed manifest-supported scene.</x:v>
      </x:c>
      <x:c r="R11" s="10" t="str">
        <x:f>'Evaluation Plan'!R11</x:f>
        <x:v>Exact prompt and object composition from training episode 1052; this establishes the familiar smallest × green block cell.</x:v>
      </x:c>
      <x:c r="S11" s="10" t="str">
        <x:f>IF(ISBLANK('Evaluation Plan'!S11),"",'Evaluation Plan'!S11)</x:f>
      </x:c>
    </x:row>
    <x:row r="12" ht="68" customHeight="1">
      <x:c r="A12" s="9" t="str">
        <x:v>Not collected</x:v>
      </x:c>
      <x:c r="B12" s="9" t="n">
        <x:f>'Evaluation Plan'!B12</x:f>
        <x:v>10</x:v>
      </x:c>
      <x:c r="C12" s="10" t="str">
        <x:f>'Evaluation Plan'!C12</x:f>
        <x:v>Pick up the largest item and place it in the bowl.</x:v>
      </x:c>
      <x:c r="D12" s="10" t="str">
        <x:f>'Evaluation Plan'!D12</x:f>
        <x:v>Bowl: empty. Table, robot-left→robot-right: P1 juggling ball; P2 red pencil sharpener; P3 green block. Adjacent centers 12 cm apart; row shifted 4 cm away from the robot; all objects fully visible and grasp paths clear.</x:v>
      </x:c>
      <x:c r="E12" s="9" t="str">
        <x:f>IF(ISBLANK('Evaluation Plan'!E12),"",'Evaluation Plan'!E12)</x:f>
      </x:c>
      <x:c r="F12" s="9" t="str">
        <x:f>'Evaluation Plan'!F12</x:f>
        <x:v>1127</x:v>
      </x:c>
      <x:c r="G12" s="9" t="str">
        <x:f>'Evaluation Plan'!G12</x:f>
        <x:v>MOVE juggling ball to bowl</x:v>
      </x:c>
      <x:c r="H12" s="10"/>
      <x:c r="I12" s="9" t="str">
        <x:f>'Evaluation Plan'!I12</x:f>
        <x:v>In-distribution concept baseline</x:v>
      </x:c>
      <x:c r="J12" s="9" t="str">
        <x:f>'Evaluation Plan'!J12</x:f>
        <x:v>SZ-ID-JB03</x:v>
      </x:c>
      <x:c r="K12" s="9" t="str">
        <x:f>'Evaluation Plan'!K12</x:f>
        <x:v>largest</x:v>
      </x:c>
      <x:c r="L12" s="9" t="str">
        <x:f>'Evaluation Plan'!L12</x:f>
        <x:v>Explicitly trained largest × juggling ball</x:v>
      </x:c>
      <x:c r="M12" s="9" t="str">
        <x:f>'Evaluation Plan'!M12</x:f>
        <x:v>juggling ball</x:v>
      </x:c>
      <x:c r="N12" s="9" t="str">
        <x:f>'Evaluation Plan'!N12</x:f>
        <x:v>Left</x:v>
      </x:c>
      <x:c r="O12" s="9" t="n">
        <x:f>'Evaluation Plan'!O12</x:f>
        <x:v>3</x:v>
      </x:c>
      <x:c r="P12" s="9" t="n">
        <x:f>IF(ISBLANK('Evaluation Plan'!P12),"",'Evaluation Plan'!P12)</x:f>
        <x:v>12</x:v>
      </x:c>
      <x:c r="Q12" s="9" t="str">
        <x:f>'Evaluation Plan'!Q12</x:f>
        <x:v>Build the listed manifest-supported scene.</x:v>
      </x:c>
      <x:c r="R12" s="10" t="str">
        <x:f>'Evaluation Plan'!R12</x:f>
        <x:v>Exact prompt and object composition from training episode 1127; this establishes the familiar largest × juggling ball cell.</x:v>
      </x:c>
      <x:c r="S12" s="10" t="str">
        <x:f>IF(ISBLANK('Evaluation Plan'!S12),"",'Evaluation Plan'!S12)</x:f>
      </x:c>
    </x:row>
    <x:row r="13" ht="68" customHeight="1">
      <x:c r="A13" s="9" t="str">
        <x:v>Not collected</x:v>
      </x:c>
      <x:c r="B13" s="9" t="n">
        <x:f>'Evaluation Plan'!B13</x:f>
        <x:v>11</x:v>
      </x:c>
      <x:c r="C13" s="10" t="str">
        <x:f>'Evaluation Plan'!C13</x:f>
        <x:v>Put the largest object in the bowl.</x:v>
      </x:c>
      <x:c r="D13" s="10" t="str">
        <x:f>'Evaluation Plan'!D13</x:f>
        <x:v>Bowl: empty. Table, robot-left→robot-right: P1 juggling ball; P2 red pencil sharpener; P3 green block; P4 crushed Pepsi can. Adjacent centers 16 cm apart; row centered on the workspace; all objects fully visible and grasp paths clear.</x:v>
      </x:c>
      <x:c r="E13" s="9" t="str">
        <x:f>IF(ISBLANK('Evaluation Plan'!E13),"",'Evaluation Plan'!E13)</x:f>
      </x:c>
      <x:c r="F13" s="9" t="str">
        <x:f>'Evaluation Plan'!F13</x:f>
        <x:v>1157</x:v>
      </x:c>
      <x:c r="G13" s="9" t="str">
        <x:f>'Evaluation Plan'!G13</x:f>
        <x:v>MOVE crushed Pepsi can to bowl</x:v>
      </x:c>
      <x:c r="H13" s="10"/>
      <x:c r="I13" s="9" t="str">
        <x:f>'Evaluation Plan'!I13</x:f>
        <x:v>In-distribution concept baseline</x:v>
      </x:c>
      <x:c r="J13" s="9" t="str">
        <x:f>'Evaluation Plan'!J13</x:f>
        <x:v>SZ-ID-PC03</x:v>
      </x:c>
      <x:c r="K13" s="9" t="str">
        <x:f>'Evaluation Plan'!K13</x:f>
        <x:v>largest</x:v>
      </x:c>
      <x:c r="L13" s="9" t="str">
        <x:f>'Evaluation Plan'!L13</x:f>
        <x:v>Explicitly trained largest × crushed Pepsi can</x:v>
      </x:c>
      <x:c r="M13" s="9" t="str">
        <x:f>'Evaluation Plan'!M13</x:f>
        <x:v>crushed Pepsi can</x:v>
      </x:c>
      <x:c r="N13" s="9" t="str">
        <x:f>'Evaluation Plan'!N13</x:f>
        <x:v>Right</x:v>
      </x:c>
      <x:c r="O13" s="9" t="n">
        <x:f>'Evaluation Plan'!O13</x:f>
        <x:v>4</x:v>
      </x:c>
      <x:c r="P13" s="9" t="n">
        <x:f>IF(ISBLANK('Evaluation Plan'!P13),"",'Evaluation Plan'!P13)</x:f>
        <x:v>16</x:v>
      </x:c>
      <x:c r="Q13" s="9" t="str">
        <x:f>'Evaluation Plan'!Q13</x:f>
        <x:v>Build the listed manifest-supported scene.</x:v>
      </x:c>
      <x:c r="R13" s="10" t="str">
        <x:f>'Evaluation Plan'!R13</x:f>
        <x:v>Exact prompt and object composition from training episode 1157; this establishes the familiar largest × crushed Pepsi can cell.</x:v>
      </x:c>
      <x:c r="S13" s="10" t="str">
        <x:f>IF(ISBLANK('Evaluation Plan'!S13),"",'Evaluation Plan'!S13)</x:f>
      </x:c>
    </x:row>
    <x:row r="14" ht="68" customHeight="1">
      <x:c r="A14" s="9" t="str">
        <x:v>Not collected</x:v>
      </x:c>
      <x:c r="B14" s="9" t="n">
        <x:f>'Evaluation Plan'!B14</x:f>
        <x:v>12</x:v>
      </x:c>
      <x:c r="C14" s="10" t="str">
        <x:f>'Evaluation Plan'!C14</x:f>
        <x:v>Put the smallest object in the bowl.</x:v>
      </x:c>
      <x:c r="D14" s="10" t="str">
        <x:f>'Evaluation Plan'!D14</x:f>
        <x:v>Bowl: empty. Table, robot-left→robot-right: P1 green block; P2 juggling ball; P3 crushed Pepsi can; P4 red pencil sharpener. Adjacent centers 8 cm apart; row shifted 4 cm toward the robot; all objects fully visible and grasp paths clear.</x:v>
      </x:c>
      <x:c r="E14" s="9" t="str">
        <x:f>IF(ISBLANK('Evaluation Plan'!E14),"",'Evaluation Plan'!E14)</x:f>
      </x:c>
      <x:c r="F14" s="9" t="str">
        <x:f>'Evaluation Plan'!F14</x:f>
        <x:v>1008</x:v>
      </x:c>
      <x:c r="G14" s="9" t="str">
        <x:f>'Evaluation Plan'!G14</x:f>
        <x:v>MOVE red pencil sharpener to bowl</x:v>
      </x:c>
      <x:c r="H14" s="10"/>
      <x:c r="I14" s="9" t="str">
        <x:f>'Evaluation Plan'!I14</x:f>
        <x:v>In-distribution concept baseline</x:v>
      </x:c>
      <x:c r="J14" s="9" t="str">
        <x:f>'Evaluation Plan'!J14</x:f>
        <x:v>SZ-ID-SH04</x:v>
      </x:c>
      <x:c r="K14" s="9" t="str">
        <x:f>'Evaluation Plan'!K14</x:f>
        <x:v>smallest</x:v>
      </x:c>
      <x:c r="L14" s="9" t="str">
        <x:f>'Evaluation Plan'!L14</x:f>
        <x:v>Explicitly trained smallest × red pencil sharpener</x:v>
      </x:c>
      <x:c r="M14" s="9" t="str">
        <x:f>'Evaluation Plan'!M14</x:f>
        <x:v>red pencil sharpener</x:v>
      </x:c>
      <x:c r="N14" s="9" t="str">
        <x:f>'Evaluation Plan'!N14</x:f>
        <x:v>Right</x:v>
      </x:c>
      <x:c r="O14" s="9" t="n">
        <x:f>'Evaluation Plan'!O14</x:f>
        <x:v>4</x:v>
      </x:c>
      <x:c r="P14" s="9" t="n">
        <x:f>IF(ISBLANK('Evaluation Plan'!P14),"",'Evaluation Plan'!P14)</x:f>
        <x:v>8</x:v>
      </x:c>
      <x:c r="Q14" s="9" t="str">
        <x:f>'Evaluation Plan'!Q14</x:f>
        <x:v>Build the listed manifest-supported scene.</x:v>
      </x:c>
      <x:c r="R14" s="10" t="str">
        <x:f>'Evaluation Plan'!R14</x:f>
        <x:v>Exact prompt and object composition from training episode 1008; this establishes the familiar smallest × red pencil sharpener cell.</x:v>
      </x:c>
      <x:c r="S14" s="10" t="str">
        <x:f>IF(ISBLANK('Evaluation Plan'!S14),"",'Evaluation Plan'!S14)</x:f>
      </x:c>
    </x:row>
    <x:row r="15" ht="68" customHeight="1">
      <x:c r="A15" s="9" t="str">
        <x:v>Not collected</x:v>
      </x:c>
      <x:c r="B15" s="9" t="n">
        <x:f>'Evaluation Plan'!B15</x:f>
        <x:v>13</x:v>
      </x:c>
      <x:c r="C15" s="10" t="str">
        <x:f>'Evaluation Plan'!C15</x:f>
        <x:v>Put the smallest object in the bowl.</x:v>
      </x:c>
      <x:c r="D15" s="10" t="str">
        <x:f>'Evaluation Plan'!D15</x:f>
        <x:v>Bowl: empty. Table, robot-left→robot-right: P1 green block; P2 juggling ball; P3 crushed Pepsi can. Adjacent centers 12 cm apart; row shifted 4 cm away from the robot; all objects fully visible and grasp paths clear.</x:v>
      </x:c>
      <x:c r="E15" s="9" t="str">
        <x:f>IF(ISBLANK('Evaluation Plan'!E15),"",'Evaluation Plan'!E15)</x:f>
      </x:c>
      <x:c r="F15" s="9" t="str">
        <x:f>'Evaluation Plan'!F15</x:f>
        <x:v>1053</x:v>
      </x:c>
      <x:c r="G15" s="9" t="str">
        <x:f>'Evaluation Plan'!G15</x:f>
        <x:v>MOVE green block to bowl</x:v>
      </x:c>
      <x:c r="H15" s="10"/>
      <x:c r="I15" s="9" t="str">
        <x:f>'Evaluation Plan'!I15</x:f>
        <x:v>In-distribution concept baseline</x:v>
      </x:c>
      <x:c r="J15" s="9" t="str">
        <x:f>'Evaluation Plan'!J15</x:f>
        <x:v>SZ-ID-GB04</x:v>
      </x:c>
      <x:c r="K15" s="9" t="str">
        <x:f>'Evaluation Plan'!K15</x:f>
        <x:v>smallest</x:v>
      </x:c>
      <x:c r="L15" s="9" t="str">
        <x:f>'Evaluation Plan'!L15</x:f>
        <x:v>Explicitly trained smallest × green block</x:v>
      </x:c>
      <x:c r="M15" s="9" t="str">
        <x:f>'Evaluation Plan'!M15</x:f>
        <x:v>green block</x:v>
      </x:c>
      <x:c r="N15" s="9" t="str">
        <x:f>'Evaluation Plan'!N15</x:f>
        <x:v>Left</x:v>
      </x:c>
      <x:c r="O15" s="9" t="n">
        <x:f>'Evaluation Plan'!O15</x:f>
        <x:v>3</x:v>
      </x:c>
      <x:c r="P15" s="9" t="n">
        <x:f>IF(ISBLANK('Evaluation Plan'!P15),"",'Evaluation Plan'!P15)</x:f>
        <x:v>12</x:v>
      </x:c>
      <x:c r="Q15" s="9" t="str">
        <x:f>'Evaluation Plan'!Q15</x:f>
        <x:v>Build the listed manifest-supported scene.</x:v>
      </x:c>
      <x:c r="R15" s="10" t="str">
        <x:f>'Evaluation Plan'!R15</x:f>
        <x:v>Exact prompt and object composition from training episode 1053; this establishes the familiar smallest × green block cell.</x:v>
      </x:c>
      <x:c r="S15" s="10" t="str">
        <x:f>IF(ISBLANK('Evaluation Plan'!S15),"",'Evaluation Plan'!S15)</x:f>
      </x:c>
    </x:row>
    <x:row r="16" ht="68" customHeight="1">
      <x:c r="A16" s="9" t="str">
        <x:v>Not collected</x:v>
      </x:c>
      <x:c r="B16" s="9" t="n">
        <x:f>'Evaluation Plan'!B16</x:f>
        <x:v>14</x:v>
      </x:c>
      <x:c r="C16" s="10" t="str">
        <x:f>'Evaluation Plan'!C16</x:f>
        <x:v>Pick up the largest item and place it in the bowl.</x:v>
      </x:c>
      <x:c r="D16" s="10" t="str">
        <x:f>'Evaluation Plan'!D16</x:f>
        <x:v>Bowl: empty. Table, robot-left→robot-right: P1 green block; P2 red pencil sharpener; P3 juggling ball. Adjacent centers 16 cm apart; row centered on the workspace; all objects fully visible and grasp paths clear.</x:v>
      </x:c>
      <x:c r="E16" s="9" t="str">
        <x:f>IF(ISBLANK('Evaluation Plan'!E16),"",'Evaluation Plan'!E16)</x:f>
      </x:c>
      <x:c r="F16" s="9" t="str">
        <x:f>'Evaluation Plan'!F16</x:f>
        <x:v>1128</x:v>
      </x:c>
      <x:c r="G16" s="9" t="str">
        <x:f>'Evaluation Plan'!G16</x:f>
        <x:v>MOVE juggling ball to bowl</x:v>
      </x:c>
      <x:c r="H16" s="10"/>
      <x:c r="I16" s="9" t="str">
        <x:f>'Evaluation Plan'!I16</x:f>
        <x:v>In-distribution concept baseline</x:v>
      </x:c>
      <x:c r="J16" s="9" t="str">
        <x:f>'Evaluation Plan'!J16</x:f>
        <x:v>SZ-ID-JB04</x:v>
      </x:c>
      <x:c r="K16" s="9" t="str">
        <x:f>'Evaluation Plan'!K16</x:f>
        <x:v>largest</x:v>
      </x:c>
      <x:c r="L16" s="9" t="str">
        <x:f>'Evaluation Plan'!L16</x:f>
        <x:v>Explicitly trained largest × juggling ball</x:v>
      </x:c>
      <x:c r="M16" s="9" t="str">
        <x:f>'Evaluation Plan'!M16</x:f>
        <x:v>juggling ball</x:v>
      </x:c>
      <x:c r="N16" s="9" t="str">
        <x:f>'Evaluation Plan'!N16</x:f>
        <x:v>Right</x:v>
      </x:c>
      <x:c r="O16" s="9" t="n">
        <x:f>'Evaluation Plan'!O16</x:f>
        <x:v>3</x:v>
      </x:c>
      <x:c r="P16" s="9" t="n">
        <x:f>IF(ISBLANK('Evaluation Plan'!P16),"",'Evaluation Plan'!P16)</x:f>
        <x:v>16</x:v>
      </x:c>
      <x:c r="Q16" s="9" t="str">
        <x:f>'Evaluation Plan'!Q16</x:f>
        <x:v>Build the listed manifest-supported scene.</x:v>
      </x:c>
      <x:c r="R16" s="10" t="str">
        <x:f>'Evaluation Plan'!R16</x:f>
        <x:v>Exact prompt and object composition from training episode 1128; this establishes the familiar largest × juggling ball cell.</x:v>
      </x:c>
      <x:c r="S16" s="10" t="str">
        <x:f>IF(ISBLANK('Evaluation Plan'!S16),"",'Evaluation Plan'!S16)</x:f>
      </x:c>
    </x:row>
    <x:row r="17" ht="68" customHeight="1">
      <x:c r="A17" s="9" t="str">
        <x:v>Not collected</x:v>
      </x:c>
      <x:c r="B17" s="9" t="n">
        <x:f>'Evaluation Plan'!B17</x:f>
        <x:v>15</x:v>
      </x:c>
      <x:c r="C17" s="10" t="str">
        <x:f>'Evaluation Plan'!C17</x:f>
        <x:v>Put the largest object in the bowl.</x:v>
      </x:c>
      <x:c r="D17" s="10" t="str">
        <x:f>'Evaluation Plan'!D17</x:f>
        <x:v>Bowl: empty. Table, robot-left→robot-right: P1 crushed Pepsi can; P2 red pencil sharpener; P3 green block; P4 juggling ball. Adjacent centers 8 cm apart; row shifted 4 cm toward robot-left; all objects fully visible and grasp paths clear.</x:v>
      </x:c>
      <x:c r="E17" s="9" t="str">
        <x:f>IF(ISBLANK('Evaluation Plan'!E17),"",'Evaluation Plan'!E17)</x:f>
      </x:c>
      <x:c r="F17" s="9" t="str">
        <x:f>'Evaluation Plan'!F17</x:f>
        <x:v>1158</x:v>
      </x:c>
      <x:c r="G17" s="9" t="str">
        <x:f>'Evaluation Plan'!G17</x:f>
        <x:v>MOVE crushed Pepsi can to bowl</x:v>
      </x:c>
      <x:c r="H17" s="10"/>
      <x:c r="I17" s="9" t="str">
        <x:f>'Evaluation Plan'!I17</x:f>
        <x:v>In-distribution concept baseline</x:v>
      </x:c>
      <x:c r="J17" s="9" t="str">
        <x:f>'Evaluation Plan'!J17</x:f>
        <x:v>SZ-ID-PC04</x:v>
      </x:c>
      <x:c r="K17" s="9" t="str">
        <x:f>'Evaluation Plan'!K17</x:f>
        <x:v>largest</x:v>
      </x:c>
      <x:c r="L17" s="9" t="str">
        <x:f>'Evaluation Plan'!L17</x:f>
        <x:v>Explicitly trained largest × crushed Pepsi can</x:v>
      </x:c>
      <x:c r="M17" s="9" t="str">
        <x:f>'Evaluation Plan'!M17</x:f>
        <x:v>crushed Pepsi can</x:v>
      </x:c>
      <x:c r="N17" s="9" t="str">
        <x:f>'Evaluation Plan'!N17</x:f>
        <x:v>Left</x:v>
      </x:c>
      <x:c r="O17" s="9" t="n">
        <x:f>'Evaluation Plan'!O17</x:f>
        <x:v>4</x:v>
      </x:c>
      <x:c r="P17" s="9" t="n">
        <x:f>IF(ISBLANK('Evaluation Plan'!P17),"",'Evaluation Plan'!P17)</x:f>
        <x:v>8</x:v>
      </x:c>
      <x:c r="Q17" s="9" t="str">
        <x:f>'Evaluation Plan'!Q17</x:f>
        <x:v>Build the listed manifest-supported scene.</x:v>
      </x:c>
      <x:c r="R17" s="10" t="str">
        <x:f>'Evaluation Plan'!R17</x:f>
        <x:v>Exact prompt and object composition from training episode 1158; this establishes the familiar largest × crushed Pepsi can cell.</x:v>
      </x:c>
      <x:c r="S17" s="10" t="str">
        <x:f>IF(ISBLANK('Evaluation Plan'!S17),"",'Evaluation Plan'!S17)</x:f>
      </x:c>
    </x:row>
    <x:row r="18" ht="68" customHeight="1">
      <x:c r="A18" s="9" t="str">
        <x:v>Not collected</x:v>
      </x:c>
      <x:c r="B18" s="9" t="n">
        <x:f>'Evaluation Plan'!B18</x:f>
        <x:v>16</x:v>
      </x:c>
      <x:c r="C18" s="10" t="str">
        <x:f>'Evaluation Plan'!C18</x:f>
        <x:v>Move the object that is smallest into the bowl.</x:v>
      </x:c>
      <x:c r="D18" s="10" t="str">
        <x:f>'Evaluation Plan'!D18</x:f>
        <x:v>Bowl: empty. Table, robot-left→robot-right: P1 red pencil sharpener; P2 juggling ball; P3 crushed Pepsi can; P4 green block. Adjacent centers 12 cm apart; row shifted 4 cm away from the robot; all objects fully visible and grasp paths clear.</x:v>
      </x:c>
      <x:c r="E18" s="9" t="str">
        <x:f>IF(ISBLANK('Evaluation Plan'!E18),"",'Evaluation Plan'!E18)</x:f>
      </x:c>
      <x:c r="F18" s="9" t="str">
        <x:f>'Evaluation Plan'!F18</x:f>
        <x:v>1009</x:v>
      </x:c>
      <x:c r="G18" s="9" t="str">
        <x:f>'Evaluation Plan'!G18</x:f>
        <x:v>MOVE red pencil sharpener to bowl</x:v>
      </x:c>
      <x:c r="H18" s="10"/>
      <x:c r="I18" s="9" t="str">
        <x:f>'Evaluation Plan'!I18</x:f>
        <x:v>In-distribution concept baseline</x:v>
      </x:c>
      <x:c r="J18" s="9" t="str">
        <x:f>'Evaluation Plan'!J18</x:f>
        <x:v>SZ-ID-SH05</x:v>
      </x:c>
      <x:c r="K18" s="9" t="str">
        <x:f>'Evaluation Plan'!K18</x:f>
        <x:v>smallest</x:v>
      </x:c>
      <x:c r="L18" s="9" t="str">
        <x:f>'Evaluation Plan'!L18</x:f>
        <x:v>Explicitly trained smallest × red pencil sharpener</x:v>
      </x:c>
      <x:c r="M18" s="9" t="str">
        <x:f>'Evaluation Plan'!M18</x:f>
        <x:v>red pencil sharpener</x:v>
      </x:c>
      <x:c r="N18" s="9" t="str">
        <x:f>'Evaluation Plan'!N18</x:f>
        <x:v>Left</x:v>
      </x:c>
      <x:c r="O18" s="9" t="n">
        <x:f>'Evaluation Plan'!O18</x:f>
        <x:v>4</x:v>
      </x:c>
      <x:c r="P18" s="9" t="n">
        <x:f>IF(ISBLANK('Evaluation Plan'!P18),"",'Evaluation Plan'!P18)</x:f>
        <x:v>12</x:v>
      </x:c>
      <x:c r="Q18" s="9" t="str">
        <x:f>'Evaluation Plan'!Q18</x:f>
        <x:v>Build the listed manifest-supported scene.</x:v>
      </x:c>
      <x:c r="R18" s="10" t="str">
        <x:f>'Evaluation Plan'!R18</x:f>
        <x:v>Exact prompt and object composition from training episode 1009; this establishes the familiar smallest × red pencil sharpener cell.</x:v>
      </x:c>
      <x:c r="S18" s="10" t="str">
        <x:f>IF(ISBLANK('Evaluation Plan'!S18),"",'Evaluation Plan'!S18)</x:f>
      </x:c>
    </x:row>
    <x:row r="19" ht="68" customHeight="1">
      <x:c r="A19" s="9" t="str">
        <x:v>Not collected</x:v>
      </x:c>
      <x:c r="B19" s="9" t="n">
        <x:f>'Evaluation Plan'!B19</x:f>
        <x:v>17</x:v>
      </x:c>
      <x:c r="C19" s="10" t="str">
        <x:f>'Evaluation Plan'!C19</x:f>
        <x:v>Put the smallest object in the bowl.</x:v>
      </x:c>
      <x:c r="D19" s="10" t="str">
        <x:f>'Evaluation Plan'!D19</x:f>
        <x:v>Bowl: empty. Table, robot-left→robot-right: P1 crushed Pepsi can; P2 juggling ball; P3 green block. Adjacent centers 16 cm apart; row centered on the workspace; all objects fully visible and grasp paths clear.</x:v>
      </x:c>
      <x:c r="E19" s="9" t="str">
        <x:f>IF(ISBLANK('Evaluation Plan'!E19),"",'Evaluation Plan'!E19)</x:f>
      </x:c>
      <x:c r="F19" s="9" t="str">
        <x:f>'Evaluation Plan'!F19</x:f>
        <x:v>1054</x:v>
      </x:c>
      <x:c r="G19" s="9" t="str">
        <x:f>'Evaluation Plan'!G19</x:f>
        <x:v>MOVE green block to bowl</x:v>
      </x:c>
      <x:c r="H19" s="10"/>
      <x:c r="I19" s="9" t="str">
        <x:f>'Evaluation Plan'!I19</x:f>
        <x:v>In-distribution concept baseline</x:v>
      </x:c>
      <x:c r="J19" s="9" t="str">
        <x:f>'Evaluation Plan'!J19</x:f>
        <x:v>SZ-ID-GB05</x:v>
      </x:c>
      <x:c r="K19" s="9" t="str">
        <x:f>'Evaluation Plan'!K19</x:f>
        <x:v>smallest</x:v>
      </x:c>
      <x:c r="L19" s="9" t="str">
        <x:f>'Evaluation Plan'!L19</x:f>
        <x:v>Explicitly trained smallest × green block</x:v>
      </x:c>
      <x:c r="M19" s="9" t="str">
        <x:f>'Evaluation Plan'!M19</x:f>
        <x:v>green block</x:v>
      </x:c>
      <x:c r="N19" s="9" t="str">
        <x:f>'Evaluation Plan'!N19</x:f>
        <x:v>Right</x:v>
      </x:c>
      <x:c r="O19" s="9" t="n">
        <x:f>'Evaluation Plan'!O19</x:f>
        <x:v>3</x:v>
      </x:c>
      <x:c r="P19" s="9" t="n">
        <x:f>IF(ISBLANK('Evaluation Plan'!P19),"",'Evaluation Plan'!P19)</x:f>
        <x:v>16</x:v>
      </x:c>
      <x:c r="Q19" s="9" t="str">
        <x:f>'Evaluation Plan'!Q19</x:f>
        <x:v>Build the listed manifest-supported scene.</x:v>
      </x:c>
      <x:c r="R19" s="10" t="str">
        <x:f>'Evaluation Plan'!R19</x:f>
        <x:v>Exact prompt and object composition from training episode 1054; this establishes the familiar smallest × green block cell.</x:v>
      </x:c>
      <x:c r="S19" s="10" t="str">
        <x:f>IF(ISBLANK('Evaluation Plan'!S19),"",'Evaluation Plan'!S19)</x:f>
      </x:c>
    </x:row>
    <x:row r="20" ht="68" customHeight="1">
      <x:c r="A20" s="9" t="str">
        <x:v>Not collected</x:v>
      </x:c>
      <x:c r="B20" s="9" t="n">
        <x:f>'Evaluation Plan'!B20</x:f>
        <x:v>18</x:v>
      </x:c>
      <x:c r="C20" s="10" t="str">
        <x:f>'Evaluation Plan'!C20</x:f>
        <x:v>Put the largest object in the bowl.</x:v>
      </x:c>
      <x:c r="D20" s="10" t="str">
        <x:f>'Evaluation Plan'!D20</x:f>
        <x:v>Bowl: empty. Table, robot-left→robot-right: P1 juggling ball; P2 red pencil sharpener; P3 green block. Adjacent centers 8 cm apart; row shifted 4 cm toward robot-left; all objects fully visible and grasp paths clear.</x:v>
      </x:c>
      <x:c r="E20" s="9" t="str">
        <x:f>IF(ISBLANK('Evaluation Plan'!E20),"",'Evaluation Plan'!E20)</x:f>
      </x:c>
      <x:c r="F20" s="9" t="str">
        <x:f>'Evaluation Plan'!F20</x:f>
        <x:v>1129</x:v>
      </x:c>
      <x:c r="G20" s="9" t="str">
        <x:f>'Evaluation Plan'!G20</x:f>
        <x:v>MOVE juggling ball to bowl</x:v>
      </x:c>
      <x:c r="H20" s="10"/>
      <x:c r="I20" s="9" t="str">
        <x:f>'Evaluation Plan'!I20</x:f>
        <x:v>In-distribution concept baseline</x:v>
      </x:c>
      <x:c r="J20" s="9" t="str">
        <x:f>'Evaluation Plan'!J20</x:f>
        <x:v>SZ-ID-JB05</x:v>
      </x:c>
      <x:c r="K20" s="9" t="str">
        <x:f>'Evaluation Plan'!K20</x:f>
        <x:v>largest</x:v>
      </x:c>
      <x:c r="L20" s="9" t="str">
        <x:f>'Evaluation Plan'!L20</x:f>
        <x:v>Explicitly trained largest × juggling ball</x:v>
      </x:c>
      <x:c r="M20" s="9" t="str">
        <x:f>'Evaluation Plan'!M20</x:f>
        <x:v>juggling ball</x:v>
      </x:c>
      <x:c r="N20" s="9" t="str">
        <x:f>'Evaluation Plan'!N20</x:f>
        <x:v>Left</x:v>
      </x:c>
      <x:c r="O20" s="9" t="n">
        <x:f>'Evaluation Plan'!O20</x:f>
        <x:v>3</x:v>
      </x:c>
      <x:c r="P20" s="9" t="n">
        <x:f>IF(ISBLANK('Evaluation Plan'!P20),"",'Evaluation Plan'!P20)</x:f>
        <x:v>8</x:v>
      </x:c>
      <x:c r="Q20" s="9" t="str">
        <x:f>'Evaluation Plan'!Q20</x:f>
        <x:v>Build the listed manifest-supported scene.</x:v>
      </x:c>
      <x:c r="R20" s="10" t="str">
        <x:f>'Evaluation Plan'!R20</x:f>
        <x:v>Exact prompt and object composition from training episode 1129; this establishes the familiar largest × juggling ball cell.</x:v>
      </x:c>
      <x:c r="S20" s="10" t="str">
        <x:f>IF(ISBLANK('Evaluation Plan'!S20),"",'Evaluation Plan'!S20)</x:f>
      </x:c>
    </x:row>
    <x:row r="21" ht="68" customHeight="1">
      <x:c r="A21" s="9" t="str">
        <x:v>Not collected</x:v>
      </x:c>
      <x:c r="B21" s="9" t="n">
        <x:f>'Evaluation Plan'!B21</x:f>
        <x:v>19</x:v>
      </x:c>
      <x:c r="C21" s="10" t="str">
        <x:f>'Evaluation Plan'!C21</x:f>
        <x:v>Move the object that is largest into the bowl.</x:v>
      </x:c>
      <x:c r="D21" s="10" t="str">
        <x:f>'Evaluation Plan'!D21</x:f>
        <x:v>Bowl: empty. Table, robot-left→robot-right: P1 green block; P2 juggling ball; P3 red pencil sharpener; P4 crushed Pepsi can. Adjacent centers 12 cm apart; row shifted 4 cm toward robot-right; all objects fully visible and grasp paths clear.</x:v>
      </x:c>
      <x:c r="E21" s="9" t="str">
        <x:f>IF(ISBLANK('Evaluation Plan'!E21),"",'Evaluation Plan'!E21)</x:f>
      </x:c>
      <x:c r="F21" s="9" t="str">
        <x:f>'Evaluation Plan'!F21</x:f>
        <x:v>1159</x:v>
      </x:c>
      <x:c r="G21" s="9" t="str">
        <x:f>'Evaluation Plan'!G21</x:f>
        <x:v>MOVE crushed Pepsi can to bowl</x:v>
      </x:c>
      <x:c r="H21" s="10"/>
      <x:c r="I21" s="9" t="str">
        <x:f>'Evaluation Plan'!I21</x:f>
        <x:v>In-distribution concept baseline</x:v>
      </x:c>
      <x:c r="J21" s="9" t="str">
        <x:f>'Evaluation Plan'!J21</x:f>
        <x:v>SZ-ID-PC05</x:v>
      </x:c>
      <x:c r="K21" s="9" t="str">
        <x:f>'Evaluation Plan'!K21</x:f>
        <x:v>largest</x:v>
      </x:c>
      <x:c r="L21" s="9" t="str">
        <x:f>'Evaluation Plan'!L21</x:f>
        <x:v>Explicitly trained largest × crushed Pepsi can</x:v>
      </x:c>
      <x:c r="M21" s="9" t="str">
        <x:f>'Evaluation Plan'!M21</x:f>
        <x:v>crushed Pepsi can</x:v>
      </x:c>
      <x:c r="N21" s="9" t="str">
        <x:f>'Evaluation Plan'!N21</x:f>
        <x:v>Right</x:v>
      </x:c>
      <x:c r="O21" s="9" t="n">
        <x:f>'Evaluation Plan'!O21</x:f>
        <x:v>4</x:v>
      </x:c>
      <x:c r="P21" s="9" t="n">
        <x:f>IF(ISBLANK('Evaluation Plan'!P21),"",'Evaluation Plan'!P21)</x:f>
        <x:v>12</x:v>
      </x:c>
      <x:c r="Q21" s="9" t="str">
        <x:f>'Evaluation Plan'!Q21</x:f>
        <x:v>Build the listed manifest-supported scene.</x:v>
      </x:c>
      <x:c r="R21" s="10" t="str">
        <x:f>'Evaluation Plan'!R21</x:f>
        <x:v>Exact prompt and object composition from training episode 1159; this establishes the familiar largest × crushed Pepsi can cell.</x:v>
      </x:c>
      <x:c r="S21" s="10" t="str">
        <x:f>IF(ISBLANK('Evaluation Plan'!S21),"",'Evaluation Plan'!S21)</x:f>
      </x:c>
    </x:row>
    <x:row r="22" ht="68" customHeight="1">
      <x:c r="A22" s="9" t="str">
        <x:v>Not collected</x:v>
      </x:c>
      <x:c r="B22" s="9" t="n">
        <x:f>'Evaluation Plan'!B22</x:f>
        <x:v>20</x:v>
      </x:c>
      <x:c r="C22" s="10" t="str">
        <x:f>'Evaluation Plan'!C22</x:f>
        <x:v>Move the object that is largest into the bowl.</x:v>
      </x:c>
      <x:c r="D22" s="10" t="str">
        <x:f>'Evaluation Plan'!D22</x:f>
        <x:v>Bowl: empty. Table, robot-left→robot-right: P1 green block; P2 red pencil sharpener. Adjacent centers 8 cm apart; row centered on the workspace; all objects fully visible and grasp paths clear.</x:v>
      </x:c>
      <x:c r="E22" s="9" t="str">
        <x:f>IF(ISBLANK('Evaluation Plan'!E22),"",'Evaluation Plan'!E22)</x:f>
      </x:c>
      <x:c r="F22" s="9" t="str">
        <x:f>'Evaluation Plan'!F22</x:f>
        <x:v>1080</x:v>
      </x:c>
      <x:c r="G22" s="9" t="str">
        <x:f>'Evaluation Plan'!G22</x:f>
        <x:v>MOVE green block to bowl</x:v>
      </x:c>
      <x:c r="H22" s="10"/>
      <x:c r="I22" s="9" t="str">
        <x:f>'Evaluation Plan'!I22</x:f>
        <x:v>Concept/compositional transfer</x:v>
      </x:c>
      <x:c r="J22" s="9" t="str">
        <x:f>'Evaluation Plan'!J22</x:f>
        <x:v>SZ-CT-LG01</x:v>
      </x:c>
      <x:c r="K22" s="9" t="str">
        <x:f>'Evaluation Plan'!K22</x:f>
        <x:v>largest</x:v>
      </x:c>
      <x:c r="L22" s="9" t="str">
        <x:f>'Evaluation Plan'!L22</x:f>
        <x:v>Held-out largest × green block — Move</x:v>
      </x:c>
      <x:c r="M22" s="9" t="str">
        <x:f>'Evaluation Plan'!M22</x:f>
        <x:v>green block</x:v>
      </x:c>
      <x:c r="N22" s="9" t="str">
        <x:f>'Evaluation Plan'!N22</x:f>
        <x:v>Left</x:v>
      </x:c>
      <x:c r="O22" s="9" t="n">
        <x:f>'Evaluation Plan'!O22</x:f>
        <x:v>2</x:v>
      </x:c>
      <x:c r="P22" s="9" t="n">
        <x:f>IF(ISBLANK('Evaluation Plan'!P22),"",'Evaluation Plan'!P22)</x:f>
        <x:v>8</x:v>
      </x:c>
      <x:c r="Q22" s="9" t="str">
        <x:f>'Evaluation Plan'!Q22</x:f>
        <x:v>Build the listed two-object scene and save a first-frame filename.</x:v>
      </x:c>
      <x:c r="R22" s="10" t="str">
        <x:f>'Evaluation Plan'!R22</x:f>
        <x:v>Primary missing cell. Training episode 1080 contains the same target trajectory but masks the size word with a direct identity prompt.</x:v>
      </x:c>
      <x:c r="S22" s="10" t="str">
        <x:f>IF(ISBLANK('Evaluation Plan'!S22),"",'Evaluation Plan'!S22)</x:f>
      </x:c>
    </x:row>
    <x:row r="23" ht="68" customHeight="1">
      <x:c r="A23" s="8" t="str">
        <x:v>Not collected</x:v>
      </x:c>
      <x:c r="B23" s="8" t="n">
        <x:f>'Evaluation Plan'!B23</x:f>
        <x:v>21</x:v>
      </x:c>
      <x:c r="C23" s="7" t="str">
        <x:f>'Evaluation Plan'!C23</x:f>
        <x:v>Put the green block in the bowl.</x:v>
      </x:c>
      <x:c r="D23" s="7" t="str">
        <x:f>'Evaluation Plan'!D23</x:f>
        <x:v>Bowl: empty. Table, robot-left→robot-right: P1 green block; P2 red pencil sharpener. Adjacent centers 8 cm apart; row centered on the workspace; all objects fully visible and grasp paths clear.</x:v>
      </x:c>
      <x:c r="E23" s="8" t="n">
        <x:f>IF(ISBLANK('Evaluation Plan'!E23),"",'Evaluation Plan'!E23)</x:f>
        <x:v>20</x:v>
      </x:c>
      <x:c r="F23" s="8" t="str">
        <x:f>'Evaluation Plan'!F23</x:f>
        <x:v>1075</x:v>
      </x:c>
      <x:c r="G23" s="8" t="str">
        <x:f>'Evaluation Plan'!G23</x:f>
        <x:v>MOVE green block to bowl</x:v>
      </x:c>
      <x:c r="H23" s="7"/>
      <x:c r="I23" s="8" t="str">
        <x:f>'Evaluation Plan'!I23</x:f>
        <x:v>Matched manipulation control</x:v>
      </x:c>
      <x:c r="J23" s="8" t="str">
        <x:f>'Evaluation Plan'!J23</x:f>
        <x:v>SZ-CT-LG01</x:v>
      </x:c>
      <x:c r="K23" s="8" t="str">
        <x:f>'Evaluation Plan'!K23</x:f>
        <x:v>Direct</x:v>
      </x:c>
      <x:c r="L23" s="8" t="str">
        <x:f>'Evaluation Plan'!L23</x:f>
        <x:v>Same-scene direct target control</x:v>
      </x:c>
      <x:c r="M23" s="8" t="str">
        <x:f>'Evaluation Plan'!M23</x:f>
        <x:v>green block</x:v>
      </x:c>
      <x:c r="N23" s="8" t="str">
        <x:f>'Evaluation Plan'!N23</x:f>
        <x:v>Left</x:v>
      </x:c>
      <x:c r="O23" s="8" t="n">
        <x:f>'Evaluation Plan'!O23</x:f>
        <x:v>2</x:v>
      </x:c>
      <x:c r="P23" s="8" t="n">
        <x:f>IF(ISBLANK('Evaluation Plan'!P23),"",'Evaluation Plan'!P23)</x:f>
        <x:v>8</x:v>
      </x:c>
      <x:c r="Q23" s="8" t="str">
        <x:f>'Evaluation Plan'!Q23</x:f>
        <x:v>Reset the target to its original pose; change only the prompt.</x:v>
      </x:c>
      <x:c r="R23" s="7" t="str">
        <x:f>'Evaluation Plan'!R23</x:f>
        <x:v>Exact-scene control using a direct prompt supported by training episode 1075.</x:v>
      </x:c>
      <x:c r="S23" s="7" t="str">
        <x:f>IF(ISBLANK('Evaluation Plan'!S23),"",'Evaluation Plan'!S23)</x:f>
      </x:c>
    </x:row>
    <x:row r="24" ht="68" customHeight="1">
      <x:c r="A24" s="8" t="str">
        <x:v>Not collected</x:v>
      </x:c>
      <x:c r="B24" s="8" t="n">
        <x:f>'Evaluation Plan'!B24</x:f>
        <x:v>22</x:v>
      </x:c>
      <x:c r="C24" s="7" t="str">
        <x:f>'Evaluation Plan'!C24</x:f>
        <x:v>Choose the biggest item and move it into the bowl.</x:v>
      </x:c>
      <x:c r="D24" s="7" t="str">
        <x:f>'Evaluation Plan'!D24</x:f>
        <x:v>Bowl: empty. Table, robot-left→robot-right: P1 green block; P2 red pencil sharpener. Adjacent centers 8 cm apart; row centered on the workspace; all objects fully visible and grasp paths clear.</x:v>
      </x:c>
      <x:c r="E24" s="8" t="n">
        <x:f>IF(ISBLANK('Evaluation Plan'!E24),"",'Evaluation Plan'!E24)</x:f>
        <x:v>20</x:v>
      </x:c>
      <x:c r="F24" s="8" t="str">
        <x:f>'Evaluation Plan'!F24</x:f>
        <x:v>1080</x:v>
      </x:c>
      <x:c r="G24" s="8" t="str">
        <x:f>'Evaluation Plan'!G24</x:f>
        <x:v>MOVE green block to bowl</x:v>
      </x:c>
      <x:c r="H24" s="7"/>
      <x:c r="I24" s="8" t="str">
        <x:f>'Evaluation Plan'!I24</x:f>
        <x:v>Language robustness</x:v>
      </x:c>
      <x:c r="J24" s="8" t="str">
        <x:f>'Evaluation Plan'!J24</x:f>
        <x:v>SZ-CT-LG01</x:v>
      </x:c>
      <x:c r="K24" s="8" t="str">
        <x:f>'Evaluation Plan'!K24</x:f>
        <x:v>largest</x:v>
      </x:c>
      <x:c r="L24" s="8" t="str">
        <x:f>'Evaluation Plan'!L24</x:f>
        <x:v>Primary compositional-transfer prompt paraphrase</x:v>
      </x:c>
      <x:c r="M24" s="8" t="str">
        <x:f>'Evaluation Plan'!M24</x:f>
        <x:v>green block</x:v>
      </x:c>
      <x:c r="N24" s="8" t="str">
        <x:f>'Evaluation Plan'!N24</x:f>
        <x:v>Left</x:v>
      </x:c>
      <x:c r="O24" s="8" t="n">
        <x:f>'Evaluation Plan'!O24</x:f>
        <x:v>2</x:v>
      </x:c>
      <x:c r="P24" s="8" t="n">
        <x:f>IF(ISBLANK('Evaluation Plan'!P24),"",'Evaluation Plan'!P24)</x:f>
        <x:v>8</x:v>
      </x:c>
      <x:c r="Q24" s="8" t="str">
        <x:f>'Evaluation Plan'!Q24</x:f>
        <x:v>Reset the target; preserve the exact scene and paraphrase only the transfer prompt.</x:v>
      </x:c>
      <x:c r="R24" s="7" t="str">
        <x:f>'Evaluation Plan'!R24</x:f>
        <x:v>Exact-scene paraphrase of the primary transfer instruction.</x:v>
      </x:c>
      <x:c r="S24" s="7" t="str">
        <x:f>IF(ISBLANK('Evaluation Plan'!S24),"",'Evaluation Plan'!S24)</x:f>
      </x:c>
    </x:row>
    <x:row r="25" ht="68" customHeight="1">
      <x:c r="A25" s="8" t="str">
        <x:v>Not collected</x:v>
      </x:c>
      <x:c r="B25" s="8" t="n">
        <x:f>'Evaluation Plan'!B25</x:f>
        <x:v>23</x:v>
      </x:c>
      <x:c r="C25" s="7" t="str">
        <x:f>'Evaluation Plan'!C25</x:f>
        <x:v>Transfer the green block from the table into the bowl.</x:v>
      </x:c>
      <x:c r="D25" s="7" t="str">
        <x:f>'Evaluation Plan'!D25</x:f>
        <x:v>Bowl: empty. Table, robot-left→robot-right: P1 green block; P2 red pencil sharpener. Adjacent centers 8 cm apart; row centered on the workspace; all objects fully visible and grasp paths clear.</x:v>
      </x:c>
      <x:c r="E25" s="8" t="n">
        <x:f>IF(ISBLANK('Evaluation Plan'!E25),"",'Evaluation Plan'!E25)</x:f>
        <x:v>21</x:v>
      </x:c>
      <x:c r="F25" s="8" t="str">
        <x:f>'Evaluation Plan'!F25</x:f>
        <x:v>1075</x:v>
      </x:c>
      <x:c r="G25" s="8" t="str">
        <x:f>'Evaluation Plan'!G25</x:f>
        <x:v>MOVE green block to bowl</x:v>
      </x:c>
      <x:c r="H25" s="7"/>
      <x:c r="I25" s="8" t="str">
        <x:f>'Evaluation Plan'!I25</x:f>
        <x:v>Language robustness</x:v>
      </x:c>
      <x:c r="J25" s="8" t="str">
        <x:f>'Evaluation Plan'!J25</x:f>
        <x:v>SZ-CT-LG01</x:v>
      </x:c>
      <x:c r="K25" s="8" t="str">
        <x:f>'Evaluation Plan'!K25</x:f>
        <x:v>Direct</x:v>
      </x:c>
      <x:c r="L25" s="8" t="str">
        <x:f>'Evaluation Plan'!L25</x:f>
        <x:v>Matched-control direct prompt paraphrase</x:v>
      </x:c>
      <x:c r="M25" s="8" t="str">
        <x:f>'Evaluation Plan'!M25</x:f>
        <x:v>green block</x:v>
      </x:c>
      <x:c r="N25" s="8" t="str">
        <x:f>'Evaluation Plan'!N25</x:f>
        <x:v>Left</x:v>
      </x:c>
      <x:c r="O25" s="8" t="n">
        <x:f>'Evaluation Plan'!O25</x:f>
        <x:v>2</x:v>
      </x:c>
      <x:c r="P25" s="8" t="n">
        <x:f>IF(ISBLANK('Evaluation Plan'!P25),"",'Evaluation Plan'!P25)</x:f>
        <x:v>8</x:v>
      </x:c>
      <x:c r="Q25" s="8" t="str">
        <x:f>'Evaluation Plan'!Q25</x:f>
        <x:v>Reset the target; preserve the exact scene and paraphrase only the matched-control prompt.</x:v>
      </x:c>
      <x:c r="R25" s="7" t="str">
        <x:f>'Evaluation Plan'!R25</x:f>
        <x:v>Exact-scene paraphrase of the direct manipulation control.</x:v>
      </x:c>
      <x:c r="S25" s="7" t="str">
        <x:f>IF(ISBLANK('Evaluation Plan'!S25),"",'Evaluation Plan'!S25)</x:f>
      </x:c>
    </x:row>
    <x:row r="26" ht="68" customHeight="1">
      <x:c r="A26" s="9" t="str">
        <x:v>Not collected</x:v>
      </x:c>
      <x:c r="B26" s="9" t="n">
        <x:f>'Evaluation Plan'!B26</x:f>
        <x:v>24</x:v>
      </x:c>
      <x:c r="C26" s="10" t="str">
        <x:f>'Evaluation Plan'!C26</x:f>
        <x:v>Pick up the smallest item and place it in the bowl.</x:v>
      </x:c>
      <x:c r="D26" s="10" t="str">
        <x:f>'Evaluation Plan'!D26</x:f>
        <x:v>Bowl: empty. Table, robot-left→robot-right: P1 crushed Pepsi can; P2 juggling ball. Adjacent centers 12 cm apart; row shifted 4 cm toward robot-right; all objects fully visible and grasp paths clear.</x:v>
      </x:c>
      <x:c r="E26" s="9" t="str">
        <x:f>IF(ISBLANK('Evaluation Plan'!E26),"",'Evaluation Plan'!E26)</x:f>
      </x:c>
      <x:c r="F26" s="9" t="str">
        <x:f>'Evaluation Plan'!F26</x:f>
        <x:v>1105</x:v>
      </x:c>
      <x:c r="G26" s="9" t="str">
        <x:f>'Evaluation Plan'!G26</x:f>
        <x:v>MOVE juggling ball to bowl</x:v>
      </x:c>
      <x:c r="H26" s="10"/>
      <x:c r="I26" s="9" t="str">
        <x:f>'Evaluation Plan'!I26</x:f>
        <x:v>Concept/compositional transfer</x:v>
      </x:c>
      <x:c r="J26" s="9" t="str">
        <x:f>'Evaluation Plan'!J26</x:f>
        <x:v>SZ-CT-SJ01</x:v>
      </x:c>
      <x:c r="K26" s="9" t="str">
        <x:f>'Evaluation Plan'!K26</x:f>
        <x:v>smallest</x:v>
      </x:c>
      <x:c r="L26" s="9" t="str">
        <x:f>'Evaluation Plan'!L26</x:f>
        <x:v>Held-out smallest × juggling ball — Pick up</x:v>
      </x:c>
      <x:c r="M26" s="9" t="str">
        <x:f>'Evaluation Plan'!M26</x:f>
        <x:v>juggling ball</x:v>
      </x:c>
      <x:c r="N26" s="9" t="str">
        <x:f>'Evaluation Plan'!N26</x:f>
        <x:v>Right</x:v>
      </x:c>
      <x:c r="O26" s="9" t="n">
        <x:f>'Evaluation Plan'!O26</x:f>
        <x:v>2</x:v>
      </x:c>
      <x:c r="P26" s="9" t="n">
        <x:f>IF(ISBLANK('Evaluation Plan'!P26),"",'Evaluation Plan'!P26)</x:f>
        <x:v>12</x:v>
      </x:c>
      <x:c r="Q26" s="9" t="str">
        <x:f>'Evaluation Plan'!Q26</x:f>
        <x:v>Build the listed two-object scene and save a first-frame filename.</x:v>
      </x:c>
      <x:c r="R26" s="10" t="str">
        <x:f>'Evaluation Plan'!R26</x:f>
        <x:v>Primary missing cell. Training episode 1105 contains the same target trajectory but masks the size word with a direct identity prompt.</x:v>
      </x:c>
      <x:c r="S26" s="10" t="str">
        <x:f>IF(ISBLANK('Evaluation Plan'!S26),"",'Evaluation Plan'!S26)</x:f>
      </x:c>
    </x:row>
    <x:row r="27" ht="68" customHeight="1">
      <x:c r="A27" s="8" t="str">
        <x:v>Not collected</x:v>
      </x:c>
      <x:c r="B27" s="8" t="n">
        <x:f>'Evaluation Plan'!B27</x:f>
        <x:v>25</x:v>
      </x:c>
      <x:c r="C27" s="7" t="str">
        <x:f>'Evaluation Plan'!C27</x:f>
        <x:v>Put the juggling ball in the bowl.</x:v>
      </x:c>
      <x:c r="D27" s="7" t="str">
        <x:f>'Evaluation Plan'!D27</x:f>
        <x:v>Bowl: empty. Table, robot-left→robot-right: P1 crushed Pepsi can; P2 juggling ball. Adjacent centers 12 cm apart; row shifted 4 cm toward robot-right; all objects fully visible and grasp paths clear.</x:v>
      </x:c>
      <x:c r="E27" s="8" t="n">
        <x:f>IF(ISBLANK('Evaluation Plan'!E27),"",'Evaluation Plan'!E27)</x:f>
        <x:v>24</x:v>
      </x:c>
      <x:c r="F27" s="8" t="str">
        <x:f>'Evaluation Plan'!F27</x:f>
        <x:v>1100</x:v>
      </x:c>
      <x:c r="G27" s="8" t="str">
        <x:f>'Evaluation Plan'!G27</x:f>
        <x:v>MOVE juggling ball to bowl</x:v>
      </x:c>
      <x:c r="H27" s="7"/>
      <x:c r="I27" s="8" t="str">
        <x:f>'Evaluation Plan'!I27</x:f>
        <x:v>Matched manipulation control</x:v>
      </x:c>
      <x:c r="J27" s="8" t="str">
        <x:f>'Evaluation Plan'!J27</x:f>
        <x:v>SZ-CT-SJ01</x:v>
      </x:c>
      <x:c r="K27" s="8" t="str">
        <x:f>'Evaluation Plan'!K27</x:f>
        <x:v>Direct</x:v>
      </x:c>
      <x:c r="L27" s="8" t="str">
        <x:f>'Evaluation Plan'!L27</x:f>
        <x:v>Same-scene direct target control</x:v>
      </x:c>
      <x:c r="M27" s="8" t="str">
        <x:f>'Evaluation Plan'!M27</x:f>
        <x:v>juggling ball</x:v>
      </x:c>
      <x:c r="N27" s="8" t="str">
        <x:f>'Evaluation Plan'!N27</x:f>
        <x:v>Right</x:v>
      </x:c>
      <x:c r="O27" s="8" t="n">
        <x:f>'Evaluation Plan'!O27</x:f>
        <x:v>2</x:v>
      </x:c>
      <x:c r="P27" s="8" t="n">
        <x:f>IF(ISBLANK('Evaluation Plan'!P27),"",'Evaluation Plan'!P27)</x:f>
        <x:v>12</x:v>
      </x:c>
      <x:c r="Q27" s="8" t="str">
        <x:f>'Evaluation Plan'!Q27</x:f>
        <x:v>Reset the target to its original pose; change only the prompt.</x:v>
      </x:c>
      <x:c r="R27" s="7" t="str">
        <x:f>'Evaluation Plan'!R27</x:f>
        <x:v>Exact-scene control using a direct prompt supported by training episode 1100.</x:v>
      </x:c>
      <x:c r="S27" s="7" t="str">
        <x:f>IF(ISBLANK('Evaluation Plan'!S27),"",'Evaluation Plan'!S27)</x:f>
      </x:c>
    </x:row>
    <x:row r="28" ht="68" customHeight="1">
      <x:c r="A28" s="8" t="str">
        <x:v>Not collected</x:v>
      </x:c>
      <x:c r="B28" s="8" t="n">
        <x:f>'Evaluation Plan'!B28</x:f>
        <x:v>26</x:v>
      </x:c>
      <x:c r="C28" s="7" t="str">
        <x:f>'Evaluation Plan'!C28</x:f>
        <x:v>Choose the tiniest item and move it into the bowl.</x:v>
      </x:c>
      <x:c r="D28" s="7" t="str">
        <x:f>'Evaluation Plan'!D28</x:f>
        <x:v>Bowl: empty. Table, robot-left→robot-right: P1 crushed Pepsi can; P2 juggling ball. Adjacent centers 12 cm apart; row shifted 4 cm toward robot-right; all objects fully visible and grasp paths clear.</x:v>
      </x:c>
      <x:c r="E28" s="8" t="n">
        <x:f>IF(ISBLANK('Evaluation Plan'!E28),"",'Evaluation Plan'!E28)</x:f>
        <x:v>24</x:v>
      </x:c>
      <x:c r="F28" s="8" t="str">
        <x:f>'Evaluation Plan'!F28</x:f>
        <x:v>1105</x:v>
      </x:c>
      <x:c r="G28" s="8" t="str">
        <x:f>'Evaluation Plan'!G28</x:f>
        <x:v>MOVE juggling ball to bowl</x:v>
      </x:c>
      <x:c r="H28" s="7"/>
      <x:c r="I28" s="8" t="str">
        <x:f>'Evaluation Plan'!I28</x:f>
        <x:v>Language robustness</x:v>
      </x:c>
      <x:c r="J28" s="8" t="str">
        <x:f>'Evaluation Plan'!J28</x:f>
        <x:v>SZ-CT-SJ01</x:v>
      </x:c>
      <x:c r="K28" s="8" t="str">
        <x:f>'Evaluation Plan'!K28</x:f>
        <x:v>smallest</x:v>
      </x:c>
      <x:c r="L28" s="8" t="str">
        <x:f>'Evaluation Plan'!L28</x:f>
        <x:v>Primary compositional-transfer prompt paraphrase</x:v>
      </x:c>
      <x:c r="M28" s="8" t="str">
        <x:f>'Evaluation Plan'!M28</x:f>
        <x:v>juggling ball</x:v>
      </x:c>
      <x:c r="N28" s="8" t="str">
        <x:f>'Evaluation Plan'!N28</x:f>
        <x:v>Right</x:v>
      </x:c>
      <x:c r="O28" s="8" t="n">
        <x:f>'Evaluation Plan'!O28</x:f>
        <x:v>2</x:v>
      </x:c>
      <x:c r="P28" s="8" t="n">
        <x:f>IF(ISBLANK('Evaluation Plan'!P28),"",'Evaluation Plan'!P28)</x:f>
        <x:v>12</x:v>
      </x:c>
      <x:c r="Q28" s="8" t="str">
        <x:f>'Evaluation Plan'!Q28</x:f>
        <x:v>Reset the target; preserve the exact scene and paraphrase only the transfer prompt.</x:v>
      </x:c>
      <x:c r="R28" s="7" t="str">
        <x:f>'Evaluation Plan'!R28</x:f>
        <x:v>Exact-scene paraphrase of the primary transfer instruction.</x:v>
      </x:c>
      <x:c r="S28" s="7" t="str">
        <x:f>IF(ISBLANK('Evaluation Plan'!S28),"",'Evaluation Plan'!S28)</x:f>
      </x:c>
    </x:row>
    <x:row r="29" ht="68" customHeight="1">
      <x:c r="A29" s="8" t="str">
        <x:v>Not collected</x:v>
      </x:c>
      <x:c r="B29" s="8" t="n">
        <x:f>'Evaluation Plan'!B29</x:f>
        <x:v>27</x:v>
      </x:c>
      <x:c r="C29" s="7" t="str">
        <x:f>'Evaluation Plan'!C29</x:f>
        <x:v>Transfer the juggling ball from the table into the bowl.</x:v>
      </x:c>
      <x:c r="D29" s="7" t="str">
        <x:f>'Evaluation Plan'!D29</x:f>
        <x:v>Bowl: empty. Table, robot-left→robot-right: P1 crushed Pepsi can; P2 juggling ball. Adjacent centers 12 cm apart; row shifted 4 cm toward robot-right; all objects fully visible and grasp paths clear.</x:v>
      </x:c>
      <x:c r="E29" s="8" t="n">
        <x:f>IF(ISBLANK('Evaluation Plan'!E29),"",'Evaluation Plan'!E29)</x:f>
        <x:v>25</x:v>
      </x:c>
      <x:c r="F29" s="8" t="str">
        <x:f>'Evaluation Plan'!F29</x:f>
        <x:v>1100</x:v>
      </x:c>
      <x:c r="G29" s="8" t="str">
        <x:f>'Evaluation Plan'!G29</x:f>
        <x:v>MOVE juggling ball to bowl</x:v>
      </x:c>
      <x:c r="H29" s="7"/>
      <x:c r="I29" s="8" t="str">
        <x:f>'Evaluation Plan'!I29</x:f>
        <x:v>Language robustness</x:v>
      </x:c>
      <x:c r="J29" s="8" t="str">
        <x:f>'Evaluation Plan'!J29</x:f>
        <x:v>SZ-CT-SJ01</x:v>
      </x:c>
      <x:c r="K29" s="8" t="str">
        <x:f>'Evaluation Plan'!K29</x:f>
        <x:v>Direct</x:v>
      </x:c>
      <x:c r="L29" s="8" t="str">
        <x:f>'Evaluation Plan'!L29</x:f>
        <x:v>Matched-control direct prompt paraphrase</x:v>
      </x:c>
      <x:c r="M29" s="8" t="str">
        <x:f>'Evaluation Plan'!M29</x:f>
        <x:v>juggling ball</x:v>
      </x:c>
      <x:c r="N29" s="8" t="str">
        <x:f>'Evaluation Plan'!N29</x:f>
        <x:v>Right</x:v>
      </x:c>
      <x:c r="O29" s="8" t="n">
        <x:f>'Evaluation Plan'!O29</x:f>
        <x:v>2</x:v>
      </x:c>
      <x:c r="P29" s="8" t="n">
        <x:f>IF(ISBLANK('Evaluation Plan'!P29),"",'Evaluation Plan'!P29)</x:f>
        <x:v>12</x:v>
      </x:c>
      <x:c r="Q29" s="8" t="str">
        <x:f>'Evaluation Plan'!Q29</x:f>
        <x:v>Reset the target; preserve the exact scene and paraphrase only the matched-control prompt.</x:v>
      </x:c>
      <x:c r="R29" s="7" t="str">
        <x:f>'Evaluation Plan'!R29</x:f>
        <x:v>Exact-scene paraphrase of the direct manipulation control.</x:v>
      </x:c>
      <x:c r="S29" s="7" t="str">
        <x:f>IF(ISBLANK('Evaluation Plan'!S29),"",'Evaluation Plan'!S29)</x:f>
      </x:c>
    </x:row>
    <x:row r="30" ht="68" customHeight="1">
      <x:c r="A30" s="9" t="str">
        <x:v>Not collected</x:v>
      </x:c>
      <x:c r="B30" s="9" t="n">
        <x:f>'Evaluation Plan'!B30</x:f>
        <x:v>28</x:v>
      </x:c>
      <x:c r="C30" s="10" t="str">
        <x:f>'Evaluation Plan'!C30</x:f>
        <x:v>Pick up the largest item and place it in the bowl.</x:v>
      </x:c>
      <x:c r="D30" s="10" t="str">
        <x:f>'Evaluation Plan'!D30</x:f>
        <x:v>Bowl: empty. Table, robot-left→robot-right: P1 red pencil sharpener; P2 green block. Adjacent centers 12 cm apart; row shifted 4 cm toward robot-left; all objects fully visible and grasp paths clear.</x:v>
      </x:c>
      <x:c r="E30" s="9" t="str">
        <x:f>IF(ISBLANK('Evaluation Plan'!E30),"",'Evaluation Plan'!E30)</x:f>
      </x:c>
      <x:c r="F30" s="9" t="str">
        <x:f>'Evaluation Plan'!F30</x:f>
        <x:v>1081</x:v>
      </x:c>
      <x:c r="G30" s="9" t="str">
        <x:f>'Evaluation Plan'!G30</x:f>
        <x:v>MOVE green block to bowl</x:v>
      </x:c>
      <x:c r="H30" s="10"/>
      <x:c r="I30" s="9" t="str">
        <x:f>'Evaluation Plan'!I30</x:f>
        <x:v>Concept/compositional transfer</x:v>
      </x:c>
      <x:c r="J30" s="9" t="str">
        <x:f>'Evaluation Plan'!J30</x:f>
        <x:v>SZ-CT-LG02</x:v>
      </x:c>
      <x:c r="K30" s="9" t="str">
        <x:f>'Evaluation Plan'!K30</x:f>
        <x:v>largest</x:v>
      </x:c>
      <x:c r="L30" s="9" t="str">
        <x:f>'Evaluation Plan'!L30</x:f>
        <x:v>Held-out largest × green block — Pick up</x:v>
      </x:c>
      <x:c r="M30" s="9" t="str">
        <x:f>'Evaluation Plan'!M30</x:f>
        <x:v>green block</x:v>
      </x:c>
      <x:c r="N30" s="9" t="str">
        <x:f>'Evaluation Plan'!N30</x:f>
        <x:v>Right</x:v>
      </x:c>
      <x:c r="O30" s="9" t="n">
        <x:f>'Evaluation Plan'!O30</x:f>
        <x:v>2</x:v>
      </x:c>
      <x:c r="P30" s="9" t="n">
        <x:f>IF(ISBLANK('Evaluation Plan'!P30),"",'Evaluation Plan'!P30)</x:f>
        <x:v>12</x:v>
      </x:c>
      <x:c r="Q30" s="9" t="str">
        <x:f>'Evaluation Plan'!Q30</x:f>
        <x:v>Build the listed two-object scene and save a first-frame filename.</x:v>
      </x:c>
      <x:c r="R30" s="10" t="str">
        <x:f>'Evaluation Plan'!R30</x:f>
        <x:v>Primary missing cell. Training episode 1081 contains the same target trajectory but masks the size word with a direct identity prompt.</x:v>
      </x:c>
      <x:c r="S30" s="10" t="str">
        <x:f>IF(ISBLANK('Evaluation Plan'!S30),"",'Evaluation Plan'!S30)</x:f>
      </x:c>
    </x:row>
    <x:row r="31" ht="68" customHeight="1">
      <x:c r="A31" s="8" t="str">
        <x:v>Not collected</x:v>
      </x:c>
      <x:c r="B31" s="8" t="n">
        <x:f>'Evaluation Plan'!B31</x:f>
        <x:v>29</x:v>
      </x:c>
      <x:c r="C31" s="7" t="str">
        <x:f>'Evaluation Plan'!C31</x:f>
        <x:v>Move the green block into the bowl.</x:v>
      </x:c>
      <x:c r="D31" s="7" t="str">
        <x:f>'Evaluation Plan'!D31</x:f>
        <x:v>Bowl: empty. Table, robot-left→robot-right: P1 red pencil sharpener; P2 green block. Adjacent centers 12 cm apart; row shifted 4 cm toward robot-left; all objects fully visible and grasp paths clear.</x:v>
      </x:c>
      <x:c r="E31" s="8" t="n">
        <x:f>IF(ISBLANK('Evaluation Plan'!E31),"",'Evaluation Plan'!E31)</x:f>
        <x:v>28</x:v>
      </x:c>
      <x:c r="F31" s="8" t="str">
        <x:f>'Evaluation Plan'!F31</x:f>
        <x:v>1076</x:v>
      </x:c>
      <x:c r="G31" s="8" t="str">
        <x:f>'Evaluation Plan'!G31</x:f>
        <x:v>MOVE green block to bowl</x:v>
      </x:c>
      <x:c r="H31" s="7"/>
      <x:c r="I31" s="8" t="str">
        <x:f>'Evaluation Plan'!I31</x:f>
        <x:v>Matched manipulation control</x:v>
      </x:c>
      <x:c r="J31" s="8" t="str">
        <x:f>'Evaluation Plan'!J31</x:f>
        <x:v>SZ-CT-LG02</x:v>
      </x:c>
      <x:c r="K31" s="8" t="str">
        <x:f>'Evaluation Plan'!K31</x:f>
        <x:v>Direct</x:v>
      </x:c>
      <x:c r="L31" s="8" t="str">
        <x:f>'Evaluation Plan'!L31</x:f>
        <x:v>Same-scene direct target control</x:v>
      </x:c>
      <x:c r="M31" s="8" t="str">
        <x:f>'Evaluation Plan'!M31</x:f>
        <x:v>green block</x:v>
      </x:c>
      <x:c r="N31" s="8" t="str">
        <x:f>'Evaluation Plan'!N31</x:f>
        <x:v>Right</x:v>
      </x:c>
      <x:c r="O31" s="8" t="n">
        <x:f>'Evaluation Plan'!O31</x:f>
        <x:v>2</x:v>
      </x:c>
      <x:c r="P31" s="8" t="n">
        <x:f>IF(ISBLANK('Evaluation Plan'!P31),"",'Evaluation Plan'!P31)</x:f>
        <x:v>12</x:v>
      </x:c>
      <x:c r="Q31" s="8" t="str">
        <x:f>'Evaluation Plan'!Q31</x:f>
        <x:v>Reset the target to its original pose; change only the prompt.</x:v>
      </x:c>
      <x:c r="R31" s="7" t="str">
        <x:f>'Evaluation Plan'!R31</x:f>
        <x:v>Exact-scene control using a direct prompt supported by training episode 1076.</x:v>
      </x:c>
      <x:c r="S31" s="7" t="str">
        <x:f>IF(ISBLANK('Evaluation Plan'!S31),"",'Evaluation Plan'!S31)</x:f>
      </x:c>
    </x:row>
    <x:row r="32" ht="68" customHeight="1">
      <x:c r="A32" s="8" t="str">
        <x:v>Not collected</x:v>
      </x:c>
      <x:c r="B32" s="8" t="n">
        <x:f>'Evaluation Plan'!B32</x:f>
        <x:v>30</x:v>
      </x:c>
      <x:c r="C32" s="7" t="str">
        <x:f>'Evaluation Plan'!C32</x:f>
        <x:v>Place whichever object is greatest in size inside the bowl.</x:v>
      </x:c>
      <x:c r="D32" s="7" t="str">
        <x:f>'Evaluation Plan'!D32</x:f>
        <x:v>Bowl: empty. Table, robot-left→robot-right: P1 red pencil sharpener; P2 green block. Adjacent centers 12 cm apart; row shifted 4 cm toward robot-left; all objects fully visible and grasp paths clear.</x:v>
      </x:c>
      <x:c r="E32" s="8" t="n">
        <x:f>IF(ISBLANK('Evaluation Plan'!E32),"",'Evaluation Plan'!E32)</x:f>
        <x:v>28</x:v>
      </x:c>
      <x:c r="F32" s="8" t="str">
        <x:f>'Evaluation Plan'!F32</x:f>
        <x:v>1081</x:v>
      </x:c>
      <x:c r="G32" s="8" t="str">
        <x:f>'Evaluation Plan'!G32</x:f>
        <x:v>MOVE green block to bowl</x:v>
      </x:c>
      <x:c r="H32" s="7"/>
      <x:c r="I32" s="8" t="str">
        <x:f>'Evaluation Plan'!I32</x:f>
        <x:v>Language robustness</x:v>
      </x:c>
      <x:c r="J32" s="8" t="str">
        <x:f>'Evaluation Plan'!J32</x:f>
        <x:v>SZ-CT-LG02</x:v>
      </x:c>
      <x:c r="K32" s="8" t="str">
        <x:f>'Evaluation Plan'!K32</x:f>
        <x:v>largest</x:v>
      </x:c>
      <x:c r="L32" s="8" t="str">
        <x:f>'Evaluation Plan'!L32</x:f>
        <x:v>Primary compositional-transfer prompt paraphrase</x:v>
      </x:c>
      <x:c r="M32" s="8" t="str">
        <x:f>'Evaluation Plan'!M32</x:f>
        <x:v>green block</x:v>
      </x:c>
      <x:c r="N32" s="8" t="str">
        <x:f>'Evaluation Plan'!N32</x:f>
        <x:v>Right</x:v>
      </x:c>
      <x:c r="O32" s="8" t="n">
        <x:f>'Evaluation Plan'!O32</x:f>
        <x:v>2</x:v>
      </x:c>
      <x:c r="P32" s="8" t="n">
        <x:f>IF(ISBLANK('Evaluation Plan'!P32),"",'Evaluation Plan'!P32)</x:f>
        <x:v>12</x:v>
      </x:c>
      <x:c r="Q32" s="8" t="str">
        <x:f>'Evaluation Plan'!Q32</x:f>
        <x:v>Reset the target; preserve the exact scene and paraphrase only the transfer prompt.</x:v>
      </x:c>
      <x:c r="R32" s="7" t="str">
        <x:f>'Evaluation Plan'!R32</x:f>
        <x:v>Exact-scene paraphrase of the primary transfer instruction.</x:v>
      </x:c>
      <x:c r="S32" s="7" t="str">
        <x:f>IF(ISBLANK('Evaluation Plan'!S32),"",'Evaluation Plan'!S32)</x:f>
      </x:c>
    </x:row>
    <x:row r="33" ht="68" customHeight="1">
      <x:c r="A33" s="8" t="str">
        <x:v>Not collected</x:v>
      </x:c>
      <x:c r="B33" s="8" t="n">
        <x:f>'Evaluation Plan'!B33</x:f>
        <x:v>31</x:v>
      </x:c>
      <x:c r="C33" s="7" t="str">
        <x:f>'Evaluation Plan'!C33</x:f>
        <x:v>Lift the green block and set it inside the bowl.</x:v>
      </x:c>
      <x:c r="D33" s="7" t="str">
        <x:f>'Evaluation Plan'!D33</x:f>
        <x:v>Bowl: empty. Table, robot-left→robot-right: P1 red pencil sharpener; P2 green block. Adjacent centers 12 cm apart; row shifted 4 cm toward robot-left; all objects fully visible and grasp paths clear.</x:v>
      </x:c>
      <x:c r="E33" s="8" t="n">
        <x:f>IF(ISBLANK('Evaluation Plan'!E33),"",'Evaluation Plan'!E33)</x:f>
        <x:v>29</x:v>
      </x:c>
      <x:c r="F33" s="8" t="str">
        <x:f>'Evaluation Plan'!F33</x:f>
        <x:v>1076</x:v>
      </x:c>
      <x:c r="G33" s="8" t="str">
        <x:f>'Evaluation Plan'!G33</x:f>
        <x:v>MOVE green block to bowl</x:v>
      </x:c>
      <x:c r="H33" s="7"/>
      <x:c r="I33" s="8" t="str">
        <x:f>'Evaluation Plan'!I33</x:f>
        <x:v>Language robustness</x:v>
      </x:c>
      <x:c r="J33" s="8" t="str">
        <x:f>'Evaluation Plan'!J33</x:f>
        <x:v>SZ-CT-LG02</x:v>
      </x:c>
      <x:c r="K33" s="8" t="str">
        <x:f>'Evaluation Plan'!K33</x:f>
        <x:v>Direct</x:v>
      </x:c>
      <x:c r="L33" s="8" t="str">
        <x:f>'Evaluation Plan'!L33</x:f>
        <x:v>Matched-control direct prompt paraphrase</x:v>
      </x:c>
      <x:c r="M33" s="8" t="str">
        <x:f>'Evaluation Plan'!M33</x:f>
        <x:v>green block</x:v>
      </x:c>
      <x:c r="N33" s="8" t="str">
        <x:f>'Evaluation Plan'!N33</x:f>
        <x:v>Right</x:v>
      </x:c>
      <x:c r="O33" s="8" t="n">
        <x:f>'Evaluation Plan'!O33</x:f>
        <x:v>2</x:v>
      </x:c>
      <x:c r="P33" s="8" t="n">
        <x:f>IF(ISBLANK('Evaluation Plan'!P33),"",'Evaluation Plan'!P33)</x:f>
        <x:v>12</x:v>
      </x:c>
      <x:c r="Q33" s="8" t="str">
        <x:f>'Evaluation Plan'!Q33</x:f>
        <x:v>Reset the target; preserve the exact scene and paraphrase only the matched-control prompt.</x:v>
      </x:c>
      <x:c r="R33" s="7" t="str">
        <x:f>'Evaluation Plan'!R33</x:f>
        <x:v>Exact-scene paraphrase of the direct manipulation control.</x:v>
      </x:c>
      <x:c r="S33" s="7" t="str">
        <x:f>IF(ISBLANK('Evaluation Plan'!S33),"",'Evaluation Plan'!S33)</x:f>
      </x:c>
    </x:row>
    <x:row r="34" ht="68" customHeight="1">
      <x:c r="A34" s="9" t="str">
        <x:v>Not collected</x:v>
      </x:c>
      <x:c r="B34" s="9" t="n">
        <x:f>'Evaluation Plan'!B34</x:f>
        <x:v>32</x:v>
      </x:c>
      <x:c r="C34" s="10" t="str">
        <x:f>'Evaluation Plan'!C34</x:f>
        <x:v>Put the smallest object in the bowl.</x:v>
      </x:c>
      <x:c r="D34" s="10" t="str">
        <x:f>'Evaluation Plan'!D34</x:f>
        <x:v>Bowl: empty. Table, robot-left→robot-right: P1 juggling ball; P2 crushed Pepsi can. Adjacent centers 16 cm apart; row shifted 4 cm toward the robot; all objects fully visible and grasp paths clear.</x:v>
      </x:c>
      <x:c r="E34" s="9" t="str">
        <x:f>IF(ISBLANK('Evaluation Plan'!E34),"",'Evaluation Plan'!E34)</x:f>
      </x:c>
      <x:c r="F34" s="9" t="str">
        <x:f>'Evaluation Plan'!F34</x:f>
        <x:v>1106</x:v>
      </x:c>
      <x:c r="G34" s="9" t="str">
        <x:f>'Evaluation Plan'!G34</x:f>
        <x:v>MOVE juggling ball to bowl</x:v>
      </x:c>
      <x:c r="H34" s="10"/>
      <x:c r="I34" s="9" t="str">
        <x:f>'Evaluation Plan'!I34</x:f>
        <x:v>Concept/compositional transfer</x:v>
      </x:c>
      <x:c r="J34" s="9" t="str">
        <x:f>'Evaluation Plan'!J34</x:f>
        <x:v>SZ-CT-SJ02</x:v>
      </x:c>
      <x:c r="K34" s="9" t="str">
        <x:f>'Evaluation Plan'!K34</x:f>
        <x:v>smallest</x:v>
      </x:c>
      <x:c r="L34" s="9" t="str">
        <x:f>'Evaluation Plan'!L34</x:f>
        <x:v>Held-out smallest × juggling ball — Put</x:v>
      </x:c>
      <x:c r="M34" s="9" t="str">
        <x:f>'Evaluation Plan'!M34</x:f>
        <x:v>juggling ball</x:v>
      </x:c>
      <x:c r="N34" s="9" t="str">
        <x:f>'Evaluation Plan'!N34</x:f>
        <x:v>Left</x:v>
      </x:c>
      <x:c r="O34" s="9" t="n">
        <x:f>'Evaluation Plan'!O34</x:f>
        <x:v>2</x:v>
      </x:c>
      <x:c r="P34" s="9" t="n">
        <x:f>IF(ISBLANK('Evaluation Plan'!P34),"",'Evaluation Plan'!P34)</x:f>
        <x:v>16</x:v>
      </x:c>
      <x:c r="Q34" s="9" t="str">
        <x:f>'Evaluation Plan'!Q34</x:f>
        <x:v>Build the listed two-object scene and save a first-frame filename.</x:v>
      </x:c>
      <x:c r="R34" s="10" t="str">
        <x:f>'Evaluation Plan'!R34</x:f>
        <x:v>Primary missing cell. Training episode 1106 contains the same target trajectory but masks the size word with a direct identity prompt.</x:v>
      </x:c>
      <x:c r="S34" s="10" t="str">
        <x:f>IF(ISBLANK('Evaluation Plan'!S34),"",'Evaluation Plan'!S34)</x:f>
      </x:c>
    </x:row>
    <x:row r="35" ht="68" customHeight="1">
      <x:c r="A35" s="8" t="str">
        <x:v>Not collected</x:v>
      </x:c>
      <x:c r="B35" s="8" t="n">
        <x:f>'Evaluation Plan'!B35</x:f>
        <x:v>33</x:v>
      </x:c>
      <x:c r="C35" s="7" t="str">
        <x:f>'Evaluation Plan'!C35</x:f>
        <x:v>Move the juggling ball into the bowl.</x:v>
      </x:c>
      <x:c r="D35" s="7" t="str">
        <x:f>'Evaluation Plan'!D35</x:f>
        <x:v>Bowl: empty. Table, robot-left→robot-right: P1 juggling ball; P2 crushed Pepsi can. Adjacent centers 16 cm apart; row shifted 4 cm toward the robot; all objects fully visible and grasp paths clear.</x:v>
      </x:c>
      <x:c r="E35" s="8" t="n">
        <x:f>IF(ISBLANK('Evaluation Plan'!E35),"",'Evaluation Plan'!E35)</x:f>
        <x:v>32</x:v>
      </x:c>
      <x:c r="F35" s="8" t="str">
        <x:f>'Evaluation Plan'!F35</x:f>
        <x:v>1101</x:v>
      </x:c>
      <x:c r="G35" s="8" t="str">
        <x:f>'Evaluation Plan'!G35</x:f>
        <x:v>MOVE juggling ball to bowl</x:v>
      </x:c>
      <x:c r="H35" s="7"/>
      <x:c r="I35" s="8" t="str">
        <x:f>'Evaluation Plan'!I35</x:f>
        <x:v>Matched manipulation control</x:v>
      </x:c>
      <x:c r="J35" s="8" t="str">
        <x:f>'Evaluation Plan'!J35</x:f>
        <x:v>SZ-CT-SJ02</x:v>
      </x:c>
      <x:c r="K35" s="8" t="str">
        <x:f>'Evaluation Plan'!K35</x:f>
        <x:v>Direct</x:v>
      </x:c>
      <x:c r="L35" s="8" t="str">
        <x:f>'Evaluation Plan'!L35</x:f>
        <x:v>Same-scene direct target control</x:v>
      </x:c>
      <x:c r="M35" s="8" t="str">
        <x:f>'Evaluation Plan'!M35</x:f>
        <x:v>juggling ball</x:v>
      </x:c>
      <x:c r="N35" s="8" t="str">
        <x:f>'Evaluation Plan'!N35</x:f>
        <x:v>Left</x:v>
      </x:c>
      <x:c r="O35" s="8" t="n">
        <x:f>'Evaluation Plan'!O35</x:f>
        <x:v>2</x:v>
      </x:c>
      <x:c r="P35" s="8" t="n">
        <x:f>IF(ISBLANK('Evaluation Plan'!P35),"",'Evaluation Plan'!P35)</x:f>
        <x:v>16</x:v>
      </x:c>
      <x:c r="Q35" s="8" t="str">
        <x:f>'Evaluation Plan'!Q35</x:f>
        <x:v>Reset the target to its original pose; change only the prompt.</x:v>
      </x:c>
      <x:c r="R35" s="7" t="str">
        <x:f>'Evaluation Plan'!R35</x:f>
        <x:v>Exact-scene control using a direct prompt supported by training episode 1101.</x:v>
      </x:c>
      <x:c r="S35" s="7" t="str">
        <x:f>IF(ISBLANK('Evaluation Plan'!S35),"",'Evaluation Plan'!S35)</x:f>
      </x:c>
    </x:row>
    <x:row r="36" ht="68" customHeight="1">
      <x:c r="A36" s="8" t="str">
        <x:v>Not collected</x:v>
      </x:c>
      <x:c r="B36" s="8" t="n">
        <x:f>'Evaluation Plan'!B36</x:f>
        <x:v>34</x:v>
      </x:c>
      <x:c r="C36" s="7" t="str">
        <x:f>'Evaluation Plan'!C36</x:f>
        <x:v>Place whichever object is least in size inside the bowl.</x:v>
      </x:c>
      <x:c r="D36" s="7" t="str">
        <x:f>'Evaluation Plan'!D36</x:f>
        <x:v>Bowl: empty. Table, robot-left→robot-right: P1 juggling ball; P2 crushed Pepsi can. Adjacent centers 16 cm apart; row shifted 4 cm toward the robot; all objects fully visible and grasp paths clear.</x:v>
      </x:c>
      <x:c r="E36" s="8" t="n">
        <x:f>IF(ISBLANK('Evaluation Plan'!E36),"",'Evaluation Plan'!E36)</x:f>
        <x:v>32</x:v>
      </x:c>
      <x:c r="F36" s="8" t="str">
        <x:f>'Evaluation Plan'!F36</x:f>
        <x:v>1106</x:v>
      </x:c>
      <x:c r="G36" s="8" t="str">
        <x:f>'Evaluation Plan'!G36</x:f>
        <x:v>MOVE juggling ball to bowl</x:v>
      </x:c>
      <x:c r="H36" s="7"/>
      <x:c r="I36" s="8" t="str">
        <x:f>'Evaluation Plan'!I36</x:f>
        <x:v>Language robustness</x:v>
      </x:c>
      <x:c r="J36" s="8" t="str">
        <x:f>'Evaluation Plan'!J36</x:f>
        <x:v>SZ-CT-SJ02</x:v>
      </x:c>
      <x:c r="K36" s="8" t="str">
        <x:f>'Evaluation Plan'!K36</x:f>
        <x:v>smallest</x:v>
      </x:c>
      <x:c r="L36" s="8" t="str">
        <x:f>'Evaluation Plan'!L36</x:f>
        <x:v>Primary compositional-transfer prompt paraphrase</x:v>
      </x:c>
      <x:c r="M36" s="8" t="str">
        <x:f>'Evaluation Plan'!M36</x:f>
        <x:v>juggling ball</x:v>
      </x:c>
      <x:c r="N36" s="8" t="str">
        <x:f>'Evaluation Plan'!N36</x:f>
        <x:v>Left</x:v>
      </x:c>
      <x:c r="O36" s="8" t="n">
        <x:f>'Evaluation Plan'!O36</x:f>
        <x:v>2</x:v>
      </x:c>
      <x:c r="P36" s="8" t="n">
        <x:f>IF(ISBLANK('Evaluation Plan'!P36),"",'Evaluation Plan'!P36)</x:f>
        <x:v>16</x:v>
      </x:c>
      <x:c r="Q36" s="8" t="str">
        <x:f>'Evaluation Plan'!Q36</x:f>
        <x:v>Reset the target; preserve the exact scene and paraphrase only the transfer prompt.</x:v>
      </x:c>
      <x:c r="R36" s="7" t="str">
        <x:f>'Evaluation Plan'!R36</x:f>
        <x:v>Exact-scene paraphrase of the primary transfer instruction.</x:v>
      </x:c>
      <x:c r="S36" s="7" t="str">
        <x:f>IF(ISBLANK('Evaluation Plan'!S36),"",'Evaluation Plan'!S36)</x:f>
      </x:c>
    </x:row>
    <x:row r="37" ht="68" customHeight="1">
      <x:c r="A37" s="8" t="str">
        <x:v>Not collected</x:v>
      </x:c>
      <x:c r="B37" s="8" t="n">
        <x:f>'Evaluation Plan'!B37</x:f>
        <x:v>35</x:v>
      </x:c>
      <x:c r="C37" s="7" t="str">
        <x:f>'Evaluation Plan'!C37</x:f>
        <x:v>Lift the juggling ball and set it inside the bowl.</x:v>
      </x:c>
      <x:c r="D37" s="7" t="str">
        <x:f>'Evaluation Plan'!D37</x:f>
        <x:v>Bowl: empty. Table, robot-left→robot-right: P1 juggling ball; P2 crushed Pepsi can. Adjacent centers 16 cm apart; row shifted 4 cm toward the robot; all objects fully visible and grasp paths clear.</x:v>
      </x:c>
      <x:c r="E37" s="8" t="n">
        <x:f>IF(ISBLANK('Evaluation Plan'!E37),"",'Evaluation Plan'!E37)</x:f>
        <x:v>33</x:v>
      </x:c>
      <x:c r="F37" s="8" t="str">
        <x:f>'Evaluation Plan'!F37</x:f>
        <x:v>1101</x:v>
      </x:c>
      <x:c r="G37" s="8" t="str">
        <x:f>'Evaluation Plan'!G37</x:f>
        <x:v>MOVE juggling ball to bowl</x:v>
      </x:c>
      <x:c r="H37" s="7"/>
      <x:c r="I37" s="8" t="str">
        <x:f>'Evaluation Plan'!I37</x:f>
        <x:v>Language robustness</x:v>
      </x:c>
      <x:c r="J37" s="8" t="str">
        <x:f>'Evaluation Plan'!J37</x:f>
        <x:v>SZ-CT-SJ02</x:v>
      </x:c>
      <x:c r="K37" s="8" t="str">
        <x:f>'Evaluation Plan'!K37</x:f>
        <x:v>Direct</x:v>
      </x:c>
      <x:c r="L37" s="8" t="str">
        <x:f>'Evaluation Plan'!L37</x:f>
        <x:v>Matched-control direct prompt paraphrase</x:v>
      </x:c>
      <x:c r="M37" s="8" t="str">
        <x:f>'Evaluation Plan'!M37</x:f>
        <x:v>juggling ball</x:v>
      </x:c>
      <x:c r="N37" s="8" t="str">
        <x:f>'Evaluation Plan'!N37</x:f>
        <x:v>Left</x:v>
      </x:c>
      <x:c r="O37" s="8" t="n">
        <x:f>'Evaluation Plan'!O37</x:f>
        <x:v>2</x:v>
      </x:c>
      <x:c r="P37" s="8" t="n">
        <x:f>IF(ISBLANK('Evaluation Plan'!P37),"",'Evaluation Plan'!P37)</x:f>
        <x:v>16</x:v>
      </x:c>
      <x:c r="Q37" s="8" t="str">
        <x:f>'Evaluation Plan'!Q37</x:f>
        <x:v>Reset the target; preserve the exact scene and paraphrase only the matched-control prompt.</x:v>
      </x:c>
      <x:c r="R37" s="7" t="str">
        <x:f>'Evaluation Plan'!R37</x:f>
        <x:v>Exact-scene paraphrase of the direct manipulation control.</x:v>
      </x:c>
      <x:c r="S37" s="7" t="str">
        <x:f>IF(ISBLANK('Evaluation Plan'!S37),"",'Evaluation Plan'!S37)</x:f>
      </x:c>
    </x:row>
    <x:row r="38" ht="68" customHeight="1">
      <x:c r="A38" s="9" t="str">
        <x:v>Not collected</x:v>
      </x:c>
      <x:c r="B38" s="9" t="n">
        <x:f>'Evaluation Plan'!B38</x:f>
        <x:v>36</x:v>
      </x:c>
      <x:c r="C38" s="10" t="str">
        <x:f>'Evaluation Plan'!C38</x:f>
        <x:v>Put the largest object in the bowl.</x:v>
      </x:c>
      <x:c r="D38" s="10" t="str">
        <x:f>'Evaluation Plan'!D38</x:f>
        <x:v>Bowl: empty. Table, robot-left→robot-right: P1 green block; P2 red pencil sharpener. Adjacent centers 16 cm apart; row shifted 4 cm toward robot-right; all objects fully visible and grasp paths clear.</x:v>
      </x:c>
      <x:c r="E38" s="9" t="str">
        <x:f>IF(ISBLANK('Evaluation Plan'!E38),"",'Evaluation Plan'!E38)</x:f>
      </x:c>
      <x:c r="F38" s="9" t="str">
        <x:f>'Evaluation Plan'!F38</x:f>
        <x:v>1082</x:v>
      </x:c>
      <x:c r="G38" s="9" t="str">
        <x:f>'Evaluation Plan'!G38</x:f>
        <x:v>MOVE green block to bowl</x:v>
      </x:c>
      <x:c r="H38" s="10"/>
      <x:c r="I38" s="9" t="str">
        <x:f>'Evaluation Plan'!I38</x:f>
        <x:v>Concept/compositional transfer</x:v>
      </x:c>
      <x:c r="J38" s="9" t="str">
        <x:f>'Evaluation Plan'!J38</x:f>
        <x:v>SZ-CT-LG03</x:v>
      </x:c>
      <x:c r="K38" s="9" t="str">
        <x:f>'Evaluation Plan'!K38</x:f>
        <x:v>largest</x:v>
      </x:c>
      <x:c r="L38" s="9" t="str">
        <x:f>'Evaluation Plan'!L38</x:f>
        <x:v>Held-out largest × green block — Put</x:v>
      </x:c>
      <x:c r="M38" s="9" t="str">
        <x:f>'Evaluation Plan'!M38</x:f>
        <x:v>green block</x:v>
      </x:c>
      <x:c r="N38" s="9" t="str">
        <x:f>'Evaluation Plan'!N38</x:f>
        <x:v>Left</x:v>
      </x:c>
      <x:c r="O38" s="9" t="n">
        <x:f>'Evaluation Plan'!O38</x:f>
        <x:v>2</x:v>
      </x:c>
      <x:c r="P38" s="9" t="n">
        <x:f>IF(ISBLANK('Evaluation Plan'!P38),"",'Evaluation Plan'!P38)</x:f>
        <x:v>16</x:v>
      </x:c>
      <x:c r="Q38" s="9" t="str">
        <x:f>'Evaluation Plan'!Q38</x:f>
        <x:v>Build the listed two-object scene and save a first-frame filename.</x:v>
      </x:c>
      <x:c r="R38" s="10" t="str">
        <x:f>'Evaluation Plan'!R38</x:f>
        <x:v>Primary missing cell. Training episode 1082 contains the same target trajectory but masks the size word with a direct identity prompt.</x:v>
      </x:c>
      <x:c r="S38" s="10" t="str">
        <x:f>IF(ISBLANK('Evaluation Plan'!S38),"",'Evaluation Plan'!S38)</x:f>
      </x:c>
    </x:row>
    <x:row r="39" ht="68" customHeight="1">
      <x:c r="A39" s="8" t="str">
        <x:v>Not collected</x:v>
      </x:c>
      <x:c r="B39" s="8" t="n">
        <x:f>'Evaluation Plan'!B39</x:f>
        <x:v>37</x:v>
      </x:c>
      <x:c r="C39" s="7" t="str">
        <x:f>'Evaluation Plan'!C39</x:f>
        <x:v>Pick up the green block and place it in the bowl.</x:v>
      </x:c>
      <x:c r="D39" s="7" t="str">
        <x:f>'Evaluation Plan'!D39</x:f>
        <x:v>Bowl: empty. Table, robot-left→robot-right: P1 green block; P2 red pencil sharpener. Adjacent centers 16 cm apart; row shifted 4 cm toward robot-right; all objects fully visible and grasp paths clear.</x:v>
      </x:c>
      <x:c r="E39" s="8" t="n">
        <x:f>IF(ISBLANK('Evaluation Plan'!E39),"",'Evaluation Plan'!E39)</x:f>
        <x:v>36</x:v>
      </x:c>
      <x:c r="F39" s="8" t="str">
        <x:f>'Evaluation Plan'!F39</x:f>
        <x:v>1077</x:v>
      </x:c>
      <x:c r="G39" s="8" t="str">
        <x:f>'Evaluation Plan'!G39</x:f>
        <x:v>MOVE green block to bowl</x:v>
      </x:c>
      <x:c r="H39" s="7"/>
      <x:c r="I39" s="8" t="str">
        <x:f>'Evaluation Plan'!I39</x:f>
        <x:v>Matched manipulation control</x:v>
      </x:c>
      <x:c r="J39" s="8" t="str">
        <x:f>'Evaluation Plan'!J39</x:f>
        <x:v>SZ-CT-LG03</x:v>
      </x:c>
      <x:c r="K39" s="8" t="str">
        <x:f>'Evaluation Plan'!K39</x:f>
        <x:v>Direct</x:v>
      </x:c>
      <x:c r="L39" s="8" t="str">
        <x:f>'Evaluation Plan'!L39</x:f>
        <x:v>Same-scene direct target control</x:v>
      </x:c>
      <x:c r="M39" s="8" t="str">
        <x:f>'Evaluation Plan'!M39</x:f>
        <x:v>green block</x:v>
      </x:c>
      <x:c r="N39" s="8" t="str">
        <x:f>'Evaluation Plan'!N39</x:f>
        <x:v>Left</x:v>
      </x:c>
      <x:c r="O39" s="8" t="n">
        <x:f>'Evaluation Plan'!O39</x:f>
        <x:v>2</x:v>
      </x:c>
      <x:c r="P39" s="8" t="n">
        <x:f>IF(ISBLANK('Evaluation Plan'!P39),"",'Evaluation Plan'!P39)</x:f>
        <x:v>16</x:v>
      </x:c>
      <x:c r="Q39" s="8" t="str">
        <x:f>'Evaluation Plan'!Q39</x:f>
        <x:v>Reset the target to its original pose; change only the prompt.</x:v>
      </x:c>
      <x:c r="R39" s="7" t="str">
        <x:f>'Evaluation Plan'!R39</x:f>
        <x:v>Exact-scene control using a direct prompt supported by training episode 1077.</x:v>
      </x:c>
      <x:c r="S39" s="7" t="str">
        <x:f>IF(ISBLANK('Evaluation Plan'!S39),"",'Evaluation Plan'!S39)</x:f>
      </x:c>
    </x:row>
    <x:row r="40" ht="68" customHeight="1">
      <x:c r="A40" s="8" t="str">
        <x:v>Not collected</x:v>
      </x:c>
      <x:c r="B40" s="8" t="n">
        <x:f>'Evaluation Plan'!B40</x:f>
        <x:v>38</x:v>
      </x:c>
      <x:c r="C40" s="7" t="str">
        <x:f>'Evaluation Plan'!C40</x:f>
        <x:v>Select the bigger object and put it into the bowl.</x:v>
      </x:c>
      <x:c r="D40" s="7" t="str">
        <x:f>'Evaluation Plan'!D40</x:f>
        <x:v>Bowl: empty. Table, robot-left→robot-right: P1 green block; P2 red pencil sharpener. Adjacent centers 16 cm apart; row shifted 4 cm toward robot-right; all objects fully visible and grasp paths clear.</x:v>
      </x:c>
      <x:c r="E40" s="8" t="n">
        <x:f>IF(ISBLANK('Evaluation Plan'!E40),"",'Evaluation Plan'!E40)</x:f>
        <x:v>36</x:v>
      </x:c>
      <x:c r="F40" s="8" t="str">
        <x:f>'Evaluation Plan'!F40</x:f>
        <x:v>1082</x:v>
      </x:c>
      <x:c r="G40" s="8" t="str">
        <x:f>'Evaluation Plan'!G40</x:f>
        <x:v>MOVE green block to bowl</x:v>
      </x:c>
      <x:c r="H40" s="7"/>
      <x:c r="I40" s="8" t="str">
        <x:f>'Evaluation Plan'!I40</x:f>
        <x:v>Language robustness</x:v>
      </x:c>
      <x:c r="J40" s="8" t="str">
        <x:f>'Evaluation Plan'!J40</x:f>
        <x:v>SZ-CT-LG03</x:v>
      </x:c>
      <x:c r="K40" s="8" t="str">
        <x:f>'Evaluation Plan'!K40</x:f>
        <x:v>largest</x:v>
      </x:c>
      <x:c r="L40" s="8" t="str">
        <x:f>'Evaluation Plan'!L40</x:f>
        <x:v>Primary compositional-transfer prompt paraphrase</x:v>
      </x:c>
      <x:c r="M40" s="8" t="str">
        <x:f>'Evaluation Plan'!M40</x:f>
        <x:v>green block</x:v>
      </x:c>
      <x:c r="N40" s="8" t="str">
        <x:f>'Evaluation Plan'!N40</x:f>
        <x:v>Left</x:v>
      </x:c>
      <x:c r="O40" s="8" t="n">
        <x:f>'Evaluation Plan'!O40</x:f>
        <x:v>2</x:v>
      </x:c>
      <x:c r="P40" s="8" t="n">
        <x:f>IF(ISBLANK('Evaluation Plan'!P40),"",'Evaluation Plan'!P40)</x:f>
        <x:v>16</x:v>
      </x:c>
      <x:c r="Q40" s="8" t="str">
        <x:f>'Evaluation Plan'!Q40</x:f>
        <x:v>Reset the target; preserve the exact scene and paraphrase only the transfer prompt.</x:v>
      </x:c>
      <x:c r="R40" s="7" t="str">
        <x:f>'Evaluation Plan'!R40</x:f>
        <x:v>Exact-scene paraphrase of the primary transfer instruction.</x:v>
      </x:c>
      <x:c r="S40" s="7" t="str">
        <x:f>IF(ISBLANK('Evaluation Plan'!S40),"",'Evaluation Plan'!S40)</x:f>
      </x:c>
    </x:row>
    <x:row r="41" ht="68" customHeight="1">
      <x:c r="A41" s="8" t="str">
        <x:v>Not collected</x:v>
      </x:c>
      <x:c r="B41" s="8" t="n">
        <x:f>'Evaluation Plan'!B41</x:f>
        <x:v>39</x:v>
      </x:c>
      <x:c r="C41" s="7" t="str">
        <x:f>'Evaluation Plan'!C41</x:f>
        <x:v>Move the green block off the table and into the bowl.</x:v>
      </x:c>
      <x:c r="D41" s="7" t="str">
        <x:f>'Evaluation Plan'!D41</x:f>
        <x:v>Bowl: empty. Table, robot-left→robot-right: P1 green block; P2 red pencil sharpener. Adjacent centers 16 cm apart; row shifted 4 cm toward robot-right; all objects fully visible and grasp paths clear.</x:v>
      </x:c>
      <x:c r="E41" s="8" t="n">
        <x:f>IF(ISBLANK('Evaluation Plan'!E41),"",'Evaluation Plan'!E41)</x:f>
        <x:v>37</x:v>
      </x:c>
      <x:c r="F41" s="8" t="str">
        <x:f>'Evaluation Plan'!F41</x:f>
        <x:v>1077</x:v>
      </x:c>
      <x:c r="G41" s="8" t="str">
        <x:f>'Evaluation Plan'!G41</x:f>
        <x:v>MOVE green block to bowl</x:v>
      </x:c>
      <x:c r="H41" s="7"/>
      <x:c r="I41" s="8" t="str">
        <x:f>'Evaluation Plan'!I41</x:f>
        <x:v>Language robustness</x:v>
      </x:c>
      <x:c r="J41" s="8" t="str">
        <x:f>'Evaluation Plan'!J41</x:f>
        <x:v>SZ-CT-LG03</x:v>
      </x:c>
      <x:c r="K41" s="8" t="str">
        <x:f>'Evaluation Plan'!K41</x:f>
        <x:v>Direct</x:v>
      </x:c>
      <x:c r="L41" s="8" t="str">
        <x:f>'Evaluation Plan'!L41</x:f>
        <x:v>Matched-control direct prompt paraphrase</x:v>
      </x:c>
      <x:c r="M41" s="8" t="str">
        <x:f>'Evaluation Plan'!M41</x:f>
        <x:v>green block</x:v>
      </x:c>
      <x:c r="N41" s="8" t="str">
        <x:f>'Evaluation Plan'!N41</x:f>
        <x:v>Left</x:v>
      </x:c>
      <x:c r="O41" s="8" t="n">
        <x:f>'Evaluation Plan'!O41</x:f>
        <x:v>2</x:v>
      </x:c>
      <x:c r="P41" s="8" t="n">
        <x:f>IF(ISBLANK('Evaluation Plan'!P41),"",'Evaluation Plan'!P41)</x:f>
        <x:v>16</x:v>
      </x:c>
      <x:c r="Q41" s="8" t="str">
        <x:f>'Evaluation Plan'!Q41</x:f>
        <x:v>Reset the target; preserve the exact scene and paraphrase only the matched-control prompt.</x:v>
      </x:c>
      <x:c r="R41" s="7" t="str">
        <x:f>'Evaluation Plan'!R41</x:f>
        <x:v>Exact-scene paraphrase of the direct manipulation control.</x:v>
      </x:c>
      <x:c r="S41" s="7" t="str">
        <x:f>IF(ISBLANK('Evaluation Plan'!S41),"",'Evaluation Plan'!S41)</x:f>
      </x:c>
    </x:row>
    <x:row r="42" ht="68" customHeight="1">
      <x:c r="A42" s="9" t="str">
        <x:v>Not collected</x:v>
      </x:c>
      <x:c r="B42" s="9" t="n">
        <x:f>'Evaluation Plan'!B42</x:f>
        <x:v>40</x:v>
      </x:c>
      <x:c r="C42" s="10" t="str">
        <x:f>'Evaluation Plan'!C42</x:f>
        <x:v>Move the object that is smallest into the bowl.</x:v>
      </x:c>
      <x:c r="D42" s="10" t="str">
        <x:f>'Evaluation Plan'!D42</x:f>
        <x:v>Bowl: empty. Table, robot-left→robot-right: P1 crushed Pepsi can; P2 juggling ball. Adjacent centers 8 cm apart; row shifted 4 cm away from the robot; all objects fully visible and grasp paths clear.</x:v>
      </x:c>
      <x:c r="E42" s="9" t="str">
        <x:f>IF(ISBLANK('Evaluation Plan'!E42),"",'Evaluation Plan'!E42)</x:f>
      </x:c>
      <x:c r="F42" s="9" t="str">
        <x:f>'Evaluation Plan'!F42</x:f>
        <x:v>1107</x:v>
      </x:c>
      <x:c r="G42" s="9" t="str">
        <x:f>'Evaluation Plan'!G42</x:f>
        <x:v>MOVE juggling ball to bowl</x:v>
      </x:c>
      <x:c r="H42" s="10"/>
      <x:c r="I42" s="9" t="str">
        <x:f>'Evaluation Plan'!I42</x:f>
        <x:v>Concept/compositional transfer</x:v>
      </x:c>
      <x:c r="J42" s="9" t="str">
        <x:f>'Evaluation Plan'!J42</x:f>
        <x:v>SZ-CT-SJ03</x:v>
      </x:c>
      <x:c r="K42" s="9" t="str">
        <x:f>'Evaluation Plan'!K42</x:f>
        <x:v>smallest</x:v>
      </x:c>
      <x:c r="L42" s="9" t="str">
        <x:f>'Evaluation Plan'!L42</x:f>
        <x:v>Held-out smallest × juggling ball — Move</x:v>
      </x:c>
      <x:c r="M42" s="9" t="str">
        <x:f>'Evaluation Plan'!M42</x:f>
        <x:v>juggling ball</x:v>
      </x:c>
      <x:c r="N42" s="9" t="str">
        <x:f>'Evaluation Plan'!N42</x:f>
        <x:v>Right</x:v>
      </x:c>
      <x:c r="O42" s="9" t="n">
        <x:f>'Evaluation Plan'!O42</x:f>
        <x:v>2</x:v>
      </x:c>
      <x:c r="P42" s="9" t="n">
        <x:f>IF(ISBLANK('Evaluation Plan'!P42),"",'Evaluation Plan'!P42)</x:f>
        <x:v>8</x:v>
      </x:c>
      <x:c r="Q42" s="9" t="str">
        <x:f>'Evaluation Plan'!Q42</x:f>
        <x:v>Build the listed two-object scene and save a first-frame filename.</x:v>
      </x:c>
      <x:c r="R42" s="10" t="str">
        <x:f>'Evaluation Plan'!R42</x:f>
        <x:v>Primary missing cell. Training episode 1107 contains the same target trajectory but masks the size word with a direct identity prompt.</x:v>
      </x:c>
      <x:c r="S42" s="10" t="str">
        <x:f>IF(ISBLANK('Evaluation Plan'!S42),"",'Evaluation Plan'!S42)</x:f>
      </x:c>
    </x:row>
    <x:row r="43" ht="68" customHeight="1">
      <x:c r="A43" s="8" t="str">
        <x:v>Not collected</x:v>
      </x:c>
      <x:c r="B43" s="8" t="n">
        <x:f>'Evaluation Plan'!B43</x:f>
        <x:v>41</x:v>
      </x:c>
      <x:c r="C43" s="7" t="str">
        <x:f>'Evaluation Plan'!C43</x:f>
        <x:v>Pick up the juggling ball and place it in the bowl.</x:v>
      </x:c>
      <x:c r="D43" s="7" t="str">
        <x:f>'Evaluation Plan'!D43</x:f>
        <x:v>Bowl: empty. Table, robot-left→robot-right: P1 crushed Pepsi can; P2 juggling ball. Adjacent centers 8 cm apart; row shifted 4 cm away from the robot; all objects fully visible and grasp paths clear.</x:v>
      </x:c>
      <x:c r="E43" s="8" t="n">
        <x:f>IF(ISBLANK('Evaluation Plan'!E43),"",'Evaluation Plan'!E43)</x:f>
        <x:v>40</x:v>
      </x:c>
      <x:c r="F43" s="8" t="str">
        <x:f>'Evaluation Plan'!F43</x:f>
        <x:v>1102</x:v>
      </x:c>
      <x:c r="G43" s="8" t="str">
        <x:f>'Evaluation Plan'!G43</x:f>
        <x:v>MOVE juggling ball to bowl</x:v>
      </x:c>
      <x:c r="H43" s="7"/>
      <x:c r="I43" s="8" t="str">
        <x:f>'Evaluation Plan'!I43</x:f>
        <x:v>Matched manipulation control</x:v>
      </x:c>
      <x:c r="J43" s="8" t="str">
        <x:f>'Evaluation Plan'!J43</x:f>
        <x:v>SZ-CT-SJ03</x:v>
      </x:c>
      <x:c r="K43" s="8" t="str">
        <x:f>'Evaluation Plan'!K43</x:f>
        <x:v>Direct</x:v>
      </x:c>
      <x:c r="L43" s="8" t="str">
        <x:f>'Evaluation Plan'!L43</x:f>
        <x:v>Same-scene direct target control</x:v>
      </x:c>
      <x:c r="M43" s="8" t="str">
        <x:f>'Evaluation Plan'!M43</x:f>
        <x:v>juggling ball</x:v>
      </x:c>
      <x:c r="N43" s="8" t="str">
        <x:f>'Evaluation Plan'!N43</x:f>
        <x:v>Right</x:v>
      </x:c>
      <x:c r="O43" s="8" t="n">
        <x:f>'Evaluation Plan'!O43</x:f>
        <x:v>2</x:v>
      </x:c>
      <x:c r="P43" s="8" t="n">
        <x:f>IF(ISBLANK('Evaluation Plan'!P43),"",'Evaluation Plan'!P43)</x:f>
        <x:v>8</x:v>
      </x:c>
      <x:c r="Q43" s="8" t="str">
        <x:f>'Evaluation Plan'!Q43</x:f>
        <x:v>Reset the target to its original pose; change only the prompt.</x:v>
      </x:c>
      <x:c r="R43" s="7" t="str">
        <x:f>'Evaluation Plan'!R43</x:f>
        <x:v>Exact-scene control using a direct prompt supported by training episode 1102.</x:v>
      </x:c>
      <x:c r="S43" s="7" t="str">
        <x:f>IF(ISBLANK('Evaluation Plan'!S43),"",'Evaluation Plan'!S43)</x:f>
      </x:c>
    </x:row>
    <x:row r="44" ht="68" customHeight="1">
      <x:c r="A44" s="8" t="str">
        <x:v>Not collected</x:v>
      </x:c>
      <x:c r="B44" s="8" t="n">
        <x:f>'Evaluation Plan'!B44</x:f>
        <x:v>42</x:v>
      </x:c>
      <x:c r="C44" s="7" t="str">
        <x:f>'Evaluation Plan'!C44</x:f>
        <x:v>Select the smaller object and put it into the bowl.</x:v>
      </x:c>
      <x:c r="D44" s="7" t="str">
        <x:f>'Evaluation Plan'!D44</x:f>
        <x:v>Bowl: empty. Table, robot-left→robot-right: P1 crushed Pepsi can; P2 juggling ball. Adjacent centers 8 cm apart; row shifted 4 cm away from the robot; all objects fully visible and grasp paths clear.</x:v>
      </x:c>
      <x:c r="E44" s="8" t="n">
        <x:f>IF(ISBLANK('Evaluation Plan'!E44),"",'Evaluation Plan'!E44)</x:f>
        <x:v>40</x:v>
      </x:c>
      <x:c r="F44" s="8" t="str">
        <x:f>'Evaluation Plan'!F44</x:f>
        <x:v>1107</x:v>
      </x:c>
      <x:c r="G44" s="8" t="str">
        <x:f>'Evaluation Plan'!G44</x:f>
        <x:v>MOVE juggling ball to bowl</x:v>
      </x:c>
      <x:c r="H44" s="7"/>
      <x:c r="I44" s="8" t="str">
        <x:f>'Evaluation Plan'!I44</x:f>
        <x:v>Language robustness</x:v>
      </x:c>
      <x:c r="J44" s="8" t="str">
        <x:f>'Evaluation Plan'!J44</x:f>
        <x:v>SZ-CT-SJ03</x:v>
      </x:c>
      <x:c r="K44" s="8" t="str">
        <x:f>'Evaluation Plan'!K44</x:f>
        <x:v>smallest</x:v>
      </x:c>
      <x:c r="L44" s="8" t="str">
        <x:f>'Evaluation Plan'!L44</x:f>
        <x:v>Primary compositional-transfer prompt paraphrase</x:v>
      </x:c>
      <x:c r="M44" s="8" t="str">
        <x:f>'Evaluation Plan'!M44</x:f>
        <x:v>juggling ball</x:v>
      </x:c>
      <x:c r="N44" s="8" t="str">
        <x:f>'Evaluation Plan'!N44</x:f>
        <x:v>Right</x:v>
      </x:c>
      <x:c r="O44" s="8" t="n">
        <x:f>'Evaluation Plan'!O44</x:f>
        <x:v>2</x:v>
      </x:c>
      <x:c r="P44" s="8" t="n">
        <x:f>IF(ISBLANK('Evaluation Plan'!P44),"",'Evaluation Plan'!P44)</x:f>
        <x:v>8</x:v>
      </x:c>
      <x:c r="Q44" s="8" t="str">
        <x:f>'Evaluation Plan'!Q44</x:f>
        <x:v>Reset the target; preserve the exact scene and paraphrase only the transfer prompt.</x:v>
      </x:c>
      <x:c r="R44" s="7" t="str">
        <x:f>'Evaluation Plan'!R44</x:f>
        <x:v>Exact-scene paraphrase of the primary transfer instruction.</x:v>
      </x:c>
      <x:c r="S44" s="7" t="str">
        <x:f>IF(ISBLANK('Evaluation Plan'!S44),"",'Evaluation Plan'!S44)</x:f>
      </x:c>
    </x:row>
    <x:row r="45" ht="68" customHeight="1">
      <x:c r="A45" s="8" t="str">
        <x:v>Not collected</x:v>
      </x:c>
      <x:c r="B45" s="8" t="n">
        <x:f>'Evaluation Plan'!B45</x:f>
        <x:v>43</x:v>
      </x:c>
      <x:c r="C45" s="7" t="str">
        <x:f>'Evaluation Plan'!C45</x:f>
        <x:v>Move the juggling ball off the table and into the bowl.</x:v>
      </x:c>
      <x:c r="D45" s="7" t="str">
        <x:f>'Evaluation Plan'!D45</x:f>
        <x:v>Bowl: empty. Table, robot-left→robot-right: P1 crushed Pepsi can; P2 juggling ball. Adjacent centers 8 cm apart; row shifted 4 cm away from the robot; all objects fully visible and grasp paths clear.</x:v>
      </x:c>
      <x:c r="E45" s="8" t="n">
        <x:f>IF(ISBLANK('Evaluation Plan'!E45),"",'Evaluation Plan'!E45)</x:f>
        <x:v>41</x:v>
      </x:c>
      <x:c r="F45" s="8" t="str">
        <x:f>'Evaluation Plan'!F45</x:f>
        <x:v>1102</x:v>
      </x:c>
      <x:c r="G45" s="8" t="str">
        <x:f>'Evaluation Plan'!G45</x:f>
        <x:v>MOVE juggling ball to bowl</x:v>
      </x:c>
      <x:c r="H45" s="7"/>
      <x:c r="I45" s="8" t="str">
        <x:f>'Evaluation Plan'!I45</x:f>
        <x:v>Language robustness</x:v>
      </x:c>
      <x:c r="J45" s="8" t="str">
        <x:f>'Evaluation Plan'!J45</x:f>
        <x:v>SZ-CT-SJ03</x:v>
      </x:c>
      <x:c r="K45" s="8" t="str">
        <x:f>'Evaluation Plan'!K45</x:f>
        <x:v>Direct</x:v>
      </x:c>
      <x:c r="L45" s="8" t="str">
        <x:f>'Evaluation Plan'!L45</x:f>
        <x:v>Matched-control direct prompt paraphrase</x:v>
      </x:c>
      <x:c r="M45" s="8" t="str">
        <x:f>'Evaluation Plan'!M45</x:f>
        <x:v>juggling ball</x:v>
      </x:c>
      <x:c r="N45" s="8" t="str">
        <x:f>'Evaluation Plan'!N45</x:f>
        <x:v>Right</x:v>
      </x:c>
      <x:c r="O45" s="8" t="n">
        <x:f>'Evaluation Plan'!O45</x:f>
        <x:v>2</x:v>
      </x:c>
      <x:c r="P45" s="8" t="n">
        <x:f>IF(ISBLANK('Evaluation Plan'!P45),"",'Evaluation Plan'!P45)</x:f>
        <x:v>8</x:v>
      </x:c>
      <x:c r="Q45" s="8" t="str">
        <x:f>'Evaluation Plan'!Q45</x:f>
        <x:v>Reset the target; preserve the exact scene and paraphrase only the matched-control prompt.</x:v>
      </x:c>
      <x:c r="R45" s="7" t="str">
        <x:f>'Evaluation Plan'!R45</x:f>
        <x:v>Exact-scene paraphrase of the direct manipulation control.</x:v>
      </x:c>
      <x:c r="S45" s="7" t="str">
        <x:f>IF(ISBLANK('Evaluation Plan'!S45),"",'Evaluation Plan'!S45)</x:f>
      </x:c>
    </x:row>
    <x:row r="46" ht="68" customHeight="1">
      <x:c r="A46" s="9" t="str">
        <x:v>Not collected</x:v>
      </x:c>
      <x:c r="B46" s="9" t="n">
        <x:f>'Evaluation Plan'!B46</x:f>
        <x:v>44</x:v>
      </x:c>
      <x:c r="C46" s="10" t="str">
        <x:f>'Evaluation Plan'!C46</x:f>
        <x:v>Move the object that is largest into the bowl.</x:v>
      </x:c>
      <x:c r="D46" s="10" t="str">
        <x:f>'Evaluation Plan'!D46</x:f>
        <x:v>Bowl: empty. Table, robot-left→robot-right: P1 red pencil sharpener; P2 green block. Adjacent centers 8 cm apart; row shifted 4 cm toward the robot; all objects fully visible and grasp paths clear.</x:v>
      </x:c>
      <x:c r="E46" s="9" t="str">
        <x:f>IF(ISBLANK('Evaluation Plan'!E46),"",'Evaluation Plan'!E46)</x:f>
      </x:c>
      <x:c r="F46" s="9" t="str">
        <x:f>'Evaluation Plan'!F46</x:f>
        <x:v>1083</x:v>
      </x:c>
      <x:c r="G46" s="9" t="str">
        <x:f>'Evaluation Plan'!G46</x:f>
        <x:v>MOVE green block to bowl</x:v>
      </x:c>
      <x:c r="H46" s="10"/>
      <x:c r="I46" s="9" t="str">
        <x:f>'Evaluation Plan'!I46</x:f>
        <x:v>Concept/compositional transfer</x:v>
      </x:c>
      <x:c r="J46" s="9" t="str">
        <x:f>'Evaluation Plan'!J46</x:f>
        <x:v>SZ-CT-LG04</x:v>
      </x:c>
      <x:c r="K46" s="9" t="str">
        <x:f>'Evaluation Plan'!K46</x:f>
        <x:v>largest</x:v>
      </x:c>
      <x:c r="L46" s="9" t="str">
        <x:f>'Evaluation Plan'!L46</x:f>
        <x:v>Held-out largest × green block — Move</x:v>
      </x:c>
      <x:c r="M46" s="9" t="str">
        <x:f>'Evaluation Plan'!M46</x:f>
        <x:v>green block</x:v>
      </x:c>
      <x:c r="N46" s="9" t="str">
        <x:f>'Evaluation Plan'!N46</x:f>
        <x:v>Right</x:v>
      </x:c>
      <x:c r="O46" s="9" t="n">
        <x:f>'Evaluation Plan'!O46</x:f>
        <x:v>2</x:v>
      </x:c>
      <x:c r="P46" s="9" t="n">
        <x:f>IF(ISBLANK('Evaluation Plan'!P46),"",'Evaluation Plan'!P46)</x:f>
        <x:v>8</x:v>
      </x:c>
      <x:c r="Q46" s="9" t="str">
        <x:f>'Evaluation Plan'!Q46</x:f>
        <x:v>Build the listed two-object scene and save a first-frame filename.</x:v>
      </x:c>
      <x:c r="R46" s="10" t="str">
        <x:f>'Evaluation Plan'!R46</x:f>
        <x:v>Primary missing cell. Training episode 1083 contains the same target trajectory but masks the size word with a direct identity prompt.</x:v>
      </x:c>
      <x:c r="S46" s="10" t="str">
        <x:f>IF(ISBLANK('Evaluation Plan'!S46),"",'Evaluation Plan'!S46)</x:f>
      </x:c>
    </x:row>
    <x:row r="47" ht="68" customHeight="1">
      <x:c r="A47" s="8" t="str">
        <x:v>Not collected</x:v>
      </x:c>
      <x:c r="B47" s="8" t="n">
        <x:f>'Evaluation Plan'!B47</x:f>
        <x:v>45</x:v>
      </x:c>
      <x:c r="C47" s="7" t="str">
        <x:f>'Evaluation Plan'!C47</x:f>
        <x:v>Put the green block in the bowl.</x:v>
      </x:c>
      <x:c r="D47" s="7" t="str">
        <x:f>'Evaluation Plan'!D47</x:f>
        <x:v>Bowl: empty. Table, robot-left→robot-right: P1 red pencil sharpener; P2 green block. Adjacent centers 8 cm apart; row shifted 4 cm toward the robot; all objects fully visible and grasp paths clear.</x:v>
      </x:c>
      <x:c r="E47" s="8" t="n">
        <x:f>IF(ISBLANK('Evaluation Plan'!E47),"",'Evaluation Plan'!E47)</x:f>
        <x:v>44</x:v>
      </x:c>
      <x:c r="F47" s="8" t="str">
        <x:f>'Evaluation Plan'!F47</x:f>
        <x:v>1078</x:v>
      </x:c>
      <x:c r="G47" s="8" t="str">
        <x:f>'Evaluation Plan'!G47</x:f>
        <x:v>MOVE green block to bowl</x:v>
      </x:c>
      <x:c r="H47" s="7"/>
      <x:c r="I47" s="8" t="str">
        <x:f>'Evaluation Plan'!I47</x:f>
        <x:v>Matched manipulation control</x:v>
      </x:c>
      <x:c r="J47" s="8" t="str">
        <x:f>'Evaluation Plan'!J47</x:f>
        <x:v>SZ-CT-LG04</x:v>
      </x:c>
      <x:c r="K47" s="8" t="str">
        <x:f>'Evaluation Plan'!K47</x:f>
        <x:v>Direct</x:v>
      </x:c>
      <x:c r="L47" s="8" t="str">
        <x:f>'Evaluation Plan'!L47</x:f>
        <x:v>Same-scene direct target control</x:v>
      </x:c>
      <x:c r="M47" s="8" t="str">
        <x:f>'Evaluation Plan'!M47</x:f>
        <x:v>green block</x:v>
      </x:c>
      <x:c r="N47" s="8" t="str">
        <x:f>'Evaluation Plan'!N47</x:f>
        <x:v>Right</x:v>
      </x:c>
      <x:c r="O47" s="8" t="n">
        <x:f>'Evaluation Plan'!O47</x:f>
        <x:v>2</x:v>
      </x:c>
      <x:c r="P47" s="8" t="n">
        <x:f>IF(ISBLANK('Evaluation Plan'!P47),"",'Evaluation Plan'!P47)</x:f>
        <x:v>8</x:v>
      </x:c>
      <x:c r="Q47" s="8" t="str">
        <x:f>'Evaluation Plan'!Q47</x:f>
        <x:v>Reset the target to its original pose; change only the prompt.</x:v>
      </x:c>
      <x:c r="R47" s="7" t="str">
        <x:f>'Evaluation Plan'!R47</x:f>
        <x:v>Exact-scene control using a direct prompt supported by training episode 1078.</x:v>
      </x:c>
      <x:c r="S47" s="7" t="str">
        <x:f>IF(ISBLANK('Evaluation Plan'!S47),"",'Evaluation Plan'!S47)</x:f>
      </x:c>
    </x:row>
    <x:row r="48" ht="68" customHeight="1">
      <x:c r="A48" s="8" t="str">
        <x:v>Not collected</x:v>
      </x:c>
      <x:c r="B48" s="8" t="n">
        <x:f>'Evaluation Plan'!B48</x:f>
        <x:v>46</x:v>
      </x:c>
      <x:c r="C48" s="7" t="str">
        <x:f>'Evaluation Plan'!C48</x:f>
        <x:v>Find the greatest-sized item and move it to the bowl.</x:v>
      </x:c>
      <x:c r="D48" s="7" t="str">
        <x:f>'Evaluation Plan'!D48</x:f>
        <x:v>Bowl: empty. Table, robot-left→robot-right: P1 red pencil sharpener; P2 green block. Adjacent centers 8 cm apart; row shifted 4 cm toward the robot; all objects fully visible and grasp paths clear.</x:v>
      </x:c>
      <x:c r="E48" s="8" t="n">
        <x:f>IF(ISBLANK('Evaluation Plan'!E48),"",'Evaluation Plan'!E48)</x:f>
        <x:v>44</x:v>
      </x:c>
      <x:c r="F48" s="8" t="str">
        <x:f>'Evaluation Plan'!F48</x:f>
        <x:v>1083</x:v>
      </x:c>
      <x:c r="G48" s="8" t="str">
        <x:f>'Evaluation Plan'!G48</x:f>
        <x:v>MOVE green block to bowl</x:v>
      </x:c>
      <x:c r="H48" s="7"/>
      <x:c r="I48" s="8" t="str">
        <x:f>'Evaluation Plan'!I48</x:f>
        <x:v>Language robustness</x:v>
      </x:c>
      <x:c r="J48" s="8" t="str">
        <x:f>'Evaluation Plan'!J48</x:f>
        <x:v>SZ-CT-LG04</x:v>
      </x:c>
      <x:c r="K48" s="8" t="str">
        <x:f>'Evaluation Plan'!K48</x:f>
        <x:v>largest</x:v>
      </x:c>
      <x:c r="L48" s="8" t="str">
        <x:f>'Evaluation Plan'!L48</x:f>
        <x:v>Primary compositional-transfer prompt paraphrase</x:v>
      </x:c>
      <x:c r="M48" s="8" t="str">
        <x:f>'Evaluation Plan'!M48</x:f>
        <x:v>green block</x:v>
      </x:c>
      <x:c r="N48" s="8" t="str">
        <x:f>'Evaluation Plan'!N48</x:f>
        <x:v>Right</x:v>
      </x:c>
      <x:c r="O48" s="8" t="n">
        <x:f>'Evaluation Plan'!O48</x:f>
        <x:v>2</x:v>
      </x:c>
      <x:c r="P48" s="8" t="n">
        <x:f>IF(ISBLANK('Evaluation Plan'!P48),"",'Evaluation Plan'!P48)</x:f>
        <x:v>8</x:v>
      </x:c>
      <x:c r="Q48" s="8" t="str">
        <x:f>'Evaluation Plan'!Q48</x:f>
        <x:v>Reset the target; preserve the exact scene and paraphrase only the transfer prompt.</x:v>
      </x:c>
      <x:c r="R48" s="7" t="str">
        <x:f>'Evaluation Plan'!R48</x:f>
        <x:v>Exact-scene paraphrase of the primary transfer instruction.</x:v>
      </x:c>
      <x:c r="S48" s="7" t="str">
        <x:f>IF(ISBLANK('Evaluation Plan'!S48),"",'Evaluation Plan'!S48)</x:f>
      </x:c>
    </x:row>
    <x:row r="49" ht="68" customHeight="1">
      <x:c r="A49" s="8" t="str">
        <x:v>Not collected</x:v>
      </x:c>
      <x:c r="B49" s="8" t="n">
        <x:f>'Evaluation Plan'!B49</x:f>
        <x:v>47</x:v>
      </x:c>
      <x:c r="C49" s="7" t="str">
        <x:f>'Evaluation Plan'!C49</x:f>
        <x:v>Place the table's green block inside the bowl.</x:v>
      </x:c>
      <x:c r="D49" s="7" t="str">
        <x:f>'Evaluation Plan'!D49</x:f>
        <x:v>Bowl: empty. Table, robot-left→robot-right: P1 red pencil sharpener; P2 green block. Adjacent centers 8 cm apart; row shifted 4 cm toward the robot; all objects fully visible and grasp paths clear.</x:v>
      </x:c>
      <x:c r="E49" s="8" t="n">
        <x:f>IF(ISBLANK('Evaluation Plan'!E49),"",'Evaluation Plan'!E49)</x:f>
        <x:v>45</x:v>
      </x:c>
      <x:c r="F49" s="8" t="str">
        <x:f>'Evaluation Plan'!F49</x:f>
        <x:v>1078</x:v>
      </x:c>
      <x:c r="G49" s="8" t="str">
        <x:f>'Evaluation Plan'!G49</x:f>
        <x:v>MOVE green block to bowl</x:v>
      </x:c>
      <x:c r="H49" s="7"/>
      <x:c r="I49" s="8" t="str">
        <x:f>'Evaluation Plan'!I49</x:f>
        <x:v>Language robustness</x:v>
      </x:c>
      <x:c r="J49" s="8" t="str">
        <x:f>'Evaluation Plan'!J49</x:f>
        <x:v>SZ-CT-LG04</x:v>
      </x:c>
      <x:c r="K49" s="8" t="str">
        <x:f>'Evaluation Plan'!K49</x:f>
        <x:v>Direct</x:v>
      </x:c>
      <x:c r="L49" s="8" t="str">
        <x:f>'Evaluation Plan'!L49</x:f>
        <x:v>Matched-control direct prompt paraphrase</x:v>
      </x:c>
      <x:c r="M49" s="8" t="str">
        <x:f>'Evaluation Plan'!M49</x:f>
        <x:v>green block</x:v>
      </x:c>
      <x:c r="N49" s="8" t="str">
        <x:f>'Evaluation Plan'!N49</x:f>
        <x:v>Right</x:v>
      </x:c>
      <x:c r="O49" s="8" t="n">
        <x:f>'Evaluation Plan'!O49</x:f>
        <x:v>2</x:v>
      </x:c>
      <x:c r="P49" s="8" t="n">
        <x:f>IF(ISBLANK('Evaluation Plan'!P49),"",'Evaluation Plan'!P49)</x:f>
        <x:v>8</x:v>
      </x:c>
      <x:c r="Q49" s="8" t="str">
        <x:f>'Evaluation Plan'!Q49</x:f>
        <x:v>Reset the target; preserve the exact scene and paraphrase only the matched-control prompt.</x:v>
      </x:c>
      <x:c r="R49" s="7" t="str">
        <x:f>'Evaluation Plan'!R49</x:f>
        <x:v>Exact-scene paraphrase of the direct manipulation control.</x:v>
      </x:c>
      <x:c r="S49" s="7" t="str">
        <x:f>IF(ISBLANK('Evaluation Plan'!S49),"",'Evaluation Plan'!S49)</x:f>
      </x:c>
    </x:row>
    <x:row r="50" ht="68" customHeight="1">
      <x:c r="A50" s="9" t="str">
        <x:v>Not collected</x:v>
      </x:c>
      <x:c r="B50" s="9" t="n">
        <x:f>'Evaluation Plan'!B50</x:f>
        <x:v>48</x:v>
      </x:c>
      <x:c r="C50" s="10" t="str">
        <x:f>'Evaluation Plan'!C50</x:f>
        <x:v>Pick up the smallest item and place it in the bowl.</x:v>
      </x:c>
      <x:c r="D50" s="10" t="str">
        <x:f>'Evaluation Plan'!D50</x:f>
        <x:v>Bowl: empty. Table, robot-left→robot-right: P1 juggling ball; P2 crushed Pepsi can. Adjacent centers 12 cm apart; row centered on the workspace; all objects fully visible and grasp paths clear.</x:v>
      </x:c>
      <x:c r="E50" s="9" t="str">
        <x:f>IF(ISBLANK('Evaluation Plan'!E50),"",'Evaluation Plan'!E50)</x:f>
      </x:c>
      <x:c r="F50" s="9" t="str">
        <x:f>'Evaluation Plan'!F50</x:f>
        <x:v>1108</x:v>
      </x:c>
      <x:c r="G50" s="9" t="str">
        <x:f>'Evaluation Plan'!G50</x:f>
        <x:v>MOVE juggling ball to bowl</x:v>
      </x:c>
      <x:c r="H50" s="10"/>
      <x:c r="I50" s="9" t="str">
        <x:f>'Evaluation Plan'!I50</x:f>
        <x:v>Concept/compositional transfer</x:v>
      </x:c>
      <x:c r="J50" s="9" t="str">
        <x:f>'Evaluation Plan'!J50</x:f>
        <x:v>SZ-CT-SJ04</x:v>
      </x:c>
      <x:c r="K50" s="9" t="str">
        <x:f>'Evaluation Plan'!K50</x:f>
        <x:v>smallest</x:v>
      </x:c>
      <x:c r="L50" s="9" t="str">
        <x:f>'Evaluation Plan'!L50</x:f>
        <x:v>Held-out smallest × juggling ball — Pick up</x:v>
      </x:c>
      <x:c r="M50" s="9" t="str">
        <x:f>'Evaluation Plan'!M50</x:f>
        <x:v>juggling ball</x:v>
      </x:c>
      <x:c r="N50" s="9" t="str">
        <x:f>'Evaluation Plan'!N50</x:f>
        <x:v>Left</x:v>
      </x:c>
      <x:c r="O50" s="9" t="n">
        <x:f>'Evaluation Plan'!O50</x:f>
        <x:v>2</x:v>
      </x:c>
      <x:c r="P50" s="9" t="n">
        <x:f>IF(ISBLANK('Evaluation Plan'!P50),"",'Evaluation Plan'!P50)</x:f>
        <x:v>12</x:v>
      </x:c>
      <x:c r="Q50" s="9" t="str">
        <x:f>'Evaluation Plan'!Q50</x:f>
        <x:v>Build the listed two-object scene and save a first-frame filename.</x:v>
      </x:c>
      <x:c r="R50" s="10" t="str">
        <x:f>'Evaluation Plan'!R50</x:f>
        <x:v>Primary missing cell. Training episode 1108 contains the same target trajectory but masks the size word with a direct identity prompt.</x:v>
      </x:c>
      <x:c r="S50" s="10" t="str">
        <x:f>IF(ISBLANK('Evaluation Plan'!S50),"",'Evaluation Plan'!S50)</x:f>
      </x:c>
    </x:row>
    <x:row r="51" ht="68" customHeight="1">
      <x:c r="A51" s="8" t="str">
        <x:v>Not collected</x:v>
      </x:c>
      <x:c r="B51" s="8" t="n">
        <x:f>'Evaluation Plan'!B51</x:f>
        <x:v>49</x:v>
      </x:c>
      <x:c r="C51" s="7" t="str">
        <x:f>'Evaluation Plan'!C51</x:f>
        <x:v>Put the juggling ball in the bowl.</x:v>
      </x:c>
      <x:c r="D51" s="7" t="str">
        <x:f>'Evaluation Plan'!D51</x:f>
        <x:v>Bowl: empty. Table, robot-left→robot-right: P1 juggling ball; P2 crushed Pepsi can. Adjacent centers 12 cm apart; row centered on the workspace; all objects fully visible and grasp paths clear.</x:v>
      </x:c>
      <x:c r="E51" s="8" t="n">
        <x:f>IF(ISBLANK('Evaluation Plan'!E51),"",'Evaluation Plan'!E51)</x:f>
        <x:v>48</x:v>
      </x:c>
      <x:c r="F51" s="8" t="str">
        <x:f>'Evaluation Plan'!F51</x:f>
        <x:v>1103</x:v>
      </x:c>
      <x:c r="G51" s="8" t="str">
        <x:f>'Evaluation Plan'!G51</x:f>
        <x:v>MOVE juggling ball to bowl</x:v>
      </x:c>
      <x:c r="H51" s="7"/>
      <x:c r="I51" s="8" t="str">
        <x:f>'Evaluation Plan'!I51</x:f>
        <x:v>Matched manipulation control</x:v>
      </x:c>
      <x:c r="J51" s="8" t="str">
        <x:f>'Evaluation Plan'!J51</x:f>
        <x:v>SZ-CT-SJ04</x:v>
      </x:c>
      <x:c r="K51" s="8" t="str">
        <x:f>'Evaluation Plan'!K51</x:f>
        <x:v>Direct</x:v>
      </x:c>
      <x:c r="L51" s="8" t="str">
        <x:f>'Evaluation Plan'!L51</x:f>
        <x:v>Same-scene direct target control</x:v>
      </x:c>
      <x:c r="M51" s="8" t="str">
        <x:f>'Evaluation Plan'!M51</x:f>
        <x:v>juggling ball</x:v>
      </x:c>
      <x:c r="N51" s="8" t="str">
        <x:f>'Evaluation Plan'!N51</x:f>
        <x:v>Left</x:v>
      </x:c>
      <x:c r="O51" s="8" t="n">
        <x:f>'Evaluation Plan'!O51</x:f>
        <x:v>2</x:v>
      </x:c>
      <x:c r="P51" s="8" t="n">
        <x:f>IF(ISBLANK('Evaluation Plan'!P51),"",'Evaluation Plan'!P51)</x:f>
        <x:v>12</x:v>
      </x:c>
      <x:c r="Q51" s="8" t="str">
        <x:f>'Evaluation Plan'!Q51</x:f>
        <x:v>Reset the target to its original pose; change only the prompt.</x:v>
      </x:c>
      <x:c r="R51" s="7" t="str">
        <x:f>'Evaluation Plan'!R51</x:f>
        <x:v>Exact-scene control using a direct prompt supported by training episode 1103.</x:v>
      </x:c>
      <x:c r="S51" s="7" t="str">
        <x:f>IF(ISBLANK('Evaluation Plan'!S51),"",'Evaluation Plan'!S51)</x:f>
      </x:c>
    </x:row>
    <x:row r="52" ht="68" customHeight="1">
      <x:c r="A52" s="8" t="str">
        <x:v>Not collected</x:v>
      </x:c>
      <x:c r="B52" s="8" t="n">
        <x:f>'Evaluation Plan'!B52</x:f>
        <x:v>50</x:v>
      </x:c>
      <x:c r="C52" s="7" t="str">
        <x:f>'Evaluation Plan'!C52</x:f>
        <x:v>Find the least-sized item and move it to the bowl.</x:v>
      </x:c>
      <x:c r="D52" s="7" t="str">
        <x:f>'Evaluation Plan'!D52</x:f>
        <x:v>Bowl: empty. Table, robot-left→robot-right: P1 juggling ball; P2 crushed Pepsi can. Adjacent centers 12 cm apart; row centered on the workspace; all objects fully visible and grasp paths clear.</x:v>
      </x:c>
      <x:c r="E52" s="8" t="n">
        <x:f>IF(ISBLANK('Evaluation Plan'!E52),"",'Evaluation Plan'!E52)</x:f>
        <x:v>48</x:v>
      </x:c>
      <x:c r="F52" s="8" t="str">
        <x:f>'Evaluation Plan'!F52</x:f>
        <x:v>1108</x:v>
      </x:c>
      <x:c r="G52" s="8" t="str">
        <x:f>'Evaluation Plan'!G52</x:f>
        <x:v>MOVE juggling ball to bowl</x:v>
      </x:c>
      <x:c r="H52" s="7"/>
      <x:c r="I52" s="8" t="str">
        <x:f>'Evaluation Plan'!I52</x:f>
        <x:v>Language robustness</x:v>
      </x:c>
      <x:c r="J52" s="8" t="str">
        <x:f>'Evaluation Plan'!J52</x:f>
        <x:v>SZ-CT-SJ04</x:v>
      </x:c>
      <x:c r="K52" s="8" t="str">
        <x:f>'Evaluation Plan'!K52</x:f>
        <x:v>smallest</x:v>
      </x:c>
      <x:c r="L52" s="8" t="str">
        <x:f>'Evaluation Plan'!L52</x:f>
        <x:v>Primary compositional-transfer prompt paraphrase</x:v>
      </x:c>
      <x:c r="M52" s="8" t="str">
        <x:f>'Evaluation Plan'!M52</x:f>
        <x:v>juggling ball</x:v>
      </x:c>
      <x:c r="N52" s="8" t="str">
        <x:f>'Evaluation Plan'!N52</x:f>
        <x:v>Left</x:v>
      </x:c>
      <x:c r="O52" s="8" t="n">
        <x:f>'Evaluation Plan'!O52</x:f>
        <x:v>2</x:v>
      </x:c>
      <x:c r="P52" s="8" t="n">
        <x:f>IF(ISBLANK('Evaluation Plan'!P52),"",'Evaluation Plan'!P52)</x:f>
        <x:v>12</x:v>
      </x:c>
      <x:c r="Q52" s="8" t="str">
        <x:f>'Evaluation Plan'!Q52</x:f>
        <x:v>Reset the target; preserve the exact scene and paraphrase only the transfer prompt.</x:v>
      </x:c>
      <x:c r="R52" s="7" t="str">
        <x:f>'Evaluation Plan'!R52</x:f>
        <x:v>Exact-scene paraphrase of the primary transfer instruction.</x:v>
      </x:c>
      <x:c r="S52" s="7" t="str">
        <x:f>IF(ISBLANK('Evaluation Plan'!S52),"",'Evaluation Plan'!S52)</x:f>
      </x:c>
    </x:row>
    <x:row r="53" ht="68" customHeight="1">
      <x:c r="A53" s="8" t="str">
        <x:v>Not collected</x:v>
      </x:c>
      <x:c r="B53" s="8" t="n">
        <x:f>'Evaluation Plan'!B53</x:f>
        <x:v>51</x:v>
      </x:c>
      <x:c r="C53" s="7" t="str">
        <x:f>'Evaluation Plan'!C53</x:f>
        <x:v>Place the table's juggling ball inside the bowl.</x:v>
      </x:c>
      <x:c r="D53" s="7" t="str">
        <x:f>'Evaluation Plan'!D53</x:f>
        <x:v>Bowl: empty. Table, robot-left→robot-right: P1 juggling ball; P2 crushed Pepsi can. Adjacent centers 12 cm apart; row centered on the workspace; all objects fully visible and grasp paths clear.</x:v>
      </x:c>
      <x:c r="E53" s="8" t="n">
        <x:f>IF(ISBLANK('Evaluation Plan'!E53),"",'Evaluation Plan'!E53)</x:f>
        <x:v>49</x:v>
      </x:c>
      <x:c r="F53" s="8" t="str">
        <x:f>'Evaluation Plan'!F53</x:f>
        <x:v>1103</x:v>
      </x:c>
      <x:c r="G53" s="8" t="str">
        <x:f>'Evaluation Plan'!G53</x:f>
        <x:v>MOVE juggling ball to bowl</x:v>
      </x:c>
      <x:c r="H53" s="7"/>
      <x:c r="I53" s="8" t="str">
        <x:f>'Evaluation Plan'!I53</x:f>
        <x:v>Language robustness</x:v>
      </x:c>
      <x:c r="J53" s="8" t="str">
        <x:f>'Evaluation Plan'!J53</x:f>
        <x:v>SZ-CT-SJ04</x:v>
      </x:c>
      <x:c r="K53" s="8" t="str">
        <x:f>'Evaluation Plan'!K53</x:f>
        <x:v>Direct</x:v>
      </x:c>
      <x:c r="L53" s="8" t="str">
        <x:f>'Evaluation Plan'!L53</x:f>
        <x:v>Matched-control direct prompt paraphrase</x:v>
      </x:c>
      <x:c r="M53" s="8" t="str">
        <x:f>'Evaluation Plan'!M53</x:f>
        <x:v>juggling ball</x:v>
      </x:c>
      <x:c r="N53" s="8" t="str">
        <x:f>'Evaluation Plan'!N53</x:f>
        <x:v>Left</x:v>
      </x:c>
      <x:c r="O53" s="8" t="n">
        <x:f>'Evaluation Plan'!O53</x:f>
        <x:v>2</x:v>
      </x:c>
      <x:c r="P53" s="8" t="n">
        <x:f>IF(ISBLANK('Evaluation Plan'!P53),"",'Evaluation Plan'!P53)</x:f>
        <x:v>12</x:v>
      </x:c>
      <x:c r="Q53" s="8" t="str">
        <x:f>'Evaluation Plan'!Q53</x:f>
        <x:v>Reset the target; preserve the exact scene and paraphrase only the matched-control prompt.</x:v>
      </x:c>
      <x:c r="R53" s="7" t="str">
        <x:f>'Evaluation Plan'!R53</x:f>
        <x:v>Exact-scene paraphrase of the direct manipulation control.</x:v>
      </x:c>
      <x:c r="S53" s="7" t="str">
        <x:f>IF(ISBLANK('Evaluation Plan'!S53),"",'Evaluation Plan'!S53)</x:f>
      </x:c>
    </x:row>
    <x:row r="54" ht="68" customHeight="1">
      <x:c r="A54" s="9" t="str">
        <x:v>Not collected</x:v>
      </x:c>
      <x:c r="B54" s="9" t="n">
        <x:f>'Evaluation Plan'!B54</x:f>
        <x:v>52</x:v>
      </x:c>
      <x:c r="C54" s="10" t="str">
        <x:f>'Evaluation Plan'!C54</x:f>
        <x:v>Pick up the largest item and place it in the bowl.</x:v>
      </x:c>
      <x:c r="D54" s="10" t="str">
        <x:f>'Evaluation Plan'!D54</x:f>
        <x:v>Bowl: empty. Table, robot-left→robot-right: P1 green block; P2 red pencil sharpener. Adjacent centers 12 cm apart; row shifted 4 cm away from the robot; all objects fully visible and grasp paths clear.</x:v>
      </x:c>
      <x:c r="E54" s="9" t="str">
        <x:f>IF(ISBLANK('Evaluation Plan'!E54),"",'Evaluation Plan'!E54)</x:f>
      </x:c>
      <x:c r="F54" s="9" t="str">
        <x:f>'Evaluation Plan'!F54</x:f>
        <x:v>1084</x:v>
      </x:c>
      <x:c r="G54" s="9" t="str">
        <x:f>'Evaluation Plan'!G54</x:f>
        <x:v>MOVE green block to bowl</x:v>
      </x:c>
      <x:c r="H54" s="10"/>
      <x:c r="I54" s="9" t="str">
        <x:f>'Evaluation Plan'!I54</x:f>
        <x:v>Concept/compositional transfer</x:v>
      </x:c>
      <x:c r="J54" s="9" t="str">
        <x:f>'Evaluation Plan'!J54</x:f>
        <x:v>SZ-CT-LG05</x:v>
      </x:c>
      <x:c r="K54" s="9" t="str">
        <x:f>'Evaluation Plan'!K54</x:f>
        <x:v>largest</x:v>
      </x:c>
      <x:c r="L54" s="9" t="str">
        <x:f>'Evaluation Plan'!L54</x:f>
        <x:v>Held-out largest × green block — Pick up</x:v>
      </x:c>
      <x:c r="M54" s="9" t="str">
        <x:f>'Evaluation Plan'!M54</x:f>
        <x:v>green block</x:v>
      </x:c>
      <x:c r="N54" s="9" t="str">
        <x:f>'Evaluation Plan'!N54</x:f>
        <x:v>Left</x:v>
      </x:c>
      <x:c r="O54" s="9" t="n">
        <x:f>'Evaluation Plan'!O54</x:f>
        <x:v>2</x:v>
      </x:c>
      <x:c r="P54" s="9" t="n">
        <x:f>IF(ISBLANK('Evaluation Plan'!P54),"",'Evaluation Plan'!P54)</x:f>
        <x:v>12</x:v>
      </x:c>
      <x:c r="Q54" s="9" t="str">
        <x:f>'Evaluation Plan'!Q54</x:f>
        <x:v>Build the listed two-object scene and save a first-frame filename.</x:v>
      </x:c>
      <x:c r="R54" s="10" t="str">
        <x:f>'Evaluation Plan'!R54</x:f>
        <x:v>Primary missing cell. Training episode 1084 contains the same target trajectory but masks the size word with a direct identity prompt.</x:v>
      </x:c>
      <x:c r="S54" s="10" t="str">
        <x:f>IF(ISBLANK('Evaluation Plan'!S54),"",'Evaluation Plan'!S54)</x:f>
      </x:c>
    </x:row>
    <x:row r="55" ht="68" customHeight="1">
      <x:c r="A55" s="8" t="str">
        <x:v>Not collected</x:v>
      </x:c>
      <x:c r="B55" s="8" t="n">
        <x:f>'Evaluation Plan'!B55</x:f>
        <x:v>53</x:v>
      </x:c>
      <x:c r="C55" s="7" t="str">
        <x:f>'Evaluation Plan'!C55</x:f>
        <x:v>Move the green block into the bowl.</x:v>
      </x:c>
      <x:c r="D55" s="7" t="str">
        <x:f>'Evaluation Plan'!D55</x:f>
        <x:v>Bowl: empty. Table, robot-left→robot-right: P1 green block; P2 red pencil sharpener. Adjacent centers 12 cm apart; row shifted 4 cm away from the robot; all objects fully visible and grasp paths clear.</x:v>
      </x:c>
      <x:c r="E55" s="8" t="n">
        <x:f>IF(ISBLANK('Evaluation Plan'!E55),"",'Evaluation Plan'!E55)</x:f>
        <x:v>52</x:v>
      </x:c>
      <x:c r="F55" s="8" t="str">
        <x:f>'Evaluation Plan'!F55</x:f>
        <x:v>1079</x:v>
      </x:c>
      <x:c r="G55" s="8" t="str">
        <x:f>'Evaluation Plan'!G55</x:f>
        <x:v>MOVE green block to bowl</x:v>
      </x:c>
      <x:c r="H55" s="7"/>
      <x:c r="I55" s="8" t="str">
        <x:f>'Evaluation Plan'!I55</x:f>
        <x:v>Matched manipulation control</x:v>
      </x:c>
      <x:c r="J55" s="8" t="str">
        <x:f>'Evaluation Plan'!J55</x:f>
        <x:v>SZ-CT-LG05</x:v>
      </x:c>
      <x:c r="K55" s="8" t="str">
        <x:f>'Evaluation Plan'!K55</x:f>
        <x:v>Direct</x:v>
      </x:c>
      <x:c r="L55" s="8" t="str">
        <x:f>'Evaluation Plan'!L55</x:f>
        <x:v>Same-scene direct target control</x:v>
      </x:c>
      <x:c r="M55" s="8" t="str">
        <x:f>'Evaluation Plan'!M55</x:f>
        <x:v>green block</x:v>
      </x:c>
      <x:c r="N55" s="8" t="str">
        <x:f>'Evaluation Plan'!N55</x:f>
        <x:v>Left</x:v>
      </x:c>
      <x:c r="O55" s="8" t="n">
        <x:f>'Evaluation Plan'!O55</x:f>
        <x:v>2</x:v>
      </x:c>
      <x:c r="P55" s="8" t="n">
        <x:f>IF(ISBLANK('Evaluation Plan'!P55),"",'Evaluation Plan'!P55)</x:f>
        <x:v>12</x:v>
      </x:c>
      <x:c r="Q55" s="8" t="str">
        <x:f>'Evaluation Plan'!Q55</x:f>
        <x:v>Reset the target to its original pose; change only the prompt.</x:v>
      </x:c>
      <x:c r="R55" s="7" t="str">
        <x:f>'Evaluation Plan'!R55</x:f>
        <x:v>Exact-scene control using a direct prompt supported by training episode 1079.</x:v>
      </x:c>
      <x:c r="S55" s="7" t="str">
        <x:f>IF(ISBLANK('Evaluation Plan'!S55),"",'Evaluation Plan'!S55)</x:f>
      </x:c>
    </x:row>
    <x:row r="56" ht="68" customHeight="1">
      <x:c r="A56" s="8" t="str">
        <x:v>Not collected</x:v>
      </x:c>
      <x:c r="B56" s="8" t="n">
        <x:f>'Evaluation Plan'!B56</x:f>
        <x:v>54</x:v>
      </x:c>
      <x:c r="C56" s="7" t="str">
        <x:f>'Evaluation Plan'!C56</x:f>
        <x:v>Move whichever item is larger into the bowl.</x:v>
      </x:c>
      <x:c r="D56" s="7" t="str">
        <x:f>'Evaluation Plan'!D56</x:f>
        <x:v>Bowl: empty. Table, robot-left→robot-right: P1 green block; P2 red pencil sharpener. Adjacent centers 12 cm apart; row shifted 4 cm away from the robot; all objects fully visible and grasp paths clear.</x:v>
      </x:c>
      <x:c r="E56" s="8" t="n">
        <x:f>IF(ISBLANK('Evaluation Plan'!E56),"",'Evaluation Plan'!E56)</x:f>
        <x:v>52</x:v>
      </x:c>
      <x:c r="F56" s="8" t="str">
        <x:f>'Evaluation Plan'!F56</x:f>
        <x:v>1084</x:v>
      </x:c>
      <x:c r="G56" s="8" t="str">
        <x:f>'Evaluation Plan'!G56</x:f>
        <x:v>MOVE green block to bowl</x:v>
      </x:c>
      <x:c r="H56" s="7"/>
      <x:c r="I56" s="8" t="str">
        <x:f>'Evaluation Plan'!I56</x:f>
        <x:v>Language robustness</x:v>
      </x:c>
      <x:c r="J56" s="8" t="str">
        <x:f>'Evaluation Plan'!J56</x:f>
        <x:v>SZ-CT-LG05</x:v>
      </x:c>
      <x:c r="K56" s="8" t="str">
        <x:f>'Evaluation Plan'!K56</x:f>
        <x:v>largest</x:v>
      </x:c>
      <x:c r="L56" s="8" t="str">
        <x:f>'Evaluation Plan'!L56</x:f>
        <x:v>Primary compositional-transfer prompt paraphrase</x:v>
      </x:c>
      <x:c r="M56" s="8" t="str">
        <x:f>'Evaluation Plan'!M56</x:f>
        <x:v>green block</x:v>
      </x:c>
      <x:c r="N56" s="8" t="str">
        <x:f>'Evaluation Plan'!N56</x:f>
        <x:v>Left</x:v>
      </x:c>
      <x:c r="O56" s="8" t="n">
        <x:f>'Evaluation Plan'!O56</x:f>
        <x:v>2</x:v>
      </x:c>
      <x:c r="P56" s="8" t="n">
        <x:f>IF(ISBLANK('Evaluation Plan'!P56),"",'Evaluation Plan'!P56)</x:f>
        <x:v>12</x:v>
      </x:c>
      <x:c r="Q56" s="8" t="str">
        <x:f>'Evaluation Plan'!Q56</x:f>
        <x:v>Reset the target; preserve the exact scene and paraphrase only the transfer prompt.</x:v>
      </x:c>
      <x:c r="R56" s="7" t="str">
        <x:f>'Evaluation Plan'!R56</x:f>
        <x:v>Exact-scene paraphrase of the primary transfer instruction.</x:v>
      </x:c>
      <x:c r="S56" s="7" t="str">
        <x:f>IF(ISBLANK('Evaluation Plan'!S56),"",'Evaluation Plan'!S56)</x:f>
      </x:c>
    </x:row>
    <x:row r="57" ht="68" customHeight="1">
      <x:c r="A57" s="8" t="str">
        <x:v>Not collected</x:v>
      </x:c>
      <x:c r="B57" s="8" t="n">
        <x:f>'Evaluation Plan'!B57</x:f>
        <x:v>55</x:v>
      </x:c>
      <x:c r="C57" s="7" t="str">
        <x:f>'Evaluation Plan'!C57</x:f>
        <x:v>Take the green block from the table and put it in the bowl.</x:v>
      </x:c>
      <x:c r="D57" s="7" t="str">
        <x:f>'Evaluation Plan'!D57</x:f>
        <x:v>Bowl: empty. Table, robot-left→robot-right: P1 green block; P2 red pencil sharpener. Adjacent centers 12 cm apart; row shifted 4 cm away from the robot; all objects fully visible and grasp paths clear.</x:v>
      </x:c>
      <x:c r="E57" s="8" t="n">
        <x:f>IF(ISBLANK('Evaluation Plan'!E57),"",'Evaluation Plan'!E57)</x:f>
        <x:v>53</x:v>
      </x:c>
      <x:c r="F57" s="8" t="str">
        <x:f>'Evaluation Plan'!F57</x:f>
        <x:v>1079</x:v>
      </x:c>
      <x:c r="G57" s="8" t="str">
        <x:f>'Evaluation Plan'!G57</x:f>
        <x:v>MOVE green block to bowl</x:v>
      </x:c>
      <x:c r="H57" s="7"/>
      <x:c r="I57" s="8" t="str">
        <x:f>'Evaluation Plan'!I57</x:f>
        <x:v>Language robustness</x:v>
      </x:c>
      <x:c r="J57" s="8" t="str">
        <x:f>'Evaluation Plan'!J57</x:f>
        <x:v>SZ-CT-LG05</x:v>
      </x:c>
      <x:c r="K57" s="8" t="str">
        <x:f>'Evaluation Plan'!K57</x:f>
        <x:v>Direct</x:v>
      </x:c>
      <x:c r="L57" s="8" t="str">
        <x:f>'Evaluation Plan'!L57</x:f>
        <x:v>Matched-control direct prompt paraphrase</x:v>
      </x:c>
      <x:c r="M57" s="8" t="str">
        <x:f>'Evaluation Plan'!M57</x:f>
        <x:v>green block</x:v>
      </x:c>
      <x:c r="N57" s="8" t="str">
        <x:f>'Evaluation Plan'!N57</x:f>
        <x:v>Left</x:v>
      </x:c>
      <x:c r="O57" s="8" t="n">
        <x:f>'Evaluation Plan'!O57</x:f>
        <x:v>2</x:v>
      </x:c>
      <x:c r="P57" s="8" t="n">
        <x:f>IF(ISBLANK('Evaluation Plan'!P57),"",'Evaluation Plan'!P57)</x:f>
        <x:v>12</x:v>
      </x:c>
      <x:c r="Q57" s="8" t="str">
        <x:f>'Evaluation Plan'!Q57</x:f>
        <x:v>Reset the target; preserve the exact scene and paraphrase only the matched-control prompt.</x:v>
      </x:c>
      <x:c r="R57" s="7" t="str">
        <x:f>'Evaluation Plan'!R57</x:f>
        <x:v>Exact-scene paraphrase of the direct manipulation control.</x:v>
      </x:c>
      <x:c r="S57" s="7" t="str">
        <x:f>IF(ISBLANK('Evaluation Plan'!S57),"",'Evaluation Plan'!S57)</x:f>
      </x:c>
    </x:row>
    <x:row r="58" ht="68" customHeight="1">
      <x:c r="A58" s="9" t="str">
        <x:v>Not collected</x:v>
      </x:c>
      <x:c r="B58" s="9" t="n">
        <x:f>'Evaluation Plan'!B58</x:f>
        <x:v>56</x:v>
      </x:c>
      <x:c r="C58" s="10" t="str">
        <x:f>'Evaluation Plan'!C58</x:f>
        <x:v>Put the smallest object in the bowl.</x:v>
      </x:c>
      <x:c r="D58" s="10" t="str">
        <x:f>'Evaluation Plan'!D58</x:f>
        <x:v>Bowl: empty. Table, robot-left→robot-right: P1 crushed Pepsi can; P2 juggling ball. Adjacent centers 16 cm apart; row shifted 4 cm toward robot-left; all objects fully visible and grasp paths clear.</x:v>
      </x:c>
      <x:c r="E58" s="9" t="str">
        <x:f>IF(ISBLANK('Evaluation Plan'!E58),"",'Evaluation Plan'!E58)</x:f>
      </x:c>
      <x:c r="F58" s="9" t="str">
        <x:f>'Evaluation Plan'!F58</x:f>
        <x:v>1109</x:v>
      </x:c>
      <x:c r="G58" s="9" t="str">
        <x:f>'Evaluation Plan'!G58</x:f>
        <x:v>MOVE juggling ball to bowl</x:v>
      </x:c>
      <x:c r="H58" s="10"/>
      <x:c r="I58" s="9" t="str">
        <x:f>'Evaluation Plan'!I58</x:f>
        <x:v>Concept/compositional transfer</x:v>
      </x:c>
      <x:c r="J58" s="9" t="str">
        <x:f>'Evaluation Plan'!J58</x:f>
        <x:v>SZ-CT-SJ05</x:v>
      </x:c>
      <x:c r="K58" s="9" t="str">
        <x:f>'Evaluation Plan'!K58</x:f>
        <x:v>smallest</x:v>
      </x:c>
      <x:c r="L58" s="9" t="str">
        <x:f>'Evaluation Plan'!L58</x:f>
        <x:v>Held-out smallest × juggling ball — Put</x:v>
      </x:c>
      <x:c r="M58" s="9" t="str">
        <x:f>'Evaluation Plan'!M58</x:f>
        <x:v>juggling ball</x:v>
      </x:c>
      <x:c r="N58" s="9" t="str">
        <x:f>'Evaluation Plan'!N58</x:f>
        <x:v>Right</x:v>
      </x:c>
      <x:c r="O58" s="9" t="n">
        <x:f>'Evaluation Plan'!O58</x:f>
        <x:v>2</x:v>
      </x:c>
      <x:c r="P58" s="9" t="n">
        <x:f>IF(ISBLANK('Evaluation Plan'!P58),"",'Evaluation Plan'!P58)</x:f>
        <x:v>16</x:v>
      </x:c>
      <x:c r="Q58" s="9" t="str">
        <x:f>'Evaluation Plan'!Q58</x:f>
        <x:v>Build the listed two-object scene and save a first-frame filename.</x:v>
      </x:c>
      <x:c r="R58" s="10" t="str">
        <x:f>'Evaluation Plan'!R58</x:f>
        <x:v>Primary missing cell. Training episode 1109 contains the same target trajectory but masks the size word with a direct identity prompt.</x:v>
      </x:c>
      <x:c r="S58" s="10" t="str">
        <x:f>IF(ISBLANK('Evaluation Plan'!S58),"",'Evaluation Plan'!S58)</x:f>
      </x:c>
    </x:row>
    <x:row r="59" ht="68" customHeight="1">
      <x:c r="A59" s="8" t="str">
        <x:v>Not collected</x:v>
      </x:c>
      <x:c r="B59" s="8" t="n">
        <x:f>'Evaluation Plan'!B59</x:f>
        <x:v>57</x:v>
      </x:c>
      <x:c r="C59" s="7" t="str">
        <x:f>'Evaluation Plan'!C59</x:f>
        <x:v>Move the juggling ball into the bowl.</x:v>
      </x:c>
      <x:c r="D59" s="7" t="str">
        <x:f>'Evaluation Plan'!D59</x:f>
        <x:v>Bowl: empty. Table, robot-left→robot-right: P1 crushed Pepsi can; P2 juggling ball. Adjacent centers 16 cm apart; row shifted 4 cm toward robot-left; all objects fully visible and grasp paths clear.</x:v>
      </x:c>
      <x:c r="E59" s="8" t="n">
        <x:f>IF(ISBLANK('Evaluation Plan'!E59),"",'Evaluation Plan'!E59)</x:f>
        <x:v>56</x:v>
      </x:c>
      <x:c r="F59" s="8" t="str">
        <x:f>'Evaluation Plan'!F59</x:f>
        <x:v>1104</x:v>
      </x:c>
      <x:c r="G59" s="8" t="str">
        <x:f>'Evaluation Plan'!G59</x:f>
        <x:v>MOVE juggling ball to bowl</x:v>
      </x:c>
      <x:c r="H59" s="7"/>
      <x:c r="I59" s="8" t="str">
        <x:f>'Evaluation Plan'!I59</x:f>
        <x:v>Matched manipulation control</x:v>
      </x:c>
      <x:c r="J59" s="8" t="str">
        <x:f>'Evaluation Plan'!J59</x:f>
        <x:v>SZ-CT-SJ05</x:v>
      </x:c>
      <x:c r="K59" s="8" t="str">
        <x:f>'Evaluation Plan'!K59</x:f>
        <x:v>Direct</x:v>
      </x:c>
      <x:c r="L59" s="8" t="str">
        <x:f>'Evaluation Plan'!L59</x:f>
        <x:v>Same-scene direct target control</x:v>
      </x:c>
      <x:c r="M59" s="8" t="str">
        <x:f>'Evaluation Plan'!M59</x:f>
        <x:v>juggling ball</x:v>
      </x:c>
      <x:c r="N59" s="8" t="str">
        <x:f>'Evaluation Plan'!N59</x:f>
        <x:v>Right</x:v>
      </x:c>
      <x:c r="O59" s="8" t="n">
        <x:f>'Evaluation Plan'!O59</x:f>
        <x:v>2</x:v>
      </x:c>
      <x:c r="P59" s="8" t="n">
        <x:f>IF(ISBLANK('Evaluation Plan'!P59),"",'Evaluation Plan'!P59)</x:f>
        <x:v>16</x:v>
      </x:c>
      <x:c r="Q59" s="8" t="str">
        <x:f>'Evaluation Plan'!Q59</x:f>
        <x:v>Reset the target to its original pose; change only the prompt.</x:v>
      </x:c>
      <x:c r="R59" s="7" t="str">
        <x:f>'Evaluation Plan'!R59</x:f>
        <x:v>Exact-scene control using a direct prompt supported by training episode 1104.</x:v>
      </x:c>
      <x:c r="S59" s="7" t="str">
        <x:f>IF(ISBLANK('Evaluation Plan'!S59),"",'Evaluation Plan'!S59)</x:f>
      </x:c>
    </x:row>
    <x:row r="60" ht="68" customHeight="1">
      <x:c r="A60" s="8" t="str">
        <x:v>Not collected</x:v>
      </x:c>
      <x:c r="B60" s="8" t="n">
        <x:f>'Evaluation Plan'!B60</x:f>
        <x:v>58</x:v>
      </x:c>
      <x:c r="C60" s="7" t="str">
        <x:f>'Evaluation Plan'!C60</x:f>
        <x:v>Move whichever item is smaller into the bowl.</x:v>
      </x:c>
      <x:c r="D60" s="7" t="str">
        <x:f>'Evaluation Plan'!D60</x:f>
        <x:v>Bowl: empty. Table, robot-left→robot-right: P1 crushed Pepsi can; P2 juggling ball. Adjacent centers 16 cm apart; row shifted 4 cm toward robot-left; all objects fully visible and grasp paths clear.</x:v>
      </x:c>
      <x:c r="E60" s="8" t="n">
        <x:f>IF(ISBLANK('Evaluation Plan'!E60),"",'Evaluation Plan'!E60)</x:f>
        <x:v>56</x:v>
      </x:c>
      <x:c r="F60" s="8" t="str">
        <x:f>'Evaluation Plan'!F60</x:f>
        <x:v>1109</x:v>
      </x:c>
      <x:c r="G60" s="8" t="str">
        <x:f>'Evaluation Plan'!G60</x:f>
        <x:v>MOVE juggling ball to bowl</x:v>
      </x:c>
      <x:c r="H60" s="7"/>
      <x:c r="I60" s="8" t="str">
        <x:f>'Evaluation Plan'!I60</x:f>
        <x:v>Language robustness</x:v>
      </x:c>
      <x:c r="J60" s="8" t="str">
        <x:f>'Evaluation Plan'!J60</x:f>
        <x:v>SZ-CT-SJ05</x:v>
      </x:c>
      <x:c r="K60" s="8" t="str">
        <x:f>'Evaluation Plan'!K60</x:f>
        <x:v>smallest</x:v>
      </x:c>
      <x:c r="L60" s="8" t="str">
        <x:f>'Evaluation Plan'!L60</x:f>
        <x:v>Primary compositional-transfer prompt paraphrase</x:v>
      </x:c>
      <x:c r="M60" s="8" t="str">
        <x:f>'Evaluation Plan'!M60</x:f>
        <x:v>juggling ball</x:v>
      </x:c>
      <x:c r="N60" s="8" t="str">
        <x:f>'Evaluation Plan'!N60</x:f>
        <x:v>Right</x:v>
      </x:c>
      <x:c r="O60" s="8" t="n">
        <x:f>'Evaluation Plan'!O60</x:f>
        <x:v>2</x:v>
      </x:c>
      <x:c r="P60" s="8" t="n">
        <x:f>IF(ISBLANK('Evaluation Plan'!P60),"",'Evaluation Plan'!P60)</x:f>
        <x:v>16</x:v>
      </x:c>
      <x:c r="Q60" s="8" t="str">
        <x:f>'Evaluation Plan'!Q60</x:f>
        <x:v>Reset the target; preserve the exact scene and paraphrase only the transfer prompt.</x:v>
      </x:c>
      <x:c r="R60" s="7" t="str">
        <x:f>'Evaluation Plan'!R60</x:f>
        <x:v>Exact-scene paraphrase of the primary transfer instruction.</x:v>
      </x:c>
      <x:c r="S60" s="7" t="str">
        <x:f>IF(ISBLANK('Evaluation Plan'!S60),"",'Evaluation Plan'!S60)</x:f>
      </x:c>
    </x:row>
    <x:row r="61" ht="68" customHeight="1">
      <x:c r="A61" s="8" t="str">
        <x:v>Not collected</x:v>
      </x:c>
      <x:c r="B61" s="8" t="n">
        <x:f>'Evaluation Plan'!B61</x:f>
        <x:v>59</x:v>
      </x:c>
      <x:c r="C61" s="7" t="str">
        <x:f>'Evaluation Plan'!C61</x:f>
        <x:v>Take the juggling ball from the table and put it in the bowl.</x:v>
      </x:c>
      <x:c r="D61" s="7" t="str">
        <x:f>'Evaluation Plan'!D61</x:f>
        <x:v>Bowl: empty. Table, robot-left→robot-right: P1 crushed Pepsi can; P2 juggling ball. Adjacent centers 16 cm apart; row shifted 4 cm toward robot-left; all objects fully visible and grasp paths clear.</x:v>
      </x:c>
      <x:c r="E61" s="8" t="n">
        <x:f>IF(ISBLANK('Evaluation Plan'!E61),"",'Evaluation Plan'!E61)</x:f>
        <x:v>57</x:v>
      </x:c>
      <x:c r="F61" s="8" t="str">
        <x:f>'Evaluation Plan'!F61</x:f>
        <x:v>1104</x:v>
      </x:c>
      <x:c r="G61" s="8" t="str">
        <x:f>'Evaluation Plan'!G61</x:f>
        <x:v>MOVE juggling ball to bowl</x:v>
      </x:c>
      <x:c r="H61" s="7"/>
      <x:c r="I61" s="8" t="str">
        <x:f>'Evaluation Plan'!I61</x:f>
        <x:v>Language robustness</x:v>
      </x:c>
      <x:c r="J61" s="8" t="str">
        <x:f>'Evaluation Plan'!J61</x:f>
        <x:v>SZ-CT-SJ05</x:v>
      </x:c>
      <x:c r="K61" s="8" t="str">
        <x:f>'Evaluation Plan'!K61</x:f>
        <x:v>Direct</x:v>
      </x:c>
      <x:c r="L61" s="8" t="str">
        <x:f>'Evaluation Plan'!L61</x:f>
        <x:v>Matched-control direct prompt paraphrase</x:v>
      </x:c>
      <x:c r="M61" s="8" t="str">
        <x:f>'Evaluation Plan'!M61</x:f>
        <x:v>juggling ball</x:v>
      </x:c>
      <x:c r="N61" s="8" t="str">
        <x:f>'Evaluation Plan'!N61</x:f>
        <x:v>Right</x:v>
      </x:c>
      <x:c r="O61" s="8" t="n">
        <x:f>'Evaluation Plan'!O61</x:f>
        <x:v>2</x:v>
      </x:c>
      <x:c r="P61" s="8" t="n">
        <x:f>IF(ISBLANK('Evaluation Plan'!P61),"",'Evaluation Plan'!P61)</x:f>
        <x:v>16</x:v>
      </x:c>
      <x:c r="Q61" s="8" t="str">
        <x:f>'Evaluation Plan'!Q61</x:f>
        <x:v>Reset the target; preserve the exact scene and paraphrase only the matched-control prompt.</x:v>
      </x:c>
      <x:c r="R61" s="7" t="str">
        <x:f>'Evaluation Plan'!R61</x:f>
        <x:v>Exact-scene paraphrase of the direct manipulation control.</x:v>
      </x:c>
      <x:c r="S61" s="7" t="str">
        <x:f>IF(ISBLANK('Evaluation Plan'!S61),"",'Evaluation Plan'!S61)</x:f>
      </x:c>
    </x:row>
    <x:row r="62" ht="68" customHeight="1">
      <x:c r="A62" s="9" t="str">
        <x:v>Not collected</x:v>
      </x:c>
      <x:c r="B62" s="9" t="n">
        <x:f>'Evaluation Plan'!B62</x:f>
        <x:v>60</x:v>
      </x:c>
      <x:c r="C62" s="10" t="str">
        <x:f>'Evaluation Plan'!C62</x:f>
        <x:v>Put the largest object in the bowl.</x:v>
      </x:c>
      <x:c r="D62" s="10" t="str">
        <x:f>'Evaluation Plan'!D62</x:f>
        <x:v>Bowl: empty. Table, robot-left→robot-right: P1 red pencil sharpener; P2 green block. Adjacent centers 16 cm apart; row centered on the workspace; all objects fully visible and grasp paths clear.</x:v>
      </x:c>
      <x:c r="E62" s="9" t="str">
        <x:f>IF(ISBLANK('Evaluation Plan'!E62),"",'Evaluation Plan'!E62)</x:f>
      </x:c>
      <x:c r="F62" s="9" t="str">
        <x:f>'Evaluation Plan'!F62</x:f>
        <x:v>1085</x:v>
      </x:c>
      <x:c r="G62" s="9" t="str">
        <x:f>'Evaluation Plan'!G62</x:f>
        <x:v>MOVE green block to bowl</x:v>
      </x:c>
      <x:c r="H62" s="10"/>
      <x:c r="I62" s="9" t="str">
        <x:f>'Evaluation Plan'!I62</x:f>
        <x:v>Concept/compositional transfer</x:v>
      </x:c>
      <x:c r="J62" s="9" t="str">
        <x:f>'Evaluation Plan'!J62</x:f>
        <x:v>SZ-CT-LG06</x:v>
      </x:c>
      <x:c r="K62" s="9" t="str">
        <x:f>'Evaluation Plan'!K62</x:f>
        <x:v>largest</x:v>
      </x:c>
      <x:c r="L62" s="9" t="str">
        <x:f>'Evaluation Plan'!L62</x:f>
        <x:v>Held-out largest × green block — Put</x:v>
      </x:c>
      <x:c r="M62" s="9" t="str">
        <x:f>'Evaluation Plan'!M62</x:f>
        <x:v>green block</x:v>
      </x:c>
      <x:c r="N62" s="9" t="str">
        <x:f>'Evaluation Plan'!N62</x:f>
        <x:v>Right</x:v>
      </x:c>
      <x:c r="O62" s="9" t="n">
        <x:f>'Evaluation Plan'!O62</x:f>
        <x:v>2</x:v>
      </x:c>
      <x:c r="P62" s="9" t="n">
        <x:f>IF(ISBLANK('Evaluation Plan'!P62),"",'Evaluation Plan'!P62)</x:f>
        <x:v>16</x:v>
      </x:c>
      <x:c r="Q62" s="9" t="str">
        <x:f>'Evaluation Plan'!Q62</x:f>
        <x:v>Build the listed two-object scene and save a first-frame filename.</x:v>
      </x:c>
      <x:c r="R62" s="10" t="str">
        <x:f>'Evaluation Plan'!R62</x:f>
        <x:v>Primary missing cell. Training episode 1085 contains the same target trajectory but masks the size word with a direct identity prompt.</x:v>
      </x:c>
      <x:c r="S62" s="10" t="str">
        <x:f>IF(ISBLANK('Evaluation Plan'!S62),"",'Evaluation Plan'!S62)</x:f>
      </x:c>
    </x:row>
    <x:row r="63" ht="68" customHeight="1">
      <x:c r="A63" s="8" t="str">
        <x:v>Not collected</x:v>
      </x:c>
      <x:c r="B63" s="8" t="n">
        <x:f>'Evaluation Plan'!B63</x:f>
        <x:v>61</x:v>
      </x:c>
      <x:c r="C63" s="7" t="str">
        <x:f>'Evaluation Plan'!C63</x:f>
        <x:v>Pick up the green block and place it in the bowl.</x:v>
      </x:c>
      <x:c r="D63" s="7" t="str">
        <x:f>'Evaluation Plan'!D63</x:f>
        <x:v>Bowl: empty. Table, robot-left→robot-right: P1 red pencil sharpener; P2 green block. Adjacent centers 16 cm apart; row centered on the workspace; all objects fully visible and grasp paths clear.</x:v>
      </x:c>
      <x:c r="E63" s="8" t="n">
        <x:f>IF(ISBLANK('Evaluation Plan'!E63),"",'Evaluation Plan'!E63)</x:f>
        <x:v>60</x:v>
      </x:c>
      <x:c r="F63" s="8" t="str">
        <x:f>'Evaluation Plan'!F63</x:f>
        <x:v>1075</x:v>
      </x:c>
      <x:c r="G63" s="8" t="str">
        <x:f>'Evaluation Plan'!G63</x:f>
        <x:v>MOVE green block to bowl</x:v>
      </x:c>
      <x:c r="H63" s="7"/>
      <x:c r="I63" s="8" t="str">
        <x:f>'Evaluation Plan'!I63</x:f>
        <x:v>Matched manipulation control</x:v>
      </x:c>
      <x:c r="J63" s="8" t="str">
        <x:f>'Evaluation Plan'!J63</x:f>
        <x:v>SZ-CT-LG06</x:v>
      </x:c>
      <x:c r="K63" s="8" t="str">
        <x:f>'Evaluation Plan'!K63</x:f>
        <x:v>Direct</x:v>
      </x:c>
      <x:c r="L63" s="8" t="str">
        <x:f>'Evaluation Plan'!L63</x:f>
        <x:v>Same-scene direct target control</x:v>
      </x:c>
      <x:c r="M63" s="8" t="str">
        <x:f>'Evaluation Plan'!M63</x:f>
        <x:v>green block</x:v>
      </x:c>
      <x:c r="N63" s="8" t="str">
        <x:f>'Evaluation Plan'!N63</x:f>
        <x:v>Right</x:v>
      </x:c>
      <x:c r="O63" s="8" t="n">
        <x:f>'Evaluation Plan'!O63</x:f>
        <x:v>2</x:v>
      </x:c>
      <x:c r="P63" s="8" t="n">
        <x:f>IF(ISBLANK('Evaluation Plan'!P63),"",'Evaluation Plan'!P63)</x:f>
        <x:v>16</x:v>
      </x:c>
      <x:c r="Q63" s="8" t="str">
        <x:f>'Evaluation Plan'!Q63</x:f>
        <x:v>Reset the target to its original pose; change only the prompt.</x:v>
      </x:c>
      <x:c r="R63" s="7" t="str">
        <x:f>'Evaluation Plan'!R63</x:f>
        <x:v>Exact-scene control using a direct prompt supported by training episode 1075.</x:v>
      </x:c>
      <x:c r="S63" s="7" t="str">
        <x:f>IF(ISBLANK('Evaluation Plan'!S63),"",'Evaluation Plan'!S63)</x:f>
      </x:c>
    </x:row>
    <x:row r="64" ht="68" customHeight="1">
      <x:c r="A64" s="9" t="str">
        <x:v>Not collected</x:v>
      </x:c>
      <x:c r="B64" s="9" t="n">
        <x:f>'Evaluation Plan'!B64</x:f>
        <x:v>62</x:v>
      </x:c>
      <x:c r="C64" s="10" t="str">
        <x:f>'Evaluation Plan'!C64</x:f>
        <x:v>Move the object that is smallest into the bowl.</x:v>
      </x:c>
      <x:c r="D64" s="10" t="str">
        <x:f>'Evaluation Plan'!D64</x:f>
        <x:v>Bowl: empty. Table, robot-left→robot-right: P1 juggling ball; P2 crushed Pepsi can. Adjacent centers 8 cm apart; row shifted 4 cm toward robot-right; all objects fully visible and grasp paths clear.</x:v>
      </x:c>
      <x:c r="E64" s="9" t="str">
        <x:f>IF(ISBLANK('Evaluation Plan'!E64),"",'Evaluation Plan'!E64)</x:f>
      </x:c>
      <x:c r="F64" s="9" t="str">
        <x:f>'Evaluation Plan'!F64</x:f>
        <x:v>1110</x:v>
      </x:c>
      <x:c r="G64" s="9" t="str">
        <x:f>'Evaluation Plan'!G64</x:f>
        <x:v>MOVE juggling ball to bowl</x:v>
      </x:c>
      <x:c r="H64" s="10"/>
      <x:c r="I64" s="9" t="str">
        <x:f>'Evaluation Plan'!I64</x:f>
        <x:v>Concept/compositional transfer</x:v>
      </x:c>
      <x:c r="J64" s="9" t="str">
        <x:f>'Evaluation Plan'!J64</x:f>
        <x:v>SZ-CT-SJ06</x:v>
      </x:c>
      <x:c r="K64" s="9" t="str">
        <x:f>'Evaluation Plan'!K64</x:f>
        <x:v>smallest</x:v>
      </x:c>
      <x:c r="L64" s="9" t="str">
        <x:f>'Evaluation Plan'!L64</x:f>
        <x:v>Held-out smallest × juggling ball — Move</x:v>
      </x:c>
      <x:c r="M64" s="9" t="str">
        <x:f>'Evaluation Plan'!M64</x:f>
        <x:v>juggling ball</x:v>
      </x:c>
      <x:c r="N64" s="9" t="str">
        <x:f>'Evaluation Plan'!N64</x:f>
        <x:v>Left</x:v>
      </x:c>
      <x:c r="O64" s="9" t="n">
        <x:f>'Evaluation Plan'!O64</x:f>
        <x:v>2</x:v>
      </x:c>
      <x:c r="P64" s="9" t="n">
        <x:f>IF(ISBLANK('Evaluation Plan'!P64),"",'Evaluation Plan'!P64)</x:f>
        <x:v>8</x:v>
      </x:c>
      <x:c r="Q64" s="9" t="str">
        <x:f>'Evaluation Plan'!Q64</x:f>
        <x:v>Build the listed two-object scene and save a first-frame filename.</x:v>
      </x:c>
      <x:c r="R64" s="10" t="str">
        <x:f>'Evaluation Plan'!R64</x:f>
        <x:v>Primary missing cell. Training episode 1110 contains the same target trajectory but masks the size word with a direct identity prompt.</x:v>
      </x:c>
      <x:c r="S64" s="10" t="str">
        <x:f>IF(ISBLANK('Evaluation Plan'!S64),"",'Evaluation Plan'!S64)</x:f>
      </x:c>
    </x:row>
    <x:row r="65" ht="68" customHeight="1">
      <x:c r="A65" s="8" t="str">
        <x:v>Not collected</x:v>
      </x:c>
      <x:c r="B65" s="8" t="n">
        <x:f>'Evaluation Plan'!B65</x:f>
        <x:v>63</x:v>
      </x:c>
      <x:c r="C65" s="7" t="str">
        <x:f>'Evaluation Plan'!C65</x:f>
        <x:v>Pick up the juggling ball and place it in the bowl.</x:v>
      </x:c>
      <x:c r="D65" s="7" t="str">
        <x:f>'Evaluation Plan'!D65</x:f>
        <x:v>Bowl: empty. Table, robot-left→robot-right: P1 juggling ball; P2 crushed Pepsi can. Adjacent centers 8 cm apart; row shifted 4 cm toward robot-right; all objects fully visible and grasp paths clear.</x:v>
      </x:c>
      <x:c r="E65" s="8" t="n">
        <x:f>IF(ISBLANK('Evaluation Plan'!E65),"",'Evaluation Plan'!E65)</x:f>
        <x:v>62</x:v>
      </x:c>
      <x:c r="F65" s="8" t="str">
        <x:f>'Evaluation Plan'!F65</x:f>
        <x:v>1100</x:v>
      </x:c>
      <x:c r="G65" s="8" t="str">
        <x:f>'Evaluation Plan'!G65</x:f>
        <x:v>MOVE juggling ball to bowl</x:v>
      </x:c>
      <x:c r="H65" s="7"/>
      <x:c r="I65" s="8" t="str">
        <x:f>'Evaluation Plan'!I65</x:f>
        <x:v>Matched manipulation control</x:v>
      </x:c>
      <x:c r="J65" s="8" t="str">
        <x:f>'Evaluation Plan'!J65</x:f>
        <x:v>SZ-CT-SJ06</x:v>
      </x:c>
      <x:c r="K65" s="8" t="str">
        <x:f>'Evaluation Plan'!K65</x:f>
        <x:v>Direct</x:v>
      </x:c>
      <x:c r="L65" s="8" t="str">
        <x:f>'Evaluation Plan'!L65</x:f>
        <x:v>Same-scene direct target control</x:v>
      </x:c>
      <x:c r="M65" s="8" t="str">
        <x:f>'Evaluation Plan'!M65</x:f>
        <x:v>juggling ball</x:v>
      </x:c>
      <x:c r="N65" s="8" t="str">
        <x:f>'Evaluation Plan'!N65</x:f>
        <x:v>Left</x:v>
      </x:c>
      <x:c r="O65" s="8" t="n">
        <x:f>'Evaluation Plan'!O65</x:f>
        <x:v>2</x:v>
      </x:c>
      <x:c r="P65" s="8" t="n">
        <x:f>IF(ISBLANK('Evaluation Plan'!P65),"",'Evaluation Plan'!P65)</x:f>
        <x:v>8</x:v>
      </x:c>
      <x:c r="Q65" s="8" t="str">
        <x:f>'Evaluation Plan'!Q65</x:f>
        <x:v>Reset the target to its original pose; change only the prompt.</x:v>
      </x:c>
      <x:c r="R65" s="7" t="str">
        <x:f>'Evaluation Plan'!R65</x:f>
        <x:v>Exact-scene control using a direct prompt supported by training episode 1100.</x:v>
      </x:c>
      <x:c r="S65" s="7" t="str">
        <x:f>IF(ISBLANK('Evaluation Plan'!S65),"",'Evaluation Plan'!S65)</x:f>
      </x:c>
    </x:row>
    <x:row r="66" ht="68" customHeight="1">
      <x:c r="A66" s="9" t="str">
        <x:v>Not collected</x:v>
      </x:c>
      <x:c r="B66" s="9" t="n">
        <x:f>'Evaluation Plan'!B66</x:f>
        <x:v>64</x:v>
      </x:c>
      <x:c r="C66" s="10" t="str">
        <x:f>'Evaluation Plan'!C66</x:f>
        <x:v>Move the object that is largest into the bowl.</x:v>
      </x:c>
      <x:c r="D66" s="10" t="str">
        <x:f>'Evaluation Plan'!D66</x:f>
        <x:v>Bowl: empty. Table, robot-left→robot-right: P1 green block; P2 red pencil sharpener. Adjacent centers 8 cm apart; row shifted 4 cm toward robot-left; all objects fully visible and grasp paths clear.</x:v>
      </x:c>
      <x:c r="E66" s="9" t="str">
        <x:f>IF(ISBLANK('Evaluation Plan'!E66),"",'Evaluation Plan'!E66)</x:f>
      </x:c>
      <x:c r="F66" s="9" t="str">
        <x:f>'Evaluation Plan'!F66</x:f>
        <x:v>1086</x:v>
      </x:c>
      <x:c r="G66" s="9" t="str">
        <x:f>'Evaluation Plan'!G66</x:f>
        <x:v>MOVE green block to bowl</x:v>
      </x:c>
      <x:c r="H66" s="10"/>
      <x:c r="I66" s="9" t="str">
        <x:f>'Evaluation Plan'!I66</x:f>
        <x:v>Concept/compositional transfer</x:v>
      </x:c>
      <x:c r="J66" s="9" t="str">
        <x:f>'Evaluation Plan'!J66</x:f>
        <x:v>SZ-CT-LG07</x:v>
      </x:c>
      <x:c r="K66" s="9" t="str">
        <x:f>'Evaluation Plan'!K66</x:f>
        <x:v>largest</x:v>
      </x:c>
      <x:c r="L66" s="9" t="str">
        <x:f>'Evaluation Plan'!L66</x:f>
        <x:v>Held-out largest × green block — Move</x:v>
      </x:c>
      <x:c r="M66" s="9" t="str">
        <x:f>'Evaluation Plan'!M66</x:f>
        <x:v>green block</x:v>
      </x:c>
      <x:c r="N66" s="9" t="str">
        <x:f>'Evaluation Plan'!N66</x:f>
        <x:v>Left</x:v>
      </x:c>
      <x:c r="O66" s="9" t="n">
        <x:f>'Evaluation Plan'!O66</x:f>
        <x:v>2</x:v>
      </x:c>
      <x:c r="P66" s="9" t="n">
        <x:f>IF(ISBLANK('Evaluation Plan'!P66),"",'Evaluation Plan'!P66)</x:f>
        <x:v>8</x:v>
      </x:c>
      <x:c r="Q66" s="9" t="str">
        <x:f>'Evaluation Plan'!Q66</x:f>
        <x:v>Build the listed two-object scene and save a first-frame filename.</x:v>
      </x:c>
      <x:c r="R66" s="10" t="str">
        <x:f>'Evaluation Plan'!R66</x:f>
        <x:v>Primary missing cell. Training episode 1086 contains the same target trajectory but masks the size word with a direct identity prompt.</x:v>
      </x:c>
      <x:c r="S66" s="10" t="str">
        <x:f>IF(ISBLANK('Evaluation Plan'!S66),"",'Evaluation Plan'!S66)</x:f>
      </x:c>
    </x:row>
    <x:row r="67" ht="68" customHeight="1">
      <x:c r="A67" s="8" t="str">
        <x:v>Not collected</x:v>
      </x:c>
      <x:c r="B67" s="8" t="n">
        <x:f>'Evaluation Plan'!B67</x:f>
        <x:v>65</x:v>
      </x:c>
      <x:c r="C67" s="7" t="str">
        <x:f>'Evaluation Plan'!C67</x:f>
        <x:v>Put the green block in the bowl.</x:v>
      </x:c>
      <x:c r="D67" s="7" t="str">
        <x:f>'Evaluation Plan'!D67</x:f>
        <x:v>Bowl: empty. Table, robot-left→robot-right: P1 green block; P2 red pencil sharpener. Adjacent centers 8 cm apart; row shifted 4 cm toward robot-left; all objects fully visible and grasp paths clear.</x:v>
      </x:c>
      <x:c r="E67" s="8" t="n">
        <x:f>IF(ISBLANK('Evaluation Plan'!E67),"",'Evaluation Plan'!E67)</x:f>
        <x:v>64</x:v>
      </x:c>
      <x:c r="F67" s="8" t="str">
        <x:f>'Evaluation Plan'!F67</x:f>
        <x:v>1076</x:v>
      </x:c>
      <x:c r="G67" s="8" t="str">
        <x:f>'Evaluation Plan'!G67</x:f>
        <x:v>MOVE green block to bowl</x:v>
      </x:c>
      <x:c r="H67" s="7"/>
      <x:c r="I67" s="8" t="str">
        <x:f>'Evaluation Plan'!I67</x:f>
        <x:v>Matched manipulation control</x:v>
      </x:c>
      <x:c r="J67" s="8" t="str">
        <x:f>'Evaluation Plan'!J67</x:f>
        <x:v>SZ-CT-LG07</x:v>
      </x:c>
      <x:c r="K67" s="8" t="str">
        <x:f>'Evaluation Plan'!K67</x:f>
        <x:v>Direct</x:v>
      </x:c>
      <x:c r="L67" s="8" t="str">
        <x:f>'Evaluation Plan'!L67</x:f>
        <x:v>Same-scene direct target control</x:v>
      </x:c>
      <x:c r="M67" s="8" t="str">
        <x:f>'Evaluation Plan'!M67</x:f>
        <x:v>green block</x:v>
      </x:c>
      <x:c r="N67" s="8" t="str">
        <x:f>'Evaluation Plan'!N67</x:f>
        <x:v>Left</x:v>
      </x:c>
      <x:c r="O67" s="8" t="n">
        <x:f>'Evaluation Plan'!O67</x:f>
        <x:v>2</x:v>
      </x:c>
      <x:c r="P67" s="8" t="n">
        <x:f>IF(ISBLANK('Evaluation Plan'!P67),"",'Evaluation Plan'!P67)</x:f>
        <x:v>8</x:v>
      </x:c>
      <x:c r="Q67" s="8" t="str">
        <x:f>'Evaluation Plan'!Q67</x:f>
        <x:v>Reset the target to its original pose; change only the prompt.</x:v>
      </x:c>
      <x:c r="R67" s="7" t="str">
        <x:f>'Evaluation Plan'!R67</x:f>
        <x:v>Exact-scene control using a direct prompt supported by training episode 1076.</x:v>
      </x:c>
      <x:c r="S67" s="7" t="str">
        <x:f>IF(ISBLANK('Evaluation Plan'!S67),"",'Evaluation Plan'!S67)</x:f>
      </x:c>
    </x:row>
    <x:row r="68" ht="68" customHeight="1">
      <x:c r="A68" s="9" t="str">
        <x:v>Not collected</x:v>
      </x:c>
      <x:c r="B68" s="9" t="n">
        <x:f>'Evaluation Plan'!B68</x:f>
        <x:v>66</x:v>
      </x:c>
      <x:c r="C68" s="10" t="str">
        <x:f>'Evaluation Plan'!C68</x:f>
        <x:v>Pick up the smallest item and place it in the bowl.</x:v>
      </x:c>
      <x:c r="D68" s="10" t="str">
        <x:f>'Evaluation Plan'!D68</x:f>
        <x:v>Bowl: empty. Table, robot-left→robot-right: P1 crushed Pepsi can; P2 juggling ball. Adjacent centers 12 cm apart; row shifted 4 cm toward the robot; all objects fully visible and grasp paths clear.</x:v>
      </x:c>
      <x:c r="E68" s="9" t="str">
        <x:f>IF(ISBLANK('Evaluation Plan'!E68),"",'Evaluation Plan'!E68)</x:f>
      </x:c>
      <x:c r="F68" s="9" t="str">
        <x:f>'Evaluation Plan'!F68</x:f>
        <x:v>1111</x:v>
      </x:c>
      <x:c r="G68" s="9" t="str">
        <x:f>'Evaluation Plan'!G68</x:f>
        <x:v>MOVE juggling ball to bowl</x:v>
      </x:c>
      <x:c r="H68" s="10"/>
      <x:c r="I68" s="9" t="str">
        <x:f>'Evaluation Plan'!I68</x:f>
        <x:v>Concept/compositional transfer</x:v>
      </x:c>
      <x:c r="J68" s="9" t="str">
        <x:f>'Evaluation Plan'!J68</x:f>
        <x:v>SZ-CT-SJ07</x:v>
      </x:c>
      <x:c r="K68" s="9" t="str">
        <x:f>'Evaluation Plan'!K68</x:f>
        <x:v>smallest</x:v>
      </x:c>
      <x:c r="L68" s="9" t="str">
        <x:f>'Evaluation Plan'!L68</x:f>
        <x:v>Held-out smallest × juggling ball — Pick up</x:v>
      </x:c>
      <x:c r="M68" s="9" t="str">
        <x:f>'Evaluation Plan'!M68</x:f>
        <x:v>juggling ball</x:v>
      </x:c>
      <x:c r="N68" s="9" t="str">
        <x:f>'Evaluation Plan'!N68</x:f>
        <x:v>Right</x:v>
      </x:c>
      <x:c r="O68" s="9" t="n">
        <x:f>'Evaluation Plan'!O68</x:f>
        <x:v>2</x:v>
      </x:c>
      <x:c r="P68" s="9" t="n">
        <x:f>IF(ISBLANK('Evaluation Plan'!P68),"",'Evaluation Plan'!P68)</x:f>
        <x:v>12</x:v>
      </x:c>
      <x:c r="Q68" s="9" t="str">
        <x:f>'Evaluation Plan'!Q68</x:f>
        <x:v>Build the listed two-object scene and save a first-frame filename.</x:v>
      </x:c>
      <x:c r="R68" s="10" t="str">
        <x:f>'Evaluation Plan'!R68</x:f>
        <x:v>Primary missing cell. Training episode 1111 contains the same target trajectory but masks the size word with a direct identity prompt.</x:v>
      </x:c>
      <x:c r="S68" s="10" t="str">
        <x:f>IF(ISBLANK('Evaluation Plan'!S68),"",'Evaluation Plan'!S68)</x:f>
      </x:c>
    </x:row>
    <x:row r="69" ht="68" customHeight="1">
      <x:c r="A69" s="8" t="str">
        <x:v>Not collected</x:v>
      </x:c>
      <x:c r="B69" s="8" t="n">
        <x:f>'Evaluation Plan'!B69</x:f>
        <x:v>67</x:v>
      </x:c>
      <x:c r="C69" s="7" t="str">
        <x:f>'Evaluation Plan'!C69</x:f>
        <x:v>Put the juggling ball in the bowl.</x:v>
      </x:c>
      <x:c r="D69" s="7" t="str">
        <x:f>'Evaluation Plan'!D69</x:f>
        <x:v>Bowl: empty. Table, robot-left→robot-right: P1 crushed Pepsi can; P2 juggling ball. Adjacent centers 12 cm apart; row shifted 4 cm toward the robot; all objects fully visible and grasp paths clear.</x:v>
      </x:c>
      <x:c r="E69" s="8" t="n">
        <x:f>IF(ISBLANK('Evaluation Plan'!E69),"",'Evaluation Plan'!E69)</x:f>
        <x:v>66</x:v>
      </x:c>
      <x:c r="F69" s="8" t="str">
        <x:f>'Evaluation Plan'!F69</x:f>
        <x:v>1101</x:v>
      </x:c>
      <x:c r="G69" s="8" t="str">
        <x:f>'Evaluation Plan'!G69</x:f>
        <x:v>MOVE juggling ball to bowl</x:v>
      </x:c>
      <x:c r="H69" s="7"/>
      <x:c r="I69" s="8" t="str">
        <x:f>'Evaluation Plan'!I69</x:f>
        <x:v>Matched manipulation control</x:v>
      </x:c>
      <x:c r="J69" s="8" t="str">
        <x:f>'Evaluation Plan'!J69</x:f>
        <x:v>SZ-CT-SJ07</x:v>
      </x:c>
      <x:c r="K69" s="8" t="str">
        <x:f>'Evaluation Plan'!K69</x:f>
        <x:v>Direct</x:v>
      </x:c>
      <x:c r="L69" s="8" t="str">
        <x:f>'Evaluation Plan'!L69</x:f>
        <x:v>Same-scene direct target control</x:v>
      </x:c>
      <x:c r="M69" s="8" t="str">
        <x:f>'Evaluation Plan'!M69</x:f>
        <x:v>juggling ball</x:v>
      </x:c>
      <x:c r="N69" s="8" t="str">
        <x:f>'Evaluation Plan'!N69</x:f>
        <x:v>Right</x:v>
      </x:c>
      <x:c r="O69" s="8" t="n">
        <x:f>'Evaluation Plan'!O69</x:f>
        <x:v>2</x:v>
      </x:c>
      <x:c r="P69" s="8" t="n">
        <x:f>IF(ISBLANK('Evaluation Plan'!P69),"",'Evaluation Plan'!P69)</x:f>
        <x:v>12</x:v>
      </x:c>
      <x:c r="Q69" s="8" t="str">
        <x:f>'Evaluation Plan'!Q69</x:f>
        <x:v>Reset the target to its original pose; change only the prompt.</x:v>
      </x:c>
      <x:c r="R69" s="7" t="str">
        <x:f>'Evaluation Plan'!R69</x:f>
        <x:v>Exact-scene control using a direct prompt supported by training episode 1101.</x:v>
      </x:c>
      <x:c r="S69" s="7" t="str">
        <x:f>IF(ISBLANK('Evaluation Plan'!S69),"",'Evaluation Plan'!S69)</x:f>
      </x:c>
    </x:row>
    <x:row r="70" ht="68" customHeight="1">
      <x:c r="A70" s="9" t="str">
        <x:v>Not collected</x:v>
      </x:c>
      <x:c r="B70" s="9" t="n">
        <x:f>'Evaluation Plan'!B70</x:f>
        <x:v>68</x:v>
      </x:c>
      <x:c r="C70" s="10" t="str">
        <x:f>'Evaluation Plan'!C70</x:f>
        <x:v>Pick up the largest item and place it in the bowl.</x:v>
      </x:c>
      <x:c r="D70" s="10" t="str">
        <x:f>'Evaluation Plan'!D70</x:f>
        <x:v>Bowl: empty. Table, robot-left→robot-right: P1 red pencil sharpener; P2 green block. Adjacent centers 12 cm apart; row shifted 4 cm toward robot-right; all objects fully visible and grasp paths clear.</x:v>
      </x:c>
      <x:c r="E70" s="9" t="str">
        <x:f>IF(ISBLANK('Evaluation Plan'!E70),"",'Evaluation Plan'!E70)</x:f>
      </x:c>
      <x:c r="F70" s="9" t="str">
        <x:f>'Evaluation Plan'!F70</x:f>
        <x:v>1087</x:v>
      </x:c>
      <x:c r="G70" s="9" t="str">
        <x:f>'Evaluation Plan'!G70</x:f>
        <x:v>MOVE green block to bowl</x:v>
      </x:c>
      <x:c r="H70" s="10"/>
      <x:c r="I70" s="9" t="str">
        <x:f>'Evaluation Plan'!I70</x:f>
        <x:v>Concept/compositional transfer</x:v>
      </x:c>
      <x:c r="J70" s="9" t="str">
        <x:f>'Evaluation Plan'!J70</x:f>
        <x:v>SZ-CT-LG08</x:v>
      </x:c>
      <x:c r="K70" s="9" t="str">
        <x:f>'Evaluation Plan'!K70</x:f>
        <x:v>largest</x:v>
      </x:c>
      <x:c r="L70" s="9" t="str">
        <x:f>'Evaluation Plan'!L70</x:f>
        <x:v>Held-out largest × green block — Pick up</x:v>
      </x:c>
      <x:c r="M70" s="9" t="str">
        <x:f>'Evaluation Plan'!M70</x:f>
        <x:v>green block</x:v>
      </x:c>
      <x:c r="N70" s="9" t="str">
        <x:f>'Evaluation Plan'!N70</x:f>
        <x:v>Right</x:v>
      </x:c>
      <x:c r="O70" s="9" t="n">
        <x:f>'Evaluation Plan'!O70</x:f>
        <x:v>2</x:v>
      </x:c>
      <x:c r="P70" s="9" t="n">
        <x:f>IF(ISBLANK('Evaluation Plan'!P70),"",'Evaluation Plan'!P70)</x:f>
        <x:v>12</x:v>
      </x:c>
      <x:c r="Q70" s="9" t="str">
        <x:f>'Evaluation Plan'!Q70</x:f>
        <x:v>Build the listed two-object scene and save a first-frame filename.</x:v>
      </x:c>
      <x:c r="R70" s="10" t="str">
        <x:f>'Evaluation Plan'!R70</x:f>
        <x:v>Primary missing cell. Training episode 1087 contains the same target trajectory but masks the size word with a direct identity prompt.</x:v>
      </x:c>
      <x:c r="S70" s="10" t="str">
        <x:f>IF(ISBLANK('Evaluation Plan'!S70),"",'Evaluation Plan'!S70)</x:f>
      </x:c>
    </x:row>
    <x:row r="71" ht="68" customHeight="1">
      <x:c r="A71" s="8" t="str">
        <x:v>Not collected</x:v>
      </x:c>
      <x:c r="B71" s="8" t="n">
        <x:f>'Evaluation Plan'!B71</x:f>
        <x:v>69</x:v>
      </x:c>
      <x:c r="C71" s="7" t="str">
        <x:f>'Evaluation Plan'!C71</x:f>
        <x:v>Move the green block into the bowl.</x:v>
      </x:c>
      <x:c r="D71" s="7" t="str">
        <x:f>'Evaluation Plan'!D71</x:f>
        <x:v>Bowl: empty. Table, robot-left→robot-right: P1 red pencil sharpener; P2 green block. Adjacent centers 12 cm apart; row shifted 4 cm toward robot-right; all objects fully visible and grasp paths clear.</x:v>
      </x:c>
      <x:c r="E71" s="8" t="n">
        <x:f>IF(ISBLANK('Evaluation Plan'!E71),"",'Evaluation Plan'!E71)</x:f>
        <x:v>68</x:v>
      </x:c>
      <x:c r="F71" s="8" t="str">
        <x:f>'Evaluation Plan'!F71</x:f>
        <x:v>1077</x:v>
      </x:c>
      <x:c r="G71" s="8" t="str">
        <x:f>'Evaluation Plan'!G71</x:f>
        <x:v>MOVE green block to bowl</x:v>
      </x:c>
      <x:c r="H71" s="7"/>
      <x:c r="I71" s="8" t="str">
        <x:f>'Evaluation Plan'!I71</x:f>
        <x:v>Matched manipulation control</x:v>
      </x:c>
      <x:c r="J71" s="8" t="str">
        <x:f>'Evaluation Plan'!J71</x:f>
        <x:v>SZ-CT-LG08</x:v>
      </x:c>
      <x:c r="K71" s="8" t="str">
        <x:f>'Evaluation Plan'!K71</x:f>
        <x:v>Direct</x:v>
      </x:c>
      <x:c r="L71" s="8" t="str">
        <x:f>'Evaluation Plan'!L71</x:f>
        <x:v>Same-scene direct target control</x:v>
      </x:c>
      <x:c r="M71" s="8" t="str">
        <x:f>'Evaluation Plan'!M71</x:f>
        <x:v>green block</x:v>
      </x:c>
      <x:c r="N71" s="8" t="str">
        <x:f>'Evaluation Plan'!N71</x:f>
        <x:v>Right</x:v>
      </x:c>
      <x:c r="O71" s="8" t="n">
        <x:f>'Evaluation Plan'!O71</x:f>
        <x:v>2</x:v>
      </x:c>
      <x:c r="P71" s="8" t="n">
        <x:f>IF(ISBLANK('Evaluation Plan'!P71),"",'Evaluation Plan'!P71)</x:f>
        <x:v>12</x:v>
      </x:c>
      <x:c r="Q71" s="8" t="str">
        <x:f>'Evaluation Plan'!Q71</x:f>
        <x:v>Reset the target to its original pose; change only the prompt.</x:v>
      </x:c>
      <x:c r="R71" s="7" t="str">
        <x:f>'Evaluation Plan'!R71</x:f>
        <x:v>Exact-scene control using a direct prompt supported by training episode 1077.</x:v>
      </x:c>
      <x:c r="S71" s="7" t="str">
        <x:f>IF(ISBLANK('Evaluation Plan'!S71),"",'Evaluation Plan'!S71)</x:f>
      </x:c>
    </x:row>
    <x:row r="72" ht="68" customHeight="1">
      <x:c r="A72" s="9" t="str">
        <x:v>Not collected</x:v>
      </x:c>
      <x:c r="B72" s="9" t="n">
        <x:f>'Evaluation Plan'!B72</x:f>
        <x:v>70</x:v>
      </x:c>
      <x:c r="C72" s="10" t="str">
        <x:f>'Evaluation Plan'!C72</x:f>
        <x:v>Put the smallest object in the bowl.</x:v>
      </x:c>
      <x:c r="D72" s="10" t="str">
        <x:f>'Evaluation Plan'!D72</x:f>
        <x:v>Bowl: empty. Table, robot-left→robot-right: P1 juggling ball; P2 crushed Pepsi can. Adjacent centers 16 cm apart; row shifted 4 cm away from the robot; all objects fully visible and grasp paths clear.</x:v>
      </x:c>
      <x:c r="E72" s="9" t="str">
        <x:f>IF(ISBLANK('Evaluation Plan'!E72),"",'Evaluation Plan'!E72)</x:f>
      </x:c>
      <x:c r="F72" s="9" t="str">
        <x:f>'Evaluation Plan'!F72</x:f>
        <x:v>1112</x:v>
      </x:c>
      <x:c r="G72" s="9" t="str">
        <x:f>'Evaluation Plan'!G72</x:f>
        <x:v>MOVE juggling ball to bowl</x:v>
      </x:c>
      <x:c r="H72" s="10"/>
      <x:c r="I72" s="9" t="str">
        <x:f>'Evaluation Plan'!I72</x:f>
        <x:v>Concept/compositional transfer</x:v>
      </x:c>
      <x:c r="J72" s="9" t="str">
        <x:f>'Evaluation Plan'!J72</x:f>
        <x:v>SZ-CT-SJ08</x:v>
      </x:c>
      <x:c r="K72" s="9" t="str">
        <x:f>'Evaluation Plan'!K72</x:f>
        <x:v>smallest</x:v>
      </x:c>
      <x:c r="L72" s="9" t="str">
        <x:f>'Evaluation Plan'!L72</x:f>
        <x:v>Held-out smallest × juggling ball — Put</x:v>
      </x:c>
      <x:c r="M72" s="9" t="str">
        <x:f>'Evaluation Plan'!M72</x:f>
        <x:v>juggling ball</x:v>
      </x:c>
      <x:c r="N72" s="9" t="str">
        <x:f>'Evaluation Plan'!N72</x:f>
        <x:v>Left</x:v>
      </x:c>
      <x:c r="O72" s="9" t="n">
        <x:f>'Evaluation Plan'!O72</x:f>
        <x:v>2</x:v>
      </x:c>
      <x:c r="P72" s="9" t="n">
        <x:f>IF(ISBLANK('Evaluation Plan'!P72),"",'Evaluation Plan'!P72)</x:f>
        <x:v>16</x:v>
      </x:c>
      <x:c r="Q72" s="9" t="str">
        <x:f>'Evaluation Plan'!Q72</x:f>
        <x:v>Build the listed two-object scene and save a first-frame filename.</x:v>
      </x:c>
      <x:c r="R72" s="10" t="str">
        <x:f>'Evaluation Plan'!R72</x:f>
        <x:v>Primary missing cell. Training episode 1112 contains the same target trajectory but masks the size word with a direct identity prompt.</x:v>
      </x:c>
      <x:c r="S72" s="10" t="str">
        <x:f>IF(ISBLANK('Evaluation Plan'!S72),"",'Evaluation Plan'!S72)</x:f>
      </x:c>
    </x:row>
    <x:row r="73" ht="68" customHeight="1">
      <x:c r="A73" s="8" t="str">
        <x:v>Not collected</x:v>
      </x:c>
      <x:c r="B73" s="8" t="n">
        <x:f>'Evaluation Plan'!B73</x:f>
        <x:v>71</x:v>
      </x:c>
      <x:c r="C73" s="7" t="str">
        <x:f>'Evaluation Plan'!C73</x:f>
        <x:v>Move the juggling ball into the bowl.</x:v>
      </x:c>
      <x:c r="D73" s="7" t="str">
        <x:f>'Evaluation Plan'!D73</x:f>
        <x:v>Bowl: empty. Table, robot-left→robot-right: P1 juggling ball; P2 crushed Pepsi can. Adjacent centers 16 cm apart; row shifted 4 cm away from the robot; all objects fully visible and grasp paths clear.</x:v>
      </x:c>
      <x:c r="E73" s="8" t="n">
        <x:f>IF(ISBLANK('Evaluation Plan'!E73),"",'Evaluation Plan'!E73)</x:f>
        <x:v>70</x:v>
      </x:c>
      <x:c r="F73" s="8" t="str">
        <x:f>'Evaluation Plan'!F73</x:f>
        <x:v>1102</x:v>
      </x:c>
      <x:c r="G73" s="8" t="str">
        <x:f>'Evaluation Plan'!G73</x:f>
        <x:v>MOVE juggling ball to bowl</x:v>
      </x:c>
      <x:c r="H73" s="7"/>
      <x:c r="I73" s="8" t="str">
        <x:f>'Evaluation Plan'!I73</x:f>
        <x:v>Matched manipulation control</x:v>
      </x:c>
      <x:c r="J73" s="8" t="str">
        <x:f>'Evaluation Plan'!J73</x:f>
        <x:v>SZ-CT-SJ08</x:v>
      </x:c>
      <x:c r="K73" s="8" t="str">
        <x:f>'Evaluation Plan'!K73</x:f>
        <x:v>Direct</x:v>
      </x:c>
      <x:c r="L73" s="8" t="str">
        <x:f>'Evaluation Plan'!L73</x:f>
        <x:v>Same-scene direct target control</x:v>
      </x:c>
      <x:c r="M73" s="8" t="str">
        <x:f>'Evaluation Plan'!M73</x:f>
        <x:v>juggling ball</x:v>
      </x:c>
      <x:c r="N73" s="8" t="str">
        <x:f>'Evaluation Plan'!N73</x:f>
        <x:v>Left</x:v>
      </x:c>
      <x:c r="O73" s="8" t="n">
        <x:f>'Evaluation Plan'!O73</x:f>
        <x:v>2</x:v>
      </x:c>
      <x:c r="P73" s="8" t="n">
        <x:f>IF(ISBLANK('Evaluation Plan'!P73),"",'Evaluation Plan'!P73)</x:f>
        <x:v>16</x:v>
      </x:c>
      <x:c r="Q73" s="8" t="str">
        <x:f>'Evaluation Plan'!Q73</x:f>
        <x:v>Reset the target to its original pose; change only the prompt.</x:v>
      </x:c>
      <x:c r="R73" s="7" t="str">
        <x:f>'Evaluation Plan'!R73</x:f>
        <x:v>Exact-scene control using a direct prompt supported by training episode 1102.</x:v>
      </x:c>
      <x:c r="S73" s="7" t="str">
        <x:f>IF(ISBLANK('Evaluation Plan'!S73),"",'Evaluation Plan'!S73)</x:f>
      </x:c>
    </x:row>
    <x:row r="74" ht="68" customHeight="1">
      <x:c r="A74" s="9" t="str">
        <x:v>Not collected</x:v>
      </x:c>
      <x:c r="B74" s="9" t="n">
        <x:f>'Evaluation Plan'!B74</x:f>
        <x:v>72</x:v>
      </x:c>
      <x:c r="C74" s="10" t="str">
        <x:f>'Evaluation Plan'!C74</x:f>
        <x:v>Put the largest object in the bowl.</x:v>
      </x:c>
      <x:c r="D74" s="10" t="str">
        <x:f>'Evaluation Plan'!D74</x:f>
        <x:v>Bowl: empty. Table, robot-left→robot-right: P1 green block; P2 red pencil sharpener. Adjacent centers 16 cm apart; row shifted 4 cm toward the robot; all objects fully visible and grasp paths clear.</x:v>
      </x:c>
      <x:c r="E74" s="9" t="str">
        <x:f>IF(ISBLANK('Evaluation Plan'!E74),"",'Evaluation Plan'!E74)</x:f>
      </x:c>
      <x:c r="F74" s="9" t="str">
        <x:f>'Evaluation Plan'!F74</x:f>
        <x:v>1088</x:v>
      </x:c>
      <x:c r="G74" s="9" t="str">
        <x:f>'Evaluation Plan'!G74</x:f>
        <x:v>MOVE green block to bowl</x:v>
      </x:c>
      <x:c r="H74" s="10"/>
      <x:c r="I74" s="9" t="str">
        <x:f>'Evaluation Plan'!I74</x:f>
        <x:v>Concept/compositional transfer</x:v>
      </x:c>
      <x:c r="J74" s="9" t="str">
        <x:f>'Evaluation Plan'!J74</x:f>
        <x:v>SZ-CT-LG09</x:v>
      </x:c>
      <x:c r="K74" s="9" t="str">
        <x:f>'Evaluation Plan'!K74</x:f>
        <x:v>largest</x:v>
      </x:c>
      <x:c r="L74" s="9" t="str">
        <x:f>'Evaluation Plan'!L74</x:f>
        <x:v>Held-out largest × green block — Put</x:v>
      </x:c>
      <x:c r="M74" s="9" t="str">
        <x:f>'Evaluation Plan'!M74</x:f>
        <x:v>green block</x:v>
      </x:c>
      <x:c r="N74" s="9" t="str">
        <x:f>'Evaluation Plan'!N74</x:f>
        <x:v>Left</x:v>
      </x:c>
      <x:c r="O74" s="9" t="n">
        <x:f>'Evaluation Plan'!O74</x:f>
        <x:v>2</x:v>
      </x:c>
      <x:c r="P74" s="9" t="n">
        <x:f>IF(ISBLANK('Evaluation Plan'!P74),"",'Evaluation Plan'!P74)</x:f>
        <x:v>16</x:v>
      </x:c>
      <x:c r="Q74" s="9" t="str">
        <x:f>'Evaluation Plan'!Q74</x:f>
        <x:v>Build the listed two-object scene and save a first-frame filename.</x:v>
      </x:c>
      <x:c r="R74" s="10" t="str">
        <x:f>'Evaluation Plan'!R74</x:f>
        <x:v>Primary missing cell. Training episode 1088 contains the same target trajectory but masks the size word with a direct identity prompt.</x:v>
      </x:c>
      <x:c r="S74" s="10" t="str">
        <x:f>IF(ISBLANK('Evaluation Plan'!S74),"",'Evaluation Plan'!S74)</x:f>
      </x:c>
    </x:row>
    <x:row r="75" ht="68" customHeight="1">
      <x:c r="A75" s="8" t="str">
        <x:v>Not collected</x:v>
      </x:c>
      <x:c r="B75" s="8" t="n">
        <x:f>'Evaluation Plan'!B75</x:f>
        <x:v>73</x:v>
      </x:c>
      <x:c r="C75" s="7" t="str">
        <x:f>'Evaluation Plan'!C75</x:f>
        <x:v>Pick up the green block and place it in the bowl.</x:v>
      </x:c>
      <x:c r="D75" s="7" t="str">
        <x:f>'Evaluation Plan'!D75</x:f>
        <x:v>Bowl: empty. Table, robot-left→robot-right: P1 green block; P2 red pencil sharpener. Adjacent centers 16 cm apart; row shifted 4 cm toward the robot; all objects fully visible and grasp paths clear.</x:v>
      </x:c>
      <x:c r="E75" s="8" t="n">
        <x:f>IF(ISBLANK('Evaluation Plan'!E75),"",'Evaluation Plan'!E75)</x:f>
        <x:v>72</x:v>
      </x:c>
      <x:c r="F75" s="8" t="str">
        <x:f>'Evaluation Plan'!F75</x:f>
        <x:v>1078</x:v>
      </x:c>
      <x:c r="G75" s="8" t="str">
        <x:f>'Evaluation Plan'!G75</x:f>
        <x:v>MOVE green block to bowl</x:v>
      </x:c>
      <x:c r="H75" s="7"/>
      <x:c r="I75" s="8" t="str">
        <x:f>'Evaluation Plan'!I75</x:f>
        <x:v>Matched manipulation control</x:v>
      </x:c>
      <x:c r="J75" s="8" t="str">
        <x:f>'Evaluation Plan'!J75</x:f>
        <x:v>SZ-CT-LG09</x:v>
      </x:c>
      <x:c r="K75" s="8" t="str">
        <x:f>'Evaluation Plan'!K75</x:f>
        <x:v>Direct</x:v>
      </x:c>
      <x:c r="L75" s="8" t="str">
        <x:f>'Evaluation Plan'!L75</x:f>
        <x:v>Same-scene direct target control</x:v>
      </x:c>
      <x:c r="M75" s="8" t="str">
        <x:f>'Evaluation Plan'!M75</x:f>
        <x:v>green block</x:v>
      </x:c>
      <x:c r="N75" s="8" t="str">
        <x:f>'Evaluation Plan'!N75</x:f>
        <x:v>Left</x:v>
      </x:c>
      <x:c r="O75" s="8" t="n">
        <x:f>'Evaluation Plan'!O75</x:f>
        <x:v>2</x:v>
      </x:c>
      <x:c r="P75" s="8" t="n">
        <x:f>IF(ISBLANK('Evaluation Plan'!P75),"",'Evaluation Plan'!P75)</x:f>
        <x:v>16</x:v>
      </x:c>
      <x:c r="Q75" s="8" t="str">
        <x:f>'Evaluation Plan'!Q75</x:f>
        <x:v>Reset the target to its original pose; change only the prompt.</x:v>
      </x:c>
      <x:c r="R75" s="7" t="str">
        <x:f>'Evaluation Plan'!R75</x:f>
        <x:v>Exact-scene control using a direct prompt supported by training episode 1078.</x:v>
      </x:c>
      <x:c r="S75" s="7" t="str">
        <x:f>IF(ISBLANK('Evaluation Plan'!S75),"",'Evaluation Plan'!S75)</x:f>
      </x:c>
    </x:row>
    <x:row r="76" ht="68" customHeight="1">
      <x:c r="A76" s="9" t="str">
        <x:v>Not collected</x:v>
      </x:c>
      <x:c r="B76" s="9" t="n">
        <x:f>'Evaluation Plan'!B76</x:f>
        <x:v>74</x:v>
      </x:c>
      <x:c r="C76" s="10" t="str">
        <x:f>'Evaluation Plan'!C76</x:f>
        <x:v>Move the object that is smallest into the bowl.</x:v>
      </x:c>
      <x:c r="D76" s="10" t="str">
        <x:f>'Evaluation Plan'!D76</x:f>
        <x:v>Bowl: empty. Table, robot-left→robot-right: P1 crushed Pepsi can; P2 juggling ball. Adjacent centers 8 cm apart; row centered on the workspace; all objects fully visible and grasp paths clear.</x:v>
      </x:c>
      <x:c r="E76" s="9" t="str">
        <x:f>IF(ISBLANK('Evaluation Plan'!E76),"",'Evaluation Plan'!E76)</x:f>
      </x:c>
      <x:c r="F76" s="9" t="str">
        <x:f>'Evaluation Plan'!F76</x:f>
        <x:v>1113</x:v>
      </x:c>
      <x:c r="G76" s="9" t="str">
        <x:f>'Evaluation Plan'!G76</x:f>
        <x:v>MOVE juggling ball to bowl</x:v>
      </x:c>
      <x:c r="H76" s="10"/>
      <x:c r="I76" s="9" t="str">
        <x:f>'Evaluation Plan'!I76</x:f>
        <x:v>Concept/compositional transfer</x:v>
      </x:c>
      <x:c r="J76" s="9" t="str">
        <x:f>'Evaluation Plan'!J76</x:f>
        <x:v>SZ-CT-SJ09</x:v>
      </x:c>
      <x:c r="K76" s="9" t="str">
        <x:f>'Evaluation Plan'!K76</x:f>
        <x:v>smallest</x:v>
      </x:c>
      <x:c r="L76" s="9" t="str">
        <x:f>'Evaluation Plan'!L76</x:f>
        <x:v>Held-out smallest × juggling ball — Move</x:v>
      </x:c>
      <x:c r="M76" s="9" t="str">
        <x:f>'Evaluation Plan'!M76</x:f>
        <x:v>juggling ball</x:v>
      </x:c>
      <x:c r="N76" s="9" t="str">
        <x:f>'Evaluation Plan'!N76</x:f>
        <x:v>Right</x:v>
      </x:c>
      <x:c r="O76" s="9" t="n">
        <x:f>'Evaluation Plan'!O76</x:f>
        <x:v>2</x:v>
      </x:c>
      <x:c r="P76" s="9" t="n">
        <x:f>IF(ISBLANK('Evaluation Plan'!P76),"",'Evaluation Plan'!P76)</x:f>
        <x:v>8</x:v>
      </x:c>
      <x:c r="Q76" s="9" t="str">
        <x:f>'Evaluation Plan'!Q76</x:f>
        <x:v>Build the listed two-object scene and save a first-frame filename.</x:v>
      </x:c>
      <x:c r="R76" s="10" t="str">
        <x:f>'Evaluation Plan'!R76</x:f>
        <x:v>Primary missing cell. Training episode 1113 contains the same target trajectory but masks the size word with a direct identity prompt.</x:v>
      </x:c>
      <x:c r="S76" s="10" t="str">
        <x:f>IF(ISBLANK('Evaluation Plan'!S76),"",'Evaluation Plan'!S76)</x:f>
      </x:c>
    </x:row>
    <x:row r="77" ht="68" customHeight="1">
      <x:c r="A77" s="8" t="str">
        <x:v>Not collected</x:v>
      </x:c>
      <x:c r="B77" s="8" t="n">
        <x:f>'Evaluation Plan'!B77</x:f>
        <x:v>75</x:v>
      </x:c>
      <x:c r="C77" s="7" t="str">
        <x:f>'Evaluation Plan'!C77</x:f>
        <x:v>Pick up the juggling ball and place it in the bowl.</x:v>
      </x:c>
      <x:c r="D77" s="7" t="str">
        <x:f>'Evaluation Plan'!D77</x:f>
        <x:v>Bowl: empty. Table, robot-left→robot-right: P1 crushed Pepsi can; P2 juggling ball. Adjacent centers 8 cm apart; row centered on the workspace; all objects fully visible and grasp paths clear.</x:v>
      </x:c>
      <x:c r="E77" s="8" t="n">
        <x:f>IF(ISBLANK('Evaluation Plan'!E77),"",'Evaluation Plan'!E77)</x:f>
        <x:v>74</x:v>
      </x:c>
      <x:c r="F77" s="8" t="str">
        <x:f>'Evaluation Plan'!F77</x:f>
        <x:v>1103</x:v>
      </x:c>
      <x:c r="G77" s="8" t="str">
        <x:f>'Evaluation Plan'!G77</x:f>
        <x:v>MOVE juggling ball to bowl</x:v>
      </x:c>
      <x:c r="H77" s="7"/>
      <x:c r="I77" s="8" t="str">
        <x:f>'Evaluation Plan'!I77</x:f>
        <x:v>Matched manipulation control</x:v>
      </x:c>
      <x:c r="J77" s="8" t="str">
        <x:f>'Evaluation Plan'!J77</x:f>
        <x:v>SZ-CT-SJ09</x:v>
      </x:c>
      <x:c r="K77" s="8" t="str">
        <x:f>'Evaluation Plan'!K77</x:f>
        <x:v>Direct</x:v>
      </x:c>
      <x:c r="L77" s="8" t="str">
        <x:f>'Evaluation Plan'!L77</x:f>
        <x:v>Same-scene direct target control</x:v>
      </x:c>
      <x:c r="M77" s="8" t="str">
        <x:f>'Evaluation Plan'!M77</x:f>
        <x:v>juggling ball</x:v>
      </x:c>
      <x:c r="N77" s="8" t="str">
        <x:f>'Evaluation Plan'!N77</x:f>
        <x:v>Right</x:v>
      </x:c>
      <x:c r="O77" s="8" t="n">
        <x:f>'Evaluation Plan'!O77</x:f>
        <x:v>2</x:v>
      </x:c>
      <x:c r="P77" s="8" t="n">
        <x:f>IF(ISBLANK('Evaluation Plan'!P77),"",'Evaluation Plan'!P77)</x:f>
        <x:v>8</x:v>
      </x:c>
      <x:c r="Q77" s="8" t="str">
        <x:f>'Evaluation Plan'!Q77</x:f>
        <x:v>Reset the target to its original pose; change only the prompt.</x:v>
      </x:c>
      <x:c r="R77" s="7" t="str">
        <x:f>'Evaluation Plan'!R77</x:f>
        <x:v>Exact-scene control using a direct prompt supported by training episode 1103.</x:v>
      </x:c>
      <x:c r="S77" s="7" t="str">
        <x:f>IF(ISBLANK('Evaluation Plan'!S77),"",'Evaluation Plan'!S77)</x:f>
      </x:c>
    </x:row>
    <x:row r="78" ht="68" customHeight="1">
      <x:c r="A78" s="9" t="str">
        <x:v>Not collected</x:v>
      </x:c>
      <x:c r="B78" s="9" t="n">
        <x:f>'Evaluation Plan'!B78</x:f>
        <x:v>76</x:v>
      </x:c>
      <x:c r="C78" s="10" t="str">
        <x:f>'Evaluation Plan'!C78</x:f>
        <x:v>Move the object that is largest into the bowl.</x:v>
      </x:c>
      <x:c r="D78" s="10" t="str">
        <x:f>'Evaluation Plan'!D78</x:f>
        <x:v>Bowl: empty. Table, robot-left→robot-right: P1 red pencil sharpener; P2 green block. Adjacent centers 8 cm apart; row shifted 4 cm away from the robot; all objects fully visible and grasp paths clear.</x:v>
      </x:c>
      <x:c r="E78" s="9" t="str">
        <x:f>IF(ISBLANK('Evaluation Plan'!E78),"",'Evaluation Plan'!E78)</x:f>
      </x:c>
      <x:c r="F78" s="9" t="str">
        <x:f>'Evaluation Plan'!F78</x:f>
        <x:v>1089</x:v>
      </x:c>
      <x:c r="G78" s="9" t="str">
        <x:f>'Evaluation Plan'!G78</x:f>
        <x:v>MOVE green block to bowl</x:v>
      </x:c>
      <x:c r="H78" s="10"/>
      <x:c r="I78" s="9" t="str">
        <x:f>'Evaluation Plan'!I78</x:f>
        <x:v>Concept/compositional transfer</x:v>
      </x:c>
      <x:c r="J78" s="9" t="str">
        <x:f>'Evaluation Plan'!J78</x:f>
        <x:v>SZ-CT-LG10</x:v>
      </x:c>
      <x:c r="K78" s="9" t="str">
        <x:f>'Evaluation Plan'!K78</x:f>
        <x:v>largest</x:v>
      </x:c>
      <x:c r="L78" s="9" t="str">
        <x:f>'Evaluation Plan'!L78</x:f>
        <x:v>Held-out largest × green block — Move</x:v>
      </x:c>
      <x:c r="M78" s="9" t="str">
        <x:f>'Evaluation Plan'!M78</x:f>
        <x:v>green block</x:v>
      </x:c>
      <x:c r="N78" s="9" t="str">
        <x:f>'Evaluation Plan'!N78</x:f>
        <x:v>Right</x:v>
      </x:c>
      <x:c r="O78" s="9" t="n">
        <x:f>'Evaluation Plan'!O78</x:f>
        <x:v>2</x:v>
      </x:c>
      <x:c r="P78" s="9" t="n">
        <x:f>IF(ISBLANK('Evaluation Plan'!P78),"",'Evaluation Plan'!P78)</x:f>
        <x:v>8</x:v>
      </x:c>
      <x:c r="Q78" s="9" t="str">
        <x:f>'Evaluation Plan'!Q78</x:f>
        <x:v>Build the listed two-object scene and save a first-frame filename.</x:v>
      </x:c>
      <x:c r="R78" s="10" t="str">
        <x:f>'Evaluation Plan'!R78</x:f>
        <x:v>Primary missing cell. Training episode 1089 contains the same target trajectory but masks the size word with a direct identity prompt.</x:v>
      </x:c>
      <x:c r="S78" s="10" t="str">
        <x:f>IF(ISBLANK('Evaluation Plan'!S78),"",'Evaluation Plan'!S78)</x:f>
      </x:c>
    </x:row>
    <x:row r="79" ht="68" customHeight="1">
      <x:c r="A79" s="8" t="str">
        <x:v>Not collected</x:v>
      </x:c>
      <x:c r="B79" s="8" t="n">
        <x:f>'Evaluation Plan'!B79</x:f>
        <x:v>77</x:v>
      </x:c>
      <x:c r="C79" s="7" t="str">
        <x:f>'Evaluation Plan'!C79</x:f>
        <x:v>Put the green block in the bowl.</x:v>
      </x:c>
      <x:c r="D79" s="7" t="str">
        <x:f>'Evaluation Plan'!D79</x:f>
        <x:v>Bowl: empty. Table, robot-left→robot-right: P1 red pencil sharpener; P2 green block. Adjacent centers 8 cm apart; row shifted 4 cm away from the robot; all objects fully visible and grasp paths clear.</x:v>
      </x:c>
      <x:c r="E79" s="8" t="n">
        <x:f>IF(ISBLANK('Evaluation Plan'!E79),"",'Evaluation Plan'!E79)</x:f>
        <x:v>76</x:v>
      </x:c>
      <x:c r="F79" s="8" t="str">
        <x:f>'Evaluation Plan'!F79</x:f>
        <x:v>1079</x:v>
      </x:c>
      <x:c r="G79" s="8" t="str">
        <x:f>'Evaluation Plan'!G79</x:f>
        <x:v>MOVE green block to bowl</x:v>
      </x:c>
      <x:c r="H79" s="7"/>
      <x:c r="I79" s="8" t="str">
        <x:f>'Evaluation Plan'!I79</x:f>
        <x:v>Matched manipulation control</x:v>
      </x:c>
      <x:c r="J79" s="8" t="str">
        <x:f>'Evaluation Plan'!J79</x:f>
        <x:v>SZ-CT-LG10</x:v>
      </x:c>
      <x:c r="K79" s="8" t="str">
        <x:f>'Evaluation Plan'!K79</x:f>
        <x:v>Direct</x:v>
      </x:c>
      <x:c r="L79" s="8" t="str">
        <x:f>'Evaluation Plan'!L79</x:f>
        <x:v>Same-scene direct target control</x:v>
      </x:c>
      <x:c r="M79" s="8" t="str">
        <x:f>'Evaluation Plan'!M79</x:f>
        <x:v>green block</x:v>
      </x:c>
      <x:c r="N79" s="8" t="str">
        <x:f>'Evaluation Plan'!N79</x:f>
        <x:v>Right</x:v>
      </x:c>
      <x:c r="O79" s="8" t="n">
        <x:f>'Evaluation Plan'!O79</x:f>
        <x:v>2</x:v>
      </x:c>
      <x:c r="P79" s="8" t="n">
        <x:f>IF(ISBLANK('Evaluation Plan'!P79),"",'Evaluation Plan'!P79)</x:f>
        <x:v>8</x:v>
      </x:c>
      <x:c r="Q79" s="8" t="str">
        <x:f>'Evaluation Plan'!Q79</x:f>
        <x:v>Reset the target to its original pose; change only the prompt.</x:v>
      </x:c>
      <x:c r="R79" s="7" t="str">
        <x:f>'Evaluation Plan'!R79</x:f>
        <x:v>Exact-scene control using a direct prompt supported by training episode 1079.</x:v>
      </x:c>
      <x:c r="S79" s="7" t="str">
        <x:f>IF(ISBLANK('Evaluation Plan'!S79),"",'Evaluation Plan'!S79)</x:f>
      </x:c>
    </x:row>
    <x:row r="80" ht="68" customHeight="1">
      <x:c r="A80" s="9" t="str">
        <x:v>Not collected</x:v>
      </x:c>
      <x:c r="B80" s="9" t="n">
        <x:f>'Evaluation Plan'!B80</x:f>
        <x:v>78</x:v>
      </x:c>
      <x:c r="C80" s="10" t="str">
        <x:f>'Evaluation Plan'!C80</x:f>
        <x:v>Pick up the smallest item and place it in the bowl.</x:v>
      </x:c>
      <x:c r="D80" s="10" t="str">
        <x:f>'Evaluation Plan'!D80</x:f>
        <x:v>Bowl: empty. Table, robot-left→robot-right: P1 juggling ball; P2 crushed Pepsi can. Adjacent centers 12 cm apart; row shifted 4 cm toward robot-left; all objects fully visible and grasp paths clear.</x:v>
      </x:c>
      <x:c r="E80" s="9" t="str">
        <x:f>IF(ISBLANK('Evaluation Plan'!E80),"",'Evaluation Plan'!E80)</x:f>
      </x:c>
      <x:c r="F80" s="9" t="str">
        <x:f>'Evaluation Plan'!F80</x:f>
        <x:v>1114</x:v>
      </x:c>
      <x:c r="G80" s="9" t="str">
        <x:f>'Evaluation Plan'!G80</x:f>
        <x:v>MOVE juggling ball to bowl</x:v>
      </x:c>
      <x:c r="H80" s="10"/>
      <x:c r="I80" s="9" t="str">
        <x:f>'Evaluation Plan'!I80</x:f>
        <x:v>Concept/compositional transfer</x:v>
      </x:c>
      <x:c r="J80" s="9" t="str">
        <x:f>'Evaluation Plan'!J80</x:f>
        <x:v>SZ-CT-SJ10</x:v>
      </x:c>
      <x:c r="K80" s="9" t="str">
        <x:f>'Evaluation Plan'!K80</x:f>
        <x:v>smallest</x:v>
      </x:c>
      <x:c r="L80" s="9" t="str">
        <x:f>'Evaluation Plan'!L80</x:f>
        <x:v>Held-out smallest × juggling ball — Pick up</x:v>
      </x:c>
      <x:c r="M80" s="9" t="str">
        <x:f>'Evaluation Plan'!M80</x:f>
        <x:v>juggling ball</x:v>
      </x:c>
      <x:c r="N80" s="9" t="str">
        <x:f>'Evaluation Plan'!N80</x:f>
        <x:v>Left</x:v>
      </x:c>
      <x:c r="O80" s="9" t="n">
        <x:f>'Evaluation Plan'!O80</x:f>
        <x:v>2</x:v>
      </x:c>
      <x:c r="P80" s="9" t="n">
        <x:f>IF(ISBLANK('Evaluation Plan'!P80),"",'Evaluation Plan'!P80)</x:f>
        <x:v>12</x:v>
      </x:c>
      <x:c r="Q80" s="9" t="str">
        <x:f>'Evaluation Plan'!Q80</x:f>
        <x:v>Build the listed two-object scene and save a first-frame filename.</x:v>
      </x:c>
      <x:c r="R80" s="10" t="str">
        <x:f>'Evaluation Plan'!R80</x:f>
        <x:v>Primary missing cell. Training episode 1114 contains the same target trajectory but masks the size word with a direct identity prompt.</x:v>
      </x:c>
      <x:c r="S80" s="10" t="str">
        <x:f>IF(ISBLANK('Evaluation Plan'!S80),"",'Evaluation Plan'!S80)</x:f>
      </x:c>
    </x:row>
    <x:row r="81" ht="68" customHeight="1">
      <x:c r="A81" s="8" t="str">
        <x:v>Not collected</x:v>
      </x:c>
      <x:c r="B81" s="8" t="n">
        <x:f>'Evaluation Plan'!B81</x:f>
        <x:v>79</x:v>
      </x:c>
      <x:c r="C81" s="7" t="str">
        <x:f>'Evaluation Plan'!C81</x:f>
        <x:v>Put the juggling ball in the bowl.</x:v>
      </x:c>
      <x:c r="D81" s="7" t="str">
        <x:f>'Evaluation Plan'!D81</x:f>
        <x:v>Bowl: empty. Table, robot-left→robot-right: P1 juggling ball; P2 crushed Pepsi can. Adjacent centers 12 cm apart; row shifted 4 cm toward robot-left; all objects fully visible and grasp paths clear.</x:v>
      </x:c>
      <x:c r="E81" s="8" t="n">
        <x:f>IF(ISBLANK('Evaluation Plan'!E81),"",'Evaluation Plan'!E81)</x:f>
        <x:v>78</x:v>
      </x:c>
      <x:c r="F81" s="8" t="str">
        <x:f>'Evaluation Plan'!F81</x:f>
        <x:v>1104</x:v>
      </x:c>
      <x:c r="G81" s="8" t="str">
        <x:f>'Evaluation Plan'!G81</x:f>
        <x:v>MOVE juggling ball to bowl</x:v>
      </x:c>
      <x:c r="H81" s="7"/>
      <x:c r="I81" s="8" t="str">
        <x:f>'Evaluation Plan'!I81</x:f>
        <x:v>Matched manipulation control</x:v>
      </x:c>
      <x:c r="J81" s="8" t="str">
        <x:f>'Evaluation Plan'!J81</x:f>
        <x:v>SZ-CT-SJ10</x:v>
      </x:c>
      <x:c r="K81" s="8" t="str">
        <x:f>'Evaluation Plan'!K81</x:f>
        <x:v>Direct</x:v>
      </x:c>
      <x:c r="L81" s="8" t="str">
        <x:f>'Evaluation Plan'!L81</x:f>
        <x:v>Same-scene direct target control</x:v>
      </x:c>
      <x:c r="M81" s="8" t="str">
        <x:f>'Evaluation Plan'!M81</x:f>
        <x:v>juggling ball</x:v>
      </x:c>
      <x:c r="N81" s="8" t="str">
        <x:f>'Evaluation Plan'!N81</x:f>
        <x:v>Left</x:v>
      </x:c>
      <x:c r="O81" s="8" t="n">
        <x:f>'Evaluation Plan'!O81</x:f>
        <x:v>2</x:v>
      </x:c>
      <x:c r="P81" s="8" t="n">
        <x:f>IF(ISBLANK('Evaluation Plan'!P81),"",'Evaluation Plan'!P81)</x:f>
        <x:v>12</x:v>
      </x:c>
      <x:c r="Q81" s="8" t="str">
        <x:f>'Evaluation Plan'!Q81</x:f>
        <x:v>Reset the target to its original pose; change only the prompt.</x:v>
      </x:c>
      <x:c r="R81" s="7" t="str">
        <x:f>'Evaluation Plan'!R81</x:f>
        <x:v>Exact-scene control using a direct prompt supported by training episode 1104.</x:v>
      </x:c>
      <x:c r="S81" s="7" t="str">
        <x:f>IF(ISBLANK('Evaluation Plan'!S81),"",'Evaluation Plan'!S81)</x:f>
      </x:c>
    </x:row>
    <x:row r="82" ht="68" customHeight="1">
      <x:c r="A82" s="9" t="str">
        <x:v>Not collected</x:v>
      </x:c>
      <x:c r="B82" s="9" t="n">
        <x:f>'Evaluation Plan'!B82</x:f>
        <x:v>80</x:v>
      </x:c>
      <x:c r="C82" s="10" t="str">
        <x:f>'Evaluation Plan'!C82</x:f>
        <x:v>Pick up the largest item and place it in the bowl.</x:v>
      </x:c>
      <x:c r="D82" s="10" t="str">
        <x:f>'Evaluation Plan'!D82</x:f>
        <x:v>Bowl: empty. Table, robot-left→robot-right: P1 green block; P2 red pencil sharpener. Adjacent centers 12 cm apart; row centered on the workspace; all objects fully visible and grasp paths clear.</x:v>
      </x:c>
      <x:c r="E82" s="9" t="str">
        <x:f>IF(ISBLANK('Evaluation Plan'!E82),"",'Evaluation Plan'!E82)</x:f>
      </x:c>
      <x:c r="F82" s="9" t="str">
        <x:f>'Evaluation Plan'!F82</x:f>
        <x:v>1090</x:v>
      </x:c>
      <x:c r="G82" s="9" t="str">
        <x:f>'Evaluation Plan'!G82</x:f>
        <x:v>MOVE green block to bowl</x:v>
      </x:c>
      <x:c r="H82" s="10"/>
      <x:c r="I82" s="9" t="str">
        <x:f>'Evaluation Plan'!I82</x:f>
        <x:v>Concept/compositional transfer</x:v>
      </x:c>
      <x:c r="J82" s="9" t="str">
        <x:f>'Evaluation Plan'!J82</x:f>
        <x:v>SZ-CT-LG11</x:v>
      </x:c>
      <x:c r="K82" s="9" t="str">
        <x:f>'Evaluation Plan'!K82</x:f>
        <x:v>largest</x:v>
      </x:c>
      <x:c r="L82" s="9" t="str">
        <x:f>'Evaluation Plan'!L82</x:f>
        <x:v>Held-out largest × green block — Pick up</x:v>
      </x:c>
      <x:c r="M82" s="9" t="str">
        <x:f>'Evaluation Plan'!M82</x:f>
        <x:v>green block</x:v>
      </x:c>
      <x:c r="N82" s="9" t="str">
        <x:f>'Evaluation Plan'!N82</x:f>
        <x:v>Left</x:v>
      </x:c>
      <x:c r="O82" s="9" t="n">
        <x:f>'Evaluation Plan'!O82</x:f>
        <x:v>2</x:v>
      </x:c>
      <x:c r="P82" s="9" t="n">
        <x:f>IF(ISBLANK('Evaluation Plan'!P82),"",'Evaluation Plan'!P82)</x:f>
        <x:v>12</x:v>
      </x:c>
      <x:c r="Q82" s="9" t="str">
        <x:f>'Evaluation Plan'!Q82</x:f>
        <x:v>Build the listed two-object scene and save a first-frame filename.</x:v>
      </x:c>
      <x:c r="R82" s="10" t="str">
        <x:f>'Evaluation Plan'!R82</x:f>
        <x:v>Primary missing cell. Training episode 1090 contains the same target trajectory but masks the size word with a direct identity prompt.</x:v>
      </x:c>
      <x:c r="S82" s="10" t="str">
        <x:f>IF(ISBLANK('Evaluation Plan'!S82),"",'Evaluation Plan'!S82)</x:f>
      </x:c>
    </x:row>
    <x:row r="83" ht="68" customHeight="1">
      <x:c r="A83" s="9" t="str">
        <x:v>Not collected</x:v>
      </x:c>
      <x:c r="B83" s="9" t="n">
        <x:f>'Evaluation Plan'!B83</x:f>
        <x:v>81</x:v>
      </x:c>
      <x:c r="C83" s="10" t="str">
        <x:f>'Evaluation Plan'!C83</x:f>
        <x:v>Put the smallest object in the bowl.</x:v>
      </x:c>
      <x:c r="D83" s="10" t="str">
        <x:f>'Evaluation Plan'!D83</x:f>
        <x:v>Bowl: empty. Table, robot-left→robot-right: P1 crushed Pepsi can; P2 juggling ball. Adjacent centers 16 cm apart; row shifted 4 cm toward robot-right; all objects fully visible and grasp paths clear.</x:v>
      </x:c>
      <x:c r="E83" s="9" t="str">
        <x:f>IF(ISBLANK('Evaluation Plan'!E83),"",'Evaluation Plan'!E83)</x:f>
      </x:c>
      <x:c r="F83" s="9" t="str">
        <x:f>'Evaluation Plan'!F83</x:f>
        <x:v>1115</x:v>
      </x:c>
      <x:c r="G83" s="9" t="str">
        <x:f>'Evaluation Plan'!G83</x:f>
        <x:v>MOVE juggling ball to bowl</x:v>
      </x:c>
      <x:c r="H83" s="10"/>
      <x:c r="I83" s="9" t="str">
        <x:f>'Evaluation Plan'!I83</x:f>
        <x:v>Concept/compositional transfer</x:v>
      </x:c>
      <x:c r="J83" s="9" t="str">
        <x:f>'Evaluation Plan'!J83</x:f>
        <x:v>SZ-CT-SJ11</x:v>
      </x:c>
      <x:c r="K83" s="9" t="str">
        <x:f>'Evaluation Plan'!K83</x:f>
        <x:v>smallest</x:v>
      </x:c>
      <x:c r="L83" s="9" t="str">
        <x:f>'Evaluation Plan'!L83</x:f>
        <x:v>Held-out smallest × juggling ball — Put</x:v>
      </x:c>
      <x:c r="M83" s="9" t="str">
        <x:f>'Evaluation Plan'!M83</x:f>
        <x:v>juggling ball</x:v>
      </x:c>
      <x:c r="N83" s="9" t="str">
        <x:f>'Evaluation Plan'!N83</x:f>
        <x:v>Right</x:v>
      </x:c>
      <x:c r="O83" s="9" t="n">
        <x:f>'Evaluation Plan'!O83</x:f>
        <x:v>2</x:v>
      </x:c>
      <x:c r="P83" s="9" t="n">
        <x:f>IF(ISBLANK('Evaluation Plan'!P83),"",'Evaluation Plan'!P83)</x:f>
        <x:v>16</x:v>
      </x:c>
      <x:c r="Q83" s="9" t="str">
        <x:f>'Evaluation Plan'!Q83</x:f>
        <x:v>Build the listed two-object scene and save a first-frame filename.</x:v>
      </x:c>
      <x:c r="R83" s="10" t="str">
        <x:f>'Evaluation Plan'!R83</x:f>
        <x:v>Primary missing cell. Training episode 1115 contains the same target trajectory but masks the size word with a direct identity prompt.</x:v>
      </x:c>
      <x:c r="S83" s="10" t="str">
        <x:f>IF(ISBLANK('Evaluation Plan'!S83),"",'Evaluation Plan'!S83)</x:f>
      </x:c>
    </x:row>
    <x:row r="84" ht="68" customHeight="1">
      <x:c r="A84" s="9" t="str">
        <x:v>Not collected</x:v>
      </x:c>
      <x:c r="B84" s="9" t="n">
        <x:f>'Evaluation Plan'!B84</x:f>
        <x:v>82</x:v>
      </x:c>
      <x:c r="C84" s="10" t="str">
        <x:f>'Evaluation Plan'!C84</x:f>
        <x:v>Put the largest object in the bowl.</x:v>
      </x:c>
      <x:c r="D84" s="10" t="str">
        <x:f>'Evaluation Plan'!D84</x:f>
        <x:v>Bowl: empty. Table, robot-left→robot-right: P1 red pencil sharpener; P2 green block. Adjacent centers 16 cm apart; row shifted 4 cm toward robot-left; all objects fully visible and grasp paths clear.</x:v>
      </x:c>
      <x:c r="E84" s="9" t="str">
        <x:f>IF(ISBLANK('Evaluation Plan'!E84),"",'Evaluation Plan'!E84)</x:f>
      </x:c>
      <x:c r="F84" s="9" t="str">
        <x:f>'Evaluation Plan'!F84</x:f>
        <x:v>1091</x:v>
      </x:c>
      <x:c r="G84" s="9" t="str">
        <x:f>'Evaluation Plan'!G84</x:f>
        <x:v>MOVE green block to bowl</x:v>
      </x:c>
      <x:c r="H84" s="10"/>
      <x:c r="I84" s="9" t="str">
        <x:f>'Evaluation Plan'!I84</x:f>
        <x:v>Concept/compositional transfer</x:v>
      </x:c>
      <x:c r="J84" s="9" t="str">
        <x:f>'Evaluation Plan'!J84</x:f>
        <x:v>SZ-CT-LG12</x:v>
      </x:c>
      <x:c r="K84" s="9" t="str">
        <x:f>'Evaluation Plan'!K84</x:f>
        <x:v>largest</x:v>
      </x:c>
      <x:c r="L84" s="9" t="str">
        <x:f>'Evaluation Plan'!L84</x:f>
        <x:v>Held-out largest × green block — Put</x:v>
      </x:c>
      <x:c r="M84" s="9" t="str">
        <x:f>'Evaluation Plan'!M84</x:f>
        <x:v>green block</x:v>
      </x:c>
      <x:c r="N84" s="9" t="str">
        <x:f>'Evaluation Plan'!N84</x:f>
        <x:v>Right</x:v>
      </x:c>
      <x:c r="O84" s="9" t="n">
        <x:f>'Evaluation Plan'!O84</x:f>
        <x:v>2</x:v>
      </x:c>
      <x:c r="P84" s="9" t="n">
        <x:f>IF(ISBLANK('Evaluation Plan'!P84),"",'Evaluation Plan'!P84)</x:f>
        <x:v>16</x:v>
      </x:c>
      <x:c r="Q84" s="9" t="str">
        <x:f>'Evaluation Plan'!Q84</x:f>
        <x:v>Build the listed two-object scene and save a first-frame filename.</x:v>
      </x:c>
      <x:c r="R84" s="10" t="str">
        <x:f>'Evaluation Plan'!R84</x:f>
        <x:v>Primary missing cell. Training episode 1091 contains the same target trajectory but masks the size word with a direct identity prompt.</x:v>
      </x:c>
      <x:c r="S84" s="10" t="str">
        <x:f>IF(ISBLANK('Evaluation Plan'!S84),"",'Evaluation Plan'!S84)</x:f>
      </x:c>
    </x:row>
    <x:row r="85" ht="68" customHeight="1">
      <x:c r="A85" s="9" t="str">
        <x:v>Not collected</x:v>
      </x:c>
      <x:c r="B85" s="9" t="n">
        <x:f>'Evaluation Plan'!B85</x:f>
        <x:v>83</x:v>
      </x:c>
      <x:c r="C85" s="10" t="str">
        <x:f>'Evaluation Plan'!C85</x:f>
        <x:v>Move the object that is smallest into the bowl.</x:v>
      </x:c>
      <x:c r="D85" s="10" t="str">
        <x:f>'Evaluation Plan'!D85</x:f>
        <x:v>Bowl: empty. Table, robot-left→robot-right: P1 juggling ball; P2 crushed Pepsi can. Adjacent centers 8 cm apart; row shifted 4 cm toward the robot; all objects fully visible and grasp paths clear.</x:v>
      </x:c>
      <x:c r="E85" s="9" t="str">
        <x:f>IF(ISBLANK('Evaluation Plan'!E85),"",'Evaluation Plan'!E85)</x:f>
      </x:c>
      <x:c r="F85" s="9" t="str">
        <x:f>'Evaluation Plan'!F85</x:f>
        <x:v>1116</x:v>
      </x:c>
      <x:c r="G85" s="9" t="str">
        <x:f>'Evaluation Plan'!G85</x:f>
        <x:v>MOVE juggling ball to bowl</x:v>
      </x:c>
      <x:c r="H85" s="10"/>
      <x:c r="I85" s="9" t="str">
        <x:f>'Evaluation Plan'!I85</x:f>
        <x:v>Concept/compositional transfer</x:v>
      </x:c>
      <x:c r="J85" s="9" t="str">
        <x:f>'Evaluation Plan'!J85</x:f>
        <x:v>SZ-CT-SJ12</x:v>
      </x:c>
      <x:c r="K85" s="9" t="str">
        <x:f>'Evaluation Plan'!K85</x:f>
        <x:v>smallest</x:v>
      </x:c>
      <x:c r="L85" s="9" t="str">
        <x:f>'Evaluation Plan'!L85</x:f>
        <x:v>Held-out smallest × juggling ball — Move</x:v>
      </x:c>
      <x:c r="M85" s="9" t="str">
        <x:f>'Evaluation Plan'!M85</x:f>
        <x:v>juggling ball</x:v>
      </x:c>
      <x:c r="N85" s="9" t="str">
        <x:f>'Evaluation Plan'!N85</x:f>
        <x:v>Left</x:v>
      </x:c>
      <x:c r="O85" s="9" t="n">
        <x:f>'Evaluation Plan'!O85</x:f>
        <x:v>2</x:v>
      </x:c>
      <x:c r="P85" s="9" t="n">
        <x:f>IF(ISBLANK('Evaluation Plan'!P85),"",'Evaluation Plan'!P85)</x:f>
        <x:v>8</x:v>
      </x:c>
      <x:c r="Q85" s="9" t="str">
        <x:f>'Evaluation Plan'!Q85</x:f>
        <x:v>Build the listed two-object scene and save a first-frame filename.</x:v>
      </x:c>
      <x:c r="R85" s="10" t="str">
        <x:f>'Evaluation Plan'!R85</x:f>
        <x:v>Primary missing cell. Training episode 1116 contains the same target trajectory but masks the size word with a direct identity prompt.</x:v>
      </x:c>
      <x:c r="S85" s="10" t="str">
        <x:f>IF(ISBLANK('Evaluation Plan'!S85),"",'Evaluation Plan'!S85)</x:f>
      </x:c>
    </x:row>
    <x:row r="86" ht="68" customHeight="1">
      <x:c r="A86" s="9" t="str">
        <x:v>Not collected</x:v>
      </x:c>
      <x:c r="B86" s="9" t="n">
        <x:f>'Evaluation Plan'!B86</x:f>
        <x:v>84</x:v>
      </x:c>
      <x:c r="C86" s="10" t="str">
        <x:f>'Evaluation Plan'!C86</x:f>
        <x:v>Move the object that is largest into the bowl.</x:v>
      </x:c>
      <x:c r="D86" s="10" t="str">
        <x:f>'Evaluation Plan'!D86</x:f>
        <x:v>Bowl: empty. Table, robot-left→robot-right: P1 green block; P2 red pencil sharpener. Adjacent centers 8 cm apart; row shifted 4 cm toward robot-right; all objects fully visible and grasp paths clear.</x:v>
      </x:c>
      <x:c r="E86" s="9" t="str">
        <x:f>IF(ISBLANK('Evaluation Plan'!E86),"",'Evaluation Plan'!E86)</x:f>
      </x:c>
      <x:c r="F86" s="9" t="str">
        <x:f>'Evaluation Plan'!F86</x:f>
        <x:v>1092</x:v>
      </x:c>
      <x:c r="G86" s="9" t="str">
        <x:f>'Evaluation Plan'!G86</x:f>
        <x:v>MOVE green block to bowl</x:v>
      </x:c>
      <x:c r="H86" s="10"/>
      <x:c r="I86" s="9" t="str">
        <x:f>'Evaluation Plan'!I86</x:f>
        <x:v>Concept/compositional transfer</x:v>
      </x:c>
      <x:c r="J86" s="9" t="str">
        <x:f>'Evaluation Plan'!J86</x:f>
        <x:v>SZ-CT-LG13</x:v>
      </x:c>
      <x:c r="K86" s="9" t="str">
        <x:f>'Evaluation Plan'!K86</x:f>
        <x:v>largest</x:v>
      </x:c>
      <x:c r="L86" s="9" t="str">
        <x:f>'Evaluation Plan'!L86</x:f>
        <x:v>Held-out largest × green block — Move</x:v>
      </x:c>
      <x:c r="M86" s="9" t="str">
        <x:f>'Evaluation Plan'!M86</x:f>
        <x:v>green block</x:v>
      </x:c>
      <x:c r="N86" s="9" t="str">
        <x:f>'Evaluation Plan'!N86</x:f>
        <x:v>Left</x:v>
      </x:c>
      <x:c r="O86" s="9" t="n">
        <x:f>'Evaluation Plan'!O86</x:f>
        <x:v>2</x:v>
      </x:c>
      <x:c r="P86" s="9" t="n">
        <x:f>IF(ISBLANK('Evaluation Plan'!P86),"",'Evaluation Plan'!P86)</x:f>
        <x:v>8</x:v>
      </x:c>
      <x:c r="Q86" s="9" t="str">
        <x:f>'Evaluation Plan'!Q86</x:f>
        <x:v>Build the listed two-object scene and save a first-frame filename.</x:v>
      </x:c>
      <x:c r="R86" s="10" t="str">
        <x:f>'Evaluation Plan'!R86</x:f>
        <x:v>Primary missing cell. Training episode 1092 contains the same target trajectory but masks the size word with a direct identity prompt.</x:v>
      </x:c>
      <x:c r="S86" s="10" t="str">
        <x:f>IF(ISBLANK('Evaluation Plan'!S86),"",'Evaluation Plan'!S86)</x:f>
      </x:c>
    </x:row>
    <x:row r="87" ht="68" customHeight="1">
      <x:c r="A87" s="9" t="str">
        <x:v>Not collected</x:v>
      </x:c>
      <x:c r="B87" s="9" t="n">
        <x:f>'Evaluation Plan'!B87</x:f>
        <x:v>85</x:v>
      </x:c>
      <x:c r="C87" s="10" t="str">
        <x:f>'Evaluation Plan'!C87</x:f>
        <x:v>Pick up the smallest item and place it in the bowl.</x:v>
      </x:c>
      <x:c r="D87" s="10" t="str">
        <x:f>'Evaluation Plan'!D87</x:f>
        <x:v>Bowl: empty. Table, robot-left→robot-right: P1 crushed Pepsi can; P2 juggling ball. Adjacent centers 12 cm apart; row shifted 4 cm away from the robot; all objects fully visible and grasp paths clear.</x:v>
      </x:c>
      <x:c r="E87" s="9" t="str">
        <x:f>IF(ISBLANK('Evaluation Plan'!E87),"",'Evaluation Plan'!E87)</x:f>
      </x:c>
      <x:c r="F87" s="9" t="str">
        <x:f>'Evaluation Plan'!F87</x:f>
        <x:v>1117</x:v>
      </x:c>
      <x:c r="G87" s="9" t="str">
        <x:f>'Evaluation Plan'!G87</x:f>
        <x:v>MOVE juggling ball to bowl</x:v>
      </x:c>
      <x:c r="H87" s="10"/>
      <x:c r="I87" s="9" t="str">
        <x:f>'Evaluation Plan'!I87</x:f>
        <x:v>Concept/compositional transfer</x:v>
      </x:c>
      <x:c r="J87" s="9" t="str">
        <x:f>'Evaluation Plan'!J87</x:f>
        <x:v>SZ-CT-SJ13</x:v>
      </x:c>
      <x:c r="K87" s="9" t="str">
        <x:f>'Evaluation Plan'!K87</x:f>
        <x:v>smallest</x:v>
      </x:c>
      <x:c r="L87" s="9" t="str">
        <x:f>'Evaluation Plan'!L87</x:f>
        <x:v>Held-out smallest × juggling ball — Pick up</x:v>
      </x:c>
      <x:c r="M87" s="9" t="str">
        <x:f>'Evaluation Plan'!M87</x:f>
        <x:v>juggling ball</x:v>
      </x:c>
      <x:c r="N87" s="9" t="str">
        <x:f>'Evaluation Plan'!N87</x:f>
        <x:v>Right</x:v>
      </x:c>
      <x:c r="O87" s="9" t="n">
        <x:f>'Evaluation Plan'!O87</x:f>
        <x:v>2</x:v>
      </x:c>
      <x:c r="P87" s="9" t="n">
        <x:f>IF(ISBLANK('Evaluation Plan'!P87),"",'Evaluation Plan'!P87)</x:f>
        <x:v>12</x:v>
      </x:c>
      <x:c r="Q87" s="9" t="str">
        <x:f>'Evaluation Plan'!Q87</x:f>
        <x:v>Build the listed two-object scene and save a first-frame filename.</x:v>
      </x:c>
      <x:c r="R87" s="10" t="str">
        <x:f>'Evaluation Plan'!R87</x:f>
        <x:v>Primary missing cell. Training episode 1117 contains the same target trajectory but masks the size word with a direct identity prompt.</x:v>
      </x:c>
      <x:c r="S87" s="10" t="str">
        <x:f>IF(ISBLANK('Evaluation Plan'!S87),"",'Evaluation Plan'!S87)</x:f>
      </x:c>
    </x:row>
    <x:row r="88" ht="68" customHeight="1">
      <x:c r="A88" s="9" t="str">
        <x:v>Not collected</x:v>
      </x:c>
      <x:c r="B88" s="9" t="n">
        <x:f>'Evaluation Plan'!B88</x:f>
        <x:v>86</x:v>
      </x:c>
      <x:c r="C88" s="10" t="str">
        <x:f>'Evaluation Plan'!C88</x:f>
        <x:v>Pick up the largest item and place it in the bowl.</x:v>
      </x:c>
      <x:c r="D88" s="10" t="str">
        <x:f>'Evaluation Plan'!D88</x:f>
        <x:v>Bowl: empty. Table, robot-left→robot-right: P1 red pencil sharpener; P2 green block. Adjacent centers 12 cm apart; row shifted 4 cm toward the robot; all objects fully visible and grasp paths clear.</x:v>
      </x:c>
      <x:c r="E88" s="9" t="str">
        <x:f>IF(ISBLANK('Evaluation Plan'!E88),"",'Evaluation Plan'!E88)</x:f>
      </x:c>
      <x:c r="F88" s="9" t="str">
        <x:f>'Evaluation Plan'!F88</x:f>
        <x:v>1093</x:v>
      </x:c>
      <x:c r="G88" s="9" t="str">
        <x:f>'Evaluation Plan'!G88</x:f>
        <x:v>MOVE green block to bowl</x:v>
      </x:c>
      <x:c r="H88" s="10"/>
      <x:c r="I88" s="9" t="str">
        <x:f>'Evaluation Plan'!I88</x:f>
        <x:v>Concept/compositional transfer</x:v>
      </x:c>
      <x:c r="J88" s="9" t="str">
        <x:f>'Evaluation Plan'!J88</x:f>
        <x:v>SZ-CT-LG14</x:v>
      </x:c>
      <x:c r="K88" s="9" t="str">
        <x:f>'Evaluation Plan'!K88</x:f>
        <x:v>largest</x:v>
      </x:c>
      <x:c r="L88" s="9" t="str">
        <x:f>'Evaluation Plan'!L88</x:f>
        <x:v>Held-out largest × green block — Pick up</x:v>
      </x:c>
      <x:c r="M88" s="9" t="str">
        <x:f>'Evaluation Plan'!M88</x:f>
        <x:v>green block</x:v>
      </x:c>
      <x:c r="N88" s="9" t="str">
        <x:f>'Evaluation Plan'!N88</x:f>
        <x:v>Right</x:v>
      </x:c>
      <x:c r="O88" s="9" t="n">
        <x:f>'Evaluation Plan'!O88</x:f>
        <x:v>2</x:v>
      </x:c>
      <x:c r="P88" s="9" t="n">
        <x:f>IF(ISBLANK('Evaluation Plan'!P88),"",'Evaluation Plan'!P88)</x:f>
        <x:v>12</x:v>
      </x:c>
      <x:c r="Q88" s="9" t="str">
        <x:f>'Evaluation Plan'!Q88</x:f>
        <x:v>Build the listed two-object scene and save a first-frame filename.</x:v>
      </x:c>
      <x:c r="R88" s="10" t="str">
        <x:f>'Evaluation Plan'!R88</x:f>
        <x:v>Primary missing cell. Training episode 1093 contains the same target trajectory but masks the size word with a direct identity prompt.</x:v>
      </x:c>
      <x:c r="S88" s="10" t="str">
        <x:f>IF(ISBLANK('Evaluation Plan'!S88),"",'Evaluation Plan'!S88)</x:f>
      </x:c>
    </x:row>
    <x:row r="89" ht="68" customHeight="1">
      <x:c r="A89" s="9" t="str">
        <x:v>Not collected</x:v>
      </x:c>
      <x:c r="B89" s="9" t="n">
        <x:f>'Evaluation Plan'!B89</x:f>
        <x:v>87</x:v>
      </x:c>
      <x:c r="C89" s="10" t="str">
        <x:f>'Evaluation Plan'!C89</x:f>
        <x:v>Put the smallest object in the bowl.</x:v>
      </x:c>
      <x:c r="D89" s="10" t="str">
        <x:f>'Evaluation Plan'!D89</x:f>
        <x:v>Bowl: empty. Table, robot-left→robot-right: P1 juggling ball; P2 crushed Pepsi can. Adjacent centers 16 cm apart; row centered on the workspace; all objects fully visible and grasp paths clear.</x:v>
      </x:c>
      <x:c r="E89" s="9" t="str">
        <x:f>IF(ISBLANK('Evaluation Plan'!E89),"",'Evaluation Plan'!E89)</x:f>
      </x:c>
      <x:c r="F89" s="9" t="str">
        <x:f>'Evaluation Plan'!F89</x:f>
        <x:v>1118</x:v>
      </x:c>
      <x:c r="G89" s="9" t="str">
        <x:f>'Evaluation Plan'!G89</x:f>
        <x:v>MOVE juggling ball to bowl</x:v>
      </x:c>
      <x:c r="H89" s="10"/>
      <x:c r="I89" s="9" t="str">
        <x:f>'Evaluation Plan'!I89</x:f>
        <x:v>Concept/compositional transfer</x:v>
      </x:c>
      <x:c r="J89" s="9" t="str">
        <x:f>'Evaluation Plan'!J89</x:f>
        <x:v>SZ-CT-SJ14</x:v>
      </x:c>
      <x:c r="K89" s="9" t="str">
        <x:f>'Evaluation Plan'!K89</x:f>
        <x:v>smallest</x:v>
      </x:c>
      <x:c r="L89" s="9" t="str">
        <x:f>'Evaluation Plan'!L89</x:f>
        <x:v>Held-out smallest × juggling ball — Put</x:v>
      </x:c>
      <x:c r="M89" s="9" t="str">
        <x:f>'Evaluation Plan'!M89</x:f>
        <x:v>juggling ball</x:v>
      </x:c>
      <x:c r="N89" s="9" t="str">
        <x:f>'Evaluation Plan'!N89</x:f>
        <x:v>Left</x:v>
      </x:c>
      <x:c r="O89" s="9" t="n">
        <x:f>'Evaluation Plan'!O89</x:f>
        <x:v>2</x:v>
      </x:c>
      <x:c r="P89" s="9" t="n">
        <x:f>IF(ISBLANK('Evaluation Plan'!P89),"",'Evaluation Plan'!P89)</x:f>
        <x:v>16</x:v>
      </x:c>
      <x:c r="Q89" s="9" t="str">
        <x:f>'Evaluation Plan'!Q89</x:f>
        <x:v>Build the listed two-object scene and save a first-frame filename.</x:v>
      </x:c>
      <x:c r="R89" s="10" t="str">
        <x:f>'Evaluation Plan'!R89</x:f>
        <x:v>Primary missing cell. Training episode 1118 contains the same target trajectory but masks the size word with a direct identity prompt.</x:v>
      </x:c>
      <x:c r="S89" s="10" t="str">
        <x:f>IF(ISBLANK('Evaluation Plan'!S89),"",'Evaluation Plan'!S89)</x:f>
      </x:c>
    </x:row>
    <x:row r="90" ht="68" customHeight="1">
      <x:c r="A90" s="9" t="str">
        <x:v>Not collected</x:v>
      </x:c>
      <x:c r="B90" s="9" t="n">
        <x:f>'Evaluation Plan'!B90</x:f>
        <x:v>88</x:v>
      </x:c>
      <x:c r="C90" s="10" t="str">
        <x:f>'Evaluation Plan'!C90</x:f>
        <x:v>Put the largest object in the bowl.</x:v>
      </x:c>
      <x:c r="D90" s="10" t="str">
        <x:f>'Evaluation Plan'!D90</x:f>
        <x:v>Bowl: empty. Table, robot-left→robot-right: P1 green block; P2 red pencil sharpener. Adjacent centers 16 cm apart; row shifted 4 cm away from the robot; all objects fully visible and grasp paths clear.</x:v>
      </x:c>
      <x:c r="E90" s="9" t="str">
        <x:f>IF(ISBLANK('Evaluation Plan'!E90),"",'Evaluation Plan'!E90)</x:f>
      </x:c>
      <x:c r="F90" s="9" t="str">
        <x:f>'Evaluation Plan'!F90</x:f>
        <x:v>1094</x:v>
      </x:c>
      <x:c r="G90" s="9" t="str">
        <x:f>'Evaluation Plan'!G90</x:f>
        <x:v>MOVE green block to bowl</x:v>
      </x:c>
      <x:c r="H90" s="10"/>
      <x:c r="I90" s="9" t="str">
        <x:f>'Evaluation Plan'!I90</x:f>
        <x:v>Concept/compositional transfer</x:v>
      </x:c>
      <x:c r="J90" s="9" t="str">
        <x:f>'Evaluation Plan'!J90</x:f>
        <x:v>SZ-CT-LG15</x:v>
      </x:c>
      <x:c r="K90" s="9" t="str">
        <x:f>'Evaluation Plan'!K90</x:f>
        <x:v>largest</x:v>
      </x:c>
      <x:c r="L90" s="9" t="str">
        <x:f>'Evaluation Plan'!L90</x:f>
        <x:v>Held-out largest × green block — Put</x:v>
      </x:c>
      <x:c r="M90" s="9" t="str">
        <x:f>'Evaluation Plan'!M90</x:f>
        <x:v>green block</x:v>
      </x:c>
      <x:c r="N90" s="9" t="str">
        <x:f>'Evaluation Plan'!N90</x:f>
        <x:v>Left</x:v>
      </x:c>
      <x:c r="O90" s="9" t="n">
        <x:f>'Evaluation Plan'!O90</x:f>
        <x:v>2</x:v>
      </x:c>
      <x:c r="P90" s="9" t="n">
        <x:f>IF(ISBLANK('Evaluation Plan'!P90),"",'Evaluation Plan'!P90)</x:f>
        <x:v>16</x:v>
      </x:c>
      <x:c r="Q90" s="9" t="str">
        <x:f>'Evaluation Plan'!Q90</x:f>
        <x:v>Build the listed two-object scene and save a first-frame filename.</x:v>
      </x:c>
      <x:c r="R90" s="10" t="str">
        <x:f>'Evaluation Plan'!R90</x:f>
        <x:v>Primary missing cell. Training episode 1094 contains the same target trajectory but masks the size word with a direct identity prompt.</x:v>
      </x:c>
      <x:c r="S90" s="10" t="str">
        <x:f>IF(ISBLANK('Evaluation Plan'!S90),"",'Evaluation Plan'!S90)</x:f>
      </x:c>
    </x:row>
    <x:row r="91" ht="68" customHeight="1">
      <x:c r="A91" s="9" t="str">
        <x:v>Not collected</x:v>
      </x:c>
      <x:c r="B91" s="9" t="n">
        <x:f>'Evaluation Plan'!B91</x:f>
        <x:v>89</x:v>
      </x:c>
      <x:c r="C91" s="10" t="str">
        <x:f>'Evaluation Plan'!C91</x:f>
        <x:v>Move the object that is smallest into the bowl.</x:v>
      </x:c>
      <x:c r="D91" s="10" t="str">
        <x:f>'Evaluation Plan'!D91</x:f>
        <x:v>Bowl: empty. Table, robot-left→robot-right: P1 crushed Pepsi can; P2 juggling ball. Adjacent centers 8 cm apart; row shifted 4 cm toward robot-left; all objects fully visible and grasp paths clear.</x:v>
      </x:c>
      <x:c r="E91" s="9" t="str">
        <x:f>IF(ISBLANK('Evaluation Plan'!E91),"",'Evaluation Plan'!E91)</x:f>
      </x:c>
      <x:c r="F91" s="9" t="str">
        <x:f>'Evaluation Plan'!F91</x:f>
        <x:v>1119</x:v>
      </x:c>
      <x:c r="G91" s="9" t="str">
        <x:f>'Evaluation Plan'!G91</x:f>
        <x:v>MOVE juggling ball to bowl</x:v>
      </x:c>
      <x:c r="H91" s="10"/>
      <x:c r="I91" s="9" t="str">
        <x:f>'Evaluation Plan'!I91</x:f>
        <x:v>Concept/compositional transfer</x:v>
      </x:c>
      <x:c r="J91" s="9" t="str">
        <x:f>'Evaluation Plan'!J91</x:f>
        <x:v>SZ-CT-SJ15</x:v>
      </x:c>
      <x:c r="K91" s="9" t="str">
        <x:f>'Evaluation Plan'!K91</x:f>
        <x:v>smallest</x:v>
      </x:c>
      <x:c r="L91" s="9" t="str">
        <x:f>'Evaluation Plan'!L91</x:f>
        <x:v>Held-out smallest × juggling ball — Move</x:v>
      </x:c>
      <x:c r="M91" s="9" t="str">
        <x:f>'Evaluation Plan'!M91</x:f>
        <x:v>juggling ball</x:v>
      </x:c>
      <x:c r="N91" s="9" t="str">
        <x:f>'Evaluation Plan'!N91</x:f>
        <x:v>Right</x:v>
      </x:c>
      <x:c r="O91" s="9" t="n">
        <x:f>'Evaluation Plan'!O91</x:f>
        <x:v>2</x:v>
      </x:c>
      <x:c r="P91" s="9" t="n">
        <x:f>IF(ISBLANK('Evaluation Plan'!P91),"",'Evaluation Plan'!P91)</x:f>
        <x:v>8</x:v>
      </x:c>
      <x:c r="Q91" s="9" t="str">
        <x:f>'Evaluation Plan'!Q91</x:f>
        <x:v>Build the listed two-object scene and save a first-frame filename.</x:v>
      </x:c>
      <x:c r="R91" s="10" t="str">
        <x:f>'Evaluation Plan'!R91</x:f>
        <x:v>Primary missing cell. Training episode 1119 contains the same target trajectory but masks the size word with a direct identity prompt.</x:v>
      </x:c>
      <x:c r="S91" s="10" t="str">
        <x:f>IF(ISBLANK('Evaluation Plan'!S91),"",'Evaluation Plan'!S91)</x:f>
      </x:c>
    </x:row>
    <x:row r="92" ht="68" customHeight="1">
      <x:c r="A92" s="9" t="str">
        <x:v>Not collected</x:v>
      </x:c>
      <x:c r="B92" s="9" t="n">
        <x:f>'Evaluation Plan'!B92</x:f>
        <x:v>90</x:v>
      </x:c>
      <x:c r="C92" s="10" t="str">
        <x:f>'Evaluation Plan'!C92</x:f>
        <x:v>Move the object that is largest into the bowl.</x:v>
      </x:c>
      <x:c r="D92" s="10" t="str">
        <x:f>'Evaluation Plan'!D92</x:f>
        <x:v>Bowl: empty. Table, robot-left→robot-right: P1 red pencil sharpener; P2 green block. Adjacent centers 8 cm apart; row centered on the workspace; all objects fully visible and grasp paths clear.</x:v>
      </x:c>
      <x:c r="E92" s="9" t="str">
        <x:f>IF(ISBLANK('Evaluation Plan'!E92),"",'Evaluation Plan'!E92)</x:f>
      </x:c>
      <x:c r="F92" s="9" t="str">
        <x:f>'Evaluation Plan'!F92</x:f>
        <x:v>1095</x:v>
      </x:c>
      <x:c r="G92" s="9" t="str">
        <x:f>'Evaluation Plan'!G92</x:f>
        <x:v>MOVE green block to bowl</x:v>
      </x:c>
      <x:c r="H92" s="10"/>
      <x:c r="I92" s="9" t="str">
        <x:f>'Evaluation Plan'!I92</x:f>
        <x:v>Concept/compositional transfer</x:v>
      </x:c>
      <x:c r="J92" s="9" t="str">
        <x:f>'Evaluation Plan'!J92</x:f>
        <x:v>SZ-CT-LG16</x:v>
      </x:c>
      <x:c r="K92" s="9" t="str">
        <x:f>'Evaluation Plan'!K92</x:f>
        <x:v>largest</x:v>
      </x:c>
      <x:c r="L92" s="9" t="str">
        <x:f>'Evaluation Plan'!L92</x:f>
        <x:v>Held-out largest × green block — Move</x:v>
      </x:c>
      <x:c r="M92" s="9" t="str">
        <x:f>'Evaluation Plan'!M92</x:f>
        <x:v>green block</x:v>
      </x:c>
      <x:c r="N92" s="9" t="str">
        <x:f>'Evaluation Plan'!N92</x:f>
        <x:v>Right</x:v>
      </x:c>
      <x:c r="O92" s="9" t="n">
        <x:f>'Evaluation Plan'!O92</x:f>
        <x:v>2</x:v>
      </x:c>
      <x:c r="P92" s="9" t="n">
        <x:f>IF(ISBLANK('Evaluation Plan'!P92),"",'Evaluation Plan'!P92)</x:f>
        <x:v>8</x:v>
      </x:c>
      <x:c r="Q92" s="9" t="str">
        <x:f>'Evaluation Plan'!Q92</x:f>
        <x:v>Build the listed two-object scene and save a first-frame filename.</x:v>
      </x:c>
      <x:c r="R92" s="10" t="str">
        <x:f>'Evaluation Plan'!R92</x:f>
        <x:v>Primary missing cell. Training episode 1095 contains the same target trajectory but masks the size word with a direct identity prompt.</x:v>
      </x:c>
      <x:c r="S92" s="10" t="str">
        <x:f>IF(ISBLANK('Evaluation Plan'!S92),"",'Evaluation Plan'!S92)</x:f>
      </x:c>
    </x:row>
    <x:row r="93" ht="68" customHeight="1">
      <x:c r="A93" s="9" t="str">
        <x:v>Not collected</x:v>
      </x:c>
      <x:c r="B93" s="9" t="n">
        <x:f>'Evaluation Plan'!B93</x:f>
        <x:v>91</x:v>
      </x:c>
      <x:c r="C93" s="10" t="str">
        <x:f>'Evaluation Plan'!C93</x:f>
        <x:v>Pick up the smallest item and place it in the bowl.</x:v>
      </x:c>
      <x:c r="D93" s="10" t="str">
        <x:f>'Evaluation Plan'!D93</x:f>
        <x:v>Bowl: empty. Table, robot-left→robot-right: P1 juggling ball; P2 crushed Pepsi can. Adjacent centers 12 cm apart; row shifted 4 cm toward robot-right; all objects fully visible and grasp paths clear.</x:v>
      </x:c>
      <x:c r="E93" s="9" t="str">
        <x:f>IF(ISBLANK('Evaluation Plan'!E93),"",'Evaluation Plan'!E93)</x:f>
      </x:c>
      <x:c r="F93" s="9" t="str">
        <x:f>'Evaluation Plan'!F93</x:f>
        <x:v>1120</x:v>
      </x:c>
      <x:c r="G93" s="9" t="str">
        <x:f>'Evaluation Plan'!G93</x:f>
        <x:v>MOVE juggling ball to bowl</x:v>
      </x:c>
      <x:c r="H93" s="10"/>
      <x:c r="I93" s="9" t="str">
        <x:f>'Evaluation Plan'!I93</x:f>
        <x:v>Concept/compositional transfer</x:v>
      </x:c>
      <x:c r="J93" s="9" t="str">
        <x:f>'Evaluation Plan'!J93</x:f>
        <x:v>SZ-CT-SJ16</x:v>
      </x:c>
      <x:c r="K93" s="9" t="str">
        <x:f>'Evaluation Plan'!K93</x:f>
        <x:v>smallest</x:v>
      </x:c>
      <x:c r="L93" s="9" t="str">
        <x:f>'Evaluation Plan'!L93</x:f>
        <x:v>Held-out smallest × juggling ball — Pick up</x:v>
      </x:c>
      <x:c r="M93" s="9" t="str">
        <x:f>'Evaluation Plan'!M93</x:f>
        <x:v>juggling ball</x:v>
      </x:c>
      <x:c r="N93" s="9" t="str">
        <x:f>'Evaluation Plan'!N93</x:f>
        <x:v>Left</x:v>
      </x:c>
      <x:c r="O93" s="9" t="n">
        <x:f>'Evaluation Plan'!O93</x:f>
        <x:v>2</x:v>
      </x:c>
      <x:c r="P93" s="9" t="n">
        <x:f>IF(ISBLANK('Evaluation Plan'!P93),"",'Evaluation Plan'!P93)</x:f>
        <x:v>12</x:v>
      </x:c>
      <x:c r="Q93" s="9" t="str">
        <x:f>'Evaluation Plan'!Q93</x:f>
        <x:v>Build the listed two-object scene and save a first-frame filename.</x:v>
      </x:c>
      <x:c r="R93" s="10" t="str">
        <x:f>'Evaluation Plan'!R93</x:f>
        <x:v>Primary missing cell. Training episode 1120 contains the same target trajectory but masks the size word with a direct identity prompt.</x:v>
      </x:c>
      <x:c r="S93" s="10" t="str">
        <x:f>IF(ISBLANK('Evaluation Plan'!S93),"",'Evaluation Plan'!S93)</x:f>
      </x:c>
    </x:row>
    <x:row r="94" ht="68" customHeight="1">
      <x:c r="A94" s="9" t="str">
        <x:v>Not collected</x:v>
      </x:c>
      <x:c r="B94" s="9" t="n">
        <x:f>'Evaluation Plan'!B94</x:f>
        <x:v>92</x:v>
      </x:c>
      <x:c r="C94" s="10" t="str">
        <x:f>'Evaluation Plan'!C94</x:f>
        <x:v>Pick up the largest item and place it in the bowl.</x:v>
      </x:c>
      <x:c r="D94" s="10" t="str">
        <x:f>'Evaluation Plan'!D94</x:f>
        <x:v>Bowl: empty. Table, robot-left→robot-right: P1 green block; P2 red pencil sharpener. Adjacent centers 12 cm apart; row shifted 4 cm toward robot-left; all objects fully visible and grasp paths clear.</x:v>
      </x:c>
      <x:c r="E94" s="9" t="str">
        <x:f>IF(ISBLANK('Evaluation Plan'!E94),"",'Evaluation Plan'!E94)</x:f>
      </x:c>
      <x:c r="F94" s="9" t="str">
        <x:f>'Evaluation Plan'!F94</x:f>
        <x:v>1096</x:v>
      </x:c>
      <x:c r="G94" s="9" t="str">
        <x:f>'Evaluation Plan'!G94</x:f>
        <x:v>MOVE green block to bowl</x:v>
      </x:c>
      <x:c r="H94" s="10"/>
      <x:c r="I94" s="9" t="str">
        <x:f>'Evaluation Plan'!I94</x:f>
        <x:v>Concept/compositional transfer</x:v>
      </x:c>
      <x:c r="J94" s="9" t="str">
        <x:f>'Evaluation Plan'!J94</x:f>
        <x:v>SZ-CT-LG17</x:v>
      </x:c>
      <x:c r="K94" s="9" t="str">
        <x:f>'Evaluation Plan'!K94</x:f>
        <x:v>largest</x:v>
      </x:c>
      <x:c r="L94" s="9" t="str">
        <x:f>'Evaluation Plan'!L94</x:f>
        <x:v>Held-out largest × green block — Pick up</x:v>
      </x:c>
      <x:c r="M94" s="9" t="str">
        <x:f>'Evaluation Plan'!M94</x:f>
        <x:v>green block</x:v>
      </x:c>
      <x:c r="N94" s="9" t="str">
        <x:f>'Evaluation Plan'!N94</x:f>
        <x:v>Left</x:v>
      </x:c>
      <x:c r="O94" s="9" t="n">
        <x:f>'Evaluation Plan'!O94</x:f>
        <x:v>2</x:v>
      </x:c>
      <x:c r="P94" s="9" t="n">
        <x:f>IF(ISBLANK('Evaluation Plan'!P94),"",'Evaluation Plan'!P94)</x:f>
        <x:v>12</x:v>
      </x:c>
      <x:c r="Q94" s="9" t="str">
        <x:f>'Evaluation Plan'!Q94</x:f>
        <x:v>Build the listed two-object scene and save a first-frame filename.</x:v>
      </x:c>
      <x:c r="R94" s="10" t="str">
        <x:f>'Evaluation Plan'!R94</x:f>
        <x:v>Primary missing cell. Training episode 1096 contains the same target trajectory but masks the size word with a direct identity prompt.</x:v>
      </x:c>
      <x:c r="S94" s="10" t="str">
        <x:f>IF(ISBLANK('Evaluation Plan'!S94),"",'Evaluation Plan'!S94)</x:f>
      </x:c>
    </x:row>
    <x:row r="95" ht="68" customHeight="1">
      <x:c r="A95" s="9" t="str">
        <x:v>Not collected</x:v>
      </x:c>
      <x:c r="B95" s="9" t="n">
        <x:f>'Evaluation Plan'!B95</x:f>
        <x:v>93</x:v>
      </x:c>
      <x:c r="C95" s="10" t="str">
        <x:f>'Evaluation Plan'!C95</x:f>
        <x:v>Put the smallest object in the bowl.</x:v>
      </x:c>
      <x:c r="D95" s="10" t="str">
        <x:f>'Evaluation Plan'!D95</x:f>
        <x:v>Bowl: empty. Table, robot-left→robot-right: P1 crushed Pepsi can; P2 juggling ball. Adjacent centers 16 cm apart; row shifted 4 cm toward the robot; all objects fully visible and grasp paths clear.</x:v>
      </x:c>
      <x:c r="E95" s="9" t="str">
        <x:f>IF(ISBLANK('Evaluation Plan'!E95),"",'Evaluation Plan'!E95)</x:f>
      </x:c>
      <x:c r="F95" s="9" t="str">
        <x:f>'Evaluation Plan'!F95</x:f>
        <x:v>1121</x:v>
      </x:c>
      <x:c r="G95" s="9" t="str">
        <x:f>'Evaluation Plan'!G95</x:f>
        <x:v>MOVE juggling ball to bowl</x:v>
      </x:c>
      <x:c r="H95" s="10"/>
      <x:c r="I95" s="9" t="str">
        <x:f>'Evaluation Plan'!I95</x:f>
        <x:v>Concept/compositional transfer</x:v>
      </x:c>
      <x:c r="J95" s="9" t="str">
        <x:f>'Evaluation Plan'!J95</x:f>
        <x:v>SZ-CT-SJ17</x:v>
      </x:c>
      <x:c r="K95" s="9" t="str">
        <x:f>'Evaluation Plan'!K95</x:f>
        <x:v>smallest</x:v>
      </x:c>
      <x:c r="L95" s="9" t="str">
        <x:f>'Evaluation Plan'!L95</x:f>
        <x:v>Held-out smallest × juggling ball — Put</x:v>
      </x:c>
      <x:c r="M95" s="9" t="str">
        <x:f>'Evaluation Plan'!M95</x:f>
        <x:v>juggling ball</x:v>
      </x:c>
      <x:c r="N95" s="9" t="str">
        <x:f>'Evaluation Plan'!N95</x:f>
        <x:v>Right</x:v>
      </x:c>
      <x:c r="O95" s="9" t="n">
        <x:f>'Evaluation Plan'!O95</x:f>
        <x:v>2</x:v>
      </x:c>
      <x:c r="P95" s="9" t="n">
        <x:f>IF(ISBLANK('Evaluation Plan'!P95),"",'Evaluation Plan'!P95)</x:f>
        <x:v>16</x:v>
      </x:c>
      <x:c r="Q95" s="9" t="str">
        <x:f>'Evaluation Plan'!Q95</x:f>
        <x:v>Build the listed two-object scene and save a first-frame filename.</x:v>
      </x:c>
      <x:c r="R95" s="10" t="str">
        <x:f>'Evaluation Plan'!R95</x:f>
        <x:v>Primary missing cell. Training episode 1121 contains the same target trajectory but masks the size word with a direct identity prompt.</x:v>
      </x:c>
      <x:c r="S95" s="10" t="str">
        <x:f>IF(ISBLANK('Evaluation Plan'!S95),"",'Evaluation Plan'!S95)</x:f>
      </x:c>
    </x:row>
    <x:row r="96" ht="68" customHeight="1">
      <x:c r="A96" s="9" t="str">
        <x:v>Not collected</x:v>
      </x:c>
      <x:c r="B96" s="9" t="n">
        <x:f>'Evaluation Plan'!B96</x:f>
        <x:v>94</x:v>
      </x:c>
      <x:c r="C96" s="10" t="str">
        <x:f>'Evaluation Plan'!C96</x:f>
        <x:v>Put the largest object in the bowl.</x:v>
      </x:c>
      <x:c r="D96" s="10" t="str">
        <x:f>'Evaluation Plan'!D96</x:f>
        <x:v>Bowl: empty. Table, robot-left→robot-right: P1 red pencil sharpener; P2 green block. Adjacent centers 16 cm apart; row shifted 4 cm toward robot-right; all objects fully visible and grasp paths clear.</x:v>
      </x:c>
      <x:c r="E96" s="9" t="str">
        <x:f>IF(ISBLANK('Evaluation Plan'!E96),"",'Evaluation Plan'!E96)</x:f>
      </x:c>
      <x:c r="F96" s="9" t="str">
        <x:f>'Evaluation Plan'!F96</x:f>
        <x:v>1097</x:v>
      </x:c>
      <x:c r="G96" s="9" t="str">
        <x:f>'Evaluation Plan'!G96</x:f>
        <x:v>MOVE green block to bowl</x:v>
      </x:c>
      <x:c r="H96" s="10"/>
      <x:c r="I96" s="9" t="str">
        <x:f>'Evaluation Plan'!I96</x:f>
        <x:v>Concept/compositional transfer</x:v>
      </x:c>
      <x:c r="J96" s="9" t="str">
        <x:f>'Evaluation Plan'!J96</x:f>
        <x:v>SZ-CT-LG18</x:v>
      </x:c>
      <x:c r="K96" s="9" t="str">
        <x:f>'Evaluation Plan'!K96</x:f>
        <x:v>largest</x:v>
      </x:c>
      <x:c r="L96" s="9" t="str">
        <x:f>'Evaluation Plan'!L96</x:f>
        <x:v>Held-out largest × green block — Put</x:v>
      </x:c>
      <x:c r="M96" s="9" t="str">
        <x:f>'Evaluation Plan'!M96</x:f>
        <x:v>green block</x:v>
      </x:c>
      <x:c r="N96" s="9" t="str">
        <x:f>'Evaluation Plan'!N96</x:f>
        <x:v>Right</x:v>
      </x:c>
      <x:c r="O96" s="9" t="n">
        <x:f>'Evaluation Plan'!O96</x:f>
        <x:v>2</x:v>
      </x:c>
      <x:c r="P96" s="9" t="n">
        <x:f>IF(ISBLANK('Evaluation Plan'!P96),"",'Evaluation Plan'!P96)</x:f>
        <x:v>16</x:v>
      </x:c>
      <x:c r="Q96" s="9" t="str">
        <x:f>'Evaluation Plan'!Q96</x:f>
        <x:v>Build the listed two-object scene and save a first-frame filename.</x:v>
      </x:c>
      <x:c r="R96" s="10" t="str">
        <x:f>'Evaluation Plan'!R96</x:f>
        <x:v>Primary missing cell. Training episode 1097 contains the same target trajectory but masks the size word with a direct identity prompt.</x:v>
      </x:c>
      <x:c r="S96" s="10" t="str">
        <x:f>IF(ISBLANK('Evaluation Plan'!S96),"",'Evaluation Plan'!S96)</x:f>
      </x:c>
    </x:row>
    <x:row r="97" ht="68" customHeight="1">
      <x:c r="A97" s="9" t="str">
        <x:v>Not collected</x:v>
      </x:c>
      <x:c r="B97" s="9" t="n">
        <x:f>'Evaluation Plan'!B97</x:f>
        <x:v>95</x:v>
      </x:c>
      <x:c r="C97" s="10" t="str">
        <x:f>'Evaluation Plan'!C97</x:f>
        <x:v>Move the object that is smallest into the bowl.</x:v>
      </x:c>
      <x:c r="D97" s="10" t="str">
        <x:f>'Evaluation Plan'!D97</x:f>
        <x:v>Bowl: empty. Table, robot-left→robot-right: P1 juggling ball; P2 crushed Pepsi can. Adjacent centers 8 cm apart; row shifted 4 cm away from the robot; all objects fully visible and grasp paths clear.</x:v>
      </x:c>
      <x:c r="E97" s="9" t="str">
        <x:f>IF(ISBLANK('Evaluation Plan'!E97),"",'Evaluation Plan'!E97)</x:f>
      </x:c>
      <x:c r="F97" s="9" t="str">
        <x:f>'Evaluation Plan'!F97</x:f>
        <x:v>1122</x:v>
      </x:c>
      <x:c r="G97" s="9" t="str">
        <x:f>'Evaluation Plan'!G97</x:f>
        <x:v>MOVE juggling ball to bowl</x:v>
      </x:c>
      <x:c r="H97" s="10"/>
      <x:c r="I97" s="9" t="str">
        <x:f>'Evaluation Plan'!I97</x:f>
        <x:v>Concept/compositional transfer</x:v>
      </x:c>
      <x:c r="J97" s="9" t="str">
        <x:f>'Evaluation Plan'!J97</x:f>
        <x:v>SZ-CT-SJ18</x:v>
      </x:c>
      <x:c r="K97" s="9" t="str">
        <x:f>'Evaluation Plan'!K97</x:f>
        <x:v>smallest</x:v>
      </x:c>
      <x:c r="L97" s="9" t="str">
        <x:f>'Evaluation Plan'!L97</x:f>
        <x:v>Held-out smallest × juggling ball — Move</x:v>
      </x:c>
      <x:c r="M97" s="9" t="str">
        <x:f>'Evaluation Plan'!M97</x:f>
        <x:v>juggling ball</x:v>
      </x:c>
      <x:c r="N97" s="9" t="str">
        <x:f>'Evaluation Plan'!N97</x:f>
        <x:v>Left</x:v>
      </x:c>
      <x:c r="O97" s="9" t="n">
        <x:f>'Evaluation Plan'!O97</x:f>
        <x:v>2</x:v>
      </x:c>
      <x:c r="P97" s="9" t="n">
        <x:f>IF(ISBLANK('Evaluation Plan'!P97),"",'Evaluation Plan'!P97)</x:f>
        <x:v>8</x:v>
      </x:c>
      <x:c r="Q97" s="9" t="str">
        <x:f>'Evaluation Plan'!Q97</x:f>
        <x:v>Build the listed two-object scene and save a first-frame filename.</x:v>
      </x:c>
      <x:c r="R97" s="10" t="str">
        <x:f>'Evaluation Plan'!R97</x:f>
        <x:v>Primary missing cell. Training episode 1122 contains the same target trajectory but masks the size word with a direct identity prompt.</x:v>
      </x:c>
      <x:c r="S97" s="10" t="str">
        <x:f>IF(ISBLANK('Evaluation Plan'!S97),"",'Evaluation Plan'!S97)</x:f>
      </x:c>
    </x:row>
    <x:row r="98" ht="68" customHeight="1">
      <x:c r="A98" s="9" t="str">
        <x:v>Not collected</x:v>
      </x:c>
      <x:c r="B98" s="9" t="n">
        <x:f>'Evaluation Plan'!B98</x:f>
        <x:v>96</x:v>
      </x:c>
      <x:c r="C98" s="10" t="str">
        <x:f>'Evaluation Plan'!C98</x:f>
        <x:v>Move the object that is largest into the bowl.</x:v>
      </x:c>
      <x:c r="D98" s="10" t="str">
        <x:f>'Evaluation Plan'!D98</x:f>
        <x:v>Bowl: empty. Table, robot-left→robot-right: P1 green block; P2 red pencil sharpener. Adjacent centers 8 cm apart; row shifted 4 cm toward the robot; all objects fully visible and grasp paths clear.</x:v>
      </x:c>
      <x:c r="E98" s="9" t="str">
        <x:f>IF(ISBLANK('Evaluation Plan'!E98),"",'Evaluation Plan'!E98)</x:f>
      </x:c>
      <x:c r="F98" s="9" t="str">
        <x:f>'Evaluation Plan'!F98</x:f>
        <x:v>1098</x:v>
      </x:c>
      <x:c r="G98" s="9" t="str">
        <x:f>'Evaluation Plan'!G98</x:f>
        <x:v>MOVE green block to bowl</x:v>
      </x:c>
      <x:c r="H98" s="10"/>
      <x:c r="I98" s="9" t="str">
        <x:f>'Evaluation Plan'!I98</x:f>
        <x:v>Concept/compositional transfer</x:v>
      </x:c>
      <x:c r="J98" s="9" t="str">
        <x:f>'Evaluation Plan'!J98</x:f>
        <x:v>SZ-CT-LG19</x:v>
      </x:c>
      <x:c r="K98" s="9" t="str">
        <x:f>'Evaluation Plan'!K98</x:f>
        <x:v>largest</x:v>
      </x:c>
      <x:c r="L98" s="9" t="str">
        <x:f>'Evaluation Plan'!L98</x:f>
        <x:v>Held-out largest × green block — Move</x:v>
      </x:c>
      <x:c r="M98" s="9" t="str">
        <x:f>'Evaluation Plan'!M98</x:f>
        <x:v>green block</x:v>
      </x:c>
      <x:c r="N98" s="9" t="str">
        <x:f>'Evaluation Plan'!N98</x:f>
        <x:v>Left</x:v>
      </x:c>
      <x:c r="O98" s="9" t="n">
        <x:f>'Evaluation Plan'!O98</x:f>
        <x:v>2</x:v>
      </x:c>
      <x:c r="P98" s="9" t="n">
        <x:f>IF(ISBLANK('Evaluation Plan'!P98),"",'Evaluation Plan'!P98)</x:f>
        <x:v>8</x:v>
      </x:c>
      <x:c r="Q98" s="9" t="str">
        <x:f>'Evaluation Plan'!Q98</x:f>
        <x:v>Build the listed two-object scene and save a first-frame filename.</x:v>
      </x:c>
      <x:c r="R98" s="10" t="str">
        <x:f>'Evaluation Plan'!R98</x:f>
        <x:v>Primary missing cell. Training episode 1098 contains the same target trajectory but masks the size word with a direct identity prompt.</x:v>
      </x:c>
      <x:c r="S98" s="10" t="str">
        <x:f>IF(ISBLANK('Evaluation Plan'!S98),"",'Evaluation Plan'!S98)</x:f>
      </x:c>
    </x:row>
    <x:row r="99" ht="68" customHeight="1">
      <x:c r="A99" s="9" t="str">
        <x:v>Not collected</x:v>
      </x:c>
      <x:c r="B99" s="9" t="n">
        <x:f>'Evaluation Plan'!B99</x:f>
        <x:v>97</x:v>
      </x:c>
      <x:c r="C99" s="10" t="str">
        <x:f>'Evaluation Plan'!C99</x:f>
        <x:v>Pick up the smallest item and place it in the bowl.</x:v>
      </x:c>
      <x:c r="D99" s="10" t="str">
        <x:f>'Evaluation Plan'!D99</x:f>
        <x:v>Bowl: empty. Table, robot-left→robot-right: P1 crushed Pepsi can; P2 juggling ball. Adjacent centers 12 cm apart; row centered on the workspace; all objects fully visible and grasp paths clear.</x:v>
      </x:c>
      <x:c r="E99" s="9" t="str">
        <x:f>IF(ISBLANK('Evaluation Plan'!E99),"",'Evaluation Plan'!E99)</x:f>
      </x:c>
      <x:c r="F99" s="9" t="str">
        <x:f>'Evaluation Plan'!F99</x:f>
        <x:v>1123</x:v>
      </x:c>
      <x:c r="G99" s="9" t="str">
        <x:f>'Evaluation Plan'!G99</x:f>
        <x:v>MOVE juggling ball to bowl</x:v>
      </x:c>
      <x:c r="H99" s="10"/>
      <x:c r="I99" s="9" t="str">
        <x:f>'Evaluation Plan'!I99</x:f>
        <x:v>Concept/compositional transfer</x:v>
      </x:c>
      <x:c r="J99" s="9" t="str">
        <x:f>'Evaluation Plan'!J99</x:f>
        <x:v>SZ-CT-SJ19</x:v>
      </x:c>
      <x:c r="K99" s="9" t="str">
        <x:f>'Evaluation Plan'!K99</x:f>
        <x:v>smallest</x:v>
      </x:c>
      <x:c r="L99" s="9" t="str">
        <x:f>'Evaluation Plan'!L99</x:f>
        <x:v>Held-out smallest × juggling ball — Pick up</x:v>
      </x:c>
      <x:c r="M99" s="9" t="str">
        <x:f>'Evaluation Plan'!M99</x:f>
        <x:v>juggling ball</x:v>
      </x:c>
      <x:c r="N99" s="9" t="str">
        <x:f>'Evaluation Plan'!N99</x:f>
        <x:v>Right</x:v>
      </x:c>
      <x:c r="O99" s="9" t="n">
        <x:f>'Evaluation Plan'!O99</x:f>
        <x:v>2</x:v>
      </x:c>
      <x:c r="P99" s="9" t="n">
        <x:f>IF(ISBLANK('Evaluation Plan'!P99),"",'Evaluation Plan'!P99)</x:f>
        <x:v>12</x:v>
      </x:c>
      <x:c r="Q99" s="9" t="str">
        <x:f>'Evaluation Plan'!Q99</x:f>
        <x:v>Build the listed two-object scene and save a first-frame filename.</x:v>
      </x:c>
      <x:c r="R99" s="10" t="str">
        <x:f>'Evaluation Plan'!R99</x:f>
        <x:v>Primary missing cell. Training episode 1123 contains the same target trajectory but masks the size word with a direct identity prompt.</x:v>
      </x:c>
      <x:c r="S99" s="10" t="str">
        <x:f>IF(ISBLANK('Evaluation Plan'!S99),"",'Evaluation Plan'!S99)</x:f>
      </x:c>
    </x:row>
    <x:row r="100" ht="68" customHeight="1">
      <x:c r="A100" s="9" t="str">
        <x:v>Not collected</x:v>
      </x:c>
      <x:c r="B100" s="9" t="n">
        <x:f>'Evaluation Plan'!B100</x:f>
        <x:v>98</x:v>
      </x:c>
      <x:c r="C100" s="10" t="str">
        <x:f>'Evaluation Plan'!C100</x:f>
        <x:v>Pick up the largest item and place it in the bowl.</x:v>
      </x:c>
      <x:c r="D100" s="10" t="str">
        <x:f>'Evaluation Plan'!D100</x:f>
        <x:v>Bowl: empty. Table, robot-left→robot-right: P1 red pencil sharpener; P2 green block. Adjacent centers 12 cm apart; row shifted 4 cm away from the robot; all objects fully visible and grasp paths clear.</x:v>
      </x:c>
      <x:c r="E100" s="9" t="str">
        <x:f>IF(ISBLANK('Evaluation Plan'!E100),"",'Evaluation Plan'!E100)</x:f>
      </x:c>
      <x:c r="F100" s="9" t="str">
        <x:f>'Evaluation Plan'!F100</x:f>
        <x:v>1099</x:v>
      </x:c>
      <x:c r="G100" s="9" t="str">
        <x:f>'Evaluation Plan'!G100</x:f>
        <x:v>MOVE green block to bowl</x:v>
      </x:c>
      <x:c r="H100" s="10"/>
      <x:c r="I100" s="9" t="str">
        <x:f>'Evaluation Plan'!I100</x:f>
        <x:v>Concept/compositional transfer</x:v>
      </x:c>
      <x:c r="J100" s="9" t="str">
        <x:f>'Evaluation Plan'!J100</x:f>
        <x:v>SZ-CT-LG20</x:v>
      </x:c>
      <x:c r="K100" s="9" t="str">
        <x:f>'Evaluation Plan'!K100</x:f>
        <x:v>largest</x:v>
      </x:c>
      <x:c r="L100" s="9" t="str">
        <x:f>'Evaluation Plan'!L100</x:f>
        <x:v>Held-out largest × green block — Pick up</x:v>
      </x:c>
      <x:c r="M100" s="9" t="str">
        <x:f>'Evaluation Plan'!M100</x:f>
        <x:v>green block</x:v>
      </x:c>
      <x:c r="N100" s="9" t="str">
        <x:f>'Evaluation Plan'!N100</x:f>
        <x:v>Right</x:v>
      </x:c>
      <x:c r="O100" s="9" t="n">
        <x:f>'Evaluation Plan'!O100</x:f>
        <x:v>2</x:v>
      </x:c>
      <x:c r="P100" s="9" t="n">
        <x:f>IF(ISBLANK('Evaluation Plan'!P100),"",'Evaluation Plan'!P100)</x:f>
        <x:v>12</x:v>
      </x:c>
      <x:c r="Q100" s="9" t="str">
        <x:f>'Evaluation Plan'!Q100</x:f>
        <x:v>Build the listed two-object scene and save a first-frame filename.</x:v>
      </x:c>
      <x:c r="R100" s="10" t="str">
        <x:f>'Evaluation Plan'!R100</x:f>
        <x:v>Primary missing cell. Training episode 1099 contains the same target trajectory but masks the size word with a direct identity prompt.</x:v>
      </x:c>
      <x:c r="S100" s="10" t="str">
        <x:f>IF(ISBLANK('Evaluation Plan'!S100),"",'Evaluation Plan'!S100)</x:f>
      </x:c>
    </x:row>
    <x:row r="101" ht="68" customHeight="1">
      <x:c r="A101" s="9" t="str">
        <x:v>Not collected</x:v>
      </x:c>
      <x:c r="B101" s="9" t="n">
        <x:f>'Evaluation Plan'!B101</x:f>
        <x:v>99</x:v>
      </x:c>
      <x:c r="C101" s="10" t="str">
        <x:f>'Evaluation Plan'!C101</x:f>
        <x:v>Put the smallest object in the bowl.</x:v>
      </x:c>
      <x:c r="D101" s="10" t="str">
        <x:f>'Evaluation Plan'!D101</x:f>
        <x:v>Bowl: empty. Table, robot-left→robot-right: P1 juggling ball; P2 crushed Pepsi can. Adjacent centers 16 cm apart; row shifted 4 cm toward robot-left; all objects fully visible and grasp paths clear.</x:v>
      </x:c>
      <x:c r="E101" s="9" t="str">
        <x:f>IF(ISBLANK('Evaluation Plan'!E101),"",'Evaluation Plan'!E101)</x:f>
      </x:c>
      <x:c r="F101" s="9" t="str">
        <x:f>'Evaluation Plan'!F101</x:f>
        <x:v>1124</x:v>
      </x:c>
      <x:c r="G101" s="9" t="str">
        <x:f>'Evaluation Plan'!G101</x:f>
        <x:v>MOVE juggling ball to bowl</x:v>
      </x:c>
      <x:c r="H101" s="10"/>
      <x:c r="I101" s="9" t="str">
        <x:f>'Evaluation Plan'!I101</x:f>
        <x:v>Concept/compositional transfer</x:v>
      </x:c>
      <x:c r="J101" s="9" t="str">
        <x:f>'Evaluation Plan'!J101</x:f>
        <x:v>SZ-CT-SJ20</x:v>
      </x:c>
      <x:c r="K101" s="9" t="str">
        <x:f>'Evaluation Plan'!K101</x:f>
        <x:v>smallest</x:v>
      </x:c>
      <x:c r="L101" s="9" t="str">
        <x:f>'Evaluation Plan'!L101</x:f>
        <x:v>Held-out smallest × juggling ball — Put</x:v>
      </x:c>
      <x:c r="M101" s="9" t="str">
        <x:f>'Evaluation Plan'!M101</x:f>
        <x:v>juggling ball</x:v>
      </x:c>
      <x:c r="N101" s="9" t="str">
        <x:f>'Evaluation Plan'!N101</x:f>
        <x:v>Left</x:v>
      </x:c>
      <x:c r="O101" s="9" t="n">
        <x:f>'Evaluation Plan'!O101</x:f>
        <x:v>2</x:v>
      </x:c>
      <x:c r="P101" s="9" t="n">
        <x:f>IF(ISBLANK('Evaluation Plan'!P101),"",'Evaluation Plan'!P101)</x:f>
        <x:v>16</x:v>
      </x:c>
      <x:c r="Q101" s="9" t="str">
        <x:f>'Evaluation Plan'!Q101</x:f>
        <x:v>Build the listed two-object scene and save a first-frame filename.</x:v>
      </x:c>
      <x:c r="R101" s="10" t="str">
        <x:f>'Evaluation Plan'!R101</x:f>
        <x:v>Primary missing cell. Training episode 1124 contains the same target trajectory but masks the size word with a direct identity prompt.</x:v>
      </x:c>
      <x:c r="S101" s="10" t="str">
        <x:f>IF(ISBLANK('Evaluation Plan'!S101),"",'Evaluation Plan'!S101)</x:f>
      </x:c>
    </x:row>
    <x:row r="102" ht="68" customHeight="1">
      <x:c r="A102" s="9" t="str">
        <x:v>Not collected</x:v>
      </x:c>
      <x:c r="B102" s="9" t="n">
        <x:f>'Evaluation Plan'!B102</x:f>
        <x:v>100</x:v>
      </x:c>
      <x:c r="C102" s="10" t="str">
        <x:f>'Evaluation Plan'!C102</x:f>
        <x:v>Put the largest object in the bowl.</x:v>
      </x:c>
      <x:c r="D102" s="10" t="str">
        <x:f>'Evaluation Plan'!D102</x:f>
        <x:v>Bowl: empty. Table, robot-left→robot-right: P1 green block; P2 red pencil sharpener. Adjacent centers 16 cm apart; row centered on the workspace; all objects fully visible and grasp paths clear.</x:v>
      </x:c>
      <x:c r="E102" s="9" t="str">
        <x:f>IF(ISBLANK('Evaluation Plan'!E102),"",'Evaluation Plan'!E102)</x:f>
      </x:c>
      <x:c r="F102" s="9" t="str">
        <x:f>'Evaluation Plan'!F102</x:f>
        <x:v>1080</x:v>
      </x:c>
      <x:c r="G102" s="9" t="str">
        <x:f>'Evaluation Plan'!G102</x:f>
        <x:v>MOVE green block to bowl</x:v>
      </x:c>
      <x:c r="H102" s="10"/>
      <x:c r="I102" s="9" t="str">
        <x:f>'Evaluation Plan'!I102</x:f>
        <x:v>Concept/compositional transfer</x:v>
      </x:c>
      <x:c r="J102" s="9" t="str">
        <x:f>'Evaluation Plan'!J102</x:f>
        <x:v>SZ-CT-LG21</x:v>
      </x:c>
      <x:c r="K102" s="9" t="str">
        <x:f>'Evaluation Plan'!K102</x:f>
        <x:v>largest</x:v>
      </x:c>
      <x:c r="L102" s="9" t="str">
        <x:f>'Evaluation Plan'!L102</x:f>
        <x:v>Held-out largest × green block — Put</x:v>
      </x:c>
      <x:c r="M102" s="9" t="str">
        <x:f>'Evaluation Plan'!M102</x:f>
        <x:v>green block</x:v>
      </x:c>
      <x:c r="N102" s="9" t="str">
        <x:f>'Evaluation Plan'!N102</x:f>
        <x:v>Left</x:v>
      </x:c>
      <x:c r="O102" s="9" t="n">
        <x:f>'Evaluation Plan'!O102</x:f>
        <x:v>2</x:v>
      </x:c>
      <x:c r="P102" s="9" t="n">
        <x:f>IF(ISBLANK('Evaluation Plan'!P102),"",'Evaluation Plan'!P102)</x:f>
        <x:v>16</x:v>
      </x:c>
      <x:c r="Q102" s="9" t="str">
        <x:f>'Evaluation Plan'!Q102</x:f>
        <x:v>Build the listed two-object scene and save a first-frame filename.</x:v>
      </x:c>
      <x:c r="R102" s="10" t="str">
        <x:f>'Evaluation Plan'!R102</x:f>
        <x:v>Primary missing cell. Training episode 1080 contains the same target trajectory but masks the size word with a direct identity prompt.</x:v>
      </x:c>
      <x:c r="S102" s="10" t="str">
        <x:f>IF(ISBLANK('Evaluation Plan'!S102),"",'Evaluation Plan'!S102)</x:f>
      </x:c>
    </x:row>
    <x:row r="103" ht="68" customHeight="1">
      <x:c r="A103" s="9" t="str">
        <x:v>Not collected</x:v>
      </x:c>
      <x:c r="B103" s="9" t="n">
        <x:f>'Evaluation Plan'!B103</x:f>
        <x:v>101</x:v>
      </x:c>
      <x:c r="C103" s="10" t="str">
        <x:f>'Evaluation Plan'!C103</x:f>
        <x:v>Move the object that is smallest into the bowl.</x:v>
      </x:c>
      <x:c r="D103" s="10" t="str">
        <x:f>'Evaluation Plan'!D103</x:f>
        <x:v>Bowl: empty. Table, robot-left→robot-right: P1 crushed Pepsi can; P2 juggling ball. Adjacent centers 8 cm apart; row shifted 4 cm toward robot-right; all objects fully visible and grasp paths clear.</x:v>
      </x:c>
      <x:c r="E103" s="9" t="str">
        <x:f>IF(ISBLANK('Evaluation Plan'!E103),"",'Evaluation Plan'!E103)</x:f>
      </x:c>
      <x:c r="F103" s="9" t="str">
        <x:f>'Evaluation Plan'!F103</x:f>
        <x:v>1105</x:v>
      </x:c>
      <x:c r="G103" s="9" t="str">
        <x:f>'Evaluation Plan'!G103</x:f>
        <x:v>MOVE juggling ball to bowl</x:v>
      </x:c>
      <x:c r="H103" s="10"/>
      <x:c r="I103" s="9" t="str">
        <x:f>'Evaluation Plan'!I103</x:f>
        <x:v>Concept/compositional transfer</x:v>
      </x:c>
      <x:c r="J103" s="9" t="str">
        <x:f>'Evaluation Plan'!J103</x:f>
        <x:v>SZ-CT-SJ21</x:v>
      </x:c>
      <x:c r="K103" s="9" t="str">
        <x:f>'Evaluation Plan'!K103</x:f>
        <x:v>smallest</x:v>
      </x:c>
      <x:c r="L103" s="9" t="str">
        <x:f>'Evaluation Plan'!L103</x:f>
        <x:v>Held-out smallest × juggling ball — Move</x:v>
      </x:c>
      <x:c r="M103" s="9" t="str">
        <x:f>'Evaluation Plan'!M103</x:f>
        <x:v>juggling ball</x:v>
      </x:c>
      <x:c r="N103" s="9" t="str">
        <x:f>'Evaluation Plan'!N103</x:f>
        <x:v>Right</x:v>
      </x:c>
      <x:c r="O103" s="9" t="n">
        <x:f>'Evaluation Plan'!O103</x:f>
        <x:v>2</x:v>
      </x:c>
      <x:c r="P103" s="9" t="n">
        <x:f>IF(ISBLANK('Evaluation Plan'!P103),"",'Evaluation Plan'!P103)</x:f>
        <x:v>8</x:v>
      </x:c>
      <x:c r="Q103" s="9" t="str">
        <x:f>'Evaluation Plan'!Q103</x:f>
        <x:v>Build the listed two-object scene and save a first-frame filename.</x:v>
      </x:c>
      <x:c r="R103" s="10" t="str">
        <x:f>'Evaluation Plan'!R103</x:f>
        <x:v>Primary missing cell. Training episode 1105 contains the same target trajectory but masks the size word with a direct identity prompt.</x:v>
      </x:c>
      <x:c r="S103" s="10" t="str">
        <x:f>IF(ISBLANK('Evaluation Plan'!S103),"",'Evaluation Plan'!S103)</x:f>
      </x:c>
    </x:row>
    <x:row r="104" ht="68" customHeight="1">
      <x:c r="A104" s="9" t="str">
        <x:v>Not collected</x:v>
      </x:c>
      <x:c r="B104" s="9" t="n">
        <x:f>'Evaluation Plan'!B104</x:f>
        <x:v>102</x:v>
      </x:c>
      <x:c r="C104" s="10" t="str">
        <x:f>'Evaluation Plan'!C104</x:f>
        <x:v>Move the object that is largest into the bowl.</x:v>
      </x:c>
      <x:c r="D104" s="10" t="str">
        <x:f>'Evaluation Plan'!D104</x:f>
        <x:v>Bowl: empty. Table, robot-left→robot-right: P1 red pencil sharpener; P2 green block. Adjacent centers 8 cm apart; row shifted 4 cm toward robot-left; all objects fully visible and grasp paths clear.</x:v>
      </x:c>
      <x:c r="E104" s="9" t="str">
        <x:f>IF(ISBLANK('Evaluation Plan'!E104),"",'Evaluation Plan'!E104)</x:f>
      </x:c>
      <x:c r="F104" s="9" t="str">
        <x:f>'Evaluation Plan'!F104</x:f>
        <x:v>1081</x:v>
      </x:c>
      <x:c r="G104" s="9" t="str">
        <x:f>'Evaluation Plan'!G104</x:f>
        <x:v>MOVE green block to bowl</x:v>
      </x:c>
      <x:c r="H104" s="10"/>
      <x:c r="I104" s="9" t="str">
        <x:f>'Evaluation Plan'!I104</x:f>
        <x:v>Concept/compositional transfer</x:v>
      </x:c>
      <x:c r="J104" s="9" t="str">
        <x:f>'Evaluation Plan'!J104</x:f>
        <x:v>SZ-CT-LG22</x:v>
      </x:c>
      <x:c r="K104" s="9" t="str">
        <x:f>'Evaluation Plan'!K104</x:f>
        <x:v>largest</x:v>
      </x:c>
      <x:c r="L104" s="9" t="str">
        <x:f>'Evaluation Plan'!L104</x:f>
        <x:v>Held-out largest × green block — Move</x:v>
      </x:c>
      <x:c r="M104" s="9" t="str">
        <x:f>'Evaluation Plan'!M104</x:f>
        <x:v>green block</x:v>
      </x:c>
      <x:c r="N104" s="9" t="str">
        <x:f>'Evaluation Plan'!N104</x:f>
        <x:v>Right</x:v>
      </x:c>
      <x:c r="O104" s="9" t="n">
        <x:f>'Evaluation Plan'!O104</x:f>
        <x:v>2</x:v>
      </x:c>
      <x:c r="P104" s="9" t="n">
        <x:f>IF(ISBLANK('Evaluation Plan'!P104),"",'Evaluation Plan'!P104)</x:f>
        <x:v>8</x:v>
      </x:c>
      <x:c r="Q104" s="9" t="str">
        <x:f>'Evaluation Plan'!Q104</x:f>
        <x:v>Build the listed two-object scene and save a first-frame filename.</x:v>
      </x:c>
      <x:c r="R104" s="10" t="str">
        <x:f>'Evaluation Plan'!R104</x:f>
        <x:v>Primary missing cell. Training episode 1081 contains the same target trajectory but masks the size word with a direct identity prompt.</x:v>
      </x:c>
      <x:c r="S104" s="10" t="str">
        <x:f>IF(ISBLANK('Evaluation Plan'!S104),"",'Evaluation Plan'!S104)</x:f>
      </x:c>
    </x:row>
    <x:row r="105" ht="68" customHeight="1">
      <x:c r="A105" s="9" t="str">
        <x:v>Not collected</x:v>
      </x:c>
      <x:c r="B105" s="9" t="n">
        <x:f>'Evaluation Plan'!B105</x:f>
        <x:v>103</x:v>
      </x:c>
      <x:c r="C105" s="10" t="str">
        <x:f>'Evaluation Plan'!C105</x:f>
        <x:v>Pick up the smallest item and place it in the bowl.</x:v>
      </x:c>
      <x:c r="D105" s="10" t="str">
        <x:f>'Evaluation Plan'!D105</x:f>
        <x:v>Bowl: empty. Table, robot-left→robot-right: P1 juggling ball; P2 crushed Pepsi can. Adjacent centers 12 cm apart; row shifted 4 cm toward the robot; all objects fully visible and grasp paths clear.</x:v>
      </x:c>
      <x:c r="E105" s="9" t="str">
        <x:f>IF(ISBLANK('Evaluation Plan'!E105),"",'Evaluation Plan'!E105)</x:f>
      </x:c>
      <x:c r="F105" s="9" t="str">
        <x:f>'Evaluation Plan'!F105</x:f>
        <x:v>1106</x:v>
      </x:c>
      <x:c r="G105" s="9" t="str">
        <x:f>'Evaluation Plan'!G105</x:f>
        <x:v>MOVE juggling ball to bowl</x:v>
      </x:c>
      <x:c r="H105" s="10"/>
      <x:c r="I105" s="9" t="str">
        <x:f>'Evaluation Plan'!I105</x:f>
        <x:v>Concept/compositional transfer</x:v>
      </x:c>
      <x:c r="J105" s="9" t="str">
        <x:f>'Evaluation Plan'!J105</x:f>
        <x:v>SZ-CT-SJ22</x:v>
      </x:c>
      <x:c r="K105" s="9" t="str">
        <x:f>'Evaluation Plan'!K105</x:f>
        <x:v>smallest</x:v>
      </x:c>
      <x:c r="L105" s="9" t="str">
        <x:f>'Evaluation Plan'!L105</x:f>
        <x:v>Held-out smallest × juggling ball — Pick up</x:v>
      </x:c>
      <x:c r="M105" s="9" t="str">
        <x:f>'Evaluation Plan'!M105</x:f>
        <x:v>juggling ball</x:v>
      </x:c>
      <x:c r="N105" s="9" t="str">
        <x:f>'Evaluation Plan'!N105</x:f>
        <x:v>Left</x:v>
      </x:c>
      <x:c r="O105" s="9" t="n">
        <x:f>'Evaluation Plan'!O105</x:f>
        <x:v>2</x:v>
      </x:c>
      <x:c r="P105" s="9" t="n">
        <x:f>IF(ISBLANK('Evaluation Plan'!P105),"",'Evaluation Plan'!P105)</x:f>
        <x:v>12</x:v>
      </x:c>
      <x:c r="Q105" s="9" t="str">
        <x:f>'Evaluation Plan'!Q105</x:f>
        <x:v>Build the listed two-object scene and save a first-frame filename.</x:v>
      </x:c>
      <x:c r="R105" s="10" t="str">
        <x:f>'Evaluation Plan'!R105</x:f>
        <x:v>Primary missing cell. Training episode 1106 contains the same target trajectory but masks the size word with a direct identity prompt.</x:v>
      </x:c>
      <x:c r="S105" s="10" t="str">
        <x:f>IF(ISBLANK('Evaluation Plan'!S105),"",'Evaluation Plan'!S105)</x:f>
      </x:c>
    </x:row>
    <x:row r="106" ht="68" customHeight="1">
      <x:c r="A106" s="9" t="str">
        <x:v>Not collected</x:v>
      </x:c>
      <x:c r="B106" s="9" t="n">
        <x:f>'Evaluation Plan'!B106</x:f>
        <x:v>104</x:v>
      </x:c>
      <x:c r="C106" s="10" t="str">
        <x:f>'Evaluation Plan'!C106</x:f>
        <x:v>Pick up the largest item and place it in the bowl.</x:v>
      </x:c>
      <x:c r="D106" s="10" t="str">
        <x:f>'Evaluation Plan'!D106</x:f>
        <x:v>Bowl: empty. Table, robot-left→robot-right: P1 green block; P2 red pencil sharpener. Adjacent centers 12 cm apart; row shifted 4 cm toward robot-right; all objects fully visible and grasp paths clear.</x:v>
      </x:c>
      <x:c r="E106" s="9" t="str">
        <x:f>IF(ISBLANK('Evaluation Plan'!E106),"",'Evaluation Plan'!E106)</x:f>
      </x:c>
      <x:c r="F106" s="9" t="str">
        <x:f>'Evaluation Plan'!F106</x:f>
        <x:v>1082</x:v>
      </x:c>
      <x:c r="G106" s="9" t="str">
        <x:f>'Evaluation Plan'!G106</x:f>
        <x:v>MOVE green block to bowl</x:v>
      </x:c>
      <x:c r="H106" s="10"/>
      <x:c r="I106" s="9" t="str">
        <x:f>'Evaluation Plan'!I106</x:f>
        <x:v>Concept/compositional transfer</x:v>
      </x:c>
      <x:c r="J106" s="9" t="str">
        <x:f>'Evaluation Plan'!J106</x:f>
        <x:v>SZ-CT-LG23</x:v>
      </x:c>
      <x:c r="K106" s="9" t="str">
        <x:f>'Evaluation Plan'!K106</x:f>
        <x:v>largest</x:v>
      </x:c>
      <x:c r="L106" s="9" t="str">
        <x:f>'Evaluation Plan'!L106</x:f>
        <x:v>Held-out largest × green block — Pick up</x:v>
      </x:c>
      <x:c r="M106" s="9" t="str">
        <x:f>'Evaluation Plan'!M106</x:f>
        <x:v>green block</x:v>
      </x:c>
      <x:c r="N106" s="9" t="str">
        <x:f>'Evaluation Plan'!N106</x:f>
        <x:v>Left</x:v>
      </x:c>
      <x:c r="O106" s="9" t="n">
        <x:f>'Evaluation Plan'!O106</x:f>
        <x:v>2</x:v>
      </x:c>
      <x:c r="P106" s="9" t="n">
        <x:f>IF(ISBLANK('Evaluation Plan'!P106),"",'Evaluation Plan'!P106)</x:f>
        <x:v>12</x:v>
      </x:c>
      <x:c r="Q106" s="9" t="str">
        <x:f>'Evaluation Plan'!Q106</x:f>
        <x:v>Build the listed two-object scene and save a first-frame filename.</x:v>
      </x:c>
      <x:c r="R106" s="10" t="str">
        <x:f>'Evaluation Plan'!R106</x:f>
        <x:v>Primary missing cell. Training episode 1082 contains the same target trajectory but masks the size word with a direct identity prompt.</x:v>
      </x:c>
      <x:c r="S106" s="10" t="str">
        <x:f>IF(ISBLANK('Evaluation Plan'!S106),"",'Evaluation Plan'!S106)</x:f>
      </x:c>
    </x:row>
    <x:row r="107" ht="68" customHeight="1">
      <x:c r="A107" s="9" t="str">
        <x:v>Not collected</x:v>
      </x:c>
      <x:c r="B107" s="9" t="n">
        <x:f>'Evaluation Plan'!B107</x:f>
        <x:v>105</x:v>
      </x:c>
      <x:c r="C107" s="10" t="str">
        <x:f>'Evaluation Plan'!C107</x:f>
        <x:v>Put the smallest object in the bowl.</x:v>
      </x:c>
      <x:c r="D107" s="10" t="str">
        <x:f>'Evaluation Plan'!D107</x:f>
        <x:v>Bowl: empty. Table, robot-left→robot-right: P1 crushed Pepsi can; P2 juggling ball. Adjacent centers 16 cm apart; row shifted 4 cm away from the robot; all objects fully visible and grasp paths clear.</x:v>
      </x:c>
      <x:c r="E107" s="9" t="str">
        <x:f>IF(ISBLANK('Evaluation Plan'!E107),"",'Evaluation Plan'!E107)</x:f>
      </x:c>
      <x:c r="F107" s="9" t="str">
        <x:f>'Evaluation Plan'!F107</x:f>
        <x:v>1107</x:v>
      </x:c>
      <x:c r="G107" s="9" t="str">
        <x:f>'Evaluation Plan'!G107</x:f>
        <x:v>MOVE juggling ball to bowl</x:v>
      </x:c>
      <x:c r="H107" s="10"/>
      <x:c r="I107" s="9" t="str">
        <x:f>'Evaluation Plan'!I107</x:f>
        <x:v>Concept/compositional transfer</x:v>
      </x:c>
      <x:c r="J107" s="9" t="str">
        <x:f>'Evaluation Plan'!J107</x:f>
        <x:v>SZ-CT-SJ23</x:v>
      </x:c>
      <x:c r="K107" s="9" t="str">
        <x:f>'Evaluation Plan'!K107</x:f>
        <x:v>smallest</x:v>
      </x:c>
      <x:c r="L107" s="9" t="str">
        <x:f>'Evaluation Plan'!L107</x:f>
        <x:v>Held-out smallest × juggling ball — Put</x:v>
      </x:c>
      <x:c r="M107" s="9" t="str">
        <x:f>'Evaluation Plan'!M107</x:f>
        <x:v>juggling ball</x:v>
      </x:c>
      <x:c r="N107" s="9" t="str">
        <x:f>'Evaluation Plan'!N107</x:f>
        <x:v>Right</x:v>
      </x:c>
      <x:c r="O107" s="9" t="n">
        <x:f>'Evaluation Plan'!O107</x:f>
        <x:v>2</x:v>
      </x:c>
      <x:c r="P107" s="9" t="n">
        <x:f>IF(ISBLANK('Evaluation Plan'!P107),"",'Evaluation Plan'!P107)</x:f>
        <x:v>16</x:v>
      </x:c>
      <x:c r="Q107" s="9" t="str">
        <x:f>'Evaluation Plan'!Q107</x:f>
        <x:v>Build the listed two-object scene and save a first-frame filename.</x:v>
      </x:c>
      <x:c r="R107" s="10" t="str">
        <x:f>'Evaluation Plan'!R107</x:f>
        <x:v>Primary missing cell. Training episode 1107 contains the same target trajectory but masks the size word with a direct identity prompt.</x:v>
      </x:c>
      <x:c r="S107" s="10" t="str">
        <x:f>IF(ISBLANK('Evaluation Plan'!S107),"",'Evaluation Plan'!S107)</x:f>
      </x:c>
    </x:row>
    <x:row r="108" ht="68" customHeight="1">
      <x:c r="A108" s="9" t="str">
        <x:v>Not collected</x:v>
      </x:c>
      <x:c r="B108" s="9" t="n">
        <x:f>'Evaluation Plan'!B108</x:f>
        <x:v>106</x:v>
      </x:c>
      <x:c r="C108" s="10" t="str">
        <x:f>'Evaluation Plan'!C108</x:f>
        <x:v>Put the largest object in the bowl.</x:v>
      </x:c>
      <x:c r="D108" s="10" t="str">
        <x:f>'Evaluation Plan'!D108</x:f>
        <x:v>Bowl: empty. Table, robot-left→robot-right: P1 red pencil sharpener; P2 green block. Adjacent centers 16 cm apart; row shifted 4 cm toward the robot; all objects fully visible and grasp paths clear.</x:v>
      </x:c>
      <x:c r="E108" s="9" t="str">
        <x:f>IF(ISBLANK('Evaluation Plan'!E108),"",'Evaluation Plan'!E108)</x:f>
      </x:c>
      <x:c r="F108" s="9" t="str">
        <x:f>'Evaluation Plan'!F108</x:f>
        <x:v>1083</x:v>
      </x:c>
      <x:c r="G108" s="9" t="str">
        <x:f>'Evaluation Plan'!G108</x:f>
        <x:v>MOVE green block to bowl</x:v>
      </x:c>
      <x:c r="H108" s="10"/>
      <x:c r="I108" s="9" t="str">
        <x:f>'Evaluation Plan'!I108</x:f>
        <x:v>Concept/compositional transfer</x:v>
      </x:c>
      <x:c r="J108" s="9" t="str">
        <x:f>'Evaluation Plan'!J108</x:f>
        <x:v>SZ-CT-LG24</x:v>
      </x:c>
      <x:c r="K108" s="9" t="str">
        <x:f>'Evaluation Plan'!K108</x:f>
        <x:v>largest</x:v>
      </x:c>
      <x:c r="L108" s="9" t="str">
        <x:f>'Evaluation Plan'!L108</x:f>
        <x:v>Held-out largest × green block — Put</x:v>
      </x:c>
      <x:c r="M108" s="9" t="str">
        <x:f>'Evaluation Plan'!M108</x:f>
        <x:v>green block</x:v>
      </x:c>
      <x:c r="N108" s="9" t="str">
        <x:f>'Evaluation Plan'!N108</x:f>
        <x:v>Right</x:v>
      </x:c>
      <x:c r="O108" s="9" t="n">
        <x:f>'Evaluation Plan'!O108</x:f>
        <x:v>2</x:v>
      </x:c>
      <x:c r="P108" s="9" t="n">
        <x:f>IF(ISBLANK('Evaluation Plan'!P108),"",'Evaluation Plan'!P108)</x:f>
        <x:v>16</x:v>
      </x:c>
      <x:c r="Q108" s="9" t="str">
        <x:f>'Evaluation Plan'!Q108</x:f>
        <x:v>Build the listed two-object scene and save a first-frame filename.</x:v>
      </x:c>
      <x:c r="R108" s="10" t="str">
        <x:f>'Evaluation Plan'!R108</x:f>
        <x:v>Primary missing cell. Training episode 1083 contains the same target trajectory but masks the size word with a direct identity prompt.</x:v>
      </x:c>
      <x:c r="S108" s="10" t="str">
        <x:f>IF(ISBLANK('Evaluation Plan'!S108),"",'Evaluation Plan'!S108)</x:f>
      </x:c>
    </x:row>
    <x:row r="109" ht="68" customHeight="1">
      <x:c r="A109" s="9" t="str">
        <x:v>Not collected</x:v>
      </x:c>
      <x:c r="B109" s="9" t="n">
        <x:f>'Evaluation Plan'!B109</x:f>
        <x:v>107</x:v>
      </x:c>
      <x:c r="C109" s="10" t="str">
        <x:f>'Evaluation Plan'!C109</x:f>
        <x:v>Move the object that is smallest into the bowl.</x:v>
      </x:c>
      <x:c r="D109" s="10" t="str">
        <x:f>'Evaluation Plan'!D109</x:f>
        <x:v>Bowl: empty. Table, robot-left→robot-right: P1 juggling ball; P2 crushed Pepsi can. Adjacent centers 8 cm apart; row centered on the workspace; all objects fully visible and grasp paths clear.</x:v>
      </x:c>
      <x:c r="E109" s="9" t="str">
        <x:f>IF(ISBLANK('Evaluation Plan'!E109),"",'Evaluation Plan'!E109)</x:f>
      </x:c>
      <x:c r="F109" s="9" t="str">
        <x:f>'Evaluation Plan'!F109</x:f>
        <x:v>1108</x:v>
      </x:c>
      <x:c r="G109" s="9" t="str">
        <x:f>'Evaluation Plan'!G109</x:f>
        <x:v>MOVE juggling ball to bowl</x:v>
      </x:c>
      <x:c r="H109" s="10"/>
      <x:c r="I109" s="9" t="str">
        <x:f>'Evaluation Plan'!I109</x:f>
        <x:v>Concept/compositional transfer</x:v>
      </x:c>
      <x:c r="J109" s="9" t="str">
        <x:f>'Evaluation Plan'!J109</x:f>
        <x:v>SZ-CT-SJ24</x:v>
      </x:c>
      <x:c r="K109" s="9" t="str">
        <x:f>'Evaluation Plan'!K109</x:f>
        <x:v>smallest</x:v>
      </x:c>
      <x:c r="L109" s="9" t="str">
        <x:f>'Evaluation Plan'!L109</x:f>
        <x:v>Held-out smallest × juggling ball — Move</x:v>
      </x:c>
      <x:c r="M109" s="9" t="str">
        <x:f>'Evaluation Plan'!M109</x:f>
        <x:v>juggling ball</x:v>
      </x:c>
      <x:c r="N109" s="9" t="str">
        <x:f>'Evaluation Plan'!N109</x:f>
        <x:v>Left</x:v>
      </x:c>
      <x:c r="O109" s="9" t="n">
        <x:f>'Evaluation Plan'!O109</x:f>
        <x:v>2</x:v>
      </x:c>
      <x:c r="P109" s="9" t="n">
        <x:f>IF(ISBLANK('Evaluation Plan'!P109),"",'Evaluation Plan'!P109)</x:f>
        <x:v>8</x:v>
      </x:c>
      <x:c r="Q109" s="9" t="str">
        <x:f>'Evaluation Plan'!Q109</x:f>
        <x:v>Build the listed two-object scene and save a first-frame filename.</x:v>
      </x:c>
      <x:c r="R109" s="10" t="str">
        <x:f>'Evaluation Plan'!R109</x:f>
        <x:v>Primary missing cell. Training episode 1108 contains the same target trajectory but masks the size word with a direct identity prompt.</x:v>
      </x:c>
      <x:c r="S109" s="10" t="str">
        <x:f>IF(ISBLANK('Evaluation Plan'!S109),"",'Evaluation Plan'!S109)</x:f>
      </x:c>
    </x:row>
    <x:row r="110" ht="68" customHeight="1">
      <x:c r="A110" s="9" t="str">
        <x:v>Not collected</x:v>
      </x:c>
      <x:c r="B110" s="9" t="n">
        <x:f>'Evaluation Plan'!B110</x:f>
        <x:v>108</x:v>
      </x:c>
      <x:c r="C110" s="10" t="str">
        <x:f>'Evaluation Plan'!C110</x:f>
        <x:v>Move the object that is largest into the bowl.</x:v>
      </x:c>
      <x:c r="D110" s="10" t="str">
        <x:f>'Evaluation Plan'!D110</x:f>
        <x:v>Bowl: empty. Table, robot-left→robot-right: P1 green block; P2 red pencil sharpener. Adjacent centers 8 cm apart; row shifted 4 cm away from the robot; all objects fully visible and grasp paths clear.</x:v>
      </x:c>
      <x:c r="E110" s="9" t="str">
        <x:f>IF(ISBLANK('Evaluation Plan'!E110),"",'Evaluation Plan'!E110)</x:f>
      </x:c>
      <x:c r="F110" s="9" t="str">
        <x:f>'Evaluation Plan'!F110</x:f>
        <x:v>1084</x:v>
      </x:c>
      <x:c r="G110" s="9" t="str">
        <x:f>'Evaluation Plan'!G110</x:f>
        <x:v>MOVE green block to bowl</x:v>
      </x:c>
      <x:c r="H110" s="10"/>
      <x:c r="I110" s="9" t="str">
        <x:f>'Evaluation Plan'!I110</x:f>
        <x:v>Concept/compositional transfer</x:v>
      </x:c>
      <x:c r="J110" s="9" t="str">
        <x:f>'Evaluation Plan'!J110</x:f>
        <x:v>SZ-CT-LG25</x:v>
      </x:c>
      <x:c r="K110" s="9" t="str">
        <x:f>'Evaluation Plan'!K110</x:f>
        <x:v>largest</x:v>
      </x:c>
      <x:c r="L110" s="9" t="str">
        <x:f>'Evaluation Plan'!L110</x:f>
        <x:v>Held-out largest × green block — Move</x:v>
      </x:c>
      <x:c r="M110" s="9" t="str">
        <x:f>'Evaluation Plan'!M110</x:f>
        <x:v>green block</x:v>
      </x:c>
      <x:c r="N110" s="9" t="str">
        <x:f>'Evaluation Plan'!N110</x:f>
        <x:v>Left</x:v>
      </x:c>
      <x:c r="O110" s="9" t="n">
        <x:f>'Evaluation Plan'!O110</x:f>
        <x:v>2</x:v>
      </x:c>
      <x:c r="P110" s="9" t="n">
        <x:f>IF(ISBLANK('Evaluation Plan'!P110),"",'Evaluation Plan'!P110)</x:f>
        <x:v>8</x:v>
      </x:c>
      <x:c r="Q110" s="9" t="str">
        <x:f>'Evaluation Plan'!Q110</x:f>
        <x:v>Build the listed two-object scene and save a first-frame filename.</x:v>
      </x:c>
      <x:c r="R110" s="10" t="str">
        <x:f>'Evaluation Plan'!R110</x:f>
        <x:v>Primary missing cell. Training episode 1084 contains the same target trajectory but masks the size word with a direct identity prompt.</x:v>
      </x:c>
      <x:c r="S110" s="10" t="str">
        <x:f>IF(ISBLANK('Evaluation Plan'!S110),"",'Evaluation Plan'!S110)</x:f>
      </x:c>
    </x:row>
    <x:row r="111" ht="68" customHeight="1">
      <x:c r="A111" s="9" t="str">
        <x:v>Not collected</x:v>
      </x:c>
      <x:c r="B111" s="9" t="n">
        <x:f>'Evaluation Plan'!B111</x:f>
        <x:v>109</x:v>
      </x:c>
      <x:c r="C111" s="10" t="str">
        <x:f>'Evaluation Plan'!C111</x:f>
        <x:v>Pick up the smallest item and place it in the bowl.</x:v>
      </x:c>
      <x:c r="D111" s="10" t="str">
        <x:f>'Evaluation Plan'!D111</x:f>
        <x:v>Bowl: empty. Table, robot-left→robot-right: P1 crushed Pepsi can; P2 juggling ball. Adjacent centers 12 cm apart; row shifted 4 cm toward robot-left; all objects fully visible and grasp paths clear.</x:v>
      </x:c>
      <x:c r="E111" s="9" t="str">
        <x:f>IF(ISBLANK('Evaluation Plan'!E111),"",'Evaluation Plan'!E111)</x:f>
      </x:c>
      <x:c r="F111" s="9" t="str">
        <x:f>'Evaluation Plan'!F111</x:f>
        <x:v>1109</x:v>
      </x:c>
      <x:c r="G111" s="9" t="str">
        <x:f>'Evaluation Plan'!G111</x:f>
        <x:v>MOVE juggling ball to bowl</x:v>
      </x:c>
      <x:c r="H111" s="10"/>
      <x:c r="I111" s="9" t="str">
        <x:f>'Evaluation Plan'!I111</x:f>
        <x:v>Concept/compositional transfer</x:v>
      </x:c>
      <x:c r="J111" s="9" t="str">
        <x:f>'Evaluation Plan'!J111</x:f>
        <x:v>SZ-CT-SJ25</x:v>
      </x:c>
      <x:c r="K111" s="9" t="str">
        <x:f>'Evaluation Plan'!K111</x:f>
        <x:v>smallest</x:v>
      </x:c>
      <x:c r="L111" s="9" t="str">
        <x:f>'Evaluation Plan'!L111</x:f>
        <x:v>Held-out smallest × juggling ball — Pick up</x:v>
      </x:c>
      <x:c r="M111" s="9" t="str">
        <x:f>'Evaluation Plan'!M111</x:f>
        <x:v>juggling ball</x:v>
      </x:c>
      <x:c r="N111" s="9" t="str">
        <x:f>'Evaluation Plan'!N111</x:f>
        <x:v>Right</x:v>
      </x:c>
      <x:c r="O111" s="9" t="n">
        <x:f>'Evaluation Plan'!O111</x:f>
        <x:v>2</x:v>
      </x:c>
      <x:c r="P111" s="9" t="n">
        <x:f>IF(ISBLANK('Evaluation Plan'!P111),"",'Evaluation Plan'!P111)</x:f>
        <x:v>12</x:v>
      </x:c>
      <x:c r="Q111" s="9" t="str">
        <x:f>'Evaluation Plan'!Q111</x:f>
        <x:v>Build the listed two-object scene and save a first-frame filename.</x:v>
      </x:c>
      <x:c r="R111" s="10" t="str">
        <x:f>'Evaluation Plan'!R111</x:f>
        <x:v>Primary missing cell. Training episode 1109 contains the same target trajectory but masks the size word with a direct identity prompt.</x:v>
      </x:c>
      <x:c r="S111" s="10" t="str">
        <x:f>IF(ISBLANK('Evaluation Plan'!S111),"",'Evaluation Plan'!S111)</x:f>
      </x:c>
    </x:row>
    <x:row r="112" ht="68" customHeight="1">
      <x:c r="A112" s="9" t="str">
        <x:v>Not collected</x:v>
      </x:c>
      <x:c r="B112" s="9" t="n">
        <x:f>'Evaluation Plan'!B112</x:f>
        <x:v>110</x:v>
      </x:c>
      <x:c r="C112" s="10" t="str">
        <x:f>'Evaluation Plan'!C112</x:f>
        <x:v>Move the object that is largest into the bowl.</x:v>
      </x:c>
      <x:c r="D112" s="10" t="str">
        <x:f>'Evaluation Plan'!D112</x:f>
        <x:v>Bowl: empty. Table, robot-left→robot-right: P1 airplane toy with propellers; P2 red pencil sharpener. Adjacent centers 8 cm apart; row centered on the workspace; all objects fully visible and grasp paths clear.</x:v>
      </x:c>
      <x:c r="E112" s="9" t="str">
        <x:f>IF(ISBLANK('Evaluation Plan'!E112),"",'Evaluation Plan'!E112)</x:f>
      </x:c>
      <x:c r="F112" s="9" t="str">
        <x:f>'Evaluation Plan'!F112</x:f>
        <x:v>airplane exposure 550</x:v>
      </x:c>
      <x:c r="G112" s="9" t="str">
        <x:f>'Evaluation Plan'!G112</x:f>
        <x:v>MOVE airplane toy with propellers to bowl</x:v>
      </x:c>
      <x:c r="H112" s="10"/>
      <x:c r="I112" s="9" t="str">
        <x:f>'Evaluation Plan'!I112</x:f>
        <x:v>Cross-task airplane reasoning</x:v>
      </x:c>
      <x:c r="J112" s="9" t="str">
        <x:f>'Evaluation Plan'!J112</x:f>
        <x:v>SZ-XA01</x:v>
      </x:c>
      <x:c r="K112" s="9" t="str">
        <x:f>'Evaluation Plan'!K112</x:f>
        <x:v>largest</x:v>
      </x:c>
      <x:c r="L112" s="9" t="str">
        <x:f>'Evaluation Plan'!L112</x:f>
        <x:v>Airplane is largest</x:v>
      </x:c>
      <x:c r="M112" s="9" t="str">
        <x:f>'Evaluation Plan'!M112</x:f>
        <x:v>airplane toy with propellers</x:v>
      </x:c>
      <x:c r="N112" s="9" t="str">
        <x:f>'Evaluation Plan'!N112</x:f>
        <x:v>Left</x:v>
      </x:c>
      <x:c r="O112" s="9" t="n">
        <x:f>'Evaluation Plan'!O112</x:f>
        <x:v>2</x:v>
      </x:c>
      <x:c r="P112" s="9" t="n">
        <x:f>IF(ISBLANK('Evaluation Plan'!P112),"",'Evaluation Plan'!P112)</x:f>
        <x:v>8</x:v>
      </x:c>
      <x:c r="Q112" s="9" t="str">
        <x:f>'Evaluation Plan'!Q112</x:f>
        <x:v>Build the listed airplane scene and save a first-frame filename.</x:v>
      </x:c>
      <x:c r="R112" s="10" t="str">
        <x:f>'Evaluation Plan'!R112</x:f>
        <x:v>The airplane is larger than the red pencil sharpener. It is known globally but never received size language in training.</x:v>
      </x:c>
      <x:c r="S112" s="10" t="str">
        <x:f>IF(ISBLANK('Evaluation Plan'!S112),"",'Evaluation Plan'!S112)</x:f>
      </x:c>
    </x:row>
    <x:row r="113" ht="68" customHeight="1">
      <x:c r="A113" s="8" t="str">
        <x:v>Not collected</x:v>
      </x:c>
      <x:c r="B113" s="8" t="n">
        <x:f>'Evaluation Plan'!B113</x:f>
        <x:v>111</x:v>
      </x:c>
      <x:c r="C113" s="7" t="str">
        <x:f>'Evaluation Plan'!C113</x:f>
        <x:v>Put the smallest object in the bowl.</x:v>
      </x:c>
      <x:c r="D113" s="7" t="str">
        <x:f>'Evaluation Plan'!D113</x:f>
        <x:v>Bowl: empty. Table, robot-left→robot-right: P1 airplane toy with propellers; P2 red pencil sharpener. Adjacent centers 8 cm apart; row centered on the workspace; all objects fully visible and grasp paths clear.</x:v>
      </x:c>
      <x:c r="E113" s="8" t="n">
        <x:f>IF(ISBLANK('Evaluation Plan'!E113),"",'Evaluation Plan'!E113)</x:f>
        <x:v>110</x:v>
      </x:c>
      <x:c r="F113" s="8" t="str">
        <x:f>'Evaluation Plan'!F113</x:f>
        <x:v>1005; airplane exposure 550</x:v>
      </x:c>
      <x:c r="G113" s="8" t="str">
        <x:f>'Evaluation Plan'!G113</x:f>
        <x:v>MOVE red pencil sharpener to bowl</x:v>
      </x:c>
      <x:c r="H113" s="7"/>
      <x:c r="I113" s="8" t="str">
        <x:f>'Evaluation Plan'!I113</x:f>
        <x:v>Cross-task airplane counterfactual</x:v>
      </x:c>
      <x:c r="J113" s="8" t="str">
        <x:f>'Evaluation Plan'!J113</x:f>
        <x:v>SZ-XA01</x:v>
      </x:c>
      <x:c r="K113" s="8" t="str">
        <x:f>'Evaluation Plan'!K113</x:f>
        <x:v>smallest</x:v>
      </x:c>
      <x:c r="L113" s="8" t="str">
        <x:f>'Evaluation Plan'!L113</x:f>
        <x:v>Exact-scene opposite-comparison reasoning control</x:v>
      </x:c>
      <x:c r="M113" s="8" t="str">
        <x:f>'Evaluation Plan'!M113</x:f>
        <x:v>red pencil sharpener</x:v>
      </x:c>
      <x:c r="N113" s="8" t="str">
        <x:f>'Evaluation Plan'!N113</x:f>
        <x:v>Right</x:v>
      </x:c>
      <x:c r="O113" s="8" t="n">
        <x:f>'Evaluation Plan'!O113</x:f>
        <x:v>2</x:v>
      </x:c>
      <x:c r="P113" s="8" t="n">
        <x:f>IF(ISBLANK('Evaluation Plan'!P113),"",'Evaluation Plan'!P113)</x:f>
        <x:v>8</x:v>
      </x:c>
      <x:c r="Q113" s="8" t="str">
        <x:f>'Evaluation Plan'!Q113</x:f>
        <x:v>Reset the airplane; preserve the exact scene and reverse only the size comparison.</x:v>
      </x:c>
      <x:c r="R113" s="7" t="str">
        <x:f>'Evaluation Plan'!R113</x:f>
        <x:v>Reasoning-only counterfactual grounded by trained cell smallest × red pencil sharpener; an always-pick-airplane shortcut must fail.</x:v>
      </x:c>
      <x:c r="S113" s="7" t="str">
        <x:f>IF(ISBLANK('Evaluation Plan'!S113),"",'Evaluation Plan'!S113)</x:f>
      </x:c>
    </x:row>
    <x:row r="114" ht="68" customHeight="1">
      <x:c r="A114" s="9" t="str">
        <x:v>Not collected</x:v>
      </x:c>
      <x:c r="B114" s="9" t="n">
        <x:f>'Evaluation Plan'!B114</x:f>
        <x:v>112</x:v>
      </x:c>
      <x:c r="C114" s="10" t="str">
        <x:f>'Evaluation Plan'!C114</x:f>
        <x:v>Pick up the smallest item and place it in the bowl.</x:v>
      </x:c>
      <x:c r="D114" s="10" t="str">
        <x:f>'Evaluation Plan'!D114</x:f>
        <x:v>Bowl: empty. Table, robot-left→robot-right: P1 airplane toy with propellers; P2 green block; P3 crushed Pepsi can. Adjacent centers 12 cm apart; row shifted 4 cm toward robot-right; all objects fully visible and grasp paths clear.</x:v>
      </x:c>
      <x:c r="E114" s="9" t="str">
        <x:f>IF(ISBLANK('Evaluation Plan'!E114),"",'Evaluation Plan'!E114)</x:f>
      </x:c>
      <x:c r="F114" s="9" t="str">
        <x:f>'Evaluation Plan'!F114</x:f>
        <x:v>airplane exposure 552</x:v>
      </x:c>
      <x:c r="G114" s="9" t="str">
        <x:f>'Evaluation Plan'!G114</x:f>
        <x:v>MOVE airplane toy with propellers to bowl</x:v>
      </x:c>
      <x:c r="H114" s="10"/>
      <x:c r="I114" s="9" t="str">
        <x:f>'Evaluation Plan'!I114</x:f>
        <x:v>Cross-task airplane reasoning</x:v>
      </x:c>
      <x:c r="J114" s="9" t="str">
        <x:f>'Evaluation Plan'!J114</x:f>
        <x:v>SZ-XA02</x:v>
      </x:c>
      <x:c r="K114" s="9" t="str">
        <x:f>'Evaluation Plan'!K114</x:f>
        <x:v>smallest</x:v>
      </x:c>
      <x:c r="L114" s="9" t="str">
        <x:f>'Evaluation Plan'!L114</x:f>
        <x:v>Airplane is smallest</x:v>
      </x:c>
      <x:c r="M114" s="9" t="str">
        <x:f>'Evaluation Plan'!M114</x:f>
        <x:v>airplane toy with propellers</x:v>
      </x:c>
      <x:c r="N114" s="9" t="str">
        <x:f>'Evaluation Plan'!N114</x:f>
        <x:v>Left</x:v>
      </x:c>
      <x:c r="O114" s="9" t="n">
        <x:f>'Evaluation Plan'!O114</x:f>
        <x:v>3</x:v>
      </x:c>
      <x:c r="P114" s="9" t="n">
        <x:f>IF(ISBLANK('Evaluation Plan'!P114),"",'Evaluation Plan'!P114)</x:f>
        <x:v>12</x:v>
      </x:c>
      <x:c r="Q114" s="9" t="str">
        <x:f>'Evaluation Plan'!Q114</x:f>
        <x:v>Build the listed airplane scene and save a first-frame filename.</x:v>
      </x:c>
      <x:c r="R114" s="10" t="str">
        <x:f>'Evaluation Plan'!R114</x:f>
        <x:v>The airplane is smaller than every listed table comparator. Green-block scenes also include a trained larger endpoint so the counterfactual does not test largest×green.</x:v>
      </x:c>
      <x:c r="S114" s="10" t="str">
        <x:f>IF(ISBLANK('Evaluation Plan'!S114),"",'Evaluation Plan'!S114)</x:f>
      </x:c>
    </x:row>
    <x:row r="115" ht="68" customHeight="1">
      <x:c r="A115" s="8" t="str">
        <x:v>Not collected</x:v>
      </x:c>
      <x:c r="B115" s="8" t="n">
        <x:f>'Evaluation Plan'!B115</x:f>
        <x:v>113</x:v>
      </x:c>
      <x:c r="C115" s="7" t="str">
        <x:f>'Evaluation Plan'!C115</x:f>
        <x:v>Put the largest object in the bowl.</x:v>
      </x:c>
      <x:c r="D115" s="7" t="str">
        <x:f>'Evaluation Plan'!D115</x:f>
        <x:v>Bowl: empty. Table, robot-left→robot-right: P1 airplane toy with propellers; P2 green block; P3 crushed Pepsi can. Adjacent centers 12 cm apart; row shifted 4 cm toward robot-right; all objects fully visible and grasp paths clear.</x:v>
      </x:c>
      <x:c r="E115" s="8" t="n">
        <x:f>IF(ISBLANK('Evaluation Plan'!E115),"",'Evaluation Plan'!E115)</x:f>
        <x:v>112</x:v>
      </x:c>
      <x:c r="F115" s="8" t="str">
        <x:f>'Evaluation Plan'!F115</x:f>
        <x:v>1155; airplane exposure 552</x:v>
      </x:c>
      <x:c r="G115" s="8" t="str">
        <x:f>'Evaluation Plan'!G115</x:f>
        <x:v>MOVE crushed Pepsi can to bowl</x:v>
      </x:c>
      <x:c r="H115" s="7"/>
      <x:c r="I115" s="8" t="str">
        <x:f>'Evaluation Plan'!I115</x:f>
        <x:v>Cross-task airplane counterfactual</x:v>
      </x:c>
      <x:c r="J115" s="8" t="str">
        <x:f>'Evaluation Plan'!J115</x:f>
        <x:v>SZ-XA02</x:v>
      </x:c>
      <x:c r="K115" s="8" t="str">
        <x:f>'Evaluation Plan'!K115</x:f>
        <x:v>largest</x:v>
      </x:c>
      <x:c r="L115" s="8" t="str">
        <x:f>'Evaluation Plan'!L115</x:f>
        <x:v>Exact-scene opposite-comparison reasoning control</x:v>
      </x:c>
      <x:c r="M115" s="8" t="str">
        <x:f>'Evaluation Plan'!M115</x:f>
        <x:v>crushed Pepsi can</x:v>
      </x:c>
      <x:c r="N115" s="8" t="str">
        <x:f>'Evaluation Plan'!N115</x:f>
        <x:v>Right</x:v>
      </x:c>
      <x:c r="O115" s="8" t="n">
        <x:f>'Evaluation Plan'!O115</x:f>
        <x:v>3</x:v>
      </x:c>
      <x:c r="P115" s="8" t="n">
        <x:f>IF(ISBLANK('Evaluation Plan'!P115),"",'Evaluation Plan'!P115)</x:f>
        <x:v>12</x:v>
      </x:c>
      <x:c r="Q115" s="8" t="str">
        <x:f>'Evaluation Plan'!Q115</x:f>
        <x:v>Reset the airplane; preserve the exact scene and reverse only the size comparison.</x:v>
      </x:c>
      <x:c r="R115" s="7" t="str">
        <x:f>'Evaluation Plan'!R115</x:f>
        <x:v>Reasoning-only counterfactual grounded by trained cell largest × crushed Pepsi can; an always-pick-airplane shortcut must fail.</x:v>
      </x:c>
      <x:c r="S115" s="7" t="str">
        <x:f>IF(ISBLANK('Evaluation Plan'!S115),"",'Evaluation Plan'!S115)</x:f>
      </x:c>
    </x:row>
    <x:row r="116" ht="68" customHeight="1">
      <x:c r="A116" s="9" t="str">
        <x:v>Not collected</x:v>
      </x:c>
      <x:c r="B116" s="9" t="n">
        <x:f>'Evaluation Plan'!B116</x:f>
        <x:v>114</x:v>
      </x:c>
      <x:c r="C116" s="10" t="str">
        <x:f>'Evaluation Plan'!C116</x:f>
        <x:v>Pick up the largest item and place it in the bowl.</x:v>
      </x:c>
      <x:c r="D116" s="10" t="str">
        <x:f>'Evaluation Plan'!D116</x:f>
        <x:v>Bowl: empty. Table, robot-left→robot-right: P1 red pencil sharpener; P2 airplane toy with propellers. Adjacent centers 12 cm apart; row shifted 4 cm toward robot-left; all objects fully visible and grasp paths clear.</x:v>
      </x:c>
      <x:c r="E116" s="9" t="str">
        <x:f>IF(ISBLANK('Evaluation Plan'!E116),"",'Evaluation Plan'!E116)</x:f>
      </x:c>
      <x:c r="F116" s="9" t="str">
        <x:f>'Evaluation Plan'!F116</x:f>
        <x:v>airplane exposure 554</x:v>
      </x:c>
      <x:c r="G116" s="9" t="str">
        <x:f>'Evaluation Plan'!G116</x:f>
        <x:v>MOVE airplane toy with propellers to bowl</x:v>
      </x:c>
      <x:c r="H116" s="10"/>
      <x:c r="I116" s="9" t="str">
        <x:f>'Evaluation Plan'!I116</x:f>
        <x:v>Cross-task airplane reasoning</x:v>
      </x:c>
      <x:c r="J116" s="9" t="str">
        <x:f>'Evaluation Plan'!J116</x:f>
        <x:v>SZ-XA03</x:v>
      </x:c>
      <x:c r="K116" s="9" t="str">
        <x:f>'Evaluation Plan'!K116</x:f>
        <x:v>largest</x:v>
      </x:c>
      <x:c r="L116" s="9" t="str">
        <x:f>'Evaluation Plan'!L116</x:f>
        <x:v>Airplane is largest</x:v>
      </x:c>
      <x:c r="M116" s="9" t="str">
        <x:f>'Evaluation Plan'!M116</x:f>
        <x:v>airplane toy with propellers</x:v>
      </x:c>
      <x:c r="N116" s="9" t="str">
        <x:f>'Evaluation Plan'!N116</x:f>
        <x:v>Right</x:v>
      </x:c>
      <x:c r="O116" s="9" t="n">
        <x:f>'Evaluation Plan'!O116</x:f>
        <x:v>2</x:v>
      </x:c>
      <x:c r="P116" s="9" t="n">
        <x:f>IF(ISBLANK('Evaluation Plan'!P116),"",'Evaluation Plan'!P116)</x:f>
        <x:v>12</x:v>
      </x:c>
      <x:c r="Q116" s="9" t="str">
        <x:f>'Evaluation Plan'!Q116</x:f>
        <x:v>Build the listed airplane scene and save a first-frame filename.</x:v>
      </x:c>
      <x:c r="R116" s="10" t="str">
        <x:f>'Evaluation Plan'!R116</x:f>
        <x:v>The airplane is larger than the red pencil sharpener. It is known globally but never received size language in training.</x:v>
      </x:c>
      <x:c r="S116" s="10" t="str">
        <x:f>IF(ISBLANK('Evaluation Plan'!S116),"",'Evaluation Plan'!S116)</x:f>
      </x:c>
    </x:row>
    <x:row r="117" ht="68" customHeight="1">
      <x:c r="A117" s="8" t="str">
        <x:v>Not collected</x:v>
      </x:c>
      <x:c r="B117" s="8" t="n">
        <x:f>'Evaluation Plan'!B117</x:f>
        <x:v>115</x:v>
      </x:c>
      <x:c r="C117" s="7" t="str">
        <x:f>'Evaluation Plan'!C117</x:f>
        <x:v>Move the object that is smallest into the bowl.</x:v>
      </x:c>
      <x:c r="D117" s="7" t="str">
        <x:f>'Evaluation Plan'!D117</x:f>
        <x:v>Bowl: empty. Table, robot-left→robot-right: P1 red pencil sharpener; P2 airplane toy with propellers. Adjacent centers 12 cm apart; row shifted 4 cm toward robot-left; all objects fully visible and grasp paths clear.</x:v>
      </x:c>
      <x:c r="E117" s="8" t="n">
        <x:f>IF(ISBLANK('Evaluation Plan'!E117),"",'Evaluation Plan'!E117)</x:f>
        <x:v>114</x:v>
      </x:c>
      <x:c r="F117" s="8" t="str">
        <x:f>'Evaluation Plan'!F117</x:f>
        <x:v>1006; airplane exposure 554</x:v>
      </x:c>
      <x:c r="G117" s="8" t="str">
        <x:f>'Evaluation Plan'!G117</x:f>
        <x:v>MOVE red pencil sharpener to bowl</x:v>
      </x:c>
      <x:c r="H117" s="7"/>
      <x:c r="I117" s="8" t="str">
        <x:f>'Evaluation Plan'!I117</x:f>
        <x:v>Cross-task airplane counterfactual</x:v>
      </x:c>
      <x:c r="J117" s="8" t="str">
        <x:f>'Evaluation Plan'!J117</x:f>
        <x:v>SZ-XA03</x:v>
      </x:c>
      <x:c r="K117" s="8" t="str">
        <x:f>'Evaluation Plan'!K117</x:f>
        <x:v>smallest</x:v>
      </x:c>
      <x:c r="L117" s="8" t="str">
        <x:f>'Evaluation Plan'!L117</x:f>
        <x:v>Exact-scene opposite-comparison reasoning control</x:v>
      </x:c>
      <x:c r="M117" s="8" t="str">
        <x:f>'Evaluation Plan'!M117</x:f>
        <x:v>red pencil sharpener</x:v>
      </x:c>
      <x:c r="N117" s="8" t="str">
        <x:f>'Evaluation Plan'!N117</x:f>
        <x:v>Left</x:v>
      </x:c>
      <x:c r="O117" s="8" t="n">
        <x:f>'Evaluation Plan'!O117</x:f>
        <x:v>2</x:v>
      </x:c>
      <x:c r="P117" s="8" t="n">
        <x:f>IF(ISBLANK('Evaluation Plan'!P117),"",'Evaluation Plan'!P117)</x:f>
        <x:v>12</x:v>
      </x:c>
      <x:c r="Q117" s="8" t="str">
        <x:f>'Evaluation Plan'!Q117</x:f>
        <x:v>Reset the airplane; preserve the exact scene and reverse only the size comparison.</x:v>
      </x:c>
      <x:c r="R117" s="7" t="str">
        <x:f>'Evaluation Plan'!R117</x:f>
        <x:v>Reasoning-only counterfactual grounded by trained cell smallest × red pencil sharpener; an always-pick-airplane shortcut must fail.</x:v>
      </x:c>
      <x:c r="S117" s="7" t="str">
        <x:f>IF(ISBLANK('Evaluation Plan'!S117),"",'Evaluation Plan'!S117)</x:f>
      </x:c>
    </x:row>
    <x:row r="118" ht="68" customHeight="1">
      <x:c r="A118" s="9" t="str">
        <x:v>Not collected</x:v>
      </x:c>
      <x:c r="B118" s="9" t="n">
        <x:f>'Evaluation Plan'!B118</x:f>
        <x:v>116</x:v>
      </x:c>
      <x:c r="C118" s="10" t="str">
        <x:f>'Evaluation Plan'!C118</x:f>
        <x:v>Put the smallest object in the bowl.</x:v>
      </x:c>
      <x:c r="D118" s="10" t="str">
        <x:f>'Evaluation Plan'!D118</x:f>
        <x:v>Bowl: empty. Table, robot-left→robot-right: P1 juggling ball; P2 green block; P3 airplane toy with propellers. Adjacent centers 16 cm apart; row shifted 4 cm toward the robot; all objects fully visible and grasp paths clear.</x:v>
      </x:c>
      <x:c r="E118" s="9" t="str">
        <x:f>IF(ISBLANK('Evaluation Plan'!E118),"",'Evaluation Plan'!E118)</x:f>
      </x:c>
      <x:c r="F118" s="9" t="str">
        <x:f>'Evaluation Plan'!F118</x:f>
        <x:v>airplane exposure 556</x:v>
      </x:c>
      <x:c r="G118" s="9" t="str">
        <x:f>'Evaluation Plan'!G118</x:f>
        <x:v>MOVE airplane toy with propellers to bowl</x:v>
      </x:c>
      <x:c r="H118" s="10"/>
      <x:c r="I118" s="9" t="str">
        <x:f>'Evaluation Plan'!I118</x:f>
        <x:v>Cross-task airplane reasoning</x:v>
      </x:c>
      <x:c r="J118" s="9" t="str">
        <x:f>'Evaluation Plan'!J118</x:f>
        <x:v>SZ-XA04</x:v>
      </x:c>
      <x:c r="K118" s="9" t="str">
        <x:f>'Evaluation Plan'!K118</x:f>
        <x:v>smallest</x:v>
      </x:c>
      <x:c r="L118" s="9" t="str">
        <x:f>'Evaluation Plan'!L118</x:f>
        <x:v>Airplane is smallest</x:v>
      </x:c>
      <x:c r="M118" s="9" t="str">
        <x:f>'Evaluation Plan'!M118</x:f>
        <x:v>airplane toy with propellers</x:v>
      </x:c>
      <x:c r="N118" s="9" t="str">
        <x:f>'Evaluation Plan'!N118</x:f>
        <x:v>Right</x:v>
      </x:c>
      <x:c r="O118" s="9" t="n">
        <x:f>'Evaluation Plan'!O118</x:f>
        <x:v>3</x:v>
      </x:c>
      <x:c r="P118" s="9" t="n">
        <x:f>IF(ISBLANK('Evaluation Plan'!P118),"",'Evaluation Plan'!P118)</x:f>
        <x:v>16</x:v>
      </x:c>
      <x:c r="Q118" s="9" t="str">
        <x:f>'Evaluation Plan'!Q118</x:f>
        <x:v>Build the listed airplane scene and save a first-frame filename.</x:v>
      </x:c>
      <x:c r="R118" s="10" t="str">
        <x:f>'Evaluation Plan'!R118</x:f>
        <x:v>The airplane is smaller than every listed table comparator. Green-block scenes also include a trained larger endpoint so the counterfactual does not test largest×green.</x:v>
      </x:c>
      <x:c r="S118" s="10" t="str">
        <x:f>IF(ISBLANK('Evaluation Plan'!S118),"",'Evaluation Plan'!S118)</x:f>
      </x:c>
    </x:row>
    <x:row r="119" ht="68" customHeight="1">
      <x:c r="A119" s="8" t="str">
        <x:v>Not collected</x:v>
      </x:c>
      <x:c r="B119" s="8" t="n">
        <x:f>'Evaluation Plan'!B119</x:f>
        <x:v>117</x:v>
      </x:c>
      <x:c r="C119" s="7" t="str">
        <x:f>'Evaluation Plan'!C119</x:f>
        <x:v>Move the object that is largest into the bowl.</x:v>
      </x:c>
      <x:c r="D119" s="7" t="str">
        <x:f>'Evaluation Plan'!D119</x:f>
        <x:v>Bowl: empty. Table, robot-left→robot-right: P1 juggling ball; P2 green block; P3 airplane toy with propellers. Adjacent centers 16 cm apart; row shifted 4 cm toward the robot; all objects fully visible and grasp paths clear.</x:v>
      </x:c>
      <x:c r="E119" s="8" t="n">
        <x:f>IF(ISBLANK('Evaluation Plan'!E119),"",'Evaluation Plan'!E119)</x:f>
        <x:v>116</x:v>
      </x:c>
      <x:c r="F119" s="8" t="str">
        <x:f>'Evaluation Plan'!F119</x:f>
        <x:v>1126; airplane exposure 556</x:v>
      </x:c>
      <x:c r="G119" s="8" t="str">
        <x:f>'Evaluation Plan'!G119</x:f>
        <x:v>MOVE juggling ball to bowl</x:v>
      </x:c>
      <x:c r="H119" s="7"/>
      <x:c r="I119" s="8" t="str">
        <x:f>'Evaluation Plan'!I119</x:f>
        <x:v>Cross-task airplane counterfactual</x:v>
      </x:c>
      <x:c r="J119" s="8" t="str">
        <x:f>'Evaluation Plan'!J119</x:f>
        <x:v>SZ-XA04</x:v>
      </x:c>
      <x:c r="K119" s="8" t="str">
        <x:f>'Evaluation Plan'!K119</x:f>
        <x:v>largest</x:v>
      </x:c>
      <x:c r="L119" s="8" t="str">
        <x:f>'Evaluation Plan'!L119</x:f>
        <x:v>Exact-scene opposite-comparison reasoning control</x:v>
      </x:c>
      <x:c r="M119" s="8" t="str">
        <x:f>'Evaluation Plan'!M119</x:f>
        <x:v>juggling ball</x:v>
      </x:c>
      <x:c r="N119" s="8" t="str">
        <x:f>'Evaluation Plan'!N119</x:f>
        <x:v>Left</x:v>
      </x:c>
      <x:c r="O119" s="8" t="n">
        <x:f>'Evaluation Plan'!O119</x:f>
        <x:v>3</x:v>
      </x:c>
      <x:c r="P119" s="8" t="n">
        <x:f>IF(ISBLANK('Evaluation Plan'!P119),"",'Evaluation Plan'!P119)</x:f>
        <x:v>16</x:v>
      </x:c>
      <x:c r="Q119" s="8" t="str">
        <x:f>'Evaluation Plan'!Q119</x:f>
        <x:v>Reset the airplane; preserve the exact scene and reverse only the size comparison.</x:v>
      </x:c>
      <x:c r="R119" s="7" t="str">
        <x:f>'Evaluation Plan'!R119</x:f>
        <x:v>Reasoning-only counterfactual grounded by trained cell largest × juggling ball; an always-pick-airplane shortcut must fail.</x:v>
      </x:c>
      <x:c r="S119" s="7" t="str">
        <x:f>IF(ISBLANK('Evaluation Plan'!S119),"",'Evaluation Plan'!S119)</x:f>
      </x:c>
    </x:row>
    <x:row r="120" ht="68" customHeight="1">
      <x:c r="A120" s="9" t="str">
        <x:v>Not collected</x:v>
      </x:c>
      <x:c r="B120" s="9" t="n">
        <x:f>'Evaluation Plan'!B120</x:f>
        <x:v>118</x:v>
      </x:c>
      <x:c r="C120" s="10" t="str">
        <x:f>'Evaluation Plan'!C120</x:f>
        <x:v>Put the largest object in the bowl.</x:v>
      </x:c>
      <x:c r="D120" s="10" t="str">
        <x:f>'Evaluation Plan'!D120</x:f>
        <x:v>Bowl: empty. Table, robot-left→robot-right: P1 airplane toy with propellers; P2 red pencil sharpener. Adjacent centers 16 cm apart; row shifted 4 cm toward robot-right; all objects fully visible and grasp paths clear.</x:v>
      </x:c>
      <x:c r="E120" s="9" t="str">
        <x:f>IF(ISBLANK('Evaluation Plan'!E120),"",'Evaluation Plan'!E120)</x:f>
      </x:c>
      <x:c r="F120" s="9" t="str">
        <x:f>'Evaluation Plan'!F120</x:f>
        <x:v>airplane exposure 558</x:v>
      </x:c>
      <x:c r="G120" s="9" t="str">
        <x:f>'Evaluation Plan'!G120</x:f>
        <x:v>MOVE airplane toy with propellers to bowl</x:v>
      </x:c>
      <x:c r="H120" s="10"/>
      <x:c r="I120" s="9" t="str">
        <x:f>'Evaluation Plan'!I120</x:f>
        <x:v>Cross-task airplane reasoning</x:v>
      </x:c>
      <x:c r="J120" s="9" t="str">
        <x:f>'Evaluation Plan'!J120</x:f>
        <x:v>SZ-XA05</x:v>
      </x:c>
      <x:c r="K120" s="9" t="str">
        <x:f>'Evaluation Plan'!K120</x:f>
        <x:v>largest</x:v>
      </x:c>
      <x:c r="L120" s="9" t="str">
        <x:f>'Evaluation Plan'!L120</x:f>
        <x:v>Airplane is largest</x:v>
      </x:c>
      <x:c r="M120" s="9" t="str">
        <x:f>'Evaluation Plan'!M120</x:f>
        <x:v>airplane toy with propellers</x:v>
      </x:c>
      <x:c r="N120" s="9" t="str">
        <x:f>'Evaluation Plan'!N120</x:f>
        <x:v>Left</x:v>
      </x:c>
      <x:c r="O120" s="9" t="n">
        <x:f>'Evaluation Plan'!O120</x:f>
        <x:v>2</x:v>
      </x:c>
      <x:c r="P120" s="9" t="n">
        <x:f>IF(ISBLANK('Evaluation Plan'!P120),"",'Evaluation Plan'!P120)</x:f>
        <x:v>16</x:v>
      </x:c>
      <x:c r="Q120" s="9" t="str">
        <x:f>'Evaluation Plan'!Q120</x:f>
        <x:v>Build the listed airplane scene and save a first-frame filename.</x:v>
      </x:c>
      <x:c r="R120" s="10" t="str">
        <x:f>'Evaluation Plan'!R120</x:f>
        <x:v>The airplane is larger than the red pencil sharpener. It is known globally but never received size language in training.</x:v>
      </x:c>
      <x:c r="S120" s="10" t="str">
        <x:f>IF(ISBLANK('Evaluation Plan'!S120),"",'Evaluation Plan'!S120)</x:f>
      </x:c>
    </x:row>
    <x:row r="121" ht="68" customHeight="1">
      <x:c r="A121" s="8" t="str">
        <x:v>Not collected</x:v>
      </x:c>
      <x:c r="B121" s="8" t="n">
        <x:f>'Evaluation Plan'!B121</x:f>
        <x:v>119</x:v>
      </x:c>
      <x:c r="C121" s="7" t="str">
        <x:f>'Evaluation Plan'!C121</x:f>
        <x:v>Pick up the smallest item and place it in the bowl.</x:v>
      </x:c>
      <x:c r="D121" s="7" t="str">
        <x:f>'Evaluation Plan'!D121</x:f>
        <x:v>Bowl: empty. Table, robot-left→robot-right: P1 airplane toy with propellers; P2 red pencil sharpener. Adjacent centers 16 cm apart; row shifted 4 cm toward robot-right; all objects fully visible and grasp paths clear.</x:v>
      </x:c>
      <x:c r="E121" s="8" t="n">
        <x:f>IF(ISBLANK('Evaluation Plan'!E121),"",'Evaluation Plan'!E121)</x:f>
        <x:v>118</x:v>
      </x:c>
      <x:c r="F121" s="8" t="str">
        <x:f>'Evaluation Plan'!F121</x:f>
        <x:v>1007; airplane exposure 558</x:v>
      </x:c>
      <x:c r="G121" s="8" t="str">
        <x:f>'Evaluation Plan'!G121</x:f>
        <x:v>MOVE red pencil sharpener to bowl</x:v>
      </x:c>
      <x:c r="H121" s="7"/>
      <x:c r="I121" s="8" t="str">
        <x:f>'Evaluation Plan'!I121</x:f>
        <x:v>Cross-task airplane counterfactual</x:v>
      </x:c>
      <x:c r="J121" s="8" t="str">
        <x:f>'Evaluation Plan'!J121</x:f>
        <x:v>SZ-XA05</x:v>
      </x:c>
      <x:c r="K121" s="8" t="str">
        <x:f>'Evaluation Plan'!K121</x:f>
        <x:v>smallest</x:v>
      </x:c>
      <x:c r="L121" s="8" t="str">
        <x:f>'Evaluation Plan'!L121</x:f>
        <x:v>Exact-scene opposite-comparison reasoning control</x:v>
      </x:c>
      <x:c r="M121" s="8" t="str">
        <x:f>'Evaluation Plan'!M121</x:f>
        <x:v>red pencil sharpener</x:v>
      </x:c>
      <x:c r="N121" s="8" t="str">
        <x:f>'Evaluation Plan'!N121</x:f>
        <x:v>Right</x:v>
      </x:c>
      <x:c r="O121" s="8" t="n">
        <x:f>'Evaluation Plan'!O121</x:f>
        <x:v>2</x:v>
      </x:c>
      <x:c r="P121" s="8" t="n">
        <x:f>IF(ISBLANK('Evaluation Plan'!P121),"",'Evaluation Plan'!P121)</x:f>
        <x:v>16</x:v>
      </x:c>
      <x:c r="Q121" s="8" t="str">
        <x:f>'Evaluation Plan'!Q121</x:f>
        <x:v>Reset the airplane; preserve the exact scene and reverse only the size comparison.</x:v>
      </x:c>
      <x:c r="R121" s="7" t="str">
        <x:f>'Evaluation Plan'!R121</x:f>
        <x:v>Reasoning-only counterfactual grounded by trained cell smallest × red pencil sharpener; an always-pick-airplane shortcut must fail.</x:v>
      </x:c>
      <x:c r="S121" s="7" t="str">
        <x:f>IF(ISBLANK('Evaluation Plan'!S121),"",'Evaluation Plan'!S121)</x:f>
      </x:c>
    </x:row>
    <x:row r="122" ht="68" customHeight="1">
      <x:c r="A122" s="9" t="str">
        <x:v>Not collected</x:v>
      </x:c>
      <x:c r="B122" s="9" t="n">
        <x:f>'Evaluation Plan'!B122</x:f>
        <x:v>120</x:v>
      </x:c>
      <x:c r="C122" s="10" t="str">
        <x:f>'Evaluation Plan'!C122</x:f>
        <x:v>Move the object that is smallest into the bowl.</x:v>
      </x:c>
      <x:c r="D122" s="10" t="str">
        <x:f>'Evaluation Plan'!D122</x:f>
        <x:v>Bowl: empty. Table, robot-left→robot-right: P1 green block; P2 crushed Pepsi can; P3 airplane toy with propellers. Adjacent centers 8 cm apart; row shifted 4 cm away from the robot; all objects fully visible and grasp paths clear.</x:v>
      </x:c>
      <x:c r="E122" s="9" t="str">
        <x:f>IF(ISBLANK('Evaluation Plan'!E122),"",'Evaluation Plan'!E122)</x:f>
      </x:c>
      <x:c r="F122" s="9" t="str">
        <x:f>'Evaluation Plan'!F122</x:f>
        <x:v>airplane exposure 560</x:v>
      </x:c>
      <x:c r="G122" s="9" t="str">
        <x:f>'Evaluation Plan'!G122</x:f>
        <x:v>MOVE airplane toy with propellers to bowl</x:v>
      </x:c>
      <x:c r="H122" s="10"/>
      <x:c r="I122" s="9" t="str">
        <x:f>'Evaluation Plan'!I122</x:f>
        <x:v>Cross-task airplane reasoning</x:v>
      </x:c>
      <x:c r="J122" s="9" t="str">
        <x:f>'Evaluation Plan'!J122</x:f>
        <x:v>SZ-XA06</x:v>
      </x:c>
      <x:c r="K122" s="9" t="str">
        <x:f>'Evaluation Plan'!K122</x:f>
        <x:v>smallest</x:v>
      </x:c>
      <x:c r="L122" s="9" t="str">
        <x:f>'Evaluation Plan'!L122</x:f>
        <x:v>Airplane is smallest</x:v>
      </x:c>
      <x:c r="M122" s="9" t="str">
        <x:f>'Evaluation Plan'!M122</x:f>
        <x:v>airplane toy with propellers</x:v>
      </x:c>
      <x:c r="N122" s="9" t="str">
        <x:f>'Evaluation Plan'!N122</x:f>
        <x:v>Right</x:v>
      </x:c>
      <x:c r="O122" s="9" t="n">
        <x:f>'Evaluation Plan'!O122</x:f>
        <x:v>3</x:v>
      </x:c>
      <x:c r="P122" s="9" t="n">
        <x:f>IF(ISBLANK('Evaluation Plan'!P122),"",'Evaluation Plan'!P122)</x:f>
        <x:v>8</x:v>
      </x:c>
      <x:c r="Q122" s="9" t="str">
        <x:f>'Evaluation Plan'!Q122</x:f>
        <x:v>Build the listed airplane scene and save a first-frame filename.</x:v>
      </x:c>
      <x:c r="R122" s="10" t="str">
        <x:f>'Evaluation Plan'!R122</x:f>
        <x:v>The airplane is smaller than every listed table comparator. Green-block scenes also include a trained larger endpoint so the counterfactual does not test largest×green.</x:v>
      </x:c>
      <x:c r="S122" s="10" t="str">
        <x:f>IF(ISBLANK('Evaluation Plan'!S122),"",'Evaluation Plan'!S122)</x:f>
      </x:c>
    </x:row>
    <x:row r="123" ht="68" customHeight="1">
      <x:c r="A123" s="8" t="str">
        <x:v>Not collected</x:v>
      </x:c>
      <x:c r="B123" s="8" t="n">
        <x:f>'Evaluation Plan'!B123</x:f>
        <x:v>121</x:v>
      </x:c>
      <x:c r="C123" s="7" t="str">
        <x:f>'Evaluation Plan'!C123</x:f>
        <x:v>Pick up the largest item and place it in the bowl.</x:v>
      </x:c>
      <x:c r="D123" s="7" t="str">
        <x:f>'Evaluation Plan'!D123</x:f>
        <x:v>Bowl: empty. Table, robot-left→robot-right: P1 green block; P2 crushed Pepsi can; P3 airplane toy with propellers. Adjacent centers 8 cm apart; row shifted 4 cm away from the robot; all objects fully visible and grasp paths clear.</x:v>
      </x:c>
      <x:c r="E123" s="8" t="n">
        <x:f>IF(ISBLANK('Evaluation Plan'!E123),"",'Evaluation Plan'!E123)</x:f>
        <x:v>120</x:v>
      </x:c>
      <x:c r="F123" s="8" t="str">
        <x:f>'Evaluation Plan'!F123</x:f>
        <x:v>1157; airplane exposure 560</x:v>
      </x:c>
      <x:c r="G123" s="8" t="str">
        <x:f>'Evaluation Plan'!G123</x:f>
        <x:v>MOVE crushed Pepsi can to bowl</x:v>
      </x:c>
      <x:c r="H123" s="7"/>
      <x:c r="I123" s="8" t="str">
        <x:f>'Evaluation Plan'!I123</x:f>
        <x:v>Cross-task airplane counterfactual</x:v>
      </x:c>
      <x:c r="J123" s="8" t="str">
        <x:f>'Evaluation Plan'!J123</x:f>
        <x:v>SZ-XA06</x:v>
      </x:c>
      <x:c r="K123" s="8" t="str">
        <x:f>'Evaluation Plan'!K123</x:f>
        <x:v>largest</x:v>
      </x:c>
      <x:c r="L123" s="8" t="str">
        <x:f>'Evaluation Plan'!L123</x:f>
        <x:v>Exact-scene opposite-comparison reasoning control</x:v>
      </x:c>
      <x:c r="M123" s="8" t="str">
        <x:f>'Evaluation Plan'!M123</x:f>
        <x:v>crushed Pepsi can</x:v>
      </x:c>
      <x:c r="N123" s="8" t="str">
        <x:f>'Evaluation Plan'!N123</x:f>
        <x:v>Center</x:v>
      </x:c>
      <x:c r="O123" s="8" t="n">
        <x:f>'Evaluation Plan'!O123</x:f>
        <x:v>3</x:v>
      </x:c>
      <x:c r="P123" s="8" t="n">
        <x:f>IF(ISBLANK('Evaluation Plan'!P123),"",'Evaluation Plan'!P123)</x:f>
        <x:v>8</x:v>
      </x:c>
      <x:c r="Q123" s="8" t="str">
        <x:f>'Evaluation Plan'!Q123</x:f>
        <x:v>Reset the airplane; preserve the exact scene and reverse only the size comparison.</x:v>
      </x:c>
      <x:c r="R123" s="7" t="str">
        <x:f>'Evaluation Plan'!R123</x:f>
        <x:v>Reasoning-only counterfactual grounded by trained cell largest × crushed Pepsi can; an always-pick-airplane shortcut must fail.</x:v>
      </x:c>
      <x:c r="S123" s="7" t="str">
        <x:f>IF(ISBLANK('Evaluation Plan'!S123),"",'Evaluation Plan'!S123)</x:f>
      </x:c>
    </x:row>
    <x:row r="124" ht="68" customHeight="1">
      <x:c r="A124" s="9" t="str">
        <x:v>Not collected</x:v>
      </x:c>
      <x:c r="B124" s="9" t="n">
        <x:f>'Evaluation Plan'!B124</x:f>
        <x:v>122</x:v>
      </x:c>
      <x:c r="C124" s="10" t="str">
        <x:f>'Evaluation Plan'!C124</x:f>
        <x:v>Move the object that is largest into the bowl.</x:v>
      </x:c>
      <x:c r="D124" s="10" t="str">
        <x:f>'Evaluation Plan'!D124</x:f>
        <x:v>Bowl: empty. Table, robot-left→robot-right: P1 red pencil sharpener; P2 airplane toy with propellers. Adjacent centers 8 cm apart; row shifted 4 cm toward the robot; all objects fully visible and grasp paths clear.</x:v>
      </x:c>
      <x:c r="E124" s="9" t="str">
        <x:f>IF(ISBLANK('Evaluation Plan'!E124),"",'Evaluation Plan'!E124)</x:f>
      </x:c>
      <x:c r="F124" s="9" t="str">
        <x:f>'Evaluation Plan'!F124</x:f>
        <x:v>airplane exposure 562</x:v>
      </x:c>
      <x:c r="G124" s="9" t="str">
        <x:f>'Evaluation Plan'!G124</x:f>
        <x:v>MOVE airplane toy with propellers to bowl</x:v>
      </x:c>
      <x:c r="H124" s="10"/>
      <x:c r="I124" s="9" t="str">
        <x:f>'Evaluation Plan'!I124</x:f>
        <x:v>Cross-task airplane reasoning</x:v>
      </x:c>
      <x:c r="J124" s="9" t="str">
        <x:f>'Evaluation Plan'!J124</x:f>
        <x:v>SZ-XA07</x:v>
      </x:c>
      <x:c r="K124" s="9" t="str">
        <x:f>'Evaluation Plan'!K124</x:f>
        <x:v>largest</x:v>
      </x:c>
      <x:c r="L124" s="9" t="str">
        <x:f>'Evaluation Plan'!L124</x:f>
        <x:v>Airplane is largest</x:v>
      </x:c>
      <x:c r="M124" s="9" t="str">
        <x:f>'Evaluation Plan'!M124</x:f>
        <x:v>airplane toy with propellers</x:v>
      </x:c>
      <x:c r="N124" s="9" t="str">
        <x:f>'Evaluation Plan'!N124</x:f>
        <x:v>Right</x:v>
      </x:c>
      <x:c r="O124" s="9" t="n">
        <x:f>'Evaluation Plan'!O124</x:f>
        <x:v>2</x:v>
      </x:c>
      <x:c r="P124" s="9" t="n">
        <x:f>IF(ISBLANK('Evaluation Plan'!P124),"",'Evaluation Plan'!P124)</x:f>
        <x:v>8</x:v>
      </x:c>
      <x:c r="Q124" s="9" t="str">
        <x:f>'Evaluation Plan'!Q124</x:f>
        <x:v>Build the listed airplane scene and save a first-frame filename.</x:v>
      </x:c>
      <x:c r="R124" s="10" t="str">
        <x:f>'Evaluation Plan'!R124</x:f>
        <x:v>The airplane is larger than the red pencil sharpener. It is known globally but never received size language in training.</x:v>
      </x:c>
      <x:c r="S124" s="10" t="str">
        <x:f>IF(ISBLANK('Evaluation Plan'!S124),"",'Evaluation Plan'!S124)</x:f>
      </x:c>
    </x:row>
    <x:row r="125" ht="68" customHeight="1">
      <x:c r="A125" s="8" t="str">
        <x:v>Not collected</x:v>
      </x:c>
      <x:c r="B125" s="8" t="n">
        <x:f>'Evaluation Plan'!B125</x:f>
        <x:v>123</x:v>
      </x:c>
      <x:c r="C125" s="7" t="str">
        <x:f>'Evaluation Plan'!C125</x:f>
        <x:v>Put the smallest object in the bowl.</x:v>
      </x:c>
      <x:c r="D125" s="7" t="str">
        <x:f>'Evaluation Plan'!D125</x:f>
        <x:v>Bowl: empty. Table, robot-left→robot-right: P1 red pencil sharpener; P2 airplane toy with propellers. Adjacent centers 8 cm apart; row shifted 4 cm toward the robot; all objects fully visible and grasp paths clear.</x:v>
      </x:c>
      <x:c r="E125" s="8" t="n">
        <x:f>IF(ISBLANK('Evaluation Plan'!E125),"",'Evaluation Plan'!E125)</x:f>
        <x:v>122</x:v>
      </x:c>
      <x:c r="F125" s="8" t="str">
        <x:f>'Evaluation Plan'!F125</x:f>
        <x:v>1008; airplane exposure 562</x:v>
      </x:c>
      <x:c r="G125" s="8" t="str">
        <x:f>'Evaluation Plan'!G125</x:f>
        <x:v>MOVE red pencil sharpener to bowl</x:v>
      </x:c>
      <x:c r="H125" s="7"/>
      <x:c r="I125" s="8" t="str">
        <x:f>'Evaluation Plan'!I125</x:f>
        <x:v>Cross-task airplane counterfactual</x:v>
      </x:c>
      <x:c r="J125" s="8" t="str">
        <x:f>'Evaluation Plan'!J125</x:f>
        <x:v>SZ-XA07</x:v>
      </x:c>
      <x:c r="K125" s="8" t="str">
        <x:f>'Evaluation Plan'!K125</x:f>
        <x:v>smallest</x:v>
      </x:c>
      <x:c r="L125" s="8" t="str">
        <x:f>'Evaluation Plan'!L125</x:f>
        <x:v>Exact-scene opposite-comparison reasoning control</x:v>
      </x:c>
      <x:c r="M125" s="8" t="str">
        <x:f>'Evaluation Plan'!M125</x:f>
        <x:v>red pencil sharpener</x:v>
      </x:c>
      <x:c r="N125" s="8" t="str">
        <x:f>'Evaluation Plan'!N125</x:f>
        <x:v>Left</x:v>
      </x:c>
      <x:c r="O125" s="8" t="n">
        <x:f>'Evaluation Plan'!O125</x:f>
        <x:v>2</x:v>
      </x:c>
      <x:c r="P125" s="8" t="n">
        <x:f>IF(ISBLANK('Evaluation Plan'!P125),"",'Evaluation Plan'!P125)</x:f>
        <x:v>8</x:v>
      </x:c>
      <x:c r="Q125" s="8" t="str">
        <x:f>'Evaluation Plan'!Q125</x:f>
        <x:v>Reset the airplane; preserve the exact scene and reverse only the size comparison.</x:v>
      </x:c>
      <x:c r="R125" s="7" t="str">
        <x:f>'Evaluation Plan'!R125</x:f>
        <x:v>Reasoning-only counterfactual grounded by trained cell smallest × red pencil sharpener; an always-pick-airplane shortcut must fail.</x:v>
      </x:c>
      <x:c r="S125" s="7" t="str">
        <x:f>IF(ISBLANK('Evaluation Plan'!S125),"",'Evaluation Plan'!S125)</x:f>
      </x:c>
    </x:row>
    <x:row r="126" ht="68" customHeight="1">
      <x:c r="A126" s="9" t="str">
        <x:v>Not collected</x:v>
      </x:c>
      <x:c r="B126" s="9" t="n">
        <x:f>'Evaluation Plan'!B126</x:f>
        <x:v>124</x:v>
      </x:c>
      <x:c r="C126" s="10" t="str">
        <x:f>'Evaluation Plan'!C126</x:f>
        <x:v>Pick up the smallest item and place it in the bowl.</x:v>
      </x:c>
      <x:c r="D126" s="10" t="str">
        <x:f>'Evaluation Plan'!D126</x:f>
        <x:v>Bowl: empty. Table, robot-left→robot-right: P1 airplane toy with propellers; P2 green block; P3 juggling ball. Adjacent centers 12 cm apart; row centered on the workspace; all objects fully visible and grasp paths clear.</x:v>
      </x:c>
      <x:c r="E126" s="9" t="str">
        <x:f>IF(ISBLANK('Evaluation Plan'!E126),"",'Evaluation Plan'!E126)</x:f>
      </x:c>
      <x:c r="F126" s="9" t="str">
        <x:f>'Evaluation Plan'!F126</x:f>
        <x:v>airplane exposure 564</x:v>
      </x:c>
      <x:c r="G126" s="9" t="str">
        <x:f>'Evaluation Plan'!G126</x:f>
        <x:v>MOVE airplane toy with propellers to bowl</x:v>
      </x:c>
      <x:c r="H126" s="10"/>
      <x:c r="I126" s="9" t="str">
        <x:f>'Evaluation Plan'!I126</x:f>
        <x:v>Cross-task airplane reasoning</x:v>
      </x:c>
      <x:c r="J126" s="9" t="str">
        <x:f>'Evaluation Plan'!J126</x:f>
        <x:v>SZ-XA08</x:v>
      </x:c>
      <x:c r="K126" s="9" t="str">
        <x:f>'Evaluation Plan'!K126</x:f>
        <x:v>smallest</x:v>
      </x:c>
      <x:c r="L126" s="9" t="str">
        <x:f>'Evaluation Plan'!L126</x:f>
        <x:v>Airplane is smallest</x:v>
      </x:c>
      <x:c r="M126" s="9" t="str">
        <x:f>'Evaluation Plan'!M126</x:f>
        <x:v>airplane toy with propellers</x:v>
      </x:c>
      <x:c r="N126" s="9" t="str">
        <x:f>'Evaluation Plan'!N126</x:f>
        <x:v>Left</x:v>
      </x:c>
      <x:c r="O126" s="9" t="n">
        <x:f>'Evaluation Plan'!O126</x:f>
        <x:v>3</x:v>
      </x:c>
      <x:c r="P126" s="9" t="n">
        <x:f>IF(ISBLANK('Evaluation Plan'!P126),"",'Evaluation Plan'!P126)</x:f>
        <x:v>12</x:v>
      </x:c>
      <x:c r="Q126" s="9" t="str">
        <x:f>'Evaluation Plan'!Q126</x:f>
        <x:v>Build the listed airplane scene and save a first-frame filename.</x:v>
      </x:c>
      <x:c r="R126" s="10" t="str">
        <x:f>'Evaluation Plan'!R126</x:f>
        <x:v>The airplane is smaller than every listed table comparator. Green-block scenes also include a trained larger endpoint so the counterfactual does not test largest×green.</x:v>
      </x:c>
      <x:c r="S126" s="10" t="str">
        <x:f>IF(ISBLANK('Evaluation Plan'!S126),"",'Evaluation Plan'!S126)</x:f>
      </x:c>
    </x:row>
    <x:row r="127" ht="68" customHeight="1">
      <x:c r="A127" s="8" t="str">
        <x:v>Not collected</x:v>
      </x:c>
      <x:c r="B127" s="8" t="n">
        <x:f>'Evaluation Plan'!B127</x:f>
        <x:v>125</x:v>
      </x:c>
      <x:c r="C127" s="7" t="str">
        <x:f>'Evaluation Plan'!C127</x:f>
        <x:v>Put the largest object in the bowl.</x:v>
      </x:c>
      <x:c r="D127" s="7" t="str">
        <x:f>'Evaluation Plan'!D127</x:f>
        <x:v>Bowl: empty. Table, robot-left→robot-right: P1 airplane toy with propellers; P2 green block; P3 juggling ball. Adjacent centers 12 cm apart; row centered on the workspace; all objects fully visible and grasp paths clear.</x:v>
      </x:c>
      <x:c r="E127" s="8" t="n">
        <x:f>IF(ISBLANK('Evaluation Plan'!E127),"",'Evaluation Plan'!E127)</x:f>
        <x:v>124</x:v>
      </x:c>
      <x:c r="F127" s="8" t="str">
        <x:f>'Evaluation Plan'!F127</x:f>
        <x:v>1128; airplane exposure 564</x:v>
      </x:c>
      <x:c r="G127" s="8" t="str">
        <x:f>'Evaluation Plan'!G127</x:f>
        <x:v>MOVE juggling ball to bowl</x:v>
      </x:c>
      <x:c r="H127" s="7"/>
      <x:c r="I127" s="8" t="str">
        <x:f>'Evaluation Plan'!I127</x:f>
        <x:v>Cross-task airplane counterfactual</x:v>
      </x:c>
      <x:c r="J127" s="8" t="str">
        <x:f>'Evaluation Plan'!J127</x:f>
        <x:v>SZ-XA08</x:v>
      </x:c>
      <x:c r="K127" s="8" t="str">
        <x:f>'Evaluation Plan'!K127</x:f>
        <x:v>largest</x:v>
      </x:c>
      <x:c r="L127" s="8" t="str">
        <x:f>'Evaluation Plan'!L127</x:f>
        <x:v>Exact-scene opposite-comparison reasoning control</x:v>
      </x:c>
      <x:c r="M127" s="8" t="str">
        <x:f>'Evaluation Plan'!M127</x:f>
        <x:v>juggling ball</x:v>
      </x:c>
      <x:c r="N127" s="8" t="str">
        <x:f>'Evaluation Plan'!N127</x:f>
        <x:v>Right</x:v>
      </x:c>
      <x:c r="O127" s="8" t="n">
        <x:f>'Evaluation Plan'!O127</x:f>
        <x:v>3</x:v>
      </x:c>
      <x:c r="P127" s="8" t="n">
        <x:f>IF(ISBLANK('Evaluation Plan'!P127),"",'Evaluation Plan'!P127)</x:f>
        <x:v>12</x:v>
      </x:c>
      <x:c r="Q127" s="8" t="str">
        <x:f>'Evaluation Plan'!Q127</x:f>
        <x:v>Reset the airplane; preserve the exact scene and reverse only the size comparison.</x:v>
      </x:c>
      <x:c r="R127" s="7" t="str">
        <x:f>'Evaluation Plan'!R127</x:f>
        <x:v>Reasoning-only counterfactual grounded by trained cell largest × juggling ball; an always-pick-airplane shortcut must fail.</x:v>
      </x:c>
      <x:c r="S127" s="7" t="str">
        <x:f>IF(ISBLANK('Evaluation Plan'!S127),"",'Evaluation Plan'!S127)</x:f>
      </x:c>
    </x:row>
    <x:row r="128" ht="68" customHeight="1">
      <x:c r="A128" s="9" t="str">
        <x:v>Not collected</x:v>
      </x:c>
      <x:c r="B128" s="9" t="n">
        <x:f>'Evaluation Plan'!B128</x:f>
        <x:v>126</x:v>
      </x:c>
      <x:c r="C128" s="10" t="str">
        <x:f>'Evaluation Plan'!C128</x:f>
        <x:v>Pick up the largest item and place it in the bowl.</x:v>
      </x:c>
      <x:c r="D128" s="10" t="str">
        <x:f>'Evaluation Plan'!D128</x:f>
        <x:v>Bowl: empty. Table, robot-left→robot-right: P1 airplane toy with propellers; P2 red pencil sharpener. Adjacent centers 12 cm apart; row shifted 4 cm away from the robot; all objects fully visible and grasp paths clear.</x:v>
      </x:c>
      <x:c r="E128" s="9" t="str">
        <x:f>IF(ISBLANK('Evaluation Plan'!E128),"",'Evaluation Plan'!E128)</x:f>
      </x:c>
      <x:c r="F128" s="9" t="str">
        <x:f>'Evaluation Plan'!F128</x:f>
        <x:v>airplane exposure 566</x:v>
      </x:c>
      <x:c r="G128" s="9" t="str">
        <x:f>'Evaluation Plan'!G128</x:f>
        <x:v>MOVE airplane toy with propellers to bowl</x:v>
      </x:c>
      <x:c r="H128" s="10"/>
      <x:c r="I128" s="9" t="str">
        <x:f>'Evaluation Plan'!I128</x:f>
        <x:v>Cross-task airplane reasoning</x:v>
      </x:c>
      <x:c r="J128" s="9" t="str">
        <x:f>'Evaluation Plan'!J128</x:f>
        <x:v>SZ-XA09</x:v>
      </x:c>
      <x:c r="K128" s="9" t="str">
        <x:f>'Evaluation Plan'!K128</x:f>
        <x:v>largest</x:v>
      </x:c>
      <x:c r="L128" s="9" t="str">
        <x:f>'Evaluation Plan'!L128</x:f>
        <x:v>Airplane is largest</x:v>
      </x:c>
      <x:c r="M128" s="9" t="str">
        <x:f>'Evaluation Plan'!M128</x:f>
        <x:v>airplane toy with propellers</x:v>
      </x:c>
      <x:c r="N128" s="9" t="str">
        <x:f>'Evaluation Plan'!N128</x:f>
        <x:v>Left</x:v>
      </x:c>
      <x:c r="O128" s="9" t="n">
        <x:f>'Evaluation Plan'!O128</x:f>
        <x:v>2</x:v>
      </x:c>
      <x:c r="P128" s="9" t="n">
        <x:f>IF(ISBLANK('Evaluation Plan'!P128),"",'Evaluation Plan'!P128)</x:f>
        <x:v>12</x:v>
      </x:c>
      <x:c r="Q128" s="9" t="str">
        <x:f>'Evaluation Plan'!Q128</x:f>
        <x:v>Build the listed airplane scene and save a first-frame filename.</x:v>
      </x:c>
      <x:c r="R128" s="10" t="str">
        <x:f>'Evaluation Plan'!R128</x:f>
        <x:v>The airplane is larger than the red pencil sharpener. It is known globally but never received size language in training.</x:v>
      </x:c>
      <x:c r="S128" s="10" t="str">
        <x:f>IF(ISBLANK('Evaluation Plan'!S128),"",'Evaluation Plan'!S128)</x:f>
      </x:c>
    </x:row>
    <x:row r="129" ht="68" customHeight="1">
      <x:c r="A129" s="8" t="str">
        <x:v>Not collected</x:v>
      </x:c>
      <x:c r="B129" s="8" t="n">
        <x:f>'Evaluation Plan'!B129</x:f>
        <x:v>127</x:v>
      </x:c>
      <x:c r="C129" s="7" t="str">
        <x:f>'Evaluation Plan'!C129</x:f>
        <x:v>Move the object that is smallest into the bowl.</x:v>
      </x:c>
      <x:c r="D129" s="7" t="str">
        <x:f>'Evaluation Plan'!D129</x:f>
        <x:v>Bowl: empty. Table, robot-left→robot-right: P1 airplane toy with propellers; P2 red pencil sharpener. Adjacent centers 12 cm apart; row shifted 4 cm away from the robot; all objects fully visible and grasp paths clear.</x:v>
      </x:c>
      <x:c r="E129" s="8" t="n">
        <x:f>IF(ISBLANK('Evaluation Plan'!E129),"",'Evaluation Plan'!E129)</x:f>
        <x:v>126</x:v>
      </x:c>
      <x:c r="F129" s="8" t="str">
        <x:f>'Evaluation Plan'!F129</x:f>
        <x:v>1009; airplane exposure 566</x:v>
      </x:c>
      <x:c r="G129" s="8" t="str">
        <x:f>'Evaluation Plan'!G129</x:f>
        <x:v>MOVE red pencil sharpener to bowl</x:v>
      </x:c>
      <x:c r="H129" s="7"/>
      <x:c r="I129" s="8" t="str">
        <x:f>'Evaluation Plan'!I129</x:f>
        <x:v>Cross-task airplane counterfactual</x:v>
      </x:c>
      <x:c r="J129" s="8" t="str">
        <x:f>'Evaluation Plan'!J129</x:f>
        <x:v>SZ-XA09</x:v>
      </x:c>
      <x:c r="K129" s="8" t="str">
        <x:f>'Evaluation Plan'!K129</x:f>
        <x:v>smallest</x:v>
      </x:c>
      <x:c r="L129" s="8" t="str">
        <x:f>'Evaluation Plan'!L129</x:f>
        <x:v>Exact-scene opposite-comparison reasoning control</x:v>
      </x:c>
      <x:c r="M129" s="8" t="str">
        <x:f>'Evaluation Plan'!M129</x:f>
        <x:v>red pencil sharpener</x:v>
      </x:c>
      <x:c r="N129" s="8" t="str">
        <x:f>'Evaluation Plan'!N129</x:f>
        <x:v>Right</x:v>
      </x:c>
      <x:c r="O129" s="8" t="n">
        <x:f>'Evaluation Plan'!O129</x:f>
        <x:v>2</x:v>
      </x:c>
      <x:c r="P129" s="8" t="n">
        <x:f>IF(ISBLANK('Evaluation Plan'!P129),"",'Evaluation Plan'!P129)</x:f>
        <x:v>12</x:v>
      </x:c>
      <x:c r="Q129" s="8" t="str">
        <x:f>'Evaluation Plan'!Q129</x:f>
        <x:v>Reset the airplane; preserve the exact scene and reverse only the size comparison.</x:v>
      </x:c>
      <x:c r="R129" s="7" t="str">
        <x:f>'Evaluation Plan'!R129</x:f>
        <x:v>Reasoning-only counterfactual grounded by trained cell smallest × red pencil sharpener; an always-pick-airplane shortcut must fail.</x:v>
      </x:c>
      <x:c r="S129" s="7" t="str">
        <x:f>IF(ISBLANK('Evaluation Plan'!S129),"",'Evaluation Plan'!S129)</x:f>
      </x:c>
    </x:row>
    <x:row r="130" ht="68" customHeight="1">
      <x:c r="A130" s="9" t="str">
        <x:v>Not collected</x:v>
      </x:c>
      <x:c r="B130" s="9" t="n">
        <x:f>'Evaluation Plan'!B130</x:f>
        <x:v>128</x:v>
      </x:c>
      <x:c r="C130" s="10" t="str">
        <x:f>'Evaluation Plan'!C130</x:f>
        <x:v>Put the smallest object in the bowl.</x:v>
      </x:c>
      <x:c r="D130" s="10" t="str">
        <x:f>'Evaluation Plan'!D130</x:f>
        <x:v>Bowl: empty. Table, robot-left→robot-right: P1 crushed Pepsi can; P2 juggling ball; P3 airplane toy with propellers. Adjacent centers 16 cm apart; row shifted 4 cm toward robot-left; all objects fully visible and grasp paths clear.</x:v>
      </x:c>
      <x:c r="E130" s="9" t="str">
        <x:f>IF(ISBLANK('Evaluation Plan'!E130),"",'Evaluation Plan'!E130)</x:f>
      </x:c>
      <x:c r="F130" s="9" t="str">
        <x:f>'Evaluation Plan'!F130</x:f>
        <x:v>airplane exposure 568</x:v>
      </x:c>
      <x:c r="G130" s="9" t="str">
        <x:f>'Evaluation Plan'!G130</x:f>
        <x:v>MOVE airplane toy with propellers to bowl</x:v>
      </x:c>
      <x:c r="H130" s="10"/>
      <x:c r="I130" s="9" t="str">
        <x:f>'Evaluation Plan'!I130</x:f>
        <x:v>Cross-task airplane reasoning</x:v>
      </x:c>
      <x:c r="J130" s="9" t="str">
        <x:f>'Evaluation Plan'!J130</x:f>
        <x:v>SZ-XA10</x:v>
      </x:c>
      <x:c r="K130" s="9" t="str">
        <x:f>'Evaluation Plan'!K130</x:f>
        <x:v>smallest</x:v>
      </x:c>
      <x:c r="L130" s="9" t="str">
        <x:f>'Evaluation Plan'!L130</x:f>
        <x:v>Airplane is smallest</x:v>
      </x:c>
      <x:c r="M130" s="9" t="str">
        <x:f>'Evaluation Plan'!M130</x:f>
        <x:v>airplane toy with propellers</x:v>
      </x:c>
      <x:c r="N130" s="9" t="str">
        <x:f>'Evaluation Plan'!N130</x:f>
        <x:v>Right</x:v>
      </x:c>
      <x:c r="O130" s="9" t="n">
        <x:f>'Evaluation Plan'!O130</x:f>
        <x:v>3</x:v>
      </x:c>
      <x:c r="P130" s="9" t="n">
        <x:f>IF(ISBLANK('Evaluation Plan'!P130),"",'Evaluation Plan'!P130)</x:f>
        <x:v>16</x:v>
      </x:c>
      <x:c r="Q130" s="9" t="str">
        <x:f>'Evaluation Plan'!Q130</x:f>
        <x:v>Build the listed airplane scene and save a first-frame filename.</x:v>
      </x:c>
      <x:c r="R130" s="10" t="str">
        <x:f>'Evaluation Plan'!R130</x:f>
        <x:v>The airplane is smaller than every listed table comparator. Green-block scenes also include a trained larger endpoint so the counterfactual does not test largest×green.</x:v>
      </x:c>
      <x:c r="S130" s="10" t="str">
        <x:f>IF(ISBLANK('Evaluation Plan'!S130),"",'Evaluation Plan'!S130)</x:f>
      </x:c>
    </x:row>
    <x:row r="131" ht="68" customHeight="1">
      <x:c r="A131" s="8" t="str">
        <x:v>Not collected</x:v>
      </x:c>
      <x:c r="B131" s="8" t="n">
        <x:f>'Evaluation Plan'!B131</x:f>
        <x:v>129</x:v>
      </x:c>
      <x:c r="C131" s="7" t="str">
        <x:f>'Evaluation Plan'!C131</x:f>
        <x:v>Move the object that is largest into the bowl.</x:v>
      </x:c>
      <x:c r="D131" s="7" t="str">
        <x:f>'Evaluation Plan'!D131</x:f>
        <x:v>Bowl: empty. Table, robot-left→robot-right: P1 crushed Pepsi can; P2 juggling ball; P3 airplane toy with propellers. Adjacent centers 16 cm apart; row shifted 4 cm toward robot-left; all objects fully visible and grasp paths clear.</x:v>
      </x:c>
      <x:c r="E131" s="8" t="n">
        <x:f>IF(ISBLANK('Evaluation Plan'!E131),"",'Evaluation Plan'!E131)</x:f>
        <x:v>128</x:v>
      </x:c>
      <x:c r="F131" s="8" t="str">
        <x:f>'Evaluation Plan'!F131</x:f>
        <x:v>1159; airplane exposure 568</x:v>
      </x:c>
      <x:c r="G131" s="8" t="str">
        <x:f>'Evaluation Plan'!G131</x:f>
        <x:v>MOVE crushed Pepsi can to bowl</x:v>
      </x:c>
      <x:c r="H131" s="7"/>
      <x:c r="I131" s="8" t="str">
        <x:f>'Evaluation Plan'!I131</x:f>
        <x:v>Cross-task airplane counterfactual</x:v>
      </x:c>
      <x:c r="J131" s="8" t="str">
        <x:f>'Evaluation Plan'!J131</x:f>
        <x:v>SZ-XA10</x:v>
      </x:c>
      <x:c r="K131" s="8" t="str">
        <x:f>'Evaluation Plan'!K131</x:f>
        <x:v>largest</x:v>
      </x:c>
      <x:c r="L131" s="8" t="str">
        <x:f>'Evaluation Plan'!L131</x:f>
        <x:v>Exact-scene opposite-comparison reasoning control</x:v>
      </x:c>
      <x:c r="M131" s="8" t="str">
        <x:f>'Evaluation Plan'!M131</x:f>
        <x:v>crushed Pepsi can</x:v>
      </x:c>
      <x:c r="N131" s="8" t="str">
        <x:f>'Evaluation Plan'!N131</x:f>
        <x:v>Left</x:v>
      </x:c>
      <x:c r="O131" s="8" t="n">
        <x:f>'Evaluation Plan'!O131</x:f>
        <x:v>3</x:v>
      </x:c>
      <x:c r="P131" s="8" t="n">
        <x:f>IF(ISBLANK('Evaluation Plan'!P131),"",'Evaluation Plan'!P131)</x:f>
        <x:v>16</x:v>
      </x:c>
      <x:c r="Q131" s="8" t="str">
        <x:f>'Evaluation Plan'!Q131</x:f>
        <x:v>Reset the airplane; preserve the exact scene and reverse only the size comparison.</x:v>
      </x:c>
      <x:c r="R131" s="7" t="str">
        <x:f>'Evaluation Plan'!R131</x:f>
        <x:v>Reasoning-only counterfactual grounded by trained cell largest × crushed Pepsi can; an always-pick-airplane shortcut must fail.</x:v>
      </x:c>
      <x:c r="S131" s="7" t="str">
        <x:f>IF(ISBLANK('Evaluation Plan'!S131),"",'Evaluation Plan'!S131)</x:f>
      </x:c>
    </x:row>
    <x:row r="132" ht="68" customHeight="1">
      <x:c r="A132" s="9" t="str">
        <x:v>Not collected</x:v>
      </x:c>
      <x:c r="B132" s="9" t="n">
        <x:f>'Evaluation Plan'!B132</x:f>
        <x:v>130</x:v>
      </x:c>
      <x:c r="C132" s="10" t="str">
        <x:f>'Evaluation Plan'!C132</x:f>
        <x:v>Move the object that is smallest into the bowl.</x:v>
      </x:c>
      <x:c r="D132" s="10" t="str">
        <x:f>'Evaluation Plan'!D132</x:f>
        <x:v>Bowl: red pencil sharpener. Table: green block. row centered on the workspace; every object fully visible. The requested extremal object is already in the bowl.</x:v>
      </x:c>
      <x:c r="E132" s="9" t="str">
        <x:f>IF(ISBLANK('Evaluation Plan'!E132),"",'Evaluation Plan'!E132)</x:f>
      </x:c>
      <x:c r="F132" s="9" t="str">
        <x:f>'Evaluation Plan'!F132</x:f>
        <x:v>1010</x:v>
      </x:c>
      <x:c r="G132" s="9" t="str">
        <x:f>'Evaluation Plan'!G132</x:f>
        <x:v>NO MOVEMENT — goal already satisfied</x:v>
      </x:c>
      <x:c r="H132" s="10"/>
      <x:c r="I132" s="9" t="str">
        <x:f>'Evaluation Plan'!I132</x:f>
        <x:v>Goal already satisfied / no movement</x:v>
      </x:c>
      <x:c r="J132" s="9" t="str">
        <x:f>'Evaluation Plan'!J132</x:f>
        <x:v>SZ-NOOP-1-1</x:v>
      </x:c>
      <x:c r="K132" s="9" t="str">
        <x:f>'Evaluation Plan'!K132</x:f>
        <x:v>smallest</x:v>
      </x:c>
      <x:c r="L132" s="9" t="str">
        <x:f>'Evaluation Plan'!L132</x:f>
        <x:v>Trained smallest × red pencil sharpener; target already in bowl</x:v>
      </x:c>
      <x:c r="M132" s="9" t="str">
        <x:f>'Evaluation Plan'!M132</x:f>
        <x:v>red pencil sharpener</x:v>
      </x:c>
      <x:c r="N132" s="9" t="str">
        <x:f>'Evaluation Plan'!N132</x:f>
        <x:v>In bowl</x:v>
      </x:c>
      <x:c r="O132" s="9" t="n">
        <x:f>'Evaluation Plan'!O132</x:f>
        <x:v>2</x:v>
      </x:c>
      <x:c r="P132" s="9" t="str">
        <x:f>IF(ISBLANK('Evaluation Plan'!P132),"",'Evaluation Plan'!P132)</x:f>
      </x:c>
      <x:c r="Q132" s="9" t="str">
        <x:f>'Evaluation Plan'!Q132</x:f>
        <x:v>Place the target in the bowl before starting; arrange the listed distractors on the table.</x:v>
      </x:c>
      <x:c r="R132" s="10" t="str">
        <x:f>'Evaluation Plan'!R132</x:f>
        <x:v>Normal training-supported size wording is retained, so no-movement behavior is not correlated with a special phrase. Success requires no object contact or displacement.</x:v>
      </x:c>
      <x:c r="S132" s="10" t="str">
        <x:f>IF(ISBLANK('Evaluation Plan'!S132),"",'Evaluation Plan'!S132)</x:f>
      </x:c>
    </x:row>
    <x:row r="133" ht="68" customHeight="1">
      <x:c r="A133" s="9" t="str">
        <x:v>Not collected</x:v>
      </x:c>
      <x:c r="B133" s="9" t="n">
        <x:f>'Evaluation Plan'!B133</x:f>
        <x:v>131</x:v>
      </x:c>
      <x:c r="C133" s="10" t="str">
        <x:f>'Evaluation Plan'!C133</x:f>
        <x:v>Pick up the smallest item and place it in the bowl.</x:v>
      </x:c>
      <x:c r="D133" s="10" t="str">
        <x:f>'Evaluation Plan'!D133</x:f>
        <x:v>Bowl: green block. Table: juggling ball. row shifted 4 cm toward robot-left; every object fully visible. The requested extremal object is already in the bowl.</x:v>
      </x:c>
      <x:c r="E133" s="9" t="str">
        <x:f>IF(ISBLANK('Evaluation Plan'!E133),"",'Evaluation Plan'!E133)</x:f>
      </x:c>
      <x:c r="F133" s="9" t="str">
        <x:f>'Evaluation Plan'!F133</x:f>
        <x:v>1055</x:v>
      </x:c>
      <x:c r="G133" s="9" t="str">
        <x:f>'Evaluation Plan'!G133</x:f>
        <x:v>NO MOVEMENT — goal already satisfied</x:v>
      </x:c>
      <x:c r="H133" s="10"/>
      <x:c r="I133" s="9" t="str">
        <x:f>'Evaluation Plan'!I133</x:f>
        <x:v>Goal already satisfied / no movement</x:v>
      </x:c>
      <x:c r="J133" s="9" t="str">
        <x:f>'Evaluation Plan'!J133</x:f>
        <x:v>SZ-NOOP-2-1</x:v>
      </x:c>
      <x:c r="K133" s="9" t="str">
        <x:f>'Evaluation Plan'!K133</x:f>
        <x:v>smallest</x:v>
      </x:c>
      <x:c r="L133" s="9" t="str">
        <x:f>'Evaluation Plan'!L133</x:f>
        <x:v>Trained smallest × green block; target already in bowl</x:v>
      </x:c>
      <x:c r="M133" s="9" t="str">
        <x:f>'Evaluation Plan'!M133</x:f>
        <x:v>green block</x:v>
      </x:c>
      <x:c r="N133" s="9" t="str">
        <x:f>'Evaluation Plan'!N133</x:f>
        <x:v>In bowl</x:v>
      </x:c>
      <x:c r="O133" s="9" t="n">
        <x:f>'Evaluation Plan'!O133</x:f>
        <x:v>2</x:v>
      </x:c>
      <x:c r="P133" s="9" t="str">
        <x:f>IF(ISBLANK('Evaluation Plan'!P133),"",'Evaluation Plan'!P133)</x:f>
      </x:c>
      <x:c r="Q133" s="9" t="str">
        <x:f>'Evaluation Plan'!Q133</x:f>
        <x:v>Place the target in the bowl before starting; arrange the listed distractors on the table.</x:v>
      </x:c>
      <x:c r="R133" s="10" t="str">
        <x:f>'Evaluation Plan'!R133</x:f>
        <x:v>Normal training-supported size wording is retained, so no-movement behavior is not correlated with a special phrase. Success requires no object contact or displacement.</x:v>
      </x:c>
      <x:c r="S133" s="10" t="str">
        <x:f>IF(ISBLANK('Evaluation Plan'!S133),"",'Evaluation Plan'!S133)</x:f>
      </x:c>
    </x:row>
    <x:row r="134" ht="68" customHeight="1">
      <x:c r="A134" s="9" t="str">
        <x:v>Not collected</x:v>
      </x:c>
      <x:c r="B134" s="9" t="n">
        <x:f>'Evaluation Plan'!B134</x:f>
        <x:v>132</x:v>
      </x:c>
      <x:c r="C134" s="10" t="str">
        <x:f>'Evaluation Plan'!C134</x:f>
        <x:v>Put the largest object in the bowl.</x:v>
      </x:c>
      <x:c r="D134" s="10" t="str">
        <x:f>'Evaluation Plan'!D134</x:f>
        <x:v>Bowl: juggling ball. Table: red pencil sharpener. row shifted 4 cm toward robot-right; every object fully visible. The requested extremal object is already in the bowl.</x:v>
      </x:c>
      <x:c r="E134" s="9" t="str">
        <x:f>IF(ISBLANK('Evaluation Plan'!E134),"",'Evaluation Plan'!E134)</x:f>
      </x:c>
      <x:c r="F134" s="9" t="str">
        <x:f>'Evaluation Plan'!F134</x:f>
        <x:v>1130</x:v>
      </x:c>
      <x:c r="G134" s="9" t="str">
        <x:f>'Evaluation Plan'!G134</x:f>
        <x:v>NO MOVEMENT — goal already satisfied</x:v>
      </x:c>
      <x:c r="H134" s="10"/>
      <x:c r="I134" s="9" t="str">
        <x:f>'Evaluation Plan'!I134</x:f>
        <x:v>Goal already satisfied / no movement</x:v>
      </x:c>
      <x:c r="J134" s="9" t="str">
        <x:f>'Evaluation Plan'!J134</x:f>
        <x:v>SZ-NOOP-3-1</x:v>
      </x:c>
      <x:c r="K134" s="9" t="str">
        <x:f>'Evaluation Plan'!K134</x:f>
        <x:v>largest</x:v>
      </x:c>
      <x:c r="L134" s="9" t="str">
        <x:f>'Evaluation Plan'!L134</x:f>
        <x:v>Trained largest × juggling ball; target already in bowl</x:v>
      </x:c>
      <x:c r="M134" s="9" t="str">
        <x:f>'Evaluation Plan'!M134</x:f>
        <x:v>juggling ball</x:v>
      </x:c>
      <x:c r="N134" s="9" t="str">
        <x:f>'Evaluation Plan'!N134</x:f>
        <x:v>In bowl</x:v>
      </x:c>
      <x:c r="O134" s="9" t="n">
        <x:f>'Evaluation Plan'!O134</x:f>
        <x:v>2</x:v>
      </x:c>
      <x:c r="P134" s="9" t="str">
        <x:f>IF(ISBLANK('Evaluation Plan'!P134),"",'Evaluation Plan'!P134)</x:f>
      </x:c>
      <x:c r="Q134" s="9" t="str">
        <x:f>'Evaluation Plan'!Q134</x:f>
        <x:v>Place the target in the bowl before starting; arrange the listed distractors on the table.</x:v>
      </x:c>
      <x:c r="R134" s="10" t="str">
        <x:f>'Evaluation Plan'!R134</x:f>
        <x:v>Normal training-supported size wording is retained, so no-movement behavior is not correlated with a special phrase. Success requires no object contact or displacement.</x:v>
      </x:c>
      <x:c r="S134" s="10" t="str">
        <x:f>IF(ISBLANK('Evaluation Plan'!S134),"",'Evaluation Plan'!S134)</x:f>
      </x:c>
    </x:row>
    <x:row r="135" ht="68" customHeight="1">
      <x:c r="A135" s="9" t="str">
        <x:v>Not collected</x:v>
      </x:c>
      <x:c r="B135" s="9" t="n">
        <x:f>'Evaluation Plan'!B135</x:f>
        <x:v>133</x:v>
      </x:c>
      <x:c r="C135" s="10" t="str">
        <x:f>'Evaluation Plan'!C135</x:f>
        <x:v>Move the object that is largest into the bowl.</x:v>
      </x:c>
      <x:c r="D135" s="10" t="str">
        <x:f>'Evaluation Plan'!D135</x:f>
        <x:v>Bowl: crushed Pepsi can. Table: juggling ball. row shifted 4 cm toward the robot; every object fully visible. The requested extremal object is already in the bowl.</x:v>
      </x:c>
      <x:c r="E135" s="9" t="str">
        <x:f>IF(ISBLANK('Evaluation Plan'!E135),"",'Evaluation Plan'!E135)</x:f>
      </x:c>
      <x:c r="F135" s="9" t="str">
        <x:f>'Evaluation Plan'!F135</x:f>
        <x:v>1160</x:v>
      </x:c>
      <x:c r="G135" s="9" t="str">
        <x:f>'Evaluation Plan'!G135</x:f>
        <x:v>NO MOVEMENT — goal already satisfied</x:v>
      </x:c>
      <x:c r="H135" s="10"/>
      <x:c r="I135" s="9" t="str">
        <x:f>'Evaluation Plan'!I135</x:f>
        <x:v>Goal already satisfied / no movement</x:v>
      </x:c>
      <x:c r="J135" s="9" t="str">
        <x:f>'Evaluation Plan'!J135</x:f>
        <x:v>SZ-NOOP-4-1</x:v>
      </x:c>
      <x:c r="K135" s="9" t="str">
        <x:f>'Evaluation Plan'!K135</x:f>
        <x:v>largest</x:v>
      </x:c>
      <x:c r="L135" s="9" t="str">
        <x:f>'Evaluation Plan'!L135</x:f>
        <x:v>Trained largest × crushed Pepsi can; target already in bowl</x:v>
      </x:c>
      <x:c r="M135" s="9" t="str">
        <x:f>'Evaluation Plan'!M135</x:f>
        <x:v>crushed Pepsi can</x:v>
      </x:c>
      <x:c r="N135" s="9" t="str">
        <x:f>'Evaluation Plan'!N135</x:f>
        <x:v>In bowl</x:v>
      </x:c>
      <x:c r="O135" s="9" t="n">
        <x:f>'Evaluation Plan'!O135</x:f>
        <x:v>2</x:v>
      </x:c>
      <x:c r="P135" s="9" t="str">
        <x:f>IF(ISBLANK('Evaluation Plan'!P135),"",'Evaluation Plan'!P135)</x:f>
      </x:c>
      <x:c r="Q135" s="9" t="str">
        <x:f>'Evaluation Plan'!Q135</x:f>
        <x:v>Place the target in the bowl before starting; arrange the listed distractors on the table.</x:v>
      </x:c>
      <x:c r="R135" s="10" t="str">
        <x:f>'Evaluation Plan'!R135</x:f>
        <x:v>Normal training-supported size wording is retained, so no-movement behavior is not correlated with a special phrase. Success requires no object contact or displacement.</x:v>
      </x:c>
      <x:c r="S135" s="10" t="str">
        <x:f>IF(ISBLANK('Evaluation Plan'!S135),"",'Evaluation Plan'!S135)</x:f>
      </x:c>
    </x:row>
    <x:row r="136" ht="68" customHeight="1">
      <x:c r="A136" s="9" t="str">
        <x:v>Not collected</x:v>
      </x:c>
      <x:c r="B136" s="9" t="n">
        <x:f>'Evaluation Plan'!B136</x:f>
        <x:v>134</x:v>
      </x:c>
      <x:c r="C136" s="10" t="str">
        <x:f>'Evaluation Plan'!C136</x:f>
        <x:v>Pick up the smallest item and place it in the bowl.</x:v>
      </x:c>
      <x:c r="D136" s="10" t="str">
        <x:f>'Evaluation Plan'!D136</x:f>
        <x:v>Bowl: red pencil sharpener. Table: juggling ball; crushed Pepsi can. row shifted 4 cm toward robot-left; every object fully visible. The requested extremal object is already in the bowl.</x:v>
      </x:c>
      <x:c r="E136" s="9" t="str">
        <x:f>IF(ISBLANK('Evaluation Plan'!E136),"",'Evaluation Plan'!E136)</x:f>
      </x:c>
      <x:c r="F136" s="9" t="str">
        <x:f>'Evaluation Plan'!F136</x:f>
        <x:v>1011</x:v>
      </x:c>
      <x:c r="G136" s="9" t="str">
        <x:f>'Evaluation Plan'!G136</x:f>
        <x:v>NO MOVEMENT — goal already satisfied</x:v>
      </x:c>
      <x:c r="H136" s="10"/>
      <x:c r="I136" s="9" t="str">
        <x:f>'Evaluation Plan'!I136</x:f>
        <x:v>Goal already satisfied / no movement</x:v>
      </x:c>
      <x:c r="J136" s="9" t="str">
        <x:f>'Evaluation Plan'!J136</x:f>
        <x:v>SZ-NOOP-1-2</x:v>
      </x:c>
      <x:c r="K136" s="9" t="str">
        <x:f>'Evaluation Plan'!K136</x:f>
        <x:v>smallest</x:v>
      </x:c>
      <x:c r="L136" s="9" t="str">
        <x:f>'Evaluation Plan'!L136</x:f>
        <x:v>Trained smallest × red pencil sharpener; target already in bowl</x:v>
      </x:c>
      <x:c r="M136" s="9" t="str">
        <x:f>'Evaluation Plan'!M136</x:f>
        <x:v>red pencil sharpener</x:v>
      </x:c>
      <x:c r="N136" s="9" t="str">
        <x:f>'Evaluation Plan'!N136</x:f>
        <x:v>In bowl</x:v>
      </x:c>
      <x:c r="O136" s="9" t="n">
        <x:f>'Evaluation Plan'!O136</x:f>
        <x:v>3</x:v>
      </x:c>
      <x:c r="P136" s="9" t="str">
        <x:f>IF(ISBLANK('Evaluation Plan'!P136),"",'Evaluation Plan'!P136)</x:f>
      </x:c>
      <x:c r="Q136" s="9" t="str">
        <x:f>'Evaluation Plan'!Q136</x:f>
        <x:v>Place the target in the bowl before starting; arrange the listed distractors on the table.</x:v>
      </x:c>
      <x:c r="R136" s="10" t="str">
        <x:f>'Evaluation Plan'!R136</x:f>
        <x:v>Normal training-supported size wording is retained, so no-movement behavior is not correlated with a special phrase. Success requires no object contact or displacement.</x:v>
      </x:c>
      <x:c r="S136" s="10" t="str">
        <x:f>IF(ISBLANK('Evaluation Plan'!S136),"",'Evaluation Plan'!S136)</x:f>
      </x:c>
    </x:row>
    <x:row r="137" ht="68" customHeight="1">
      <x:c r="A137" s="9" t="str">
        <x:v>Not collected</x:v>
      </x:c>
      <x:c r="B137" s="9" t="n">
        <x:f>'Evaluation Plan'!B137</x:f>
        <x:v>135</x:v>
      </x:c>
      <x:c r="C137" s="10" t="str">
        <x:f>'Evaluation Plan'!C137</x:f>
        <x:v>Put the smallest object in the bowl.</x:v>
      </x:c>
      <x:c r="D137" s="10" t="str">
        <x:f>'Evaluation Plan'!D137</x:f>
        <x:v>Bowl: green block. Table: crushed Pepsi can. row shifted 4 cm toward robot-right; every object fully visible. The requested extremal object is already in the bowl.</x:v>
      </x:c>
      <x:c r="E137" s="9" t="str">
        <x:f>IF(ISBLANK('Evaluation Plan'!E137),"",'Evaluation Plan'!E137)</x:f>
      </x:c>
      <x:c r="F137" s="9" t="str">
        <x:f>'Evaluation Plan'!F137</x:f>
        <x:v>1056</x:v>
      </x:c>
      <x:c r="G137" s="9" t="str">
        <x:f>'Evaluation Plan'!G137</x:f>
        <x:v>NO MOVEMENT — goal already satisfied</x:v>
      </x:c>
      <x:c r="H137" s="10"/>
      <x:c r="I137" s="9" t="str">
        <x:f>'Evaluation Plan'!I137</x:f>
        <x:v>Goal already satisfied / no movement</x:v>
      </x:c>
      <x:c r="J137" s="9" t="str">
        <x:f>'Evaluation Plan'!J137</x:f>
        <x:v>SZ-NOOP-2-2</x:v>
      </x:c>
      <x:c r="K137" s="9" t="str">
        <x:f>'Evaluation Plan'!K137</x:f>
        <x:v>smallest</x:v>
      </x:c>
      <x:c r="L137" s="9" t="str">
        <x:f>'Evaluation Plan'!L137</x:f>
        <x:v>Trained smallest × green block; target already in bowl</x:v>
      </x:c>
      <x:c r="M137" s="9" t="str">
        <x:f>'Evaluation Plan'!M137</x:f>
        <x:v>green block</x:v>
      </x:c>
      <x:c r="N137" s="9" t="str">
        <x:f>'Evaluation Plan'!N137</x:f>
        <x:v>In bowl</x:v>
      </x:c>
      <x:c r="O137" s="9" t="n">
        <x:f>'Evaluation Plan'!O137</x:f>
        <x:v>2</x:v>
      </x:c>
      <x:c r="P137" s="9" t="str">
        <x:f>IF(ISBLANK('Evaluation Plan'!P137),"",'Evaluation Plan'!P137)</x:f>
      </x:c>
      <x:c r="Q137" s="9" t="str">
        <x:f>'Evaluation Plan'!Q137</x:f>
        <x:v>Place the target in the bowl before starting; arrange the listed distractors on the table.</x:v>
      </x:c>
      <x:c r="R137" s="10" t="str">
        <x:f>'Evaluation Plan'!R137</x:f>
        <x:v>Normal training-supported size wording is retained, so no-movement behavior is not correlated with a special phrase. Success requires no object contact or displacement.</x:v>
      </x:c>
      <x:c r="S137" s="10" t="str">
        <x:f>IF(ISBLANK('Evaluation Plan'!S137),"",'Evaluation Plan'!S137)</x:f>
      </x:c>
    </x:row>
    <x:row r="138" ht="68" customHeight="1">
      <x:c r="A138" s="9" t="str">
        <x:v>Not collected</x:v>
      </x:c>
      <x:c r="B138" s="9" t="n">
        <x:f>'Evaluation Plan'!B138</x:f>
        <x:v>136</x:v>
      </x:c>
      <x:c r="C138" s="10" t="str">
        <x:f>'Evaluation Plan'!C138</x:f>
        <x:v>Move the object that is largest into the bowl.</x:v>
      </x:c>
      <x:c r="D138" s="10" t="str">
        <x:f>'Evaluation Plan'!D138</x:f>
        <x:v>Bowl: juggling ball. Table: green block. row shifted 4 cm toward the robot; every object fully visible. The requested extremal object is already in the bowl.</x:v>
      </x:c>
      <x:c r="E138" s="9" t="str">
        <x:f>IF(ISBLANK('Evaluation Plan'!E138),"",'Evaluation Plan'!E138)</x:f>
      </x:c>
      <x:c r="F138" s="9" t="str">
        <x:f>'Evaluation Plan'!F138</x:f>
        <x:v>1131</x:v>
      </x:c>
      <x:c r="G138" s="9" t="str">
        <x:f>'Evaluation Plan'!G138</x:f>
        <x:v>NO MOVEMENT — goal already satisfied</x:v>
      </x:c>
      <x:c r="H138" s="10"/>
      <x:c r="I138" s="9" t="str">
        <x:f>'Evaluation Plan'!I138</x:f>
        <x:v>Goal already satisfied / no movement</x:v>
      </x:c>
      <x:c r="J138" s="9" t="str">
        <x:f>'Evaluation Plan'!J138</x:f>
        <x:v>SZ-NOOP-3-2</x:v>
      </x:c>
      <x:c r="K138" s="9" t="str">
        <x:f>'Evaluation Plan'!K138</x:f>
        <x:v>largest</x:v>
      </x:c>
      <x:c r="L138" s="9" t="str">
        <x:f>'Evaluation Plan'!L138</x:f>
        <x:v>Trained largest × juggling ball; target already in bowl</x:v>
      </x:c>
      <x:c r="M138" s="9" t="str">
        <x:f>'Evaluation Plan'!M138</x:f>
        <x:v>juggling ball</x:v>
      </x:c>
      <x:c r="N138" s="9" t="str">
        <x:f>'Evaluation Plan'!N138</x:f>
        <x:v>In bowl</x:v>
      </x:c>
      <x:c r="O138" s="9" t="n">
        <x:f>'Evaluation Plan'!O138</x:f>
        <x:v>2</x:v>
      </x:c>
      <x:c r="P138" s="9" t="str">
        <x:f>IF(ISBLANK('Evaluation Plan'!P138),"",'Evaluation Plan'!P138)</x:f>
      </x:c>
      <x:c r="Q138" s="9" t="str">
        <x:f>'Evaluation Plan'!Q138</x:f>
        <x:v>Place the target in the bowl before starting; arrange the listed distractors on the table.</x:v>
      </x:c>
      <x:c r="R138" s="10" t="str">
        <x:f>'Evaluation Plan'!R138</x:f>
        <x:v>Normal training-supported size wording is retained, so no-movement behavior is not correlated with a special phrase. Success requires no object contact or displacement.</x:v>
      </x:c>
      <x:c r="S138" s="10" t="str">
        <x:f>IF(ISBLANK('Evaluation Plan'!S138),"",'Evaluation Plan'!S138)</x:f>
      </x:c>
    </x:row>
    <x:row r="139" ht="68" customHeight="1">
      <x:c r="A139" s="9" t="str">
        <x:v>Not collected</x:v>
      </x:c>
      <x:c r="B139" s="9" t="n">
        <x:f>'Evaluation Plan'!B139</x:f>
        <x:v>137</x:v>
      </x:c>
      <x:c r="C139" s="10" t="str">
        <x:f>'Evaluation Plan'!C139</x:f>
        <x:v>Pick up the largest item and place it in the bowl.</x:v>
      </x:c>
      <x:c r="D139" s="10" t="str">
        <x:f>'Evaluation Plan'!D139</x:f>
        <x:v>Bowl: crushed Pepsi can. Table: green block. row shifted 4 cm away from the robot; every object fully visible. The requested extremal object is already in the bowl.</x:v>
      </x:c>
      <x:c r="E139" s="9" t="str">
        <x:f>IF(ISBLANK('Evaluation Plan'!E139),"",'Evaluation Plan'!E139)</x:f>
      </x:c>
      <x:c r="F139" s="9" t="str">
        <x:f>'Evaluation Plan'!F139</x:f>
        <x:v>1161</x:v>
      </x:c>
      <x:c r="G139" s="9" t="str">
        <x:f>'Evaluation Plan'!G139</x:f>
        <x:v>NO MOVEMENT — goal already satisfied</x:v>
      </x:c>
      <x:c r="H139" s="10"/>
      <x:c r="I139" s="9" t="str">
        <x:f>'Evaluation Plan'!I139</x:f>
        <x:v>Goal already satisfied / no movement</x:v>
      </x:c>
      <x:c r="J139" s="9" t="str">
        <x:f>'Evaluation Plan'!J139</x:f>
        <x:v>SZ-NOOP-4-2</x:v>
      </x:c>
      <x:c r="K139" s="9" t="str">
        <x:f>'Evaluation Plan'!K139</x:f>
        <x:v>largest</x:v>
      </x:c>
      <x:c r="L139" s="9" t="str">
        <x:f>'Evaluation Plan'!L139</x:f>
        <x:v>Trained largest × crushed Pepsi can; target already in bowl</x:v>
      </x:c>
      <x:c r="M139" s="9" t="str">
        <x:f>'Evaluation Plan'!M139</x:f>
        <x:v>crushed Pepsi can</x:v>
      </x:c>
      <x:c r="N139" s="9" t="str">
        <x:f>'Evaluation Plan'!N139</x:f>
        <x:v>In bowl</x:v>
      </x:c>
      <x:c r="O139" s="9" t="n">
        <x:f>'Evaluation Plan'!O139</x:f>
        <x:v>2</x:v>
      </x:c>
      <x:c r="P139" s="9" t="str">
        <x:f>IF(ISBLANK('Evaluation Plan'!P139),"",'Evaluation Plan'!P139)</x:f>
      </x:c>
      <x:c r="Q139" s="9" t="str">
        <x:f>'Evaluation Plan'!Q139</x:f>
        <x:v>Place the target in the bowl before starting; arrange the listed distractors on the table.</x:v>
      </x:c>
      <x:c r="R139" s="10" t="str">
        <x:f>'Evaluation Plan'!R139</x:f>
        <x:v>Normal training-supported size wording is retained, so no-movement behavior is not correlated with a special phrase. Success requires no object contact or displacement.</x:v>
      </x:c>
      <x:c r="S139" s="10" t="str">
        <x:f>IF(ISBLANK('Evaluation Plan'!S139),"",'Evaluation Plan'!S139)</x:f>
      </x:c>
    </x:row>
    <x:row r="140" ht="68" customHeight="1">
      <x:c r="A140" s="9" t="str">
        <x:v>Not collected</x:v>
      </x:c>
      <x:c r="B140" s="9" t="n">
        <x:f>'Evaluation Plan'!B140</x:f>
        <x:v>138</x:v>
      </x:c>
      <x:c r="C140" s="10" t="str">
        <x:f>'Evaluation Plan'!C140</x:f>
        <x:v>Put the smallest object in the bowl.</x:v>
      </x:c>
      <x:c r="D140" s="10" t="str">
        <x:f>'Evaluation Plan'!D140</x:f>
        <x:v>Bowl: red pencil sharpener. Table: green block; juggling ball; crushed Pepsi can. row shifted 4 cm toward robot-right; every object fully visible. The requested extremal object is already in the bowl.</x:v>
      </x:c>
      <x:c r="E140" s="9" t="str">
        <x:f>IF(ISBLANK('Evaluation Plan'!E140),"",'Evaluation Plan'!E140)</x:f>
      </x:c>
      <x:c r="F140" s="9" t="str">
        <x:f>'Evaluation Plan'!F140</x:f>
        <x:v>1012</x:v>
      </x:c>
      <x:c r="G140" s="9" t="str">
        <x:f>'Evaluation Plan'!G140</x:f>
        <x:v>NO MOVEMENT — goal already satisfied</x:v>
      </x:c>
      <x:c r="H140" s="10"/>
      <x:c r="I140" s="9" t="str">
        <x:f>'Evaluation Plan'!I140</x:f>
        <x:v>Goal already satisfied / no movement</x:v>
      </x:c>
      <x:c r="J140" s="9" t="str">
        <x:f>'Evaluation Plan'!J140</x:f>
        <x:v>SZ-NOOP-1-3</x:v>
      </x:c>
      <x:c r="K140" s="9" t="str">
        <x:f>'Evaluation Plan'!K140</x:f>
        <x:v>smallest</x:v>
      </x:c>
      <x:c r="L140" s="9" t="str">
        <x:f>'Evaluation Plan'!L140</x:f>
        <x:v>Trained smallest × red pencil sharpener; target already in bowl</x:v>
      </x:c>
      <x:c r="M140" s="9" t="str">
        <x:f>'Evaluation Plan'!M140</x:f>
        <x:v>red pencil sharpener</x:v>
      </x:c>
      <x:c r="N140" s="9" t="str">
        <x:f>'Evaluation Plan'!N140</x:f>
        <x:v>In bowl</x:v>
      </x:c>
      <x:c r="O140" s="9" t="n">
        <x:f>'Evaluation Plan'!O140</x:f>
        <x:v>4</x:v>
      </x:c>
      <x:c r="P140" s="9" t="str">
        <x:f>IF(ISBLANK('Evaluation Plan'!P140),"",'Evaluation Plan'!P140)</x:f>
      </x:c>
      <x:c r="Q140" s="9" t="str">
        <x:f>'Evaluation Plan'!Q140</x:f>
        <x:v>Place the target in the bowl before starting; arrange the listed distractors on the table.</x:v>
      </x:c>
      <x:c r="R140" s="10" t="str">
        <x:f>'Evaluation Plan'!R140</x:f>
        <x:v>Normal training-supported size wording is retained, so no-movement behavior is not correlated with a special phrase. Success requires no object contact or displacement.</x:v>
      </x:c>
      <x:c r="S140" s="10" t="str">
        <x:f>IF(ISBLANK('Evaluation Plan'!S140),"",'Evaluation Plan'!S140)</x:f>
      </x:c>
    </x:row>
    <x:row r="141" ht="68" customHeight="1">
      <x:c r="A141" s="9" t="str">
        <x:v>Not collected</x:v>
      </x:c>
      <x:c r="B141" s="9" t="n">
        <x:f>'Evaluation Plan'!B141</x:f>
        <x:v>139</x:v>
      </x:c>
      <x:c r="C141" s="10" t="str">
        <x:f>'Evaluation Plan'!C141</x:f>
        <x:v>Move the object that is smallest into the bowl.</x:v>
      </x:c>
      <x:c r="D141" s="10" t="str">
        <x:f>'Evaluation Plan'!D141</x:f>
        <x:v>Bowl: green block. Table: juggling ball; crushed Pepsi can. row shifted 4 cm toward the robot; every object fully visible. The requested extremal object is already in the bowl.</x:v>
      </x:c>
      <x:c r="E141" s="9" t="str">
        <x:f>IF(ISBLANK('Evaluation Plan'!E141),"",'Evaluation Plan'!E141)</x:f>
      </x:c>
      <x:c r="F141" s="9" t="str">
        <x:f>'Evaluation Plan'!F141</x:f>
        <x:v>1057</x:v>
      </x:c>
      <x:c r="G141" s="9" t="str">
        <x:f>'Evaluation Plan'!G141</x:f>
        <x:v>NO MOVEMENT — goal already satisfied</x:v>
      </x:c>
      <x:c r="H141" s="10"/>
      <x:c r="I141" s="9" t="str">
        <x:f>'Evaluation Plan'!I141</x:f>
        <x:v>Goal already satisfied / no movement</x:v>
      </x:c>
      <x:c r="J141" s="9" t="str">
        <x:f>'Evaluation Plan'!J141</x:f>
        <x:v>SZ-NOOP-2-3</x:v>
      </x:c>
      <x:c r="K141" s="9" t="str">
        <x:f>'Evaluation Plan'!K141</x:f>
        <x:v>smallest</x:v>
      </x:c>
      <x:c r="L141" s="9" t="str">
        <x:f>'Evaluation Plan'!L141</x:f>
        <x:v>Trained smallest × green block; target already in bowl</x:v>
      </x:c>
      <x:c r="M141" s="9" t="str">
        <x:f>'Evaluation Plan'!M141</x:f>
        <x:v>green block</x:v>
      </x:c>
      <x:c r="N141" s="9" t="str">
        <x:f>'Evaluation Plan'!N141</x:f>
        <x:v>In bowl</x:v>
      </x:c>
      <x:c r="O141" s="9" t="n">
        <x:f>'Evaluation Plan'!O141</x:f>
        <x:v>3</x:v>
      </x:c>
      <x:c r="P141" s="9" t="str">
        <x:f>IF(ISBLANK('Evaluation Plan'!P141),"",'Evaluation Plan'!P141)</x:f>
      </x:c>
      <x:c r="Q141" s="9" t="str">
        <x:f>'Evaluation Plan'!Q141</x:f>
        <x:v>Place the target in the bowl before starting; arrange the listed distractors on the table.</x:v>
      </x:c>
      <x:c r="R141" s="10" t="str">
        <x:f>'Evaluation Plan'!R141</x:f>
        <x:v>Normal training-supported size wording is retained, so no-movement behavior is not correlated with a special phrase. Success requires no object contact or displacement.</x:v>
      </x:c>
      <x:c r="S141" s="10" t="str">
        <x:f>IF(ISBLANK('Evaluation Plan'!S141),"",'Evaluation Plan'!S141)</x:f>
      </x:c>
    </x:row>
    <x:row r="142" ht="68" customHeight="1">
      <x:c r="A142" s="9" t="str">
        <x:v>Not collected</x:v>
      </x:c>
      <x:c r="B142" s="9" t="n">
        <x:f>'Evaluation Plan'!B142</x:f>
        <x:v>140</x:v>
      </x:c>
      <x:c r="C142" s="10" t="str">
        <x:f>'Evaluation Plan'!C142</x:f>
        <x:v>Pick up the largest item and place it in the bowl.</x:v>
      </x:c>
      <x:c r="D142" s="10" t="str">
        <x:f>'Evaluation Plan'!D142</x:f>
        <x:v>Bowl: juggling ball. Table: red pencil sharpener; green block. row shifted 4 cm away from the robot; every object fully visible. The requested extremal object is already in the bowl.</x:v>
      </x:c>
      <x:c r="E142" s="9" t="str">
        <x:f>IF(ISBLANK('Evaluation Plan'!E142),"",'Evaluation Plan'!E142)</x:f>
      </x:c>
      <x:c r="F142" s="9" t="str">
        <x:f>'Evaluation Plan'!F142</x:f>
        <x:v>1132</x:v>
      </x:c>
      <x:c r="G142" s="9" t="str">
        <x:f>'Evaluation Plan'!G142</x:f>
        <x:v>NO MOVEMENT — goal already satisfied</x:v>
      </x:c>
      <x:c r="H142" s="10"/>
      <x:c r="I142" s="9" t="str">
        <x:f>'Evaluation Plan'!I142</x:f>
        <x:v>Goal already satisfied / no movement</x:v>
      </x:c>
      <x:c r="J142" s="9" t="str">
        <x:f>'Evaluation Plan'!J142</x:f>
        <x:v>SZ-NOOP-3-3</x:v>
      </x:c>
      <x:c r="K142" s="9" t="str">
        <x:f>'Evaluation Plan'!K142</x:f>
        <x:v>largest</x:v>
      </x:c>
      <x:c r="L142" s="9" t="str">
        <x:f>'Evaluation Plan'!L142</x:f>
        <x:v>Trained largest × juggling ball; target already in bowl</x:v>
      </x:c>
      <x:c r="M142" s="9" t="str">
        <x:f>'Evaluation Plan'!M142</x:f>
        <x:v>juggling ball</x:v>
      </x:c>
      <x:c r="N142" s="9" t="str">
        <x:f>'Evaluation Plan'!N142</x:f>
        <x:v>In bowl</x:v>
      </x:c>
      <x:c r="O142" s="9" t="n">
        <x:f>'Evaluation Plan'!O142</x:f>
        <x:v>3</x:v>
      </x:c>
      <x:c r="P142" s="9" t="str">
        <x:f>IF(ISBLANK('Evaluation Plan'!P142),"",'Evaluation Plan'!P142)</x:f>
      </x:c>
      <x:c r="Q142" s="9" t="str">
        <x:f>'Evaluation Plan'!Q142</x:f>
        <x:v>Place the target in the bowl before starting; arrange the listed distractors on the table.</x:v>
      </x:c>
      <x:c r="R142" s="10" t="str">
        <x:f>'Evaluation Plan'!R142</x:f>
        <x:v>Normal training-supported size wording is retained, so no-movement behavior is not correlated with a special phrase. Success requires no object contact or displacement.</x:v>
      </x:c>
      <x:c r="S142" s="10" t="str">
        <x:f>IF(ISBLANK('Evaluation Plan'!S142),"",'Evaluation Plan'!S142)</x:f>
      </x:c>
    </x:row>
    <x:row r="143" ht="68" customHeight="1">
      <x:c r="A143" s="9" t="str">
        <x:v>Not collected</x:v>
      </x:c>
      <x:c r="B143" s="9" t="n">
        <x:f>'Evaluation Plan'!B143</x:f>
        <x:v>141</x:v>
      </x:c>
      <x:c r="C143" s="10" t="str">
        <x:f>'Evaluation Plan'!C143</x:f>
        <x:v>Put the largest object in the bowl.</x:v>
      </x:c>
      <x:c r="D143" s="10" t="str">
        <x:f>'Evaluation Plan'!D143</x:f>
        <x:v>Bowl: crushed Pepsi can. Table: red pencil sharpener; green block; juggling ball. row centered on the workspace; every object fully visible. The requested extremal object is already in the bowl.</x:v>
      </x:c>
      <x:c r="E143" s="9" t="str">
        <x:f>IF(ISBLANK('Evaluation Plan'!E143),"",'Evaluation Plan'!E143)</x:f>
      </x:c>
      <x:c r="F143" s="9" t="str">
        <x:f>'Evaluation Plan'!F143</x:f>
        <x:v>1162</x:v>
      </x:c>
      <x:c r="G143" s="9" t="str">
        <x:f>'Evaluation Plan'!G143</x:f>
        <x:v>NO MOVEMENT — goal already satisfied</x:v>
      </x:c>
      <x:c r="H143" s="10"/>
      <x:c r="I143" s="9" t="str">
        <x:f>'Evaluation Plan'!I143</x:f>
        <x:v>Goal already satisfied / no movement</x:v>
      </x:c>
      <x:c r="J143" s="9" t="str">
        <x:f>'Evaluation Plan'!J143</x:f>
        <x:v>SZ-NOOP-4-3</x:v>
      </x:c>
      <x:c r="K143" s="9" t="str">
        <x:f>'Evaluation Plan'!K143</x:f>
        <x:v>largest</x:v>
      </x:c>
      <x:c r="L143" s="9" t="str">
        <x:f>'Evaluation Plan'!L143</x:f>
        <x:v>Trained largest × crushed Pepsi can; target already in bowl</x:v>
      </x:c>
      <x:c r="M143" s="9" t="str">
        <x:f>'Evaluation Plan'!M143</x:f>
        <x:v>crushed Pepsi can</x:v>
      </x:c>
      <x:c r="N143" s="9" t="str">
        <x:f>'Evaluation Plan'!N143</x:f>
        <x:v>In bowl</x:v>
      </x:c>
      <x:c r="O143" s="9" t="n">
        <x:f>'Evaluation Plan'!O143</x:f>
        <x:v>4</x:v>
      </x:c>
      <x:c r="P143" s="9" t="str">
        <x:f>IF(ISBLANK('Evaluation Plan'!P143),"",'Evaluation Plan'!P143)</x:f>
      </x:c>
      <x:c r="Q143" s="9" t="str">
        <x:f>'Evaluation Plan'!Q143</x:f>
        <x:v>Place the target in the bowl before starting; arrange the listed distractors on the table.</x:v>
      </x:c>
      <x:c r="R143" s="10" t="str">
        <x:f>'Evaluation Plan'!R143</x:f>
        <x:v>Normal training-supported size wording is retained, so no-movement behavior is not correlated with a special phrase. Success requires no object contact or displacement.</x:v>
      </x:c>
      <x:c r="S143" s="10" t="str">
        <x:f>IF(ISBLANK('Evaluation Plan'!S143),"",'Evaluation Plan'!S143)</x:f>
      </x:c>
    </x:row>
    <x:row r="144" ht="68" customHeight="1">
      <x:c r="A144" s="9" t="str">
        <x:v>Not collected</x:v>
      </x:c>
      <x:c r="B144" s="9" t="n">
        <x:f>'Evaluation Plan'!B144</x:f>
        <x:v>142</x:v>
      </x:c>
      <x:c r="C144" s="10" t="str">
        <x:f>'Evaluation Plan'!C144</x:f>
        <x:v>Move the object that is smallest into the bowl.</x:v>
      </x:c>
      <x:c r="D144" s="10" t="str">
        <x:f>'Evaluation Plan'!D144</x:f>
        <x:v>Bowl: red pencil sharpener. Table: juggling ball; crushed Pepsi can; green block. row shifted 4 cm toward the robot; every object fully visible. The requested extremal object is already in the bowl.</x:v>
      </x:c>
      <x:c r="E144" s="9" t="str">
        <x:f>IF(ISBLANK('Evaluation Plan'!E144),"",'Evaluation Plan'!E144)</x:f>
      </x:c>
      <x:c r="F144" s="9" t="str">
        <x:f>'Evaluation Plan'!F144</x:f>
        <x:v>1013</x:v>
      </x:c>
      <x:c r="G144" s="9" t="str">
        <x:f>'Evaluation Plan'!G144</x:f>
        <x:v>NO MOVEMENT — goal already satisfied</x:v>
      </x:c>
      <x:c r="H144" s="10"/>
      <x:c r="I144" s="9" t="str">
        <x:f>'Evaluation Plan'!I144</x:f>
        <x:v>Goal already satisfied / no movement</x:v>
      </x:c>
      <x:c r="J144" s="9" t="str">
        <x:f>'Evaluation Plan'!J144</x:f>
        <x:v>SZ-NOOP-1-4</x:v>
      </x:c>
      <x:c r="K144" s="9" t="str">
        <x:f>'Evaluation Plan'!K144</x:f>
        <x:v>smallest</x:v>
      </x:c>
      <x:c r="L144" s="9" t="str">
        <x:f>'Evaluation Plan'!L144</x:f>
        <x:v>Trained smallest × red pencil sharpener; target already in bowl</x:v>
      </x:c>
      <x:c r="M144" s="9" t="str">
        <x:f>'Evaluation Plan'!M144</x:f>
        <x:v>red pencil sharpener</x:v>
      </x:c>
      <x:c r="N144" s="9" t="str">
        <x:f>'Evaluation Plan'!N144</x:f>
        <x:v>In bowl</x:v>
      </x:c>
      <x:c r="O144" s="9" t="n">
        <x:f>'Evaluation Plan'!O144</x:f>
        <x:v>4</x:v>
      </x:c>
      <x:c r="P144" s="9" t="str">
        <x:f>IF(ISBLANK('Evaluation Plan'!P144),"",'Evaluation Plan'!P144)</x:f>
      </x:c>
      <x:c r="Q144" s="9" t="str">
        <x:f>'Evaluation Plan'!Q144</x:f>
        <x:v>Place the target in the bowl before starting; arrange the listed distractors on the table.</x:v>
      </x:c>
      <x:c r="R144" s="10" t="str">
        <x:f>'Evaluation Plan'!R144</x:f>
        <x:v>Normal training-supported size wording is retained, so no-movement behavior is not correlated with a special phrase. Success requires no object contact or displacement.</x:v>
      </x:c>
      <x:c r="S144" s="10" t="str">
        <x:f>IF(ISBLANK('Evaluation Plan'!S144),"",'Evaluation Plan'!S144)</x:f>
      </x:c>
    </x:row>
    <x:row r="145" ht="68" customHeight="1">
      <x:c r="A145" s="9" t="str">
        <x:v>Not collected</x:v>
      </x:c>
      <x:c r="B145" s="9" t="n">
        <x:f>'Evaluation Plan'!B145</x:f>
        <x:v>143</x:v>
      </x:c>
      <x:c r="C145" s="10" t="str">
        <x:f>'Evaluation Plan'!C145</x:f>
        <x:v>Pick up the smallest item and place it in the bowl.</x:v>
      </x:c>
      <x:c r="D145" s="10" t="str">
        <x:f>'Evaluation Plan'!D145</x:f>
        <x:v>Bowl: green block. Table: crushed Pepsi can; juggling ball. row shifted 4 cm away from the robot; every object fully visible. The requested extremal object is already in the bowl.</x:v>
      </x:c>
      <x:c r="E145" s="9" t="str">
        <x:f>IF(ISBLANK('Evaluation Plan'!E145),"",'Evaluation Plan'!E145)</x:f>
      </x:c>
      <x:c r="F145" s="9" t="str">
        <x:f>'Evaluation Plan'!F145</x:f>
        <x:v>1058</x:v>
      </x:c>
      <x:c r="G145" s="9" t="str">
        <x:f>'Evaluation Plan'!G145</x:f>
        <x:v>NO MOVEMENT — goal already satisfied</x:v>
      </x:c>
      <x:c r="H145" s="10"/>
      <x:c r="I145" s="9" t="str">
        <x:f>'Evaluation Plan'!I145</x:f>
        <x:v>Goal already satisfied / no movement</x:v>
      </x:c>
      <x:c r="J145" s="9" t="str">
        <x:f>'Evaluation Plan'!J145</x:f>
        <x:v>SZ-NOOP-2-4</x:v>
      </x:c>
      <x:c r="K145" s="9" t="str">
        <x:f>'Evaluation Plan'!K145</x:f>
        <x:v>smallest</x:v>
      </x:c>
      <x:c r="L145" s="9" t="str">
        <x:f>'Evaluation Plan'!L145</x:f>
        <x:v>Trained smallest × green block; target already in bowl</x:v>
      </x:c>
      <x:c r="M145" s="9" t="str">
        <x:f>'Evaluation Plan'!M145</x:f>
        <x:v>green block</x:v>
      </x:c>
      <x:c r="N145" s="9" t="str">
        <x:f>'Evaluation Plan'!N145</x:f>
        <x:v>In bowl</x:v>
      </x:c>
      <x:c r="O145" s="9" t="n">
        <x:f>'Evaluation Plan'!O145</x:f>
        <x:v>3</x:v>
      </x:c>
      <x:c r="P145" s="9" t="str">
        <x:f>IF(ISBLANK('Evaluation Plan'!P145),"",'Evaluation Plan'!P145)</x:f>
      </x:c>
      <x:c r="Q145" s="9" t="str">
        <x:f>'Evaluation Plan'!Q145</x:f>
        <x:v>Place the target in the bowl before starting; arrange the listed distractors on the table.</x:v>
      </x:c>
      <x:c r="R145" s="10" t="str">
        <x:f>'Evaluation Plan'!R145</x:f>
        <x:v>Normal training-supported size wording is retained, so no-movement behavior is not correlated with a special phrase. Success requires no object contact or displacement.</x:v>
      </x:c>
      <x:c r="S145" s="10" t="str">
        <x:f>IF(ISBLANK('Evaluation Plan'!S145),"",'Evaluation Plan'!S145)</x:f>
      </x:c>
    </x:row>
    <x:row r="146" ht="68" customHeight="1">
      <x:c r="A146" s="9" t="str">
        <x:v>Not collected</x:v>
      </x:c>
      <x:c r="B146" s="9" t="n">
        <x:f>'Evaluation Plan'!B146</x:f>
        <x:v>144</x:v>
      </x:c>
      <x:c r="C146" s="10" t="str">
        <x:f>'Evaluation Plan'!C146</x:f>
        <x:v>Put the largest object in the bowl.</x:v>
      </x:c>
      <x:c r="D146" s="10" t="str">
        <x:f>'Evaluation Plan'!D146</x:f>
        <x:v>Bowl: juggling ball. Table: green block; red pencil sharpener. row centered on the workspace; every object fully visible. The requested extremal object is already in the bowl.</x:v>
      </x:c>
      <x:c r="E146" s="9" t="str">
        <x:f>IF(ISBLANK('Evaluation Plan'!E146),"",'Evaluation Plan'!E146)</x:f>
      </x:c>
      <x:c r="F146" s="9" t="str">
        <x:f>'Evaluation Plan'!F146</x:f>
        <x:v>1133</x:v>
      </x:c>
      <x:c r="G146" s="9" t="str">
        <x:f>'Evaluation Plan'!G146</x:f>
        <x:v>NO MOVEMENT — goal already satisfied</x:v>
      </x:c>
      <x:c r="H146" s="10"/>
      <x:c r="I146" s="9" t="str">
        <x:f>'Evaluation Plan'!I146</x:f>
        <x:v>Goal already satisfied / no movement</x:v>
      </x:c>
      <x:c r="J146" s="9" t="str">
        <x:f>'Evaluation Plan'!J146</x:f>
        <x:v>SZ-NOOP-3-4</x:v>
      </x:c>
      <x:c r="K146" s="9" t="str">
        <x:f>'Evaluation Plan'!K146</x:f>
        <x:v>largest</x:v>
      </x:c>
      <x:c r="L146" s="9" t="str">
        <x:f>'Evaluation Plan'!L146</x:f>
        <x:v>Trained largest × juggling ball; target already in bowl</x:v>
      </x:c>
      <x:c r="M146" s="9" t="str">
        <x:f>'Evaluation Plan'!M146</x:f>
        <x:v>juggling ball</x:v>
      </x:c>
      <x:c r="N146" s="9" t="str">
        <x:f>'Evaluation Plan'!N146</x:f>
        <x:v>In bowl</x:v>
      </x:c>
      <x:c r="O146" s="9" t="n">
        <x:f>'Evaluation Plan'!O146</x:f>
        <x:v>3</x:v>
      </x:c>
      <x:c r="P146" s="9" t="str">
        <x:f>IF(ISBLANK('Evaluation Plan'!P146),"",'Evaluation Plan'!P146)</x:f>
      </x:c>
      <x:c r="Q146" s="9" t="str">
        <x:f>'Evaluation Plan'!Q146</x:f>
        <x:v>Place the target in the bowl before starting; arrange the listed distractors on the table.</x:v>
      </x:c>
      <x:c r="R146" s="10" t="str">
        <x:f>'Evaluation Plan'!R146</x:f>
        <x:v>Normal training-supported size wording is retained, so no-movement behavior is not correlated with a special phrase. Success requires no object contact or displacement.</x:v>
      </x:c>
      <x:c r="S146" s="10" t="str">
        <x:f>IF(ISBLANK('Evaluation Plan'!S146),"",'Evaluation Plan'!S146)</x:f>
      </x:c>
    </x:row>
    <x:row r="147" ht="68" customHeight="1">
      <x:c r="A147" s="9" t="str">
        <x:v>Not collected</x:v>
      </x:c>
      <x:c r="B147" s="9" t="n">
        <x:f>'Evaluation Plan'!B147</x:f>
        <x:v>145</x:v>
      </x:c>
      <x:c r="C147" s="10" t="str">
        <x:f>'Evaluation Plan'!C147</x:f>
        <x:v>Move the object that is largest into the bowl.</x:v>
      </x:c>
      <x:c r="D147" s="10" t="str">
        <x:f>'Evaluation Plan'!D147</x:f>
        <x:v>Bowl: crushed Pepsi can. Table: green block; juggling ball; red pencil sharpener. row shifted 4 cm toward robot-left; every object fully visible. The requested extremal object is already in the bowl.</x:v>
      </x:c>
      <x:c r="E147" s="9" t="str">
        <x:f>IF(ISBLANK('Evaluation Plan'!E147),"",'Evaluation Plan'!E147)</x:f>
      </x:c>
      <x:c r="F147" s="9" t="str">
        <x:f>'Evaluation Plan'!F147</x:f>
        <x:v>1163</x:v>
      </x:c>
      <x:c r="G147" s="9" t="str">
        <x:f>'Evaluation Plan'!G147</x:f>
        <x:v>NO MOVEMENT — goal already satisfied</x:v>
      </x:c>
      <x:c r="H147" s="10"/>
      <x:c r="I147" s="9" t="str">
        <x:f>'Evaluation Plan'!I147</x:f>
        <x:v>Goal already satisfied / no movement</x:v>
      </x:c>
      <x:c r="J147" s="9" t="str">
        <x:f>'Evaluation Plan'!J147</x:f>
        <x:v>SZ-NOOP-4-4</x:v>
      </x:c>
      <x:c r="K147" s="9" t="str">
        <x:f>'Evaluation Plan'!K147</x:f>
        <x:v>largest</x:v>
      </x:c>
      <x:c r="L147" s="9" t="str">
        <x:f>'Evaluation Plan'!L147</x:f>
        <x:v>Trained largest × crushed Pepsi can; target already in bowl</x:v>
      </x:c>
      <x:c r="M147" s="9" t="str">
        <x:f>'Evaluation Plan'!M147</x:f>
        <x:v>crushed Pepsi can</x:v>
      </x:c>
      <x:c r="N147" s="9" t="str">
        <x:f>'Evaluation Plan'!N147</x:f>
        <x:v>In bowl</x:v>
      </x:c>
      <x:c r="O147" s="9" t="n">
        <x:f>'Evaluation Plan'!O147</x:f>
        <x:v>4</x:v>
      </x:c>
      <x:c r="P147" s="9" t="str">
        <x:f>IF(ISBLANK('Evaluation Plan'!P147),"",'Evaluation Plan'!P147)</x:f>
      </x:c>
      <x:c r="Q147" s="9" t="str">
        <x:f>'Evaluation Plan'!Q147</x:f>
        <x:v>Place the target in the bowl before starting; arrange the listed distractors on the table.</x:v>
      </x:c>
      <x:c r="R147" s="10" t="str">
        <x:f>'Evaluation Plan'!R147</x:f>
        <x:v>Normal training-supported size wording is retained, so no-movement behavior is not correlated with a special phrase. Success requires no object contact or displacement.</x:v>
      </x:c>
      <x:c r="S147" s="10" t="str">
        <x:f>IF(ISBLANK('Evaluation Plan'!S147),"",'Evaluation Plan'!S147)</x:f>
      </x:c>
    </x:row>
    <x:row r="148" ht="68" customHeight="1">
      <x:c r="A148" s="9" t="str">
        <x:v>Not collected</x:v>
      </x:c>
      <x:c r="B148" s="9" t="n">
        <x:f>'Evaluation Plan'!B148</x:f>
        <x:v>146</x:v>
      </x:c>
      <x:c r="C148" s="10" t="str">
        <x:f>'Evaluation Plan'!C148</x:f>
        <x:v>Pick up the smallest item and place it in the bowl.</x:v>
      </x:c>
      <x:c r="D148" s="10" t="str">
        <x:f>'Evaluation Plan'!D148</x:f>
        <x:v>Bowl: red pencil sharpener. Table: crushed Pepsi can; green block; juggling ball. row shifted 4 cm away from the robot; every object fully visible. The requested extremal object is already in the bowl.</x:v>
      </x:c>
      <x:c r="E148" s="9" t="str">
        <x:f>IF(ISBLANK('Evaluation Plan'!E148),"",'Evaluation Plan'!E148)</x:f>
      </x:c>
      <x:c r="F148" s="9" t="str">
        <x:f>'Evaluation Plan'!F148</x:f>
        <x:v>1014</x:v>
      </x:c>
      <x:c r="G148" s="9" t="str">
        <x:f>'Evaluation Plan'!G148</x:f>
        <x:v>NO MOVEMENT — goal already satisfied</x:v>
      </x:c>
      <x:c r="H148" s="10"/>
      <x:c r="I148" s="9" t="str">
        <x:f>'Evaluation Plan'!I148</x:f>
        <x:v>Goal already satisfied / no movement</x:v>
      </x:c>
      <x:c r="J148" s="9" t="str">
        <x:f>'Evaluation Plan'!J148</x:f>
        <x:v>SZ-NOOP-1-5</x:v>
      </x:c>
      <x:c r="K148" s="9" t="str">
        <x:f>'Evaluation Plan'!K148</x:f>
        <x:v>smallest</x:v>
      </x:c>
      <x:c r="L148" s="9" t="str">
        <x:f>'Evaluation Plan'!L148</x:f>
        <x:v>Trained smallest × red pencil sharpener; target already in bowl</x:v>
      </x:c>
      <x:c r="M148" s="9" t="str">
        <x:f>'Evaluation Plan'!M148</x:f>
        <x:v>red pencil sharpener</x:v>
      </x:c>
      <x:c r="N148" s="9" t="str">
        <x:f>'Evaluation Plan'!N148</x:f>
        <x:v>In bowl</x:v>
      </x:c>
      <x:c r="O148" s="9" t="n">
        <x:f>'Evaluation Plan'!O148</x:f>
        <x:v>4</x:v>
      </x:c>
      <x:c r="P148" s="9" t="str">
        <x:f>IF(ISBLANK('Evaluation Plan'!P148),"",'Evaluation Plan'!P148)</x:f>
      </x:c>
      <x:c r="Q148" s="9" t="str">
        <x:f>'Evaluation Plan'!Q148</x:f>
        <x:v>Place the target in the bowl before starting; arrange the listed distractors on the table.</x:v>
      </x:c>
      <x:c r="R148" s="10" t="str">
        <x:f>'Evaluation Plan'!R148</x:f>
        <x:v>Normal training-supported size wording is retained, so no-movement behavior is not correlated with a special phrase. Success requires no object contact or displacement.</x:v>
      </x:c>
      <x:c r="S148" s="10" t="str">
        <x:f>IF(ISBLANK('Evaluation Plan'!S148),"",'Evaluation Plan'!S148)</x:f>
      </x:c>
    </x:row>
    <x:row r="149" ht="68" customHeight="1">
      <x:c r="A149" s="9" t="str">
        <x:v>Not collected</x:v>
      </x:c>
      <x:c r="B149" s="9" t="n">
        <x:f>'Evaluation Plan'!B149</x:f>
        <x:v>147</x:v>
      </x:c>
      <x:c r="C149" s="10" t="str">
        <x:f>'Evaluation Plan'!C149</x:f>
        <x:v>Put the smallest object in the bowl.</x:v>
      </x:c>
      <x:c r="D149" s="10" t="str">
        <x:f>'Evaluation Plan'!D149</x:f>
        <x:v>Bowl: green block. Table: juggling ball; crushed Pepsi can. row centered on the workspace; every object fully visible. The requested extremal object is already in the bowl.</x:v>
      </x:c>
      <x:c r="E149" s="9" t="str">
        <x:f>IF(ISBLANK('Evaluation Plan'!E149),"",'Evaluation Plan'!E149)</x:f>
      </x:c>
      <x:c r="F149" s="9" t="str">
        <x:f>'Evaluation Plan'!F149</x:f>
        <x:v>1059</x:v>
      </x:c>
      <x:c r="G149" s="9" t="str">
        <x:f>'Evaluation Plan'!G149</x:f>
        <x:v>NO MOVEMENT — goal already satisfied</x:v>
      </x:c>
      <x:c r="H149" s="10"/>
      <x:c r="I149" s="9" t="str">
        <x:f>'Evaluation Plan'!I149</x:f>
        <x:v>Goal already satisfied / no movement</x:v>
      </x:c>
      <x:c r="J149" s="9" t="str">
        <x:f>'Evaluation Plan'!J149</x:f>
        <x:v>SZ-NOOP-2-5</x:v>
      </x:c>
      <x:c r="K149" s="9" t="str">
        <x:f>'Evaluation Plan'!K149</x:f>
        <x:v>smallest</x:v>
      </x:c>
      <x:c r="L149" s="9" t="str">
        <x:f>'Evaluation Plan'!L149</x:f>
        <x:v>Trained smallest × green block; target already in bowl</x:v>
      </x:c>
      <x:c r="M149" s="9" t="str">
        <x:f>'Evaluation Plan'!M149</x:f>
        <x:v>green block</x:v>
      </x:c>
      <x:c r="N149" s="9" t="str">
        <x:f>'Evaluation Plan'!N149</x:f>
        <x:v>In bowl</x:v>
      </x:c>
      <x:c r="O149" s="9" t="n">
        <x:f>'Evaluation Plan'!O149</x:f>
        <x:v>3</x:v>
      </x:c>
      <x:c r="P149" s="9" t="str">
        <x:f>IF(ISBLANK('Evaluation Plan'!P149),"",'Evaluation Plan'!P149)</x:f>
      </x:c>
      <x:c r="Q149" s="9" t="str">
        <x:f>'Evaluation Plan'!Q149</x:f>
        <x:v>Place the target in the bowl before starting; arrange the listed distractors on the table.</x:v>
      </x:c>
      <x:c r="R149" s="10" t="str">
        <x:f>'Evaluation Plan'!R149</x:f>
        <x:v>Normal training-supported size wording is retained, so no-movement behavior is not correlated with a special phrase. Success requires no object contact or displacement.</x:v>
      </x:c>
      <x:c r="S149" s="10" t="str">
        <x:f>IF(ISBLANK('Evaluation Plan'!S149),"",'Evaluation Plan'!S149)</x:f>
      </x:c>
    </x:row>
    <x:row r="150" ht="68" customHeight="1">
      <x:c r="A150" s="9" t="str">
        <x:v>Not collected</x:v>
      </x:c>
      <x:c r="B150" s="9" t="n">
        <x:f>'Evaluation Plan'!B150</x:f>
        <x:v>148</x:v>
      </x:c>
      <x:c r="C150" s="10" t="str">
        <x:f>'Evaluation Plan'!C150</x:f>
        <x:v>Move the object that is largest into the bowl.</x:v>
      </x:c>
      <x:c r="D150" s="10" t="str">
        <x:f>'Evaluation Plan'!D150</x:f>
        <x:v>Bowl: juggling ball. Table: red pencil sharpener; green block. row shifted 4 cm toward robot-left; every object fully visible. The requested extremal object is already in the bowl.</x:v>
      </x:c>
      <x:c r="E150" s="9" t="str">
        <x:f>IF(ISBLANK('Evaluation Plan'!E150),"",'Evaluation Plan'!E150)</x:f>
      </x:c>
      <x:c r="F150" s="9" t="str">
        <x:f>'Evaluation Plan'!F150</x:f>
        <x:v>1134</x:v>
      </x:c>
      <x:c r="G150" s="9" t="str">
        <x:f>'Evaluation Plan'!G150</x:f>
        <x:v>NO MOVEMENT — goal already satisfied</x:v>
      </x:c>
      <x:c r="H150" s="10"/>
      <x:c r="I150" s="9" t="str">
        <x:f>'Evaluation Plan'!I150</x:f>
        <x:v>Goal already satisfied / no movement</x:v>
      </x:c>
      <x:c r="J150" s="9" t="str">
        <x:f>'Evaluation Plan'!J150</x:f>
        <x:v>SZ-NOOP-3-5</x:v>
      </x:c>
      <x:c r="K150" s="9" t="str">
        <x:f>'Evaluation Plan'!K150</x:f>
        <x:v>largest</x:v>
      </x:c>
      <x:c r="L150" s="9" t="str">
        <x:f>'Evaluation Plan'!L150</x:f>
        <x:v>Trained largest × juggling ball; target already in bowl</x:v>
      </x:c>
      <x:c r="M150" s="9" t="str">
        <x:f>'Evaluation Plan'!M150</x:f>
        <x:v>juggling ball</x:v>
      </x:c>
      <x:c r="N150" s="9" t="str">
        <x:f>'Evaluation Plan'!N150</x:f>
        <x:v>In bowl</x:v>
      </x:c>
      <x:c r="O150" s="9" t="n">
        <x:f>'Evaluation Plan'!O150</x:f>
        <x:v>3</x:v>
      </x:c>
      <x:c r="P150" s="9" t="str">
        <x:f>IF(ISBLANK('Evaluation Plan'!P150),"",'Evaluation Plan'!P150)</x:f>
      </x:c>
      <x:c r="Q150" s="9" t="str">
        <x:f>'Evaluation Plan'!Q150</x:f>
        <x:v>Place the target in the bowl before starting; arrange the listed distractors on the table.</x:v>
      </x:c>
      <x:c r="R150" s="10" t="str">
        <x:f>'Evaluation Plan'!R150</x:f>
        <x:v>Normal training-supported size wording is retained, so no-movement behavior is not correlated with a special phrase. Success requires no object contact or displacement.</x:v>
      </x:c>
      <x:c r="S150" s="10" t="str">
        <x:f>IF(ISBLANK('Evaluation Plan'!S150),"",'Evaluation Plan'!S150)</x:f>
      </x:c>
    </x:row>
    <x:row r="151" ht="68" customHeight="1">
      <x:c r="A151" s="9" t="str">
        <x:v>Not collected</x:v>
      </x:c>
      <x:c r="B151" s="9" t="n">
        <x:f>'Evaluation Plan'!B151</x:f>
        <x:v>149</x:v>
      </x:c>
      <x:c r="C151" s="10" t="str">
        <x:f>'Evaluation Plan'!C151</x:f>
        <x:v>Pick up the largest item and place it in the bowl.</x:v>
      </x:c>
      <x:c r="D151" s="10" t="str">
        <x:f>'Evaluation Plan'!D151</x:f>
        <x:v>Bowl: crushed Pepsi can. Table: juggling ball; red pencil sharpener; green block. row shifted 4 cm toward robot-right; every object fully visible. The requested extremal object is already in the bowl.</x:v>
      </x:c>
      <x:c r="E151" s="9" t="str">
        <x:f>IF(ISBLANK('Evaluation Plan'!E151),"",'Evaluation Plan'!E151)</x:f>
      </x:c>
      <x:c r="F151" s="9" t="str">
        <x:f>'Evaluation Plan'!F151</x:f>
        <x:v>1164</x:v>
      </x:c>
      <x:c r="G151" s="9" t="str">
        <x:f>'Evaluation Plan'!G151</x:f>
        <x:v>NO MOVEMENT — goal already satisfied</x:v>
      </x:c>
      <x:c r="H151" s="10"/>
      <x:c r="I151" s="9" t="str">
        <x:f>'Evaluation Plan'!I151</x:f>
        <x:v>Goal already satisfied / no movement</x:v>
      </x:c>
      <x:c r="J151" s="9" t="str">
        <x:f>'Evaluation Plan'!J151</x:f>
        <x:v>SZ-NOOP-4-5</x:v>
      </x:c>
      <x:c r="K151" s="9" t="str">
        <x:f>'Evaluation Plan'!K151</x:f>
        <x:v>largest</x:v>
      </x:c>
      <x:c r="L151" s="9" t="str">
        <x:f>'Evaluation Plan'!L151</x:f>
        <x:v>Trained largest × crushed Pepsi can; target already in bowl</x:v>
      </x:c>
      <x:c r="M151" s="9" t="str">
        <x:f>'Evaluation Plan'!M151</x:f>
        <x:v>crushed Pepsi can</x:v>
      </x:c>
      <x:c r="N151" s="9" t="str">
        <x:f>'Evaluation Plan'!N151</x:f>
        <x:v>In bowl</x:v>
      </x:c>
      <x:c r="O151" s="9" t="n">
        <x:f>'Evaluation Plan'!O151</x:f>
        <x:v>4</x:v>
      </x:c>
      <x:c r="P151" s="9" t="str">
        <x:f>IF(ISBLANK('Evaluation Plan'!P151),"",'Evaluation Plan'!P151)</x:f>
      </x:c>
      <x:c r="Q151" s="9" t="str">
        <x:f>'Evaluation Plan'!Q151</x:f>
        <x:v>Place the target in the bowl before starting; arrange the listed distractors on the table.</x:v>
      </x:c>
      <x:c r="R151" s="10" t="str">
        <x:f>'Evaluation Plan'!R151</x:f>
        <x:v>Normal training-supported size wording is retained, so no-movement behavior is not correlated with a special phrase. Success requires no object contact or displacement.</x:v>
      </x:c>
      <x:c r="S151" s="10" t="str">
        <x:f>IF(ISBLANK('Evaluation Plan'!S151),"",'Evaluation Plan'!S151)</x:f>
      </x:c>
    </x:row>
  </x:sheetData>
  <x:conditionalFormatting sqref="A2:S151">
    <x:cfRule type="expression" dxfId="18" priority="1">
      <x:formula>$A2="Success"</x:formula>
    </x:cfRule>
    <x:cfRule type="expression" dxfId="19" priority="2">
      <x:formula>$A2="Failure"</x:formula>
    </x:cfRule>
  </x:conditionalFormatting>
  <x:conditionalFormatting sqref="I2:I151">
    <x:cfRule type="containsText" dxfId="20" priority="3" operator="containsText" text="In-distribution"/>
    <x:cfRule type="containsText" dxfId="21" priority="4" operator="containsText" text="Concept/compositional"/>
    <x:cfRule type="containsText" dxfId="22" priority="5" operator="containsText" text="Matched manipulation"/>
    <x:cfRule type="containsText" dxfId="23" priority="6" operator="containsText" text="Language robustness"/>
    <x:cfRule type="containsText" dxfId="24" priority="7" operator="containsText" text="Cross-task"/>
    <x:cfRule type="containsText" dxfId="25" priority="8" operator="containsText" text="Goal already"/>
  </x:conditionalFormatting>
  <x:dataValidations count="1">
    <x:dataValidation type="list" sqref="A2:A151">
      <x:formula1>"Not collected,Success,Failure"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48a6470a030405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9" hidden="0" customWidth="1"/>
    <x:col min="3" max="3" width="51" hidden="0" customWidth="1"/>
    <x:col min="4" max="4" width="78" hidden="0" customWidth="1"/>
    <x:col min="5" max="5" width="14" hidden="0" customWidth="1"/>
    <x:col min="6" max="6" width="24" hidden="0" customWidth="1"/>
    <x:col min="7" max="7" width="34" hidden="0" customWidth="1"/>
    <x:col min="8" max="8" width="42" hidden="0" customWidth="1"/>
    <x:col min="9" max="9" width="33" hidden="0" customWidth="1"/>
    <x:col min="10" max="10" width="18" hidden="0" customWidth="1"/>
    <x:col min="11" max="11" width="13" hidden="0" customWidth="1"/>
    <x:col min="12" max="12" width="50" hidden="0" customWidth="1"/>
    <x:col min="13" max="13" width="34" hidden="0" customWidth="1"/>
    <x:col min="14" max="14" width="12" hidden="0" customWidth="1"/>
    <x:col min="15" max="15" width="12" hidden="0" customWidth="1"/>
    <x:col min="16" max="16" width="14" hidden="0" customWidth="1"/>
    <x:col min="17" max="17" width="64" hidden="0" customWidth="1"/>
    <x:col min="18" max="18" width="80" hidden="0" customWidth="1"/>
    <x:col min="19" max="19" width="30" hidden="0" customWidth="1"/>
  </x:cols>
  <x:sheetData>
    <x:row r="1" ht="40" customHeight="1">
      <x:c r="A1" s="5" t="str">
        <x:v>Status</x:v>
      </x:c>
      <x:c r="B1" s="5" t="str">
        <x:v>Episode</x:v>
      </x:c>
      <x:c r="C1" s="5" t="str">
        <x:v>Prompt</x:v>
      </x:c>
      <x:c r="D1" s="5" t="str">
        <x:v>Scene Setup</x:v>
      </x:c>
      <x:c r="E1" s="5" t="str">
        <x:v>Reference Episode</x:v>
      </x:c>
      <x:c r="F1" s="5" t="str">
        <x:v>Original Training Episode(s)</x:v>
      </x:c>
      <x:c r="G1" s="5" t="str">
        <x:v>Expected Target / Action</x:v>
      </x:c>
      <x:c r="H1" s="5" t="str">
        <x:v>Observations</x:v>
      </x:c>
      <x:c r="I1" s="5" t="str">
        <x:v>Condition</x:v>
      </x:c>
      <x:c r="J1" s="5" t="str">
        <x:v>Scene Family</x:v>
      </x:c>
      <x:c r="K1" s="5" t="str">
        <x:v>Comparison</x:v>
      </x:c>
      <x:c r="L1" s="5" t="str">
        <x:v>Tested Cell / Role</x:v>
      </x:c>
      <x:c r="M1" s="5" t="str">
        <x:v>Target Object</x:v>
      </x:c>
      <x:c r="N1" s="5" t="str">
        <x:v>Target Side</x:v>
      </x:c>
      <x:c r="O1" s="5" t="str">
        <x:v>Object Count</x:v>
      </x:c>
      <x:c r="P1" s="5" t="str">
        <x:v>Separation (cm)</x:v>
      </x:c>
      <x:c r="Q1" s="5" t="str">
        <x:v>Setup Change from Previous</x:v>
      </x:c>
      <x:c r="R1" s="5" t="str">
        <x:v>Design Note</x:v>
      </x:c>
      <x:c r="S1" s="5" t="str">
        <x:v>Reference Media Filename</x:v>
      </x:c>
    </x:row>
    <x:row r="2" ht="68" customHeight="1">
      <x:c r="A2" s="9" t="str">
        <x:v>Not collected</x:v>
      </x:c>
      <x:c r="B2" s="9" t="n">
        <x:f>'Evaluation Plan'!B2</x:f>
        <x:v>0</x:v>
      </x:c>
      <x:c r="C2" s="10" t="str">
        <x:f>'Evaluation Plan'!C2</x:f>
        <x:v>Move the object that is smallest into the bowl.</x:v>
      </x:c>
      <x:c r="D2" s="10" t="str">
        <x:f>'Evaluation Plan'!D2</x:f>
        <x:v>Bowl: empty. Table, robot-left→robot-right: P1 red pencil sharpener; P2 green block; P3 juggling ball; P4 crushed Pepsi can. Adjacent centers 8 cm apart; row centered on the workspace; all objects fully visible and grasp paths clear.</x:v>
      </x:c>
      <x:c r="E2" s="9" t="str">
        <x:f>IF(ISBLANK('Evaluation Plan'!E2),"",'Evaluation Plan'!E2)</x:f>
      </x:c>
      <x:c r="F2" s="9" t="str">
        <x:f>'Evaluation Plan'!F2</x:f>
        <x:v>1005</x:v>
      </x:c>
      <x:c r="G2" s="9" t="str">
        <x:f>'Evaluation Plan'!G2</x:f>
        <x:v>MOVE red pencil sharpener to bowl</x:v>
      </x:c>
      <x:c r="H2" s="10"/>
      <x:c r="I2" s="9" t="str">
        <x:f>'Evaluation Plan'!I2</x:f>
        <x:v>In-distribution concept baseline</x:v>
      </x:c>
      <x:c r="J2" s="9" t="str">
        <x:f>'Evaluation Plan'!J2</x:f>
        <x:v>SZ-ID-SH01</x:v>
      </x:c>
      <x:c r="K2" s="9" t="str">
        <x:f>'Evaluation Plan'!K2</x:f>
        <x:v>smallest</x:v>
      </x:c>
      <x:c r="L2" s="9" t="str">
        <x:f>'Evaluation Plan'!L2</x:f>
        <x:v>Explicitly trained smallest × red pencil sharpener</x:v>
      </x:c>
      <x:c r="M2" s="9" t="str">
        <x:f>'Evaluation Plan'!M2</x:f>
        <x:v>red pencil sharpener</x:v>
      </x:c>
      <x:c r="N2" s="9" t="str">
        <x:f>'Evaluation Plan'!N2</x:f>
        <x:v>Left</x:v>
      </x:c>
      <x:c r="O2" s="9" t="n">
        <x:f>'Evaluation Plan'!O2</x:f>
        <x:v>4</x:v>
      </x:c>
      <x:c r="P2" s="9" t="n">
        <x:f>IF(ISBLANK('Evaluation Plan'!P2),"",'Evaluation Plan'!P2)</x:f>
        <x:v>8</x:v>
      </x:c>
      <x:c r="Q2" s="9" t="str">
        <x:f>'Evaluation Plan'!Q2</x:f>
        <x:v>Build the listed manifest-supported scene.</x:v>
      </x:c>
      <x:c r="R2" s="10" t="str">
        <x:f>'Evaluation Plan'!R2</x:f>
        <x:v>Exact prompt and object composition from training episode 1005; this establishes the familiar smallest × red pencil sharpener cell.</x:v>
      </x:c>
      <x:c r="S2" s="10" t="str">
        <x:f>IF(ISBLANK('Evaluation Plan'!S2),"",'Evaluation Plan'!S2)</x:f>
      </x:c>
    </x:row>
    <x:row r="3" ht="68" customHeight="1">
      <x:c r="A3" s="9" t="str">
        <x:v>Not collected</x:v>
      </x:c>
      <x:c r="B3" s="9" t="n">
        <x:f>'Evaluation Plan'!B3</x:f>
        <x:v>1</x:v>
      </x:c>
      <x:c r="C3" s="10" t="str">
        <x:f>'Evaluation Plan'!C3</x:f>
        <x:v>Pick up the smallest item and place it in the bowl.</x:v>
      </x:c>
      <x:c r="D3" s="10" t="str">
        <x:f>'Evaluation Plan'!D3</x:f>
        <x:v>Bowl: empty. Table, robot-left→robot-right: P1 crushed Pepsi can; P2 juggling ball; P3 green block. Adjacent centers 12 cm apart; row shifted 4 cm toward robot-left; all objects fully visible and grasp paths clear.</x:v>
      </x:c>
      <x:c r="E3" s="9" t="str">
        <x:f>IF(ISBLANK('Evaluation Plan'!E3),"",'Evaluation Plan'!E3)</x:f>
      </x:c>
      <x:c r="F3" s="9" t="str">
        <x:f>'Evaluation Plan'!F3</x:f>
        <x:v>1050</x:v>
      </x:c>
      <x:c r="G3" s="9" t="str">
        <x:f>'Evaluation Plan'!G3</x:f>
        <x:v>MOVE green block to bowl</x:v>
      </x:c>
      <x:c r="H3" s="10"/>
      <x:c r="I3" s="9" t="str">
        <x:f>'Evaluation Plan'!I3</x:f>
        <x:v>In-distribution concept baseline</x:v>
      </x:c>
      <x:c r="J3" s="9" t="str">
        <x:f>'Evaluation Plan'!J3</x:f>
        <x:v>SZ-ID-GB01</x:v>
      </x:c>
      <x:c r="K3" s="9" t="str">
        <x:f>'Evaluation Plan'!K3</x:f>
        <x:v>smallest</x:v>
      </x:c>
      <x:c r="L3" s="9" t="str">
        <x:f>'Evaluation Plan'!L3</x:f>
        <x:v>Explicitly trained smallest × green block</x:v>
      </x:c>
      <x:c r="M3" s="9" t="str">
        <x:f>'Evaluation Plan'!M3</x:f>
        <x:v>green block</x:v>
      </x:c>
      <x:c r="N3" s="9" t="str">
        <x:f>'Evaluation Plan'!N3</x:f>
        <x:v>Right</x:v>
      </x:c>
      <x:c r="O3" s="9" t="n">
        <x:f>'Evaluation Plan'!O3</x:f>
        <x:v>3</x:v>
      </x:c>
      <x:c r="P3" s="9" t="n">
        <x:f>IF(ISBLANK('Evaluation Plan'!P3),"",'Evaluation Plan'!P3)</x:f>
        <x:v>12</x:v>
      </x:c>
      <x:c r="Q3" s="9" t="str">
        <x:f>'Evaluation Plan'!Q3</x:f>
        <x:v>Build the listed manifest-supported scene.</x:v>
      </x:c>
      <x:c r="R3" s="10" t="str">
        <x:f>'Evaluation Plan'!R3</x:f>
        <x:v>Exact prompt and object composition from training episode 1050; this establishes the familiar smallest × green block cell.</x:v>
      </x:c>
      <x:c r="S3" s="10" t="str">
        <x:f>IF(ISBLANK('Evaluation Plan'!S3),"",'Evaluation Plan'!S3)</x:f>
      </x:c>
    </x:row>
    <x:row r="4" ht="68" customHeight="1">
      <x:c r="A4" s="9" t="str">
        <x:v>Not collected</x:v>
      </x:c>
      <x:c r="B4" s="9" t="n">
        <x:f>'Evaluation Plan'!B4</x:f>
        <x:v>2</x:v>
      </x:c>
      <x:c r="C4" s="10" t="str">
        <x:f>'Evaluation Plan'!C4</x:f>
        <x:v>Put the largest object in the bowl.</x:v>
      </x:c>
      <x:c r="D4" s="10" t="str">
        <x:f>'Evaluation Plan'!D4</x:f>
        <x:v>Bowl: empty. Table, robot-left→robot-right: P1 juggling ball; P2 red pencil sharpener; P3 green block. Adjacent centers 16 cm apart; row shifted 4 cm toward robot-right; all objects fully visible and grasp paths clear.</x:v>
      </x:c>
      <x:c r="E4" s="9" t="str">
        <x:f>IF(ISBLANK('Evaluation Plan'!E4),"",'Evaluation Plan'!E4)</x:f>
      </x:c>
      <x:c r="F4" s="9" t="str">
        <x:f>'Evaluation Plan'!F4</x:f>
        <x:v>1125</x:v>
      </x:c>
      <x:c r="G4" s="9" t="str">
        <x:f>'Evaluation Plan'!G4</x:f>
        <x:v>MOVE juggling ball to bowl</x:v>
      </x:c>
      <x:c r="H4" s="10"/>
      <x:c r="I4" s="9" t="str">
        <x:f>'Evaluation Plan'!I4</x:f>
        <x:v>In-distribution concept baseline</x:v>
      </x:c>
      <x:c r="J4" s="9" t="str">
        <x:f>'Evaluation Plan'!J4</x:f>
        <x:v>SZ-ID-JB01</x:v>
      </x:c>
      <x:c r="K4" s="9" t="str">
        <x:f>'Evaluation Plan'!K4</x:f>
        <x:v>largest</x:v>
      </x:c>
      <x:c r="L4" s="9" t="str">
        <x:f>'Evaluation Plan'!L4</x:f>
        <x:v>Explicitly trained largest × juggling ball</x:v>
      </x:c>
      <x:c r="M4" s="9" t="str">
        <x:f>'Evaluation Plan'!M4</x:f>
        <x:v>juggling ball</x:v>
      </x:c>
      <x:c r="N4" s="9" t="str">
        <x:f>'Evaluation Plan'!N4</x:f>
        <x:v>Left</x:v>
      </x:c>
      <x:c r="O4" s="9" t="n">
        <x:f>'Evaluation Plan'!O4</x:f>
        <x:v>3</x:v>
      </x:c>
      <x:c r="P4" s="9" t="n">
        <x:f>IF(ISBLANK('Evaluation Plan'!P4),"",'Evaluation Plan'!P4)</x:f>
        <x:v>16</x:v>
      </x:c>
      <x:c r="Q4" s="9" t="str">
        <x:f>'Evaluation Plan'!Q4</x:f>
        <x:v>Build the listed manifest-supported scene.</x:v>
      </x:c>
      <x:c r="R4" s="10" t="str">
        <x:f>'Evaluation Plan'!R4</x:f>
        <x:v>Exact prompt and object composition from training episode 1125; this establishes the familiar largest × juggling ball cell.</x:v>
      </x:c>
      <x:c r="S4" s="10" t="str">
        <x:f>IF(ISBLANK('Evaluation Plan'!S4),"",'Evaluation Plan'!S4)</x:f>
      </x:c>
    </x:row>
    <x:row r="5" ht="68" customHeight="1">
      <x:c r="A5" s="9" t="str">
        <x:v>Not collected</x:v>
      </x:c>
      <x:c r="B5" s="9" t="n">
        <x:f>'Evaluation Plan'!B5</x:f>
        <x:v>3</x:v>
      </x:c>
      <x:c r="C5" s="10" t="str">
        <x:f>'Evaluation Plan'!C5</x:f>
        <x:v>Pick up the largest item and place it in the bowl.</x:v>
      </x:c>
      <x:c r="D5" s="10" t="str">
        <x:f>'Evaluation Plan'!D5</x:f>
        <x:v>Bowl: empty. Table, robot-left→robot-right: P1 red pencil sharpener; P2 green block; P3 juggling ball; P4 crushed Pepsi can. Adjacent centers 8 cm apart; row shifted 4 cm toward the robot; all objects fully visible and grasp paths clear.</x:v>
      </x:c>
      <x:c r="E5" s="9" t="str">
        <x:f>IF(ISBLANK('Evaluation Plan'!E5),"",'Evaluation Plan'!E5)</x:f>
      </x:c>
      <x:c r="F5" s="9" t="str">
        <x:f>'Evaluation Plan'!F5</x:f>
        <x:v>1155</x:v>
      </x:c>
      <x:c r="G5" s="9" t="str">
        <x:f>'Evaluation Plan'!G5</x:f>
        <x:v>MOVE crushed Pepsi can to bowl</x:v>
      </x:c>
      <x:c r="H5" s="10"/>
      <x:c r="I5" s="9" t="str">
        <x:f>'Evaluation Plan'!I5</x:f>
        <x:v>In-distribution concept baseline</x:v>
      </x:c>
      <x:c r="J5" s="9" t="str">
        <x:f>'Evaluation Plan'!J5</x:f>
        <x:v>SZ-ID-PC01</x:v>
      </x:c>
      <x:c r="K5" s="9" t="str">
        <x:f>'Evaluation Plan'!K5</x:f>
        <x:v>largest</x:v>
      </x:c>
      <x:c r="L5" s="9" t="str">
        <x:f>'Evaluation Plan'!L5</x:f>
        <x:v>Explicitly trained largest × crushed Pepsi can</x:v>
      </x:c>
      <x:c r="M5" s="9" t="str">
        <x:f>'Evaluation Plan'!M5</x:f>
        <x:v>crushed Pepsi can</x:v>
      </x:c>
      <x:c r="N5" s="9" t="str">
        <x:f>'Evaluation Plan'!N5</x:f>
        <x:v>Right</x:v>
      </x:c>
      <x:c r="O5" s="9" t="n">
        <x:f>'Evaluation Plan'!O5</x:f>
        <x:v>4</x:v>
      </x:c>
      <x:c r="P5" s="9" t="n">
        <x:f>IF(ISBLANK('Evaluation Plan'!P5),"",'Evaluation Plan'!P5)</x:f>
        <x:v>8</x:v>
      </x:c>
      <x:c r="Q5" s="9" t="str">
        <x:f>'Evaluation Plan'!Q5</x:f>
        <x:v>Build the listed manifest-supported scene.</x:v>
      </x:c>
      <x:c r="R5" s="10" t="str">
        <x:f>'Evaluation Plan'!R5</x:f>
        <x:v>Exact prompt and object composition from training episode 1155; this establishes the familiar largest × crushed Pepsi can cell.</x:v>
      </x:c>
      <x:c r="S5" s="10" t="str">
        <x:f>IF(ISBLANK('Evaluation Plan'!S5),"",'Evaluation Plan'!S5)</x:f>
      </x:c>
    </x:row>
    <x:row r="6" ht="68" customHeight="1">
      <x:c r="A6" s="9" t="str">
        <x:v>Not collected</x:v>
      </x:c>
      <x:c r="B6" s="9" t="n">
        <x:f>'Evaluation Plan'!B6</x:f>
        <x:v>4</x:v>
      </x:c>
      <x:c r="C6" s="10" t="str">
        <x:f>'Evaluation Plan'!C6</x:f>
        <x:v>Pick up the smallest item and place it in the bowl.</x:v>
      </x:c>
      <x:c r="D6" s="10" t="str">
        <x:f>'Evaluation Plan'!D6</x:f>
        <x:v>Bowl: empty. Table, robot-left→robot-right: P1 juggling ball; P2 crushed Pepsi can; P3 green block; P4 red pencil sharpener. Adjacent centers 12 cm apart; row shifted 4 cm toward robot-left; all objects fully visible and grasp paths clear.</x:v>
      </x:c>
      <x:c r="E6" s="9" t="str">
        <x:f>IF(ISBLANK('Evaluation Plan'!E6),"",'Evaluation Plan'!E6)</x:f>
      </x:c>
      <x:c r="F6" s="9" t="str">
        <x:f>'Evaluation Plan'!F6</x:f>
        <x:v>1006</x:v>
      </x:c>
      <x:c r="G6" s="9" t="str">
        <x:f>'Evaluation Plan'!G6</x:f>
        <x:v>MOVE red pencil sharpener to bowl</x:v>
      </x:c>
      <x:c r="H6" s="10"/>
      <x:c r="I6" s="9" t="str">
        <x:f>'Evaluation Plan'!I6</x:f>
        <x:v>In-distribution concept baseline</x:v>
      </x:c>
      <x:c r="J6" s="9" t="str">
        <x:f>'Evaluation Plan'!J6</x:f>
        <x:v>SZ-ID-SH02</x:v>
      </x:c>
      <x:c r="K6" s="9" t="str">
        <x:f>'Evaluation Plan'!K6</x:f>
        <x:v>smallest</x:v>
      </x:c>
      <x:c r="L6" s="9" t="str">
        <x:f>'Evaluation Plan'!L6</x:f>
        <x:v>Explicitly trained smallest × red pencil sharpener</x:v>
      </x:c>
      <x:c r="M6" s="9" t="str">
        <x:f>'Evaluation Plan'!M6</x:f>
        <x:v>red pencil sharpener</x:v>
      </x:c>
      <x:c r="N6" s="9" t="str">
        <x:f>'Evaluation Plan'!N6</x:f>
        <x:v>Right</x:v>
      </x:c>
      <x:c r="O6" s="9" t="n">
        <x:f>'Evaluation Plan'!O6</x:f>
        <x:v>4</x:v>
      </x:c>
      <x:c r="P6" s="9" t="n">
        <x:f>IF(ISBLANK('Evaluation Plan'!P6),"",'Evaluation Plan'!P6)</x:f>
        <x:v>12</x:v>
      </x:c>
      <x:c r="Q6" s="9" t="str">
        <x:f>'Evaluation Plan'!Q6</x:f>
        <x:v>Build the listed manifest-supported scene.</x:v>
      </x:c>
      <x:c r="R6" s="10" t="str">
        <x:f>'Evaluation Plan'!R6</x:f>
        <x:v>Exact prompt and object composition from training episode 1006; this establishes the familiar smallest × red pencil sharpener cell.</x:v>
      </x:c>
      <x:c r="S6" s="10" t="str">
        <x:f>IF(ISBLANK('Evaluation Plan'!S6),"",'Evaluation Plan'!S6)</x:f>
      </x:c>
    </x:row>
    <x:row r="7" ht="68" customHeight="1">
      <x:c r="A7" s="9" t="str">
        <x:v>Not collected</x:v>
      </x:c>
      <x:c r="B7" s="9" t="n">
        <x:f>'Evaluation Plan'!B7</x:f>
        <x:v>5</x:v>
      </x:c>
      <x:c r="C7" s="10" t="str">
        <x:f>'Evaluation Plan'!C7</x:f>
        <x:v>Pick up the smallest item and place it in the bowl.</x:v>
      </x:c>
      <x:c r="D7" s="10" t="str">
        <x:f>'Evaluation Plan'!D7</x:f>
        <x:v>Bowl: empty. Table, robot-left→robot-right: P1 green block; P2 juggling ball; P3 crushed Pepsi can. Adjacent centers 16 cm apart; row shifted 4 cm toward robot-right; all objects fully visible and grasp paths clear.</x:v>
      </x:c>
      <x:c r="E7" s="9" t="str">
        <x:f>IF(ISBLANK('Evaluation Plan'!E7),"",'Evaluation Plan'!E7)</x:f>
      </x:c>
      <x:c r="F7" s="9" t="str">
        <x:f>'Evaluation Plan'!F7</x:f>
        <x:v>1051</x:v>
      </x:c>
      <x:c r="G7" s="9" t="str">
        <x:f>'Evaluation Plan'!G7</x:f>
        <x:v>MOVE green block to bowl</x:v>
      </x:c>
      <x:c r="H7" s="10"/>
      <x:c r="I7" s="9" t="str">
        <x:f>'Evaluation Plan'!I7</x:f>
        <x:v>In-distribution concept baseline</x:v>
      </x:c>
      <x:c r="J7" s="9" t="str">
        <x:f>'Evaluation Plan'!J7</x:f>
        <x:v>SZ-ID-GB02</x:v>
      </x:c>
      <x:c r="K7" s="9" t="str">
        <x:f>'Evaluation Plan'!K7</x:f>
        <x:v>smallest</x:v>
      </x:c>
      <x:c r="L7" s="9" t="str">
        <x:f>'Evaluation Plan'!L7</x:f>
        <x:v>Explicitly trained smallest × green block</x:v>
      </x:c>
      <x:c r="M7" s="9" t="str">
        <x:f>'Evaluation Plan'!M7</x:f>
        <x:v>green block</x:v>
      </x:c>
      <x:c r="N7" s="9" t="str">
        <x:f>'Evaluation Plan'!N7</x:f>
        <x:v>Left</x:v>
      </x:c>
      <x:c r="O7" s="9" t="n">
        <x:f>'Evaluation Plan'!O7</x:f>
        <x:v>3</x:v>
      </x:c>
      <x:c r="P7" s="9" t="n">
        <x:f>IF(ISBLANK('Evaluation Plan'!P7),"",'Evaluation Plan'!P7)</x:f>
        <x:v>16</x:v>
      </x:c>
      <x:c r="Q7" s="9" t="str">
        <x:f>'Evaluation Plan'!Q7</x:f>
        <x:v>Build the listed manifest-supported scene.</x:v>
      </x:c>
      <x:c r="R7" s="10" t="str">
        <x:f>'Evaluation Plan'!R7</x:f>
        <x:v>Exact prompt and object composition from training episode 1051; this establishes the familiar smallest × green block cell.</x:v>
      </x:c>
      <x:c r="S7" s="10" t="str">
        <x:f>IF(ISBLANK('Evaluation Plan'!S7),"",'Evaluation Plan'!S7)</x:f>
      </x:c>
    </x:row>
    <x:row r="8" ht="68" customHeight="1">
      <x:c r="A8" s="9" t="str">
        <x:v>Not collected</x:v>
      </x:c>
      <x:c r="B8" s="9" t="n">
        <x:f>'Evaluation Plan'!B8</x:f>
        <x:v>6</x:v>
      </x:c>
      <x:c r="C8" s="10" t="str">
        <x:f>'Evaluation Plan'!C8</x:f>
        <x:v>Pick up the largest item and place it in the bowl.</x:v>
      </x:c>
      <x:c r="D8" s="10" t="str">
        <x:f>'Evaluation Plan'!D8</x:f>
        <x:v>Bowl: empty. Table, robot-left→robot-right: P1 green block; P2 red pencil sharpener; P3 juggling ball. Adjacent centers 8 cm apart; row shifted 4 cm toward the robot; all objects fully visible and grasp paths clear.</x:v>
      </x:c>
      <x:c r="E8" s="9" t="str">
        <x:f>IF(ISBLANK('Evaluation Plan'!E8),"",'Evaluation Plan'!E8)</x:f>
      </x:c>
      <x:c r="F8" s="9" t="str">
        <x:f>'Evaluation Plan'!F8</x:f>
        <x:v>1126</x:v>
      </x:c>
      <x:c r="G8" s="9" t="str">
        <x:f>'Evaluation Plan'!G8</x:f>
        <x:v>MOVE juggling ball to bowl</x:v>
      </x:c>
      <x:c r="H8" s="10"/>
      <x:c r="I8" s="9" t="str">
        <x:f>'Evaluation Plan'!I8</x:f>
        <x:v>In-distribution concept baseline</x:v>
      </x:c>
      <x:c r="J8" s="9" t="str">
        <x:f>'Evaluation Plan'!J8</x:f>
        <x:v>SZ-ID-JB02</x:v>
      </x:c>
      <x:c r="K8" s="9" t="str">
        <x:f>'Evaluation Plan'!K8</x:f>
        <x:v>largest</x:v>
      </x:c>
      <x:c r="L8" s="9" t="str">
        <x:f>'Evaluation Plan'!L8</x:f>
        <x:v>Explicitly trained largest × juggling ball</x:v>
      </x:c>
      <x:c r="M8" s="9" t="str">
        <x:f>'Evaluation Plan'!M8</x:f>
        <x:v>juggling ball</x:v>
      </x:c>
      <x:c r="N8" s="9" t="str">
        <x:f>'Evaluation Plan'!N8</x:f>
        <x:v>Right</x:v>
      </x:c>
      <x:c r="O8" s="9" t="n">
        <x:f>'Evaluation Plan'!O8</x:f>
        <x:v>3</x:v>
      </x:c>
      <x:c r="P8" s="9" t="n">
        <x:f>IF(ISBLANK('Evaluation Plan'!P8),"",'Evaluation Plan'!P8)</x:f>
        <x:v>8</x:v>
      </x:c>
      <x:c r="Q8" s="9" t="str">
        <x:f>'Evaluation Plan'!Q8</x:f>
        <x:v>Build the listed manifest-supported scene.</x:v>
      </x:c>
      <x:c r="R8" s="10" t="str">
        <x:f>'Evaluation Plan'!R8</x:f>
        <x:v>Exact prompt and object composition from training episode 1126; this establishes the familiar largest × juggling ball cell.</x:v>
      </x:c>
      <x:c r="S8" s="10" t="str">
        <x:f>IF(ISBLANK('Evaluation Plan'!S8),"",'Evaluation Plan'!S8)</x:f>
      </x:c>
    </x:row>
    <x:row r="9" ht="68" customHeight="1">
      <x:c r="A9" s="9" t="str">
        <x:v>Not collected</x:v>
      </x:c>
      <x:c r="B9" s="9" t="n">
        <x:f>'Evaluation Plan'!B9</x:f>
        <x:v>7</x:v>
      </x:c>
      <x:c r="C9" s="10" t="str">
        <x:f>'Evaluation Plan'!C9</x:f>
        <x:v>Move the object that is largest into the bowl.</x:v>
      </x:c>
      <x:c r="D9" s="10" t="str">
        <x:f>'Evaluation Plan'!D9</x:f>
        <x:v>Bowl: empty. Table, robot-left→robot-right: P1 crushed Pepsi can; P2 green block; P3 juggling ball; P4 red pencil sharpener. Adjacent centers 12 cm apart; row shifted 4 cm away from the robot; all objects fully visible and grasp paths clear.</x:v>
      </x:c>
      <x:c r="E9" s="9" t="str">
        <x:f>IF(ISBLANK('Evaluation Plan'!E9),"",'Evaluation Plan'!E9)</x:f>
      </x:c>
      <x:c r="F9" s="9" t="str">
        <x:f>'Evaluation Plan'!F9</x:f>
        <x:v>1156</x:v>
      </x:c>
      <x:c r="G9" s="9" t="str">
        <x:f>'Evaluation Plan'!G9</x:f>
        <x:v>MOVE crushed Pepsi can to bowl</x:v>
      </x:c>
      <x:c r="H9" s="10"/>
      <x:c r="I9" s="9" t="str">
        <x:f>'Evaluation Plan'!I9</x:f>
        <x:v>In-distribution concept baseline</x:v>
      </x:c>
      <x:c r="J9" s="9" t="str">
        <x:f>'Evaluation Plan'!J9</x:f>
        <x:v>SZ-ID-PC02</x:v>
      </x:c>
      <x:c r="K9" s="9" t="str">
        <x:f>'Evaluation Plan'!K9</x:f>
        <x:v>largest</x:v>
      </x:c>
      <x:c r="L9" s="9" t="str">
        <x:f>'Evaluation Plan'!L9</x:f>
        <x:v>Explicitly trained largest × crushed Pepsi can</x:v>
      </x:c>
      <x:c r="M9" s="9" t="str">
        <x:f>'Evaluation Plan'!M9</x:f>
        <x:v>crushed Pepsi can</x:v>
      </x:c>
      <x:c r="N9" s="9" t="str">
        <x:f>'Evaluation Plan'!N9</x:f>
        <x:v>Left</x:v>
      </x:c>
      <x:c r="O9" s="9" t="n">
        <x:f>'Evaluation Plan'!O9</x:f>
        <x:v>4</x:v>
      </x:c>
      <x:c r="P9" s="9" t="n">
        <x:f>IF(ISBLANK('Evaluation Plan'!P9),"",'Evaluation Plan'!P9)</x:f>
        <x:v>12</x:v>
      </x:c>
      <x:c r="Q9" s="9" t="str">
        <x:f>'Evaluation Plan'!Q9</x:f>
        <x:v>Build the listed manifest-supported scene.</x:v>
      </x:c>
      <x:c r="R9" s="10" t="str">
        <x:f>'Evaluation Plan'!R9</x:f>
        <x:v>Exact prompt and object composition from training episode 1156; this establishes the familiar largest × crushed Pepsi can cell.</x:v>
      </x:c>
      <x:c r="S9" s="10" t="str">
        <x:f>IF(ISBLANK('Evaluation Plan'!S9),"",'Evaluation Plan'!S9)</x:f>
      </x:c>
    </x:row>
    <x:row r="10" ht="68" customHeight="1">
      <x:c r="A10" s="9" t="str">
        <x:v>Not collected</x:v>
      </x:c>
      <x:c r="B10" s="9" t="n">
        <x:f>'Evaluation Plan'!B10</x:f>
        <x:v>8</x:v>
      </x:c>
      <x:c r="C10" s="10" t="str">
        <x:f>'Evaluation Plan'!C10</x:f>
        <x:v>Move the object that is smallest into the bowl.</x:v>
      </x:c>
      <x:c r="D10" s="10" t="str">
        <x:f>'Evaluation Plan'!D10</x:f>
        <x:v>Bowl: empty. Table, robot-left→robot-right: P1 red pencil sharpener; P2 crushed Pepsi can; P3 green block; P4 juggling ball. Adjacent centers 16 cm apart; row shifted 4 cm toward robot-right; all objects fully visible and grasp paths clear.</x:v>
      </x:c>
      <x:c r="E10" s="9" t="str">
        <x:f>IF(ISBLANK('Evaluation Plan'!E10),"",'Evaluation Plan'!E10)</x:f>
      </x:c>
      <x:c r="F10" s="9" t="str">
        <x:f>'Evaluation Plan'!F10</x:f>
        <x:v>1007</x:v>
      </x:c>
      <x:c r="G10" s="9" t="str">
        <x:f>'Evaluation Plan'!G10</x:f>
        <x:v>MOVE red pencil sharpener to bowl</x:v>
      </x:c>
      <x:c r="H10" s="10"/>
      <x:c r="I10" s="9" t="str">
        <x:f>'Evaluation Plan'!I10</x:f>
        <x:v>In-distribution concept baseline</x:v>
      </x:c>
      <x:c r="J10" s="9" t="str">
        <x:f>'Evaluation Plan'!J10</x:f>
        <x:v>SZ-ID-SH03</x:v>
      </x:c>
      <x:c r="K10" s="9" t="str">
        <x:f>'Evaluation Plan'!K10</x:f>
        <x:v>smallest</x:v>
      </x:c>
      <x:c r="L10" s="9" t="str">
        <x:f>'Evaluation Plan'!L10</x:f>
        <x:v>Explicitly trained smallest × red pencil sharpener</x:v>
      </x:c>
      <x:c r="M10" s="9" t="str">
        <x:f>'Evaluation Plan'!M10</x:f>
        <x:v>red pencil sharpener</x:v>
      </x:c>
      <x:c r="N10" s="9" t="str">
        <x:f>'Evaluation Plan'!N10</x:f>
        <x:v>Left</x:v>
      </x:c>
      <x:c r="O10" s="9" t="n">
        <x:f>'Evaluation Plan'!O10</x:f>
        <x:v>4</x:v>
      </x:c>
      <x:c r="P10" s="9" t="n">
        <x:f>IF(ISBLANK('Evaluation Plan'!P10),"",'Evaluation Plan'!P10)</x:f>
        <x:v>16</x:v>
      </x:c>
      <x:c r="Q10" s="9" t="str">
        <x:f>'Evaluation Plan'!Q10</x:f>
        <x:v>Build the listed manifest-supported scene.</x:v>
      </x:c>
      <x:c r="R10" s="10" t="str">
        <x:f>'Evaluation Plan'!R10</x:f>
        <x:v>Exact prompt and object composition from training episode 1007; this establishes the familiar smallest × red pencil sharpener cell.</x:v>
      </x:c>
      <x:c r="S10" s="10" t="str">
        <x:f>IF(ISBLANK('Evaluation Plan'!S10),"",'Evaluation Plan'!S10)</x:f>
      </x:c>
    </x:row>
    <x:row r="11" ht="68" customHeight="1">
      <x:c r="A11" s="9" t="str">
        <x:v>Not collected</x:v>
      </x:c>
      <x:c r="B11" s="9" t="n">
        <x:f>'Evaluation Plan'!B11</x:f>
        <x:v>9</x:v>
      </x:c>
      <x:c r="C11" s="10" t="str">
        <x:f>'Evaluation Plan'!C11</x:f>
        <x:v>Put the smallest object in the bowl.</x:v>
      </x:c>
      <x:c r="D11" s="10" t="str">
        <x:f>'Evaluation Plan'!D11</x:f>
        <x:v>Bowl: empty. Table, robot-left→robot-right: P1 crushed Pepsi can; P2 juggling ball; P3 green block. Adjacent centers 8 cm apart; row shifted 4 cm toward the robot; all objects fully visible and grasp paths clear.</x:v>
      </x:c>
      <x:c r="E11" s="9" t="str">
        <x:f>IF(ISBLANK('Evaluation Plan'!E11),"",'Evaluation Plan'!E11)</x:f>
      </x:c>
      <x:c r="F11" s="9" t="str">
        <x:f>'Evaluation Plan'!F11</x:f>
        <x:v>1052</x:v>
      </x:c>
      <x:c r="G11" s="9" t="str">
        <x:f>'Evaluation Plan'!G11</x:f>
        <x:v>MOVE green block to bowl</x:v>
      </x:c>
      <x:c r="H11" s="10"/>
      <x:c r="I11" s="9" t="str">
        <x:f>'Evaluation Plan'!I11</x:f>
        <x:v>In-distribution concept baseline</x:v>
      </x:c>
      <x:c r="J11" s="9" t="str">
        <x:f>'Evaluation Plan'!J11</x:f>
        <x:v>SZ-ID-GB03</x:v>
      </x:c>
      <x:c r="K11" s="9" t="str">
        <x:f>'Evaluation Plan'!K11</x:f>
        <x:v>smallest</x:v>
      </x:c>
      <x:c r="L11" s="9" t="str">
        <x:f>'Evaluation Plan'!L11</x:f>
        <x:v>Explicitly trained smallest × green block</x:v>
      </x:c>
      <x:c r="M11" s="9" t="str">
        <x:f>'Evaluation Plan'!M11</x:f>
        <x:v>green block</x:v>
      </x:c>
      <x:c r="N11" s="9" t="str">
        <x:f>'Evaluation Plan'!N11</x:f>
        <x:v>Right</x:v>
      </x:c>
      <x:c r="O11" s="9" t="n">
        <x:f>'Evaluation Plan'!O11</x:f>
        <x:v>3</x:v>
      </x:c>
      <x:c r="P11" s="9" t="n">
        <x:f>IF(ISBLANK('Evaluation Plan'!P11),"",'Evaluation Plan'!P11)</x:f>
        <x:v>8</x:v>
      </x:c>
      <x:c r="Q11" s="9" t="str">
        <x:f>'Evaluation Plan'!Q11</x:f>
        <x:v>Build the listed manifest-supported scene.</x:v>
      </x:c>
      <x:c r="R11" s="10" t="str">
        <x:f>'Evaluation Plan'!R11</x:f>
        <x:v>Exact prompt and object composition from training episode 1052; this establishes the familiar smallest × green block cell.</x:v>
      </x:c>
      <x:c r="S11" s="10" t="str">
        <x:f>IF(ISBLANK('Evaluation Plan'!S11),"",'Evaluation Plan'!S11)</x:f>
      </x:c>
    </x:row>
    <x:row r="12" ht="68" customHeight="1">
      <x:c r="A12" s="9" t="str">
        <x:v>Not collected</x:v>
      </x:c>
      <x:c r="B12" s="9" t="n">
        <x:f>'Evaluation Plan'!B12</x:f>
        <x:v>10</x:v>
      </x:c>
      <x:c r="C12" s="10" t="str">
        <x:f>'Evaluation Plan'!C12</x:f>
        <x:v>Pick up the largest item and place it in the bowl.</x:v>
      </x:c>
      <x:c r="D12" s="10" t="str">
        <x:f>'Evaluation Plan'!D12</x:f>
        <x:v>Bowl: empty. Table, robot-left→robot-right: P1 juggling ball; P2 red pencil sharpener; P3 green block. Adjacent centers 12 cm apart; row shifted 4 cm away from the robot; all objects fully visible and grasp paths clear.</x:v>
      </x:c>
      <x:c r="E12" s="9" t="str">
        <x:f>IF(ISBLANK('Evaluation Plan'!E12),"",'Evaluation Plan'!E12)</x:f>
      </x:c>
      <x:c r="F12" s="9" t="str">
        <x:f>'Evaluation Plan'!F12</x:f>
        <x:v>1127</x:v>
      </x:c>
      <x:c r="G12" s="9" t="str">
        <x:f>'Evaluation Plan'!G12</x:f>
        <x:v>MOVE juggling ball to bowl</x:v>
      </x:c>
      <x:c r="H12" s="10"/>
      <x:c r="I12" s="9" t="str">
        <x:f>'Evaluation Plan'!I12</x:f>
        <x:v>In-distribution concept baseline</x:v>
      </x:c>
      <x:c r="J12" s="9" t="str">
        <x:f>'Evaluation Plan'!J12</x:f>
        <x:v>SZ-ID-JB03</x:v>
      </x:c>
      <x:c r="K12" s="9" t="str">
        <x:f>'Evaluation Plan'!K12</x:f>
        <x:v>largest</x:v>
      </x:c>
      <x:c r="L12" s="9" t="str">
        <x:f>'Evaluation Plan'!L12</x:f>
        <x:v>Explicitly trained largest × juggling ball</x:v>
      </x:c>
      <x:c r="M12" s="9" t="str">
        <x:f>'Evaluation Plan'!M12</x:f>
        <x:v>juggling ball</x:v>
      </x:c>
      <x:c r="N12" s="9" t="str">
        <x:f>'Evaluation Plan'!N12</x:f>
        <x:v>Left</x:v>
      </x:c>
      <x:c r="O12" s="9" t="n">
        <x:f>'Evaluation Plan'!O12</x:f>
        <x:v>3</x:v>
      </x:c>
      <x:c r="P12" s="9" t="n">
        <x:f>IF(ISBLANK('Evaluation Plan'!P12),"",'Evaluation Plan'!P12)</x:f>
        <x:v>12</x:v>
      </x:c>
      <x:c r="Q12" s="9" t="str">
        <x:f>'Evaluation Plan'!Q12</x:f>
        <x:v>Build the listed manifest-supported scene.</x:v>
      </x:c>
      <x:c r="R12" s="10" t="str">
        <x:f>'Evaluation Plan'!R12</x:f>
        <x:v>Exact prompt and object composition from training episode 1127; this establishes the familiar largest × juggling ball cell.</x:v>
      </x:c>
      <x:c r="S12" s="10" t="str">
        <x:f>IF(ISBLANK('Evaluation Plan'!S12),"",'Evaluation Plan'!S12)</x:f>
      </x:c>
    </x:row>
    <x:row r="13" ht="68" customHeight="1">
      <x:c r="A13" s="9" t="str">
        <x:v>Not collected</x:v>
      </x:c>
      <x:c r="B13" s="9" t="n">
        <x:f>'Evaluation Plan'!B13</x:f>
        <x:v>11</x:v>
      </x:c>
      <x:c r="C13" s="10" t="str">
        <x:f>'Evaluation Plan'!C13</x:f>
        <x:v>Put the largest object in the bowl.</x:v>
      </x:c>
      <x:c r="D13" s="10" t="str">
        <x:f>'Evaluation Plan'!D13</x:f>
        <x:v>Bowl: empty. Table, robot-left→robot-right: P1 juggling ball; P2 red pencil sharpener; P3 green block; P4 crushed Pepsi can. Adjacent centers 16 cm apart; row centered on the workspace; all objects fully visible and grasp paths clear.</x:v>
      </x:c>
      <x:c r="E13" s="9" t="str">
        <x:f>IF(ISBLANK('Evaluation Plan'!E13),"",'Evaluation Plan'!E13)</x:f>
      </x:c>
      <x:c r="F13" s="9" t="str">
        <x:f>'Evaluation Plan'!F13</x:f>
        <x:v>1157</x:v>
      </x:c>
      <x:c r="G13" s="9" t="str">
        <x:f>'Evaluation Plan'!G13</x:f>
        <x:v>MOVE crushed Pepsi can to bowl</x:v>
      </x:c>
      <x:c r="H13" s="10"/>
      <x:c r="I13" s="9" t="str">
        <x:f>'Evaluation Plan'!I13</x:f>
        <x:v>In-distribution concept baseline</x:v>
      </x:c>
      <x:c r="J13" s="9" t="str">
        <x:f>'Evaluation Plan'!J13</x:f>
        <x:v>SZ-ID-PC03</x:v>
      </x:c>
      <x:c r="K13" s="9" t="str">
        <x:f>'Evaluation Plan'!K13</x:f>
        <x:v>largest</x:v>
      </x:c>
      <x:c r="L13" s="9" t="str">
        <x:f>'Evaluation Plan'!L13</x:f>
        <x:v>Explicitly trained largest × crushed Pepsi can</x:v>
      </x:c>
      <x:c r="M13" s="9" t="str">
        <x:f>'Evaluation Plan'!M13</x:f>
        <x:v>crushed Pepsi can</x:v>
      </x:c>
      <x:c r="N13" s="9" t="str">
        <x:f>'Evaluation Plan'!N13</x:f>
        <x:v>Right</x:v>
      </x:c>
      <x:c r="O13" s="9" t="n">
        <x:f>'Evaluation Plan'!O13</x:f>
        <x:v>4</x:v>
      </x:c>
      <x:c r="P13" s="9" t="n">
        <x:f>IF(ISBLANK('Evaluation Plan'!P13),"",'Evaluation Plan'!P13)</x:f>
        <x:v>16</x:v>
      </x:c>
      <x:c r="Q13" s="9" t="str">
        <x:f>'Evaluation Plan'!Q13</x:f>
        <x:v>Build the listed manifest-supported scene.</x:v>
      </x:c>
      <x:c r="R13" s="10" t="str">
        <x:f>'Evaluation Plan'!R13</x:f>
        <x:v>Exact prompt and object composition from training episode 1157; this establishes the familiar largest × crushed Pepsi can cell.</x:v>
      </x:c>
      <x:c r="S13" s="10" t="str">
        <x:f>IF(ISBLANK('Evaluation Plan'!S13),"",'Evaluation Plan'!S13)</x:f>
      </x:c>
    </x:row>
    <x:row r="14" ht="68" customHeight="1">
      <x:c r="A14" s="9" t="str">
        <x:v>Not collected</x:v>
      </x:c>
      <x:c r="B14" s="9" t="n">
        <x:f>'Evaluation Plan'!B14</x:f>
        <x:v>12</x:v>
      </x:c>
      <x:c r="C14" s="10" t="str">
        <x:f>'Evaluation Plan'!C14</x:f>
        <x:v>Put the smallest object in the bowl.</x:v>
      </x:c>
      <x:c r="D14" s="10" t="str">
        <x:f>'Evaluation Plan'!D14</x:f>
        <x:v>Bowl: empty. Table, robot-left→robot-right: P1 green block; P2 juggling ball; P3 crushed Pepsi can; P4 red pencil sharpener. Adjacent centers 8 cm apart; row shifted 4 cm toward the robot; all objects fully visible and grasp paths clear.</x:v>
      </x:c>
      <x:c r="E14" s="9" t="str">
        <x:f>IF(ISBLANK('Evaluation Plan'!E14),"",'Evaluation Plan'!E14)</x:f>
      </x:c>
      <x:c r="F14" s="9" t="str">
        <x:f>'Evaluation Plan'!F14</x:f>
        <x:v>1008</x:v>
      </x:c>
      <x:c r="G14" s="9" t="str">
        <x:f>'Evaluation Plan'!G14</x:f>
        <x:v>MOVE red pencil sharpener to bowl</x:v>
      </x:c>
      <x:c r="H14" s="10"/>
      <x:c r="I14" s="9" t="str">
        <x:f>'Evaluation Plan'!I14</x:f>
        <x:v>In-distribution concept baseline</x:v>
      </x:c>
      <x:c r="J14" s="9" t="str">
        <x:f>'Evaluation Plan'!J14</x:f>
        <x:v>SZ-ID-SH04</x:v>
      </x:c>
      <x:c r="K14" s="9" t="str">
        <x:f>'Evaluation Plan'!K14</x:f>
        <x:v>smallest</x:v>
      </x:c>
      <x:c r="L14" s="9" t="str">
        <x:f>'Evaluation Plan'!L14</x:f>
        <x:v>Explicitly trained smallest × red pencil sharpener</x:v>
      </x:c>
      <x:c r="M14" s="9" t="str">
        <x:f>'Evaluation Plan'!M14</x:f>
        <x:v>red pencil sharpener</x:v>
      </x:c>
      <x:c r="N14" s="9" t="str">
        <x:f>'Evaluation Plan'!N14</x:f>
        <x:v>Right</x:v>
      </x:c>
      <x:c r="O14" s="9" t="n">
        <x:f>'Evaluation Plan'!O14</x:f>
        <x:v>4</x:v>
      </x:c>
      <x:c r="P14" s="9" t="n">
        <x:f>IF(ISBLANK('Evaluation Plan'!P14),"",'Evaluation Plan'!P14)</x:f>
        <x:v>8</x:v>
      </x:c>
      <x:c r="Q14" s="9" t="str">
        <x:f>'Evaluation Plan'!Q14</x:f>
        <x:v>Build the listed manifest-supported scene.</x:v>
      </x:c>
      <x:c r="R14" s="10" t="str">
        <x:f>'Evaluation Plan'!R14</x:f>
        <x:v>Exact prompt and object composition from training episode 1008; this establishes the familiar smallest × red pencil sharpener cell.</x:v>
      </x:c>
      <x:c r="S14" s="10" t="str">
        <x:f>IF(ISBLANK('Evaluation Plan'!S14),"",'Evaluation Plan'!S14)</x:f>
      </x:c>
    </x:row>
    <x:row r="15" ht="68" customHeight="1">
      <x:c r="A15" s="9" t="str">
        <x:v>Not collected</x:v>
      </x:c>
      <x:c r="B15" s="9" t="n">
        <x:f>'Evaluation Plan'!B15</x:f>
        <x:v>13</x:v>
      </x:c>
      <x:c r="C15" s="10" t="str">
        <x:f>'Evaluation Plan'!C15</x:f>
        <x:v>Put the smallest object in the bowl.</x:v>
      </x:c>
      <x:c r="D15" s="10" t="str">
        <x:f>'Evaluation Plan'!D15</x:f>
        <x:v>Bowl: empty. Table, robot-left→robot-right: P1 green block; P2 juggling ball; P3 crushed Pepsi can. Adjacent centers 12 cm apart; row shifted 4 cm away from the robot; all objects fully visible and grasp paths clear.</x:v>
      </x:c>
      <x:c r="E15" s="9" t="str">
        <x:f>IF(ISBLANK('Evaluation Plan'!E15),"",'Evaluation Plan'!E15)</x:f>
      </x:c>
      <x:c r="F15" s="9" t="str">
        <x:f>'Evaluation Plan'!F15</x:f>
        <x:v>1053</x:v>
      </x:c>
      <x:c r="G15" s="9" t="str">
        <x:f>'Evaluation Plan'!G15</x:f>
        <x:v>MOVE green block to bowl</x:v>
      </x:c>
      <x:c r="H15" s="10"/>
      <x:c r="I15" s="9" t="str">
        <x:f>'Evaluation Plan'!I15</x:f>
        <x:v>In-distribution concept baseline</x:v>
      </x:c>
      <x:c r="J15" s="9" t="str">
        <x:f>'Evaluation Plan'!J15</x:f>
        <x:v>SZ-ID-GB04</x:v>
      </x:c>
      <x:c r="K15" s="9" t="str">
        <x:f>'Evaluation Plan'!K15</x:f>
        <x:v>smallest</x:v>
      </x:c>
      <x:c r="L15" s="9" t="str">
        <x:f>'Evaluation Plan'!L15</x:f>
        <x:v>Explicitly trained smallest × green block</x:v>
      </x:c>
      <x:c r="M15" s="9" t="str">
        <x:f>'Evaluation Plan'!M15</x:f>
        <x:v>green block</x:v>
      </x:c>
      <x:c r="N15" s="9" t="str">
        <x:f>'Evaluation Plan'!N15</x:f>
        <x:v>Left</x:v>
      </x:c>
      <x:c r="O15" s="9" t="n">
        <x:f>'Evaluation Plan'!O15</x:f>
        <x:v>3</x:v>
      </x:c>
      <x:c r="P15" s="9" t="n">
        <x:f>IF(ISBLANK('Evaluation Plan'!P15),"",'Evaluation Plan'!P15)</x:f>
        <x:v>12</x:v>
      </x:c>
      <x:c r="Q15" s="9" t="str">
        <x:f>'Evaluation Plan'!Q15</x:f>
        <x:v>Build the listed manifest-supported scene.</x:v>
      </x:c>
      <x:c r="R15" s="10" t="str">
        <x:f>'Evaluation Plan'!R15</x:f>
        <x:v>Exact prompt and object composition from training episode 1053; this establishes the familiar smallest × green block cell.</x:v>
      </x:c>
      <x:c r="S15" s="10" t="str">
        <x:f>IF(ISBLANK('Evaluation Plan'!S15),"",'Evaluation Plan'!S15)</x:f>
      </x:c>
    </x:row>
    <x:row r="16" ht="68" customHeight="1">
      <x:c r="A16" s="9" t="str">
        <x:v>Not collected</x:v>
      </x:c>
      <x:c r="B16" s="9" t="n">
        <x:f>'Evaluation Plan'!B16</x:f>
        <x:v>14</x:v>
      </x:c>
      <x:c r="C16" s="10" t="str">
        <x:f>'Evaluation Plan'!C16</x:f>
        <x:v>Pick up the largest item and place it in the bowl.</x:v>
      </x:c>
      <x:c r="D16" s="10" t="str">
        <x:f>'Evaluation Plan'!D16</x:f>
        <x:v>Bowl: empty. Table, robot-left→robot-right: P1 green block; P2 red pencil sharpener; P3 juggling ball. Adjacent centers 16 cm apart; row centered on the workspace; all objects fully visible and grasp paths clear.</x:v>
      </x:c>
      <x:c r="E16" s="9" t="str">
        <x:f>IF(ISBLANK('Evaluation Plan'!E16),"",'Evaluation Plan'!E16)</x:f>
      </x:c>
      <x:c r="F16" s="9" t="str">
        <x:f>'Evaluation Plan'!F16</x:f>
        <x:v>1128</x:v>
      </x:c>
      <x:c r="G16" s="9" t="str">
        <x:f>'Evaluation Plan'!G16</x:f>
        <x:v>MOVE juggling ball to bowl</x:v>
      </x:c>
      <x:c r="H16" s="10"/>
      <x:c r="I16" s="9" t="str">
        <x:f>'Evaluation Plan'!I16</x:f>
        <x:v>In-distribution concept baseline</x:v>
      </x:c>
      <x:c r="J16" s="9" t="str">
        <x:f>'Evaluation Plan'!J16</x:f>
        <x:v>SZ-ID-JB04</x:v>
      </x:c>
      <x:c r="K16" s="9" t="str">
        <x:f>'Evaluation Plan'!K16</x:f>
        <x:v>largest</x:v>
      </x:c>
      <x:c r="L16" s="9" t="str">
        <x:f>'Evaluation Plan'!L16</x:f>
        <x:v>Explicitly trained largest × juggling ball</x:v>
      </x:c>
      <x:c r="M16" s="9" t="str">
        <x:f>'Evaluation Plan'!M16</x:f>
        <x:v>juggling ball</x:v>
      </x:c>
      <x:c r="N16" s="9" t="str">
        <x:f>'Evaluation Plan'!N16</x:f>
        <x:v>Right</x:v>
      </x:c>
      <x:c r="O16" s="9" t="n">
        <x:f>'Evaluation Plan'!O16</x:f>
        <x:v>3</x:v>
      </x:c>
      <x:c r="P16" s="9" t="n">
        <x:f>IF(ISBLANK('Evaluation Plan'!P16),"",'Evaluation Plan'!P16)</x:f>
        <x:v>16</x:v>
      </x:c>
      <x:c r="Q16" s="9" t="str">
        <x:f>'Evaluation Plan'!Q16</x:f>
        <x:v>Build the listed manifest-supported scene.</x:v>
      </x:c>
      <x:c r="R16" s="10" t="str">
        <x:f>'Evaluation Plan'!R16</x:f>
        <x:v>Exact prompt and object composition from training episode 1128; this establishes the familiar largest × juggling ball cell.</x:v>
      </x:c>
      <x:c r="S16" s="10" t="str">
        <x:f>IF(ISBLANK('Evaluation Plan'!S16),"",'Evaluation Plan'!S16)</x:f>
      </x:c>
    </x:row>
    <x:row r="17" ht="68" customHeight="1">
      <x:c r="A17" s="9" t="str">
        <x:v>Not collected</x:v>
      </x:c>
      <x:c r="B17" s="9" t="n">
        <x:f>'Evaluation Plan'!B17</x:f>
        <x:v>15</x:v>
      </x:c>
      <x:c r="C17" s="10" t="str">
        <x:f>'Evaluation Plan'!C17</x:f>
        <x:v>Put the largest object in the bowl.</x:v>
      </x:c>
      <x:c r="D17" s="10" t="str">
        <x:f>'Evaluation Plan'!D17</x:f>
        <x:v>Bowl: empty. Table, robot-left→robot-right: P1 crushed Pepsi can; P2 red pencil sharpener; P3 green block; P4 juggling ball. Adjacent centers 8 cm apart; row shifted 4 cm toward robot-left; all objects fully visible and grasp paths clear.</x:v>
      </x:c>
      <x:c r="E17" s="9" t="str">
        <x:f>IF(ISBLANK('Evaluation Plan'!E17),"",'Evaluation Plan'!E17)</x:f>
      </x:c>
      <x:c r="F17" s="9" t="str">
        <x:f>'Evaluation Plan'!F17</x:f>
        <x:v>1158</x:v>
      </x:c>
      <x:c r="G17" s="9" t="str">
        <x:f>'Evaluation Plan'!G17</x:f>
        <x:v>MOVE crushed Pepsi can to bowl</x:v>
      </x:c>
      <x:c r="H17" s="10"/>
      <x:c r="I17" s="9" t="str">
        <x:f>'Evaluation Plan'!I17</x:f>
        <x:v>In-distribution concept baseline</x:v>
      </x:c>
      <x:c r="J17" s="9" t="str">
        <x:f>'Evaluation Plan'!J17</x:f>
        <x:v>SZ-ID-PC04</x:v>
      </x:c>
      <x:c r="K17" s="9" t="str">
        <x:f>'Evaluation Plan'!K17</x:f>
        <x:v>largest</x:v>
      </x:c>
      <x:c r="L17" s="9" t="str">
        <x:f>'Evaluation Plan'!L17</x:f>
        <x:v>Explicitly trained largest × crushed Pepsi can</x:v>
      </x:c>
      <x:c r="M17" s="9" t="str">
        <x:f>'Evaluation Plan'!M17</x:f>
        <x:v>crushed Pepsi can</x:v>
      </x:c>
      <x:c r="N17" s="9" t="str">
        <x:f>'Evaluation Plan'!N17</x:f>
        <x:v>Left</x:v>
      </x:c>
      <x:c r="O17" s="9" t="n">
        <x:f>'Evaluation Plan'!O17</x:f>
        <x:v>4</x:v>
      </x:c>
      <x:c r="P17" s="9" t="n">
        <x:f>IF(ISBLANK('Evaluation Plan'!P17),"",'Evaluation Plan'!P17)</x:f>
        <x:v>8</x:v>
      </x:c>
      <x:c r="Q17" s="9" t="str">
        <x:f>'Evaluation Plan'!Q17</x:f>
        <x:v>Build the listed manifest-supported scene.</x:v>
      </x:c>
      <x:c r="R17" s="10" t="str">
        <x:f>'Evaluation Plan'!R17</x:f>
        <x:v>Exact prompt and object composition from training episode 1158; this establishes the familiar largest × crushed Pepsi can cell.</x:v>
      </x:c>
      <x:c r="S17" s="10" t="str">
        <x:f>IF(ISBLANK('Evaluation Plan'!S17),"",'Evaluation Plan'!S17)</x:f>
      </x:c>
    </x:row>
    <x:row r="18" ht="68" customHeight="1">
      <x:c r="A18" s="9" t="str">
        <x:v>Not collected</x:v>
      </x:c>
      <x:c r="B18" s="9" t="n">
        <x:f>'Evaluation Plan'!B18</x:f>
        <x:v>16</x:v>
      </x:c>
      <x:c r="C18" s="10" t="str">
        <x:f>'Evaluation Plan'!C18</x:f>
        <x:v>Move the object that is smallest into the bowl.</x:v>
      </x:c>
      <x:c r="D18" s="10" t="str">
        <x:f>'Evaluation Plan'!D18</x:f>
        <x:v>Bowl: empty. Table, robot-left→robot-right: P1 red pencil sharpener; P2 juggling ball; P3 crushed Pepsi can; P4 green block. Adjacent centers 12 cm apart; row shifted 4 cm away from the robot; all objects fully visible and grasp paths clear.</x:v>
      </x:c>
      <x:c r="E18" s="9" t="str">
        <x:f>IF(ISBLANK('Evaluation Plan'!E18),"",'Evaluation Plan'!E18)</x:f>
      </x:c>
      <x:c r="F18" s="9" t="str">
        <x:f>'Evaluation Plan'!F18</x:f>
        <x:v>1009</x:v>
      </x:c>
      <x:c r="G18" s="9" t="str">
        <x:f>'Evaluation Plan'!G18</x:f>
        <x:v>MOVE red pencil sharpener to bowl</x:v>
      </x:c>
      <x:c r="H18" s="10"/>
      <x:c r="I18" s="9" t="str">
        <x:f>'Evaluation Plan'!I18</x:f>
        <x:v>In-distribution concept baseline</x:v>
      </x:c>
      <x:c r="J18" s="9" t="str">
        <x:f>'Evaluation Plan'!J18</x:f>
        <x:v>SZ-ID-SH05</x:v>
      </x:c>
      <x:c r="K18" s="9" t="str">
        <x:f>'Evaluation Plan'!K18</x:f>
        <x:v>smallest</x:v>
      </x:c>
      <x:c r="L18" s="9" t="str">
        <x:f>'Evaluation Plan'!L18</x:f>
        <x:v>Explicitly trained smallest × red pencil sharpener</x:v>
      </x:c>
      <x:c r="M18" s="9" t="str">
        <x:f>'Evaluation Plan'!M18</x:f>
        <x:v>red pencil sharpener</x:v>
      </x:c>
      <x:c r="N18" s="9" t="str">
        <x:f>'Evaluation Plan'!N18</x:f>
        <x:v>Left</x:v>
      </x:c>
      <x:c r="O18" s="9" t="n">
        <x:f>'Evaluation Plan'!O18</x:f>
        <x:v>4</x:v>
      </x:c>
      <x:c r="P18" s="9" t="n">
        <x:f>IF(ISBLANK('Evaluation Plan'!P18),"",'Evaluation Plan'!P18)</x:f>
        <x:v>12</x:v>
      </x:c>
      <x:c r="Q18" s="9" t="str">
        <x:f>'Evaluation Plan'!Q18</x:f>
        <x:v>Build the listed manifest-supported scene.</x:v>
      </x:c>
      <x:c r="R18" s="10" t="str">
        <x:f>'Evaluation Plan'!R18</x:f>
        <x:v>Exact prompt and object composition from training episode 1009; this establishes the familiar smallest × red pencil sharpener cell.</x:v>
      </x:c>
      <x:c r="S18" s="10" t="str">
        <x:f>IF(ISBLANK('Evaluation Plan'!S18),"",'Evaluation Plan'!S18)</x:f>
      </x:c>
    </x:row>
    <x:row r="19" ht="68" customHeight="1">
      <x:c r="A19" s="9" t="str">
        <x:v>Not collected</x:v>
      </x:c>
      <x:c r="B19" s="9" t="n">
        <x:f>'Evaluation Plan'!B19</x:f>
        <x:v>17</x:v>
      </x:c>
      <x:c r="C19" s="10" t="str">
        <x:f>'Evaluation Plan'!C19</x:f>
        <x:v>Put the smallest object in the bowl.</x:v>
      </x:c>
      <x:c r="D19" s="10" t="str">
        <x:f>'Evaluation Plan'!D19</x:f>
        <x:v>Bowl: empty. Table, robot-left→robot-right: P1 crushed Pepsi can; P2 juggling ball; P3 green block. Adjacent centers 16 cm apart; row centered on the workspace; all objects fully visible and grasp paths clear.</x:v>
      </x:c>
      <x:c r="E19" s="9" t="str">
        <x:f>IF(ISBLANK('Evaluation Plan'!E19),"",'Evaluation Plan'!E19)</x:f>
      </x:c>
      <x:c r="F19" s="9" t="str">
        <x:f>'Evaluation Plan'!F19</x:f>
        <x:v>1054</x:v>
      </x:c>
      <x:c r="G19" s="9" t="str">
        <x:f>'Evaluation Plan'!G19</x:f>
        <x:v>MOVE green block to bowl</x:v>
      </x:c>
      <x:c r="H19" s="10"/>
      <x:c r="I19" s="9" t="str">
        <x:f>'Evaluation Plan'!I19</x:f>
        <x:v>In-distribution concept baseline</x:v>
      </x:c>
      <x:c r="J19" s="9" t="str">
        <x:f>'Evaluation Plan'!J19</x:f>
        <x:v>SZ-ID-GB05</x:v>
      </x:c>
      <x:c r="K19" s="9" t="str">
        <x:f>'Evaluation Plan'!K19</x:f>
        <x:v>smallest</x:v>
      </x:c>
      <x:c r="L19" s="9" t="str">
        <x:f>'Evaluation Plan'!L19</x:f>
        <x:v>Explicitly trained smallest × green block</x:v>
      </x:c>
      <x:c r="M19" s="9" t="str">
        <x:f>'Evaluation Plan'!M19</x:f>
        <x:v>green block</x:v>
      </x:c>
      <x:c r="N19" s="9" t="str">
        <x:f>'Evaluation Plan'!N19</x:f>
        <x:v>Right</x:v>
      </x:c>
      <x:c r="O19" s="9" t="n">
        <x:f>'Evaluation Plan'!O19</x:f>
        <x:v>3</x:v>
      </x:c>
      <x:c r="P19" s="9" t="n">
        <x:f>IF(ISBLANK('Evaluation Plan'!P19),"",'Evaluation Plan'!P19)</x:f>
        <x:v>16</x:v>
      </x:c>
      <x:c r="Q19" s="9" t="str">
        <x:f>'Evaluation Plan'!Q19</x:f>
        <x:v>Build the listed manifest-supported scene.</x:v>
      </x:c>
      <x:c r="R19" s="10" t="str">
        <x:f>'Evaluation Plan'!R19</x:f>
        <x:v>Exact prompt and object composition from training episode 1054; this establishes the familiar smallest × green block cell.</x:v>
      </x:c>
      <x:c r="S19" s="10" t="str">
        <x:f>IF(ISBLANK('Evaluation Plan'!S19),"",'Evaluation Plan'!S19)</x:f>
      </x:c>
    </x:row>
    <x:row r="20" ht="68" customHeight="1">
      <x:c r="A20" s="9" t="str">
        <x:v>Not collected</x:v>
      </x:c>
      <x:c r="B20" s="9" t="n">
        <x:f>'Evaluation Plan'!B20</x:f>
        <x:v>18</x:v>
      </x:c>
      <x:c r="C20" s="10" t="str">
        <x:f>'Evaluation Plan'!C20</x:f>
        <x:v>Put the largest object in the bowl.</x:v>
      </x:c>
      <x:c r="D20" s="10" t="str">
        <x:f>'Evaluation Plan'!D20</x:f>
        <x:v>Bowl: empty. Table, robot-left→robot-right: P1 juggling ball; P2 red pencil sharpener; P3 green block. Adjacent centers 8 cm apart; row shifted 4 cm toward robot-left; all objects fully visible and grasp paths clear.</x:v>
      </x:c>
      <x:c r="E20" s="9" t="str">
        <x:f>IF(ISBLANK('Evaluation Plan'!E20),"",'Evaluation Plan'!E20)</x:f>
      </x:c>
      <x:c r="F20" s="9" t="str">
        <x:f>'Evaluation Plan'!F20</x:f>
        <x:v>1129</x:v>
      </x:c>
      <x:c r="G20" s="9" t="str">
        <x:f>'Evaluation Plan'!G20</x:f>
        <x:v>MOVE juggling ball to bowl</x:v>
      </x:c>
      <x:c r="H20" s="10"/>
      <x:c r="I20" s="9" t="str">
        <x:f>'Evaluation Plan'!I20</x:f>
        <x:v>In-distribution concept baseline</x:v>
      </x:c>
      <x:c r="J20" s="9" t="str">
        <x:f>'Evaluation Plan'!J20</x:f>
        <x:v>SZ-ID-JB05</x:v>
      </x:c>
      <x:c r="K20" s="9" t="str">
        <x:f>'Evaluation Plan'!K20</x:f>
        <x:v>largest</x:v>
      </x:c>
      <x:c r="L20" s="9" t="str">
        <x:f>'Evaluation Plan'!L20</x:f>
        <x:v>Explicitly trained largest × juggling ball</x:v>
      </x:c>
      <x:c r="M20" s="9" t="str">
        <x:f>'Evaluation Plan'!M20</x:f>
        <x:v>juggling ball</x:v>
      </x:c>
      <x:c r="N20" s="9" t="str">
        <x:f>'Evaluation Plan'!N20</x:f>
        <x:v>Left</x:v>
      </x:c>
      <x:c r="O20" s="9" t="n">
        <x:f>'Evaluation Plan'!O20</x:f>
        <x:v>3</x:v>
      </x:c>
      <x:c r="P20" s="9" t="n">
        <x:f>IF(ISBLANK('Evaluation Plan'!P20),"",'Evaluation Plan'!P20)</x:f>
        <x:v>8</x:v>
      </x:c>
      <x:c r="Q20" s="9" t="str">
        <x:f>'Evaluation Plan'!Q20</x:f>
        <x:v>Build the listed manifest-supported scene.</x:v>
      </x:c>
      <x:c r="R20" s="10" t="str">
        <x:f>'Evaluation Plan'!R20</x:f>
        <x:v>Exact prompt and object composition from training episode 1129; this establishes the familiar largest × juggling ball cell.</x:v>
      </x:c>
      <x:c r="S20" s="10" t="str">
        <x:f>IF(ISBLANK('Evaluation Plan'!S20),"",'Evaluation Plan'!S20)</x:f>
      </x:c>
    </x:row>
    <x:row r="21" ht="68" customHeight="1">
      <x:c r="A21" s="9" t="str">
        <x:v>Not collected</x:v>
      </x:c>
      <x:c r="B21" s="9" t="n">
        <x:f>'Evaluation Plan'!B21</x:f>
        <x:v>19</x:v>
      </x:c>
      <x:c r="C21" s="10" t="str">
        <x:f>'Evaluation Plan'!C21</x:f>
        <x:v>Move the object that is largest into the bowl.</x:v>
      </x:c>
      <x:c r="D21" s="10" t="str">
        <x:f>'Evaluation Plan'!D21</x:f>
        <x:v>Bowl: empty. Table, robot-left→robot-right: P1 green block; P2 juggling ball; P3 red pencil sharpener; P4 crushed Pepsi can. Adjacent centers 12 cm apart; row shifted 4 cm toward robot-right; all objects fully visible and grasp paths clear.</x:v>
      </x:c>
      <x:c r="E21" s="9" t="str">
        <x:f>IF(ISBLANK('Evaluation Plan'!E21),"",'Evaluation Plan'!E21)</x:f>
      </x:c>
      <x:c r="F21" s="9" t="str">
        <x:f>'Evaluation Plan'!F21</x:f>
        <x:v>1159</x:v>
      </x:c>
      <x:c r="G21" s="9" t="str">
        <x:f>'Evaluation Plan'!G21</x:f>
        <x:v>MOVE crushed Pepsi can to bowl</x:v>
      </x:c>
      <x:c r="H21" s="10"/>
      <x:c r="I21" s="9" t="str">
        <x:f>'Evaluation Plan'!I21</x:f>
        <x:v>In-distribution concept baseline</x:v>
      </x:c>
      <x:c r="J21" s="9" t="str">
        <x:f>'Evaluation Plan'!J21</x:f>
        <x:v>SZ-ID-PC05</x:v>
      </x:c>
      <x:c r="K21" s="9" t="str">
        <x:f>'Evaluation Plan'!K21</x:f>
        <x:v>largest</x:v>
      </x:c>
      <x:c r="L21" s="9" t="str">
        <x:f>'Evaluation Plan'!L21</x:f>
        <x:v>Explicitly trained largest × crushed Pepsi can</x:v>
      </x:c>
      <x:c r="M21" s="9" t="str">
        <x:f>'Evaluation Plan'!M21</x:f>
        <x:v>crushed Pepsi can</x:v>
      </x:c>
      <x:c r="N21" s="9" t="str">
        <x:f>'Evaluation Plan'!N21</x:f>
        <x:v>Right</x:v>
      </x:c>
      <x:c r="O21" s="9" t="n">
        <x:f>'Evaluation Plan'!O21</x:f>
        <x:v>4</x:v>
      </x:c>
      <x:c r="P21" s="9" t="n">
        <x:f>IF(ISBLANK('Evaluation Plan'!P21),"",'Evaluation Plan'!P21)</x:f>
        <x:v>12</x:v>
      </x:c>
      <x:c r="Q21" s="9" t="str">
        <x:f>'Evaluation Plan'!Q21</x:f>
        <x:v>Build the listed manifest-supported scene.</x:v>
      </x:c>
      <x:c r="R21" s="10" t="str">
        <x:f>'Evaluation Plan'!R21</x:f>
        <x:v>Exact prompt and object composition from training episode 1159; this establishes the familiar largest × crushed Pepsi can cell.</x:v>
      </x:c>
      <x:c r="S21" s="10" t="str">
        <x:f>IF(ISBLANK('Evaluation Plan'!S21),"",'Evaluation Plan'!S21)</x:f>
      </x:c>
    </x:row>
    <x:row r="22" ht="68" customHeight="1">
      <x:c r="A22" s="9" t="str">
        <x:v>Not collected</x:v>
      </x:c>
      <x:c r="B22" s="9" t="n">
        <x:f>'Evaluation Plan'!B22</x:f>
        <x:v>20</x:v>
      </x:c>
      <x:c r="C22" s="10" t="str">
        <x:f>'Evaluation Plan'!C22</x:f>
        <x:v>Move the object that is largest into the bowl.</x:v>
      </x:c>
      <x:c r="D22" s="10" t="str">
        <x:f>'Evaluation Plan'!D22</x:f>
        <x:v>Bowl: empty. Table, robot-left→robot-right: P1 green block; P2 red pencil sharpener. Adjacent centers 8 cm apart; row centered on the workspace; all objects fully visible and grasp paths clear.</x:v>
      </x:c>
      <x:c r="E22" s="9" t="str">
        <x:f>IF(ISBLANK('Evaluation Plan'!E22),"",'Evaluation Plan'!E22)</x:f>
      </x:c>
      <x:c r="F22" s="9" t="str">
        <x:f>'Evaluation Plan'!F22</x:f>
        <x:v>1080</x:v>
      </x:c>
      <x:c r="G22" s="9" t="str">
        <x:f>'Evaluation Plan'!G22</x:f>
        <x:v>MOVE green block to bowl</x:v>
      </x:c>
      <x:c r="H22" s="10"/>
      <x:c r="I22" s="9" t="str">
        <x:f>'Evaluation Plan'!I22</x:f>
        <x:v>Concept/compositional transfer</x:v>
      </x:c>
      <x:c r="J22" s="9" t="str">
        <x:f>'Evaluation Plan'!J22</x:f>
        <x:v>SZ-CT-LG01</x:v>
      </x:c>
      <x:c r="K22" s="9" t="str">
        <x:f>'Evaluation Plan'!K22</x:f>
        <x:v>largest</x:v>
      </x:c>
      <x:c r="L22" s="9" t="str">
        <x:f>'Evaluation Plan'!L22</x:f>
        <x:v>Held-out largest × green block — Move</x:v>
      </x:c>
      <x:c r="M22" s="9" t="str">
        <x:f>'Evaluation Plan'!M22</x:f>
        <x:v>green block</x:v>
      </x:c>
      <x:c r="N22" s="9" t="str">
        <x:f>'Evaluation Plan'!N22</x:f>
        <x:v>Left</x:v>
      </x:c>
      <x:c r="O22" s="9" t="n">
        <x:f>'Evaluation Plan'!O22</x:f>
        <x:v>2</x:v>
      </x:c>
      <x:c r="P22" s="9" t="n">
        <x:f>IF(ISBLANK('Evaluation Plan'!P22),"",'Evaluation Plan'!P22)</x:f>
        <x:v>8</x:v>
      </x:c>
      <x:c r="Q22" s="9" t="str">
        <x:f>'Evaluation Plan'!Q22</x:f>
        <x:v>Build the listed two-object scene and save a first-frame filename.</x:v>
      </x:c>
      <x:c r="R22" s="10" t="str">
        <x:f>'Evaluation Plan'!R22</x:f>
        <x:v>Primary missing cell. Training episode 1080 contains the same target trajectory but masks the size word with a direct identity prompt.</x:v>
      </x:c>
      <x:c r="S22" s="10" t="str">
        <x:f>IF(ISBLANK('Evaluation Plan'!S22),"",'Evaluation Plan'!S22)</x:f>
      </x:c>
    </x:row>
    <x:row r="23" ht="68" customHeight="1">
      <x:c r="A23" s="8" t="str">
        <x:v>Not collected</x:v>
      </x:c>
      <x:c r="B23" s="8" t="n">
        <x:f>'Evaluation Plan'!B23</x:f>
        <x:v>21</x:v>
      </x:c>
      <x:c r="C23" s="7" t="str">
        <x:f>'Evaluation Plan'!C23</x:f>
        <x:v>Put the green block in the bowl.</x:v>
      </x:c>
      <x:c r="D23" s="7" t="str">
        <x:f>'Evaluation Plan'!D23</x:f>
        <x:v>Bowl: empty. Table, robot-left→robot-right: P1 green block; P2 red pencil sharpener. Adjacent centers 8 cm apart; row centered on the workspace; all objects fully visible and grasp paths clear.</x:v>
      </x:c>
      <x:c r="E23" s="8" t="n">
        <x:f>IF(ISBLANK('Evaluation Plan'!E23),"",'Evaluation Plan'!E23)</x:f>
        <x:v>20</x:v>
      </x:c>
      <x:c r="F23" s="8" t="str">
        <x:f>'Evaluation Plan'!F23</x:f>
        <x:v>1075</x:v>
      </x:c>
      <x:c r="G23" s="8" t="str">
        <x:f>'Evaluation Plan'!G23</x:f>
        <x:v>MOVE green block to bowl</x:v>
      </x:c>
      <x:c r="H23" s="7"/>
      <x:c r="I23" s="8" t="str">
        <x:f>'Evaluation Plan'!I23</x:f>
        <x:v>Matched manipulation control</x:v>
      </x:c>
      <x:c r="J23" s="8" t="str">
        <x:f>'Evaluation Plan'!J23</x:f>
        <x:v>SZ-CT-LG01</x:v>
      </x:c>
      <x:c r="K23" s="8" t="str">
        <x:f>'Evaluation Plan'!K23</x:f>
        <x:v>Direct</x:v>
      </x:c>
      <x:c r="L23" s="8" t="str">
        <x:f>'Evaluation Plan'!L23</x:f>
        <x:v>Same-scene direct target control</x:v>
      </x:c>
      <x:c r="M23" s="8" t="str">
        <x:f>'Evaluation Plan'!M23</x:f>
        <x:v>green block</x:v>
      </x:c>
      <x:c r="N23" s="8" t="str">
        <x:f>'Evaluation Plan'!N23</x:f>
        <x:v>Left</x:v>
      </x:c>
      <x:c r="O23" s="8" t="n">
        <x:f>'Evaluation Plan'!O23</x:f>
        <x:v>2</x:v>
      </x:c>
      <x:c r="P23" s="8" t="n">
        <x:f>IF(ISBLANK('Evaluation Plan'!P23),"",'Evaluation Plan'!P23)</x:f>
        <x:v>8</x:v>
      </x:c>
      <x:c r="Q23" s="8" t="str">
        <x:f>'Evaluation Plan'!Q23</x:f>
        <x:v>Reset the target to its original pose; change only the prompt.</x:v>
      </x:c>
      <x:c r="R23" s="7" t="str">
        <x:f>'Evaluation Plan'!R23</x:f>
        <x:v>Exact-scene control using a direct prompt supported by training episode 1075.</x:v>
      </x:c>
      <x:c r="S23" s="7" t="str">
        <x:f>IF(ISBLANK('Evaluation Plan'!S23),"",'Evaluation Plan'!S23)</x:f>
      </x:c>
    </x:row>
    <x:row r="24" ht="68" customHeight="1">
      <x:c r="A24" s="8" t="str">
        <x:v>Not collected</x:v>
      </x:c>
      <x:c r="B24" s="8" t="n">
        <x:f>'Evaluation Plan'!B24</x:f>
        <x:v>22</x:v>
      </x:c>
      <x:c r="C24" s="7" t="str">
        <x:f>'Evaluation Plan'!C24</x:f>
        <x:v>Choose the biggest item and move it into the bowl.</x:v>
      </x:c>
      <x:c r="D24" s="7" t="str">
        <x:f>'Evaluation Plan'!D24</x:f>
        <x:v>Bowl: empty. Table, robot-left→robot-right: P1 green block; P2 red pencil sharpener. Adjacent centers 8 cm apart; row centered on the workspace; all objects fully visible and grasp paths clear.</x:v>
      </x:c>
      <x:c r="E24" s="8" t="n">
        <x:f>IF(ISBLANK('Evaluation Plan'!E24),"",'Evaluation Plan'!E24)</x:f>
        <x:v>20</x:v>
      </x:c>
      <x:c r="F24" s="8" t="str">
        <x:f>'Evaluation Plan'!F24</x:f>
        <x:v>1080</x:v>
      </x:c>
      <x:c r="G24" s="8" t="str">
        <x:f>'Evaluation Plan'!G24</x:f>
        <x:v>MOVE green block to bowl</x:v>
      </x:c>
      <x:c r="H24" s="7"/>
      <x:c r="I24" s="8" t="str">
        <x:f>'Evaluation Plan'!I24</x:f>
        <x:v>Language robustness</x:v>
      </x:c>
      <x:c r="J24" s="8" t="str">
        <x:f>'Evaluation Plan'!J24</x:f>
        <x:v>SZ-CT-LG01</x:v>
      </x:c>
      <x:c r="K24" s="8" t="str">
        <x:f>'Evaluation Plan'!K24</x:f>
        <x:v>largest</x:v>
      </x:c>
      <x:c r="L24" s="8" t="str">
        <x:f>'Evaluation Plan'!L24</x:f>
        <x:v>Primary compositional-transfer prompt paraphrase</x:v>
      </x:c>
      <x:c r="M24" s="8" t="str">
        <x:f>'Evaluation Plan'!M24</x:f>
        <x:v>green block</x:v>
      </x:c>
      <x:c r="N24" s="8" t="str">
        <x:f>'Evaluation Plan'!N24</x:f>
        <x:v>Left</x:v>
      </x:c>
      <x:c r="O24" s="8" t="n">
        <x:f>'Evaluation Plan'!O24</x:f>
        <x:v>2</x:v>
      </x:c>
      <x:c r="P24" s="8" t="n">
        <x:f>IF(ISBLANK('Evaluation Plan'!P24),"",'Evaluation Plan'!P24)</x:f>
        <x:v>8</x:v>
      </x:c>
      <x:c r="Q24" s="8" t="str">
        <x:f>'Evaluation Plan'!Q24</x:f>
        <x:v>Reset the target; preserve the exact scene and paraphrase only the transfer prompt.</x:v>
      </x:c>
      <x:c r="R24" s="7" t="str">
        <x:f>'Evaluation Plan'!R24</x:f>
        <x:v>Exact-scene paraphrase of the primary transfer instruction.</x:v>
      </x:c>
      <x:c r="S24" s="7" t="str">
        <x:f>IF(ISBLANK('Evaluation Plan'!S24),"",'Evaluation Plan'!S24)</x:f>
      </x:c>
    </x:row>
    <x:row r="25" ht="68" customHeight="1">
      <x:c r="A25" s="8" t="str">
        <x:v>Not collected</x:v>
      </x:c>
      <x:c r="B25" s="8" t="n">
        <x:f>'Evaluation Plan'!B25</x:f>
        <x:v>23</x:v>
      </x:c>
      <x:c r="C25" s="7" t="str">
        <x:f>'Evaluation Plan'!C25</x:f>
        <x:v>Transfer the green block from the table into the bowl.</x:v>
      </x:c>
      <x:c r="D25" s="7" t="str">
        <x:f>'Evaluation Plan'!D25</x:f>
        <x:v>Bowl: empty. Table, robot-left→robot-right: P1 green block; P2 red pencil sharpener. Adjacent centers 8 cm apart; row centered on the workspace; all objects fully visible and grasp paths clear.</x:v>
      </x:c>
      <x:c r="E25" s="8" t="n">
        <x:f>IF(ISBLANK('Evaluation Plan'!E25),"",'Evaluation Plan'!E25)</x:f>
        <x:v>21</x:v>
      </x:c>
      <x:c r="F25" s="8" t="str">
        <x:f>'Evaluation Plan'!F25</x:f>
        <x:v>1075</x:v>
      </x:c>
      <x:c r="G25" s="8" t="str">
        <x:f>'Evaluation Plan'!G25</x:f>
        <x:v>MOVE green block to bowl</x:v>
      </x:c>
      <x:c r="H25" s="7"/>
      <x:c r="I25" s="8" t="str">
        <x:f>'Evaluation Plan'!I25</x:f>
        <x:v>Language robustness</x:v>
      </x:c>
      <x:c r="J25" s="8" t="str">
        <x:f>'Evaluation Plan'!J25</x:f>
        <x:v>SZ-CT-LG01</x:v>
      </x:c>
      <x:c r="K25" s="8" t="str">
        <x:f>'Evaluation Plan'!K25</x:f>
        <x:v>Direct</x:v>
      </x:c>
      <x:c r="L25" s="8" t="str">
        <x:f>'Evaluation Plan'!L25</x:f>
        <x:v>Matched-control direct prompt paraphrase</x:v>
      </x:c>
      <x:c r="M25" s="8" t="str">
        <x:f>'Evaluation Plan'!M25</x:f>
        <x:v>green block</x:v>
      </x:c>
      <x:c r="N25" s="8" t="str">
        <x:f>'Evaluation Plan'!N25</x:f>
        <x:v>Left</x:v>
      </x:c>
      <x:c r="O25" s="8" t="n">
        <x:f>'Evaluation Plan'!O25</x:f>
        <x:v>2</x:v>
      </x:c>
      <x:c r="P25" s="8" t="n">
        <x:f>IF(ISBLANK('Evaluation Plan'!P25),"",'Evaluation Plan'!P25)</x:f>
        <x:v>8</x:v>
      </x:c>
      <x:c r="Q25" s="8" t="str">
        <x:f>'Evaluation Plan'!Q25</x:f>
        <x:v>Reset the target; preserve the exact scene and paraphrase only the matched-control prompt.</x:v>
      </x:c>
      <x:c r="R25" s="7" t="str">
        <x:f>'Evaluation Plan'!R25</x:f>
        <x:v>Exact-scene paraphrase of the direct manipulation control.</x:v>
      </x:c>
      <x:c r="S25" s="7" t="str">
        <x:f>IF(ISBLANK('Evaluation Plan'!S25),"",'Evaluation Plan'!S25)</x:f>
      </x:c>
    </x:row>
    <x:row r="26" ht="68" customHeight="1">
      <x:c r="A26" s="9" t="str">
        <x:v>Not collected</x:v>
      </x:c>
      <x:c r="B26" s="9" t="n">
        <x:f>'Evaluation Plan'!B26</x:f>
        <x:v>24</x:v>
      </x:c>
      <x:c r="C26" s="10" t="str">
        <x:f>'Evaluation Plan'!C26</x:f>
        <x:v>Pick up the smallest item and place it in the bowl.</x:v>
      </x:c>
      <x:c r="D26" s="10" t="str">
        <x:f>'Evaluation Plan'!D26</x:f>
        <x:v>Bowl: empty. Table, robot-left→robot-right: P1 crushed Pepsi can; P2 juggling ball. Adjacent centers 12 cm apart; row shifted 4 cm toward robot-right; all objects fully visible and grasp paths clear.</x:v>
      </x:c>
      <x:c r="E26" s="9" t="str">
        <x:f>IF(ISBLANK('Evaluation Plan'!E26),"",'Evaluation Plan'!E26)</x:f>
      </x:c>
      <x:c r="F26" s="9" t="str">
        <x:f>'Evaluation Plan'!F26</x:f>
        <x:v>1105</x:v>
      </x:c>
      <x:c r="G26" s="9" t="str">
        <x:f>'Evaluation Plan'!G26</x:f>
        <x:v>MOVE juggling ball to bowl</x:v>
      </x:c>
      <x:c r="H26" s="10"/>
      <x:c r="I26" s="9" t="str">
        <x:f>'Evaluation Plan'!I26</x:f>
        <x:v>Concept/compositional transfer</x:v>
      </x:c>
      <x:c r="J26" s="9" t="str">
        <x:f>'Evaluation Plan'!J26</x:f>
        <x:v>SZ-CT-SJ01</x:v>
      </x:c>
      <x:c r="K26" s="9" t="str">
        <x:f>'Evaluation Plan'!K26</x:f>
        <x:v>smallest</x:v>
      </x:c>
      <x:c r="L26" s="9" t="str">
        <x:f>'Evaluation Plan'!L26</x:f>
        <x:v>Held-out smallest × juggling ball — Pick up</x:v>
      </x:c>
      <x:c r="M26" s="9" t="str">
        <x:f>'Evaluation Plan'!M26</x:f>
        <x:v>juggling ball</x:v>
      </x:c>
      <x:c r="N26" s="9" t="str">
        <x:f>'Evaluation Plan'!N26</x:f>
        <x:v>Right</x:v>
      </x:c>
      <x:c r="O26" s="9" t="n">
        <x:f>'Evaluation Plan'!O26</x:f>
        <x:v>2</x:v>
      </x:c>
      <x:c r="P26" s="9" t="n">
        <x:f>IF(ISBLANK('Evaluation Plan'!P26),"",'Evaluation Plan'!P26)</x:f>
        <x:v>12</x:v>
      </x:c>
      <x:c r="Q26" s="9" t="str">
        <x:f>'Evaluation Plan'!Q26</x:f>
        <x:v>Build the listed two-object scene and save a first-frame filename.</x:v>
      </x:c>
      <x:c r="R26" s="10" t="str">
        <x:f>'Evaluation Plan'!R26</x:f>
        <x:v>Primary missing cell. Training episode 1105 contains the same target trajectory but masks the size word with a direct identity prompt.</x:v>
      </x:c>
      <x:c r="S26" s="10" t="str">
        <x:f>IF(ISBLANK('Evaluation Plan'!S26),"",'Evaluation Plan'!S26)</x:f>
      </x:c>
    </x:row>
    <x:row r="27" ht="68" customHeight="1">
      <x:c r="A27" s="8" t="str">
        <x:v>Not collected</x:v>
      </x:c>
      <x:c r="B27" s="8" t="n">
        <x:f>'Evaluation Plan'!B27</x:f>
        <x:v>25</x:v>
      </x:c>
      <x:c r="C27" s="7" t="str">
        <x:f>'Evaluation Plan'!C27</x:f>
        <x:v>Put the juggling ball in the bowl.</x:v>
      </x:c>
      <x:c r="D27" s="7" t="str">
        <x:f>'Evaluation Plan'!D27</x:f>
        <x:v>Bowl: empty. Table, robot-left→robot-right: P1 crushed Pepsi can; P2 juggling ball. Adjacent centers 12 cm apart; row shifted 4 cm toward robot-right; all objects fully visible and grasp paths clear.</x:v>
      </x:c>
      <x:c r="E27" s="8" t="n">
        <x:f>IF(ISBLANK('Evaluation Plan'!E27),"",'Evaluation Plan'!E27)</x:f>
        <x:v>24</x:v>
      </x:c>
      <x:c r="F27" s="8" t="str">
        <x:f>'Evaluation Plan'!F27</x:f>
        <x:v>1100</x:v>
      </x:c>
      <x:c r="G27" s="8" t="str">
        <x:f>'Evaluation Plan'!G27</x:f>
        <x:v>MOVE juggling ball to bowl</x:v>
      </x:c>
      <x:c r="H27" s="7"/>
      <x:c r="I27" s="8" t="str">
        <x:f>'Evaluation Plan'!I27</x:f>
        <x:v>Matched manipulation control</x:v>
      </x:c>
      <x:c r="J27" s="8" t="str">
        <x:f>'Evaluation Plan'!J27</x:f>
        <x:v>SZ-CT-SJ01</x:v>
      </x:c>
      <x:c r="K27" s="8" t="str">
        <x:f>'Evaluation Plan'!K27</x:f>
        <x:v>Direct</x:v>
      </x:c>
      <x:c r="L27" s="8" t="str">
        <x:f>'Evaluation Plan'!L27</x:f>
        <x:v>Same-scene direct target control</x:v>
      </x:c>
      <x:c r="M27" s="8" t="str">
        <x:f>'Evaluation Plan'!M27</x:f>
        <x:v>juggling ball</x:v>
      </x:c>
      <x:c r="N27" s="8" t="str">
        <x:f>'Evaluation Plan'!N27</x:f>
        <x:v>Right</x:v>
      </x:c>
      <x:c r="O27" s="8" t="n">
        <x:f>'Evaluation Plan'!O27</x:f>
        <x:v>2</x:v>
      </x:c>
      <x:c r="P27" s="8" t="n">
        <x:f>IF(ISBLANK('Evaluation Plan'!P27),"",'Evaluation Plan'!P27)</x:f>
        <x:v>12</x:v>
      </x:c>
      <x:c r="Q27" s="8" t="str">
        <x:f>'Evaluation Plan'!Q27</x:f>
        <x:v>Reset the target to its original pose; change only the prompt.</x:v>
      </x:c>
      <x:c r="R27" s="7" t="str">
        <x:f>'Evaluation Plan'!R27</x:f>
        <x:v>Exact-scene control using a direct prompt supported by training episode 1100.</x:v>
      </x:c>
      <x:c r="S27" s="7" t="str">
        <x:f>IF(ISBLANK('Evaluation Plan'!S27),"",'Evaluation Plan'!S27)</x:f>
      </x:c>
    </x:row>
    <x:row r="28" ht="68" customHeight="1">
      <x:c r="A28" s="8" t="str">
        <x:v>Not collected</x:v>
      </x:c>
      <x:c r="B28" s="8" t="n">
        <x:f>'Evaluation Plan'!B28</x:f>
        <x:v>26</x:v>
      </x:c>
      <x:c r="C28" s="7" t="str">
        <x:f>'Evaluation Plan'!C28</x:f>
        <x:v>Choose the tiniest item and move it into the bowl.</x:v>
      </x:c>
      <x:c r="D28" s="7" t="str">
        <x:f>'Evaluation Plan'!D28</x:f>
        <x:v>Bowl: empty. Table, robot-left→robot-right: P1 crushed Pepsi can; P2 juggling ball. Adjacent centers 12 cm apart; row shifted 4 cm toward robot-right; all objects fully visible and grasp paths clear.</x:v>
      </x:c>
      <x:c r="E28" s="8" t="n">
        <x:f>IF(ISBLANK('Evaluation Plan'!E28),"",'Evaluation Plan'!E28)</x:f>
        <x:v>24</x:v>
      </x:c>
      <x:c r="F28" s="8" t="str">
        <x:f>'Evaluation Plan'!F28</x:f>
        <x:v>1105</x:v>
      </x:c>
      <x:c r="G28" s="8" t="str">
        <x:f>'Evaluation Plan'!G28</x:f>
        <x:v>MOVE juggling ball to bowl</x:v>
      </x:c>
      <x:c r="H28" s="7"/>
      <x:c r="I28" s="8" t="str">
        <x:f>'Evaluation Plan'!I28</x:f>
        <x:v>Language robustness</x:v>
      </x:c>
      <x:c r="J28" s="8" t="str">
        <x:f>'Evaluation Plan'!J28</x:f>
        <x:v>SZ-CT-SJ01</x:v>
      </x:c>
      <x:c r="K28" s="8" t="str">
        <x:f>'Evaluation Plan'!K28</x:f>
        <x:v>smallest</x:v>
      </x:c>
      <x:c r="L28" s="8" t="str">
        <x:f>'Evaluation Plan'!L28</x:f>
        <x:v>Primary compositional-transfer prompt paraphrase</x:v>
      </x:c>
      <x:c r="M28" s="8" t="str">
        <x:f>'Evaluation Plan'!M28</x:f>
        <x:v>juggling ball</x:v>
      </x:c>
      <x:c r="N28" s="8" t="str">
        <x:f>'Evaluation Plan'!N28</x:f>
        <x:v>Right</x:v>
      </x:c>
      <x:c r="O28" s="8" t="n">
        <x:f>'Evaluation Plan'!O28</x:f>
        <x:v>2</x:v>
      </x:c>
      <x:c r="P28" s="8" t="n">
        <x:f>IF(ISBLANK('Evaluation Plan'!P28),"",'Evaluation Plan'!P28)</x:f>
        <x:v>12</x:v>
      </x:c>
      <x:c r="Q28" s="8" t="str">
        <x:f>'Evaluation Plan'!Q28</x:f>
        <x:v>Reset the target; preserve the exact scene and paraphrase only the transfer prompt.</x:v>
      </x:c>
      <x:c r="R28" s="7" t="str">
        <x:f>'Evaluation Plan'!R28</x:f>
        <x:v>Exact-scene paraphrase of the primary transfer instruction.</x:v>
      </x:c>
      <x:c r="S28" s="7" t="str">
        <x:f>IF(ISBLANK('Evaluation Plan'!S28),"",'Evaluation Plan'!S28)</x:f>
      </x:c>
    </x:row>
    <x:row r="29" ht="68" customHeight="1">
      <x:c r="A29" s="8" t="str">
        <x:v>Not collected</x:v>
      </x:c>
      <x:c r="B29" s="8" t="n">
        <x:f>'Evaluation Plan'!B29</x:f>
        <x:v>27</x:v>
      </x:c>
      <x:c r="C29" s="7" t="str">
        <x:f>'Evaluation Plan'!C29</x:f>
        <x:v>Transfer the juggling ball from the table into the bowl.</x:v>
      </x:c>
      <x:c r="D29" s="7" t="str">
        <x:f>'Evaluation Plan'!D29</x:f>
        <x:v>Bowl: empty. Table, robot-left→robot-right: P1 crushed Pepsi can; P2 juggling ball. Adjacent centers 12 cm apart; row shifted 4 cm toward robot-right; all objects fully visible and grasp paths clear.</x:v>
      </x:c>
      <x:c r="E29" s="8" t="n">
        <x:f>IF(ISBLANK('Evaluation Plan'!E29),"",'Evaluation Plan'!E29)</x:f>
        <x:v>25</x:v>
      </x:c>
      <x:c r="F29" s="8" t="str">
        <x:f>'Evaluation Plan'!F29</x:f>
        <x:v>1100</x:v>
      </x:c>
      <x:c r="G29" s="8" t="str">
        <x:f>'Evaluation Plan'!G29</x:f>
        <x:v>MOVE juggling ball to bowl</x:v>
      </x:c>
      <x:c r="H29" s="7"/>
      <x:c r="I29" s="8" t="str">
        <x:f>'Evaluation Plan'!I29</x:f>
        <x:v>Language robustness</x:v>
      </x:c>
      <x:c r="J29" s="8" t="str">
        <x:f>'Evaluation Plan'!J29</x:f>
        <x:v>SZ-CT-SJ01</x:v>
      </x:c>
      <x:c r="K29" s="8" t="str">
        <x:f>'Evaluation Plan'!K29</x:f>
        <x:v>Direct</x:v>
      </x:c>
      <x:c r="L29" s="8" t="str">
        <x:f>'Evaluation Plan'!L29</x:f>
        <x:v>Matched-control direct prompt paraphrase</x:v>
      </x:c>
      <x:c r="M29" s="8" t="str">
        <x:f>'Evaluation Plan'!M29</x:f>
        <x:v>juggling ball</x:v>
      </x:c>
      <x:c r="N29" s="8" t="str">
        <x:f>'Evaluation Plan'!N29</x:f>
        <x:v>Right</x:v>
      </x:c>
      <x:c r="O29" s="8" t="n">
        <x:f>'Evaluation Plan'!O29</x:f>
        <x:v>2</x:v>
      </x:c>
      <x:c r="P29" s="8" t="n">
        <x:f>IF(ISBLANK('Evaluation Plan'!P29),"",'Evaluation Plan'!P29)</x:f>
        <x:v>12</x:v>
      </x:c>
      <x:c r="Q29" s="8" t="str">
        <x:f>'Evaluation Plan'!Q29</x:f>
        <x:v>Reset the target; preserve the exact scene and paraphrase only the matched-control prompt.</x:v>
      </x:c>
      <x:c r="R29" s="7" t="str">
        <x:f>'Evaluation Plan'!R29</x:f>
        <x:v>Exact-scene paraphrase of the direct manipulation control.</x:v>
      </x:c>
      <x:c r="S29" s="7" t="str">
        <x:f>IF(ISBLANK('Evaluation Plan'!S29),"",'Evaluation Plan'!S29)</x:f>
      </x:c>
    </x:row>
    <x:row r="30" ht="68" customHeight="1">
      <x:c r="A30" s="9" t="str">
        <x:v>Not collected</x:v>
      </x:c>
      <x:c r="B30" s="9" t="n">
        <x:f>'Evaluation Plan'!B30</x:f>
        <x:v>28</x:v>
      </x:c>
      <x:c r="C30" s="10" t="str">
        <x:f>'Evaluation Plan'!C30</x:f>
        <x:v>Pick up the largest item and place it in the bowl.</x:v>
      </x:c>
      <x:c r="D30" s="10" t="str">
        <x:f>'Evaluation Plan'!D30</x:f>
        <x:v>Bowl: empty. Table, robot-left→robot-right: P1 red pencil sharpener; P2 green block. Adjacent centers 12 cm apart; row shifted 4 cm toward robot-left; all objects fully visible and grasp paths clear.</x:v>
      </x:c>
      <x:c r="E30" s="9" t="str">
        <x:f>IF(ISBLANK('Evaluation Plan'!E30),"",'Evaluation Plan'!E30)</x:f>
      </x:c>
      <x:c r="F30" s="9" t="str">
        <x:f>'Evaluation Plan'!F30</x:f>
        <x:v>1081</x:v>
      </x:c>
      <x:c r="G30" s="9" t="str">
        <x:f>'Evaluation Plan'!G30</x:f>
        <x:v>MOVE green block to bowl</x:v>
      </x:c>
      <x:c r="H30" s="10"/>
      <x:c r="I30" s="9" t="str">
        <x:f>'Evaluation Plan'!I30</x:f>
        <x:v>Concept/compositional transfer</x:v>
      </x:c>
      <x:c r="J30" s="9" t="str">
        <x:f>'Evaluation Plan'!J30</x:f>
        <x:v>SZ-CT-LG02</x:v>
      </x:c>
      <x:c r="K30" s="9" t="str">
        <x:f>'Evaluation Plan'!K30</x:f>
        <x:v>largest</x:v>
      </x:c>
      <x:c r="L30" s="9" t="str">
        <x:f>'Evaluation Plan'!L30</x:f>
        <x:v>Held-out largest × green block — Pick up</x:v>
      </x:c>
      <x:c r="M30" s="9" t="str">
        <x:f>'Evaluation Plan'!M30</x:f>
        <x:v>green block</x:v>
      </x:c>
      <x:c r="N30" s="9" t="str">
        <x:f>'Evaluation Plan'!N30</x:f>
        <x:v>Right</x:v>
      </x:c>
      <x:c r="O30" s="9" t="n">
        <x:f>'Evaluation Plan'!O30</x:f>
        <x:v>2</x:v>
      </x:c>
      <x:c r="P30" s="9" t="n">
        <x:f>IF(ISBLANK('Evaluation Plan'!P30),"",'Evaluation Plan'!P30)</x:f>
        <x:v>12</x:v>
      </x:c>
      <x:c r="Q30" s="9" t="str">
        <x:f>'Evaluation Plan'!Q30</x:f>
        <x:v>Build the listed two-object scene and save a first-frame filename.</x:v>
      </x:c>
      <x:c r="R30" s="10" t="str">
        <x:f>'Evaluation Plan'!R30</x:f>
        <x:v>Primary missing cell. Training episode 1081 contains the same target trajectory but masks the size word with a direct identity prompt.</x:v>
      </x:c>
      <x:c r="S30" s="10" t="str">
        <x:f>IF(ISBLANK('Evaluation Plan'!S30),"",'Evaluation Plan'!S30)</x:f>
      </x:c>
    </x:row>
    <x:row r="31" ht="68" customHeight="1">
      <x:c r="A31" s="8" t="str">
        <x:v>Not collected</x:v>
      </x:c>
      <x:c r="B31" s="8" t="n">
        <x:f>'Evaluation Plan'!B31</x:f>
        <x:v>29</x:v>
      </x:c>
      <x:c r="C31" s="7" t="str">
        <x:f>'Evaluation Plan'!C31</x:f>
        <x:v>Move the green block into the bowl.</x:v>
      </x:c>
      <x:c r="D31" s="7" t="str">
        <x:f>'Evaluation Plan'!D31</x:f>
        <x:v>Bowl: empty. Table, robot-left→robot-right: P1 red pencil sharpener; P2 green block. Adjacent centers 12 cm apart; row shifted 4 cm toward robot-left; all objects fully visible and grasp paths clear.</x:v>
      </x:c>
      <x:c r="E31" s="8" t="n">
        <x:f>IF(ISBLANK('Evaluation Plan'!E31),"",'Evaluation Plan'!E31)</x:f>
        <x:v>28</x:v>
      </x:c>
      <x:c r="F31" s="8" t="str">
        <x:f>'Evaluation Plan'!F31</x:f>
        <x:v>1076</x:v>
      </x:c>
      <x:c r="G31" s="8" t="str">
        <x:f>'Evaluation Plan'!G31</x:f>
        <x:v>MOVE green block to bowl</x:v>
      </x:c>
      <x:c r="H31" s="7"/>
      <x:c r="I31" s="8" t="str">
        <x:f>'Evaluation Plan'!I31</x:f>
        <x:v>Matched manipulation control</x:v>
      </x:c>
      <x:c r="J31" s="8" t="str">
        <x:f>'Evaluation Plan'!J31</x:f>
        <x:v>SZ-CT-LG02</x:v>
      </x:c>
      <x:c r="K31" s="8" t="str">
        <x:f>'Evaluation Plan'!K31</x:f>
        <x:v>Direct</x:v>
      </x:c>
      <x:c r="L31" s="8" t="str">
        <x:f>'Evaluation Plan'!L31</x:f>
        <x:v>Same-scene direct target control</x:v>
      </x:c>
      <x:c r="M31" s="8" t="str">
        <x:f>'Evaluation Plan'!M31</x:f>
        <x:v>green block</x:v>
      </x:c>
      <x:c r="N31" s="8" t="str">
        <x:f>'Evaluation Plan'!N31</x:f>
        <x:v>Right</x:v>
      </x:c>
      <x:c r="O31" s="8" t="n">
        <x:f>'Evaluation Plan'!O31</x:f>
        <x:v>2</x:v>
      </x:c>
      <x:c r="P31" s="8" t="n">
        <x:f>IF(ISBLANK('Evaluation Plan'!P31),"",'Evaluation Plan'!P31)</x:f>
        <x:v>12</x:v>
      </x:c>
      <x:c r="Q31" s="8" t="str">
        <x:f>'Evaluation Plan'!Q31</x:f>
        <x:v>Reset the target to its original pose; change only the prompt.</x:v>
      </x:c>
      <x:c r="R31" s="7" t="str">
        <x:f>'Evaluation Plan'!R31</x:f>
        <x:v>Exact-scene control using a direct prompt supported by training episode 1076.</x:v>
      </x:c>
      <x:c r="S31" s="7" t="str">
        <x:f>IF(ISBLANK('Evaluation Plan'!S31),"",'Evaluation Plan'!S31)</x:f>
      </x:c>
    </x:row>
    <x:row r="32" ht="68" customHeight="1">
      <x:c r="A32" s="8" t="str">
        <x:v>Not collected</x:v>
      </x:c>
      <x:c r="B32" s="8" t="n">
        <x:f>'Evaluation Plan'!B32</x:f>
        <x:v>30</x:v>
      </x:c>
      <x:c r="C32" s="7" t="str">
        <x:f>'Evaluation Plan'!C32</x:f>
        <x:v>Place whichever object is greatest in size inside the bowl.</x:v>
      </x:c>
      <x:c r="D32" s="7" t="str">
        <x:f>'Evaluation Plan'!D32</x:f>
        <x:v>Bowl: empty. Table, robot-left→robot-right: P1 red pencil sharpener; P2 green block. Adjacent centers 12 cm apart; row shifted 4 cm toward robot-left; all objects fully visible and grasp paths clear.</x:v>
      </x:c>
      <x:c r="E32" s="8" t="n">
        <x:f>IF(ISBLANK('Evaluation Plan'!E32),"",'Evaluation Plan'!E32)</x:f>
        <x:v>28</x:v>
      </x:c>
      <x:c r="F32" s="8" t="str">
        <x:f>'Evaluation Plan'!F32</x:f>
        <x:v>1081</x:v>
      </x:c>
      <x:c r="G32" s="8" t="str">
        <x:f>'Evaluation Plan'!G32</x:f>
        <x:v>MOVE green block to bowl</x:v>
      </x:c>
      <x:c r="H32" s="7"/>
      <x:c r="I32" s="8" t="str">
        <x:f>'Evaluation Plan'!I32</x:f>
        <x:v>Language robustness</x:v>
      </x:c>
      <x:c r="J32" s="8" t="str">
        <x:f>'Evaluation Plan'!J32</x:f>
        <x:v>SZ-CT-LG02</x:v>
      </x:c>
      <x:c r="K32" s="8" t="str">
        <x:f>'Evaluation Plan'!K32</x:f>
        <x:v>largest</x:v>
      </x:c>
      <x:c r="L32" s="8" t="str">
        <x:f>'Evaluation Plan'!L32</x:f>
        <x:v>Primary compositional-transfer prompt paraphrase</x:v>
      </x:c>
      <x:c r="M32" s="8" t="str">
        <x:f>'Evaluation Plan'!M32</x:f>
        <x:v>green block</x:v>
      </x:c>
      <x:c r="N32" s="8" t="str">
        <x:f>'Evaluation Plan'!N32</x:f>
        <x:v>Right</x:v>
      </x:c>
      <x:c r="O32" s="8" t="n">
        <x:f>'Evaluation Plan'!O32</x:f>
        <x:v>2</x:v>
      </x:c>
      <x:c r="P32" s="8" t="n">
        <x:f>IF(ISBLANK('Evaluation Plan'!P32),"",'Evaluation Plan'!P32)</x:f>
        <x:v>12</x:v>
      </x:c>
      <x:c r="Q32" s="8" t="str">
        <x:f>'Evaluation Plan'!Q32</x:f>
        <x:v>Reset the target; preserve the exact scene and paraphrase only the transfer prompt.</x:v>
      </x:c>
      <x:c r="R32" s="7" t="str">
        <x:f>'Evaluation Plan'!R32</x:f>
        <x:v>Exact-scene paraphrase of the primary transfer instruction.</x:v>
      </x:c>
      <x:c r="S32" s="7" t="str">
        <x:f>IF(ISBLANK('Evaluation Plan'!S32),"",'Evaluation Plan'!S32)</x:f>
      </x:c>
    </x:row>
    <x:row r="33" ht="68" customHeight="1">
      <x:c r="A33" s="8" t="str">
        <x:v>Not collected</x:v>
      </x:c>
      <x:c r="B33" s="8" t="n">
        <x:f>'Evaluation Plan'!B33</x:f>
        <x:v>31</x:v>
      </x:c>
      <x:c r="C33" s="7" t="str">
        <x:f>'Evaluation Plan'!C33</x:f>
        <x:v>Lift the green block and set it inside the bowl.</x:v>
      </x:c>
      <x:c r="D33" s="7" t="str">
        <x:f>'Evaluation Plan'!D33</x:f>
        <x:v>Bowl: empty. Table, robot-left→robot-right: P1 red pencil sharpener; P2 green block. Adjacent centers 12 cm apart; row shifted 4 cm toward robot-left; all objects fully visible and grasp paths clear.</x:v>
      </x:c>
      <x:c r="E33" s="8" t="n">
        <x:f>IF(ISBLANK('Evaluation Plan'!E33),"",'Evaluation Plan'!E33)</x:f>
        <x:v>29</x:v>
      </x:c>
      <x:c r="F33" s="8" t="str">
        <x:f>'Evaluation Plan'!F33</x:f>
        <x:v>1076</x:v>
      </x:c>
      <x:c r="G33" s="8" t="str">
        <x:f>'Evaluation Plan'!G33</x:f>
        <x:v>MOVE green block to bowl</x:v>
      </x:c>
      <x:c r="H33" s="7"/>
      <x:c r="I33" s="8" t="str">
        <x:f>'Evaluation Plan'!I33</x:f>
        <x:v>Language robustness</x:v>
      </x:c>
      <x:c r="J33" s="8" t="str">
        <x:f>'Evaluation Plan'!J33</x:f>
        <x:v>SZ-CT-LG02</x:v>
      </x:c>
      <x:c r="K33" s="8" t="str">
        <x:f>'Evaluation Plan'!K33</x:f>
        <x:v>Direct</x:v>
      </x:c>
      <x:c r="L33" s="8" t="str">
        <x:f>'Evaluation Plan'!L33</x:f>
        <x:v>Matched-control direct prompt paraphrase</x:v>
      </x:c>
      <x:c r="M33" s="8" t="str">
        <x:f>'Evaluation Plan'!M33</x:f>
        <x:v>green block</x:v>
      </x:c>
      <x:c r="N33" s="8" t="str">
        <x:f>'Evaluation Plan'!N33</x:f>
        <x:v>Right</x:v>
      </x:c>
      <x:c r="O33" s="8" t="n">
        <x:f>'Evaluation Plan'!O33</x:f>
        <x:v>2</x:v>
      </x:c>
      <x:c r="P33" s="8" t="n">
        <x:f>IF(ISBLANK('Evaluation Plan'!P33),"",'Evaluation Plan'!P33)</x:f>
        <x:v>12</x:v>
      </x:c>
      <x:c r="Q33" s="8" t="str">
        <x:f>'Evaluation Plan'!Q33</x:f>
        <x:v>Reset the target; preserve the exact scene and paraphrase only the matched-control prompt.</x:v>
      </x:c>
      <x:c r="R33" s="7" t="str">
        <x:f>'Evaluation Plan'!R33</x:f>
        <x:v>Exact-scene paraphrase of the direct manipulation control.</x:v>
      </x:c>
      <x:c r="S33" s="7" t="str">
        <x:f>IF(ISBLANK('Evaluation Plan'!S33),"",'Evaluation Plan'!S33)</x:f>
      </x:c>
    </x:row>
    <x:row r="34" ht="68" customHeight="1">
      <x:c r="A34" s="9" t="str">
        <x:v>Not collected</x:v>
      </x:c>
      <x:c r="B34" s="9" t="n">
        <x:f>'Evaluation Plan'!B34</x:f>
        <x:v>32</x:v>
      </x:c>
      <x:c r="C34" s="10" t="str">
        <x:f>'Evaluation Plan'!C34</x:f>
        <x:v>Put the smallest object in the bowl.</x:v>
      </x:c>
      <x:c r="D34" s="10" t="str">
        <x:f>'Evaluation Plan'!D34</x:f>
        <x:v>Bowl: empty. Table, robot-left→robot-right: P1 juggling ball; P2 crushed Pepsi can. Adjacent centers 16 cm apart; row shifted 4 cm toward the robot; all objects fully visible and grasp paths clear.</x:v>
      </x:c>
      <x:c r="E34" s="9" t="str">
        <x:f>IF(ISBLANK('Evaluation Plan'!E34),"",'Evaluation Plan'!E34)</x:f>
      </x:c>
      <x:c r="F34" s="9" t="str">
        <x:f>'Evaluation Plan'!F34</x:f>
        <x:v>1106</x:v>
      </x:c>
      <x:c r="G34" s="9" t="str">
        <x:f>'Evaluation Plan'!G34</x:f>
        <x:v>MOVE juggling ball to bowl</x:v>
      </x:c>
      <x:c r="H34" s="10"/>
      <x:c r="I34" s="9" t="str">
        <x:f>'Evaluation Plan'!I34</x:f>
        <x:v>Concept/compositional transfer</x:v>
      </x:c>
      <x:c r="J34" s="9" t="str">
        <x:f>'Evaluation Plan'!J34</x:f>
        <x:v>SZ-CT-SJ02</x:v>
      </x:c>
      <x:c r="K34" s="9" t="str">
        <x:f>'Evaluation Plan'!K34</x:f>
        <x:v>smallest</x:v>
      </x:c>
      <x:c r="L34" s="9" t="str">
        <x:f>'Evaluation Plan'!L34</x:f>
        <x:v>Held-out smallest × juggling ball — Put</x:v>
      </x:c>
      <x:c r="M34" s="9" t="str">
        <x:f>'Evaluation Plan'!M34</x:f>
        <x:v>juggling ball</x:v>
      </x:c>
      <x:c r="N34" s="9" t="str">
        <x:f>'Evaluation Plan'!N34</x:f>
        <x:v>Left</x:v>
      </x:c>
      <x:c r="O34" s="9" t="n">
        <x:f>'Evaluation Plan'!O34</x:f>
        <x:v>2</x:v>
      </x:c>
      <x:c r="P34" s="9" t="n">
        <x:f>IF(ISBLANK('Evaluation Plan'!P34),"",'Evaluation Plan'!P34)</x:f>
        <x:v>16</x:v>
      </x:c>
      <x:c r="Q34" s="9" t="str">
        <x:f>'Evaluation Plan'!Q34</x:f>
        <x:v>Build the listed two-object scene and save a first-frame filename.</x:v>
      </x:c>
      <x:c r="R34" s="10" t="str">
        <x:f>'Evaluation Plan'!R34</x:f>
        <x:v>Primary missing cell. Training episode 1106 contains the same target trajectory but masks the size word with a direct identity prompt.</x:v>
      </x:c>
      <x:c r="S34" s="10" t="str">
        <x:f>IF(ISBLANK('Evaluation Plan'!S34),"",'Evaluation Plan'!S34)</x:f>
      </x:c>
    </x:row>
    <x:row r="35" ht="68" customHeight="1">
      <x:c r="A35" s="8" t="str">
        <x:v>Not collected</x:v>
      </x:c>
      <x:c r="B35" s="8" t="n">
        <x:f>'Evaluation Plan'!B35</x:f>
        <x:v>33</x:v>
      </x:c>
      <x:c r="C35" s="7" t="str">
        <x:f>'Evaluation Plan'!C35</x:f>
        <x:v>Move the juggling ball into the bowl.</x:v>
      </x:c>
      <x:c r="D35" s="7" t="str">
        <x:f>'Evaluation Plan'!D35</x:f>
        <x:v>Bowl: empty. Table, robot-left→robot-right: P1 juggling ball; P2 crushed Pepsi can. Adjacent centers 16 cm apart; row shifted 4 cm toward the robot; all objects fully visible and grasp paths clear.</x:v>
      </x:c>
      <x:c r="E35" s="8" t="n">
        <x:f>IF(ISBLANK('Evaluation Plan'!E35),"",'Evaluation Plan'!E35)</x:f>
        <x:v>32</x:v>
      </x:c>
      <x:c r="F35" s="8" t="str">
        <x:f>'Evaluation Plan'!F35</x:f>
        <x:v>1101</x:v>
      </x:c>
      <x:c r="G35" s="8" t="str">
        <x:f>'Evaluation Plan'!G35</x:f>
        <x:v>MOVE juggling ball to bowl</x:v>
      </x:c>
      <x:c r="H35" s="7"/>
      <x:c r="I35" s="8" t="str">
        <x:f>'Evaluation Plan'!I35</x:f>
        <x:v>Matched manipulation control</x:v>
      </x:c>
      <x:c r="J35" s="8" t="str">
        <x:f>'Evaluation Plan'!J35</x:f>
        <x:v>SZ-CT-SJ02</x:v>
      </x:c>
      <x:c r="K35" s="8" t="str">
        <x:f>'Evaluation Plan'!K35</x:f>
        <x:v>Direct</x:v>
      </x:c>
      <x:c r="L35" s="8" t="str">
        <x:f>'Evaluation Plan'!L35</x:f>
        <x:v>Same-scene direct target control</x:v>
      </x:c>
      <x:c r="M35" s="8" t="str">
        <x:f>'Evaluation Plan'!M35</x:f>
        <x:v>juggling ball</x:v>
      </x:c>
      <x:c r="N35" s="8" t="str">
        <x:f>'Evaluation Plan'!N35</x:f>
        <x:v>Left</x:v>
      </x:c>
      <x:c r="O35" s="8" t="n">
        <x:f>'Evaluation Plan'!O35</x:f>
        <x:v>2</x:v>
      </x:c>
      <x:c r="P35" s="8" t="n">
        <x:f>IF(ISBLANK('Evaluation Plan'!P35),"",'Evaluation Plan'!P35)</x:f>
        <x:v>16</x:v>
      </x:c>
      <x:c r="Q35" s="8" t="str">
        <x:f>'Evaluation Plan'!Q35</x:f>
        <x:v>Reset the target to its original pose; change only the prompt.</x:v>
      </x:c>
      <x:c r="R35" s="7" t="str">
        <x:f>'Evaluation Plan'!R35</x:f>
        <x:v>Exact-scene control using a direct prompt supported by training episode 1101.</x:v>
      </x:c>
      <x:c r="S35" s="7" t="str">
        <x:f>IF(ISBLANK('Evaluation Plan'!S35),"",'Evaluation Plan'!S35)</x:f>
      </x:c>
    </x:row>
    <x:row r="36" ht="68" customHeight="1">
      <x:c r="A36" s="8" t="str">
        <x:v>Not collected</x:v>
      </x:c>
      <x:c r="B36" s="8" t="n">
        <x:f>'Evaluation Plan'!B36</x:f>
        <x:v>34</x:v>
      </x:c>
      <x:c r="C36" s="7" t="str">
        <x:f>'Evaluation Plan'!C36</x:f>
        <x:v>Place whichever object is least in size inside the bowl.</x:v>
      </x:c>
      <x:c r="D36" s="7" t="str">
        <x:f>'Evaluation Plan'!D36</x:f>
        <x:v>Bowl: empty. Table, robot-left→robot-right: P1 juggling ball; P2 crushed Pepsi can. Adjacent centers 16 cm apart; row shifted 4 cm toward the robot; all objects fully visible and grasp paths clear.</x:v>
      </x:c>
      <x:c r="E36" s="8" t="n">
        <x:f>IF(ISBLANK('Evaluation Plan'!E36),"",'Evaluation Plan'!E36)</x:f>
        <x:v>32</x:v>
      </x:c>
      <x:c r="F36" s="8" t="str">
        <x:f>'Evaluation Plan'!F36</x:f>
        <x:v>1106</x:v>
      </x:c>
      <x:c r="G36" s="8" t="str">
        <x:f>'Evaluation Plan'!G36</x:f>
        <x:v>MOVE juggling ball to bowl</x:v>
      </x:c>
      <x:c r="H36" s="7"/>
      <x:c r="I36" s="8" t="str">
        <x:f>'Evaluation Plan'!I36</x:f>
        <x:v>Language robustness</x:v>
      </x:c>
      <x:c r="J36" s="8" t="str">
        <x:f>'Evaluation Plan'!J36</x:f>
        <x:v>SZ-CT-SJ02</x:v>
      </x:c>
      <x:c r="K36" s="8" t="str">
        <x:f>'Evaluation Plan'!K36</x:f>
        <x:v>smallest</x:v>
      </x:c>
      <x:c r="L36" s="8" t="str">
        <x:f>'Evaluation Plan'!L36</x:f>
        <x:v>Primary compositional-transfer prompt paraphrase</x:v>
      </x:c>
      <x:c r="M36" s="8" t="str">
        <x:f>'Evaluation Plan'!M36</x:f>
        <x:v>juggling ball</x:v>
      </x:c>
      <x:c r="N36" s="8" t="str">
        <x:f>'Evaluation Plan'!N36</x:f>
        <x:v>Left</x:v>
      </x:c>
      <x:c r="O36" s="8" t="n">
        <x:f>'Evaluation Plan'!O36</x:f>
        <x:v>2</x:v>
      </x:c>
      <x:c r="P36" s="8" t="n">
        <x:f>IF(ISBLANK('Evaluation Plan'!P36),"",'Evaluation Plan'!P36)</x:f>
        <x:v>16</x:v>
      </x:c>
      <x:c r="Q36" s="8" t="str">
        <x:f>'Evaluation Plan'!Q36</x:f>
        <x:v>Reset the target; preserve the exact scene and paraphrase only the transfer prompt.</x:v>
      </x:c>
      <x:c r="R36" s="7" t="str">
        <x:f>'Evaluation Plan'!R36</x:f>
        <x:v>Exact-scene paraphrase of the primary transfer instruction.</x:v>
      </x:c>
      <x:c r="S36" s="7" t="str">
        <x:f>IF(ISBLANK('Evaluation Plan'!S36),"",'Evaluation Plan'!S36)</x:f>
      </x:c>
    </x:row>
    <x:row r="37" ht="68" customHeight="1">
      <x:c r="A37" s="8" t="str">
        <x:v>Not collected</x:v>
      </x:c>
      <x:c r="B37" s="8" t="n">
        <x:f>'Evaluation Plan'!B37</x:f>
        <x:v>35</x:v>
      </x:c>
      <x:c r="C37" s="7" t="str">
        <x:f>'Evaluation Plan'!C37</x:f>
        <x:v>Lift the juggling ball and set it inside the bowl.</x:v>
      </x:c>
      <x:c r="D37" s="7" t="str">
        <x:f>'Evaluation Plan'!D37</x:f>
        <x:v>Bowl: empty. Table, robot-left→robot-right: P1 juggling ball; P2 crushed Pepsi can. Adjacent centers 16 cm apart; row shifted 4 cm toward the robot; all objects fully visible and grasp paths clear.</x:v>
      </x:c>
      <x:c r="E37" s="8" t="n">
        <x:f>IF(ISBLANK('Evaluation Plan'!E37),"",'Evaluation Plan'!E37)</x:f>
        <x:v>33</x:v>
      </x:c>
      <x:c r="F37" s="8" t="str">
        <x:f>'Evaluation Plan'!F37</x:f>
        <x:v>1101</x:v>
      </x:c>
      <x:c r="G37" s="8" t="str">
        <x:f>'Evaluation Plan'!G37</x:f>
        <x:v>MOVE juggling ball to bowl</x:v>
      </x:c>
      <x:c r="H37" s="7"/>
      <x:c r="I37" s="8" t="str">
        <x:f>'Evaluation Plan'!I37</x:f>
        <x:v>Language robustness</x:v>
      </x:c>
      <x:c r="J37" s="8" t="str">
        <x:f>'Evaluation Plan'!J37</x:f>
        <x:v>SZ-CT-SJ02</x:v>
      </x:c>
      <x:c r="K37" s="8" t="str">
        <x:f>'Evaluation Plan'!K37</x:f>
        <x:v>Direct</x:v>
      </x:c>
      <x:c r="L37" s="8" t="str">
        <x:f>'Evaluation Plan'!L37</x:f>
        <x:v>Matched-control direct prompt paraphrase</x:v>
      </x:c>
      <x:c r="M37" s="8" t="str">
        <x:f>'Evaluation Plan'!M37</x:f>
        <x:v>juggling ball</x:v>
      </x:c>
      <x:c r="N37" s="8" t="str">
        <x:f>'Evaluation Plan'!N37</x:f>
        <x:v>Left</x:v>
      </x:c>
      <x:c r="O37" s="8" t="n">
        <x:f>'Evaluation Plan'!O37</x:f>
        <x:v>2</x:v>
      </x:c>
      <x:c r="P37" s="8" t="n">
        <x:f>IF(ISBLANK('Evaluation Plan'!P37),"",'Evaluation Plan'!P37)</x:f>
        <x:v>16</x:v>
      </x:c>
      <x:c r="Q37" s="8" t="str">
        <x:f>'Evaluation Plan'!Q37</x:f>
        <x:v>Reset the target; preserve the exact scene and paraphrase only the matched-control prompt.</x:v>
      </x:c>
      <x:c r="R37" s="7" t="str">
        <x:f>'Evaluation Plan'!R37</x:f>
        <x:v>Exact-scene paraphrase of the direct manipulation control.</x:v>
      </x:c>
      <x:c r="S37" s="7" t="str">
        <x:f>IF(ISBLANK('Evaluation Plan'!S37),"",'Evaluation Plan'!S37)</x:f>
      </x:c>
    </x:row>
    <x:row r="38" ht="68" customHeight="1">
      <x:c r="A38" s="9" t="str">
        <x:v>Not collected</x:v>
      </x:c>
      <x:c r="B38" s="9" t="n">
        <x:f>'Evaluation Plan'!B38</x:f>
        <x:v>36</x:v>
      </x:c>
      <x:c r="C38" s="10" t="str">
        <x:f>'Evaluation Plan'!C38</x:f>
        <x:v>Put the largest object in the bowl.</x:v>
      </x:c>
      <x:c r="D38" s="10" t="str">
        <x:f>'Evaluation Plan'!D38</x:f>
        <x:v>Bowl: empty. Table, robot-left→robot-right: P1 green block; P2 red pencil sharpener. Adjacent centers 16 cm apart; row shifted 4 cm toward robot-right; all objects fully visible and grasp paths clear.</x:v>
      </x:c>
      <x:c r="E38" s="9" t="str">
        <x:f>IF(ISBLANK('Evaluation Plan'!E38),"",'Evaluation Plan'!E38)</x:f>
      </x:c>
      <x:c r="F38" s="9" t="str">
        <x:f>'Evaluation Plan'!F38</x:f>
        <x:v>1082</x:v>
      </x:c>
      <x:c r="G38" s="9" t="str">
        <x:f>'Evaluation Plan'!G38</x:f>
        <x:v>MOVE green block to bowl</x:v>
      </x:c>
      <x:c r="H38" s="10"/>
      <x:c r="I38" s="9" t="str">
        <x:f>'Evaluation Plan'!I38</x:f>
        <x:v>Concept/compositional transfer</x:v>
      </x:c>
      <x:c r="J38" s="9" t="str">
        <x:f>'Evaluation Plan'!J38</x:f>
        <x:v>SZ-CT-LG03</x:v>
      </x:c>
      <x:c r="K38" s="9" t="str">
        <x:f>'Evaluation Plan'!K38</x:f>
        <x:v>largest</x:v>
      </x:c>
      <x:c r="L38" s="9" t="str">
        <x:f>'Evaluation Plan'!L38</x:f>
        <x:v>Held-out largest × green block — Put</x:v>
      </x:c>
      <x:c r="M38" s="9" t="str">
        <x:f>'Evaluation Plan'!M38</x:f>
        <x:v>green block</x:v>
      </x:c>
      <x:c r="N38" s="9" t="str">
        <x:f>'Evaluation Plan'!N38</x:f>
        <x:v>Left</x:v>
      </x:c>
      <x:c r="O38" s="9" t="n">
        <x:f>'Evaluation Plan'!O38</x:f>
        <x:v>2</x:v>
      </x:c>
      <x:c r="P38" s="9" t="n">
        <x:f>IF(ISBLANK('Evaluation Plan'!P38),"",'Evaluation Plan'!P38)</x:f>
        <x:v>16</x:v>
      </x:c>
      <x:c r="Q38" s="9" t="str">
        <x:f>'Evaluation Plan'!Q38</x:f>
        <x:v>Build the listed two-object scene and save a first-frame filename.</x:v>
      </x:c>
      <x:c r="R38" s="10" t="str">
        <x:f>'Evaluation Plan'!R38</x:f>
        <x:v>Primary missing cell. Training episode 1082 contains the same target trajectory but masks the size word with a direct identity prompt.</x:v>
      </x:c>
      <x:c r="S38" s="10" t="str">
        <x:f>IF(ISBLANK('Evaluation Plan'!S38),"",'Evaluation Plan'!S38)</x:f>
      </x:c>
    </x:row>
    <x:row r="39" ht="68" customHeight="1">
      <x:c r="A39" s="8" t="str">
        <x:v>Not collected</x:v>
      </x:c>
      <x:c r="B39" s="8" t="n">
        <x:f>'Evaluation Plan'!B39</x:f>
        <x:v>37</x:v>
      </x:c>
      <x:c r="C39" s="7" t="str">
        <x:f>'Evaluation Plan'!C39</x:f>
        <x:v>Pick up the green block and place it in the bowl.</x:v>
      </x:c>
      <x:c r="D39" s="7" t="str">
        <x:f>'Evaluation Plan'!D39</x:f>
        <x:v>Bowl: empty. Table, robot-left→robot-right: P1 green block; P2 red pencil sharpener. Adjacent centers 16 cm apart; row shifted 4 cm toward robot-right; all objects fully visible and grasp paths clear.</x:v>
      </x:c>
      <x:c r="E39" s="8" t="n">
        <x:f>IF(ISBLANK('Evaluation Plan'!E39),"",'Evaluation Plan'!E39)</x:f>
        <x:v>36</x:v>
      </x:c>
      <x:c r="F39" s="8" t="str">
        <x:f>'Evaluation Plan'!F39</x:f>
        <x:v>1077</x:v>
      </x:c>
      <x:c r="G39" s="8" t="str">
        <x:f>'Evaluation Plan'!G39</x:f>
        <x:v>MOVE green block to bowl</x:v>
      </x:c>
      <x:c r="H39" s="7"/>
      <x:c r="I39" s="8" t="str">
        <x:f>'Evaluation Plan'!I39</x:f>
        <x:v>Matched manipulation control</x:v>
      </x:c>
      <x:c r="J39" s="8" t="str">
        <x:f>'Evaluation Plan'!J39</x:f>
        <x:v>SZ-CT-LG03</x:v>
      </x:c>
      <x:c r="K39" s="8" t="str">
        <x:f>'Evaluation Plan'!K39</x:f>
        <x:v>Direct</x:v>
      </x:c>
      <x:c r="L39" s="8" t="str">
        <x:f>'Evaluation Plan'!L39</x:f>
        <x:v>Same-scene direct target control</x:v>
      </x:c>
      <x:c r="M39" s="8" t="str">
        <x:f>'Evaluation Plan'!M39</x:f>
        <x:v>green block</x:v>
      </x:c>
      <x:c r="N39" s="8" t="str">
        <x:f>'Evaluation Plan'!N39</x:f>
        <x:v>Left</x:v>
      </x:c>
      <x:c r="O39" s="8" t="n">
        <x:f>'Evaluation Plan'!O39</x:f>
        <x:v>2</x:v>
      </x:c>
      <x:c r="P39" s="8" t="n">
        <x:f>IF(ISBLANK('Evaluation Plan'!P39),"",'Evaluation Plan'!P39)</x:f>
        <x:v>16</x:v>
      </x:c>
      <x:c r="Q39" s="8" t="str">
        <x:f>'Evaluation Plan'!Q39</x:f>
        <x:v>Reset the target to its original pose; change only the prompt.</x:v>
      </x:c>
      <x:c r="R39" s="7" t="str">
        <x:f>'Evaluation Plan'!R39</x:f>
        <x:v>Exact-scene control using a direct prompt supported by training episode 1077.</x:v>
      </x:c>
      <x:c r="S39" s="7" t="str">
        <x:f>IF(ISBLANK('Evaluation Plan'!S39),"",'Evaluation Plan'!S39)</x:f>
      </x:c>
    </x:row>
    <x:row r="40" ht="68" customHeight="1">
      <x:c r="A40" s="8" t="str">
        <x:v>Not collected</x:v>
      </x:c>
      <x:c r="B40" s="8" t="n">
        <x:f>'Evaluation Plan'!B40</x:f>
        <x:v>38</x:v>
      </x:c>
      <x:c r="C40" s="7" t="str">
        <x:f>'Evaluation Plan'!C40</x:f>
        <x:v>Select the bigger object and put it into the bowl.</x:v>
      </x:c>
      <x:c r="D40" s="7" t="str">
        <x:f>'Evaluation Plan'!D40</x:f>
        <x:v>Bowl: empty. Table, robot-left→robot-right: P1 green block; P2 red pencil sharpener. Adjacent centers 16 cm apart; row shifted 4 cm toward robot-right; all objects fully visible and grasp paths clear.</x:v>
      </x:c>
      <x:c r="E40" s="8" t="n">
        <x:f>IF(ISBLANK('Evaluation Plan'!E40),"",'Evaluation Plan'!E40)</x:f>
        <x:v>36</x:v>
      </x:c>
      <x:c r="F40" s="8" t="str">
        <x:f>'Evaluation Plan'!F40</x:f>
        <x:v>1082</x:v>
      </x:c>
      <x:c r="G40" s="8" t="str">
        <x:f>'Evaluation Plan'!G40</x:f>
        <x:v>MOVE green block to bowl</x:v>
      </x:c>
      <x:c r="H40" s="7"/>
      <x:c r="I40" s="8" t="str">
        <x:f>'Evaluation Plan'!I40</x:f>
        <x:v>Language robustness</x:v>
      </x:c>
      <x:c r="J40" s="8" t="str">
        <x:f>'Evaluation Plan'!J40</x:f>
        <x:v>SZ-CT-LG03</x:v>
      </x:c>
      <x:c r="K40" s="8" t="str">
        <x:f>'Evaluation Plan'!K40</x:f>
        <x:v>largest</x:v>
      </x:c>
      <x:c r="L40" s="8" t="str">
        <x:f>'Evaluation Plan'!L40</x:f>
        <x:v>Primary compositional-transfer prompt paraphrase</x:v>
      </x:c>
      <x:c r="M40" s="8" t="str">
        <x:f>'Evaluation Plan'!M40</x:f>
        <x:v>green block</x:v>
      </x:c>
      <x:c r="N40" s="8" t="str">
        <x:f>'Evaluation Plan'!N40</x:f>
        <x:v>Left</x:v>
      </x:c>
      <x:c r="O40" s="8" t="n">
        <x:f>'Evaluation Plan'!O40</x:f>
        <x:v>2</x:v>
      </x:c>
      <x:c r="P40" s="8" t="n">
        <x:f>IF(ISBLANK('Evaluation Plan'!P40),"",'Evaluation Plan'!P40)</x:f>
        <x:v>16</x:v>
      </x:c>
      <x:c r="Q40" s="8" t="str">
        <x:f>'Evaluation Plan'!Q40</x:f>
        <x:v>Reset the target; preserve the exact scene and paraphrase only the transfer prompt.</x:v>
      </x:c>
      <x:c r="R40" s="7" t="str">
        <x:f>'Evaluation Plan'!R40</x:f>
        <x:v>Exact-scene paraphrase of the primary transfer instruction.</x:v>
      </x:c>
      <x:c r="S40" s="7" t="str">
        <x:f>IF(ISBLANK('Evaluation Plan'!S40),"",'Evaluation Plan'!S40)</x:f>
      </x:c>
    </x:row>
    <x:row r="41" ht="68" customHeight="1">
      <x:c r="A41" s="8" t="str">
        <x:v>Not collected</x:v>
      </x:c>
      <x:c r="B41" s="8" t="n">
        <x:f>'Evaluation Plan'!B41</x:f>
        <x:v>39</x:v>
      </x:c>
      <x:c r="C41" s="7" t="str">
        <x:f>'Evaluation Plan'!C41</x:f>
        <x:v>Move the green block off the table and into the bowl.</x:v>
      </x:c>
      <x:c r="D41" s="7" t="str">
        <x:f>'Evaluation Plan'!D41</x:f>
        <x:v>Bowl: empty. Table, robot-left→robot-right: P1 green block; P2 red pencil sharpener. Adjacent centers 16 cm apart; row shifted 4 cm toward robot-right; all objects fully visible and grasp paths clear.</x:v>
      </x:c>
      <x:c r="E41" s="8" t="n">
        <x:f>IF(ISBLANK('Evaluation Plan'!E41),"",'Evaluation Plan'!E41)</x:f>
        <x:v>37</x:v>
      </x:c>
      <x:c r="F41" s="8" t="str">
        <x:f>'Evaluation Plan'!F41</x:f>
        <x:v>1077</x:v>
      </x:c>
      <x:c r="G41" s="8" t="str">
        <x:f>'Evaluation Plan'!G41</x:f>
        <x:v>MOVE green block to bowl</x:v>
      </x:c>
      <x:c r="H41" s="7"/>
      <x:c r="I41" s="8" t="str">
        <x:f>'Evaluation Plan'!I41</x:f>
        <x:v>Language robustness</x:v>
      </x:c>
      <x:c r="J41" s="8" t="str">
        <x:f>'Evaluation Plan'!J41</x:f>
        <x:v>SZ-CT-LG03</x:v>
      </x:c>
      <x:c r="K41" s="8" t="str">
        <x:f>'Evaluation Plan'!K41</x:f>
        <x:v>Direct</x:v>
      </x:c>
      <x:c r="L41" s="8" t="str">
        <x:f>'Evaluation Plan'!L41</x:f>
        <x:v>Matched-control direct prompt paraphrase</x:v>
      </x:c>
      <x:c r="M41" s="8" t="str">
        <x:f>'Evaluation Plan'!M41</x:f>
        <x:v>green block</x:v>
      </x:c>
      <x:c r="N41" s="8" t="str">
        <x:f>'Evaluation Plan'!N41</x:f>
        <x:v>Left</x:v>
      </x:c>
      <x:c r="O41" s="8" t="n">
        <x:f>'Evaluation Plan'!O41</x:f>
        <x:v>2</x:v>
      </x:c>
      <x:c r="P41" s="8" t="n">
        <x:f>IF(ISBLANK('Evaluation Plan'!P41),"",'Evaluation Plan'!P41)</x:f>
        <x:v>16</x:v>
      </x:c>
      <x:c r="Q41" s="8" t="str">
        <x:f>'Evaluation Plan'!Q41</x:f>
        <x:v>Reset the target; preserve the exact scene and paraphrase only the matched-control prompt.</x:v>
      </x:c>
      <x:c r="R41" s="7" t="str">
        <x:f>'Evaluation Plan'!R41</x:f>
        <x:v>Exact-scene paraphrase of the direct manipulation control.</x:v>
      </x:c>
      <x:c r="S41" s="7" t="str">
        <x:f>IF(ISBLANK('Evaluation Plan'!S41),"",'Evaluation Plan'!S41)</x:f>
      </x:c>
    </x:row>
    <x:row r="42" ht="68" customHeight="1">
      <x:c r="A42" s="9" t="str">
        <x:v>Not collected</x:v>
      </x:c>
      <x:c r="B42" s="9" t="n">
        <x:f>'Evaluation Plan'!B42</x:f>
        <x:v>40</x:v>
      </x:c>
      <x:c r="C42" s="10" t="str">
        <x:f>'Evaluation Plan'!C42</x:f>
        <x:v>Move the object that is smallest into the bowl.</x:v>
      </x:c>
      <x:c r="D42" s="10" t="str">
        <x:f>'Evaluation Plan'!D42</x:f>
        <x:v>Bowl: empty. Table, robot-left→robot-right: P1 crushed Pepsi can; P2 juggling ball. Adjacent centers 8 cm apart; row shifted 4 cm away from the robot; all objects fully visible and grasp paths clear.</x:v>
      </x:c>
      <x:c r="E42" s="9" t="str">
        <x:f>IF(ISBLANK('Evaluation Plan'!E42),"",'Evaluation Plan'!E42)</x:f>
      </x:c>
      <x:c r="F42" s="9" t="str">
        <x:f>'Evaluation Plan'!F42</x:f>
        <x:v>1107</x:v>
      </x:c>
      <x:c r="G42" s="9" t="str">
        <x:f>'Evaluation Plan'!G42</x:f>
        <x:v>MOVE juggling ball to bowl</x:v>
      </x:c>
      <x:c r="H42" s="10"/>
      <x:c r="I42" s="9" t="str">
        <x:f>'Evaluation Plan'!I42</x:f>
        <x:v>Concept/compositional transfer</x:v>
      </x:c>
      <x:c r="J42" s="9" t="str">
        <x:f>'Evaluation Plan'!J42</x:f>
        <x:v>SZ-CT-SJ03</x:v>
      </x:c>
      <x:c r="K42" s="9" t="str">
        <x:f>'Evaluation Plan'!K42</x:f>
        <x:v>smallest</x:v>
      </x:c>
      <x:c r="L42" s="9" t="str">
        <x:f>'Evaluation Plan'!L42</x:f>
        <x:v>Held-out smallest × juggling ball — Move</x:v>
      </x:c>
      <x:c r="M42" s="9" t="str">
        <x:f>'Evaluation Plan'!M42</x:f>
        <x:v>juggling ball</x:v>
      </x:c>
      <x:c r="N42" s="9" t="str">
        <x:f>'Evaluation Plan'!N42</x:f>
        <x:v>Right</x:v>
      </x:c>
      <x:c r="O42" s="9" t="n">
        <x:f>'Evaluation Plan'!O42</x:f>
        <x:v>2</x:v>
      </x:c>
      <x:c r="P42" s="9" t="n">
        <x:f>IF(ISBLANK('Evaluation Plan'!P42),"",'Evaluation Plan'!P42)</x:f>
        <x:v>8</x:v>
      </x:c>
      <x:c r="Q42" s="9" t="str">
        <x:f>'Evaluation Plan'!Q42</x:f>
        <x:v>Build the listed two-object scene and save a first-frame filename.</x:v>
      </x:c>
      <x:c r="R42" s="10" t="str">
        <x:f>'Evaluation Plan'!R42</x:f>
        <x:v>Primary missing cell. Training episode 1107 contains the same target trajectory but masks the size word with a direct identity prompt.</x:v>
      </x:c>
      <x:c r="S42" s="10" t="str">
        <x:f>IF(ISBLANK('Evaluation Plan'!S42),"",'Evaluation Plan'!S42)</x:f>
      </x:c>
    </x:row>
    <x:row r="43" ht="68" customHeight="1">
      <x:c r="A43" s="8" t="str">
        <x:v>Not collected</x:v>
      </x:c>
      <x:c r="B43" s="8" t="n">
        <x:f>'Evaluation Plan'!B43</x:f>
        <x:v>41</x:v>
      </x:c>
      <x:c r="C43" s="7" t="str">
        <x:f>'Evaluation Plan'!C43</x:f>
        <x:v>Pick up the juggling ball and place it in the bowl.</x:v>
      </x:c>
      <x:c r="D43" s="7" t="str">
        <x:f>'Evaluation Plan'!D43</x:f>
        <x:v>Bowl: empty. Table, robot-left→robot-right: P1 crushed Pepsi can; P2 juggling ball. Adjacent centers 8 cm apart; row shifted 4 cm away from the robot; all objects fully visible and grasp paths clear.</x:v>
      </x:c>
      <x:c r="E43" s="8" t="n">
        <x:f>IF(ISBLANK('Evaluation Plan'!E43),"",'Evaluation Plan'!E43)</x:f>
        <x:v>40</x:v>
      </x:c>
      <x:c r="F43" s="8" t="str">
        <x:f>'Evaluation Plan'!F43</x:f>
        <x:v>1102</x:v>
      </x:c>
      <x:c r="G43" s="8" t="str">
        <x:f>'Evaluation Plan'!G43</x:f>
        <x:v>MOVE juggling ball to bowl</x:v>
      </x:c>
      <x:c r="H43" s="7"/>
      <x:c r="I43" s="8" t="str">
        <x:f>'Evaluation Plan'!I43</x:f>
        <x:v>Matched manipulation control</x:v>
      </x:c>
      <x:c r="J43" s="8" t="str">
        <x:f>'Evaluation Plan'!J43</x:f>
        <x:v>SZ-CT-SJ03</x:v>
      </x:c>
      <x:c r="K43" s="8" t="str">
        <x:f>'Evaluation Plan'!K43</x:f>
        <x:v>Direct</x:v>
      </x:c>
      <x:c r="L43" s="8" t="str">
        <x:f>'Evaluation Plan'!L43</x:f>
        <x:v>Same-scene direct target control</x:v>
      </x:c>
      <x:c r="M43" s="8" t="str">
        <x:f>'Evaluation Plan'!M43</x:f>
        <x:v>juggling ball</x:v>
      </x:c>
      <x:c r="N43" s="8" t="str">
        <x:f>'Evaluation Plan'!N43</x:f>
        <x:v>Right</x:v>
      </x:c>
      <x:c r="O43" s="8" t="n">
        <x:f>'Evaluation Plan'!O43</x:f>
        <x:v>2</x:v>
      </x:c>
      <x:c r="P43" s="8" t="n">
        <x:f>IF(ISBLANK('Evaluation Plan'!P43),"",'Evaluation Plan'!P43)</x:f>
        <x:v>8</x:v>
      </x:c>
      <x:c r="Q43" s="8" t="str">
        <x:f>'Evaluation Plan'!Q43</x:f>
        <x:v>Reset the target to its original pose; change only the prompt.</x:v>
      </x:c>
      <x:c r="R43" s="7" t="str">
        <x:f>'Evaluation Plan'!R43</x:f>
        <x:v>Exact-scene control using a direct prompt supported by training episode 1102.</x:v>
      </x:c>
      <x:c r="S43" s="7" t="str">
        <x:f>IF(ISBLANK('Evaluation Plan'!S43),"",'Evaluation Plan'!S43)</x:f>
      </x:c>
    </x:row>
    <x:row r="44" ht="68" customHeight="1">
      <x:c r="A44" s="8" t="str">
        <x:v>Not collected</x:v>
      </x:c>
      <x:c r="B44" s="8" t="n">
        <x:f>'Evaluation Plan'!B44</x:f>
        <x:v>42</x:v>
      </x:c>
      <x:c r="C44" s="7" t="str">
        <x:f>'Evaluation Plan'!C44</x:f>
        <x:v>Select the smaller object and put it into the bowl.</x:v>
      </x:c>
      <x:c r="D44" s="7" t="str">
        <x:f>'Evaluation Plan'!D44</x:f>
        <x:v>Bowl: empty. Table, robot-left→robot-right: P1 crushed Pepsi can; P2 juggling ball. Adjacent centers 8 cm apart; row shifted 4 cm away from the robot; all objects fully visible and grasp paths clear.</x:v>
      </x:c>
      <x:c r="E44" s="8" t="n">
        <x:f>IF(ISBLANK('Evaluation Plan'!E44),"",'Evaluation Plan'!E44)</x:f>
        <x:v>40</x:v>
      </x:c>
      <x:c r="F44" s="8" t="str">
        <x:f>'Evaluation Plan'!F44</x:f>
        <x:v>1107</x:v>
      </x:c>
      <x:c r="G44" s="8" t="str">
        <x:f>'Evaluation Plan'!G44</x:f>
        <x:v>MOVE juggling ball to bowl</x:v>
      </x:c>
      <x:c r="H44" s="7"/>
      <x:c r="I44" s="8" t="str">
        <x:f>'Evaluation Plan'!I44</x:f>
        <x:v>Language robustness</x:v>
      </x:c>
      <x:c r="J44" s="8" t="str">
        <x:f>'Evaluation Plan'!J44</x:f>
        <x:v>SZ-CT-SJ03</x:v>
      </x:c>
      <x:c r="K44" s="8" t="str">
        <x:f>'Evaluation Plan'!K44</x:f>
        <x:v>smallest</x:v>
      </x:c>
      <x:c r="L44" s="8" t="str">
        <x:f>'Evaluation Plan'!L44</x:f>
        <x:v>Primary compositional-transfer prompt paraphrase</x:v>
      </x:c>
      <x:c r="M44" s="8" t="str">
        <x:f>'Evaluation Plan'!M44</x:f>
        <x:v>juggling ball</x:v>
      </x:c>
      <x:c r="N44" s="8" t="str">
        <x:f>'Evaluation Plan'!N44</x:f>
        <x:v>Right</x:v>
      </x:c>
      <x:c r="O44" s="8" t="n">
        <x:f>'Evaluation Plan'!O44</x:f>
        <x:v>2</x:v>
      </x:c>
      <x:c r="P44" s="8" t="n">
        <x:f>IF(ISBLANK('Evaluation Plan'!P44),"",'Evaluation Plan'!P44)</x:f>
        <x:v>8</x:v>
      </x:c>
      <x:c r="Q44" s="8" t="str">
        <x:f>'Evaluation Plan'!Q44</x:f>
        <x:v>Reset the target; preserve the exact scene and paraphrase only the transfer prompt.</x:v>
      </x:c>
      <x:c r="R44" s="7" t="str">
        <x:f>'Evaluation Plan'!R44</x:f>
        <x:v>Exact-scene paraphrase of the primary transfer instruction.</x:v>
      </x:c>
      <x:c r="S44" s="7" t="str">
        <x:f>IF(ISBLANK('Evaluation Plan'!S44),"",'Evaluation Plan'!S44)</x:f>
      </x:c>
    </x:row>
    <x:row r="45" ht="68" customHeight="1">
      <x:c r="A45" s="8" t="str">
        <x:v>Not collected</x:v>
      </x:c>
      <x:c r="B45" s="8" t="n">
        <x:f>'Evaluation Plan'!B45</x:f>
        <x:v>43</x:v>
      </x:c>
      <x:c r="C45" s="7" t="str">
        <x:f>'Evaluation Plan'!C45</x:f>
        <x:v>Move the juggling ball off the table and into the bowl.</x:v>
      </x:c>
      <x:c r="D45" s="7" t="str">
        <x:f>'Evaluation Plan'!D45</x:f>
        <x:v>Bowl: empty. Table, robot-left→robot-right: P1 crushed Pepsi can; P2 juggling ball. Adjacent centers 8 cm apart; row shifted 4 cm away from the robot; all objects fully visible and grasp paths clear.</x:v>
      </x:c>
      <x:c r="E45" s="8" t="n">
        <x:f>IF(ISBLANK('Evaluation Plan'!E45),"",'Evaluation Plan'!E45)</x:f>
        <x:v>41</x:v>
      </x:c>
      <x:c r="F45" s="8" t="str">
        <x:f>'Evaluation Plan'!F45</x:f>
        <x:v>1102</x:v>
      </x:c>
      <x:c r="G45" s="8" t="str">
        <x:f>'Evaluation Plan'!G45</x:f>
        <x:v>MOVE juggling ball to bowl</x:v>
      </x:c>
      <x:c r="H45" s="7"/>
      <x:c r="I45" s="8" t="str">
        <x:f>'Evaluation Plan'!I45</x:f>
        <x:v>Language robustness</x:v>
      </x:c>
      <x:c r="J45" s="8" t="str">
        <x:f>'Evaluation Plan'!J45</x:f>
        <x:v>SZ-CT-SJ03</x:v>
      </x:c>
      <x:c r="K45" s="8" t="str">
        <x:f>'Evaluation Plan'!K45</x:f>
        <x:v>Direct</x:v>
      </x:c>
      <x:c r="L45" s="8" t="str">
        <x:f>'Evaluation Plan'!L45</x:f>
        <x:v>Matched-control direct prompt paraphrase</x:v>
      </x:c>
      <x:c r="M45" s="8" t="str">
        <x:f>'Evaluation Plan'!M45</x:f>
        <x:v>juggling ball</x:v>
      </x:c>
      <x:c r="N45" s="8" t="str">
        <x:f>'Evaluation Plan'!N45</x:f>
        <x:v>Right</x:v>
      </x:c>
      <x:c r="O45" s="8" t="n">
        <x:f>'Evaluation Plan'!O45</x:f>
        <x:v>2</x:v>
      </x:c>
      <x:c r="P45" s="8" t="n">
        <x:f>IF(ISBLANK('Evaluation Plan'!P45),"",'Evaluation Plan'!P45)</x:f>
        <x:v>8</x:v>
      </x:c>
      <x:c r="Q45" s="8" t="str">
        <x:f>'Evaluation Plan'!Q45</x:f>
        <x:v>Reset the target; preserve the exact scene and paraphrase only the matched-control prompt.</x:v>
      </x:c>
      <x:c r="R45" s="7" t="str">
        <x:f>'Evaluation Plan'!R45</x:f>
        <x:v>Exact-scene paraphrase of the direct manipulation control.</x:v>
      </x:c>
      <x:c r="S45" s="7" t="str">
        <x:f>IF(ISBLANK('Evaluation Plan'!S45),"",'Evaluation Plan'!S45)</x:f>
      </x:c>
    </x:row>
    <x:row r="46" ht="68" customHeight="1">
      <x:c r="A46" s="9" t="str">
        <x:v>Not collected</x:v>
      </x:c>
      <x:c r="B46" s="9" t="n">
        <x:f>'Evaluation Plan'!B46</x:f>
        <x:v>44</x:v>
      </x:c>
      <x:c r="C46" s="10" t="str">
        <x:f>'Evaluation Plan'!C46</x:f>
        <x:v>Move the object that is largest into the bowl.</x:v>
      </x:c>
      <x:c r="D46" s="10" t="str">
        <x:f>'Evaluation Plan'!D46</x:f>
        <x:v>Bowl: empty. Table, robot-left→robot-right: P1 red pencil sharpener; P2 green block. Adjacent centers 8 cm apart; row shifted 4 cm toward the robot; all objects fully visible and grasp paths clear.</x:v>
      </x:c>
      <x:c r="E46" s="9" t="str">
        <x:f>IF(ISBLANK('Evaluation Plan'!E46),"",'Evaluation Plan'!E46)</x:f>
      </x:c>
      <x:c r="F46" s="9" t="str">
        <x:f>'Evaluation Plan'!F46</x:f>
        <x:v>1083</x:v>
      </x:c>
      <x:c r="G46" s="9" t="str">
        <x:f>'Evaluation Plan'!G46</x:f>
        <x:v>MOVE green block to bowl</x:v>
      </x:c>
      <x:c r="H46" s="10"/>
      <x:c r="I46" s="9" t="str">
        <x:f>'Evaluation Plan'!I46</x:f>
        <x:v>Concept/compositional transfer</x:v>
      </x:c>
      <x:c r="J46" s="9" t="str">
        <x:f>'Evaluation Plan'!J46</x:f>
        <x:v>SZ-CT-LG04</x:v>
      </x:c>
      <x:c r="K46" s="9" t="str">
        <x:f>'Evaluation Plan'!K46</x:f>
        <x:v>largest</x:v>
      </x:c>
      <x:c r="L46" s="9" t="str">
        <x:f>'Evaluation Plan'!L46</x:f>
        <x:v>Held-out largest × green block — Move</x:v>
      </x:c>
      <x:c r="M46" s="9" t="str">
        <x:f>'Evaluation Plan'!M46</x:f>
        <x:v>green block</x:v>
      </x:c>
      <x:c r="N46" s="9" t="str">
        <x:f>'Evaluation Plan'!N46</x:f>
        <x:v>Right</x:v>
      </x:c>
      <x:c r="O46" s="9" t="n">
        <x:f>'Evaluation Plan'!O46</x:f>
        <x:v>2</x:v>
      </x:c>
      <x:c r="P46" s="9" t="n">
        <x:f>IF(ISBLANK('Evaluation Plan'!P46),"",'Evaluation Plan'!P46)</x:f>
        <x:v>8</x:v>
      </x:c>
      <x:c r="Q46" s="9" t="str">
        <x:f>'Evaluation Plan'!Q46</x:f>
        <x:v>Build the listed two-object scene and save a first-frame filename.</x:v>
      </x:c>
      <x:c r="R46" s="10" t="str">
        <x:f>'Evaluation Plan'!R46</x:f>
        <x:v>Primary missing cell. Training episode 1083 contains the same target trajectory but masks the size word with a direct identity prompt.</x:v>
      </x:c>
      <x:c r="S46" s="10" t="str">
        <x:f>IF(ISBLANK('Evaluation Plan'!S46),"",'Evaluation Plan'!S46)</x:f>
      </x:c>
    </x:row>
    <x:row r="47" ht="68" customHeight="1">
      <x:c r="A47" s="8" t="str">
        <x:v>Not collected</x:v>
      </x:c>
      <x:c r="B47" s="8" t="n">
        <x:f>'Evaluation Plan'!B47</x:f>
        <x:v>45</x:v>
      </x:c>
      <x:c r="C47" s="7" t="str">
        <x:f>'Evaluation Plan'!C47</x:f>
        <x:v>Put the green block in the bowl.</x:v>
      </x:c>
      <x:c r="D47" s="7" t="str">
        <x:f>'Evaluation Plan'!D47</x:f>
        <x:v>Bowl: empty. Table, robot-left→robot-right: P1 red pencil sharpener; P2 green block. Adjacent centers 8 cm apart; row shifted 4 cm toward the robot; all objects fully visible and grasp paths clear.</x:v>
      </x:c>
      <x:c r="E47" s="8" t="n">
        <x:f>IF(ISBLANK('Evaluation Plan'!E47),"",'Evaluation Plan'!E47)</x:f>
        <x:v>44</x:v>
      </x:c>
      <x:c r="F47" s="8" t="str">
        <x:f>'Evaluation Plan'!F47</x:f>
        <x:v>1078</x:v>
      </x:c>
      <x:c r="G47" s="8" t="str">
        <x:f>'Evaluation Plan'!G47</x:f>
        <x:v>MOVE green block to bowl</x:v>
      </x:c>
      <x:c r="H47" s="7"/>
      <x:c r="I47" s="8" t="str">
        <x:f>'Evaluation Plan'!I47</x:f>
        <x:v>Matched manipulation control</x:v>
      </x:c>
      <x:c r="J47" s="8" t="str">
        <x:f>'Evaluation Plan'!J47</x:f>
        <x:v>SZ-CT-LG04</x:v>
      </x:c>
      <x:c r="K47" s="8" t="str">
        <x:f>'Evaluation Plan'!K47</x:f>
        <x:v>Direct</x:v>
      </x:c>
      <x:c r="L47" s="8" t="str">
        <x:f>'Evaluation Plan'!L47</x:f>
        <x:v>Same-scene direct target control</x:v>
      </x:c>
      <x:c r="M47" s="8" t="str">
        <x:f>'Evaluation Plan'!M47</x:f>
        <x:v>green block</x:v>
      </x:c>
      <x:c r="N47" s="8" t="str">
        <x:f>'Evaluation Plan'!N47</x:f>
        <x:v>Right</x:v>
      </x:c>
      <x:c r="O47" s="8" t="n">
        <x:f>'Evaluation Plan'!O47</x:f>
        <x:v>2</x:v>
      </x:c>
      <x:c r="P47" s="8" t="n">
        <x:f>IF(ISBLANK('Evaluation Plan'!P47),"",'Evaluation Plan'!P47)</x:f>
        <x:v>8</x:v>
      </x:c>
      <x:c r="Q47" s="8" t="str">
        <x:f>'Evaluation Plan'!Q47</x:f>
        <x:v>Reset the target to its original pose; change only the prompt.</x:v>
      </x:c>
      <x:c r="R47" s="7" t="str">
        <x:f>'Evaluation Plan'!R47</x:f>
        <x:v>Exact-scene control using a direct prompt supported by training episode 1078.</x:v>
      </x:c>
      <x:c r="S47" s="7" t="str">
        <x:f>IF(ISBLANK('Evaluation Plan'!S47),"",'Evaluation Plan'!S47)</x:f>
      </x:c>
    </x:row>
    <x:row r="48" ht="68" customHeight="1">
      <x:c r="A48" s="8" t="str">
        <x:v>Not collected</x:v>
      </x:c>
      <x:c r="B48" s="8" t="n">
        <x:f>'Evaluation Plan'!B48</x:f>
        <x:v>46</x:v>
      </x:c>
      <x:c r="C48" s="7" t="str">
        <x:f>'Evaluation Plan'!C48</x:f>
        <x:v>Find the greatest-sized item and move it to the bowl.</x:v>
      </x:c>
      <x:c r="D48" s="7" t="str">
        <x:f>'Evaluation Plan'!D48</x:f>
        <x:v>Bowl: empty. Table, robot-left→robot-right: P1 red pencil sharpener; P2 green block. Adjacent centers 8 cm apart; row shifted 4 cm toward the robot; all objects fully visible and grasp paths clear.</x:v>
      </x:c>
      <x:c r="E48" s="8" t="n">
        <x:f>IF(ISBLANK('Evaluation Plan'!E48),"",'Evaluation Plan'!E48)</x:f>
        <x:v>44</x:v>
      </x:c>
      <x:c r="F48" s="8" t="str">
        <x:f>'Evaluation Plan'!F48</x:f>
        <x:v>1083</x:v>
      </x:c>
      <x:c r="G48" s="8" t="str">
        <x:f>'Evaluation Plan'!G48</x:f>
        <x:v>MOVE green block to bowl</x:v>
      </x:c>
      <x:c r="H48" s="7"/>
      <x:c r="I48" s="8" t="str">
        <x:f>'Evaluation Plan'!I48</x:f>
        <x:v>Language robustness</x:v>
      </x:c>
      <x:c r="J48" s="8" t="str">
        <x:f>'Evaluation Plan'!J48</x:f>
        <x:v>SZ-CT-LG04</x:v>
      </x:c>
      <x:c r="K48" s="8" t="str">
        <x:f>'Evaluation Plan'!K48</x:f>
        <x:v>largest</x:v>
      </x:c>
      <x:c r="L48" s="8" t="str">
        <x:f>'Evaluation Plan'!L48</x:f>
        <x:v>Primary compositional-transfer prompt paraphrase</x:v>
      </x:c>
      <x:c r="M48" s="8" t="str">
        <x:f>'Evaluation Plan'!M48</x:f>
        <x:v>green block</x:v>
      </x:c>
      <x:c r="N48" s="8" t="str">
        <x:f>'Evaluation Plan'!N48</x:f>
        <x:v>Right</x:v>
      </x:c>
      <x:c r="O48" s="8" t="n">
        <x:f>'Evaluation Plan'!O48</x:f>
        <x:v>2</x:v>
      </x:c>
      <x:c r="P48" s="8" t="n">
        <x:f>IF(ISBLANK('Evaluation Plan'!P48),"",'Evaluation Plan'!P48)</x:f>
        <x:v>8</x:v>
      </x:c>
      <x:c r="Q48" s="8" t="str">
        <x:f>'Evaluation Plan'!Q48</x:f>
        <x:v>Reset the target; preserve the exact scene and paraphrase only the transfer prompt.</x:v>
      </x:c>
      <x:c r="R48" s="7" t="str">
        <x:f>'Evaluation Plan'!R48</x:f>
        <x:v>Exact-scene paraphrase of the primary transfer instruction.</x:v>
      </x:c>
      <x:c r="S48" s="7" t="str">
        <x:f>IF(ISBLANK('Evaluation Plan'!S48),"",'Evaluation Plan'!S48)</x:f>
      </x:c>
    </x:row>
    <x:row r="49" ht="68" customHeight="1">
      <x:c r="A49" s="8" t="str">
        <x:v>Not collected</x:v>
      </x:c>
      <x:c r="B49" s="8" t="n">
        <x:f>'Evaluation Plan'!B49</x:f>
        <x:v>47</x:v>
      </x:c>
      <x:c r="C49" s="7" t="str">
        <x:f>'Evaluation Plan'!C49</x:f>
        <x:v>Place the table's green block inside the bowl.</x:v>
      </x:c>
      <x:c r="D49" s="7" t="str">
        <x:f>'Evaluation Plan'!D49</x:f>
        <x:v>Bowl: empty. Table, robot-left→robot-right: P1 red pencil sharpener; P2 green block. Adjacent centers 8 cm apart; row shifted 4 cm toward the robot; all objects fully visible and grasp paths clear.</x:v>
      </x:c>
      <x:c r="E49" s="8" t="n">
        <x:f>IF(ISBLANK('Evaluation Plan'!E49),"",'Evaluation Plan'!E49)</x:f>
        <x:v>45</x:v>
      </x:c>
      <x:c r="F49" s="8" t="str">
        <x:f>'Evaluation Plan'!F49</x:f>
        <x:v>1078</x:v>
      </x:c>
      <x:c r="G49" s="8" t="str">
        <x:f>'Evaluation Plan'!G49</x:f>
        <x:v>MOVE green block to bowl</x:v>
      </x:c>
      <x:c r="H49" s="7"/>
      <x:c r="I49" s="8" t="str">
        <x:f>'Evaluation Plan'!I49</x:f>
        <x:v>Language robustness</x:v>
      </x:c>
      <x:c r="J49" s="8" t="str">
        <x:f>'Evaluation Plan'!J49</x:f>
        <x:v>SZ-CT-LG04</x:v>
      </x:c>
      <x:c r="K49" s="8" t="str">
        <x:f>'Evaluation Plan'!K49</x:f>
        <x:v>Direct</x:v>
      </x:c>
      <x:c r="L49" s="8" t="str">
        <x:f>'Evaluation Plan'!L49</x:f>
        <x:v>Matched-control direct prompt paraphrase</x:v>
      </x:c>
      <x:c r="M49" s="8" t="str">
        <x:f>'Evaluation Plan'!M49</x:f>
        <x:v>green block</x:v>
      </x:c>
      <x:c r="N49" s="8" t="str">
        <x:f>'Evaluation Plan'!N49</x:f>
        <x:v>Right</x:v>
      </x:c>
      <x:c r="O49" s="8" t="n">
        <x:f>'Evaluation Plan'!O49</x:f>
        <x:v>2</x:v>
      </x:c>
      <x:c r="P49" s="8" t="n">
        <x:f>IF(ISBLANK('Evaluation Plan'!P49),"",'Evaluation Plan'!P49)</x:f>
        <x:v>8</x:v>
      </x:c>
      <x:c r="Q49" s="8" t="str">
        <x:f>'Evaluation Plan'!Q49</x:f>
        <x:v>Reset the target; preserve the exact scene and paraphrase only the matched-control prompt.</x:v>
      </x:c>
      <x:c r="R49" s="7" t="str">
        <x:f>'Evaluation Plan'!R49</x:f>
        <x:v>Exact-scene paraphrase of the direct manipulation control.</x:v>
      </x:c>
      <x:c r="S49" s="7" t="str">
        <x:f>IF(ISBLANK('Evaluation Plan'!S49),"",'Evaluation Plan'!S49)</x:f>
      </x:c>
    </x:row>
    <x:row r="50" ht="68" customHeight="1">
      <x:c r="A50" s="9" t="str">
        <x:v>Not collected</x:v>
      </x:c>
      <x:c r="B50" s="9" t="n">
        <x:f>'Evaluation Plan'!B50</x:f>
        <x:v>48</x:v>
      </x:c>
      <x:c r="C50" s="10" t="str">
        <x:f>'Evaluation Plan'!C50</x:f>
        <x:v>Pick up the smallest item and place it in the bowl.</x:v>
      </x:c>
      <x:c r="D50" s="10" t="str">
        <x:f>'Evaluation Plan'!D50</x:f>
        <x:v>Bowl: empty. Table, robot-left→robot-right: P1 juggling ball; P2 crushed Pepsi can. Adjacent centers 12 cm apart; row centered on the workspace; all objects fully visible and grasp paths clear.</x:v>
      </x:c>
      <x:c r="E50" s="9" t="str">
        <x:f>IF(ISBLANK('Evaluation Plan'!E50),"",'Evaluation Plan'!E50)</x:f>
      </x:c>
      <x:c r="F50" s="9" t="str">
        <x:f>'Evaluation Plan'!F50</x:f>
        <x:v>1108</x:v>
      </x:c>
      <x:c r="G50" s="9" t="str">
        <x:f>'Evaluation Plan'!G50</x:f>
        <x:v>MOVE juggling ball to bowl</x:v>
      </x:c>
      <x:c r="H50" s="10"/>
      <x:c r="I50" s="9" t="str">
        <x:f>'Evaluation Plan'!I50</x:f>
        <x:v>Concept/compositional transfer</x:v>
      </x:c>
      <x:c r="J50" s="9" t="str">
        <x:f>'Evaluation Plan'!J50</x:f>
        <x:v>SZ-CT-SJ04</x:v>
      </x:c>
      <x:c r="K50" s="9" t="str">
        <x:f>'Evaluation Plan'!K50</x:f>
        <x:v>smallest</x:v>
      </x:c>
      <x:c r="L50" s="9" t="str">
        <x:f>'Evaluation Plan'!L50</x:f>
        <x:v>Held-out smallest × juggling ball — Pick up</x:v>
      </x:c>
      <x:c r="M50" s="9" t="str">
        <x:f>'Evaluation Plan'!M50</x:f>
        <x:v>juggling ball</x:v>
      </x:c>
      <x:c r="N50" s="9" t="str">
        <x:f>'Evaluation Plan'!N50</x:f>
        <x:v>Left</x:v>
      </x:c>
      <x:c r="O50" s="9" t="n">
        <x:f>'Evaluation Plan'!O50</x:f>
        <x:v>2</x:v>
      </x:c>
      <x:c r="P50" s="9" t="n">
        <x:f>IF(ISBLANK('Evaluation Plan'!P50),"",'Evaluation Plan'!P50)</x:f>
        <x:v>12</x:v>
      </x:c>
      <x:c r="Q50" s="9" t="str">
        <x:f>'Evaluation Plan'!Q50</x:f>
        <x:v>Build the listed two-object scene and save a first-frame filename.</x:v>
      </x:c>
      <x:c r="R50" s="10" t="str">
        <x:f>'Evaluation Plan'!R50</x:f>
        <x:v>Primary missing cell. Training episode 1108 contains the same target trajectory but masks the size word with a direct identity prompt.</x:v>
      </x:c>
      <x:c r="S50" s="10" t="str">
        <x:f>IF(ISBLANK('Evaluation Plan'!S50),"",'Evaluation Plan'!S50)</x:f>
      </x:c>
    </x:row>
    <x:row r="51" ht="68" customHeight="1">
      <x:c r="A51" s="8" t="str">
        <x:v>Not collected</x:v>
      </x:c>
      <x:c r="B51" s="8" t="n">
        <x:f>'Evaluation Plan'!B51</x:f>
        <x:v>49</x:v>
      </x:c>
      <x:c r="C51" s="7" t="str">
        <x:f>'Evaluation Plan'!C51</x:f>
        <x:v>Put the juggling ball in the bowl.</x:v>
      </x:c>
      <x:c r="D51" s="7" t="str">
        <x:f>'Evaluation Plan'!D51</x:f>
        <x:v>Bowl: empty. Table, robot-left→robot-right: P1 juggling ball; P2 crushed Pepsi can. Adjacent centers 12 cm apart; row centered on the workspace; all objects fully visible and grasp paths clear.</x:v>
      </x:c>
      <x:c r="E51" s="8" t="n">
        <x:f>IF(ISBLANK('Evaluation Plan'!E51),"",'Evaluation Plan'!E51)</x:f>
        <x:v>48</x:v>
      </x:c>
      <x:c r="F51" s="8" t="str">
        <x:f>'Evaluation Plan'!F51</x:f>
        <x:v>1103</x:v>
      </x:c>
      <x:c r="G51" s="8" t="str">
        <x:f>'Evaluation Plan'!G51</x:f>
        <x:v>MOVE juggling ball to bowl</x:v>
      </x:c>
      <x:c r="H51" s="7"/>
      <x:c r="I51" s="8" t="str">
        <x:f>'Evaluation Plan'!I51</x:f>
        <x:v>Matched manipulation control</x:v>
      </x:c>
      <x:c r="J51" s="8" t="str">
        <x:f>'Evaluation Plan'!J51</x:f>
        <x:v>SZ-CT-SJ04</x:v>
      </x:c>
      <x:c r="K51" s="8" t="str">
        <x:f>'Evaluation Plan'!K51</x:f>
        <x:v>Direct</x:v>
      </x:c>
      <x:c r="L51" s="8" t="str">
        <x:f>'Evaluation Plan'!L51</x:f>
        <x:v>Same-scene direct target control</x:v>
      </x:c>
      <x:c r="M51" s="8" t="str">
        <x:f>'Evaluation Plan'!M51</x:f>
        <x:v>juggling ball</x:v>
      </x:c>
      <x:c r="N51" s="8" t="str">
        <x:f>'Evaluation Plan'!N51</x:f>
        <x:v>Left</x:v>
      </x:c>
      <x:c r="O51" s="8" t="n">
        <x:f>'Evaluation Plan'!O51</x:f>
        <x:v>2</x:v>
      </x:c>
      <x:c r="P51" s="8" t="n">
        <x:f>IF(ISBLANK('Evaluation Plan'!P51),"",'Evaluation Plan'!P51)</x:f>
        <x:v>12</x:v>
      </x:c>
      <x:c r="Q51" s="8" t="str">
        <x:f>'Evaluation Plan'!Q51</x:f>
        <x:v>Reset the target to its original pose; change only the prompt.</x:v>
      </x:c>
      <x:c r="R51" s="7" t="str">
        <x:f>'Evaluation Plan'!R51</x:f>
        <x:v>Exact-scene control using a direct prompt supported by training episode 1103.</x:v>
      </x:c>
      <x:c r="S51" s="7" t="str">
        <x:f>IF(ISBLANK('Evaluation Plan'!S51),"",'Evaluation Plan'!S51)</x:f>
      </x:c>
    </x:row>
    <x:row r="52" ht="68" customHeight="1">
      <x:c r="A52" s="8" t="str">
        <x:v>Not collected</x:v>
      </x:c>
      <x:c r="B52" s="8" t="n">
        <x:f>'Evaluation Plan'!B52</x:f>
        <x:v>50</x:v>
      </x:c>
      <x:c r="C52" s="7" t="str">
        <x:f>'Evaluation Plan'!C52</x:f>
        <x:v>Find the least-sized item and move it to the bowl.</x:v>
      </x:c>
      <x:c r="D52" s="7" t="str">
        <x:f>'Evaluation Plan'!D52</x:f>
        <x:v>Bowl: empty. Table, robot-left→robot-right: P1 juggling ball; P2 crushed Pepsi can. Adjacent centers 12 cm apart; row centered on the workspace; all objects fully visible and grasp paths clear.</x:v>
      </x:c>
      <x:c r="E52" s="8" t="n">
        <x:f>IF(ISBLANK('Evaluation Plan'!E52),"",'Evaluation Plan'!E52)</x:f>
        <x:v>48</x:v>
      </x:c>
      <x:c r="F52" s="8" t="str">
        <x:f>'Evaluation Plan'!F52</x:f>
        <x:v>1108</x:v>
      </x:c>
      <x:c r="G52" s="8" t="str">
        <x:f>'Evaluation Plan'!G52</x:f>
        <x:v>MOVE juggling ball to bowl</x:v>
      </x:c>
      <x:c r="H52" s="7"/>
      <x:c r="I52" s="8" t="str">
        <x:f>'Evaluation Plan'!I52</x:f>
        <x:v>Language robustness</x:v>
      </x:c>
      <x:c r="J52" s="8" t="str">
        <x:f>'Evaluation Plan'!J52</x:f>
        <x:v>SZ-CT-SJ04</x:v>
      </x:c>
      <x:c r="K52" s="8" t="str">
        <x:f>'Evaluation Plan'!K52</x:f>
        <x:v>smallest</x:v>
      </x:c>
      <x:c r="L52" s="8" t="str">
        <x:f>'Evaluation Plan'!L52</x:f>
        <x:v>Primary compositional-transfer prompt paraphrase</x:v>
      </x:c>
      <x:c r="M52" s="8" t="str">
        <x:f>'Evaluation Plan'!M52</x:f>
        <x:v>juggling ball</x:v>
      </x:c>
      <x:c r="N52" s="8" t="str">
        <x:f>'Evaluation Plan'!N52</x:f>
        <x:v>Left</x:v>
      </x:c>
      <x:c r="O52" s="8" t="n">
        <x:f>'Evaluation Plan'!O52</x:f>
        <x:v>2</x:v>
      </x:c>
      <x:c r="P52" s="8" t="n">
        <x:f>IF(ISBLANK('Evaluation Plan'!P52),"",'Evaluation Plan'!P52)</x:f>
        <x:v>12</x:v>
      </x:c>
      <x:c r="Q52" s="8" t="str">
        <x:f>'Evaluation Plan'!Q52</x:f>
        <x:v>Reset the target; preserve the exact scene and paraphrase only the transfer prompt.</x:v>
      </x:c>
      <x:c r="R52" s="7" t="str">
        <x:f>'Evaluation Plan'!R52</x:f>
        <x:v>Exact-scene paraphrase of the primary transfer instruction.</x:v>
      </x:c>
      <x:c r="S52" s="7" t="str">
        <x:f>IF(ISBLANK('Evaluation Plan'!S52),"",'Evaluation Plan'!S52)</x:f>
      </x:c>
    </x:row>
    <x:row r="53" ht="68" customHeight="1">
      <x:c r="A53" s="8" t="str">
        <x:v>Not collected</x:v>
      </x:c>
      <x:c r="B53" s="8" t="n">
        <x:f>'Evaluation Plan'!B53</x:f>
        <x:v>51</x:v>
      </x:c>
      <x:c r="C53" s="7" t="str">
        <x:f>'Evaluation Plan'!C53</x:f>
        <x:v>Place the table's juggling ball inside the bowl.</x:v>
      </x:c>
      <x:c r="D53" s="7" t="str">
        <x:f>'Evaluation Plan'!D53</x:f>
        <x:v>Bowl: empty. Table, robot-left→robot-right: P1 juggling ball; P2 crushed Pepsi can. Adjacent centers 12 cm apart; row centered on the workspace; all objects fully visible and grasp paths clear.</x:v>
      </x:c>
      <x:c r="E53" s="8" t="n">
        <x:f>IF(ISBLANK('Evaluation Plan'!E53),"",'Evaluation Plan'!E53)</x:f>
        <x:v>49</x:v>
      </x:c>
      <x:c r="F53" s="8" t="str">
        <x:f>'Evaluation Plan'!F53</x:f>
        <x:v>1103</x:v>
      </x:c>
      <x:c r="G53" s="8" t="str">
        <x:f>'Evaluation Plan'!G53</x:f>
        <x:v>MOVE juggling ball to bowl</x:v>
      </x:c>
      <x:c r="H53" s="7"/>
      <x:c r="I53" s="8" t="str">
        <x:f>'Evaluation Plan'!I53</x:f>
        <x:v>Language robustness</x:v>
      </x:c>
      <x:c r="J53" s="8" t="str">
        <x:f>'Evaluation Plan'!J53</x:f>
        <x:v>SZ-CT-SJ04</x:v>
      </x:c>
      <x:c r="K53" s="8" t="str">
        <x:f>'Evaluation Plan'!K53</x:f>
        <x:v>Direct</x:v>
      </x:c>
      <x:c r="L53" s="8" t="str">
        <x:f>'Evaluation Plan'!L53</x:f>
        <x:v>Matched-control direct prompt paraphrase</x:v>
      </x:c>
      <x:c r="M53" s="8" t="str">
        <x:f>'Evaluation Plan'!M53</x:f>
        <x:v>juggling ball</x:v>
      </x:c>
      <x:c r="N53" s="8" t="str">
        <x:f>'Evaluation Plan'!N53</x:f>
        <x:v>Left</x:v>
      </x:c>
      <x:c r="O53" s="8" t="n">
        <x:f>'Evaluation Plan'!O53</x:f>
        <x:v>2</x:v>
      </x:c>
      <x:c r="P53" s="8" t="n">
        <x:f>IF(ISBLANK('Evaluation Plan'!P53),"",'Evaluation Plan'!P53)</x:f>
        <x:v>12</x:v>
      </x:c>
      <x:c r="Q53" s="8" t="str">
        <x:f>'Evaluation Plan'!Q53</x:f>
        <x:v>Reset the target; preserve the exact scene and paraphrase only the matched-control prompt.</x:v>
      </x:c>
      <x:c r="R53" s="7" t="str">
        <x:f>'Evaluation Plan'!R53</x:f>
        <x:v>Exact-scene paraphrase of the direct manipulation control.</x:v>
      </x:c>
      <x:c r="S53" s="7" t="str">
        <x:f>IF(ISBLANK('Evaluation Plan'!S53),"",'Evaluation Plan'!S53)</x:f>
      </x:c>
    </x:row>
    <x:row r="54" ht="68" customHeight="1">
      <x:c r="A54" s="9" t="str">
        <x:v>Not collected</x:v>
      </x:c>
      <x:c r="B54" s="9" t="n">
        <x:f>'Evaluation Plan'!B54</x:f>
        <x:v>52</x:v>
      </x:c>
      <x:c r="C54" s="10" t="str">
        <x:f>'Evaluation Plan'!C54</x:f>
        <x:v>Pick up the largest item and place it in the bowl.</x:v>
      </x:c>
      <x:c r="D54" s="10" t="str">
        <x:f>'Evaluation Plan'!D54</x:f>
        <x:v>Bowl: empty. Table, robot-left→robot-right: P1 green block; P2 red pencil sharpener. Adjacent centers 12 cm apart; row shifted 4 cm away from the robot; all objects fully visible and grasp paths clear.</x:v>
      </x:c>
      <x:c r="E54" s="9" t="str">
        <x:f>IF(ISBLANK('Evaluation Plan'!E54),"",'Evaluation Plan'!E54)</x:f>
      </x:c>
      <x:c r="F54" s="9" t="str">
        <x:f>'Evaluation Plan'!F54</x:f>
        <x:v>1084</x:v>
      </x:c>
      <x:c r="G54" s="9" t="str">
        <x:f>'Evaluation Plan'!G54</x:f>
        <x:v>MOVE green block to bowl</x:v>
      </x:c>
      <x:c r="H54" s="10"/>
      <x:c r="I54" s="9" t="str">
        <x:f>'Evaluation Plan'!I54</x:f>
        <x:v>Concept/compositional transfer</x:v>
      </x:c>
      <x:c r="J54" s="9" t="str">
        <x:f>'Evaluation Plan'!J54</x:f>
        <x:v>SZ-CT-LG05</x:v>
      </x:c>
      <x:c r="K54" s="9" t="str">
        <x:f>'Evaluation Plan'!K54</x:f>
        <x:v>largest</x:v>
      </x:c>
      <x:c r="L54" s="9" t="str">
        <x:f>'Evaluation Plan'!L54</x:f>
        <x:v>Held-out largest × green block — Pick up</x:v>
      </x:c>
      <x:c r="M54" s="9" t="str">
        <x:f>'Evaluation Plan'!M54</x:f>
        <x:v>green block</x:v>
      </x:c>
      <x:c r="N54" s="9" t="str">
        <x:f>'Evaluation Plan'!N54</x:f>
        <x:v>Left</x:v>
      </x:c>
      <x:c r="O54" s="9" t="n">
        <x:f>'Evaluation Plan'!O54</x:f>
        <x:v>2</x:v>
      </x:c>
      <x:c r="P54" s="9" t="n">
        <x:f>IF(ISBLANK('Evaluation Plan'!P54),"",'Evaluation Plan'!P54)</x:f>
        <x:v>12</x:v>
      </x:c>
      <x:c r="Q54" s="9" t="str">
        <x:f>'Evaluation Plan'!Q54</x:f>
        <x:v>Build the listed two-object scene and save a first-frame filename.</x:v>
      </x:c>
      <x:c r="R54" s="10" t="str">
        <x:f>'Evaluation Plan'!R54</x:f>
        <x:v>Primary missing cell. Training episode 1084 contains the same target trajectory but masks the size word with a direct identity prompt.</x:v>
      </x:c>
      <x:c r="S54" s="10" t="str">
        <x:f>IF(ISBLANK('Evaluation Plan'!S54),"",'Evaluation Plan'!S54)</x:f>
      </x:c>
    </x:row>
    <x:row r="55" ht="68" customHeight="1">
      <x:c r="A55" s="8" t="str">
        <x:v>Not collected</x:v>
      </x:c>
      <x:c r="B55" s="8" t="n">
        <x:f>'Evaluation Plan'!B55</x:f>
        <x:v>53</x:v>
      </x:c>
      <x:c r="C55" s="7" t="str">
        <x:f>'Evaluation Plan'!C55</x:f>
        <x:v>Move the green block into the bowl.</x:v>
      </x:c>
      <x:c r="D55" s="7" t="str">
        <x:f>'Evaluation Plan'!D55</x:f>
        <x:v>Bowl: empty. Table, robot-left→robot-right: P1 green block; P2 red pencil sharpener. Adjacent centers 12 cm apart; row shifted 4 cm away from the robot; all objects fully visible and grasp paths clear.</x:v>
      </x:c>
      <x:c r="E55" s="8" t="n">
        <x:f>IF(ISBLANK('Evaluation Plan'!E55),"",'Evaluation Plan'!E55)</x:f>
        <x:v>52</x:v>
      </x:c>
      <x:c r="F55" s="8" t="str">
        <x:f>'Evaluation Plan'!F55</x:f>
        <x:v>1079</x:v>
      </x:c>
      <x:c r="G55" s="8" t="str">
        <x:f>'Evaluation Plan'!G55</x:f>
        <x:v>MOVE green block to bowl</x:v>
      </x:c>
      <x:c r="H55" s="7"/>
      <x:c r="I55" s="8" t="str">
        <x:f>'Evaluation Plan'!I55</x:f>
        <x:v>Matched manipulation control</x:v>
      </x:c>
      <x:c r="J55" s="8" t="str">
        <x:f>'Evaluation Plan'!J55</x:f>
        <x:v>SZ-CT-LG05</x:v>
      </x:c>
      <x:c r="K55" s="8" t="str">
        <x:f>'Evaluation Plan'!K55</x:f>
        <x:v>Direct</x:v>
      </x:c>
      <x:c r="L55" s="8" t="str">
        <x:f>'Evaluation Plan'!L55</x:f>
        <x:v>Same-scene direct target control</x:v>
      </x:c>
      <x:c r="M55" s="8" t="str">
        <x:f>'Evaluation Plan'!M55</x:f>
        <x:v>green block</x:v>
      </x:c>
      <x:c r="N55" s="8" t="str">
        <x:f>'Evaluation Plan'!N55</x:f>
        <x:v>Left</x:v>
      </x:c>
      <x:c r="O55" s="8" t="n">
        <x:f>'Evaluation Plan'!O55</x:f>
        <x:v>2</x:v>
      </x:c>
      <x:c r="P55" s="8" t="n">
        <x:f>IF(ISBLANK('Evaluation Plan'!P55),"",'Evaluation Plan'!P55)</x:f>
        <x:v>12</x:v>
      </x:c>
      <x:c r="Q55" s="8" t="str">
        <x:f>'Evaluation Plan'!Q55</x:f>
        <x:v>Reset the target to its original pose; change only the prompt.</x:v>
      </x:c>
      <x:c r="R55" s="7" t="str">
        <x:f>'Evaluation Plan'!R55</x:f>
        <x:v>Exact-scene control using a direct prompt supported by training episode 1079.</x:v>
      </x:c>
      <x:c r="S55" s="7" t="str">
        <x:f>IF(ISBLANK('Evaluation Plan'!S55),"",'Evaluation Plan'!S55)</x:f>
      </x:c>
    </x:row>
    <x:row r="56" ht="68" customHeight="1">
      <x:c r="A56" s="8" t="str">
        <x:v>Not collected</x:v>
      </x:c>
      <x:c r="B56" s="8" t="n">
        <x:f>'Evaluation Plan'!B56</x:f>
        <x:v>54</x:v>
      </x:c>
      <x:c r="C56" s="7" t="str">
        <x:f>'Evaluation Plan'!C56</x:f>
        <x:v>Move whichever item is larger into the bowl.</x:v>
      </x:c>
      <x:c r="D56" s="7" t="str">
        <x:f>'Evaluation Plan'!D56</x:f>
        <x:v>Bowl: empty. Table, robot-left→robot-right: P1 green block; P2 red pencil sharpener. Adjacent centers 12 cm apart; row shifted 4 cm away from the robot; all objects fully visible and grasp paths clear.</x:v>
      </x:c>
      <x:c r="E56" s="8" t="n">
        <x:f>IF(ISBLANK('Evaluation Plan'!E56),"",'Evaluation Plan'!E56)</x:f>
        <x:v>52</x:v>
      </x:c>
      <x:c r="F56" s="8" t="str">
        <x:f>'Evaluation Plan'!F56</x:f>
        <x:v>1084</x:v>
      </x:c>
      <x:c r="G56" s="8" t="str">
        <x:f>'Evaluation Plan'!G56</x:f>
        <x:v>MOVE green block to bowl</x:v>
      </x:c>
      <x:c r="H56" s="7"/>
      <x:c r="I56" s="8" t="str">
        <x:f>'Evaluation Plan'!I56</x:f>
        <x:v>Language robustness</x:v>
      </x:c>
      <x:c r="J56" s="8" t="str">
        <x:f>'Evaluation Plan'!J56</x:f>
        <x:v>SZ-CT-LG05</x:v>
      </x:c>
      <x:c r="K56" s="8" t="str">
        <x:f>'Evaluation Plan'!K56</x:f>
        <x:v>largest</x:v>
      </x:c>
      <x:c r="L56" s="8" t="str">
        <x:f>'Evaluation Plan'!L56</x:f>
        <x:v>Primary compositional-transfer prompt paraphrase</x:v>
      </x:c>
      <x:c r="M56" s="8" t="str">
        <x:f>'Evaluation Plan'!M56</x:f>
        <x:v>green block</x:v>
      </x:c>
      <x:c r="N56" s="8" t="str">
        <x:f>'Evaluation Plan'!N56</x:f>
        <x:v>Left</x:v>
      </x:c>
      <x:c r="O56" s="8" t="n">
        <x:f>'Evaluation Plan'!O56</x:f>
        <x:v>2</x:v>
      </x:c>
      <x:c r="P56" s="8" t="n">
        <x:f>IF(ISBLANK('Evaluation Plan'!P56),"",'Evaluation Plan'!P56)</x:f>
        <x:v>12</x:v>
      </x:c>
      <x:c r="Q56" s="8" t="str">
        <x:f>'Evaluation Plan'!Q56</x:f>
        <x:v>Reset the target; preserve the exact scene and paraphrase only the transfer prompt.</x:v>
      </x:c>
      <x:c r="R56" s="7" t="str">
        <x:f>'Evaluation Plan'!R56</x:f>
        <x:v>Exact-scene paraphrase of the primary transfer instruction.</x:v>
      </x:c>
      <x:c r="S56" s="7" t="str">
        <x:f>IF(ISBLANK('Evaluation Plan'!S56),"",'Evaluation Plan'!S56)</x:f>
      </x:c>
    </x:row>
    <x:row r="57" ht="68" customHeight="1">
      <x:c r="A57" s="8" t="str">
        <x:v>Not collected</x:v>
      </x:c>
      <x:c r="B57" s="8" t="n">
        <x:f>'Evaluation Plan'!B57</x:f>
        <x:v>55</x:v>
      </x:c>
      <x:c r="C57" s="7" t="str">
        <x:f>'Evaluation Plan'!C57</x:f>
        <x:v>Take the green block from the table and put it in the bowl.</x:v>
      </x:c>
      <x:c r="D57" s="7" t="str">
        <x:f>'Evaluation Plan'!D57</x:f>
        <x:v>Bowl: empty. Table, robot-left→robot-right: P1 green block; P2 red pencil sharpener. Adjacent centers 12 cm apart; row shifted 4 cm away from the robot; all objects fully visible and grasp paths clear.</x:v>
      </x:c>
      <x:c r="E57" s="8" t="n">
        <x:f>IF(ISBLANK('Evaluation Plan'!E57),"",'Evaluation Plan'!E57)</x:f>
        <x:v>53</x:v>
      </x:c>
      <x:c r="F57" s="8" t="str">
        <x:f>'Evaluation Plan'!F57</x:f>
        <x:v>1079</x:v>
      </x:c>
      <x:c r="G57" s="8" t="str">
        <x:f>'Evaluation Plan'!G57</x:f>
        <x:v>MOVE green block to bowl</x:v>
      </x:c>
      <x:c r="H57" s="7"/>
      <x:c r="I57" s="8" t="str">
        <x:f>'Evaluation Plan'!I57</x:f>
        <x:v>Language robustness</x:v>
      </x:c>
      <x:c r="J57" s="8" t="str">
        <x:f>'Evaluation Plan'!J57</x:f>
        <x:v>SZ-CT-LG05</x:v>
      </x:c>
      <x:c r="K57" s="8" t="str">
        <x:f>'Evaluation Plan'!K57</x:f>
        <x:v>Direct</x:v>
      </x:c>
      <x:c r="L57" s="8" t="str">
        <x:f>'Evaluation Plan'!L57</x:f>
        <x:v>Matched-control direct prompt paraphrase</x:v>
      </x:c>
      <x:c r="M57" s="8" t="str">
        <x:f>'Evaluation Plan'!M57</x:f>
        <x:v>green block</x:v>
      </x:c>
      <x:c r="N57" s="8" t="str">
        <x:f>'Evaluation Plan'!N57</x:f>
        <x:v>Left</x:v>
      </x:c>
      <x:c r="O57" s="8" t="n">
        <x:f>'Evaluation Plan'!O57</x:f>
        <x:v>2</x:v>
      </x:c>
      <x:c r="P57" s="8" t="n">
        <x:f>IF(ISBLANK('Evaluation Plan'!P57),"",'Evaluation Plan'!P57)</x:f>
        <x:v>12</x:v>
      </x:c>
      <x:c r="Q57" s="8" t="str">
        <x:f>'Evaluation Plan'!Q57</x:f>
        <x:v>Reset the target; preserve the exact scene and paraphrase only the matched-control prompt.</x:v>
      </x:c>
      <x:c r="R57" s="7" t="str">
        <x:f>'Evaluation Plan'!R57</x:f>
        <x:v>Exact-scene paraphrase of the direct manipulation control.</x:v>
      </x:c>
      <x:c r="S57" s="7" t="str">
        <x:f>IF(ISBLANK('Evaluation Plan'!S57),"",'Evaluation Plan'!S57)</x:f>
      </x:c>
    </x:row>
    <x:row r="58" ht="68" customHeight="1">
      <x:c r="A58" s="9" t="str">
        <x:v>Not collected</x:v>
      </x:c>
      <x:c r="B58" s="9" t="n">
        <x:f>'Evaluation Plan'!B58</x:f>
        <x:v>56</x:v>
      </x:c>
      <x:c r="C58" s="10" t="str">
        <x:f>'Evaluation Plan'!C58</x:f>
        <x:v>Put the smallest object in the bowl.</x:v>
      </x:c>
      <x:c r="D58" s="10" t="str">
        <x:f>'Evaluation Plan'!D58</x:f>
        <x:v>Bowl: empty. Table, robot-left→robot-right: P1 crushed Pepsi can; P2 juggling ball. Adjacent centers 16 cm apart; row shifted 4 cm toward robot-left; all objects fully visible and grasp paths clear.</x:v>
      </x:c>
      <x:c r="E58" s="9" t="str">
        <x:f>IF(ISBLANK('Evaluation Plan'!E58),"",'Evaluation Plan'!E58)</x:f>
      </x:c>
      <x:c r="F58" s="9" t="str">
        <x:f>'Evaluation Plan'!F58</x:f>
        <x:v>1109</x:v>
      </x:c>
      <x:c r="G58" s="9" t="str">
        <x:f>'Evaluation Plan'!G58</x:f>
        <x:v>MOVE juggling ball to bowl</x:v>
      </x:c>
      <x:c r="H58" s="10"/>
      <x:c r="I58" s="9" t="str">
        <x:f>'Evaluation Plan'!I58</x:f>
        <x:v>Concept/compositional transfer</x:v>
      </x:c>
      <x:c r="J58" s="9" t="str">
        <x:f>'Evaluation Plan'!J58</x:f>
        <x:v>SZ-CT-SJ05</x:v>
      </x:c>
      <x:c r="K58" s="9" t="str">
        <x:f>'Evaluation Plan'!K58</x:f>
        <x:v>smallest</x:v>
      </x:c>
      <x:c r="L58" s="9" t="str">
        <x:f>'Evaluation Plan'!L58</x:f>
        <x:v>Held-out smallest × juggling ball — Put</x:v>
      </x:c>
      <x:c r="M58" s="9" t="str">
        <x:f>'Evaluation Plan'!M58</x:f>
        <x:v>juggling ball</x:v>
      </x:c>
      <x:c r="N58" s="9" t="str">
        <x:f>'Evaluation Plan'!N58</x:f>
        <x:v>Right</x:v>
      </x:c>
      <x:c r="O58" s="9" t="n">
        <x:f>'Evaluation Plan'!O58</x:f>
        <x:v>2</x:v>
      </x:c>
      <x:c r="P58" s="9" t="n">
        <x:f>IF(ISBLANK('Evaluation Plan'!P58),"",'Evaluation Plan'!P58)</x:f>
        <x:v>16</x:v>
      </x:c>
      <x:c r="Q58" s="9" t="str">
        <x:f>'Evaluation Plan'!Q58</x:f>
        <x:v>Build the listed two-object scene and save a first-frame filename.</x:v>
      </x:c>
      <x:c r="R58" s="10" t="str">
        <x:f>'Evaluation Plan'!R58</x:f>
        <x:v>Primary missing cell. Training episode 1109 contains the same target trajectory but masks the size word with a direct identity prompt.</x:v>
      </x:c>
      <x:c r="S58" s="10" t="str">
        <x:f>IF(ISBLANK('Evaluation Plan'!S58),"",'Evaluation Plan'!S58)</x:f>
      </x:c>
    </x:row>
    <x:row r="59" ht="68" customHeight="1">
      <x:c r="A59" s="8" t="str">
        <x:v>Not collected</x:v>
      </x:c>
      <x:c r="B59" s="8" t="n">
        <x:f>'Evaluation Plan'!B59</x:f>
        <x:v>57</x:v>
      </x:c>
      <x:c r="C59" s="7" t="str">
        <x:f>'Evaluation Plan'!C59</x:f>
        <x:v>Move the juggling ball into the bowl.</x:v>
      </x:c>
      <x:c r="D59" s="7" t="str">
        <x:f>'Evaluation Plan'!D59</x:f>
        <x:v>Bowl: empty. Table, robot-left→robot-right: P1 crushed Pepsi can; P2 juggling ball. Adjacent centers 16 cm apart; row shifted 4 cm toward robot-left; all objects fully visible and grasp paths clear.</x:v>
      </x:c>
      <x:c r="E59" s="8" t="n">
        <x:f>IF(ISBLANK('Evaluation Plan'!E59),"",'Evaluation Plan'!E59)</x:f>
        <x:v>56</x:v>
      </x:c>
      <x:c r="F59" s="8" t="str">
        <x:f>'Evaluation Plan'!F59</x:f>
        <x:v>1104</x:v>
      </x:c>
      <x:c r="G59" s="8" t="str">
        <x:f>'Evaluation Plan'!G59</x:f>
        <x:v>MOVE juggling ball to bowl</x:v>
      </x:c>
      <x:c r="H59" s="7"/>
      <x:c r="I59" s="8" t="str">
        <x:f>'Evaluation Plan'!I59</x:f>
        <x:v>Matched manipulation control</x:v>
      </x:c>
      <x:c r="J59" s="8" t="str">
        <x:f>'Evaluation Plan'!J59</x:f>
        <x:v>SZ-CT-SJ05</x:v>
      </x:c>
      <x:c r="K59" s="8" t="str">
        <x:f>'Evaluation Plan'!K59</x:f>
        <x:v>Direct</x:v>
      </x:c>
      <x:c r="L59" s="8" t="str">
        <x:f>'Evaluation Plan'!L59</x:f>
        <x:v>Same-scene direct target control</x:v>
      </x:c>
      <x:c r="M59" s="8" t="str">
        <x:f>'Evaluation Plan'!M59</x:f>
        <x:v>juggling ball</x:v>
      </x:c>
      <x:c r="N59" s="8" t="str">
        <x:f>'Evaluation Plan'!N59</x:f>
        <x:v>Right</x:v>
      </x:c>
      <x:c r="O59" s="8" t="n">
        <x:f>'Evaluation Plan'!O59</x:f>
        <x:v>2</x:v>
      </x:c>
      <x:c r="P59" s="8" t="n">
        <x:f>IF(ISBLANK('Evaluation Plan'!P59),"",'Evaluation Plan'!P59)</x:f>
        <x:v>16</x:v>
      </x:c>
      <x:c r="Q59" s="8" t="str">
        <x:f>'Evaluation Plan'!Q59</x:f>
        <x:v>Reset the target to its original pose; change only the prompt.</x:v>
      </x:c>
      <x:c r="R59" s="7" t="str">
        <x:f>'Evaluation Plan'!R59</x:f>
        <x:v>Exact-scene control using a direct prompt supported by training episode 1104.</x:v>
      </x:c>
      <x:c r="S59" s="7" t="str">
        <x:f>IF(ISBLANK('Evaluation Plan'!S59),"",'Evaluation Plan'!S59)</x:f>
      </x:c>
    </x:row>
    <x:row r="60" ht="68" customHeight="1">
      <x:c r="A60" s="8" t="str">
        <x:v>Not collected</x:v>
      </x:c>
      <x:c r="B60" s="8" t="n">
        <x:f>'Evaluation Plan'!B60</x:f>
        <x:v>58</x:v>
      </x:c>
      <x:c r="C60" s="7" t="str">
        <x:f>'Evaluation Plan'!C60</x:f>
        <x:v>Move whichever item is smaller into the bowl.</x:v>
      </x:c>
      <x:c r="D60" s="7" t="str">
        <x:f>'Evaluation Plan'!D60</x:f>
        <x:v>Bowl: empty. Table, robot-left→robot-right: P1 crushed Pepsi can; P2 juggling ball. Adjacent centers 16 cm apart; row shifted 4 cm toward robot-left; all objects fully visible and grasp paths clear.</x:v>
      </x:c>
      <x:c r="E60" s="8" t="n">
        <x:f>IF(ISBLANK('Evaluation Plan'!E60),"",'Evaluation Plan'!E60)</x:f>
        <x:v>56</x:v>
      </x:c>
      <x:c r="F60" s="8" t="str">
        <x:f>'Evaluation Plan'!F60</x:f>
        <x:v>1109</x:v>
      </x:c>
      <x:c r="G60" s="8" t="str">
        <x:f>'Evaluation Plan'!G60</x:f>
        <x:v>MOVE juggling ball to bowl</x:v>
      </x:c>
      <x:c r="H60" s="7"/>
      <x:c r="I60" s="8" t="str">
        <x:f>'Evaluation Plan'!I60</x:f>
        <x:v>Language robustness</x:v>
      </x:c>
      <x:c r="J60" s="8" t="str">
        <x:f>'Evaluation Plan'!J60</x:f>
        <x:v>SZ-CT-SJ05</x:v>
      </x:c>
      <x:c r="K60" s="8" t="str">
        <x:f>'Evaluation Plan'!K60</x:f>
        <x:v>smallest</x:v>
      </x:c>
      <x:c r="L60" s="8" t="str">
        <x:f>'Evaluation Plan'!L60</x:f>
        <x:v>Primary compositional-transfer prompt paraphrase</x:v>
      </x:c>
      <x:c r="M60" s="8" t="str">
        <x:f>'Evaluation Plan'!M60</x:f>
        <x:v>juggling ball</x:v>
      </x:c>
      <x:c r="N60" s="8" t="str">
        <x:f>'Evaluation Plan'!N60</x:f>
        <x:v>Right</x:v>
      </x:c>
      <x:c r="O60" s="8" t="n">
        <x:f>'Evaluation Plan'!O60</x:f>
        <x:v>2</x:v>
      </x:c>
      <x:c r="P60" s="8" t="n">
        <x:f>IF(ISBLANK('Evaluation Plan'!P60),"",'Evaluation Plan'!P60)</x:f>
        <x:v>16</x:v>
      </x:c>
      <x:c r="Q60" s="8" t="str">
        <x:f>'Evaluation Plan'!Q60</x:f>
        <x:v>Reset the target; preserve the exact scene and paraphrase only the transfer prompt.</x:v>
      </x:c>
      <x:c r="R60" s="7" t="str">
        <x:f>'Evaluation Plan'!R60</x:f>
        <x:v>Exact-scene paraphrase of the primary transfer instruction.</x:v>
      </x:c>
      <x:c r="S60" s="7" t="str">
        <x:f>IF(ISBLANK('Evaluation Plan'!S60),"",'Evaluation Plan'!S60)</x:f>
      </x:c>
    </x:row>
    <x:row r="61" ht="68" customHeight="1">
      <x:c r="A61" s="8" t="str">
        <x:v>Not collected</x:v>
      </x:c>
      <x:c r="B61" s="8" t="n">
        <x:f>'Evaluation Plan'!B61</x:f>
        <x:v>59</x:v>
      </x:c>
      <x:c r="C61" s="7" t="str">
        <x:f>'Evaluation Plan'!C61</x:f>
        <x:v>Take the juggling ball from the table and put it in the bowl.</x:v>
      </x:c>
      <x:c r="D61" s="7" t="str">
        <x:f>'Evaluation Plan'!D61</x:f>
        <x:v>Bowl: empty. Table, robot-left→robot-right: P1 crushed Pepsi can; P2 juggling ball. Adjacent centers 16 cm apart; row shifted 4 cm toward robot-left; all objects fully visible and grasp paths clear.</x:v>
      </x:c>
      <x:c r="E61" s="8" t="n">
        <x:f>IF(ISBLANK('Evaluation Plan'!E61),"",'Evaluation Plan'!E61)</x:f>
        <x:v>57</x:v>
      </x:c>
      <x:c r="F61" s="8" t="str">
        <x:f>'Evaluation Plan'!F61</x:f>
        <x:v>1104</x:v>
      </x:c>
      <x:c r="G61" s="8" t="str">
        <x:f>'Evaluation Plan'!G61</x:f>
        <x:v>MOVE juggling ball to bowl</x:v>
      </x:c>
      <x:c r="H61" s="7"/>
      <x:c r="I61" s="8" t="str">
        <x:f>'Evaluation Plan'!I61</x:f>
        <x:v>Language robustness</x:v>
      </x:c>
      <x:c r="J61" s="8" t="str">
        <x:f>'Evaluation Plan'!J61</x:f>
        <x:v>SZ-CT-SJ05</x:v>
      </x:c>
      <x:c r="K61" s="8" t="str">
        <x:f>'Evaluation Plan'!K61</x:f>
        <x:v>Direct</x:v>
      </x:c>
      <x:c r="L61" s="8" t="str">
        <x:f>'Evaluation Plan'!L61</x:f>
        <x:v>Matched-control direct prompt paraphrase</x:v>
      </x:c>
      <x:c r="M61" s="8" t="str">
        <x:f>'Evaluation Plan'!M61</x:f>
        <x:v>juggling ball</x:v>
      </x:c>
      <x:c r="N61" s="8" t="str">
        <x:f>'Evaluation Plan'!N61</x:f>
        <x:v>Right</x:v>
      </x:c>
      <x:c r="O61" s="8" t="n">
        <x:f>'Evaluation Plan'!O61</x:f>
        <x:v>2</x:v>
      </x:c>
      <x:c r="P61" s="8" t="n">
        <x:f>IF(ISBLANK('Evaluation Plan'!P61),"",'Evaluation Plan'!P61)</x:f>
        <x:v>16</x:v>
      </x:c>
      <x:c r="Q61" s="8" t="str">
        <x:f>'Evaluation Plan'!Q61</x:f>
        <x:v>Reset the target; preserve the exact scene and paraphrase only the matched-control prompt.</x:v>
      </x:c>
      <x:c r="R61" s="7" t="str">
        <x:f>'Evaluation Plan'!R61</x:f>
        <x:v>Exact-scene paraphrase of the direct manipulation control.</x:v>
      </x:c>
      <x:c r="S61" s="7" t="str">
        <x:f>IF(ISBLANK('Evaluation Plan'!S61),"",'Evaluation Plan'!S61)</x:f>
      </x:c>
    </x:row>
    <x:row r="62" ht="68" customHeight="1">
      <x:c r="A62" s="9" t="str">
        <x:v>Not collected</x:v>
      </x:c>
      <x:c r="B62" s="9" t="n">
        <x:f>'Evaluation Plan'!B62</x:f>
        <x:v>60</x:v>
      </x:c>
      <x:c r="C62" s="10" t="str">
        <x:f>'Evaluation Plan'!C62</x:f>
        <x:v>Put the largest object in the bowl.</x:v>
      </x:c>
      <x:c r="D62" s="10" t="str">
        <x:f>'Evaluation Plan'!D62</x:f>
        <x:v>Bowl: empty. Table, robot-left→robot-right: P1 red pencil sharpener; P2 green block. Adjacent centers 16 cm apart; row centered on the workspace; all objects fully visible and grasp paths clear.</x:v>
      </x:c>
      <x:c r="E62" s="9" t="str">
        <x:f>IF(ISBLANK('Evaluation Plan'!E62),"",'Evaluation Plan'!E62)</x:f>
      </x:c>
      <x:c r="F62" s="9" t="str">
        <x:f>'Evaluation Plan'!F62</x:f>
        <x:v>1085</x:v>
      </x:c>
      <x:c r="G62" s="9" t="str">
        <x:f>'Evaluation Plan'!G62</x:f>
        <x:v>MOVE green block to bowl</x:v>
      </x:c>
      <x:c r="H62" s="10"/>
      <x:c r="I62" s="9" t="str">
        <x:f>'Evaluation Plan'!I62</x:f>
        <x:v>Concept/compositional transfer</x:v>
      </x:c>
      <x:c r="J62" s="9" t="str">
        <x:f>'Evaluation Plan'!J62</x:f>
        <x:v>SZ-CT-LG06</x:v>
      </x:c>
      <x:c r="K62" s="9" t="str">
        <x:f>'Evaluation Plan'!K62</x:f>
        <x:v>largest</x:v>
      </x:c>
      <x:c r="L62" s="9" t="str">
        <x:f>'Evaluation Plan'!L62</x:f>
        <x:v>Held-out largest × green block — Put</x:v>
      </x:c>
      <x:c r="M62" s="9" t="str">
        <x:f>'Evaluation Plan'!M62</x:f>
        <x:v>green block</x:v>
      </x:c>
      <x:c r="N62" s="9" t="str">
        <x:f>'Evaluation Plan'!N62</x:f>
        <x:v>Right</x:v>
      </x:c>
      <x:c r="O62" s="9" t="n">
        <x:f>'Evaluation Plan'!O62</x:f>
        <x:v>2</x:v>
      </x:c>
      <x:c r="P62" s="9" t="n">
        <x:f>IF(ISBLANK('Evaluation Plan'!P62),"",'Evaluation Plan'!P62)</x:f>
        <x:v>16</x:v>
      </x:c>
      <x:c r="Q62" s="9" t="str">
        <x:f>'Evaluation Plan'!Q62</x:f>
        <x:v>Build the listed two-object scene and save a first-frame filename.</x:v>
      </x:c>
      <x:c r="R62" s="10" t="str">
        <x:f>'Evaluation Plan'!R62</x:f>
        <x:v>Primary missing cell. Training episode 1085 contains the same target trajectory but masks the size word with a direct identity prompt.</x:v>
      </x:c>
      <x:c r="S62" s="10" t="str">
        <x:f>IF(ISBLANK('Evaluation Plan'!S62),"",'Evaluation Plan'!S62)</x:f>
      </x:c>
    </x:row>
    <x:row r="63" ht="68" customHeight="1">
      <x:c r="A63" s="8" t="str">
        <x:v>Not collected</x:v>
      </x:c>
      <x:c r="B63" s="8" t="n">
        <x:f>'Evaluation Plan'!B63</x:f>
        <x:v>61</x:v>
      </x:c>
      <x:c r="C63" s="7" t="str">
        <x:f>'Evaluation Plan'!C63</x:f>
        <x:v>Pick up the green block and place it in the bowl.</x:v>
      </x:c>
      <x:c r="D63" s="7" t="str">
        <x:f>'Evaluation Plan'!D63</x:f>
        <x:v>Bowl: empty. Table, robot-left→robot-right: P1 red pencil sharpener; P2 green block. Adjacent centers 16 cm apart; row centered on the workspace; all objects fully visible and grasp paths clear.</x:v>
      </x:c>
      <x:c r="E63" s="8" t="n">
        <x:f>IF(ISBLANK('Evaluation Plan'!E63),"",'Evaluation Plan'!E63)</x:f>
        <x:v>60</x:v>
      </x:c>
      <x:c r="F63" s="8" t="str">
        <x:f>'Evaluation Plan'!F63</x:f>
        <x:v>1075</x:v>
      </x:c>
      <x:c r="G63" s="8" t="str">
        <x:f>'Evaluation Plan'!G63</x:f>
        <x:v>MOVE green block to bowl</x:v>
      </x:c>
      <x:c r="H63" s="7"/>
      <x:c r="I63" s="8" t="str">
        <x:f>'Evaluation Plan'!I63</x:f>
        <x:v>Matched manipulation control</x:v>
      </x:c>
      <x:c r="J63" s="8" t="str">
        <x:f>'Evaluation Plan'!J63</x:f>
        <x:v>SZ-CT-LG06</x:v>
      </x:c>
      <x:c r="K63" s="8" t="str">
        <x:f>'Evaluation Plan'!K63</x:f>
        <x:v>Direct</x:v>
      </x:c>
      <x:c r="L63" s="8" t="str">
        <x:f>'Evaluation Plan'!L63</x:f>
        <x:v>Same-scene direct target control</x:v>
      </x:c>
      <x:c r="M63" s="8" t="str">
        <x:f>'Evaluation Plan'!M63</x:f>
        <x:v>green block</x:v>
      </x:c>
      <x:c r="N63" s="8" t="str">
        <x:f>'Evaluation Plan'!N63</x:f>
        <x:v>Right</x:v>
      </x:c>
      <x:c r="O63" s="8" t="n">
        <x:f>'Evaluation Plan'!O63</x:f>
        <x:v>2</x:v>
      </x:c>
      <x:c r="P63" s="8" t="n">
        <x:f>IF(ISBLANK('Evaluation Plan'!P63),"",'Evaluation Plan'!P63)</x:f>
        <x:v>16</x:v>
      </x:c>
      <x:c r="Q63" s="8" t="str">
        <x:f>'Evaluation Plan'!Q63</x:f>
        <x:v>Reset the target to its original pose; change only the prompt.</x:v>
      </x:c>
      <x:c r="R63" s="7" t="str">
        <x:f>'Evaluation Plan'!R63</x:f>
        <x:v>Exact-scene control using a direct prompt supported by training episode 1075.</x:v>
      </x:c>
      <x:c r="S63" s="7" t="str">
        <x:f>IF(ISBLANK('Evaluation Plan'!S63),"",'Evaluation Plan'!S63)</x:f>
      </x:c>
    </x:row>
    <x:row r="64" ht="68" customHeight="1">
      <x:c r="A64" s="9" t="str">
        <x:v>Not collected</x:v>
      </x:c>
      <x:c r="B64" s="9" t="n">
        <x:f>'Evaluation Plan'!B64</x:f>
        <x:v>62</x:v>
      </x:c>
      <x:c r="C64" s="10" t="str">
        <x:f>'Evaluation Plan'!C64</x:f>
        <x:v>Move the object that is smallest into the bowl.</x:v>
      </x:c>
      <x:c r="D64" s="10" t="str">
        <x:f>'Evaluation Plan'!D64</x:f>
        <x:v>Bowl: empty. Table, robot-left→robot-right: P1 juggling ball; P2 crushed Pepsi can. Adjacent centers 8 cm apart; row shifted 4 cm toward robot-right; all objects fully visible and grasp paths clear.</x:v>
      </x:c>
      <x:c r="E64" s="9" t="str">
        <x:f>IF(ISBLANK('Evaluation Plan'!E64),"",'Evaluation Plan'!E64)</x:f>
      </x:c>
      <x:c r="F64" s="9" t="str">
        <x:f>'Evaluation Plan'!F64</x:f>
        <x:v>1110</x:v>
      </x:c>
      <x:c r="G64" s="9" t="str">
        <x:f>'Evaluation Plan'!G64</x:f>
        <x:v>MOVE juggling ball to bowl</x:v>
      </x:c>
      <x:c r="H64" s="10"/>
      <x:c r="I64" s="9" t="str">
        <x:f>'Evaluation Plan'!I64</x:f>
        <x:v>Concept/compositional transfer</x:v>
      </x:c>
      <x:c r="J64" s="9" t="str">
        <x:f>'Evaluation Plan'!J64</x:f>
        <x:v>SZ-CT-SJ06</x:v>
      </x:c>
      <x:c r="K64" s="9" t="str">
        <x:f>'Evaluation Plan'!K64</x:f>
        <x:v>smallest</x:v>
      </x:c>
      <x:c r="L64" s="9" t="str">
        <x:f>'Evaluation Plan'!L64</x:f>
        <x:v>Held-out smallest × juggling ball — Move</x:v>
      </x:c>
      <x:c r="M64" s="9" t="str">
        <x:f>'Evaluation Plan'!M64</x:f>
        <x:v>juggling ball</x:v>
      </x:c>
      <x:c r="N64" s="9" t="str">
        <x:f>'Evaluation Plan'!N64</x:f>
        <x:v>Left</x:v>
      </x:c>
      <x:c r="O64" s="9" t="n">
        <x:f>'Evaluation Plan'!O64</x:f>
        <x:v>2</x:v>
      </x:c>
      <x:c r="P64" s="9" t="n">
        <x:f>IF(ISBLANK('Evaluation Plan'!P64),"",'Evaluation Plan'!P64)</x:f>
        <x:v>8</x:v>
      </x:c>
      <x:c r="Q64" s="9" t="str">
        <x:f>'Evaluation Plan'!Q64</x:f>
        <x:v>Build the listed two-object scene and save a first-frame filename.</x:v>
      </x:c>
      <x:c r="R64" s="10" t="str">
        <x:f>'Evaluation Plan'!R64</x:f>
        <x:v>Primary missing cell. Training episode 1110 contains the same target trajectory but masks the size word with a direct identity prompt.</x:v>
      </x:c>
      <x:c r="S64" s="10" t="str">
        <x:f>IF(ISBLANK('Evaluation Plan'!S64),"",'Evaluation Plan'!S64)</x:f>
      </x:c>
    </x:row>
    <x:row r="65" ht="68" customHeight="1">
      <x:c r="A65" s="8" t="str">
        <x:v>Not collected</x:v>
      </x:c>
      <x:c r="B65" s="8" t="n">
        <x:f>'Evaluation Plan'!B65</x:f>
        <x:v>63</x:v>
      </x:c>
      <x:c r="C65" s="7" t="str">
        <x:f>'Evaluation Plan'!C65</x:f>
        <x:v>Pick up the juggling ball and place it in the bowl.</x:v>
      </x:c>
      <x:c r="D65" s="7" t="str">
        <x:f>'Evaluation Plan'!D65</x:f>
        <x:v>Bowl: empty. Table, robot-left→robot-right: P1 juggling ball; P2 crushed Pepsi can. Adjacent centers 8 cm apart; row shifted 4 cm toward robot-right; all objects fully visible and grasp paths clear.</x:v>
      </x:c>
      <x:c r="E65" s="8" t="n">
        <x:f>IF(ISBLANK('Evaluation Plan'!E65),"",'Evaluation Plan'!E65)</x:f>
        <x:v>62</x:v>
      </x:c>
      <x:c r="F65" s="8" t="str">
        <x:f>'Evaluation Plan'!F65</x:f>
        <x:v>1100</x:v>
      </x:c>
      <x:c r="G65" s="8" t="str">
        <x:f>'Evaluation Plan'!G65</x:f>
        <x:v>MOVE juggling ball to bowl</x:v>
      </x:c>
      <x:c r="H65" s="7"/>
      <x:c r="I65" s="8" t="str">
        <x:f>'Evaluation Plan'!I65</x:f>
        <x:v>Matched manipulation control</x:v>
      </x:c>
      <x:c r="J65" s="8" t="str">
        <x:f>'Evaluation Plan'!J65</x:f>
        <x:v>SZ-CT-SJ06</x:v>
      </x:c>
      <x:c r="K65" s="8" t="str">
        <x:f>'Evaluation Plan'!K65</x:f>
        <x:v>Direct</x:v>
      </x:c>
      <x:c r="L65" s="8" t="str">
        <x:f>'Evaluation Plan'!L65</x:f>
        <x:v>Same-scene direct target control</x:v>
      </x:c>
      <x:c r="M65" s="8" t="str">
        <x:f>'Evaluation Plan'!M65</x:f>
        <x:v>juggling ball</x:v>
      </x:c>
      <x:c r="N65" s="8" t="str">
        <x:f>'Evaluation Plan'!N65</x:f>
        <x:v>Left</x:v>
      </x:c>
      <x:c r="O65" s="8" t="n">
        <x:f>'Evaluation Plan'!O65</x:f>
        <x:v>2</x:v>
      </x:c>
      <x:c r="P65" s="8" t="n">
        <x:f>IF(ISBLANK('Evaluation Plan'!P65),"",'Evaluation Plan'!P65)</x:f>
        <x:v>8</x:v>
      </x:c>
      <x:c r="Q65" s="8" t="str">
        <x:f>'Evaluation Plan'!Q65</x:f>
        <x:v>Reset the target to its original pose; change only the prompt.</x:v>
      </x:c>
      <x:c r="R65" s="7" t="str">
        <x:f>'Evaluation Plan'!R65</x:f>
        <x:v>Exact-scene control using a direct prompt supported by training episode 1100.</x:v>
      </x:c>
      <x:c r="S65" s="7" t="str">
        <x:f>IF(ISBLANK('Evaluation Plan'!S65),"",'Evaluation Plan'!S65)</x:f>
      </x:c>
    </x:row>
    <x:row r="66" ht="68" customHeight="1">
      <x:c r="A66" s="9" t="str">
        <x:v>Not collected</x:v>
      </x:c>
      <x:c r="B66" s="9" t="n">
        <x:f>'Evaluation Plan'!B66</x:f>
        <x:v>64</x:v>
      </x:c>
      <x:c r="C66" s="10" t="str">
        <x:f>'Evaluation Plan'!C66</x:f>
        <x:v>Move the object that is largest into the bowl.</x:v>
      </x:c>
      <x:c r="D66" s="10" t="str">
        <x:f>'Evaluation Plan'!D66</x:f>
        <x:v>Bowl: empty. Table, robot-left→robot-right: P1 green block; P2 red pencil sharpener. Adjacent centers 8 cm apart; row shifted 4 cm toward robot-left; all objects fully visible and grasp paths clear.</x:v>
      </x:c>
      <x:c r="E66" s="9" t="str">
        <x:f>IF(ISBLANK('Evaluation Plan'!E66),"",'Evaluation Plan'!E66)</x:f>
      </x:c>
      <x:c r="F66" s="9" t="str">
        <x:f>'Evaluation Plan'!F66</x:f>
        <x:v>1086</x:v>
      </x:c>
      <x:c r="G66" s="9" t="str">
        <x:f>'Evaluation Plan'!G66</x:f>
        <x:v>MOVE green block to bowl</x:v>
      </x:c>
      <x:c r="H66" s="10"/>
      <x:c r="I66" s="9" t="str">
        <x:f>'Evaluation Plan'!I66</x:f>
        <x:v>Concept/compositional transfer</x:v>
      </x:c>
      <x:c r="J66" s="9" t="str">
        <x:f>'Evaluation Plan'!J66</x:f>
        <x:v>SZ-CT-LG07</x:v>
      </x:c>
      <x:c r="K66" s="9" t="str">
        <x:f>'Evaluation Plan'!K66</x:f>
        <x:v>largest</x:v>
      </x:c>
      <x:c r="L66" s="9" t="str">
        <x:f>'Evaluation Plan'!L66</x:f>
        <x:v>Held-out largest × green block — Move</x:v>
      </x:c>
      <x:c r="M66" s="9" t="str">
        <x:f>'Evaluation Plan'!M66</x:f>
        <x:v>green block</x:v>
      </x:c>
      <x:c r="N66" s="9" t="str">
        <x:f>'Evaluation Plan'!N66</x:f>
        <x:v>Left</x:v>
      </x:c>
      <x:c r="O66" s="9" t="n">
        <x:f>'Evaluation Plan'!O66</x:f>
        <x:v>2</x:v>
      </x:c>
      <x:c r="P66" s="9" t="n">
        <x:f>IF(ISBLANK('Evaluation Plan'!P66),"",'Evaluation Plan'!P66)</x:f>
        <x:v>8</x:v>
      </x:c>
      <x:c r="Q66" s="9" t="str">
        <x:f>'Evaluation Plan'!Q66</x:f>
        <x:v>Build the listed two-object scene and save a first-frame filename.</x:v>
      </x:c>
      <x:c r="R66" s="10" t="str">
        <x:f>'Evaluation Plan'!R66</x:f>
        <x:v>Primary missing cell. Training episode 1086 contains the same target trajectory but masks the size word with a direct identity prompt.</x:v>
      </x:c>
      <x:c r="S66" s="10" t="str">
        <x:f>IF(ISBLANK('Evaluation Plan'!S66),"",'Evaluation Plan'!S66)</x:f>
      </x:c>
    </x:row>
    <x:row r="67" ht="68" customHeight="1">
      <x:c r="A67" s="8" t="str">
        <x:v>Not collected</x:v>
      </x:c>
      <x:c r="B67" s="8" t="n">
        <x:f>'Evaluation Plan'!B67</x:f>
        <x:v>65</x:v>
      </x:c>
      <x:c r="C67" s="7" t="str">
        <x:f>'Evaluation Plan'!C67</x:f>
        <x:v>Put the green block in the bowl.</x:v>
      </x:c>
      <x:c r="D67" s="7" t="str">
        <x:f>'Evaluation Plan'!D67</x:f>
        <x:v>Bowl: empty. Table, robot-left→robot-right: P1 green block; P2 red pencil sharpener. Adjacent centers 8 cm apart; row shifted 4 cm toward robot-left; all objects fully visible and grasp paths clear.</x:v>
      </x:c>
      <x:c r="E67" s="8" t="n">
        <x:f>IF(ISBLANK('Evaluation Plan'!E67),"",'Evaluation Plan'!E67)</x:f>
        <x:v>64</x:v>
      </x:c>
      <x:c r="F67" s="8" t="str">
        <x:f>'Evaluation Plan'!F67</x:f>
        <x:v>1076</x:v>
      </x:c>
      <x:c r="G67" s="8" t="str">
        <x:f>'Evaluation Plan'!G67</x:f>
        <x:v>MOVE green block to bowl</x:v>
      </x:c>
      <x:c r="H67" s="7"/>
      <x:c r="I67" s="8" t="str">
        <x:f>'Evaluation Plan'!I67</x:f>
        <x:v>Matched manipulation control</x:v>
      </x:c>
      <x:c r="J67" s="8" t="str">
        <x:f>'Evaluation Plan'!J67</x:f>
        <x:v>SZ-CT-LG07</x:v>
      </x:c>
      <x:c r="K67" s="8" t="str">
        <x:f>'Evaluation Plan'!K67</x:f>
        <x:v>Direct</x:v>
      </x:c>
      <x:c r="L67" s="8" t="str">
        <x:f>'Evaluation Plan'!L67</x:f>
        <x:v>Same-scene direct target control</x:v>
      </x:c>
      <x:c r="M67" s="8" t="str">
        <x:f>'Evaluation Plan'!M67</x:f>
        <x:v>green block</x:v>
      </x:c>
      <x:c r="N67" s="8" t="str">
        <x:f>'Evaluation Plan'!N67</x:f>
        <x:v>Left</x:v>
      </x:c>
      <x:c r="O67" s="8" t="n">
        <x:f>'Evaluation Plan'!O67</x:f>
        <x:v>2</x:v>
      </x:c>
      <x:c r="P67" s="8" t="n">
        <x:f>IF(ISBLANK('Evaluation Plan'!P67),"",'Evaluation Plan'!P67)</x:f>
        <x:v>8</x:v>
      </x:c>
      <x:c r="Q67" s="8" t="str">
        <x:f>'Evaluation Plan'!Q67</x:f>
        <x:v>Reset the target to its original pose; change only the prompt.</x:v>
      </x:c>
      <x:c r="R67" s="7" t="str">
        <x:f>'Evaluation Plan'!R67</x:f>
        <x:v>Exact-scene control using a direct prompt supported by training episode 1076.</x:v>
      </x:c>
      <x:c r="S67" s="7" t="str">
        <x:f>IF(ISBLANK('Evaluation Plan'!S67),"",'Evaluation Plan'!S67)</x:f>
      </x:c>
    </x:row>
    <x:row r="68" ht="68" customHeight="1">
      <x:c r="A68" s="9" t="str">
        <x:v>Not collected</x:v>
      </x:c>
      <x:c r="B68" s="9" t="n">
        <x:f>'Evaluation Plan'!B68</x:f>
        <x:v>66</x:v>
      </x:c>
      <x:c r="C68" s="10" t="str">
        <x:f>'Evaluation Plan'!C68</x:f>
        <x:v>Pick up the smallest item and place it in the bowl.</x:v>
      </x:c>
      <x:c r="D68" s="10" t="str">
        <x:f>'Evaluation Plan'!D68</x:f>
        <x:v>Bowl: empty. Table, robot-left→robot-right: P1 crushed Pepsi can; P2 juggling ball. Adjacent centers 12 cm apart; row shifted 4 cm toward the robot; all objects fully visible and grasp paths clear.</x:v>
      </x:c>
      <x:c r="E68" s="9" t="str">
        <x:f>IF(ISBLANK('Evaluation Plan'!E68),"",'Evaluation Plan'!E68)</x:f>
      </x:c>
      <x:c r="F68" s="9" t="str">
        <x:f>'Evaluation Plan'!F68</x:f>
        <x:v>1111</x:v>
      </x:c>
      <x:c r="G68" s="9" t="str">
        <x:f>'Evaluation Plan'!G68</x:f>
        <x:v>MOVE juggling ball to bowl</x:v>
      </x:c>
      <x:c r="H68" s="10"/>
      <x:c r="I68" s="9" t="str">
        <x:f>'Evaluation Plan'!I68</x:f>
        <x:v>Concept/compositional transfer</x:v>
      </x:c>
      <x:c r="J68" s="9" t="str">
        <x:f>'Evaluation Plan'!J68</x:f>
        <x:v>SZ-CT-SJ07</x:v>
      </x:c>
      <x:c r="K68" s="9" t="str">
        <x:f>'Evaluation Plan'!K68</x:f>
        <x:v>smallest</x:v>
      </x:c>
      <x:c r="L68" s="9" t="str">
        <x:f>'Evaluation Plan'!L68</x:f>
        <x:v>Held-out smallest × juggling ball — Pick up</x:v>
      </x:c>
      <x:c r="M68" s="9" t="str">
        <x:f>'Evaluation Plan'!M68</x:f>
        <x:v>juggling ball</x:v>
      </x:c>
      <x:c r="N68" s="9" t="str">
        <x:f>'Evaluation Plan'!N68</x:f>
        <x:v>Right</x:v>
      </x:c>
      <x:c r="O68" s="9" t="n">
        <x:f>'Evaluation Plan'!O68</x:f>
        <x:v>2</x:v>
      </x:c>
      <x:c r="P68" s="9" t="n">
        <x:f>IF(ISBLANK('Evaluation Plan'!P68),"",'Evaluation Plan'!P68)</x:f>
        <x:v>12</x:v>
      </x:c>
      <x:c r="Q68" s="9" t="str">
        <x:f>'Evaluation Plan'!Q68</x:f>
        <x:v>Build the listed two-object scene and save a first-frame filename.</x:v>
      </x:c>
      <x:c r="R68" s="10" t="str">
        <x:f>'Evaluation Plan'!R68</x:f>
        <x:v>Primary missing cell. Training episode 1111 contains the same target trajectory but masks the size word with a direct identity prompt.</x:v>
      </x:c>
      <x:c r="S68" s="10" t="str">
        <x:f>IF(ISBLANK('Evaluation Plan'!S68),"",'Evaluation Plan'!S68)</x:f>
      </x:c>
    </x:row>
    <x:row r="69" ht="68" customHeight="1">
      <x:c r="A69" s="8" t="str">
        <x:v>Not collected</x:v>
      </x:c>
      <x:c r="B69" s="8" t="n">
        <x:f>'Evaluation Plan'!B69</x:f>
        <x:v>67</x:v>
      </x:c>
      <x:c r="C69" s="7" t="str">
        <x:f>'Evaluation Plan'!C69</x:f>
        <x:v>Put the juggling ball in the bowl.</x:v>
      </x:c>
      <x:c r="D69" s="7" t="str">
        <x:f>'Evaluation Plan'!D69</x:f>
        <x:v>Bowl: empty. Table, robot-left→robot-right: P1 crushed Pepsi can; P2 juggling ball. Adjacent centers 12 cm apart; row shifted 4 cm toward the robot; all objects fully visible and grasp paths clear.</x:v>
      </x:c>
      <x:c r="E69" s="8" t="n">
        <x:f>IF(ISBLANK('Evaluation Plan'!E69),"",'Evaluation Plan'!E69)</x:f>
        <x:v>66</x:v>
      </x:c>
      <x:c r="F69" s="8" t="str">
        <x:f>'Evaluation Plan'!F69</x:f>
        <x:v>1101</x:v>
      </x:c>
      <x:c r="G69" s="8" t="str">
        <x:f>'Evaluation Plan'!G69</x:f>
        <x:v>MOVE juggling ball to bowl</x:v>
      </x:c>
      <x:c r="H69" s="7"/>
      <x:c r="I69" s="8" t="str">
        <x:f>'Evaluation Plan'!I69</x:f>
        <x:v>Matched manipulation control</x:v>
      </x:c>
      <x:c r="J69" s="8" t="str">
        <x:f>'Evaluation Plan'!J69</x:f>
        <x:v>SZ-CT-SJ07</x:v>
      </x:c>
      <x:c r="K69" s="8" t="str">
        <x:f>'Evaluation Plan'!K69</x:f>
        <x:v>Direct</x:v>
      </x:c>
      <x:c r="L69" s="8" t="str">
        <x:f>'Evaluation Plan'!L69</x:f>
        <x:v>Same-scene direct target control</x:v>
      </x:c>
      <x:c r="M69" s="8" t="str">
        <x:f>'Evaluation Plan'!M69</x:f>
        <x:v>juggling ball</x:v>
      </x:c>
      <x:c r="N69" s="8" t="str">
        <x:f>'Evaluation Plan'!N69</x:f>
        <x:v>Right</x:v>
      </x:c>
      <x:c r="O69" s="8" t="n">
        <x:f>'Evaluation Plan'!O69</x:f>
        <x:v>2</x:v>
      </x:c>
      <x:c r="P69" s="8" t="n">
        <x:f>IF(ISBLANK('Evaluation Plan'!P69),"",'Evaluation Plan'!P69)</x:f>
        <x:v>12</x:v>
      </x:c>
      <x:c r="Q69" s="8" t="str">
        <x:f>'Evaluation Plan'!Q69</x:f>
        <x:v>Reset the target to its original pose; change only the prompt.</x:v>
      </x:c>
      <x:c r="R69" s="7" t="str">
        <x:f>'Evaluation Plan'!R69</x:f>
        <x:v>Exact-scene control using a direct prompt supported by training episode 1101.</x:v>
      </x:c>
      <x:c r="S69" s="7" t="str">
        <x:f>IF(ISBLANK('Evaluation Plan'!S69),"",'Evaluation Plan'!S69)</x:f>
      </x:c>
    </x:row>
    <x:row r="70" ht="68" customHeight="1">
      <x:c r="A70" s="9" t="str">
        <x:v>Not collected</x:v>
      </x:c>
      <x:c r="B70" s="9" t="n">
        <x:f>'Evaluation Plan'!B70</x:f>
        <x:v>68</x:v>
      </x:c>
      <x:c r="C70" s="10" t="str">
        <x:f>'Evaluation Plan'!C70</x:f>
        <x:v>Pick up the largest item and place it in the bowl.</x:v>
      </x:c>
      <x:c r="D70" s="10" t="str">
        <x:f>'Evaluation Plan'!D70</x:f>
        <x:v>Bowl: empty. Table, robot-left→robot-right: P1 red pencil sharpener; P2 green block. Adjacent centers 12 cm apart; row shifted 4 cm toward robot-right; all objects fully visible and grasp paths clear.</x:v>
      </x:c>
      <x:c r="E70" s="9" t="str">
        <x:f>IF(ISBLANK('Evaluation Plan'!E70),"",'Evaluation Plan'!E70)</x:f>
      </x:c>
      <x:c r="F70" s="9" t="str">
        <x:f>'Evaluation Plan'!F70</x:f>
        <x:v>1087</x:v>
      </x:c>
      <x:c r="G70" s="9" t="str">
        <x:f>'Evaluation Plan'!G70</x:f>
        <x:v>MOVE green block to bowl</x:v>
      </x:c>
      <x:c r="H70" s="10"/>
      <x:c r="I70" s="9" t="str">
        <x:f>'Evaluation Plan'!I70</x:f>
        <x:v>Concept/compositional transfer</x:v>
      </x:c>
      <x:c r="J70" s="9" t="str">
        <x:f>'Evaluation Plan'!J70</x:f>
        <x:v>SZ-CT-LG08</x:v>
      </x:c>
      <x:c r="K70" s="9" t="str">
        <x:f>'Evaluation Plan'!K70</x:f>
        <x:v>largest</x:v>
      </x:c>
      <x:c r="L70" s="9" t="str">
        <x:f>'Evaluation Plan'!L70</x:f>
        <x:v>Held-out largest × green block — Pick up</x:v>
      </x:c>
      <x:c r="M70" s="9" t="str">
        <x:f>'Evaluation Plan'!M70</x:f>
        <x:v>green block</x:v>
      </x:c>
      <x:c r="N70" s="9" t="str">
        <x:f>'Evaluation Plan'!N70</x:f>
        <x:v>Right</x:v>
      </x:c>
      <x:c r="O70" s="9" t="n">
        <x:f>'Evaluation Plan'!O70</x:f>
        <x:v>2</x:v>
      </x:c>
      <x:c r="P70" s="9" t="n">
        <x:f>IF(ISBLANK('Evaluation Plan'!P70),"",'Evaluation Plan'!P70)</x:f>
        <x:v>12</x:v>
      </x:c>
      <x:c r="Q70" s="9" t="str">
        <x:f>'Evaluation Plan'!Q70</x:f>
        <x:v>Build the listed two-object scene and save a first-frame filename.</x:v>
      </x:c>
      <x:c r="R70" s="10" t="str">
        <x:f>'Evaluation Plan'!R70</x:f>
        <x:v>Primary missing cell. Training episode 1087 contains the same target trajectory but masks the size word with a direct identity prompt.</x:v>
      </x:c>
      <x:c r="S70" s="10" t="str">
        <x:f>IF(ISBLANK('Evaluation Plan'!S70),"",'Evaluation Plan'!S70)</x:f>
      </x:c>
    </x:row>
    <x:row r="71" ht="68" customHeight="1">
      <x:c r="A71" s="8" t="str">
        <x:v>Not collected</x:v>
      </x:c>
      <x:c r="B71" s="8" t="n">
        <x:f>'Evaluation Plan'!B71</x:f>
        <x:v>69</x:v>
      </x:c>
      <x:c r="C71" s="7" t="str">
        <x:f>'Evaluation Plan'!C71</x:f>
        <x:v>Move the green block into the bowl.</x:v>
      </x:c>
      <x:c r="D71" s="7" t="str">
        <x:f>'Evaluation Plan'!D71</x:f>
        <x:v>Bowl: empty. Table, robot-left→robot-right: P1 red pencil sharpener; P2 green block. Adjacent centers 12 cm apart; row shifted 4 cm toward robot-right; all objects fully visible and grasp paths clear.</x:v>
      </x:c>
      <x:c r="E71" s="8" t="n">
        <x:f>IF(ISBLANK('Evaluation Plan'!E71),"",'Evaluation Plan'!E71)</x:f>
        <x:v>68</x:v>
      </x:c>
      <x:c r="F71" s="8" t="str">
        <x:f>'Evaluation Plan'!F71</x:f>
        <x:v>1077</x:v>
      </x:c>
      <x:c r="G71" s="8" t="str">
        <x:f>'Evaluation Plan'!G71</x:f>
        <x:v>MOVE green block to bowl</x:v>
      </x:c>
      <x:c r="H71" s="7"/>
      <x:c r="I71" s="8" t="str">
        <x:f>'Evaluation Plan'!I71</x:f>
        <x:v>Matched manipulation control</x:v>
      </x:c>
      <x:c r="J71" s="8" t="str">
        <x:f>'Evaluation Plan'!J71</x:f>
        <x:v>SZ-CT-LG08</x:v>
      </x:c>
      <x:c r="K71" s="8" t="str">
        <x:f>'Evaluation Plan'!K71</x:f>
        <x:v>Direct</x:v>
      </x:c>
      <x:c r="L71" s="8" t="str">
        <x:f>'Evaluation Plan'!L71</x:f>
        <x:v>Same-scene direct target control</x:v>
      </x:c>
      <x:c r="M71" s="8" t="str">
        <x:f>'Evaluation Plan'!M71</x:f>
        <x:v>green block</x:v>
      </x:c>
      <x:c r="N71" s="8" t="str">
        <x:f>'Evaluation Plan'!N71</x:f>
        <x:v>Right</x:v>
      </x:c>
      <x:c r="O71" s="8" t="n">
        <x:f>'Evaluation Plan'!O71</x:f>
        <x:v>2</x:v>
      </x:c>
      <x:c r="P71" s="8" t="n">
        <x:f>IF(ISBLANK('Evaluation Plan'!P71),"",'Evaluation Plan'!P71)</x:f>
        <x:v>12</x:v>
      </x:c>
      <x:c r="Q71" s="8" t="str">
        <x:f>'Evaluation Plan'!Q71</x:f>
        <x:v>Reset the target to its original pose; change only the prompt.</x:v>
      </x:c>
      <x:c r="R71" s="7" t="str">
        <x:f>'Evaluation Plan'!R71</x:f>
        <x:v>Exact-scene control using a direct prompt supported by training episode 1077.</x:v>
      </x:c>
      <x:c r="S71" s="7" t="str">
        <x:f>IF(ISBLANK('Evaluation Plan'!S71),"",'Evaluation Plan'!S71)</x:f>
      </x:c>
    </x:row>
    <x:row r="72" ht="68" customHeight="1">
      <x:c r="A72" s="9" t="str">
        <x:v>Not collected</x:v>
      </x:c>
      <x:c r="B72" s="9" t="n">
        <x:f>'Evaluation Plan'!B72</x:f>
        <x:v>70</x:v>
      </x:c>
      <x:c r="C72" s="10" t="str">
        <x:f>'Evaluation Plan'!C72</x:f>
        <x:v>Put the smallest object in the bowl.</x:v>
      </x:c>
      <x:c r="D72" s="10" t="str">
        <x:f>'Evaluation Plan'!D72</x:f>
        <x:v>Bowl: empty. Table, robot-left→robot-right: P1 juggling ball; P2 crushed Pepsi can. Adjacent centers 16 cm apart; row shifted 4 cm away from the robot; all objects fully visible and grasp paths clear.</x:v>
      </x:c>
      <x:c r="E72" s="9" t="str">
        <x:f>IF(ISBLANK('Evaluation Plan'!E72),"",'Evaluation Plan'!E72)</x:f>
      </x:c>
      <x:c r="F72" s="9" t="str">
        <x:f>'Evaluation Plan'!F72</x:f>
        <x:v>1112</x:v>
      </x:c>
      <x:c r="G72" s="9" t="str">
        <x:f>'Evaluation Plan'!G72</x:f>
        <x:v>MOVE juggling ball to bowl</x:v>
      </x:c>
      <x:c r="H72" s="10"/>
      <x:c r="I72" s="9" t="str">
        <x:f>'Evaluation Plan'!I72</x:f>
        <x:v>Concept/compositional transfer</x:v>
      </x:c>
      <x:c r="J72" s="9" t="str">
        <x:f>'Evaluation Plan'!J72</x:f>
        <x:v>SZ-CT-SJ08</x:v>
      </x:c>
      <x:c r="K72" s="9" t="str">
        <x:f>'Evaluation Plan'!K72</x:f>
        <x:v>smallest</x:v>
      </x:c>
      <x:c r="L72" s="9" t="str">
        <x:f>'Evaluation Plan'!L72</x:f>
        <x:v>Held-out smallest × juggling ball — Put</x:v>
      </x:c>
      <x:c r="M72" s="9" t="str">
        <x:f>'Evaluation Plan'!M72</x:f>
        <x:v>juggling ball</x:v>
      </x:c>
      <x:c r="N72" s="9" t="str">
        <x:f>'Evaluation Plan'!N72</x:f>
        <x:v>Left</x:v>
      </x:c>
      <x:c r="O72" s="9" t="n">
        <x:f>'Evaluation Plan'!O72</x:f>
        <x:v>2</x:v>
      </x:c>
      <x:c r="P72" s="9" t="n">
        <x:f>IF(ISBLANK('Evaluation Plan'!P72),"",'Evaluation Plan'!P72)</x:f>
        <x:v>16</x:v>
      </x:c>
      <x:c r="Q72" s="9" t="str">
        <x:f>'Evaluation Plan'!Q72</x:f>
        <x:v>Build the listed two-object scene and save a first-frame filename.</x:v>
      </x:c>
      <x:c r="R72" s="10" t="str">
        <x:f>'Evaluation Plan'!R72</x:f>
        <x:v>Primary missing cell. Training episode 1112 contains the same target trajectory but masks the size word with a direct identity prompt.</x:v>
      </x:c>
      <x:c r="S72" s="10" t="str">
        <x:f>IF(ISBLANK('Evaluation Plan'!S72),"",'Evaluation Plan'!S72)</x:f>
      </x:c>
    </x:row>
    <x:row r="73" ht="68" customHeight="1">
      <x:c r="A73" s="8" t="str">
        <x:v>Not collected</x:v>
      </x:c>
      <x:c r="B73" s="8" t="n">
        <x:f>'Evaluation Plan'!B73</x:f>
        <x:v>71</x:v>
      </x:c>
      <x:c r="C73" s="7" t="str">
        <x:f>'Evaluation Plan'!C73</x:f>
        <x:v>Move the juggling ball into the bowl.</x:v>
      </x:c>
      <x:c r="D73" s="7" t="str">
        <x:f>'Evaluation Plan'!D73</x:f>
        <x:v>Bowl: empty. Table, robot-left→robot-right: P1 juggling ball; P2 crushed Pepsi can. Adjacent centers 16 cm apart; row shifted 4 cm away from the robot; all objects fully visible and grasp paths clear.</x:v>
      </x:c>
      <x:c r="E73" s="8" t="n">
        <x:f>IF(ISBLANK('Evaluation Plan'!E73),"",'Evaluation Plan'!E73)</x:f>
        <x:v>70</x:v>
      </x:c>
      <x:c r="F73" s="8" t="str">
        <x:f>'Evaluation Plan'!F73</x:f>
        <x:v>1102</x:v>
      </x:c>
      <x:c r="G73" s="8" t="str">
        <x:f>'Evaluation Plan'!G73</x:f>
        <x:v>MOVE juggling ball to bowl</x:v>
      </x:c>
      <x:c r="H73" s="7"/>
      <x:c r="I73" s="8" t="str">
        <x:f>'Evaluation Plan'!I73</x:f>
        <x:v>Matched manipulation control</x:v>
      </x:c>
      <x:c r="J73" s="8" t="str">
        <x:f>'Evaluation Plan'!J73</x:f>
        <x:v>SZ-CT-SJ08</x:v>
      </x:c>
      <x:c r="K73" s="8" t="str">
        <x:f>'Evaluation Plan'!K73</x:f>
        <x:v>Direct</x:v>
      </x:c>
      <x:c r="L73" s="8" t="str">
        <x:f>'Evaluation Plan'!L73</x:f>
        <x:v>Same-scene direct target control</x:v>
      </x:c>
      <x:c r="M73" s="8" t="str">
        <x:f>'Evaluation Plan'!M73</x:f>
        <x:v>juggling ball</x:v>
      </x:c>
      <x:c r="N73" s="8" t="str">
        <x:f>'Evaluation Plan'!N73</x:f>
        <x:v>Left</x:v>
      </x:c>
      <x:c r="O73" s="8" t="n">
        <x:f>'Evaluation Plan'!O73</x:f>
        <x:v>2</x:v>
      </x:c>
      <x:c r="P73" s="8" t="n">
        <x:f>IF(ISBLANK('Evaluation Plan'!P73),"",'Evaluation Plan'!P73)</x:f>
        <x:v>16</x:v>
      </x:c>
      <x:c r="Q73" s="8" t="str">
        <x:f>'Evaluation Plan'!Q73</x:f>
        <x:v>Reset the target to its original pose; change only the prompt.</x:v>
      </x:c>
      <x:c r="R73" s="7" t="str">
        <x:f>'Evaluation Plan'!R73</x:f>
        <x:v>Exact-scene control using a direct prompt supported by training episode 1102.</x:v>
      </x:c>
      <x:c r="S73" s="7" t="str">
        <x:f>IF(ISBLANK('Evaluation Plan'!S73),"",'Evaluation Plan'!S73)</x:f>
      </x:c>
    </x:row>
    <x:row r="74" ht="68" customHeight="1">
      <x:c r="A74" s="9" t="str">
        <x:v>Not collected</x:v>
      </x:c>
      <x:c r="B74" s="9" t="n">
        <x:f>'Evaluation Plan'!B74</x:f>
        <x:v>72</x:v>
      </x:c>
      <x:c r="C74" s="10" t="str">
        <x:f>'Evaluation Plan'!C74</x:f>
        <x:v>Put the largest object in the bowl.</x:v>
      </x:c>
      <x:c r="D74" s="10" t="str">
        <x:f>'Evaluation Plan'!D74</x:f>
        <x:v>Bowl: empty. Table, robot-left→robot-right: P1 green block; P2 red pencil sharpener. Adjacent centers 16 cm apart; row shifted 4 cm toward the robot; all objects fully visible and grasp paths clear.</x:v>
      </x:c>
      <x:c r="E74" s="9" t="str">
        <x:f>IF(ISBLANK('Evaluation Plan'!E74),"",'Evaluation Plan'!E74)</x:f>
      </x:c>
      <x:c r="F74" s="9" t="str">
        <x:f>'Evaluation Plan'!F74</x:f>
        <x:v>1088</x:v>
      </x:c>
      <x:c r="G74" s="9" t="str">
        <x:f>'Evaluation Plan'!G74</x:f>
        <x:v>MOVE green block to bowl</x:v>
      </x:c>
      <x:c r="H74" s="10"/>
      <x:c r="I74" s="9" t="str">
        <x:f>'Evaluation Plan'!I74</x:f>
        <x:v>Concept/compositional transfer</x:v>
      </x:c>
      <x:c r="J74" s="9" t="str">
        <x:f>'Evaluation Plan'!J74</x:f>
        <x:v>SZ-CT-LG09</x:v>
      </x:c>
      <x:c r="K74" s="9" t="str">
        <x:f>'Evaluation Plan'!K74</x:f>
        <x:v>largest</x:v>
      </x:c>
      <x:c r="L74" s="9" t="str">
        <x:f>'Evaluation Plan'!L74</x:f>
        <x:v>Held-out largest × green block — Put</x:v>
      </x:c>
      <x:c r="M74" s="9" t="str">
        <x:f>'Evaluation Plan'!M74</x:f>
        <x:v>green block</x:v>
      </x:c>
      <x:c r="N74" s="9" t="str">
        <x:f>'Evaluation Plan'!N74</x:f>
        <x:v>Left</x:v>
      </x:c>
      <x:c r="O74" s="9" t="n">
        <x:f>'Evaluation Plan'!O74</x:f>
        <x:v>2</x:v>
      </x:c>
      <x:c r="P74" s="9" t="n">
        <x:f>IF(ISBLANK('Evaluation Plan'!P74),"",'Evaluation Plan'!P74)</x:f>
        <x:v>16</x:v>
      </x:c>
      <x:c r="Q74" s="9" t="str">
        <x:f>'Evaluation Plan'!Q74</x:f>
        <x:v>Build the listed two-object scene and save a first-frame filename.</x:v>
      </x:c>
      <x:c r="R74" s="10" t="str">
        <x:f>'Evaluation Plan'!R74</x:f>
        <x:v>Primary missing cell. Training episode 1088 contains the same target trajectory but masks the size word with a direct identity prompt.</x:v>
      </x:c>
      <x:c r="S74" s="10" t="str">
        <x:f>IF(ISBLANK('Evaluation Plan'!S74),"",'Evaluation Plan'!S74)</x:f>
      </x:c>
    </x:row>
    <x:row r="75" ht="68" customHeight="1">
      <x:c r="A75" s="8" t="str">
        <x:v>Not collected</x:v>
      </x:c>
      <x:c r="B75" s="8" t="n">
        <x:f>'Evaluation Plan'!B75</x:f>
        <x:v>73</x:v>
      </x:c>
      <x:c r="C75" s="7" t="str">
        <x:f>'Evaluation Plan'!C75</x:f>
        <x:v>Pick up the green block and place it in the bowl.</x:v>
      </x:c>
      <x:c r="D75" s="7" t="str">
        <x:f>'Evaluation Plan'!D75</x:f>
        <x:v>Bowl: empty. Table, robot-left→robot-right: P1 green block; P2 red pencil sharpener. Adjacent centers 16 cm apart; row shifted 4 cm toward the robot; all objects fully visible and grasp paths clear.</x:v>
      </x:c>
      <x:c r="E75" s="8" t="n">
        <x:f>IF(ISBLANK('Evaluation Plan'!E75),"",'Evaluation Plan'!E75)</x:f>
        <x:v>72</x:v>
      </x:c>
      <x:c r="F75" s="8" t="str">
        <x:f>'Evaluation Plan'!F75</x:f>
        <x:v>1078</x:v>
      </x:c>
      <x:c r="G75" s="8" t="str">
        <x:f>'Evaluation Plan'!G75</x:f>
        <x:v>MOVE green block to bowl</x:v>
      </x:c>
      <x:c r="H75" s="7"/>
      <x:c r="I75" s="8" t="str">
        <x:f>'Evaluation Plan'!I75</x:f>
        <x:v>Matched manipulation control</x:v>
      </x:c>
      <x:c r="J75" s="8" t="str">
        <x:f>'Evaluation Plan'!J75</x:f>
        <x:v>SZ-CT-LG09</x:v>
      </x:c>
      <x:c r="K75" s="8" t="str">
        <x:f>'Evaluation Plan'!K75</x:f>
        <x:v>Direct</x:v>
      </x:c>
      <x:c r="L75" s="8" t="str">
        <x:f>'Evaluation Plan'!L75</x:f>
        <x:v>Same-scene direct target control</x:v>
      </x:c>
      <x:c r="M75" s="8" t="str">
        <x:f>'Evaluation Plan'!M75</x:f>
        <x:v>green block</x:v>
      </x:c>
      <x:c r="N75" s="8" t="str">
        <x:f>'Evaluation Plan'!N75</x:f>
        <x:v>Left</x:v>
      </x:c>
      <x:c r="O75" s="8" t="n">
        <x:f>'Evaluation Plan'!O75</x:f>
        <x:v>2</x:v>
      </x:c>
      <x:c r="P75" s="8" t="n">
        <x:f>IF(ISBLANK('Evaluation Plan'!P75),"",'Evaluation Plan'!P75)</x:f>
        <x:v>16</x:v>
      </x:c>
      <x:c r="Q75" s="8" t="str">
        <x:f>'Evaluation Plan'!Q75</x:f>
        <x:v>Reset the target to its original pose; change only the prompt.</x:v>
      </x:c>
      <x:c r="R75" s="7" t="str">
        <x:f>'Evaluation Plan'!R75</x:f>
        <x:v>Exact-scene control using a direct prompt supported by training episode 1078.</x:v>
      </x:c>
      <x:c r="S75" s="7" t="str">
        <x:f>IF(ISBLANK('Evaluation Plan'!S75),"",'Evaluation Plan'!S75)</x:f>
      </x:c>
    </x:row>
    <x:row r="76" ht="68" customHeight="1">
      <x:c r="A76" s="9" t="str">
        <x:v>Not collected</x:v>
      </x:c>
      <x:c r="B76" s="9" t="n">
        <x:f>'Evaluation Plan'!B76</x:f>
        <x:v>74</x:v>
      </x:c>
      <x:c r="C76" s="10" t="str">
        <x:f>'Evaluation Plan'!C76</x:f>
        <x:v>Move the object that is smallest into the bowl.</x:v>
      </x:c>
      <x:c r="D76" s="10" t="str">
        <x:f>'Evaluation Plan'!D76</x:f>
        <x:v>Bowl: empty. Table, robot-left→robot-right: P1 crushed Pepsi can; P2 juggling ball. Adjacent centers 8 cm apart; row centered on the workspace; all objects fully visible and grasp paths clear.</x:v>
      </x:c>
      <x:c r="E76" s="9" t="str">
        <x:f>IF(ISBLANK('Evaluation Plan'!E76),"",'Evaluation Plan'!E76)</x:f>
      </x:c>
      <x:c r="F76" s="9" t="str">
        <x:f>'Evaluation Plan'!F76</x:f>
        <x:v>1113</x:v>
      </x:c>
      <x:c r="G76" s="9" t="str">
        <x:f>'Evaluation Plan'!G76</x:f>
        <x:v>MOVE juggling ball to bowl</x:v>
      </x:c>
      <x:c r="H76" s="10"/>
      <x:c r="I76" s="9" t="str">
        <x:f>'Evaluation Plan'!I76</x:f>
        <x:v>Concept/compositional transfer</x:v>
      </x:c>
      <x:c r="J76" s="9" t="str">
        <x:f>'Evaluation Plan'!J76</x:f>
        <x:v>SZ-CT-SJ09</x:v>
      </x:c>
      <x:c r="K76" s="9" t="str">
        <x:f>'Evaluation Plan'!K76</x:f>
        <x:v>smallest</x:v>
      </x:c>
      <x:c r="L76" s="9" t="str">
        <x:f>'Evaluation Plan'!L76</x:f>
        <x:v>Held-out smallest × juggling ball — Move</x:v>
      </x:c>
      <x:c r="M76" s="9" t="str">
        <x:f>'Evaluation Plan'!M76</x:f>
        <x:v>juggling ball</x:v>
      </x:c>
      <x:c r="N76" s="9" t="str">
        <x:f>'Evaluation Plan'!N76</x:f>
        <x:v>Right</x:v>
      </x:c>
      <x:c r="O76" s="9" t="n">
        <x:f>'Evaluation Plan'!O76</x:f>
        <x:v>2</x:v>
      </x:c>
      <x:c r="P76" s="9" t="n">
        <x:f>IF(ISBLANK('Evaluation Plan'!P76),"",'Evaluation Plan'!P76)</x:f>
        <x:v>8</x:v>
      </x:c>
      <x:c r="Q76" s="9" t="str">
        <x:f>'Evaluation Plan'!Q76</x:f>
        <x:v>Build the listed two-object scene and save a first-frame filename.</x:v>
      </x:c>
      <x:c r="R76" s="10" t="str">
        <x:f>'Evaluation Plan'!R76</x:f>
        <x:v>Primary missing cell. Training episode 1113 contains the same target trajectory but masks the size word with a direct identity prompt.</x:v>
      </x:c>
      <x:c r="S76" s="10" t="str">
        <x:f>IF(ISBLANK('Evaluation Plan'!S76),"",'Evaluation Plan'!S76)</x:f>
      </x:c>
    </x:row>
    <x:row r="77" ht="68" customHeight="1">
      <x:c r="A77" s="8" t="str">
        <x:v>Not collected</x:v>
      </x:c>
      <x:c r="B77" s="8" t="n">
        <x:f>'Evaluation Plan'!B77</x:f>
        <x:v>75</x:v>
      </x:c>
      <x:c r="C77" s="7" t="str">
        <x:f>'Evaluation Plan'!C77</x:f>
        <x:v>Pick up the juggling ball and place it in the bowl.</x:v>
      </x:c>
      <x:c r="D77" s="7" t="str">
        <x:f>'Evaluation Plan'!D77</x:f>
        <x:v>Bowl: empty. Table, robot-left→robot-right: P1 crushed Pepsi can; P2 juggling ball. Adjacent centers 8 cm apart; row centered on the workspace; all objects fully visible and grasp paths clear.</x:v>
      </x:c>
      <x:c r="E77" s="8" t="n">
        <x:f>IF(ISBLANK('Evaluation Plan'!E77),"",'Evaluation Plan'!E77)</x:f>
        <x:v>74</x:v>
      </x:c>
      <x:c r="F77" s="8" t="str">
        <x:f>'Evaluation Plan'!F77</x:f>
        <x:v>1103</x:v>
      </x:c>
      <x:c r="G77" s="8" t="str">
        <x:f>'Evaluation Plan'!G77</x:f>
        <x:v>MOVE juggling ball to bowl</x:v>
      </x:c>
      <x:c r="H77" s="7"/>
      <x:c r="I77" s="8" t="str">
        <x:f>'Evaluation Plan'!I77</x:f>
        <x:v>Matched manipulation control</x:v>
      </x:c>
      <x:c r="J77" s="8" t="str">
        <x:f>'Evaluation Plan'!J77</x:f>
        <x:v>SZ-CT-SJ09</x:v>
      </x:c>
      <x:c r="K77" s="8" t="str">
        <x:f>'Evaluation Plan'!K77</x:f>
        <x:v>Direct</x:v>
      </x:c>
      <x:c r="L77" s="8" t="str">
        <x:f>'Evaluation Plan'!L77</x:f>
        <x:v>Same-scene direct target control</x:v>
      </x:c>
      <x:c r="M77" s="8" t="str">
        <x:f>'Evaluation Plan'!M77</x:f>
        <x:v>juggling ball</x:v>
      </x:c>
      <x:c r="N77" s="8" t="str">
        <x:f>'Evaluation Plan'!N77</x:f>
        <x:v>Right</x:v>
      </x:c>
      <x:c r="O77" s="8" t="n">
        <x:f>'Evaluation Plan'!O77</x:f>
        <x:v>2</x:v>
      </x:c>
      <x:c r="P77" s="8" t="n">
        <x:f>IF(ISBLANK('Evaluation Plan'!P77),"",'Evaluation Plan'!P77)</x:f>
        <x:v>8</x:v>
      </x:c>
      <x:c r="Q77" s="8" t="str">
        <x:f>'Evaluation Plan'!Q77</x:f>
        <x:v>Reset the target to its original pose; change only the prompt.</x:v>
      </x:c>
      <x:c r="R77" s="7" t="str">
        <x:f>'Evaluation Plan'!R77</x:f>
        <x:v>Exact-scene control using a direct prompt supported by training episode 1103.</x:v>
      </x:c>
      <x:c r="S77" s="7" t="str">
        <x:f>IF(ISBLANK('Evaluation Plan'!S77),"",'Evaluation Plan'!S77)</x:f>
      </x:c>
    </x:row>
    <x:row r="78" ht="68" customHeight="1">
      <x:c r="A78" s="9" t="str">
        <x:v>Not collected</x:v>
      </x:c>
      <x:c r="B78" s="9" t="n">
        <x:f>'Evaluation Plan'!B78</x:f>
        <x:v>76</x:v>
      </x:c>
      <x:c r="C78" s="10" t="str">
        <x:f>'Evaluation Plan'!C78</x:f>
        <x:v>Move the object that is largest into the bowl.</x:v>
      </x:c>
      <x:c r="D78" s="10" t="str">
        <x:f>'Evaluation Plan'!D78</x:f>
        <x:v>Bowl: empty. Table, robot-left→robot-right: P1 red pencil sharpener; P2 green block. Adjacent centers 8 cm apart; row shifted 4 cm away from the robot; all objects fully visible and grasp paths clear.</x:v>
      </x:c>
      <x:c r="E78" s="9" t="str">
        <x:f>IF(ISBLANK('Evaluation Plan'!E78),"",'Evaluation Plan'!E78)</x:f>
      </x:c>
      <x:c r="F78" s="9" t="str">
        <x:f>'Evaluation Plan'!F78</x:f>
        <x:v>1089</x:v>
      </x:c>
      <x:c r="G78" s="9" t="str">
        <x:f>'Evaluation Plan'!G78</x:f>
        <x:v>MOVE green block to bowl</x:v>
      </x:c>
      <x:c r="H78" s="10"/>
      <x:c r="I78" s="9" t="str">
        <x:f>'Evaluation Plan'!I78</x:f>
        <x:v>Concept/compositional transfer</x:v>
      </x:c>
      <x:c r="J78" s="9" t="str">
        <x:f>'Evaluation Plan'!J78</x:f>
        <x:v>SZ-CT-LG10</x:v>
      </x:c>
      <x:c r="K78" s="9" t="str">
        <x:f>'Evaluation Plan'!K78</x:f>
        <x:v>largest</x:v>
      </x:c>
      <x:c r="L78" s="9" t="str">
        <x:f>'Evaluation Plan'!L78</x:f>
        <x:v>Held-out largest × green block — Move</x:v>
      </x:c>
      <x:c r="M78" s="9" t="str">
        <x:f>'Evaluation Plan'!M78</x:f>
        <x:v>green block</x:v>
      </x:c>
      <x:c r="N78" s="9" t="str">
        <x:f>'Evaluation Plan'!N78</x:f>
        <x:v>Right</x:v>
      </x:c>
      <x:c r="O78" s="9" t="n">
        <x:f>'Evaluation Plan'!O78</x:f>
        <x:v>2</x:v>
      </x:c>
      <x:c r="P78" s="9" t="n">
        <x:f>IF(ISBLANK('Evaluation Plan'!P78),"",'Evaluation Plan'!P78)</x:f>
        <x:v>8</x:v>
      </x:c>
      <x:c r="Q78" s="9" t="str">
        <x:f>'Evaluation Plan'!Q78</x:f>
        <x:v>Build the listed two-object scene and save a first-frame filename.</x:v>
      </x:c>
      <x:c r="R78" s="10" t="str">
        <x:f>'Evaluation Plan'!R78</x:f>
        <x:v>Primary missing cell. Training episode 1089 contains the same target trajectory but masks the size word with a direct identity prompt.</x:v>
      </x:c>
      <x:c r="S78" s="10" t="str">
        <x:f>IF(ISBLANK('Evaluation Plan'!S78),"",'Evaluation Plan'!S78)</x:f>
      </x:c>
    </x:row>
    <x:row r="79" ht="68" customHeight="1">
      <x:c r="A79" s="8" t="str">
        <x:v>Not collected</x:v>
      </x:c>
      <x:c r="B79" s="8" t="n">
        <x:f>'Evaluation Plan'!B79</x:f>
        <x:v>77</x:v>
      </x:c>
      <x:c r="C79" s="7" t="str">
        <x:f>'Evaluation Plan'!C79</x:f>
        <x:v>Put the green block in the bowl.</x:v>
      </x:c>
      <x:c r="D79" s="7" t="str">
        <x:f>'Evaluation Plan'!D79</x:f>
        <x:v>Bowl: empty. Table, robot-left→robot-right: P1 red pencil sharpener; P2 green block. Adjacent centers 8 cm apart; row shifted 4 cm away from the robot; all objects fully visible and grasp paths clear.</x:v>
      </x:c>
      <x:c r="E79" s="8" t="n">
        <x:f>IF(ISBLANK('Evaluation Plan'!E79),"",'Evaluation Plan'!E79)</x:f>
        <x:v>76</x:v>
      </x:c>
      <x:c r="F79" s="8" t="str">
        <x:f>'Evaluation Plan'!F79</x:f>
        <x:v>1079</x:v>
      </x:c>
      <x:c r="G79" s="8" t="str">
        <x:f>'Evaluation Plan'!G79</x:f>
        <x:v>MOVE green block to bowl</x:v>
      </x:c>
      <x:c r="H79" s="7"/>
      <x:c r="I79" s="8" t="str">
        <x:f>'Evaluation Plan'!I79</x:f>
        <x:v>Matched manipulation control</x:v>
      </x:c>
      <x:c r="J79" s="8" t="str">
        <x:f>'Evaluation Plan'!J79</x:f>
        <x:v>SZ-CT-LG10</x:v>
      </x:c>
      <x:c r="K79" s="8" t="str">
        <x:f>'Evaluation Plan'!K79</x:f>
        <x:v>Direct</x:v>
      </x:c>
      <x:c r="L79" s="8" t="str">
        <x:f>'Evaluation Plan'!L79</x:f>
        <x:v>Same-scene direct target control</x:v>
      </x:c>
      <x:c r="M79" s="8" t="str">
        <x:f>'Evaluation Plan'!M79</x:f>
        <x:v>green block</x:v>
      </x:c>
      <x:c r="N79" s="8" t="str">
        <x:f>'Evaluation Plan'!N79</x:f>
        <x:v>Right</x:v>
      </x:c>
      <x:c r="O79" s="8" t="n">
        <x:f>'Evaluation Plan'!O79</x:f>
        <x:v>2</x:v>
      </x:c>
      <x:c r="P79" s="8" t="n">
        <x:f>IF(ISBLANK('Evaluation Plan'!P79),"",'Evaluation Plan'!P79)</x:f>
        <x:v>8</x:v>
      </x:c>
      <x:c r="Q79" s="8" t="str">
        <x:f>'Evaluation Plan'!Q79</x:f>
        <x:v>Reset the target to its original pose; change only the prompt.</x:v>
      </x:c>
      <x:c r="R79" s="7" t="str">
        <x:f>'Evaluation Plan'!R79</x:f>
        <x:v>Exact-scene control using a direct prompt supported by training episode 1079.</x:v>
      </x:c>
      <x:c r="S79" s="7" t="str">
        <x:f>IF(ISBLANK('Evaluation Plan'!S79),"",'Evaluation Plan'!S79)</x:f>
      </x:c>
    </x:row>
    <x:row r="80" ht="68" customHeight="1">
      <x:c r="A80" s="9" t="str">
        <x:v>Not collected</x:v>
      </x:c>
      <x:c r="B80" s="9" t="n">
        <x:f>'Evaluation Plan'!B80</x:f>
        <x:v>78</x:v>
      </x:c>
      <x:c r="C80" s="10" t="str">
        <x:f>'Evaluation Plan'!C80</x:f>
        <x:v>Pick up the smallest item and place it in the bowl.</x:v>
      </x:c>
      <x:c r="D80" s="10" t="str">
        <x:f>'Evaluation Plan'!D80</x:f>
        <x:v>Bowl: empty. Table, robot-left→robot-right: P1 juggling ball; P2 crushed Pepsi can. Adjacent centers 12 cm apart; row shifted 4 cm toward robot-left; all objects fully visible and grasp paths clear.</x:v>
      </x:c>
      <x:c r="E80" s="9" t="str">
        <x:f>IF(ISBLANK('Evaluation Plan'!E80),"",'Evaluation Plan'!E80)</x:f>
      </x:c>
      <x:c r="F80" s="9" t="str">
        <x:f>'Evaluation Plan'!F80</x:f>
        <x:v>1114</x:v>
      </x:c>
      <x:c r="G80" s="9" t="str">
        <x:f>'Evaluation Plan'!G80</x:f>
        <x:v>MOVE juggling ball to bowl</x:v>
      </x:c>
      <x:c r="H80" s="10"/>
      <x:c r="I80" s="9" t="str">
        <x:f>'Evaluation Plan'!I80</x:f>
        <x:v>Concept/compositional transfer</x:v>
      </x:c>
      <x:c r="J80" s="9" t="str">
        <x:f>'Evaluation Plan'!J80</x:f>
        <x:v>SZ-CT-SJ10</x:v>
      </x:c>
      <x:c r="K80" s="9" t="str">
        <x:f>'Evaluation Plan'!K80</x:f>
        <x:v>smallest</x:v>
      </x:c>
      <x:c r="L80" s="9" t="str">
        <x:f>'Evaluation Plan'!L80</x:f>
        <x:v>Held-out smallest × juggling ball — Pick up</x:v>
      </x:c>
      <x:c r="M80" s="9" t="str">
        <x:f>'Evaluation Plan'!M80</x:f>
        <x:v>juggling ball</x:v>
      </x:c>
      <x:c r="N80" s="9" t="str">
        <x:f>'Evaluation Plan'!N80</x:f>
        <x:v>Left</x:v>
      </x:c>
      <x:c r="O80" s="9" t="n">
        <x:f>'Evaluation Plan'!O80</x:f>
        <x:v>2</x:v>
      </x:c>
      <x:c r="P80" s="9" t="n">
        <x:f>IF(ISBLANK('Evaluation Plan'!P80),"",'Evaluation Plan'!P80)</x:f>
        <x:v>12</x:v>
      </x:c>
      <x:c r="Q80" s="9" t="str">
        <x:f>'Evaluation Plan'!Q80</x:f>
        <x:v>Build the listed two-object scene and save a first-frame filename.</x:v>
      </x:c>
      <x:c r="R80" s="10" t="str">
        <x:f>'Evaluation Plan'!R80</x:f>
        <x:v>Primary missing cell. Training episode 1114 contains the same target trajectory but masks the size word with a direct identity prompt.</x:v>
      </x:c>
      <x:c r="S80" s="10" t="str">
        <x:f>IF(ISBLANK('Evaluation Plan'!S80),"",'Evaluation Plan'!S80)</x:f>
      </x:c>
    </x:row>
    <x:row r="81" ht="68" customHeight="1">
      <x:c r="A81" s="8" t="str">
        <x:v>Not collected</x:v>
      </x:c>
      <x:c r="B81" s="8" t="n">
        <x:f>'Evaluation Plan'!B81</x:f>
        <x:v>79</x:v>
      </x:c>
      <x:c r="C81" s="7" t="str">
        <x:f>'Evaluation Plan'!C81</x:f>
        <x:v>Put the juggling ball in the bowl.</x:v>
      </x:c>
      <x:c r="D81" s="7" t="str">
        <x:f>'Evaluation Plan'!D81</x:f>
        <x:v>Bowl: empty. Table, robot-left→robot-right: P1 juggling ball; P2 crushed Pepsi can. Adjacent centers 12 cm apart; row shifted 4 cm toward robot-left; all objects fully visible and grasp paths clear.</x:v>
      </x:c>
      <x:c r="E81" s="8" t="n">
        <x:f>IF(ISBLANK('Evaluation Plan'!E81),"",'Evaluation Plan'!E81)</x:f>
        <x:v>78</x:v>
      </x:c>
      <x:c r="F81" s="8" t="str">
        <x:f>'Evaluation Plan'!F81</x:f>
        <x:v>1104</x:v>
      </x:c>
      <x:c r="G81" s="8" t="str">
        <x:f>'Evaluation Plan'!G81</x:f>
        <x:v>MOVE juggling ball to bowl</x:v>
      </x:c>
      <x:c r="H81" s="7"/>
      <x:c r="I81" s="8" t="str">
        <x:f>'Evaluation Plan'!I81</x:f>
        <x:v>Matched manipulation control</x:v>
      </x:c>
      <x:c r="J81" s="8" t="str">
        <x:f>'Evaluation Plan'!J81</x:f>
        <x:v>SZ-CT-SJ10</x:v>
      </x:c>
      <x:c r="K81" s="8" t="str">
        <x:f>'Evaluation Plan'!K81</x:f>
        <x:v>Direct</x:v>
      </x:c>
      <x:c r="L81" s="8" t="str">
        <x:f>'Evaluation Plan'!L81</x:f>
        <x:v>Same-scene direct target control</x:v>
      </x:c>
      <x:c r="M81" s="8" t="str">
        <x:f>'Evaluation Plan'!M81</x:f>
        <x:v>juggling ball</x:v>
      </x:c>
      <x:c r="N81" s="8" t="str">
        <x:f>'Evaluation Plan'!N81</x:f>
        <x:v>Left</x:v>
      </x:c>
      <x:c r="O81" s="8" t="n">
        <x:f>'Evaluation Plan'!O81</x:f>
        <x:v>2</x:v>
      </x:c>
      <x:c r="P81" s="8" t="n">
        <x:f>IF(ISBLANK('Evaluation Plan'!P81),"",'Evaluation Plan'!P81)</x:f>
        <x:v>12</x:v>
      </x:c>
      <x:c r="Q81" s="8" t="str">
        <x:f>'Evaluation Plan'!Q81</x:f>
        <x:v>Reset the target to its original pose; change only the prompt.</x:v>
      </x:c>
      <x:c r="R81" s="7" t="str">
        <x:f>'Evaluation Plan'!R81</x:f>
        <x:v>Exact-scene control using a direct prompt supported by training episode 1104.</x:v>
      </x:c>
      <x:c r="S81" s="7" t="str">
        <x:f>IF(ISBLANK('Evaluation Plan'!S81),"",'Evaluation Plan'!S81)</x:f>
      </x:c>
    </x:row>
    <x:row r="82" ht="68" customHeight="1">
      <x:c r="A82" s="9" t="str">
        <x:v>Not collected</x:v>
      </x:c>
      <x:c r="B82" s="9" t="n">
        <x:f>'Evaluation Plan'!B82</x:f>
        <x:v>80</x:v>
      </x:c>
      <x:c r="C82" s="10" t="str">
        <x:f>'Evaluation Plan'!C82</x:f>
        <x:v>Pick up the largest item and place it in the bowl.</x:v>
      </x:c>
      <x:c r="D82" s="10" t="str">
        <x:f>'Evaluation Plan'!D82</x:f>
        <x:v>Bowl: empty. Table, robot-left→robot-right: P1 green block; P2 red pencil sharpener. Adjacent centers 12 cm apart; row centered on the workspace; all objects fully visible and grasp paths clear.</x:v>
      </x:c>
      <x:c r="E82" s="9" t="str">
        <x:f>IF(ISBLANK('Evaluation Plan'!E82),"",'Evaluation Plan'!E82)</x:f>
      </x:c>
      <x:c r="F82" s="9" t="str">
        <x:f>'Evaluation Plan'!F82</x:f>
        <x:v>1090</x:v>
      </x:c>
      <x:c r="G82" s="9" t="str">
        <x:f>'Evaluation Plan'!G82</x:f>
        <x:v>MOVE green block to bowl</x:v>
      </x:c>
      <x:c r="H82" s="10"/>
      <x:c r="I82" s="9" t="str">
        <x:f>'Evaluation Plan'!I82</x:f>
        <x:v>Concept/compositional transfer</x:v>
      </x:c>
      <x:c r="J82" s="9" t="str">
        <x:f>'Evaluation Plan'!J82</x:f>
        <x:v>SZ-CT-LG11</x:v>
      </x:c>
      <x:c r="K82" s="9" t="str">
        <x:f>'Evaluation Plan'!K82</x:f>
        <x:v>largest</x:v>
      </x:c>
      <x:c r="L82" s="9" t="str">
        <x:f>'Evaluation Plan'!L82</x:f>
        <x:v>Held-out largest × green block — Pick up</x:v>
      </x:c>
      <x:c r="M82" s="9" t="str">
        <x:f>'Evaluation Plan'!M82</x:f>
        <x:v>green block</x:v>
      </x:c>
      <x:c r="N82" s="9" t="str">
        <x:f>'Evaluation Plan'!N82</x:f>
        <x:v>Left</x:v>
      </x:c>
      <x:c r="O82" s="9" t="n">
        <x:f>'Evaluation Plan'!O82</x:f>
        <x:v>2</x:v>
      </x:c>
      <x:c r="P82" s="9" t="n">
        <x:f>IF(ISBLANK('Evaluation Plan'!P82),"",'Evaluation Plan'!P82)</x:f>
        <x:v>12</x:v>
      </x:c>
      <x:c r="Q82" s="9" t="str">
        <x:f>'Evaluation Plan'!Q82</x:f>
        <x:v>Build the listed two-object scene and save a first-frame filename.</x:v>
      </x:c>
      <x:c r="R82" s="10" t="str">
        <x:f>'Evaluation Plan'!R82</x:f>
        <x:v>Primary missing cell. Training episode 1090 contains the same target trajectory but masks the size word with a direct identity prompt.</x:v>
      </x:c>
      <x:c r="S82" s="10" t="str">
        <x:f>IF(ISBLANK('Evaluation Plan'!S82),"",'Evaluation Plan'!S82)</x:f>
      </x:c>
    </x:row>
    <x:row r="83" ht="68" customHeight="1">
      <x:c r="A83" s="9" t="str">
        <x:v>Not collected</x:v>
      </x:c>
      <x:c r="B83" s="9" t="n">
        <x:f>'Evaluation Plan'!B83</x:f>
        <x:v>81</x:v>
      </x:c>
      <x:c r="C83" s="10" t="str">
        <x:f>'Evaluation Plan'!C83</x:f>
        <x:v>Put the smallest object in the bowl.</x:v>
      </x:c>
      <x:c r="D83" s="10" t="str">
        <x:f>'Evaluation Plan'!D83</x:f>
        <x:v>Bowl: empty. Table, robot-left→robot-right: P1 crushed Pepsi can; P2 juggling ball. Adjacent centers 16 cm apart; row shifted 4 cm toward robot-right; all objects fully visible and grasp paths clear.</x:v>
      </x:c>
      <x:c r="E83" s="9" t="str">
        <x:f>IF(ISBLANK('Evaluation Plan'!E83),"",'Evaluation Plan'!E83)</x:f>
      </x:c>
      <x:c r="F83" s="9" t="str">
        <x:f>'Evaluation Plan'!F83</x:f>
        <x:v>1115</x:v>
      </x:c>
      <x:c r="G83" s="9" t="str">
        <x:f>'Evaluation Plan'!G83</x:f>
        <x:v>MOVE juggling ball to bowl</x:v>
      </x:c>
      <x:c r="H83" s="10"/>
      <x:c r="I83" s="9" t="str">
        <x:f>'Evaluation Plan'!I83</x:f>
        <x:v>Concept/compositional transfer</x:v>
      </x:c>
      <x:c r="J83" s="9" t="str">
        <x:f>'Evaluation Plan'!J83</x:f>
        <x:v>SZ-CT-SJ11</x:v>
      </x:c>
      <x:c r="K83" s="9" t="str">
        <x:f>'Evaluation Plan'!K83</x:f>
        <x:v>smallest</x:v>
      </x:c>
      <x:c r="L83" s="9" t="str">
        <x:f>'Evaluation Plan'!L83</x:f>
        <x:v>Held-out smallest × juggling ball — Put</x:v>
      </x:c>
      <x:c r="M83" s="9" t="str">
        <x:f>'Evaluation Plan'!M83</x:f>
        <x:v>juggling ball</x:v>
      </x:c>
      <x:c r="N83" s="9" t="str">
        <x:f>'Evaluation Plan'!N83</x:f>
        <x:v>Right</x:v>
      </x:c>
      <x:c r="O83" s="9" t="n">
        <x:f>'Evaluation Plan'!O83</x:f>
        <x:v>2</x:v>
      </x:c>
      <x:c r="P83" s="9" t="n">
        <x:f>IF(ISBLANK('Evaluation Plan'!P83),"",'Evaluation Plan'!P83)</x:f>
        <x:v>16</x:v>
      </x:c>
      <x:c r="Q83" s="9" t="str">
        <x:f>'Evaluation Plan'!Q83</x:f>
        <x:v>Build the listed two-object scene and save a first-frame filename.</x:v>
      </x:c>
      <x:c r="R83" s="10" t="str">
        <x:f>'Evaluation Plan'!R83</x:f>
        <x:v>Primary missing cell. Training episode 1115 contains the same target trajectory but masks the size word with a direct identity prompt.</x:v>
      </x:c>
      <x:c r="S83" s="10" t="str">
        <x:f>IF(ISBLANK('Evaluation Plan'!S83),"",'Evaluation Plan'!S83)</x:f>
      </x:c>
    </x:row>
    <x:row r="84" ht="68" customHeight="1">
      <x:c r="A84" s="9" t="str">
        <x:v>Not collected</x:v>
      </x:c>
      <x:c r="B84" s="9" t="n">
        <x:f>'Evaluation Plan'!B84</x:f>
        <x:v>82</x:v>
      </x:c>
      <x:c r="C84" s="10" t="str">
        <x:f>'Evaluation Plan'!C84</x:f>
        <x:v>Put the largest object in the bowl.</x:v>
      </x:c>
      <x:c r="D84" s="10" t="str">
        <x:f>'Evaluation Plan'!D84</x:f>
        <x:v>Bowl: empty. Table, robot-left→robot-right: P1 red pencil sharpener; P2 green block. Adjacent centers 16 cm apart; row shifted 4 cm toward robot-left; all objects fully visible and grasp paths clear.</x:v>
      </x:c>
      <x:c r="E84" s="9" t="str">
        <x:f>IF(ISBLANK('Evaluation Plan'!E84),"",'Evaluation Plan'!E84)</x:f>
      </x:c>
      <x:c r="F84" s="9" t="str">
        <x:f>'Evaluation Plan'!F84</x:f>
        <x:v>1091</x:v>
      </x:c>
      <x:c r="G84" s="9" t="str">
        <x:f>'Evaluation Plan'!G84</x:f>
        <x:v>MOVE green block to bowl</x:v>
      </x:c>
      <x:c r="H84" s="10"/>
      <x:c r="I84" s="9" t="str">
        <x:f>'Evaluation Plan'!I84</x:f>
        <x:v>Concept/compositional transfer</x:v>
      </x:c>
      <x:c r="J84" s="9" t="str">
        <x:f>'Evaluation Plan'!J84</x:f>
        <x:v>SZ-CT-LG12</x:v>
      </x:c>
      <x:c r="K84" s="9" t="str">
        <x:f>'Evaluation Plan'!K84</x:f>
        <x:v>largest</x:v>
      </x:c>
      <x:c r="L84" s="9" t="str">
        <x:f>'Evaluation Plan'!L84</x:f>
        <x:v>Held-out largest × green block — Put</x:v>
      </x:c>
      <x:c r="M84" s="9" t="str">
        <x:f>'Evaluation Plan'!M84</x:f>
        <x:v>green block</x:v>
      </x:c>
      <x:c r="N84" s="9" t="str">
        <x:f>'Evaluation Plan'!N84</x:f>
        <x:v>Right</x:v>
      </x:c>
      <x:c r="O84" s="9" t="n">
        <x:f>'Evaluation Plan'!O84</x:f>
        <x:v>2</x:v>
      </x:c>
      <x:c r="P84" s="9" t="n">
        <x:f>IF(ISBLANK('Evaluation Plan'!P84),"",'Evaluation Plan'!P84)</x:f>
        <x:v>16</x:v>
      </x:c>
      <x:c r="Q84" s="9" t="str">
        <x:f>'Evaluation Plan'!Q84</x:f>
        <x:v>Build the listed two-object scene and save a first-frame filename.</x:v>
      </x:c>
      <x:c r="R84" s="10" t="str">
        <x:f>'Evaluation Plan'!R84</x:f>
        <x:v>Primary missing cell. Training episode 1091 contains the same target trajectory but masks the size word with a direct identity prompt.</x:v>
      </x:c>
      <x:c r="S84" s="10" t="str">
        <x:f>IF(ISBLANK('Evaluation Plan'!S84),"",'Evaluation Plan'!S84)</x:f>
      </x:c>
    </x:row>
    <x:row r="85" ht="68" customHeight="1">
      <x:c r="A85" s="9" t="str">
        <x:v>Not collected</x:v>
      </x:c>
      <x:c r="B85" s="9" t="n">
        <x:f>'Evaluation Plan'!B85</x:f>
        <x:v>83</x:v>
      </x:c>
      <x:c r="C85" s="10" t="str">
        <x:f>'Evaluation Plan'!C85</x:f>
        <x:v>Move the object that is smallest into the bowl.</x:v>
      </x:c>
      <x:c r="D85" s="10" t="str">
        <x:f>'Evaluation Plan'!D85</x:f>
        <x:v>Bowl: empty. Table, robot-left→robot-right: P1 juggling ball; P2 crushed Pepsi can. Adjacent centers 8 cm apart; row shifted 4 cm toward the robot; all objects fully visible and grasp paths clear.</x:v>
      </x:c>
      <x:c r="E85" s="9" t="str">
        <x:f>IF(ISBLANK('Evaluation Plan'!E85),"",'Evaluation Plan'!E85)</x:f>
      </x:c>
      <x:c r="F85" s="9" t="str">
        <x:f>'Evaluation Plan'!F85</x:f>
        <x:v>1116</x:v>
      </x:c>
      <x:c r="G85" s="9" t="str">
        <x:f>'Evaluation Plan'!G85</x:f>
        <x:v>MOVE juggling ball to bowl</x:v>
      </x:c>
      <x:c r="H85" s="10"/>
      <x:c r="I85" s="9" t="str">
        <x:f>'Evaluation Plan'!I85</x:f>
        <x:v>Concept/compositional transfer</x:v>
      </x:c>
      <x:c r="J85" s="9" t="str">
        <x:f>'Evaluation Plan'!J85</x:f>
        <x:v>SZ-CT-SJ12</x:v>
      </x:c>
      <x:c r="K85" s="9" t="str">
        <x:f>'Evaluation Plan'!K85</x:f>
        <x:v>smallest</x:v>
      </x:c>
      <x:c r="L85" s="9" t="str">
        <x:f>'Evaluation Plan'!L85</x:f>
        <x:v>Held-out smallest × juggling ball — Move</x:v>
      </x:c>
      <x:c r="M85" s="9" t="str">
        <x:f>'Evaluation Plan'!M85</x:f>
        <x:v>juggling ball</x:v>
      </x:c>
      <x:c r="N85" s="9" t="str">
        <x:f>'Evaluation Plan'!N85</x:f>
        <x:v>Left</x:v>
      </x:c>
      <x:c r="O85" s="9" t="n">
        <x:f>'Evaluation Plan'!O85</x:f>
        <x:v>2</x:v>
      </x:c>
      <x:c r="P85" s="9" t="n">
        <x:f>IF(ISBLANK('Evaluation Plan'!P85),"",'Evaluation Plan'!P85)</x:f>
        <x:v>8</x:v>
      </x:c>
      <x:c r="Q85" s="9" t="str">
        <x:f>'Evaluation Plan'!Q85</x:f>
        <x:v>Build the listed two-object scene and save a first-frame filename.</x:v>
      </x:c>
      <x:c r="R85" s="10" t="str">
        <x:f>'Evaluation Plan'!R85</x:f>
        <x:v>Primary missing cell. Training episode 1116 contains the same target trajectory but masks the size word with a direct identity prompt.</x:v>
      </x:c>
      <x:c r="S85" s="10" t="str">
        <x:f>IF(ISBLANK('Evaluation Plan'!S85),"",'Evaluation Plan'!S85)</x:f>
      </x:c>
    </x:row>
    <x:row r="86" ht="68" customHeight="1">
      <x:c r="A86" s="9" t="str">
        <x:v>Not collected</x:v>
      </x:c>
      <x:c r="B86" s="9" t="n">
        <x:f>'Evaluation Plan'!B86</x:f>
        <x:v>84</x:v>
      </x:c>
      <x:c r="C86" s="10" t="str">
        <x:f>'Evaluation Plan'!C86</x:f>
        <x:v>Move the object that is largest into the bowl.</x:v>
      </x:c>
      <x:c r="D86" s="10" t="str">
        <x:f>'Evaluation Plan'!D86</x:f>
        <x:v>Bowl: empty. Table, robot-left→robot-right: P1 green block; P2 red pencil sharpener. Adjacent centers 8 cm apart; row shifted 4 cm toward robot-right; all objects fully visible and grasp paths clear.</x:v>
      </x:c>
      <x:c r="E86" s="9" t="str">
        <x:f>IF(ISBLANK('Evaluation Plan'!E86),"",'Evaluation Plan'!E86)</x:f>
      </x:c>
      <x:c r="F86" s="9" t="str">
        <x:f>'Evaluation Plan'!F86</x:f>
        <x:v>1092</x:v>
      </x:c>
      <x:c r="G86" s="9" t="str">
        <x:f>'Evaluation Plan'!G86</x:f>
        <x:v>MOVE green block to bowl</x:v>
      </x:c>
      <x:c r="H86" s="10"/>
      <x:c r="I86" s="9" t="str">
        <x:f>'Evaluation Plan'!I86</x:f>
        <x:v>Concept/compositional transfer</x:v>
      </x:c>
      <x:c r="J86" s="9" t="str">
        <x:f>'Evaluation Plan'!J86</x:f>
        <x:v>SZ-CT-LG13</x:v>
      </x:c>
      <x:c r="K86" s="9" t="str">
        <x:f>'Evaluation Plan'!K86</x:f>
        <x:v>largest</x:v>
      </x:c>
      <x:c r="L86" s="9" t="str">
        <x:f>'Evaluation Plan'!L86</x:f>
        <x:v>Held-out largest × green block — Move</x:v>
      </x:c>
      <x:c r="M86" s="9" t="str">
        <x:f>'Evaluation Plan'!M86</x:f>
        <x:v>green block</x:v>
      </x:c>
      <x:c r="N86" s="9" t="str">
        <x:f>'Evaluation Plan'!N86</x:f>
        <x:v>Left</x:v>
      </x:c>
      <x:c r="O86" s="9" t="n">
        <x:f>'Evaluation Plan'!O86</x:f>
        <x:v>2</x:v>
      </x:c>
      <x:c r="P86" s="9" t="n">
        <x:f>IF(ISBLANK('Evaluation Plan'!P86),"",'Evaluation Plan'!P86)</x:f>
        <x:v>8</x:v>
      </x:c>
      <x:c r="Q86" s="9" t="str">
        <x:f>'Evaluation Plan'!Q86</x:f>
        <x:v>Build the listed two-object scene and save a first-frame filename.</x:v>
      </x:c>
      <x:c r="R86" s="10" t="str">
        <x:f>'Evaluation Plan'!R86</x:f>
        <x:v>Primary missing cell. Training episode 1092 contains the same target trajectory but masks the size word with a direct identity prompt.</x:v>
      </x:c>
      <x:c r="S86" s="10" t="str">
        <x:f>IF(ISBLANK('Evaluation Plan'!S86),"",'Evaluation Plan'!S86)</x:f>
      </x:c>
    </x:row>
    <x:row r="87" ht="68" customHeight="1">
      <x:c r="A87" s="9" t="str">
        <x:v>Not collected</x:v>
      </x:c>
      <x:c r="B87" s="9" t="n">
        <x:f>'Evaluation Plan'!B87</x:f>
        <x:v>85</x:v>
      </x:c>
      <x:c r="C87" s="10" t="str">
        <x:f>'Evaluation Plan'!C87</x:f>
        <x:v>Pick up the smallest item and place it in the bowl.</x:v>
      </x:c>
      <x:c r="D87" s="10" t="str">
        <x:f>'Evaluation Plan'!D87</x:f>
        <x:v>Bowl: empty. Table, robot-left→robot-right: P1 crushed Pepsi can; P2 juggling ball. Adjacent centers 12 cm apart; row shifted 4 cm away from the robot; all objects fully visible and grasp paths clear.</x:v>
      </x:c>
      <x:c r="E87" s="9" t="str">
        <x:f>IF(ISBLANK('Evaluation Plan'!E87),"",'Evaluation Plan'!E87)</x:f>
      </x:c>
      <x:c r="F87" s="9" t="str">
        <x:f>'Evaluation Plan'!F87</x:f>
        <x:v>1117</x:v>
      </x:c>
      <x:c r="G87" s="9" t="str">
        <x:f>'Evaluation Plan'!G87</x:f>
        <x:v>MOVE juggling ball to bowl</x:v>
      </x:c>
      <x:c r="H87" s="10"/>
      <x:c r="I87" s="9" t="str">
        <x:f>'Evaluation Plan'!I87</x:f>
        <x:v>Concept/compositional transfer</x:v>
      </x:c>
      <x:c r="J87" s="9" t="str">
        <x:f>'Evaluation Plan'!J87</x:f>
        <x:v>SZ-CT-SJ13</x:v>
      </x:c>
      <x:c r="K87" s="9" t="str">
        <x:f>'Evaluation Plan'!K87</x:f>
        <x:v>smallest</x:v>
      </x:c>
      <x:c r="L87" s="9" t="str">
        <x:f>'Evaluation Plan'!L87</x:f>
        <x:v>Held-out smallest × juggling ball — Pick up</x:v>
      </x:c>
      <x:c r="M87" s="9" t="str">
        <x:f>'Evaluation Plan'!M87</x:f>
        <x:v>juggling ball</x:v>
      </x:c>
      <x:c r="N87" s="9" t="str">
        <x:f>'Evaluation Plan'!N87</x:f>
        <x:v>Right</x:v>
      </x:c>
      <x:c r="O87" s="9" t="n">
        <x:f>'Evaluation Plan'!O87</x:f>
        <x:v>2</x:v>
      </x:c>
      <x:c r="P87" s="9" t="n">
        <x:f>IF(ISBLANK('Evaluation Plan'!P87),"",'Evaluation Plan'!P87)</x:f>
        <x:v>12</x:v>
      </x:c>
      <x:c r="Q87" s="9" t="str">
        <x:f>'Evaluation Plan'!Q87</x:f>
        <x:v>Build the listed two-object scene and save a first-frame filename.</x:v>
      </x:c>
      <x:c r="R87" s="10" t="str">
        <x:f>'Evaluation Plan'!R87</x:f>
        <x:v>Primary missing cell. Training episode 1117 contains the same target trajectory but masks the size word with a direct identity prompt.</x:v>
      </x:c>
      <x:c r="S87" s="10" t="str">
        <x:f>IF(ISBLANK('Evaluation Plan'!S87),"",'Evaluation Plan'!S87)</x:f>
      </x:c>
    </x:row>
    <x:row r="88" ht="68" customHeight="1">
      <x:c r="A88" s="9" t="str">
        <x:v>Not collected</x:v>
      </x:c>
      <x:c r="B88" s="9" t="n">
        <x:f>'Evaluation Plan'!B88</x:f>
        <x:v>86</x:v>
      </x:c>
      <x:c r="C88" s="10" t="str">
        <x:f>'Evaluation Plan'!C88</x:f>
        <x:v>Pick up the largest item and place it in the bowl.</x:v>
      </x:c>
      <x:c r="D88" s="10" t="str">
        <x:f>'Evaluation Plan'!D88</x:f>
        <x:v>Bowl: empty. Table, robot-left→robot-right: P1 red pencil sharpener; P2 green block. Adjacent centers 12 cm apart; row shifted 4 cm toward the robot; all objects fully visible and grasp paths clear.</x:v>
      </x:c>
      <x:c r="E88" s="9" t="str">
        <x:f>IF(ISBLANK('Evaluation Plan'!E88),"",'Evaluation Plan'!E88)</x:f>
      </x:c>
      <x:c r="F88" s="9" t="str">
        <x:f>'Evaluation Plan'!F88</x:f>
        <x:v>1093</x:v>
      </x:c>
      <x:c r="G88" s="9" t="str">
        <x:f>'Evaluation Plan'!G88</x:f>
        <x:v>MOVE green block to bowl</x:v>
      </x:c>
      <x:c r="H88" s="10"/>
      <x:c r="I88" s="9" t="str">
        <x:f>'Evaluation Plan'!I88</x:f>
        <x:v>Concept/compositional transfer</x:v>
      </x:c>
      <x:c r="J88" s="9" t="str">
        <x:f>'Evaluation Plan'!J88</x:f>
        <x:v>SZ-CT-LG14</x:v>
      </x:c>
      <x:c r="K88" s="9" t="str">
        <x:f>'Evaluation Plan'!K88</x:f>
        <x:v>largest</x:v>
      </x:c>
      <x:c r="L88" s="9" t="str">
        <x:f>'Evaluation Plan'!L88</x:f>
        <x:v>Held-out largest × green block — Pick up</x:v>
      </x:c>
      <x:c r="M88" s="9" t="str">
        <x:f>'Evaluation Plan'!M88</x:f>
        <x:v>green block</x:v>
      </x:c>
      <x:c r="N88" s="9" t="str">
        <x:f>'Evaluation Plan'!N88</x:f>
        <x:v>Right</x:v>
      </x:c>
      <x:c r="O88" s="9" t="n">
        <x:f>'Evaluation Plan'!O88</x:f>
        <x:v>2</x:v>
      </x:c>
      <x:c r="P88" s="9" t="n">
        <x:f>IF(ISBLANK('Evaluation Plan'!P88),"",'Evaluation Plan'!P88)</x:f>
        <x:v>12</x:v>
      </x:c>
      <x:c r="Q88" s="9" t="str">
        <x:f>'Evaluation Plan'!Q88</x:f>
        <x:v>Build the listed two-object scene and save a first-frame filename.</x:v>
      </x:c>
      <x:c r="R88" s="10" t="str">
        <x:f>'Evaluation Plan'!R88</x:f>
        <x:v>Primary missing cell. Training episode 1093 contains the same target trajectory but masks the size word with a direct identity prompt.</x:v>
      </x:c>
      <x:c r="S88" s="10" t="str">
        <x:f>IF(ISBLANK('Evaluation Plan'!S88),"",'Evaluation Plan'!S88)</x:f>
      </x:c>
    </x:row>
    <x:row r="89" ht="68" customHeight="1">
      <x:c r="A89" s="9" t="str">
        <x:v>Not collected</x:v>
      </x:c>
      <x:c r="B89" s="9" t="n">
        <x:f>'Evaluation Plan'!B89</x:f>
        <x:v>87</x:v>
      </x:c>
      <x:c r="C89" s="10" t="str">
        <x:f>'Evaluation Plan'!C89</x:f>
        <x:v>Put the smallest object in the bowl.</x:v>
      </x:c>
      <x:c r="D89" s="10" t="str">
        <x:f>'Evaluation Plan'!D89</x:f>
        <x:v>Bowl: empty. Table, robot-left→robot-right: P1 juggling ball; P2 crushed Pepsi can. Adjacent centers 16 cm apart; row centered on the workspace; all objects fully visible and grasp paths clear.</x:v>
      </x:c>
      <x:c r="E89" s="9" t="str">
        <x:f>IF(ISBLANK('Evaluation Plan'!E89),"",'Evaluation Plan'!E89)</x:f>
      </x:c>
      <x:c r="F89" s="9" t="str">
        <x:f>'Evaluation Plan'!F89</x:f>
        <x:v>1118</x:v>
      </x:c>
      <x:c r="G89" s="9" t="str">
        <x:f>'Evaluation Plan'!G89</x:f>
        <x:v>MOVE juggling ball to bowl</x:v>
      </x:c>
      <x:c r="H89" s="10"/>
      <x:c r="I89" s="9" t="str">
        <x:f>'Evaluation Plan'!I89</x:f>
        <x:v>Concept/compositional transfer</x:v>
      </x:c>
      <x:c r="J89" s="9" t="str">
        <x:f>'Evaluation Plan'!J89</x:f>
        <x:v>SZ-CT-SJ14</x:v>
      </x:c>
      <x:c r="K89" s="9" t="str">
        <x:f>'Evaluation Plan'!K89</x:f>
        <x:v>smallest</x:v>
      </x:c>
      <x:c r="L89" s="9" t="str">
        <x:f>'Evaluation Plan'!L89</x:f>
        <x:v>Held-out smallest × juggling ball — Put</x:v>
      </x:c>
      <x:c r="M89" s="9" t="str">
        <x:f>'Evaluation Plan'!M89</x:f>
        <x:v>juggling ball</x:v>
      </x:c>
      <x:c r="N89" s="9" t="str">
        <x:f>'Evaluation Plan'!N89</x:f>
        <x:v>Left</x:v>
      </x:c>
      <x:c r="O89" s="9" t="n">
        <x:f>'Evaluation Plan'!O89</x:f>
        <x:v>2</x:v>
      </x:c>
      <x:c r="P89" s="9" t="n">
        <x:f>IF(ISBLANK('Evaluation Plan'!P89),"",'Evaluation Plan'!P89)</x:f>
        <x:v>16</x:v>
      </x:c>
      <x:c r="Q89" s="9" t="str">
        <x:f>'Evaluation Plan'!Q89</x:f>
        <x:v>Build the listed two-object scene and save a first-frame filename.</x:v>
      </x:c>
      <x:c r="R89" s="10" t="str">
        <x:f>'Evaluation Plan'!R89</x:f>
        <x:v>Primary missing cell. Training episode 1118 contains the same target trajectory but masks the size word with a direct identity prompt.</x:v>
      </x:c>
      <x:c r="S89" s="10" t="str">
        <x:f>IF(ISBLANK('Evaluation Plan'!S89),"",'Evaluation Plan'!S89)</x:f>
      </x:c>
    </x:row>
    <x:row r="90" ht="68" customHeight="1">
      <x:c r="A90" s="9" t="str">
        <x:v>Not collected</x:v>
      </x:c>
      <x:c r="B90" s="9" t="n">
        <x:f>'Evaluation Plan'!B90</x:f>
        <x:v>88</x:v>
      </x:c>
      <x:c r="C90" s="10" t="str">
        <x:f>'Evaluation Plan'!C90</x:f>
        <x:v>Put the largest object in the bowl.</x:v>
      </x:c>
      <x:c r="D90" s="10" t="str">
        <x:f>'Evaluation Plan'!D90</x:f>
        <x:v>Bowl: empty. Table, robot-left→robot-right: P1 green block; P2 red pencil sharpener. Adjacent centers 16 cm apart; row shifted 4 cm away from the robot; all objects fully visible and grasp paths clear.</x:v>
      </x:c>
      <x:c r="E90" s="9" t="str">
        <x:f>IF(ISBLANK('Evaluation Plan'!E90),"",'Evaluation Plan'!E90)</x:f>
      </x:c>
      <x:c r="F90" s="9" t="str">
        <x:f>'Evaluation Plan'!F90</x:f>
        <x:v>1094</x:v>
      </x:c>
      <x:c r="G90" s="9" t="str">
        <x:f>'Evaluation Plan'!G90</x:f>
        <x:v>MOVE green block to bowl</x:v>
      </x:c>
      <x:c r="H90" s="10"/>
      <x:c r="I90" s="9" t="str">
        <x:f>'Evaluation Plan'!I90</x:f>
        <x:v>Concept/compositional transfer</x:v>
      </x:c>
      <x:c r="J90" s="9" t="str">
        <x:f>'Evaluation Plan'!J90</x:f>
        <x:v>SZ-CT-LG15</x:v>
      </x:c>
      <x:c r="K90" s="9" t="str">
        <x:f>'Evaluation Plan'!K90</x:f>
        <x:v>largest</x:v>
      </x:c>
      <x:c r="L90" s="9" t="str">
        <x:f>'Evaluation Plan'!L90</x:f>
        <x:v>Held-out largest × green block — Put</x:v>
      </x:c>
      <x:c r="M90" s="9" t="str">
        <x:f>'Evaluation Plan'!M90</x:f>
        <x:v>green block</x:v>
      </x:c>
      <x:c r="N90" s="9" t="str">
        <x:f>'Evaluation Plan'!N90</x:f>
        <x:v>Left</x:v>
      </x:c>
      <x:c r="O90" s="9" t="n">
        <x:f>'Evaluation Plan'!O90</x:f>
        <x:v>2</x:v>
      </x:c>
      <x:c r="P90" s="9" t="n">
        <x:f>IF(ISBLANK('Evaluation Plan'!P90),"",'Evaluation Plan'!P90)</x:f>
        <x:v>16</x:v>
      </x:c>
      <x:c r="Q90" s="9" t="str">
        <x:f>'Evaluation Plan'!Q90</x:f>
        <x:v>Build the listed two-object scene and save a first-frame filename.</x:v>
      </x:c>
      <x:c r="R90" s="10" t="str">
        <x:f>'Evaluation Plan'!R90</x:f>
        <x:v>Primary missing cell. Training episode 1094 contains the same target trajectory but masks the size word with a direct identity prompt.</x:v>
      </x:c>
      <x:c r="S90" s="10" t="str">
        <x:f>IF(ISBLANK('Evaluation Plan'!S90),"",'Evaluation Plan'!S90)</x:f>
      </x:c>
    </x:row>
    <x:row r="91" ht="68" customHeight="1">
      <x:c r="A91" s="9" t="str">
        <x:v>Not collected</x:v>
      </x:c>
      <x:c r="B91" s="9" t="n">
        <x:f>'Evaluation Plan'!B91</x:f>
        <x:v>89</x:v>
      </x:c>
      <x:c r="C91" s="10" t="str">
        <x:f>'Evaluation Plan'!C91</x:f>
        <x:v>Move the object that is smallest into the bowl.</x:v>
      </x:c>
      <x:c r="D91" s="10" t="str">
        <x:f>'Evaluation Plan'!D91</x:f>
        <x:v>Bowl: empty. Table, robot-left→robot-right: P1 crushed Pepsi can; P2 juggling ball. Adjacent centers 8 cm apart; row shifted 4 cm toward robot-left; all objects fully visible and grasp paths clear.</x:v>
      </x:c>
      <x:c r="E91" s="9" t="str">
        <x:f>IF(ISBLANK('Evaluation Plan'!E91),"",'Evaluation Plan'!E91)</x:f>
      </x:c>
      <x:c r="F91" s="9" t="str">
        <x:f>'Evaluation Plan'!F91</x:f>
        <x:v>1119</x:v>
      </x:c>
      <x:c r="G91" s="9" t="str">
        <x:f>'Evaluation Plan'!G91</x:f>
        <x:v>MOVE juggling ball to bowl</x:v>
      </x:c>
      <x:c r="H91" s="10"/>
      <x:c r="I91" s="9" t="str">
        <x:f>'Evaluation Plan'!I91</x:f>
        <x:v>Concept/compositional transfer</x:v>
      </x:c>
      <x:c r="J91" s="9" t="str">
        <x:f>'Evaluation Plan'!J91</x:f>
        <x:v>SZ-CT-SJ15</x:v>
      </x:c>
      <x:c r="K91" s="9" t="str">
        <x:f>'Evaluation Plan'!K91</x:f>
        <x:v>smallest</x:v>
      </x:c>
      <x:c r="L91" s="9" t="str">
        <x:f>'Evaluation Plan'!L91</x:f>
        <x:v>Held-out smallest × juggling ball — Move</x:v>
      </x:c>
      <x:c r="M91" s="9" t="str">
        <x:f>'Evaluation Plan'!M91</x:f>
        <x:v>juggling ball</x:v>
      </x:c>
      <x:c r="N91" s="9" t="str">
        <x:f>'Evaluation Plan'!N91</x:f>
        <x:v>Right</x:v>
      </x:c>
      <x:c r="O91" s="9" t="n">
        <x:f>'Evaluation Plan'!O91</x:f>
        <x:v>2</x:v>
      </x:c>
      <x:c r="P91" s="9" t="n">
        <x:f>IF(ISBLANK('Evaluation Plan'!P91),"",'Evaluation Plan'!P91)</x:f>
        <x:v>8</x:v>
      </x:c>
      <x:c r="Q91" s="9" t="str">
        <x:f>'Evaluation Plan'!Q91</x:f>
        <x:v>Build the listed two-object scene and save a first-frame filename.</x:v>
      </x:c>
      <x:c r="R91" s="10" t="str">
        <x:f>'Evaluation Plan'!R91</x:f>
        <x:v>Primary missing cell. Training episode 1119 contains the same target trajectory but masks the size word with a direct identity prompt.</x:v>
      </x:c>
      <x:c r="S91" s="10" t="str">
        <x:f>IF(ISBLANK('Evaluation Plan'!S91),"",'Evaluation Plan'!S91)</x:f>
      </x:c>
    </x:row>
    <x:row r="92" ht="68" customHeight="1">
      <x:c r="A92" s="9" t="str">
        <x:v>Not collected</x:v>
      </x:c>
      <x:c r="B92" s="9" t="n">
        <x:f>'Evaluation Plan'!B92</x:f>
        <x:v>90</x:v>
      </x:c>
      <x:c r="C92" s="10" t="str">
        <x:f>'Evaluation Plan'!C92</x:f>
        <x:v>Move the object that is largest into the bowl.</x:v>
      </x:c>
      <x:c r="D92" s="10" t="str">
        <x:f>'Evaluation Plan'!D92</x:f>
        <x:v>Bowl: empty. Table, robot-left→robot-right: P1 red pencil sharpener; P2 green block. Adjacent centers 8 cm apart; row centered on the workspace; all objects fully visible and grasp paths clear.</x:v>
      </x:c>
      <x:c r="E92" s="9" t="str">
        <x:f>IF(ISBLANK('Evaluation Plan'!E92),"",'Evaluation Plan'!E92)</x:f>
      </x:c>
      <x:c r="F92" s="9" t="str">
        <x:f>'Evaluation Plan'!F92</x:f>
        <x:v>1095</x:v>
      </x:c>
      <x:c r="G92" s="9" t="str">
        <x:f>'Evaluation Plan'!G92</x:f>
        <x:v>MOVE green block to bowl</x:v>
      </x:c>
      <x:c r="H92" s="10"/>
      <x:c r="I92" s="9" t="str">
        <x:f>'Evaluation Plan'!I92</x:f>
        <x:v>Concept/compositional transfer</x:v>
      </x:c>
      <x:c r="J92" s="9" t="str">
        <x:f>'Evaluation Plan'!J92</x:f>
        <x:v>SZ-CT-LG16</x:v>
      </x:c>
      <x:c r="K92" s="9" t="str">
        <x:f>'Evaluation Plan'!K92</x:f>
        <x:v>largest</x:v>
      </x:c>
      <x:c r="L92" s="9" t="str">
        <x:f>'Evaluation Plan'!L92</x:f>
        <x:v>Held-out largest × green block — Move</x:v>
      </x:c>
      <x:c r="M92" s="9" t="str">
        <x:f>'Evaluation Plan'!M92</x:f>
        <x:v>green block</x:v>
      </x:c>
      <x:c r="N92" s="9" t="str">
        <x:f>'Evaluation Plan'!N92</x:f>
        <x:v>Right</x:v>
      </x:c>
      <x:c r="O92" s="9" t="n">
        <x:f>'Evaluation Plan'!O92</x:f>
        <x:v>2</x:v>
      </x:c>
      <x:c r="P92" s="9" t="n">
        <x:f>IF(ISBLANK('Evaluation Plan'!P92),"",'Evaluation Plan'!P92)</x:f>
        <x:v>8</x:v>
      </x:c>
      <x:c r="Q92" s="9" t="str">
        <x:f>'Evaluation Plan'!Q92</x:f>
        <x:v>Build the listed two-object scene and save a first-frame filename.</x:v>
      </x:c>
      <x:c r="R92" s="10" t="str">
        <x:f>'Evaluation Plan'!R92</x:f>
        <x:v>Primary missing cell. Training episode 1095 contains the same target trajectory but masks the size word with a direct identity prompt.</x:v>
      </x:c>
      <x:c r="S92" s="10" t="str">
        <x:f>IF(ISBLANK('Evaluation Plan'!S92),"",'Evaluation Plan'!S92)</x:f>
      </x:c>
    </x:row>
    <x:row r="93" ht="68" customHeight="1">
      <x:c r="A93" s="9" t="str">
        <x:v>Not collected</x:v>
      </x:c>
      <x:c r="B93" s="9" t="n">
        <x:f>'Evaluation Plan'!B93</x:f>
        <x:v>91</x:v>
      </x:c>
      <x:c r="C93" s="10" t="str">
        <x:f>'Evaluation Plan'!C93</x:f>
        <x:v>Pick up the smallest item and place it in the bowl.</x:v>
      </x:c>
      <x:c r="D93" s="10" t="str">
        <x:f>'Evaluation Plan'!D93</x:f>
        <x:v>Bowl: empty. Table, robot-left→robot-right: P1 juggling ball; P2 crushed Pepsi can. Adjacent centers 12 cm apart; row shifted 4 cm toward robot-right; all objects fully visible and grasp paths clear.</x:v>
      </x:c>
      <x:c r="E93" s="9" t="str">
        <x:f>IF(ISBLANK('Evaluation Plan'!E93),"",'Evaluation Plan'!E93)</x:f>
      </x:c>
      <x:c r="F93" s="9" t="str">
        <x:f>'Evaluation Plan'!F93</x:f>
        <x:v>1120</x:v>
      </x:c>
      <x:c r="G93" s="9" t="str">
        <x:f>'Evaluation Plan'!G93</x:f>
        <x:v>MOVE juggling ball to bowl</x:v>
      </x:c>
      <x:c r="H93" s="10"/>
      <x:c r="I93" s="9" t="str">
        <x:f>'Evaluation Plan'!I93</x:f>
        <x:v>Concept/compositional transfer</x:v>
      </x:c>
      <x:c r="J93" s="9" t="str">
        <x:f>'Evaluation Plan'!J93</x:f>
        <x:v>SZ-CT-SJ16</x:v>
      </x:c>
      <x:c r="K93" s="9" t="str">
        <x:f>'Evaluation Plan'!K93</x:f>
        <x:v>smallest</x:v>
      </x:c>
      <x:c r="L93" s="9" t="str">
        <x:f>'Evaluation Plan'!L93</x:f>
        <x:v>Held-out smallest × juggling ball — Pick up</x:v>
      </x:c>
      <x:c r="M93" s="9" t="str">
        <x:f>'Evaluation Plan'!M93</x:f>
        <x:v>juggling ball</x:v>
      </x:c>
      <x:c r="N93" s="9" t="str">
        <x:f>'Evaluation Plan'!N93</x:f>
        <x:v>Left</x:v>
      </x:c>
      <x:c r="O93" s="9" t="n">
        <x:f>'Evaluation Plan'!O93</x:f>
        <x:v>2</x:v>
      </x:c>
      <x:c r="P93" s="9" t="n">
        <x:f>IF(ISBLANK('Evaluation Plan'!P93),"",'Evaluation Plan'!P93)</x:f>
        <x:v>12</x:v>
      </x:c>
      <x:c r="Q93" s="9" t="str">
        <x:f>'Evaluation Plan'!Q93</x:f>
        <x:v>Build the listed two-object scene and save a first-frame filename.</x:v>
      </x:c>
      <x:c r="R93" s="10" t="str">
        <x:f>'Evaluation Plan'!R93</x:f>
        <x:v>Primary missing cell. Training episode 1120 contains the same target trajectory but masks the size word with a direct identity prompt.</x:v>
      </x:c>
      <x:c r="S93" s="10" t="str">
        <x:f>IF(ISBLANK('Evaluation Plan'!S93),"",'Evaluation Plan'!S93)</x:f>
      </x:c>
    </x:row>
    <x:row r="94" ht="68" customHeight="1">
      <x:c r="A94" s="9" t="str">
        <x:v>Not collected</x:v>
      </x:c>
      <x:c r="B94" s="9" t="n">
        <x:f>'Evaluation Plan'!B94</x:f>
        <x:v>92</x:v>
      </x:c>
      <x:c r="C94" s="10" t="str">
        <x:f>'Evaluation Plan'!C94</x:f>
        <x:v>Pick up the largest item and place it in the bowl.</x:v>
      </x:c>
      <x:c r="D94" s="10" t="str">
        <x:f>'Evaluation Plan'!D94</x:f>
        <x:v>Bowl: empty. Table, robot-left→robot-right: P1 green block; P2 red pencil sharpener. Adjacent centers 12 cm apart; row shifted 4 cm toward robot-left; all objects fully visible and grasp paths clear.</x:v>
      </x:c>
      <x:c r="E94" s="9" t="str">
        <x:f>IF(ISBLANK('Evaluation Plan'!E94),"",'Evaluation Plan'!E94)</x:f>
      </x:c>
      <x:c r="F94" s="9" t="str">
        <x:f>'Evaluation Plan'!F94</x:f>
        <x:v>1096</x:v>
      </x:c>
      <x:c r="G94" s="9" t="str">
        <x:f>'Evaluation Plan'!G94</x:f>
        <x:v>MOVE green block to bowl</x:v>
      </x:c>
      <x:c r="H94" s="10"/>
      <x:c r="I94" s="9" t="str">
        <x:f>'Evaluation Plan'!I94</x:f>
        <x:v>Concept/compositional transfer</x:v>
      </x:c>
      <x:c r="J94" s="9" t="str">
        <x:f>'Evaluation Plan'!J94</x:f>
        <x:v>SZ-CT-LG17</x:v>
      </x:c>
      <x:c r="K94" s="9" t="str">
        <x:f>'Evaluation Plan'!K94</x:f>
        <x:v>largest</x:v>
      </x:c>
      <x:c r="L94" s="9" t="str">
        <x:f>'Evaluation Plan'!L94</x:f>
        <x:v>Held-out largest × green block — Pick up</x:v>
      </x:c>
      <x:c r="M94" s="9" t="str">
        <x:f>'Evaluation Plan'!M94</x:f>
        <x:v>green block</x:v>
      </x:c>
      <x:c r="N94" s="9" t="str">
        <x:f>'Evaluation Plan'!N94</x:f>
        <x:v>Left</x:v>
      </x:c>
      <x:c r="O94" s="9" t="n">
        <x:f>'Evaluation Plan'!O94</x:f>
        <x:v>2</x:v>
      </x:c>
      <x:c r="P94" s="9" t="n">
        <x:f>IF(ISBLANK('Evaluation Plan'!P94),"",'Evaluation Plan'!P94)</x:f>
        <x:v>12</x:v>
      </x:c>
      <x:c r="Q94" s="9" t="str">
        <x:f>'Evaluation Plan'!Q94</x:f>
        <x:v>Build the listed two-object scene and save a first-frame filename.</x:v>
      </x:c>
      <x:c r="R94" s="10" t="str">
        <x:f>'Evaluation Plan'!R94</x:f>
        <x:v>Primary missing cell. Training episode 1096 contains the same target trajectory but masks the size word with a direct identity prompt.</x:v>
      </x:c>
      <x:c r="S94" s="10" t="str">
        <x:f>IF(ISBLANK('Evaluation Plan'!S94),"",'Evaluation Plan'!S94)</x:f>
      </x:c>
    </x:row>
    <x:row r="95" ht="68" customHeight="1">
      <x:c r="A95" s="9" t="str">
        <x:v>Not collected</x:v>
      </x:c>
      <x:c r="B95" s="9" t="n">
        <x:f>'Evaluation Plan'!B95</x:f>
        <x:v>93</x:v>
      </x:c>
      <x:c r="C95" s="10" t="str">
        <x:f>'Evaluation Plan'!C95</x:f>
        <x:v>Put the smallest object in the bowl.</x:v>
      </x:c>
      <x:c r="D95" s="10" t="str">
        <x:f>'Evaluation Plan'!D95</x:f>
        <x:v>Bowl: empty. Table, robot-left→robot-right: P1 crushed Pepsi can; P2 juggling ball. Adjacent centers 16 cm apart; row shifted 4 cm toward the robot; all objects fully visible and grasp paths clear.</x:v>
      </x:c>
      <x:c r="E95" s="9" t="str">
        <x:f>IF(ISBLANK('Evaluation Plan'!E95),"",'Evaluation Plan'!E95)</x:f>
      </x:c>
      <x:c r="F95" s="9" t="str">
        <x:f>'Evaluation Plan'!F95</x:f>
        <x:v>1121</x:v>
      </x:c>
      <x:c r="G95" s="9" t="str">
        <x:f>'Evaluation Plan'!G95</x:f>
        <x:v>MOVE juggling ball to bowl</x:v>
      </x:c>
      <x:c r="H95" s="10"/>
      <x:c r="I95" s="9" t="str">
        <x:f>'Evaluation Plan'!I95</x:f>
        <x:v>Concept/compositional transfer</x:v>
      </x:c>
      <x:c r="J95" s="9" t="str">
        <x:f>'Evaluation Plan'!J95</x:f>
        <x:v>SZ-CT-SJ17</x:v>
      </x:c>
      <x:c r="K95" s="9" t="str">
        <x:f>'Evaluation Plan'!K95</x:f>
        <x:v>smallest</x:v>
      </x:c>
      <x:c r="L95" s="9" t="str">
        <x:f>'Evaluation Plan'!L95</x:f>
        <x:v>Held-out smallest × juggling ball — Put</x:v>
      </x:c>
      <x:c r="M95" s="9" t="str">
        <x:f>'Evaluation Plan'!M95</x:f>
        <x:v>juggling ball</x:v>
      </x:c>
      <x:c r="N95" s="9" t="str">
        <x:f>'Evaluation Plan'!N95</x:f>
        <x:v>Right</x:v>
      </x:c>
      <x:c r="O95" s="9" t="n">
        <x:f>'Evaluation Plan'!O95</x:f>
        <x:v>2</x:v>
      </x:c>
      <x:c r="P95" s="9" t="n">
        <x:f>IF(ISBLANK('Evaluation Plan'!P95),"",'Evaluation Plan'!P95)</x:f>
        <x:v>16</x:v>
      </x:c>
      <x:c r="Q95" s="9" t="str">
        <x:f>'Evaluation Plan'!Q95</x:f>
        <x:v>Build the listed two-object scene and save a first-frame filename.</x:v>
      </x:c>
      <x:c r="R95" s="10" t="str">
        <x:f>'Evaluation Plan'!R95</x:f>
        <x:v>Primary missing cell. Training episode 1121 contains the same target trajectory but masks the size word with a direct identity prompt.</x:v>
      </x:c>
      <x:c r="S95" s="10" t="str">
        <x:f>IF(ISBLANK('Evaluation Plan'!S95),"",'Evaluation Plan'!S95)</x:f>
      </x:c>
    </x:row>
    <x:row r="96" ht="68" customHeight="1">
      <x:c r="A96" s="9" t="str">
        <x:v>Not collected</x:v>
      </x:c>
      <x:c r="B96" s="9" t="n">
        <x:f>'Evaluation Plan'!B96</x:f>
        <x:v>94</x:v>
      </x:c>
      <x:c r="C96" s="10" t="str">
        <x:f>'Evaluation Plan'!C96</x:f>
        <x:v>Put the largest object in the bowl.</x:v>
      </x:c>
      <x:c r="D96" s="10" t="str">
        <x:f>'Evaluation Plan'!D96</x:f>
        <x:v>Bowl: empty. Table, robot-left→robot-right: P1 red pencil sharpener; P2 green block. Adjacent centers 16 cm apart; row shifted 4 cm toward robot-right; all objects fully visible and grasp paths clear.</x:v>
      </x:c>
      <x:c r="E96" s="9" t="str">
        <x:f>IF(ISBLANK('Evaluation Plan'!E96),"",'Evaluation Plan'!E96)</x:f>
      </x:c>
      <x:c r="F96" s="9" t="str">
        <x:f>'Evaluation Plan'!F96</x:f>
        <x:v>1097</x:v>
      </x:c>
      <x:c r="G96" s="9" t="str">
        <x:f>'Evaluation Plan'!G96</x:f>
        <x:v>MOVE green block to bowl</x:v>
      </x:c>
      <x:c r="H96" s="10"/>
      <x:c r="I96" s="9" t="str">
        <x:f>'Evaluation Plan'!I96</x:f>
        <x:v>Concept/compositional transfer</x:v>
      </x:c>
      <x:c r="J96" s="9" t="str">
        <x:f>'Evaluation Plan'!J96</x:f>
        <x:v>SZ-CT-LG18</x:v>
      </x:c>
      <x:c r="K96" s="9" t="str">
        <x:f>'Evaluation Plan'!K96</x:f>
        <x:v>largest</x:v>
      </x:c>
      <x:c r="L96" s="9" t="str">
        <x:f>'Evaluation Plan'!L96</x:f>
        <x:v>Held-out largest × green block — Put</x:v>
      </x:c>
      <x:c r="M96" s="9" t="str">
        <x:f>'Evaluation Plan'!M96</x:f>
        <x:v>green block</x:v>
      </x:c>
      <x:c r="N96" s="9" t="str">
        <x:f>'Evaluation Plan'!N96</x:f>
        <x:v>Right</x:v>
      </x:c>
      <x:c r="O96" s="9" t="n">
        <x:f>'Evaluation Plan'!O96</x:f>
        <x:v>2</x:v>
      </x:c>
      <x:c r="P96" s="9" t="n">
        <x:f>IF(ISBLANK('Evaluation Plan'!P96),"",'Evaluation Plan'!P96)</x:f>
        <x:v>16</x:v>
      </x:c>
      <x:c r="Q96" s="9" t="str">
        <x:f>'Evaluation Plan'!Q96</x:f>
        <x:v>Build the listed two-object scene and save a first-frame filename.</x:v>
      </x:c>
      <x:c r="R96" s="10" t="str">
        <x:f>'Evaluation Plan'!R96</x:f>
        <x:v>Primary missing cell. Training episode 1097 contains the same target trajectory but masks the size word with a direct identity prompt.</x:v>
      </x:c>
      <x:c r="S96" s="10" t="str">
        <x:f>IF(ISBLANK('Evaluation Plan'!S96),"",'Evaluation Plan'!S96)</x:f>
      </x:c>
    </x:row>
    <x:row r="97" ht="68" customHeight="1">
      <x:c r="A97" s="9" t="str">
        <x:v>Not collected</x:v>
      </x:c>
      <x:c r="B97" s="9" t="n">
        <x:f>'Evaluation Plan'!B97</x:f>
        <x:v>95</x:v>
      </x:c>
      <x:c r="C97" s="10" t="str">
        <x:f>'Evaluation Plan'!C97</x:f>
        <x:v>Move the object that is smallest into the bowl.</x:v>
      </x:c>
      <x:c r="D97" s="10" t="str">
        <x:f>'Evaluation Plan'!D97</x:f>
        <x:v>Bowl: empty. Table, robot-left→robot-right: P1 juggling ball; P2 crushed Pepsi can. Adjacent centers 8 cm apart; row shifted 4 cm away from the robot; all objects fully visible and grasp paths clear.</x:v>
      </x:c>
      <x:c r="E97" s="9" t="str">
        <x:f>IF(ISBLANK('Evaluation Plan'!E97),"",'Evaluation Plan'!E97)</x:f>
      </x:c>
      <x:c r="F97" s="9" t="str">
        <x:f>'Evaluation Plan'!F97</x:f>
        <x:v>1122</x:v>
      </x:c>
      <x:c r="G97" s="9" t="str">
        <x:f>'Evaluation Plan'!G97</x:f>
        <x:v>MOVE juggling ball to bowl</x:v>
      </x:c>
      <x:c r="H97" s="10"/>
      <x:c r="I97" s="9" t="str">
        <x:f>'Evaluation Plan'!I97</x:f>
        <x:v>Concept/compositional transfer</x:v>
      </x:c>
      <x:c r="J97" s="9" t="str">
        <x:f>'Evaluation Plan'!J97</x:f>
        <x:v>SZ-CT-SJ18</x:v>
      </x:c>
      <x:c r="K97" s="9" t="str">
        <x:f>'Evaluation Plan'!K97</x:f>
        <x:v>smallest</x:v>
      </x:c>
      <x:c r="L97" s="9" t="str">
        <x:f>'Evaluation Plan'!L97</x:f>
        <x:v>Held-out smallest × juggling ball — Move</x:v>
      </x:c>
      <x:c r="M97" s="9" t="str">
        <x:f>'Evaluation Plan'!M97</x:f>
        <x:v>juggling ball</x:v>
      </x:c>
      <x:c r="N97" s="9" t="str">
        <x:f>'Evaluation Plan'!N97</x:f>
        <x:v>Left</x:v>
      </x:c>
      <x:c r="O97" s="9" t="n">
        <x:f>'Evaluation Plan'!O97</x:f>
        <x:v>2</x:v>
      </x:c>
      <x:c r="P97" s="9" t="n">
        <x:f>IF(ISBLANK('Evaluation Plan'!P97),"",'Evaluation Plan'!P97)</x:f>
        <x:v>8</x:v>
      </x:c>
      <x:c r="Q97" s="9" t="str">
        <x:f>'Evaluation Plan'!Q97</x:f>
        <x:v>Build the listed two-object scene and save a first-frame filename.</x:v>
      </x:c>
      <x:c r="R97" s="10" t="str">
        <x:f>'Evaluation Plan'!R97</x:f>
        <x:v>Primary missing cell. Training episode 1122 contains the same target trajectory but masks the size word with a direct identity prompt.</x:v>
      </x:c>
      <x:c r="S97" s="10" t="str">
        <x:f>IF(ISBLANK('Evaluation Plan'!S97),"",'Evaluation Plan'!S97)</x:f>
      </x:c>
    </x:row>
    <x:row r="98" ht="68" customHeight="1">
      <x:c r="A98" s="9" t="str">
        <x:v>Not collected</x:v>
      </x:c>
      <x:c r="B98" s="9" t="n">
        <x:f>'Evaluation Plan'!B98</x:f>
        <x:v>96</x:v>
      </x:c>
      <x:c r="C98" s="10" t="str">
        <x:f>'Evaluation Plan'!C98</x:f>
        <x:v>Move the object that is largest into the bowl.</x:v>
      </x:c>
      <x:c r="D98" s="10" t="str">
        <x:f>'Evaluation Plan'!D98</x:f>
        <x:v>Bowl: empty. Table, robot-left→robot-right: P1 green block; P2 red pencil sharpener. Adjacent centers 8 cm apart; row shifted 4 cm toward the robot; all objects fully visible and grasp paths clear.</x:v>
      </x:c>
      <x:c r="E98" s="9" t="str">
        <x:f>IF(ISBLANK('Evaluation Plan'!E98),"",'Evaluation Plan'!E98)</x:f>
      </x:c>
      <x:c r="F98" s="9" t="str">
        <x:f>'Evaluation Plan'!F98</x:f>
        <x:v>1098</x:v>
      </x:c>
      <x:c r="G98" s="9" t="str">
        <x:f>'Evaluation Plan'!G98</x:f>
        <x:v>MOVE green block to bowl</x:v>
      </x:c>
      <x:c r="H98" s="10"/>
      <x:c r="I98" s="9" t="str">
        <x:f>'Evaluation Plan'!I98</x:f>
        <x:v>Concept/compositional transfer</x:v>
      </x:c>
      <x:c r="J98" s="9" t="str">
        <x:f>'Evaluation Plan'!J98</x:f>
        <x:v>SZ-CT-LG19</x:v>
      </x:c>
      <x:c r="K98" s="9" t="str">
        <x:f>'Evaluation Plan'!K98</x:f>
        <x:v>largest</x:v>
      </x:c>
      <x:c r="L98" s="9" t="str">
        <x:f>'Evaluation Plan'!L98</x:f>
        <x:v>Held-out largest × green block — Move</x:v>
      </x:c>
      <x:c r="M98" s="9" t="str">
        <x:f>'Evaluation Plan'!M98</x:f>
        <x:v>green block</x:v>
      </x:c>
      <x:c r="N98" s="9" t="str">
        <x:f>'Evaluation Plan'!N98</x:f>
        <x:v>Left</x:v>
      </x:c>
      <x:c r="O98" s="9" t="n">
        <x:f>'Evaluation Plan'!O98</x:f>
        <x:v>2</x:v>
      </x:c>
      <x:c r="P98" s="9" t="n">
        <x:f>IF(ISBLANK('Evaluation Plan'!P98),"",'Evaluation Plan'!P98)</x:f>
        <x:v>8</x:v>
      </x:c>
      <x:c r="Q98" s="9" t="str">
        <x:f>'Evaluation Plan'!Q98</x:f>
        <x:v>Build the listed two-object scene and save a first-frame filename.</x:v>
      </x:c>
      <x:c r="R98" s="10" t="str">
        <x:f>'Evaluation Plan'!R98</x:f>
        <x:v>Primary missing cell. Training episode 1098 contains the same target trajectory but masks the size word with a direct identity prompt.</x:v>
      </x:c>
      <x:c r="S98" s="10" t="str">
        <x:f>IF(ISBLANK('Evaluation Plan'!S98),"",'Evaluation Plan'!S98)</x:f>
      </x:c>
    </x:row>
    <x:row r="99" ht="68" customHeight="1">
      <x:c r="A99" s="9" t="str">
        <x:v>Not collected</x:v>
      </x:c>
      <x:c r="B99" s="9" t="n">
        <x:f>'Evaluation Plan'!B99</x:f>
        <x:v>97</x:v>
      </x:c>
      <x:c r="C99" s="10" t="str">
        <x:f>'Evaluation Plan'!C99</x:f>
        <x:v>Pick up the smallest item and place it in the bowl.</x:v>
      </x:c>
      <x:c r="D99" s="10" t="str">
        <x:f>'Evaluation Plan'!D99</x:f>
        <x:v>Bowl: empty. Table, robot-left→robot-right: P1 crushed Pepsi can; P2 juggling ball. Adjacent centers 12 cm apart; row centered on the workspace; all objects fully visible and grasp paths clear.</x:v>
      </x:c>
      <x:c r="E99" s="9" t="str">
        <x:f>IF(ISBLANK('Evaluation Plan'!E99),"",'Evaluation Plan'!E99)</x:f>
      </x:c>
      <x:c r="F99" s="9" t="str">
        <x:f>'Evaluation Plan'!F99</x:f>
        <x:v>1123</x:v>
      </x:c>
      <x:c r="G99" s="9" t="str">
        <x:f>'Evaluation Plan'!G99</x:f>
        <x:v>MOVE juggling ball to bowl</x:v>
      </x:c>
      <x:c r="H99" s="10"/>
      <x:c r="I99" s="9" t="str">
        <x:f>'Evaluation Plan'!I99</x:f>
        <x:v>Concept/compositional transfer</x:v>
      </x:c>
      <x:c r="J99" s="9" t="str">
        <x:f>'Evaluation Plan'!J99</x:f>
        <x:v>SZ-CT-SJ19</x:v>
      </x:c>
      <x:c r="K99" s="9" t="str">
        <x:f>'Evaluation Plan'!K99</x:f>
        <x:v>smallest</x:v>
      </x:c>
      <x:c r="L99" s="9" t="str">
        <x:f>'Evaluation Plan'!L99</x:f>
        <x:v>Held-out smallest × juggling ball — Pick up</x:v>
      </x:c>
      <x:c r="M99" s="9" t="str">
        <x:f>'Evaluation Plan'!M99</x:f>
        <x:v>juggling ball</x:v>
      </x:c>
      <x:c r="N99" s="9" t="str">
        <x:f>'Evaluation Plan'!N99</x:f>
        <x:v>Right</x:v>
      </x:c>
      <x:c r="O99" s="9" t="n">
        <x:f>'Evaluation Plan'!O99</x:f>
        <x:v>2</x:v>
      </x:c>
      <x:c r="P99" s="9" t="n">
        <x:f>IF(ISBLANK('Evaluation Plan'!P99),"",'Evaluation Plan'!P99)</x:f>
        <x:v>12</x:v>
      </x:c>
      <x:c r="Q99" s="9" t="str">
        <x:f>'Evaluation Plan'!Q99</x:f>
        <x:v>Build the listed two-object scene and save a first-frame filename.</x:v>
      </x:c>
      <x:c r="R99" s="10" t="str">
        <x:f>'Evaluation Plan'!R99</x:f>
        <x:v>Primary missing cell. Training episode 1123 contains the same target trajectory but masks the size word with a direct identity prompt.</x:v>
      </x:c>
      <x:c r="S99" s="10" t="str">
        <x:f>IF(ISBLANK('Evaluation Plan'!S99),"",'Evaluation Plan'!S99)</x:f>
      </x:c>
    </x:row>
    <x:row r="100" ht="68" customHeight="1">
      <x:c r="A100" s="9" t="str">
        <x:v>Not collected</x:v>
      </x:c>
      <x:c r="B100" s="9" t="n">
        <x:f>'Evaluation Plan'!B100</x:f>
        <x:v>98</x:v>
      </x:c>
      <x:c r="C100" s="10" t="str">
        <x:f>'Evaluation Plan'!C100</x:f>
        <x:v>Pick up the largest item and place it in the bowl.</x:v>
      </x:c>
      <x:c r="D100" s="10" t="str">
        <x:f>'Evaluation Plan'!D100</x:f>
        <x:v>Bowl: empty. Table, robot-left→robot-right: P1 red pencil sharpener; P2 green block. Adjacent centers 12 cm apart; row shifted 4 cm away from the robot; all objects fully visible and grasp paths clear.</x:v>
      </x:c>
      <x:c r="E100" s="9" t="str">
        <x:f>IF(ISBLANK('Evaluation Plan'!E100),"",'Evaluation Plan'!E100)</x:f>
      </x:c>
      <x:c r="F100" s="9" t="str">
        <x:f>'Evaluation Plan'!F100</x:f>
        <x:v>1099</x:v>
      </x:c>
      <x:c r="G100" s="9" t="str">
        <x:f>'Evaluation Plan'!G100</x:f>
        <x:v>MOVE green block to bowl</x:v>
      </x:c>
      <x:c r="H100" s="10"/>
      <x:c r="I100" s="9" t="str">
        <x:f>'Evaluation Plan'!I100</x:f>
        <x:v>Concept/compositional transfer</x:v>
      </x:c>
      <x:c r="J100" s="9" t="str">
        <x:f>'Evaluation Plan'!J100</x:f>
        <x:v>SZ-CT-LG20</x:v>
      </x:c>
      <x:c r="K100" s="9" t="str">
        <x:f>'Evaluation Plan'!K100</x:f>
        <x:v>largest</x:v>
      </x:c>
      <x:c r="L100" s="9" t="str">
        <x:f>'Evaluation Plan'!L100</x:f>
        <x:v>Held-out largest × green block — Pick up</x:v>
      </x:c>
      <x:c r="M100" s="9" t="str">
        <x:f>'Evaluation Plan'!M100</x:f>
        <x:v>green block</x:v>
      </x:c>
      <x:c r="N100" s="9" t="str">
        <x:f>'Evaluation Plan'!N100</x:f>
        <x:v>Right</x:v>
      </x:c>
      <x:c r="O100" s="9" t="n">
        <x:f>'Evaluation Plan'!O100</x:f>
        <x:v>2</x:v>
      </x:c>
      <x:c r="P100" s="9" t="n">
        <x:f>IF(ISBLANK('Evaluation Plan'!P100),"",'Evaluation Plan'!P100)</x:f>
        <x:v>12</x:v>
      </x:c>
      <x:c r="Q100" s="9" t="str">
        <x:f>'Evaluation Plan'!Q100</x:f>
        <x:v>Build the listed two-object scene and save a first-frame filename.</x:v>
      </x:c>
      <x:c r="R100" s="10" t="str">
        <x:f>'Evaluation Plan'!R100</x:f>
        <x:v>Primary missing cell. Training episode 1099 contains the same target trajectory but masks the size word with a direct identity prompt.</x:v>
      </x:c>
      <x:c r="S100" s="10" t="str">
        <x:f>IF(ISBLANK('Evaluation Plan'!S100),"",'Evaluation Plan'!S100)</x:f>
      </x:c>
    </x:row>
    <x:row r="101" ht="68" customHeight="1">
      <x:c r="A101" s="9" t="str">
        <x:v>Not collected</x:v>
      </x:c>
      <x:c r="B101" s="9" t="n">
        <x:f>'Evaluation Plan'!B101</x:f>
        <x:v>99</x:v>
      </x:c>
      <x:c r="C101" s="10" t="str">
        <x:f>'Evaluation Plan'!C101</x:f>
        <x:v>Put the smallest object in the bowl.</x:v>
      </x:c>
      <x:c r="D101" s="10" t="str">
        <x:f>'Evaluation Plan'!D101</x:f>
        <x:v>Bowl: empty. Table, robot-left→robot-right: P1 juggling ball; P2 crushed Pepsi can. Adjacent centers 16 cm apart; row shifted 4 cm toward robot-left; all objects fully visible and grasp paths clear.</x:v>
      </x:c>
      <x:c r="E101" s="9" t="str">
        <x:f>IF(ISBLANK('Evaluation Plan'!E101),"",'Evaluation Plan'!E101)</x:f>
      </x:c>
      <x:c r="F101" s="9" t="str">
        <x:f>'Evaluation Plan'!F101</x:f>
        <x:v>1124</x:v>
      </x:c>
      <x:c r="G101" s="9" t="str">
        <x:f>'Evaluation Plan'!G101</x:f>
        <x:v>MOVE juggling ball to bowl</x:v>
      </x:c>
      <x:c r="H101" s="10"/>
      <x:c r="I101" s="9" t="str">
        <x:f>'Evaluation Plan'!I101</x:f>
        <x:v>Concept/compositional transfer</x:v>
      </x:c>
      <x:c r="J101" s="9" t="str">
        <x:f>'Evaluation Plan'!J101</x:f>
        <x:v>SZ-CT-SJ20</x:v>
      </x:c>
      <x:c r="K101" s="9" t="str">
        <x:f>'Evaluation Plan'!K101</x:f>
        <x:v>smallest</x:v>
      </x:c>
      <x:c r="L101" s="9" t="str">
        <x:f>'Evaluation Plan'!L101</x:f>
        <x:v>Held-out smallest × juggling ball — Put</x:v>
      </x:c>
      <x:c r="M101" s="9" t="str">
        <x:f>'Evaluation Plan'!M101</x:f>
        <x:v>juggling ball</x:v>
      </x:c>
      <x:c r="N101" s="9" t="str">
        <x:f>'Evaluation Plan'!N101</x:f>
        <x:v>Left</x:v>
      </x:c>
      <x:c r="O101" s="9" t="n">
        <x:f>'Evaluation Plan'!O101</x:f>
        <x:v>2</x:v>
      </x:c>
      <x:c r="P101" s="9" t="n">
        <x:f>IF(ISBLANK('Evaluation Plan'!P101),"",'Evaluation Plan'!P101)</x:f>
        <x:v>16</x:v>
      </x:c>
      <x:c r="Q101" s="9" t="str">
        <x:f>'Evaluation Plan'!Q101</x:f>
        <x:v>Build the listed two-object scene and save a first-frame filename.</x:v>
      </x:c>
      <x:c r="R101" s="10" t="str">
        <x:f>'Evaluation Plan'!R101</x:f>
        <x:v>Primary missing cell. Training episode 1124 contains the same target trajectory but masks the size word with a direct identity prompt.</x:v>
      </x:c>
      <x:c r="S101" s="10" t="str">
        <x:f>IF(ISBLANK('Evaluation Plan'!S101),"",'Evaluation Plan'!S101)</x:f>
      </x:c>
    </x:row>
    <x:row r="102" ht="68" customHeight="1">
      <x:c r="A102" s="9" t="str">
        <x:v>Not collected</x:v>
      </x:c>
      <x:c r="B102" s="9" t="n">
        <x:f>'Evaluation Plan'!B102</x:f>
        <x:v>100</x:v>
      </x:c>
      <x:c r="C102" s="10" t="str">
        <x:f>'Evaluation Plan'!C102</x:f>
        <x:v>Put the largest object in the bowl.</x:v>
      </x:c>
      <x:c r="D102" s="10" t="str">
        <x:f>'Evaluation Plan'!D102</x:f>
        <x:v>Bowl: empty. Table, robot-left→robot-right: P1 green block; P2 red pencil sharpener. Adjacent centers 16 cm apart; row centered on the workspace; all objects fully visible and grasp paths clear.</x:v>
      </x:c>
      <x:c r="E102" s="9" t="str">
        <x:f>IF(ISBLANK('Evaluation Plan'!E102),"",'Evaluation Plan'!E102)</x:f>
      </x:c>
      <x:c r="F102" s="9" t="str">
        <x:f>'Evaluation Plan'!F102</x:f>
        <x:v>1080</x:v>
      </x:c>
      <x:c r="G102" s="9" t="str">
        <x:f>'Evaluation Plan'!G102</x:f>
        <x:v>MOVE green block to bowl</x:v>
      </x:c>
      <x:c r="H102" s="10"/>
      <x:c r="I102" s="9" t="str">
        <x:f>'Evaluation Plan'!I102</x:f>
        <x:v>Concept/compositional transfer</x:v>
      </x:c>
      <x:c r="J102" s="9" t="str">
        <x:f>'Evaluation Plan'!J102</x:f>
        <x:v>SZ-CT-LG21</x:v>
      </x:c>
      <x:c r="K102" s="9" t="str">
        <x:f>'Evaluation Plan'!K102</x:f>
        <x:v>largest</x:v>
      </x:c>
      <x:c r="L102" s="9" t="str">
        <x:f>'Evaluation Plan'!L102</x:f>
        <x:v>Held-out largest × green block — Put</x:v>
      </x:c>
      <x:c r="M102" s="9" t="str">
        <x:f>'Evaluation Plan'!M102</x:f>
        <x:v>green block</x:v>
      </x:c>
      <x:c r="N102" s="9" t="str">
        <x:f>'Evaluation Plan'!N102</x:f>
        <x:v>Left</x:v>
      </x:c>
      <x:c r="O102" s="9" t="n">
        <x:f>'Evaluation Plan'!O102</x:f>
        <x:v>2</x:v>
      </x:c>
      <x:c r="P102" s="9" t="n">
        <x:f>IF(ISBLANK('Evaluation Plan'!P102),"",'Evaluation Plan'!P102)</x:f>
        <x:v>16</x:v>
      </x:c>
      <x:c r="Q102" s="9" t="str">
        <x:f>'Evaluation Plan'!Q102</x:f>
        <x:v>Build the listed two-object scene and save a first-frame filename.</x:v>
      </x:c>
      <x:c r="R102" s="10" t="str">
        <x:f>'Evaluation Plan'!R102</x:f>
        <x:v>Primary missing cell. Training episode 1080 contains the same target trajectory but masks the size word with a direct identity prompt.</x:v>
      </x:c>
      <x:c r="S102" s="10" t="str">
        <x:f>IF(ISBLANK('Evaluation Plan'!S102),"",'Evaluation Plan'!S102)</x:f>
      </x:c>
    </x:row>
    <x:row r="103" ht="68" customHeight="1">
      <x:c r="A103" s="9" t="str">
        <x:v>Not collected</x:v>
      </x:c>
      <x:c r="B103" s="9" t="n">
        <x:f>'Evaluation Plan'!B103</x:f>
        <x:v>101</x:v>
      </x:c>
      <x:c r="C103" s="10" t="str">
        <x:f>'Evaluation Plan'!C103</x:f>
        <x:v>Move the object that is smallest into the bowl.</x:v>
      </x:c>
      <x:c r="D103" s="10" t="str">
        <x:f>'Evaluation Plan'!D103</x:f>
        <x:v>Bowl: empty. Table, robot-left→robot-right: P1 crushed Pepsi can; P2 juggling ball. Adjacent centers 8 cm apart; row shifted 4 cm toward robot-right; all objects fully visible and grasp paths clear.</x:v>
      </x:c>
      <x:c r="E103" s="9" t="str">
        <x:f>IF(ISBLANK('Evaluation Plan'!E103),"",'Evaluation Plan'!E103)</x:f>
      </x:c>
      <x:c r="F103" s="9" t="str">
        <x:f>'Evaluation Plan'!F103</x:f>
        <x:v>1105</x:v>
      </x:c>
      <x:c r="G103" s="9" t="str">
        <x:f>'Evaluation Plan'!G103</x:f>
        <x:v>MOVE juggling ball to bowl</x:v>
      </x:c>
      <x:c r="H103" s="10"/>
      <x:c r="I103" s="9" t="str">
        <x:f>'Evaluation Plan'!I103</x:f>
        <x:v>Concept/compositional transfer</x:v>
      </x:c>
      <x:c r="J103" s="9" t="str">
        <x:f>'Evaluation Plan'!J103</x:f>
        <x:v>SZ-CT-SJ21</x:v>
      </x:c>
      <x:c r="K103" s="9" t="str">
        <x:f>'Evaluation Plan'!K103</x:f>
        <x:v>smallest</x:v>
      </x:c>
      <x:c r="L103" s="9" t="str">
        <x:f>'Evaluation Plan'!L103</x:f>
        <x:v>Held-out smallest × juggling ball — Move</x:v>
      </x:c>
      <x:c r="M103" s="9" t="str">
        <x:f>'Evaluation Plan'!M103</x:f>
        <x:v>juggling ball</x:v>
      </x:c>
      <x:c r="N103" s="9" t="str">
        <x:f>'Evaluation Plan'!N103</x:f>
        <x:v>Right</x:v>
      </x:c>
      <x:c r="O103" s="9" t="n">
        <x:f>'Evaluation Plan'!O103</x:f>
        <x:v>2</x:v>
      </x:c>
      <x:c r="P103" s="9" t="n">
        <x:f>IF(ISBLANK('Evaluation Plan'!P103),"",'Evaluation Plan'!P103)</x:f>
        <x:v>8</x:v>
      </x:c>
      <x:c r="Q103" s="9" t="str">
        <x:f>'Evaluation Plan'!Q103</x:f>
        <x:v>Build the listed two-object scene and save a first-frame filename.</x:v>
      </x:c>
      <x:c r="R103" s="10" t="str">
        <x:f>'Evaluation Plan'!R103</x:f>
        <x:v>Primary missing cell. Training episode 1105 contains the same target trajectory but masks the size word with a direct identity prompt.</x:v>
      </x:c>
      <x:c r="S103" s="10" t="str">
        <x:f>IF(ISBLANK('Evaluation Plan'!S103),"",'Evaluation Plan'!S103)</x:f>
      </x:c>
    </x:row>
    <x:row r="104" ht="68" customHeight="1">
      <x:c r="A104" s="9" t="str">
        <x:v>Not collected</x:v>
      </x:c>
      <x:c r="B104" s="9" t="n">
        <x:f>'Evaluation Plan'!B104</x:f>
        <x:v>102</x:v>
      </x:c>
      <x:c r="C104" s="10" t="str">
        <x:f>'Evaluation Plan'!C104</x:f>
        <x:v>Move the object that is largest into the bowl.</x:v>
      </x:c>
      <x:c r="D104" s="10" t="str">
        <x:f>'Evaluation Plan'!D104</x:f>
        <x:v>Bowl: empty. Table, robot-left→robot-right: P1 red pencil sharpener; P2 green block. Adjacent centers 8 cm apart; row shifted 4 cm toward robot-left; all objects fully visible and grasp paths clear.</x:v>
      </x:c>
      <x:c r="E104" s="9" t="str">
        <x:f>IF(ISBLANK('Evaluation Plan'!E104),"",'Evaluation Plan'!E104)</x:f>
      </x:c>
      <x:c r="F104" s="9" t="str">
        <x:f>'Evaluation Plan'!F104</x:f>
        <x:v>1081</x:v>
      </x:c>
      <x:c r="G104" s="9" t="str">
        <x:f>'Evaluation Plan'!G104</x:f>
        <x:v>MOVE green block to bowl</x:v>
      </x:c>
      <x:c r="H104" s="10"/>
      <x:c r="I104" s="9" t="str">
        <x:f>'Evaluation Plan'!I104</x:f>
        <x:v>Concept/compositional transfer</x:v>
      </x:c>
      <x:c r="J104" s="9" t="str">
        <x:f>'Evaluation Plan'!J104</x:f>
        <x:v>SZ-CT-LG22</x:v>
      </x:c>
      <x:c r="K104" s="9" t="str">
        <x:f>'Evaluation Plan'!K104</x:f>
        <x:v>largest</x:v>
      </x:c>
      <x:c r="L104" s="9" t="str">
        <x:f>'Evaluation Plan'!L104</x:f>
        <x:v>Held-out largest × green block — Move</x:v>
      </x:c>
      <x:c r="M104" s="9" t="str">
        <x:f>'Evaluation Plan'!M104</x:f>
        <x:v>green block</x:v>
      </x:c>
      <x:c r="N104" s="9" t="str">
        <x:f>'Evaluation Plan'!N104</x:f>
        <x:v>Right</x:v>
      </x:c>
      <x:c r="O104" s="9" t="n">
        <x:f>'Evaluation Plan'!O104</x:f>
        <x:v>2</x:v>
      </x:c>
      <x:c r="P104" s="9" t="n">
        <x:f>IF(ISBLANK('Evaluation Plan'!P104),"",'Evaluation Plan'!P104)</x:f>
        <x:v>8</x:v>
      </x:c>
      <x:c r="Q104" s="9" t="str">
        <x:f>'Evaluation Plan'!Q104</x:f>
        <x:v>Build the listed two-object scene and save a first-frame filename.</x:v>
      </x:c>
      <x:c r="R104" s="10" t="str">
        <x:f>'Evaluation Plan'!R104</x:f>
        <x:v>Primary missing cell. Training episode 1081 contains the same target trajectory but masks the size word with a direct identity prompt.</x:v>
      </x:c>
      <x:c r="S104" s="10" t="str">
        <x:f>IF(ISBLANK('Evaluation Plan'!S104),"",'Evaluation Plan'!S104)</x:f>
      </x:c>
    </x:row>
    <x:row r="105" ht="68" customHeight="1">
      <x:c r="A105" s="9" t="str">
        <x:v>Not collected</x:v>
      </x:c>
      <x:c r="B105" s="9" t="n">
        <x:f>'Evaluation Plan'!B105</x:f>
        <x:v>103</x:v>
      </x:c>
      <x:c r="C105" s="10" t="str">
        <x:f>'Evaluation Plan'!C105</x:f>
        <x:v>Pick up the smallest item and place it in the bowl.</x:v>
      </x:c>
      <x:c r="D105" s="10" t="str">
        <x:f>'Evaluation Plan'!D105</x:f>
        <x:v>Bowl: empty. Table, robot-left→robot-right: P1 juggling ball; P2 crushed Pepsi can. Adjacent centers 12 cm apart; row shifted 4 cm toward the robot; all objects fully visible and grasp paths clear.</x:v>
      </x:c>
      <x:c r="E105" s="9" t="str">
        <x:f>IF(ISBLANK('Evaluation Plan'!E105),"",'Evaluation Plan'!E105)</x:f>
      </x:c>
      <x:c r="F105" s="9" t="str">
        <x:f>'Evaluation Plan'!F105</x:f>
        <x:v>1106</x:v>
      </x:c>
      <x:c r="G105" s="9" t="str">
        <x:f>'Evaluation Plan'!G105</x:f>
        <x:v>MOVE juggling ball to bowl</x:v>
      </x:c>
      <x:c r="H105" s="10"/>
      <x:c r="I105" s="9" t="str">
        <x:f>'Evaluation Plan'!I105</x:f>
        <x:v>Concept/compositional transfer</x:v>
      </x:c>
      <x:c r="J105" s="9" t="str">
        <x:f>'Evaluation Plan'!J105</x:f>
        <x:v>SZ-CT-SJ22</x:v>
      </x:c>
      <x:c r="K105" s="9" t="str">
        <x:f>'Evaluation Plan'!K105</x:f>
        <x:v>smallest</x:v>
      </x:c>
      <x:c r="L105" s="9" t="str">
        <x:f>'Evaluation Plan'!L105</x:f>
        <x:v>Held-out smallest × juggling ball — Pick up</x:v>
      </x:c>
      <x:c r="M105" s="9" t="str">
        <x:f>'Evaluation Plan'!M105</x:f>
        <x:v>juggling ball</x:v>
      </x:c>
      <x:c r="N105" s="9" t="str">
        <x:f>'Evaluation Plan'!N105</x:f>
        <x:v>Left</x:v>
      </x:c>
      <x:c r="O105" s="9" t="n">
        <x:f>'Evaluation Plan'!O105</x:f>
        <x:v>2</x:v>
      </x:c>
      <x:c r="P105" s="9" t="n">
        <x:f>IF(ISBLANK('Evaluation Plan'!P105),"",'Evaluation Plan'!P105)</x:f>
        <x:v>12</x:v>
      </x:c>
      <x:c r="Q105" s="9" t="str">
        <x:f>'Evaluation Plan'!Q105</x:f>
        <x:v>Build the listed two-object scene and save a first-frame filename.</x:v>
      </x:c>
      <x:c r="R105" s="10" t="str">
        <x:f>'Evaluation Plan'!R105</x:f>
        <x:v>Primary missing cell. Training episode 1106 contains the same target trajectory but masks the size word with a direct identity prompt.</x:v>
      </x:c>
      <x:c r="S105" s="10" t="str">
        <x:f>IF(ISBLANK('Evaluation Plan'!S105),"",'Evaluation Plan'!S105)</x:f>
      </x:c>
    </x:row>
    <x:row r="106" ht="68" customHeight="1">
      <x:c r="A106" s="9" t="str">
        <x:v>Not collected</x:v>
      </x:c>
      <x:c r="B106" s="9" t="n">
        <x:f>'Evaluation Plan'!B106</x:f>
        <x:v>104</x:v>
      </x:c>
      <x:c r="C106" s="10" t="str">
        <x:f>'Evaluation Plan'!C106</x:f>
        <x:v>Pick up the largest item and place it in the bowl.</x:v>
      </x:c>
      <x:c r="D106" s="10" t="str">
        <x:f>'Evaluation Plan'!D106</x:f>
        <x:v>Bowl: empty. Table, robot-left→robot-right: P1 green block; P2 red pencil sharpener. Adjacent centers 12 cm apart; row shifted 4 cm toward robot-right; all objects fully visible and grasp paths clear.</x:v>
      </x:c>
      <x:c r="E106" s="9" t="str">
        <x:f>IF(ISBLANK('Evaluation Plan'!E106),"",'Evaluation Plan'!E106)</x:f>
      </x:c>
      <x:c r="F106" s="9" t="str">
        <x:f>'Evaluation Plan'!F106</x:f>
        <x:v>1082</x:v>
      </x:c>
      <x:c r="G106" s="9" t="str">
        <x:f>'Evaluation Plan'!G106</x:f>
        <x:v>MOVE green block to bowl</x:v>
      </x:c>
      <x:c r="H106" s="10"/>
      <x:c r="I106" s="9" t="str">
        <x:f>'Evaluation Plan'!I106</x:f>
        <x:v>Concept/compositional transfer</x:v>
      </x:c>
      <x:c r="J106" s="9" t="str">
        <x:f>'Evaluation Plan'!J106</x:f>
        <x:v>SZ-CT-LG23</x:v>
      </x:c>
      <x:c r="K106" s="9" t="str">
        <x:f>'Evaluation Plan'!K106</x:f>
        <x:v>largest</x:v>
      </x:c>
      <x:c r="L106" s="9" t="str">
        <x:f>'Evaluation Plan'!L106</x:f>
        <x:v>Held-out largest × green block — Pick up</x:v>
      </x:c>
      <x:c r="M106" s="9" t="str">
        <x:f>'Evaluation Plan'!M106</x:f>
        <x:v>green block</x:v>
      </x:c>
      <x:c r="N106" s="9" t="str">
        <x:f>'Evaluation Plan'!N106</x:f>
        <x:v>Left</x:v>
      </x:c>
      <x:c r="O106" s="9" t="n">
        <x:f>'Evaluation Plan'!O106</x:f>
        <x:v>2</x:v>
      </x:c>
      <x:c r="P106" s="9" t="n">
        <x:f>IF(ISBLANK('Evaluation Plan'!P106),"",'Evaluation Plan'!P106)</x:f>
        <x:v>12</x:v>
      </x:c>
      <x:c r="Q106" s="9" t="str">
        <x:f>'Evaluation Plan'!Q106</x:f>
        <x:v>Build the listed two-object scene and save a first-frame filename.</x:v>
      </x:c>
      <x:c r="R106" s="10" t="str">
        <x:f>'Evaluation Plan'!R106</x:f>
        <x:v>Primary missing cell. Training episode 1082 contains the same target trajectory but masks the size word with a direct identity prompt.</x:v>
      </x:c>
      <x:c r="S106" s="10" t="str">
        <x:f>IF(ISBLANK('Evaluation Plan'!S106),"",'Evaluation Plan'!S106)</x:f>
      </x:c>
    </x:row>
    <x:row r="107" ht="68" customHeight="1">
      <x:c r="A107" s="9" t="str">
        <x:v>Not collected</x:v>
      </x:c>
      <x:c r="B107" s="9" t="n">
        <x:f>'Evaluation Plan'!B107</x:f>
        <x:v>105</x:v>
      </x:c>
      <x:c r="C107" s="10" t="str">
        <x:f>'Evaluation Plan'!C107</x:f>
        <x:v>Put the smallest object in the bowl.</x:v>
      </x:c>
      <x:c r="D107" s="10" t="str">
        <x:f>'Evaluation Plan'!D107</x:f>
        <x:v>Bowl: empty. Table, robot-left→robot-right: P1 crushed Pepsi can; P2 juggling ball. Adjacent centers 16 cm apart; row shifted 4 cm away from the robot; all objects fully visible and grasp paths clear.</x:v>
      </x:c>
      <x:c r="E107" s="9" t="str">
        <x:f>IF(ISBLANK('Evaluation Plan'!E107),"",'Evaluation Plan'!E107)</x:f>
      </x:c>
      <x:c r="F107" s="9" t="str">
        <x:f>'Evaluation Plan'!F107</x:f>
        <x:v>1107</x:v>
      </x:c>
      <x:c r="G107" s="9" t="str">
        <x:f>'Evaluation Plan'!G107</x:f>
        <x:v>MOVE juggling ball to bowl</x:v>
      </x:c>
      <x:c r="H107" s="10"/>
      <x:c r="I107" s="9" t="str">
        <x:f>'Evaluation Plan'!I107</x:f>
        <x:v>Concept/compositional transfer</x:v>
      </x:c>
      <x:c r="J107" s="9" t="str">
        <x:f>'Evaluation Plan'!J107</x:f>
        <x:v>SZ-CT-SJ23</x:v>
      </x:c>
      <x:c r="K107" s="9" t="str">
        <x:f>'Evaluation Plan'!K107</x:f>
        <x:v>smallest</x:v>
      </x:c>
      <x:c r="L107" s="9" t="str">
        <x:f>'Evaluation Plan'!L107</x:f>
        <x:v>Held-out smallest × juggling ball — Put</x:v>
      </x:c>
      <x:c r="M107" s="9" t="str">
        <x:f>'Evaluation Plan'!M107</x:f>
        <x:v>juggling ball</x:v>
      </x:c>
      <x:c r="N107" s="9" t="str">
        <x:f>'Evaluation Plan'!N107</x:f>
        <x:v>Right</x:v>
      </x:c>
      <x:c r="O107" s="9" t="n">
        <x:f>'Evaluation Plan'!O107</x:f>
        <x:v>2</x:v>
      </x:c>
      <x:c r="P107" s="9" t="n">
        <x:f>IF(ISBLANK('Evaluation Plan'!P107),"",'Evaluation Plan'!P107)</x:f>
        <x:v>16</x:v>
      </x:c>
      <x:c r="Q107" s="9" t="str">
        <x:f>'Evaluation Plan'!Q107</x:f>
        <x:v>Build the listed two-object scene and save a first-frame filename.</x:v>
      </x:c>
      <x:c r="R107" s="10" t="str">
        <x:f>'Evaluation Plan'!R107</x:f>
        <x:v>Primary missing cell. Training episode 1107 contains the same target trajectory but masks the size word with a direct identity prompt.</x:v>
      </x:c>
      <x:c r="S107" s="10" t="str">
        <x:f>IF(ISBLANK('Evaluation Plan'!S107),"",'Evaluation Plan'!S107)</x:f>
      </x:c>
    </x:row>
    <x:row r="108" ht="68" customHeight="1">
      <x:c r="A108" s="9" t="str">
        <x:v>Not collected</x:v>
      </x:c>
      <x:c r="B108" s="9" t="n">
        <x:f>'Evaluation Plan'!B108</x:f>
        <x:v>106</x:v>
      </x:c>
      <x:c r="C108" s="10" t="str">
        <x:f>'Evaluation Plan'!C108</x:f>
        <x:v>Put the largest object in the bowl.</x:v>
      </x:c>
      <x:c r="D108" s="10" t="str">
        <x:f>'Evaluation Plan'!D108</x:f>
        <x:v>Bowl: empty. Table, robot-left→robot-right: P1 red pencil sharpener; P2 green block. Adjacent centers 16 cm apart; row shifted 4 cm toward the robot; all objects fully visible and grasp paths clear.</x:v>
      </x:c>
      <x:c r="E108" s="9" t="str">
        <x:f>IF(ISBLANK('Evaluation Plan'!E108),"",'Evaluation Plan'!E108)</x:f>
      </x:c>
      <x:c r="F108" s="9" t="str">
        <x:f>'Evaluation Plan'!F108</x:f>
        <x:v>1083</x:v>
      </x:c>
      <x:c r="G108" s="9" t="str">
        <x:f>'Evaluation Plan'!G108</x:f>
        <x:v>MOVE green block to bowl</x:v>
      </x:c>
      <x:c r="H108" s="10"/>
      <x:c r="I108" s="9" t="str">
        <x:f>'Evaluation Plan'!I108</x:f>
        <x:v>Concept/compositional transfer</x:v>
      </x:c>
      <x:c r="J108" s="9" t="str">
        <x:f>'Evaluation Plan'!J108</x:f>
        <x:v>SZ-CT-LG24</x:v>
      </x:c>
      <x:c r="K108" s="9" t="str">
        <x:f>'Evaluation Plan'!K108</x:f>
        <x:v>largest</x:v>
      </x:c>
      <x:c r="L108" s="9" t="str">
        <x:f>'Evaluation Plan'!L108</x:f>
        <x:v>Held-out largest × green block — Put</x:v>
      </x:c>
      <x:c r="M108" s="9" t="str">
        <x:f>'Evaluation Plan'!M108</x:f>
        <x:v>green block</x:v>
      </x:c>
      <x:c r="N108" s="9" t="str">
        <x:f>'Evaluation Plan'!N108</x:f>
        <x:v>Right</x:v>
      </x:c>
      <x:c r="O108" s="9" t="n">
        <x:f>'Evaluation Plan'!O108</x:f>
        <x:v>2</x:v>
      </x:c>
      <x:c r="P108" s="9" t="n">
        <x:f>IF(ISBLANK('Evaluation Plan'!P108),"",'Evaluation Plan'!P108)</x:f>
        <x:v>16</x:v>
      </x:c>
      <x:c r="Q108" s="9" t="str">
        <x:f>'Evaluation Plan'!Q108</x:f>
        <x:v>Build the listed two-object scene and save a first-frame filename.</x:v>
      </x:c>
      <x:c r="R108" s="10" t="str">
        <x:f>'Evaluation Plan'!R108</x:f>
        <x:v>Primary missing cell. Training episode 1083 contains the same target trajectory but masks the size word with a direct identity prompt.</x:v>
      </x:c>
      <x:c r="S108" s="10" t="str">
        <x:f>IF(ISBLANK('Evaluation Plan'!S108),"",'Evaluation Plan'!S108)</x:f>
      </x:c>
    </x:row>
    <x:row r="109" ht="68" customHeight="1">
      <x:c r="A109" s="9" t="str">
        <x:v>Not collected</x:v>
      </x:c>
      <x:c r="B109" s="9" t="n">
        <x:f>'Evaluation Plan'!B109</x:f>
        <x:v>107</x:v>
      </x:c>
      <x:c r="C109" s="10" t="str">
        <x:f>'Evaluation Plan'!C109</x:f>
        <x:v>Move the object that is smallest into the bowl.</x:v>
      </x:c>
      <x:c r="D109" s="10" t="str">
        <x:f>'Evaluation Plan'!D109</x:f>
        <x:v>Bowl: empty. Table, robot-left→robot-right: P1 juggling ball; P2 crushed Pepsi can. Adjacent centers 8 cm apart; row centered on the workspace; all objects fully visible and grasp paths clear.</x:v>
      </x:c>
      <x:c r="E109" s="9" t="str">
        <x:f>IF(ISBLANK('Evaluation Plan'!E109),"",'Evaluation Plan'!E109)</x:f>
      </x:c>
      <x:c r="F109" s="9" t="str">
        <x:f>'Evaluation Plan'!F109</x:f>
        <x:v>1108</x:v>
      </x:c>
      <x:c r="G109" s="9" t="str">
        <x:f>'Evaluation Plan'!G109</x:f>
        <x:v>MOVE juggling ball to bowl</x:v>
      </x:c>
      <x:c r="H109" s="10"/>
      <x:c r="I109" s="9" t="str">
        <x:f>'Evaluation Plan'!I109</x:f>
        <x:v>Concept/compositional transfer</x:v>
      </x:c>
      <x:c r="J109" s="9" t="str">
        <x:f>'Evaluation Plan'!J109</x:f>
        <x:v>SZ-CT-SJ24</x:v>
      </x:c>
      <x:c r="K109" s="9" t="str">
        <x:f>'Evaluation Plan'!K109</x:f>
        <x:v>smallest</x:v>
      </x:c>
      <x:c r="L109" s="9" t="str">
        <x:f>'Evaluation Plan'!L109</x:f>
        <x:v>Held-out smallest × juggling ball — Move</x:v>
      </x:c>
      <x:c r="M109" s="9" t="str">
        <x:f>'Evaluation Plan'!M109</x:f>
        <x:v>juggling ball</x:v>
      </x:c>
      <x:c r="N109" s="9" t="str">
        <x:f>'Evaluation Plan'!N109</x:f>
        <x:v>Left</x:v>
      </x:c>
      <x:c r="O109" s="9" t="n">
        <x:f>'Evaluation Plan'!O109</x:f>
        <x:v>2</x:v>
      </x:c>
      <x:c r="P109" s="9" t="n">
        <x:f>IF(ISBLANK('Evaluation Plan'!P109),"",'Evaluation Plan'!P109)</x:f>
        <x:v>8</x:v>
      </x:c>
      <x:c r="Q109" s="9" t="str">
        <x:f>'Evaluation Plan'!Q109</x:f>
        <x:v>Build the listed two-object scene and save a first-frame filename.</x:v>
      </x:c>
      <x:c r="R109" s="10" t="str">
        <x:f>'Evaluation Plan'!R109</x:f>
        <x:v>Primary missing cell. Training episode 1108 contains the same target trajectory but masks the size word with a direct identity prompt.</x:v>
      </x:c>
      <x:c r="S109" s="10" t="str">
        <x:f>IF(ISBLANK('Evaluation Plan'!S109),"",'Evaluation Plan'!S109)</x:f>
      </x:c>
    </x:row>
    <x:row r="110" ht="68" customHeight="1">
      <x:c r="A110" s="9" t="str">
        <x:v>Not collected</x:v>
      </x:c>
      <x:c r="B110" s="9" t="n">
        <x:f>'Evaluation Plan'!B110</x:f>
        <x:v>108</x:v>
      </x:c>
      <x:c r="C110" s="10" t="str">
        <x:f>'Evaluation Plan'!C110</x:f>
        <x:v>Move the object that is largest into the bowl.</x:v>
      </x:c>
      <x:c r="D110" s="10" t="str">
        <x:f>'Evaluation Plan'!D110</x:f>
        <x:v>Bowl: empty. Table, robot-left→robot-right: P1 green block; P2 red pencil sharpener. Adjacent centers 8 cm apart; row shifted 4 cm away from the robot; all objects fully visible and grasp paths clear.</x:v>
      </x:c>
      <x:c r="E110" s="9" t="str">
        <x:f>IF(ISBLANK('Evaluation Plan'!E110),"",'Evaluation Plan'!E110)</x:f>
      </x:c>
      <x:c r="F110" s="9" t="str">
        <x:f>'Evaluation Plan'!F110</x:f>
        <x:v>1084</x:v>
      </x:c>
      <x:c r="G110" s="9" t="str">
        <x:f>'Evaluation Plan'!G110</x:f>
        <x:v>MOVE green block to bowl</x:v>
      </x:c>
      <x:c r="H110" s="10"/>
      <x:c r="I110" s="9" t="str">
        <x:f>'Evaluation Plan'!I110</x:f>
        <x:v>Concept/compositional transfer</x:v>
      </x:c>
      <x:c r="J110" s="9" t="str">
        <x:f>'Evaluation Plan'!J110</x:f>
        <x:v>SZ-CT-LG25</x:v>
      </x:c>
      <x:c r="K110" s="9" t="str">
        <x:f>'Evaluation Plan'!K110</x:f>
        <x:v>largest</x:v>
      </x:c>
      <x:c r="L110" s="9" t="str">
        <x:f>'Evaluation Plan'!L110</x:f>
        <x:v>Held-out largest × green block — Move</x:v>
      </x:c>
      <x:c r="M110" s="9" t="str">
        <x:f>'Evaluation Plan'!M110</x:f>
        <x:v>green block</x:v>
      </x:c>
      <x:c r="N110" s="9" t="str">
        <x:f>'Evaluation Plan'!N110</x:f>
        <x:v>Left</x:v>
      </x:c>
      <x:c r="O110" s="9" t="n">
        <x:f>'Evaluation Plan'!O110</x:f>
        <x:v>2</x:v>
      </x:c>
      <x:c r="P110" s="9" t="n">
        <x:f>IF(ISBLANK('Evaluation Plan'!P110),"",'Evaluation Plan'!P110)</x:f>
        <x:v>8</x:v>
      </x:c>
      <x:c r="Q110" s="9" t="str">
        <x:f>'Evaluation Plan'!Q110</x:f>
        <x:v>Build the listed two-object scene and save a first-frame filename.</x:v>
      </x:c>
      <x:c r="R110" s="10" t="str">
        <x:f>'Evaluation Plan'!R110</x:f>
        <x:v>Primary missing cell. Training episode 1084 contains the same target trajectory but masks the size word with a direct identity prompt.</x:v>
      </x:c>
      <x:c r="S110" s="10" t="str">
        <x:f>IF(ISBLANK('Evaluation Plan'!S110),"",'Evaluation Plan'!S110)</x:f>
      </x:c>
    </x:row>
    <x:row r="111" ht="68" customHeight="1">
      <x:c r="A111" s="9" t="str">
        <x:v>Not collected</x:v>
      </x:c>
      <x:c r="B111" s="9" t="n">
        <x:f>'Evaluation Plan'!B111</x:f>
        <x:v>109</x:v>
      </x:c>
      <x:c r="C111" s="10" t="str">
        <x:f>'Evaluation Plan'!C111</x:f>
        <x:v>Pick up the smallest item and place it in the bowl.</x:v>
      </x:c>
      <x:c r="D111" s="10" t="str">
        <x:f>'Evaluation Plan'!D111</x:f>
        <x:v>Bowl: empty. Table, robot-left→robot-right: P1 crushed Pepsi can; P2 juggling ball. Adjacent centers 12 cm apart; row shifted 4 cm toward robot-left; all objects fully visible and grasp paths clear.</x:v>
      </x:c>
      <x:c r="E111" s="9" t="str">
        <x:f>IF(ISBLANK('Evaluation Plan'!E111),"",'Evaluation Plan'!E111)</x:f>
      </x:c>
      <x:c r="F111" s="9" t="str">
        <x:f>'Evaluation Plan'!F111</x:f>
        <x:v>1109</x:v>
      </x:c>
      <x:c r="G111" s="9" t="str">
        <x:f>'Evaluation Plan'!G111</x:f>
        <x:v>MOVE juggling ball to bowl</x:v>
      </x:c>
      <x:c r="H111" s="10"/>
      <x:c r="I111" s="9" t="str">
        <x:f>'Evaluation Plan'!I111</x:f>
        <x:v>Concept/compositional transfer</x:v>
      </x:c>
      <x:c r="J111" s="9" t="str">
        <x:f>'Evaluation Plan'!J111</x:f>
        <x:v>SZ-CT-SJ25</x:v>
      </x:c>
      <x:c r="K111" s="9" t="str">
        <x:f>'Evaluation Plan'!K111</x:f>
        <x:v>smallest</x:v>
      </x:c>
      <x:c r="L111" s="9" t="str">
        <x:f>'Evaluation Plan'!L111</x:f>
        <x:v>Held-out smallest × juggling ball — Pick up</x:v>
      </x:c>
      <x:c r="M111" s="9" t="str">
        <x:f>'Evaluation Plan'!M111</x:f>
        <x:v>juggling ball</x:v>
      </x:c>
      <x:c r="N111" s="9" t="str">
        <x:f>'Evaluation Plan'!N111</x:f>
        <x:v>Right</x:v>
      </x:c>
      <x:c r="O111" s="9" t="n">
        <x:f>'Evaluation Plan'!O111</x:f>
        <x:v>2</x:v>
      </x:c>
      <x:c r="P111" s="9" t="n">
        <x:f>IF(ISBLANK('Evaluation Plan'!P111),"",'Evaluation Plan'!P111)</x:f>
        <x:v>12</x:v>
      </x:c>
      <x:c r="Q111" s="9" t="str">
        <x:f>'Evaluation Plan'!Q111</x:f>
        <x:v>Build the listed two-object scene and save a first-frame filename.</x:v>
      </x:c>
      <x:c r="R111" s="10" t="str">
        <x:f>'Evaluation Plan'!R111</x:f>
        <x:v>Primary missing cell. Training episode 1109 contains the same target trajectory but masks the size word with a direct identity prompt.</x:v>
      </x:c>
      <x:c r="S111" s="10" t="str">
        <x:f>IF(ISBLANK('Evaluation Plan'!S111),"",'Evaluation Plan'!S111)</x:f>
      </x:c>
    </x:row>
    <x:row r="112" ht="68" customHeight="1">
      <x:c r="A112" s="9" t="str">
        <x:v>Not collected</x:v>
      </x:c>
      <x:c r="B112" s="9" t="n">
        <x:f>'Evaluation Plan'!B112</x:f>
        <x:v>110</x:v>
      </x:c>
      <x:c r="C112" s="10" t="str">
        <x:f>'Evaluation Plan'!C112</x:f>
        <x:v>Move the object that is largest into the bowl.</x:v>
      </x:c>
      <x:c r="D112" s="10" t="str">
        <x:f>'Evaluation Plan'!D112</x:f>
        <x:v>Bowl: empty. Table, robot-left→robot-right: P1 airplane toy with propellers; P2 red pencil sharpener. Adjacent centers 8 cm apart; row centered on the workspace; all objects fully visible and grasp paths clear.</x:v>
      </x:c>
      <x:c r="E112" s="9" t="str">
        <x:f>IF(ISBLANK('Evaluation Plan'!E112),"",'Evaluation Plan'!E112)</x:f>
      </x:c>
      <x:c r="F112" s="9" t="str">
        <x:f>'Evaluation Plan'!F112</x:f>
        <x:v>airplane exposure 550</x:v>
      </x:c>
      <x:c r="G112" s="9" t="str">
        <x:f>'Evaluation Plan'!G112</x:f>
        <x:v>MOVE airplane toy with propellers to bowl</x:v>
      </x:c>
      <x:c r="H112" s="10"/>
      <x:c r="I112" s="9" t="str">
        <x:f>'Evaluation Plan'!I112</x:f>
        <x:v>Cross-task airplane reasoning</x:v>
      </x:c>
      <x:c r="J112" s="9" t="str">
        <x:f>'Evaluation Plan'!J112</x:f>
        <x:v>SZ-XA01</x:v>
      </x:c>
      <x:c r="K112" s="9" t="str">
        <x:f>'Evaluation Plan'!K112</x:f>
        <x:v>largest</x:v>
      </x:c>
      <x:c r="L112" s="9" t="str">
        <x:f>'Evaluation Plan'!L112</x:f>
        <x:v>Airplane is largest</x:v>
      </x:c>
      <x:c r="M112" s="9" t="str">
        <x:f>'Evaluation Plan'!M112</x:f>
        <x:v>airplane toy with propellers</x:v>
      </x:c>
      <x:c r="N112" s="9" t="str">
        <x:f>'Evaluation Plan'!N112</x:f>
        <x:v>Left</x:v>
      </x:c>
      <x:c r="O112" s="9" t="n">
        <x:f>'Evaluation Plan'!O112</x:f>
        <x:v>2</x:v>
      </x:c>
      <x:c r="P112" s="9" t="n">
        <x:f>IF(ISBLANK('Evaluation Plan'!P112),"",'Evaluation Plan'!P112)</x:f>
        <x:v>8</x:v>
      </x:c>
      <x:c r="Q112" s="9" t="str">
        <x:f>'Evaluation Plan'!Q112</x:f>
        <x:v>Build the listed airplane scene and save a first-frame filename.</x:v>
      </x:c>
      <x:c r="R112" s="10" t="str">
        <x:f>'Evaluation Plan'!R112</x:f>
        <x:v>The airplane is larger than the red pencil sharpener. It is known globally but never received size language in training.</x:v>
      </x:c>
      <x:c r="S112" s="10" t="str">
        <x:f>IF(ISBLANK('Evaluation Plan'!S112),"",'Evaluation Plan'!S112)</x:f>
      </x:c>
    </x:row>
    <x:row r="113" ht="68" customHeight="1">
      <x:c r="A113" s="8" t="str">
        <x:v>Not collected</x:v>
      </x:c>
      <x:c r="B113" s="8" t="n">
        <x:f>'Evaluation Plan'!B113</x:f>
        <x:v>111</x:v>
      </x:c>
      <x:c r="C113" s="7" t="str">
        <x:f>'Evaluation Plan'!C113</x:f>
        <x:v>Put the smallest object in the bowl.</x:v>
      </x:c>
      <x:c r="D113" s="7" t="str">
        <x:f>'Evaluation Plan'!D113</x:f>
        <x:v>Bowl: empty. Table, robot-left→robot-right: P1 airplane toy with propellers; P2 red pencil sharpener. Adjacent centers 8 cm apart; row centered on the workspace; all objects fully visible and grasp paths clear.</x:v>
      </x:c>
      <x:c r="E113" s="8" t="n">
        <x:f>IF(ISBLANK('Evaluation Plan'!E113),"",'Evaluation Plan'!E113)</x:f>
        <x:v>110</x:v>
      </x:c>
      <x:c r="F113" s="8" t="str">
        <x:f>'Evaluation Plan'!F113</x:f>
        <x:v>1005; airplane exposure 550</x:v>
      </x:c>
      <x:c r="G113" s="8" t="str">
        <x:f>'Evaluation Plan'!G113</x:f>
        <x:v>MOVE red pencil sharpener to bowl</x:v>
      </x:c>
      <x:c r="H113" s="7"/>
      <x:c r="I113" s="8" t="str">
        <x:f>'Evaluation Plan'!I113</x:f>
        <x:v>Cross-task airplane counterfactual</x:v>
      </x:c>
      <x:c r="J113" s="8" t="str">
        <x:f>'Evaluation Plan'!J113</x:f>
        <x:v>SZ-XA01</x:v>
      </x:c>
      <x:c r="K113" s="8" t="str">
        <x:f>'Evaluation Plan'!K113</x:f>
        <x:v>smallest</x:v>
      </x:c>
      <x:c r="L113" s="8" t="str">
        <x:f>'Evaluation Plan'!L113</x:f>
        <x:v>Exact-scene opposite-comparison reasoning control</x:v>
      </x:c>
      <x:c r="M113" s="8" t="str">
        <x:f>'Evaluation Plan'!M113</x:f>
        <x:v>red pencil sharpener</x:v>
      </x:c>
      <x:c r="N113" s="8" t="str">
        <x:f>'Evaluation Plan'!N113</x:f>
        <x:v>Right</x:v>
      </x:c>
      <x:c r="O113" s="8" t="n">
        <x:f>'Evaluation Plan'!O113</x:f>
        <x:v>2</x:v>
      </x:c>
      <x:c r="P113" s="8" t="n">
        <x:f>IF(ISBLANK('Evaluation Plan'!P113),"",'Evaluation Plan'!P113)</x:f>
        <x:v>8</x:v>
      </x:c>
      <x:c r="Q113" s="8" t="str">
        <x:f>'Evaluation Plan'!Q113</x:f>
        <x:v>Reset the airplane; preserve the exact scene and reverse only the size comparison.</x:v>
      </x:c>
      <x:c r="R113" s="7" t="str">
        <x:f>'Evaluation Plan'!R113</x:f>
        <x:v>Reasoning-only counterfactual grounded by trained cell smallest × red pencil sharpener; an always-pick-airplane shortcut must fail.</x:v>
      </x:c>
      <x:c r="S113" s="7" t="str">
        <x:f>IF(ISBLANK('Evaluation Plan'!S113),"",'Evaluation Plan'!S113)</x:f>
      </x:c>
    </x:row>
    <x:row r="114" ht="68" customHeight="1">
      <x:c r="A114" s="9" t="str">
        <x:v>Not collected</x:v>
      </x:c>
      <x:c r="B114" s="9" t="n">
        <x:f>'Evaluation Plan'!B114</x:f>
        <x:v>112</x:v>
      </x:c>
      <x:c r="C114" s="10" t="str">
        <x:f>'Evaluation Plan'!C114</x:f>
        <x:v>Pick up the smallest item and place it in the bowl.</x:v>
      </x:c>
      <x:c r="D114" s="10" t="str">
        <x:f>'Evaluation Plan'!D114</x:f>
        <x:v>Bowl: empty. Table, robot-left→robot-right: P1 airplane toy with propellers; P2 green block; P3 crushed Pepsi can. Adjacent centers 12 cm apart; row shifted 4 cm toward robot-right; all objects fully visible and grasp paths clear.</x:v>
      </x:c>
      <x:c r="E114" s="9" t="str">
        <x:f>IF(ISBLANK('Evaluation Plan'!E114),"",'Evaluation Plan'!E114)</x:f>
      </x:c>
      <x:c r="F114" s="9" t="str">
        <x:f>'Evaluation Plan'!F114</x:f>
        <x:v>airplane exposure 552</x:v>
      </x:c>
      <x:c r="G114" s="9" t="str">
        <x:f>'Evaluation Plan'!G114</x:f>
        <x:v>MOVE airplane toy with propellers to bowl</x:v>
      </x:c>
      <x:c r="H114" s="10"/>
      <x:c r="I114" s="9" t="str">
        <x:f>'Evaluation Plan'!I114</x:f>
        <x:v>Cross-task airplane reasoning</x:v>
      </x:c>
      <x:c r="J114" s="9" t="str">
        <x:f>'Evaluation Plan'!J114</x:f>
        <x:v>SZ-XA02</x:v>
      </x:c>
      <x:c r="K114" s="9" t="str">
        <x:f>'Evaluation Plan'!K114</x:f>
        <x:v>smallest</x:v>
      </x:c>
      <x:c r="L114" s="9" t="str">
        <x:f>'Evaluation Plan'!L114</x:f>
        <x:v>Airplane is smallest</x:v>
      </x:c>
      <x:c r="M114" s="9" t="str">
        <x:f>'Evaluation Plan'!M114</x:f>
        <x:v>airplane toy with propellers</x:v>
      </x:c>
      <x:c r="N114" s="9" t="str">
        <x:f>'Evaluation Plan'!N114</x:f>
        <x:v>Left</x:v>
      </x:c>
      <x:c r="O114" s="9" t="n">
        <x:f>'Evaluation Plan'!O114</x:f>
        <x:v>3</x:v>
      </x:c>
      <x:c r="P114" s="9" t="n">
        <x:f>IF(ISBLANK('Evaluation Plan'!P114),"",'Evaluation Plan'!P114)</x:f>
        <x:v>12</x:v>
      </x:c>
      <x:c r="Q114" s="9" t="str">
        <x:f>'Evaluation Plan'!Q114</x:f>
        <x:v>Build the listed airplane scene and save a first-frame filename.</x:v>
      </x:c>
      <x:c r="R114" s="10" t="str">
        <x:f>'Evaluation Plan'!R114</x:f>
        <x:v>The airplane is smaller than every listed table comparator. Green-block scenes also include a trained larger endpoint so the counterfactual does not test largest×green.</x:v>
      </x:c>
      <x:c r="S114" s="10" t="str">
        <x:f>IF(ISBLANK('Evaluation Plan'!S114),"",'Evaluation Plan'!S114)</x:f>
      </x:c>
    </x:row>
    <x:row r="115" ht="68" customHeight="1">
      <x:c r="A115" s="8" t="str">
        <x:v>Not collected</x:v>
      </x:c>
      <x:c r="B115" s="8" t="n">
        <x:f>'Evaluation Plan'!B115</x:f>
        <x:v>113</x:v>
      </x:c>
      <x:c r="C115" s="7" t="str">
        <x:f>'Evaluation Plan'!C115</x:f>
        <x:v>Put the largest object in the bowl.</x:v>
      </x:c>
      <x:c r="D115" s="7" t="str">
        <x:f>'Evaluation Plan'!D115</x:f>
        <x:v>Bowl: empty. Table, robot-left→robot-right: P1 airplane toy with propellers; P2 green block; P3 crushed Pepsi can. Adjacent centers 12 cm apart; row shifted 4 cm toward robot-right; all objects fully visible and grasp paths clear.</x:v>
      </x:c>
      <x:c r="E115" s="8" t="n">
        <x:f>IF(ISBLANK('Evaluation Plan'!E115),"",'Evaluation Plan'!E115)</x:f>
        <x:v>112</x:v>
      </x:c>
      <x:c r="F115" s="8" t="str">
        <x:f>'Evaluation Plan'!F115</x:f>
        <x:v>1155; airplane exposure 552</x:v>
      </x:c>
      <x:c r="G115" s="8" t="str">
        <x:f>'Evaluation Plan'!G115</x:f>
        <x:v>MOVE crushed Pepsi can to bowl</x:v>
      </x:c>
      <x:c r="H115" s="7"/>
      <x:c r="I115" s="8" t="str">
        <x:f>'Evaluation Plan'!I115</x:f>
        <x:v>Cross-task airplane counterfactual</x:v>
      </x:c>
      <x:c r="J115" s="8" t="str">
        <x:f>'Evaluation Plan'!J115</x:f>
        <x:v>SZ-XA02</x:v>
      </x:c>
      <x:c r="K115" s="8" t="str">
        <x:f>'Evaluation Plan'!K115</x:f>
        <x:v>largest</x:v>
      </x:c>
      <x:c r="L115" s="8" t="str">
        <x:f>'Evaluation Plan'!L115</x:f>
        <x:v>Exact-scene opposite-comparison reasoning control</x:v>
      </x:c>
      <x:c r="M115" s="8" t="str">
        <x:f>'Evaluation Plan'!M115</x:f>
        <x:v>crushed Pepsi can</x:v>
      </x:c>
      <x:c r="N115" s="8" t="str">
        <x:f>'Evaluation Plan'!N115</x:f>
        <x:v>Right</x:v>
      </x:c>
      <x:c r="O115" s="8" t="n">
        <x:f>'Evaluation Plan'!O115</x:f>
        <x:v>3</x:v>
      </x:c>
      <x:c r="P115" s="8" t="n">
        <x:f>IF(ISBLANK('Evaluation Plan'!P115),"",'Evaluation Plan'!P115)</x:f>
        <x:v>12</x:v>
      </x:c>
      <x:c r="Q115" s="8" t="str">
        <x:f>'Evaluation Plan'!Q115</x:f>
        <x:v>Reset the airplane; preserve the exact scene and reverse only the size comparison.</x:v>
      </x:c>
      <x:c r="R115" s="7" t="str">
        <x:f>'Evaluation Plan'!R115</x:f>
        <x:v>Reasoning-only counterfactual grounded by trained cell largest × crushed Pepsi can; an always-pick-airplane shortcut must fail.</x:v>
      </x:c>
      <x:c r="S115" s="7" t="str">
        <x:f>IF(ISBLANK('Evaluation Plan'!S115),"",'Evaluation Plan'!S115)</x:f>
      </x:c>
    </x:row>
    <x:row r="116" ht="68" customHeight="1">
      <x:c r="A116" s="9" t="str">
        <x:v>Not collected</x:v>
      </x:c>
      <x:c r="B116" s="9" t="n">
        <x:f>'Evaluation Plan'!B116</x:f>
        <x:v>114</x:v>
      </x:c>
      <x:c r="C116" s="10" t="str">
        <x:f>'Evaluation Plan'!C116</x:f>
        <x:v>Pick up the largest item and place it in the bowl.</x:v>
      </x:c>
      <x:c r="D116" s="10" t="str">
        <x:f>'Evaluation Plan'!D116</x:f>
        <x:v>Bowl: empty. Table, robot-left→robot-right: P1 red pencil sharpener; P2 airplane toy with propellers. Adjacent centers 12 cm apart; row shifted 4 cm toward robot-left; all objects fully visible and grasp paths clear.</x:v>
      </x:c>
      <x:c r="E116" s="9" t="str">
        <x:f>IF(ISBLANK('Evaluation Plan'!E116),"",'Evaluation Plan'!E116)</x:f>
      </x:c>
      <x:c r="F116" s="9" t="str">
        <x:f>'Evaluation Plan'!F116</x:f>
        <x:v>airplane exposure 554</x:v>
      </x:c>
      <x:c r="G116" s="9" t="str">
        <x:f>'Evaluation Plan'!G116</x:f>
        <x:v>MOVE airplane toy with propellers to bowl</x:v>
      </x:c>
      <x:c r="H116" s="10"/>
      <x:c r="I116" s="9" t="str">
        <x:f>'Evaluation Plan'!I116</x:f>
        <x:v>Cross-task airplane reasoning</x:v>
      </x:c>
      <x:c r="J116" s="9" t="str">
        <x:f>'Evaluation Plan'!J116</x:f>
        <x:v>SZ-XA03</x:v>
      </x:c>
      <x:c r="K116" s="9" t="str">
        <x:f>'Evaluation Plan'!K116</x:f>
        <x:v>largest</x:v>
      </x:c>
      <x:c r="L116" s="9" t="str">
        <x:f>'Evaluation Plan'!L116</x:f>
        <x:v>Airplane is largest</x:v>
      </x:c>
      <x:c r="M116" s="9" t="str">
        <x:f>'Evaluation Plan'!M116</x:f>
        <x:v>airplane toy with propellers</x:v>
      </x:c>
      <x:c r="N116" s="9" t="str">
        <x:f>'Evaluation Plan'!N116</x:f>
        <x:v>Right</x:v>
      </x:c>
      <x:c r="O116" s="9" t="n">
        <x:f>'Evaluation Plan'!O116</x:f>
        <x:v>2</x:v>
      </x:c>
      <x:c r="P116" s="9" t="n">
        <x:f>IF(ISBLANK('Evaluation Plan'!P116),"",'Evaluation Plan'!P116)</x:f>
        <x:v>12</x:v>
      </x:c>
      <x:c r="Q116" s="9" t="str">
        <x:f>'Evaluation Plan'!Q116</x:f>
        <x:v>Build the listed airplane scene and save a first-frame filename.</x:v>
      </x:c>
      <x:c r="R116" s="10" t="str">
        <x:f>'Evaluation Plan'!R116</x:f>
        <x:v>The airplane is larger than the red pencil sharpener. It is known globally but never received size language in training.</x:v>
      </x:c>
      <x:c r="S116" s="10" t="str">
        <x:f>IF(ISBLANK('Evaluation Plan'!S116),"",'Evaluation Plan'!S116)</x:f>
      </x:c>
    </x:row>
    <x:row r="117" ht="68" customHeight="1">
      <x:c r="A117" s="8" t="str">
        <x:v>Not collected</x:v>
      </x:c>
      <x:c r="B117" s="8" t="n">
        <x:f>'Evaluation Plan'!B117</x:f>
        <x:v>115</x:v>
      </x:c>
      <x:c r="C117" s="7" t="str">
        <x:f>'Evaluation Plan'!C117</x:f>
        <x:v>Move the object that is smallest into the bowl.</x:v>
      </x:c>
      <x:c r="D117" s="7" t="str">
        <x:f>'Evaluation Plan'!D117</x:f>
        <x:v>Bowl: empty. Table, robot-left→robot-right: P1 red pencil sharpener; P2 airplane toy with propellers. Adjacent centers 12 cm apart; row shifted 4 cm toward robot-left; all objects fully visible and grasp paths clear.</x:v>
      </x:c>
      <x:c r="E117" s="8" t="n">
        <x:f>IF(ISBLANK('Evaluation Plan'!E117),"",'Evaluation Plan'!E117)</x:f>
        <x:v>114</x:v>
      </x:c>
      <x:c r="F117" s="8" t="str">
        <x:f>'Evaluation Plan'!F117</x:f>
        <x:v>1006; airplane exposure 554</x:v>
      </x:c>
      <x:c r="G117" s="8" t="str">
        <x:f>'Evaluation Plan'!G117</x:f>
        <x:v>MOVE red pencil sharpener to bowl</x:v>
      </x:c>
      <x:c r="H117" s="7"/>
      <x:c r="I117" s="8" t="str">
        <x:f>'Evaluation Plan'!I117</x:f>
        <x:v>Cross-task airplane counterfactual</x:v>
      </x:c>
      <x:c r="J117" s="8" t="str">
        <x:f>'Evaluation Plan'!J117</x:f>
        <x:v>SZ-XA03</x:v>
      </x:c>
      <x:c r="K117" s="8" t="str">
        <x:f>'Evaluation Plan'!K117</x:f>
        <x:v>smallest</x:v>
      </x:c>
      <x:c r="L117" s="8" t="str">
        <x:f>'Evaluation Plan'!L117</x:f>
        <x:v>Exact-scene opposite-comparison reasoning control</x:v>
      </x:c>
      <x:c r="M117" s="8" t="str">
        <x:f>'Evaluation Plan'!M117</x:f>
        <x:v>red pencil sharpener</x:v>
      </x:c>
      <x:c r="N117" s="8" t="str">
        <x:f>'Evaluation Plan'!N117</x:f>
        <x:v>Left</x:v>
      </x:c>
      <x:c r="O117" s="8" t="n">
        <x:f>'Evaluation Plan'!O117</x:f>
        <x:v>2</x:v>
      </x:c>
      <x:c r="P117" s="8" t="n">
        <x:f>IF(ISBLANK('Evaluation Plan'!P117),"",'Evaluation Plan'!P117)</x:f>
        <x:v>12</x:v>
      </x:c>
      <x:c r="Q117" s="8" t="str">
        <x:f>'Evaluation Plan'!Q117</x:f>
        <x:v>Reset the airplane; preserve the exact scene and reverse only the size comparison.</x:v>
      </x:c>
      <x:c r="R117" s="7" t="str">
        <x:f>'Evaluation Plan'!R117</x:f>
        <x:v>Reasoning-only counterfactual grounded by trained cell smallest × red pencil sharpener; an always-pick-airplane shortcut must fail.</x:v>
      </x:c>
      <x:c r="S117" s="7" t="str">
        <x:f>IF(ISBLANK('Evaluation Plan'!S117),"",'Evaluation Plan'!S117)</x:f>
      </x:c>
    </x:row>
    <x:row r="118" ht="68" customHeight="1">
      <x:c r="A118" s="9" t="str">
        <x:v>Not collected</x:v>
      </x:c>
      <x:c r="B118" s="9" t="n">
        <x:f>'Evaluation Plan'!B118</x:f>
        <x:v>116</x:v>
      </x:c>
      <x:c r="C118" s="10" t="str">
        <x:f>'Evaluation Plan'!C118</x:f>
        <x:v>Put the smallest object in the bowl.</x:v>
      </x:c>
      <x:c r="D118" s="10" t="str">
        <x:f>'Evaluation Plan'!D118</x:f>
        <x:v>Bowl: empty. Table, robot-left→robot-right: P1 juggling ball; P2 green block; P3 airplane toy with propellers. Adjacent centers 16 cm apart; row shifted 4 cm toward the robot; all objects fully visible and grasp paths clear.</x:v>
      </x:c>
      <x:c r="E118" s="9" t="str">
        <x:f>IF(ISBLANK('Evaluation Plan'!E118),"",'Evaluation Plan'!E118)</x:f>
      </x:c>
      <x:c r="F118" s="9" t="str">
        <x:f>'Evaluation Plan'!F118</x:f>
        <x:v>airplane exposure 556</x:v>
      </x:c>
      <x:c r="G118" s="9" t="str">
        <x:f>'Evaluation Plan'!G118</x:f>
        <x:v>MOVE airplane toy with propellers to bowl</x:v>
      </x:c>
      <x:c r="H118" s="10"/>
      <x:c r="I118" s="9" t="str">
        <x:f>'Evaluation Plan'!I118</x:f>
        <x:v>Cross-task airplane reasoning</x:v>
      </x:c>
      <x:c r="J118" s="9" t="str">
        <x:f>'Evaluation Plan'!J118</x:f>
        <x:v>SZ-XA04</x:v>
      </x:c>
      <x:c r="K118" s="9" t="str">
        <x:f>'Evaluation Plan'!K118</x:f>
        <x:v>smallest</x:v>
      </x:c>
      <x:c r="L118" s="9" t="str">
        <x:f>'Evaluation Plan'!L118</x:f>
        <x:v>Airplane is smallest</x:v>
      </x:c>
      <x:c r="M118" s="9" t="str">
        <x:f>'Evaluation Plan'!M118</x:f>
        <x:v>airplane toy with propellers</x:v>
      </x:c>
      <x:c r="N118" s="9" t="str">
        <x:f>'Evaluation Plan'!N118</x:f>
        <x:v>Right</x:v>
      </x:c>
      <x:c r="O118" s="9" t="n">
        <x:f>'Evaluation Plan'!O118</x:f>
        <x:v>3</x:v>
      </x:c>
      <x:c r="P118" s="9" t="n">
        <x:f>IF(ISBLANK('Evaluation Plan'!P118),"",'Evaluation Plan'!P118)</x:f>
        <x:v>16</x:v>
      </x:c>
      <x:c r="Q118" s="9" t="str">
        <x:f>'Evaluation Plan'!Q118</x:f>
        <x:v>Build the listed airplane scene and save a first-frame filename.</x:v>
      </x:c>
      <x:c r="R118" s="10" t="str">
        <x:f>'Evaluation Plan'!R118</x:f>
        <x:v>The airplane is smaller than every listed table comparator. Green-block scenes also include a trained larger endpoint so the counterfactual does not test largest×green.</x:v>
      </x:c>
      <x:c r="S118" s="10" t="str">
        <x:f>IF(ISBLANK('Evaluation Plan'!S118),"",'Evaluation Plan'!S118)</x:f>
      </x:c>
    </x:row>
    <x:row r="119" ht="68" customHeight="1">
      <x:c r="A119" s="8" t="str">
        <x:v>Not collected</x:v>
      </x:c>
      <x:c r="B119" s="8" t="n">
        <x:f>'Evaluation Plan'!B119</x:f>
        <x:v>117</x:v>
      </x:c>
      <x:c r="C119" s="7" t="str">
        <x:f>'Evaluation Plan'!C119</x:f>
        <x:v>Move the object that is largest into the bowl.</x:v>
      </x:c>
      <x:c r="D119" s="7" t="str">
        <x:f>'Evaluation Plan'!D119</x:f>
        <x:v>Bowl: empty. Table, robot-left→robot-right: P1 juggling ball; P2 green block; P3 airplane toy with propellers. Adjacent centers 16 cm apart; row shifted 4 cm toward the robot; all objects fully visible and grasp paths clear.</x:v>
      </x:c>
      <x:c r="E119" s="8" t="n">
        <x:f>IF(ISBLANK('Evaluation Plan'!E119),"",'Evaluation Plan'!E119)</x:f>
        <x:v>116</x:v>
      </x:c>
      <x:c r="F119" s="8" t="str">
        <x:f>'Evaluation Plan'!F119</x:f>
        <x:v>1126; airplane exposure 556</x:v>
      </x:c>
      <x:c r="G119" s="8" t="str">
        <x:f>'Evaluation Plan'!G119</x:f>
        <x:v>MOVE juggling ball to bowl</x:v>
      </x:c>
      <x:c r="H119" s="7"/>
      <x:c r="I119" s="8" t="str">
        <x:f>'Evaluation Plan'!I119</x:f>
        <x:v>Cross-task airplane counterfactual</x:v>
      </x:c>
      <x:c r="J119" s="8" t="str">
        <x:f>'Evaluation Plan'!J119</x:f>
        <x:v>SZ-XA04</x:v>
      </x:c>
      <x:c r="K119" s="8" t="str">
        <x:f>'Evaluation Plan'!K119</x:f>
        <x:v>largest</x:v>
      </x:c>
      <x:c r="L119" s="8" t="str">
        <x:f>'Evaluation Plan'!L119</x:f>
        <x:v>Exact-scene opposite-comparison reasoning control</x:v>
      </x:c>
      <x:c r="M119" s="8" t="str">
        <x:f>'Evaluation Plan'!M119</x:f>
        <x:v>juggling ball</x:v>
      </x:c>
      <x:c r="N119" s="8" t="str">
        <x:f>'Evaluation Plan'!N119</x:f>
        <x:v>Left</x:v>
      </x:c>
      <x:c r="O119" s="8" t="n">
        <x:f>'Evaluation Plan'!O119</x:f>
        <x:v>3</x:v>
      </x:c>
      <x:c r="P119" s="8" t="n">
        <x:f>IF(ISBLANK('Evaluation Plan'!P119),"",'Evaluation Plan'!P119)</x:f>
        <x:v>16</x:v>
      </x:c>
      <x:c r="Q119" s="8" t="str">
        <x:f>'Evaluation Plan'!Q119</x:f>
        <x:v>Reset the airplane; preserve the exact scene and reverse only the size comparison.</x:v>
      </x:c>
      <x:c r="R119" s="7" t="str">
        <x:f>'Evaluation Plan'!R119</x:f>
        <x:v>Reasoning-only counterfactual grounded by trained cell largest × juggling ball; an always-pick-airplane shortcut must fail.</x:v>
      </x:c>
      <x:c r="S119" s="7" t="str">
        <x:f>IF(ISBLANK('Evaluation Plan'!S119),"",'Evaluation Plan'!S119)</x:f>
      </x:c>
    </x:row>
    <x:row r="120" ht="68" customHeight="1">
      <x:c r="A120" s="9" t="str">
        <x:v>Not collected</x:v>
      </x:c>
      <x:c r="B120" s="9" t="n">
        <x:f>'Evaluation Plan'!B120</x:f>
        <x:v>118</x:v>
      </x:c>
      <x:c r="C120" s="10" t="str">
        <x:f>'Evaluation Plan'!C120</x:f>
        <x:v>Put the largest object in the bowl.</x:v>
      </x:c>
      <x:c r="D120" s="10" t="str">
        <x:f>'Evaluation Plan'!D120</x:f>
        <x:v>Bowl: empty. Table, robot-left→robot-right: P1 airplane toy with propellers; P2 red pencil sharpener. Adjacent centers 16 cm apart; row shifted 4 cm toward robot-right; all objects fully visible and grasp paths clear.</x:v>
      </x:c>
      <x:c r="E120" s="9" t="str">
        <x:f>IF(ISBLANK('Evaluation Plan'!E120),"",'Evaluation Plan'!E120)</x:f>
      </x:c>
      <x:c r="F120" s="9" t="str">
        <x:f>'Evaluation Plan'!F120</x:f>
        <x:v>airplane exposure 558</x:v>
      </x:c>
      <x:c r="G120" s="9" t="str">
        <x:f>'Evaluation Plan'!G120</x:f>
        <x:v>MOVE airplane toy with propellers to bowl</x:v>
      </x:c>
      <x:c r="H120" s="10"/>
      <x:c r="I120" s="9" t="str">
        <x:f>'Evaluation Plan'!I120</x:f>
        <x:v>Cross-task airplane reasoning</x:v>
      </x:c>
      <x:c r="J120" s="9" t="str">
        <x:f>'Evaluation Plan'!J120</x:f>
        <x:v>SZ-XA05</x:v>
      </x:c>
      <x:c r="K120" s="9" t="str">
        <x:f>'Evaluation Plan'!K120</x:f>
        <x:v>largest</x:v>
      </x:c>
      <x:c r="L120" s="9" t="str">
        <x:f>'Evaluation Plan'!L120</x:f>
        <x:v>Airplane is largest</x:v>
      </x:c>
      <x:c r="M120" s="9" t="str">
        <x:f>'Evaluation Plan'!M120</x:f>
        <x:v>airplane toy with propellers</x:v>
      </x:c>
      <x:c r="N120" s="9" t="str">
        <x:f>'Evaluation Plan'!N120</x:f>
        <x:v>Left</x:v>
      </x:c>
      <x:c r="O120" s="9" t="n">
        <x:f>'Evaluation Plan'!O120</x:f>
        <x:v>2</x:v>
      </x:c>
      <x:c r="P120" s="9" t="n">
        <x:f>IF(ISBLANK('Evaluation Plan'!P120),"",'Evaluation Plan'!P120)</x:f>
        <x:v>16</x:v>
      </x:c>
      <x:c r="Q120" s="9" t="str">
        <x:f>'Evaluation Plan'!Q120</x:f>
        <x:v>Build the listed airplane scene and save a first-frame filename.</x:v>
      </x:c>
      <x:c r="R120" s="10" t="str">
        <x:f>'Evaluation Plan'!R120</x:f>
        <x:v>The airplane is larger than the red pencil sharpener. It is known globally but never received size language in training.</x:v>
      </x:c>
      <x:c r="S120" s="10" t="str">
        <x:f>IF(ISBLANK('Evaluation Plan'!S120),"",'Evaluation Plan'!S120)</x:f>
      </x:c>
    </x:row>
    <x:row r="121" ht="68" customHeight="1">
      <x:c r="A121" s="8" t="str">
        <x:v>Not collected</x:v>
      </x:c>
      <x:c r="B121" s="8" t="n">
        <x:f>'Evaluation Plan'!B121</x:f>
        <x:v>119</x:v>
      </x:c>
      <x:c r="C121" s="7" t="str">
        <x:f>'Evaluation Plan'!C121</x:f>
        <x:v>Pick up the smallest item and place it in the bowl.</x:v>
      </x:c>
      <x:c r="D121" s="7" t="str">
        <x:f>'Evaluation Plan'!D121</x:f>
        <x:v>Bowl: empty. Table, robot-left→robot-right: P1 airplane toy with propellers; P2 red pencil sharpener. Adjacent centers 16 cm apart; row shifted 4 cm toward robot-right; all objects fully visible and grasp paths clear.</x:v>
      </x:c>
      <x:c r="E121" s="8" t="n">
        <x:f>IF(ISBLANK('Evaluation Plan'!E121),"",'Evaluation Plan'!E121)</x:f>
        <x:v>118</x:v>
      </x:c>
      <x:c r="F121" s="8" t="str">
        <x:f>'Evaluation Plan'!F121</x:f>
        <x:v>1007; airplane exposure 558</x:v>
      </x:c>
      <x:c r="G121" s="8" t="str">
        <x:f>'Evaluation Plan'!G121</x:f>
        <x:v>MOVE red pencil sharpener to bowl</x:v>
      </x:c>
      <x:c r="H121" s="7"/>
      <x:c r="I121" s="8" t="str">
        <x:f>'Evaluation Plan'!I121</x:f>
        <x:v>Cross-task airplane counterfactual</x:v>
      </x:c>
      <x:c r="J121" s="8" t="str">
        <x:f>'Evaluation Plan'!J121</x:f>
        <x:v>SZ-XA05</x:v>
      </x:c>
      <x:c r="K121" s="8" t="str">
        <x:f>'Evaluation Plan'!K121</x:f>
        <x:v>smallest</x:v>
      </x:c>
      <x:c r="L121" s="8" t="str">
        <x:f>'Evaluation Plan'!L121</x:f>
        <x:v>Exact-scene opposite-comparison reasoning control</x:v>
      </x:c>
      <x:c r="M121" s="8" t="str">
        <x:f>'Evaluation Plan'!M121</x:f>
        <x:v>red pencil sharpener</x:v>
      </x:c>
      <x:c r="N121" s="8" t="str">
        <x:f>'Evaluation Plan'!N121</x:f>
        <x:v>Right</x:v>
      </x:c>
      <x:c r="O121" s="8" t="n">
        <x:f>'Evaluation Plan'!O121</x:f>
        <x:v>2</x:v>
      </x:c>
      <x:c r="P121" s="8" t="n">
        <x:f>IF(ISBLANK('Evaluation Plan'!P121),"",'Evaluation Plan'!P121)</x:f>
        <x:v>16</x:v>
      </x:c>
      <x:c r="Q121" s="8" t="str">
        <x:f>'Evaluation Plan'!Q121</x:f>
        <x:v>Reset the airplane; preserve the exact scene and reverse only the size comparison.</x:v>
      </x:c>
      <x:c r="R121" s="7" t="str">
        <x:f>'Evaluation Plan'!R121</x:f>
        <x:v>Reasoning-only counterfactual grounded by trained cell smallest × red pencil sharpener; an always-pick-airplane shortcut must fail.</x:v>
      </x:c>
      <x:c r="S121" s="7" t="str">
        <x:f>IF(ISBLANK('Evaluation Plan'!S121),"",'Evaluation Plan'!S121)</x:f>
      </x:c>
    </x:row>
    <x:row r="122" ht="68" customHeight="1">
      <x:c r="A122" s="9" t="str">
        <x:v>Not collected</x:v>
      </x:c>
      <x:c r="B122" s="9" t="n">
        <x:f>'Evaluation Plan'!B122</x:f>
        <x:v>120</x:v>
      </x:c>
      <x:c r="C122" s="10" t="str">
        <x:f>'Evaluation Plan'!C122</x:f>
        <x:v>Move the object that is smallest into the bowl.</x:v>
      </x:c>
      <x:c r="D122" s="10" t="str">
        <x:f>'Evaluation Plan'!D122</x:f>
        <x:v>Bowl: empty. Table, robot-left→robot-right: P1 green block; P2 crushed Pepsi can; P3 airplane toy with propellers. Adjacent centers 8 cm apart; row shifted 4 cm away from the robot; all objects fully visible and grasp paths clear.</x:v>
      </x:c>
      <x:c r="E122" s="9" t="str">
        <x:f>IF(ISBLANK('Evaluation Plan'!E122),"",'Evaluation Plan'!E122)</x:f>
      </x:c>
      <x:c r="F122" s="9" t="str">
        <x:f>'Evaluation Plan'!F122</x:f>
        <x:v>airplane exposure 560</x:v>
      </x:c>
      <x:c r="G122" s="9" t="str">
        <x:f>'Evaluation Plan'!G122</x:f>
        <x:v>MOVE airplane toy with propellers to bowl</x:v>
      </x:c>
      <x:c r="H122" s="10"/>
      <x:c r="I122" s="9" t="str">
        <x:f>'Evaluation Plan'!I122</x:f>
        <x:v>Cross-task airplane reasoning</x:v>
      </x:c>
      <x:c r="J122" s="9" t="str">
        <x:f>'Evaluation Plan'!J122</x:f>
        <x:v>SZ-XA06</x:v>
      </x:c>
      <x:c r="K122" s="9" t="str">
        <x:f>'Evaluation Plan'!K122</x:f>
        <x:v>smallest</x:v>
      </x:c>
      <x:c r="L122" s="9" t="str">
        <x:f>'Evaluation Plan'!L122</x:f>
        <x:v>Airplane is smallest</x:v>
      </x:c>
      <x:c r="M122" s="9" t="str">
        <x:f>'Evaluation Plan'!M122</x:f>
        <x:v>airplane toy with propellers</x:v>
      </x:c>
      <x:c r="N122" s="9" t="str">
        <x:f>'Evaluation Plan'!N122</x:f>
        <x:v>Right</x:v>
      </x:c>
      <x:c r="O122" s="9" t="n">
        <x:f>'Evaluation Plan'!O122</x:f>
        <x:v>3</x:v>
      </x:c>
      <x:c r="P122" s="9" t="n">
        <x:f>IF(ISBLANK('Evaluation Plan'!P122),"",'Evaluation Plan'!P122)</x:f>
        <x:v>8</x:v>
      </x:c>
      <x:c r="Q122" s="9" t="str">
        <x:f>'Evaluation Plan'!Q122</x:f>
        <x:v>Build the listed airplane scene and save a first-frame filename.</x:v>
      </x:c>
      <x:c r="R122" s="10" t="str">
        <x:f>'Evaluation Plan'!R122</x:f>
        <x:v>The airplane is smaller than every listed table comparator. Green-block scenes also include a trained larger endpoint so the counterfactual does not test largest×green.</x:v>
      </x:c>
      <x:c r="S122" s="10" t="str">
        <x:f>IF(ISBLANK('Evaluation Plan'!S122),"",'Evaluation Plan'!S122)</x:f>
      </x:c>
    </x:row>
    <x:row r="123" ht="68" customHeight="1">
      <x:c r="A123" s="8" t="str">
        <x:v>Not collected</x:v>
      </x:c>
      <x:c r="B123" s="8" t="n">
        <x:f>'Evaluation Plan'!B123</x:f>
        <x:v>121</x:v>
      </x:c>
      <x:c r="C123" s="7" t="str">
        <x:f>'Evaluation Plan'!C123</x:f>
        <x:v>Pick up the largest item and place it in the bowl.</x:v>
      </x:c>
      <x:c r="D123" s="7" t="str">
        <x:f>'Evaluation Plan'!D123</x:f>
        <x:v>Bowl: empty. Table, robot-left→robot-right: P1 green block; P2 crushed Pepsi can; P3 airplane toy with propellers. Adjacent centers 8 cm apart; row shifted 4 cm away from the robot; all objects fully visible and grasp paths clear.</x:v>
      </x:c>
      <x:c r="E123" s="8" t="n">
        <x:f>IF(ISBLANK('Evaluation Plan'!E123),"",'Evaluation Plan'!E123)</x:f>
        <x:v>120</x:v>
      </x:c>
      <x:c r="F123" s="8" t="str">
        <x:f>'Evaluation Plan'!F123</x:f>
        <x:v>1157; airplane exposure 560</x:v>
      </x:c>
      <x:c r="G123" s="8" t="str">
        <x:f>'Evaluation Plan'!G123</x:f>
        <x:v>MOVE crushed Pepsi can to bowl</x:v>
      </x:c>
      <x:c r="H123" s="7"/>
      <x:c r="I123" s="8" t="str">
        <x:f>'Evaluation Plan'!I123</x:f>
        <x:v>Cross-task airplane counterfactual</x:v>
      </x:c>
      <x:c r="J123" s="8" t="str">
        <x:f>'Evaluation Plan'!J123</x:f>
        <x:v>SZ-XA06</x:v>
      </x:c>
      <x:c r="K123" s="8" t="str">
        <x:f>'Evaluation Plan'!K123</x:f>
        <x:v>largest</x:v>
      </x:c>
      <x:c r="L123" s="8" t="str">
        <x:f>'Evaluation Plan'!L123</x:f>
        <x:v>Exact-scene opposite-comparison reasoning control</x:v>
      </x:c>
      <x:c r="M123" s="8" t="str">
        <x:f>'Evaluation Plan'!M123</x:f>
        <x:v>crushed Pepsi can</x:v>
      </x:c>
      <x:c r="N123" s="8" t="str">
        <x:f>'Evaluation Plan'!N123</x:f>
        <x:v>Center</x:v>
      </x:c>
      <x:c r="O123" s="8" t="n">
        <x:f>'Evaluation Plan'!O123</x:f>
        <x:v>3</x:v>
      </x:c>
      <x:c r="P123" s="8" t="n">
        <x:f>IF(ISBLANK('Evaluation Plan'!P123),"",'Evaluation Plan'!P123)</x:f>
        <x:v>8</x:v>
      </x:c>
      <x:c r="Q123" s="8" t="str">
        <x:f>'Evaluation Plan'!Q123</x:f>
        <x:v>Reset the airplane; preserve the exact scene and reverse only the size comparison.</x:v>
      </x:c>
      <x:c r="R123" s="7" t="str">
        <x:f>'Evaluation Plan'!R123</x:f>
        <x:v>Reasoning-only counterfactual grounded by trained cell largest × crushed Pepsi can; an always-pick-airplane shortcut must fail.</x:v>
      </x:c>
      <x:c r="S123" s="7" t="str">
        <x:f>IF(ISBLANK('Evaluation Plan'!S123),"",'Evaluation Plan'!S123)</x:f>
      </x:c>
    </x:row>
    <x:row r="124" ht="68" customHeight="1">
      <x:c r="A124" s="9" t="str">
        <x:v>Not collected</x:v>
      </x:c>
      <x:c r="B124" s="9" t="n">
        <x:f>'Evaluation Plan'!B124</x:f>
        <x:v>122</x:v>
      </x:c>
      <x:c r="C124" s="10" t="str">
        <x:f>'Evaluation Plan'!C124</x:f>
        <x:v>Move the object that is largest into the bowl.</x:v>
      </x:c>
      <x:c r="D124" s="10" t="str">
        <x:f>'Evaluation Plan'!D124</x:f>
        <x:v>Bowl: empty. Table, robot-left→robot-right: P1 red pencil sharpener; P2 airplane toy with propellers. Adjacent centers 8 cm apart; row shifted 4 cm toward the robot; all objects fully visible and grasp paths clear.</x:v>
      </x:c>
      <x:c r="E124" s="9" t="str">
        <x:f>IF(ISBLANK('Evaluation Plan'!E124),"",'Evaluation Plan'!E124)</x:f>
      </x:c>
      <x:c r="F124" s="9" t="str">
        <x:f>'Evaluation Plan'!F124</x:f>
        <x:v>airplane exposure 562</x:v>
      </x:c>
      <x:c r="G124" s="9" t="str">
        <x:f>'Evaluation Plan'!G124</x:f>
        <x:v>MOVE airplane toy with propellers to bowl</x:v>
      </x:c>
      <x:c r="H124" s="10"/>
      <x:c r="I124" s="9" t="str">
        <x:f>'Evaluation Plan'!I124</x:f>
        <x:v>Cross-task airplane reasoning</x:v>
      </x:c>
      <x:c r="J124" s="9" t="str">
        <x:f>'Evaluation Plan'!J124</x:f>
        <x:v>SZ-XA07</x:v>
      </x:c>
      <x:c r="K124" s="9" t="str">
        <x:f>'Evaluation Plan'!K124</x:f>
        <x:v>largest</x:v>
      </x:c>
      <x:c r="L124" s="9" t="str">
        <x:f>'Evaluation Plan'!L124</x:f>
        <x:v>Airplane is largest</x:v>
      </x:c>
      <x:c r="M124" s="9" t="str">
        <x:f>'Evaluation Plan'!M124</x:f>
        <x:v>airplane toy with propellers</x:v>
      </x:c>
      <x:c r="N124" s="9" t="str">
        <x:f>'Evaluation Plan'!N124</x:f>
        <x:v>Right</x:v>
      </x:c>
      <x:c r="O124" s="9" t="n">
        <x:f>'Evaluation Plan'!O124</x:f>
        <x:v>2</x:v>
      </x:c>
      <x:c r="P124" s="9" t="n">
        <x:f>IF(ISBLANK('Evaluation Plan'!P124),"",'Evaluation Plan'!P124)</x:f>
        <x:v>8</x:v>
      </x:c>
      <x:c r="Q124" s="9" t="str">
        <x:f>'Evaluation Plan'!Q124</x:f>
        <x:v>Build the listed airplane scene and save a first-frame filename.</x:v>
      </x:c>
      <x:c r="R124" s="10" t="str">
        <x:f>'Evaluation Plan'!R124</x:f>
        <x:v>The airplane is larger than the red pencil sharpener. It is known globally but never received size language in training.</x:v>
      </x:c>
      <x:c r="S124" s="10" t="str">
        <x:f>IF(ISBLANK('Evaluation Plan'!S124),"",'Evaluation Plan'!S124)</x:f>
      </x:c>
    </x:row>
    <x:row r="125" ht="68" customHeight="1">
      <x:c r="A125" s="8" t="str">
        <x:v>Not collected</x:v>
      </x:c>
      <x:c r="B125" s="8" t="n">
        <x:f>'Evaluation Plan'!B125</x:f>
        <x:v>123</x:v>
      </x:c>
      <x:c r="C125" s="7" t="str">
        <x:f>'Evaluation Plan'!C125</x:f>
        <x:v>Put the smallest object in the bowl.</x:v>
      </x:c>
      <x:c r="D125" s="7" t="str">
        <x:f>'Evaluation Plan'!D125</x:f>
        <x:v>Bowl: empty. Table, robot-left→robot-right: P1 red pencil sharpener; P2 airplane toy with propellers. Adjacent centers 8 cm apart; row shifted 4 cm toward the robot; all objects fully visible and grasp paths clear.</x:v>
      </x:c>
      <x:c r="E125" s="8" t="n">
        <x:f>IF(ISBLANK('Evaluation Plan'!E125),"",'Evaluation Plan'!E125)</x:f>
        <x:v>122</x:v>
      </x:c>
      <x:c r="F125" s="8" t="str">
        <x:f>'Evaluation Plan'!F125</x:f>
        <x:v>1008; airplane exposure 562</x:v>
      </x:c>
      <x:c r="G125" s="8" t="str">
        <x:f>'Evaluation Plan'!G125</x:f>
        <x:v>MOVE red pencil sharpener to bowl</x:v>
      </x:c>
      <x:c r="H125" s="7"/>
      <x:c r="I125" s="8" t="str">
        <x:f>'Evaluation Plan'!I125</x:f>
        <x:v>Cross-task airplane counterfactual</x:v>
      </x:c>
      <x:c r="J125" s="8" t="str">
        <x:f>'Evaluation Plan'!J125</x:f>
        <x:v>SZ-XA07</x:v>
      </x:c>
      <x:c r="K125" s="8" t="str">
        <x:f>'Evaluation Plan'!K125</x:f>
        <x:v>smallest</x:v>
      </x:c>
      <x:c r="L125" s="8" t="str">
        <x:f>'Evaluation Plan'!L125</x:f>
        <x:v>Exact-scene opposite-comparison reasoning control</x:v>
      </x:c>
      <x:c r="M125" s="8" t="str">
        <x:f>'Evaluation Plan'!M125</x:f>
        <x:v>red pencil sharpener</x:v>
      </x:c>
      <x:c r="N125" s="8" t="str">
        <x:f>'Evaluation Plan'!N125</x:f>
        <x:v>Left</x:v>
      </x:c>
      <x:c r="O125" s="8" t="n">
        <x:f>'Evaluation Plan'!O125</x:f>
        <x:v>2</x:v>
      </x:c>
      <x:c r="P125" s="8" t="n">
        <x:f>IF(ISBLANK('Evaluation Plan'!P125),"",'Evaluation Plan'!P125)</x:f>
        <x:v>8</x:v>
      </x:c>
      <x:c r="Q125" s="8" t="str">
        <x:f>'Evaluation Plan'!Q125</x:f>
        <x:v>Reset the airplane; preserve the exact scene and reverse only the size comparison.</x:v>
      </x:c>
      <x:c r="R125" s="7" t="str">
        <x:f>'Evaluation Plan'!R125</x:f>
        <x:v>Reasoning-only counterfactual grounded by trained cell smallest × red pencil sharpener; an always-pick-airplane shortcut must fail.</x:v>
      </x:c>
      <x:c r="S125" s="7" t="str">
        <x:f>IF(ISBLANK('Evaluation Plan'!S125),"",'Evaluation Plan'!S125)</x:f>
      </x:c>
    </x:row>
    <x:row r="126" ht="68" customHeight="1">
      <x:c r="A126" s="9" t="str">
        <x:v>Not collected</x:v>
      </x:c>
      <x:c r="B126" s="9" t="n">
        <x:f>'Evaluation Plan'!B126</x:f>
        <x:v>124</x:v>
      </x:c>
      <x:c r="C126" s="10" t="str">
        <x:f>'Evaluation Plan'!C126</x:f>
        <x:v>Pick up the smallest item and place it in the bowl.</x:v>
      </x:c>
      <x:c r="D126" s="10" t="str">
        <x:f>'Evaluation Plan'!D126</x:f>
        <x:v>Bowl: empty. Table, robot-left→robot-right: P1 airplane toy with propellers; P2 green block; P3 juggling ball. Adjacent centers 12 cm apart; row centered on the workspace; all objects fully visible and grasp paths clear.</x:v>
      </x:c>
      <x:c r="E126" s="9" t="str">
        <x:f>IF(ISBLANK('Evaluation Plan'!E126),"",'Evaluation Plan'!E126)</x:f>
      </x:c>
      <x:c r="F126" s="9" t="str">
        <x:f>'Evaluation Plan'!F126</x:f>
        <x:v>airplane exposure 564</x:v>
      </x:c>
      <x:c r="G126" s="9" t="str">
        <x:f>'Evaluation Plan'!G126</x:f>
        <x:v>MOVE airplane toy with propellers to bowl</x:v>
      </x:c>
      <x:c r="H126" s="10"/>
      <x:c r="I126" s="9" t="str">
        <x:f>'Evaluation Plan'!I126</x:f>
        <x:v>Cross-task airplane reasoning</x:v>
      </x:c>
      <x:c r="J126" s="9" t="str">
        <x:f>'Evaluation Plan'!J126</x:f>
        <x:v>SZ-XA08</x:v>
      </x:c>
      <x:c r="K126" s="9" t="str">
        <x:f>'Evaluation Plan'!K126</x:f>
        <x:v>smallest</x:v>
      </x:c>
      <x:c r="L126" s="9" t="str">
        <x:f>'Evaluation Plan'!L126</x:f>
        <x:v>Airplane is smallest</x:v>
      </x:c>
      <x:c r="M126" s="9" t="str">
        <x:f>'Evaluation Plan'!M126</x:f>
        <x:v>airplane toy with propellers</x:v>
      </x:c>
      <x:c r="N126" s="9" t="str">
        <x:f>'Evaluation Plan'!N126</x:f>
        <x:v>Left</x:v>
      </x:c>
      <x:c r="O126" s="9" t="n">
        <x:f>'Evaluation Plan'!O126</x:f>
        <x:v>3</x:v>
      </x:c>
      <x:c r="P126" s="9" t="n">
        <x:f>IF(ISBLANK('Evaluation Plan'!P126),"",'Evaluation Plan'!P126)</x:f>
        <x:v>12</x:v>
      </x:c>
      <x:c r="Q126" s="9" t="str">
        <x:f>'Evaluation Plan'!Q126</x:f>
        <x:v>Build the listed airplane scene and save a first-frame filename.</x:v>
      </x:c>
      <x:c r="R126" s="10" t="str">
        <x:f>'Evaluation Plan'!R126</x:f>
        <x:v>The airplane is smaller than every listed table comparator. Green-block scenes also include a trained larger endpoint so the counterfactual does not test largest×green.</x:v>
      </x:c>
      <x:c r="S126" s="10" t="str">
        <x:f>IF(ISBLANK('Evaluation Plan'!S126),"",'Evaluation Plan'!S126)</x:f>
      </x:c>
    </x:row>
    <x:row r="127" ht="68" customHeight="1">
      <x:c r="A127" s="8" t="str">
        <x:v>Not collected</x:v>
      </x:c>
      <x:c r="B127" s="8" t="n">
        <x:f>'Evaluation Plan'!B127</x:f>
        <x:v>125</x:v>
      </x:c>
      <x:c r="C127" s="7" t="str">
        <x:f>'Evaluation Plan'!C127</x:f>
        <x:v>Put the largest object in the bowl.</x:v>
      </x:c>
      <x:c r="D127" s="7" t="str">
        <x:f>'Evaluation Plan'!D127</x:f>
        <x:v>Bowl: empty. Table, robot-left→robot-right: P1 airplane toy with propellers; P2 green block; P3 juggling ball. Adjacent centers 12 cm apart; row centered on the workspace; all objects fully visible and grasp paths clear.</x:v>
      </x:c>
      <x:c r="E127" s="8" t="n">
        <x:f>IF(ISBLANK('Evaluation Plan'!E127),"",'Evaluation Plan'!E127)</x:f>
        <x:v>124</x:v>
      </x:c>
      <x:c r="F127" s="8" t="str">
        <x:f>'Evaluation Plan'!F127</x:f>
        <x:v>1128; airplane exposure 564</x:v>
      </x:c>
      <x:c r="G127" s="8" t="str">
        <x:f>'Evaluation Plan'!G127</x:f>
        <x:v>MOVE juggling ball to bowl</x:v>
      </x:c>
      <x:c r="H127" s="7"/>
      <x:c r="I127" s="8" t="str">
        <x:f>'Evaluation Plan'!I127</x:f>
        <x:v>Cross-task airplane counterfactual</x:v>
      </x:c>
      <x:c r="J127" s="8" t="str">
        <x:f>'Evaluation Plan'!J127</x:f>
        <x:v>SZ-XA08</x:v>
      </x:c>
      <x:c r="K127" s="8" t="str">
        <x:f>'Evaluation Plan'!K127</x:f>
        <x:v>largest</x:v>
      </x:c>
      <x:c r="L127" s="8" t="str">
        <x:f>'Evaluation Plan'!L127</x:f>
        <x:v>Exact-scene opposite-comparison reasoning control</x:v>
      </x:c>
      <x:c r="M127" s="8" t="str">
        <x:f>'Evaluation Plan'!M127</x:f>
        <x:v>juggling ball</x:v>
      </x:c>
      <x:c r="N127" s="8" t="str">
        <x:f>'Evaluation Plan'!N127</x:f>
        <x:v>Right</x:v>
      </x:c>
      <x:c r="O127" s="8" t="n">
        <x:f>'Evaluation Plan'!O127</x:f>
        <x:v>3</x:v>
      </x:c>
      <x:c r="P127" s="8" t="n">
        <x:f>IF(ISBLANK('Evaluation Plan'!P127),"",'Evaluation Plan'!P127)</x:f>
        <x:v>12</x:v>
      </x:c>
      <x:c r="Q127" s="8" t="str">
        <x:f>'Evaluation Plan'!Q127</x:f>
        <x:v>Reset the airplane; preserve the exact scene and reverse only the size comparison.</x:v>
      </x:c>
      <x:c r="R127" s="7" t="str">
        <x:f>'Evaluation Plan'!R127</x:f>
        <x:v>Reasoning-only counterfactual grounded by trained cell largest × juggling ball; an always-pick-airplane shortcut must fail.</x:v>
      </x:c>
      <x:c r="S127" s="7" t="str">
        <x:f>IF(ISBLANK('Evaluation Plan'!S127),"",'Evaluation Plan'!S127)</x:f>
      </x:c>
    </x:row>
    <x:row r="128" ht="68" customHeight="1">
      <x:c r="A128" s="9" t="str">
        <x:v>Not collected</x:v>
      </x:c>
      <x:c r="B128" s="9" t="n">
        <x:f>'Evaluation Plan'!B128</x:f>
        <x:v>126</x:v>
      </x:c>
      <x:c r="C128" s="10" t="str">
        <x:f>'Evaluation Plan'!C128</x:f>
        <x:v>Pick up the largest item and place it in the bowl.</x:v>
      </x:c>
      <x:c r="D128" s="10" t="str">
        <x:f>'Evaluation Plan'!D128</x:f>
        <x:v>Bowl: empty. Table, robot-left→robot-right: P1 airplane toy with propellers; P2 red pencil sharpener. Adjacent centers 12 cm apart; row shifted 4 cm away from the robot; all objects fully visible and grasp paths clear.</x:v>
      </x:c>
      <x:c r="E128" s="9" t="str">
        <x:f>IF(ISBLANK('Evaluation Plan'!E128),"",'Evaluation Plan'!E128)</x:f>
      </x:c>
      <x:c r="F128" s="9" t="str">
        <x:f>'Evaluation Plan'!F128</x:f>
        <x:v>airplane exposure 566</x:v>
      </x:c>
      <x:c r="G128" s="9" t="str">
        <x:f>'Evaluation Plan'!G128</x:f>
        <x:v>MOVE airplane toy with propellers to bowl</x:v>
      </x:c>
      <x:c r="H128" s="10"/>
      <x:c r="I128" s="9" t="str">
        <x:f>'Evaluation Plan'!I128</x:f>
        <x:v>Cross-task airplane reasoning</x:v>
      </x:c>
      <x:c r="J128" s="9" t="str">
        <x:f>'Evaluation Plan'!J128</x:f>
        <x:v>SZ-XA09</x:v>
      </x:c>
      <x:c r="K128" s="9" t="str">
        <x:f>'Evaluation Plan'!K128</x:f>
        <x:v>largest</x:v>
      </x:c>
      <x:c r="L128" s="9" t="str">
        <x:f>'Evaluation Plan'!L128</x:f>
        <x:v>Airplane is largest</x:v>
      </x:c>
      <x:c r="M128" s="9" t="str">
        <x:f>'Evaluation Plan'!M128</x:f>
        <x:v>airplane toy with propellers</x:v>
      </x:c>
      <x:c r="N128" s="9" t="str">
        <x:f>'Evaluation Plan'!N128</x:f>
        <x:v>Left</x:v>
      </x:c>
      <x:c r="O128" s="9" t="n">
        <x:f>'Evaluation Plan'!O128</x:f>
        <x:v>2</x:v>
      </x:c>
      <x:c r="P128" s="9" t="n">
        <x:f>IF(ISBLANK('Evaluation Plan'!P128),"",'Evaluation Plan'!P128)</x:f>
        <x:v>12</x:v>
      </x:c>
      <x:c r="Q128" s="9" t="str">
        <x:f>'Evaluation Plan'!Q128</x:f>
        <x:v>Build the listed airplane scene and save a first-frame filename.</x:v>
      </x:c>
      <x:c r="R128" s="10" t="str">
        <x:f>'Evaluation Plan'!R128</x:f>
        <x:v>The airplane is larger than the red pencil sharpener. It is known globally but never received size language in training.</x:v>
      </x:c>
      <x:c r="S128" s="10" t="str">
        <x:f>IF(ISBLANK('Evaluation Plan'!S128),"",'Evaluation Plan'!S128)</x:f>
      </x:c>
    </x:row>
    <x:row r="129" ht="68" customHeight="1">
      <x:c r="A129" s="8" t="str">
        <x:v>Not collected</x:v>
      </x:c>
      <x:c r="B129" s="8" t="n">
        <x:f>'Evaluation Plan'!B129</x:f>
        <x:v>127</x:v>
      </x:c>
      <x:c r="C129" s="7" t="str">
        <x:f>'Evaluation Plan'!C129</x:f>
        <x:v>Move the object that is smallest into the bowl.</x:v>
      </x:c>
      <x:c r="D129" s="7" t="str">
        <x:f>'Evaluation Plan'!D129</x:f>
        <x:v>Bowl: empty. Table, robot-left→robot-right: P1 airplane toy with propellers; P2 red pencil sharpener. Adjacent centers 12 cm apart; row shifted 4 cm away from the robot; all objects fully visible and grasp paths clear.</x:v>
      </x:c>
      <x:c r="E129" s="8" t="n">
        <x:f>IF(ISBLANK('Evaluation Plan'!E129),"",'Evaluation Plan'!E129)</x:f>
        <x:v>126</x:v>
      </x:c>
      <x:c r="F129" s="8" t="str">
        <x:f>'Evaluation Plan'!F129</x:f>
        <x:v>1009; airplane exposure 566</x:v>
      </x:c>
      <x:c r="G129" s="8" t="str">
        <x:f>'Evaluation Plan'!G129</x:f>
        <x:v>MOVE red pencil sharpener to bowl</x:v>
      </x:c>
      <x:c r="H129" s="7"/>
      <x:c r="I129" s="8" t="str">
        <x:f>'Evaluation Plan'!I129</x:f>
        <x:v>Cross-task airplane counterfactual</x:v>
      </x:c>
      <x:c r="J129" s="8" t="str">
        <x:f>'Evaluation Plan'!J129</x:f>
        <x:v>SZ-XA09</x:v>
      </x:c>
      <x:c r="K129" s="8" t="str">
        <x:f>'Evaluation Plan'!K129</x:f>
        <x:v>smallest</x:v>
      </x:c>
      <x:c r="L129" s="8" t="str">
        <x:f>'Evaluation Plan'!L129</x:f>
        <x:v>Exact-scene opposite-comparison reasoning control</x:v>
      </x:c>
      <x:c r="M129" s="8" t="str">
        <x:f>'Evaluation Plan'!M129</x:f>
        <x:v>red pencil sharpener</x:v>
      </x:c>
      <x:c r="N129" s="8" t="str">
        <x:f>'Evaluation Plan'!N129</x:f>
        <x:v>Right</x:v>
      </x:c>
      <x:c r="O129" s="8" t="n">
        <x:f>'Evaluation Plan'!O129</x:f>
        <x:v>2</x:v>
      </x:c>
      <x:c r="P129" s="8" t="n">
        <x:f>IF(ISBLANK('Evaluation Plan'!P129),"",'Evaluation Plan'!P129)</x:f>
        <x:v>12</x:v>
      </x:c>
      <x:c r="Q129" s="8" t="str">
        <x:f>'Evaluation Plan'!Q129</x:f>
        <x:v>Reset the airplane; preserve the exact scene and reverse only the size comparison.</x:v>
      </x:c>
      <x:c r="R129" s="7" t="str">
        <x:f>'Evaluation Plan'!R129</x:f>
        <x:v>Reasoning-only counterfactual grounded by trained cell smallest × red pencil sharpener; an always-pick-airplane shortcut must fail.</x:v>
      </x:c>
      <x:c r="S129" s="7" t="str">
        <x:f>IF(ISBLANK('Evaluation Plan'!S129),"",'Evaluation Plan'!S129)</x:f>
      </x:c>
    </x:row>
    <x:row r="130" ht="68" customHeight="1">
      <x:c r="A130" s="9" t="str">
        <x:v>Not collected</x:v>
      </x:c>
      <x:c r="B130" s="9" t="n">
        <x:f>'Evaluation Plan'!B130</x:f>
        <x:v>128</x:v>
      </x:c>
      <x:c r="C130" s="10" t="str">
        <x:f>'Evaluation Plan'!C130</x:f>
        <x:v>Put the smallest object in the bowl.</x:v>
      </x:c>
      <x:c r="D130" s="10" t="str">
        <x:f>'Evaluation Plan'!D130</x:f>
        <x:v>Bowl: empty. Table, robot-left→robot-right: P1 crushed Pepsi can; P2 juggling ball; P3 airplane toy with propellers. Adjacent centers 16 cm apart; row shifted 4 cm toward robot-left; all objects fully visible and grasp paths clear.</x:v>
      </x:c>
      <x:c r="E130" s="9" t="str">
        <x:f>IF(ISBLANK('Evaluation Plan'!E130),"",'Evaluation Plan'!E130)</x:f>
      </x:c>
      <x:c r="F130" s="9" t="str">
        <x:f>'Evaluation Plan'!F130</x:f>
        <x:v>airplane exposure 568</x:v>
      </x:c>
      <x:c r="G130" s="9" t="str">
        <x:f>'Evaluation Plan'!G130</x:f>
        <x:v>MOVE airplane toy with propellers to bowl</x:v>
      </x:c>
      <x:c r="H130" s="10"/>
      <x:c r="I130" s="9" t="str">
        <x:f>'Evaluation Plan'!I130</x:f>
        <x:v>Cross-task airplane reasoning</x:v>
      </x:c>
      <x:c r="J130" s="9" t="str">
        <x:f>'Evaluation Plan'!J130</x:f>
        <x:v>SZ-XA10</x:v>
      </x:c>
      <x:c r="K130" s="9" t="str">
        <x:f>'Evaluation Plan'!K130</x:f>
        <x:v>smallest</x:v>
      </x:c>
      <x:c r="L130" s="9" t="str">
        <x:f>'Evaluation Plan'!L130</x:f>
        <x:v>Airplane is smallest</x:v>
      </x:c>
      <x:c r="M130" s="9" t="str">
        <x:f>'Evaluation Plan'!M130</x:f>
        <x:v>airplane toy with propellers</x:v>
      </x:c>
      <x:c r="N130" s="9" t="str">
        <x:f>'Evaluation Plan'!N130</x:f>
        <x:v>Right</x:v>
      </x:c>
      <x:c r="O130" s="9" t="n">
        <x:f>'Evaluation Plan'!O130</x:f>
        <x:v>3</x:v>
      </x:c>
      <x:c r="P130" s="9" t="n">
        <x:f>IF(ISBLANK('Evaluation Plan'!P130),"",'Evaluation Plan'!P130)</x:f>
        <x:v>16</x:v>
      </x:c>
      <x:c r="Q130" s="9" t="str">
        <x:f>'Evaluation Plan'!Q130</x:f>
        <x:v>Build the listed airplane scene and save a first-frame filename.</x:v>
      </x:c>
      <x:c r="R130" s="10" t="str">
        <x:f>'Evaluation Plan'!R130</x:f>
        <x:v>The airplane is smaller than every listed table comparator. Green-block scenes also include a trained larger endpoint so the counterfactual does not test largest×green.</x:v>
      </x:c>
      <x:c r="S130" s="10" t="str">
        <x:f>IF(ISBLANK('Evaluation Plan'!S130),"",'Evaluation Plan'!S130)</x:f>
      </x:c>
    </x:row>
    <x:row r="131" ht="68" customHeight="1">
      <x:c r="A131" s="8" t="str">
        <x:v>Not collected</x:v>
      </x:c>
      <x:c r="B131" s="8" t="n">
        <x:f>'Evaluation Plan'!B131</x:f>
        <x:v>129</x:v>
      </x:c>
      <x:c r="C131" s="7" t="str">
        <x:f>'Evaluation Plan'!C131</x:f>
        <x:v>Move the object that is largest into the bowl.</x:v>
      </x:c>
      <x:c r="D131" s="7" t="str">
        <x:f>'Evaluation Plan'!D131</x:f>
        <x:v>Bowl: empty. Table, robot-left→robot-right: P1 crushed Pepsi can; P2 juggling ball; P3 airplane toy with propellers. Adjacent centers 16 cm apart; row shifted 4 cm toward robot-left; all objects fully visible and grasp paths clear.</x:v>
      </x:c>
      <x:c r="E131" s="8" t="n">
        <x:f>IF(ISBLANK('Evaluation Plan'!E131),"",'Evaluation Plan'!E131)</x:f>
        <x:v>128</x:v>
      </x:c>
      <x:c r="F131" s="8" t="str">
        <x:f>'Evaluation Plan'!F131</x:f>
        <x:v>1159; airplane exposure 568</x:v>
      </x:c>
      <x:c r="G131" s="8" t="str">
        <x:f>'Evaluation Plan'!G131</x:f>
        <x:v>MOVE crushed Pepsi can to bowl</x:v>
      </x:c>
      <x:c r="H131" s="7"/>
      <x:c r="I131" s="8" t="str">
        <x:f>'Evaluation Plan'!I131</x:f>
        <x:v>Cross-task airplane counterfactual</x:v>
      </x:c>
      <x:c r="J131" s="8" t="str">
        <x:f>'Evaluation Plan'!J131</x:f>
        <x:v>SZ-XA10</x:v>
      </x:c>
      <x:c r="K131" s="8" t="str">
        <x:f>'Evaluation Plan'!K131</x:f>
        <x:v>largest</x:v>
      </x:c>
      <x:c r="L131" s="8" t="str">
        <x:f>'Evaluation Plan'!L131</x:f>
        <x:v>Exact-scene opposite-comparison reasoning control</x:v>
      </x:c>
      <x:c r="M131" s="8" t="str">
        <x:f>'Evaluation Plan'!M131</x:f>
        <x:v>crushed Pepsi can</x:v>
      </x:c>
      <x:c r="N131" s="8" t="str">
        <x:f>'Evaluation Plan'!N131</x:f>
        <x:v>Left</x:v>
      </x:c>
      <x:c r="O131" s="8" t="n">
        <x:f>'Evaluation Plan'!O131</x:f>
        <x:v>3</x:v>
      </x:c>
      <x:c r="P131" s="8" t="n">
        <x:f>IF(ISBLANK('Evaluation Plan'!P131),"",'Evaluation Plan'!P131)</x:f>
        <x:v>16</x:v>
      </x:c>
      <x:c r="Q131" s="8" t="str">
        <x:f>'Evaluation Plan'!Q131</x:f>
        <x:v>Reset the airplane; preserve the exact scene and reverse only the size comparison.</x:v>
      </x:c>
      <x:c r="R131" s="7" t="str">
        <x:f>'Evaluation Plan'!R131</x:f>
        <x:v>Reasoning-only counterfactual grounded by trained cell largest × crushed Pepsi can; an always-pick-airplane shortcut must fail.</x:v>
      </x:c>
      <x:c r="S131" s="7" t="str">
        <x:f>IF(ISBLANK('Evaluation Plan'!S131),"",'Evaluation Plan'!S131)</x:f>
      </x:c>
    </x:row>
    <x:row r="132" ht="68" customHeight="1">
      <x:c r="A132" s="9" t="str">
        <x:v>Not collected</x:v>
      </x:c>
      <x:c r="B132" s="9" t="n">
        <x:f>'Evaluation Plan'!B132</x:f>
        <x:v>130</x:v>
      </x:c>
      <x:c r="C132" s="10" t="str">
        <x:f>'Evaluation Plan'!C132</x:f>
        <x:v>Move the object that is smallest into the bowl.</x:v>
      </x:c>
      <x:c r="D132" s="10" t="str">
        <x:f>'Evaluation Plan'!D132</x:f>
        <x:v>Bowl: red pencil sharpener. Table: green block. row centered on the workspace; every object fully visible. The requested extremal object is already in the bowl.</x:v>
      </x:c>
      <x:c r="E132" s="9" t="str">
        <x:f>IF(ISBLANK('Evaluation Plan'!E132),"",'Evaluation Plan'!E132)</x:f>
      </x:c>
      <x:c r="F132" s="9" t="str">
        <x:f>'Evaluation Plan'!F132</x:f>
        <x:v>1010</x:v>
      </x:c>
      <x:c r="G132" s="9" t="str">
        <x:f>'Evaluation Plan'!G132</x:f>
        <x:v>NO MOVEMENT — goal already satisfied</x:v>
      </x:c>
      <x:c r="H132" s="10"/>
      <x:c r="I132" s="9" t="str">
        <x:f>'Evaluation Plan'!I132</x:f>
        <x:v>Goal already satisfied / no movement</x:v>
      </x:c>
      <x:c r="J132" s="9" t="str">
        <x:f>'Evaluation Plan'!J132</x:f>
        <x:v>SZ-NOOP-1-1</x:v>
      </x:c>
      <x:c r="K132" s="9" t="str">
        <x:f>'Evaluation Plan'!K132</x:f>
        <x:v>smallest</x:v>
      </x:c>
      <x:c r="L132" s="9" t="str">
        <x:f>'Evaluation Plan'!L132</x:f>
        <x:v>Trained smallest × red pencil sharpener; target already in bowl</x:v>
      </x:c>
      <x:c r="M132" s="9" t="str">
        <x:f>'Evaluation Plan'!M132</x:f>
        <x:v>red pencil sharpener</x:v>
      </x:c>
      <x:c r="N132" s="9" t="str">
        <x:f>'Evaluation Plan'!N132</x:f>
        <x:v>In bowl</x:v>
      </x:c>
      <x:c r="O132" s="9" t="n">
        <x:f>'Evaluation Plan'!O132</x:f>
        <x:v>2</x:v>
      </x:c>
      <x:c r="P132" s="9" t="str">
        <x:f>IF(ISBLANK('Evaluation Plan'!P132),"",'Evaluation Plan'!P132)</x:f>
      </x:c>
      <x:c r="Q132" s="9" t="str">
        <x:f>'Evaluation Plan'!Q132</x:f>
        <x:v>Place the target in the bowl before starting; arrange the listed distractors on the table.</x:v>
      </x:c>
      <x:c r="R132" s="10" t="str">
        <x:f>'Evaluation Plan'!R132</x:f>
        <x:v>Normal training-supported size wording is retained, so no-movement behavior is not correlated with a special phrase. Success requires no object contact or displacement.</x:v>
      </x:c>
      <x:c r="S132" s="10" t="str">
        <x:f>IF(ISBLANK('Evaluation Plan'!S132),"",'Evaluation Plan'!S132)</x:f>
      </x:c>
    </x:row>
    <x:row r="133" ht="68" customHeight="1">
      <x:c r="A133" s="9" t="str">
        <x:v>Not collected</x:v>
      </x:c>
      <x:c r="B133" s="9" t="n">
        <x:f>'Evaluation Plan'!B133</x:f>
        <x:v>131</x:v>
      </x:c>
      <x:c r="C133" s="10" t="str">
        <x:f>'Evaluation Plan'!C133</x:f>
        <x:v>Pick up the smallest item and place it in the bowl.</x:v>
      </x:c>
      <x:c r="D133" s="10" t="str">
        <x:f>'Evaluation Plan'!D133</x:f>
        <x:v>Bowl: green block. Table: juggling ball. row shifted 4 cm toward robot-left; every object fully visible. The requested extremal object is already in the bowl.</x:v>
      </x:c>
      <x:c r="E133" s="9" t="str">
        <x:f>IF(ISBLANK('Evaluation Plan'!E133),"",'Evaluation Plan'!E133)</x:f>
      </x:c>
      <x:c r="F133" s="9" t="str">
        <x:f>'Evaluation Plan'!F133</x:f>
        <x:v>1055</x:v>
      </x:c>
      <x:c r="G133" s="9" t="str">
        <x:f>'Evaluation Plan'!G133</x:f>
        <x:v>NO MOVEMENT — goal already satisfied</x:v>
      </x:c>
      <x:c r="H133" s="10"/>
      <x:c r="I133" s="9" t="str">
        <x:f>'Evaluation Plan'!I133</x:f>
        <x:v>Goal already satisfied / no movement</x:v>
      </x:c>
      <x:c r="J133" s="9" t="str">
        <x:f>'Evaluation Plan'!J133</x:f>
        <x:v>SZ-NOOP-2-1</x:v>
      </x:c>
      <x:c r="K133" s="9" t="str">
        <x:f>'Evaluation Plan'!K133</x:f>
        <x:v>smallest</x:v>
      </x:c>
      <x:c r="L133" s="9" t="str">
        <x:f>'Evaluation Plan'!L133</x:f>
        <x:v>Trained smallest × green block; target already in bowl</x:v>
      </x:c>
      <x:c r="M133" s="9" t="str">
        <x:f>'Evaluation Plan'!M133</x:f>
        <x:v>green block</x:v>
      </x:c>
      <x:c r="N133" s="9" t="str">
        <x:f>'Evaluation Plan'!N133</x:f>
        <x:v>In bowl</x:v>
      </x:c>
      <x:c r="O133" s="9" t="n">
        <x:f>'Evaluation Plan'!O133</x:f>
        <x:v>2</x:v>
      </x:c>
      <x:c r="P133" s="9" t="str">
        <x:f>IF(ISBLANK('Evaluation Plan'!P133),"",'Evaluation Plan'!P133)</x:f>
      </x:c>
      <x:c r="Q133" s="9" t="str">
        <x:f>'Evaluation Plan'!Q133</x:f>
        <x:v>Place the target in the bowl before starting; arrange the listed distractors on the table.</x:v>
      </x:c>
      <x:c r="R133" s="10" t="str">
        <x:f>'Evaluation Plan'!R133</x:f>
        <x:v>Normal training-supported size wording is retained, so no-movement behavior is not correlated with a special phrase. Success requires no object contact or displacement.</x:v>
      </x:c>
      <x:c r="S133" s="10" t="str">
        <x:f>IF(ISBLANK('Evaluation Plan'!S133),"",'Evaluation Plan'!S133)</x:f>
      </x:c>
    </x:row>
    <x:row r="134" ht="68" customHeight="1">
      <x:c r="A134" s="9" t="str">
        <x:v>Not collected</x:v>
      </x:c>
      <x:c r="B134" s="9" t="n">
        <x:f>'Evaluation Plan'!B134</x:f>
        <x:v>132</x:v>
      </x:c>
      <x:c r="C134" s="10" t="str">
        <x:f>'Evaluation Plan'!C134</x:f>
        <x:v>Put the largest object in the bowl.</x:v>
      </x:c>
      <x:c r="D134" s="10" t="str">
        <x:f>'Evaluation Plan'!D134</x:f>
        <x:v>Bowl: juggling ball. Table: red pencil sharpener. row shifted 4 cm toward robot-right; every object fully visible. The requested extremal object is already in the bowl.</x:v>
      </x:c>
      <x:c r="E134" s="9" t="str">
        <x:f>IF(ISBLANK('Evaluation Plan'!E134),"",'Evaluation Plan'!E134)</x:f>
      </x:c>
      <x:c r="F134" s="9" t="str">
        <x:f>'Evaluation Plan'!F134</x:f>
        <x:v>1130</x:v>
      </x:c>
      <x:c r="G134" s="9" t="str">
        <x:f>'Evaluation Plan'!G134</x:f>
        <x:v>NO MOVEMENT — goal already satisfied</x:v>
      </x:c>
      <x:c r="H134" s="10"/>
      <x:c r="I134" s="9" t="str">
        <x:f>'Evaluation Plan'!I134</x:f>
        <x:v>Goal already satisfied / no movement</x:v>
      </x:c>
      <x:c r="J134" s="9" t="str">
        <x:f>'Evaluation Plan'!J134</x:f>
        <x:v>SZ-NOOP-3-1</x:v>
      </x:c>
      <x:c r="K134" s="9" t="str">
        <x:f>'Evaluation Plan'!K134</x:f>
        <x:v>largest</x:v>
      </x:c>
      <x:c r="L134" s="9" t="str">
        <x:f>'Evaluation Plan'!L134</x:f>
        <x:v>Trained largest × juggling ball; target already in bowl</x:v>
      </x:c>
      <x:c r="M134" s="9" t="str">
        <x:f>'Evaluation Plan'!M134</x:f>
        <x:v>juggling ball</x:v>
      </x:c>
      <x:c r="N134" s="9" t="str">
        <x:f>'Evaluation Plan'!N134</x:f>
        <x:v>In bowl</x:v>
      </x:c>
      <x:c r="O134" s="9" t="n">
        <x:f>'Evaluation Plan'!O134</x:f>
        <x:v>2</x:v>
      </x:c>
      <x:c r="P134" s="9" t="str">
        <x:f>IF(ISBLANK('Evaluation Plan'!P134),"",'Evaluation Plan'!P134)</x:f>
      </x:c>
      <x:c r="Q134" s="9" t="str">
        <x:f>'Evaluation Plan'!Q134</x:f>
        <x:v>Place the target in the bowl before starting; arrange the listed distractors on the table.</x:v>
      </x:c>
      <x:c r="R134" s="10" t="str">
        <x:f>'Evaluation Plan'!R134</x:f>
        <x:v>Normal training-supported size wording is retained, so no-movement behavior is not correlated with a special phrase. Success requires no object contact or displacement.</x:v>
      </x:c>
      <x:c r="S134" s="10" t="str">
        <x:f>IF(ISBLANK('Evaluation Plan'!S134),"",'Evaluation Plan'!S134)</x:f>
      </x:c>
    </x:row>
    <x:row r="135" ht="68" customHeight="1">
      <x:c r="A135" s="9" t="str">
        <x:v>Not collected</x:v>
      </x:c>
      <x:c r="B135" s="9" t="n">
        <x:f>'Evaluation Plan'!B135</x:f>
        <x:v>133</x:v>
      </x:c>
      <x:c r="C135" s="10" t="str">
        <x:f>'Evaluation Plan'!C135</x:f>
        <x:v>Move the object that is largest into the bowl.</x:v>
      </x:c>
      <x:c r="D135" s="10" t="str">
        <x:f>'Evaluation Plan'!D135</x:f>
        <x:v>Bowl: crushed Pepsi can. Table: juggling ball. row shifted 4 cm toward the robot; every object fully visible. The requested extremal object is already in the bowl.</x:v>
      </x:c>
      <x:c r="E135" s="9" t="str">
        <x:f>IF(ISBLANK('Evaluation Plan'!E135),"",'Evaluation Plan'!E135)</x:f>
      </x:c>
      <x:c r="F135" s="9" t="str">
        <x:f>'Evaluation Plan'!F135</x:f>
        <x:v>1160</x:v>
      </x:c>
      <x:c r="G135" s="9" t="str">
        <x:f>'Evaluation Plan'!G135</x:f>
        <x:v>NO MOVEMENT — goal already satisfied</x:v>
      </x:c>
      <x:c r="H135" s="10"/>
      <x:c r="I135" s="9" t="str">
        <x:f>'Evaluation Plan'!I135</x:f>
        <x:v>Goal already satisfied / no movement</x:v>
      </x:c>
      <x:c r="J135" s="9" t="str">
        <x:f>'Evaluation Plan'!J135</x:f>
        <x:v>SZ-NOOP-4-1</x:v>
      </x:c>
      <x:c r="K135" s="9" t="str">
        <x:f>'Evaluation Plan'!K135</x:f>
        <x:v>largest</x:v>
      </x:c>
      <x:c r="L135" s="9" t="str">
        <x:f>'Evaluation Plan'!L135</x:f>
        <x:v>Trained largest × crushed Pepsi can; target already in bowl</x:v>
      </x:c>
      <x:c r="M135" s="9" t="str">
        <x:f>'Evaluation Plan'!M135</x:f>
        <x:v>crushed Pepsi can</x:v>
      </x:c>
      <x:c r="N135" s="9" t="str">
        <x:f>'Evaluation Plan'!N135</x:f>
        <x:v>In bowl</x:v>
      </x:c>
      <x:c r="O135" s="9" t="n">
        <x:f>'Evaluation Plan'!O135</x:f>
        <x:v>2</x:v>
      </x:c>
      <x:c r="P135" s="9" t="str">
        <x:f>IF(ISBLANK('Evaluation Plan'!P135),"",'Evaluation Plan'!P135)</x:f>
      </x:c>
      <x:c r="Q135" s="9" t="str">
        <x:f>'Evaluation Plan'!Q135</x:f>
        <x:v>Place the target in the bowl before starting; arrange the listed distractors on the table.</x:v>
      </x:c>
      <x:c r="R135" s="10" t="str">
        <x:f>'Evaluation Plan'!R135</x:f>
        <x:v>Normal training-supported size wording is retained, so no-movement behavior is not correlated with a special phrase. Success requires no object contact or displacement.</x:v>
      </x:c>
      <x:c r="S135" s="10" t="str">
        <x:f>IF(ISBLANK('Evaluation Plan'!S135),"",'Evaluation Plan'!S135)</x:f>
      </x:c>
    </x:row>
    <x:row r="136" ht="68" customHeight="1">
      <x:c r="A136" s="9" t="str">
        <x:v>Not collected</x:v>
      </x:c>
      <x:c r="B136" s="9" t="n">
        <x:f>'Evaluation Plan'!B136</x:f>
        <x:v>134</x:v>
      </x:c>
      <x:c r="C136" s="10" t="str">
        <x:f>'Evaluation Plan'!C136</x:f>
        <x:v>Pick up the smallest item and place it in the bowl.</x:v>
      </x:c>
      <x:c r="D136" s="10" t="str">
        <x:f>'Evaluation Plan'!D136</x:f>
        <x:v>Bowl: red pencil sharpener. Table: juggling ball; crushed Pepsi can. row shifted 4 cm toward robot-left; every object fully visible. The requested extremal object is already in the bowl.</x:v>
      </x:c>
      <x:c r="E136" s="9" t="str">
        <x:f>IF(ISBLANK('Evaluation Plan'!E136),"",'Evaluation Plan'!E136)</x:f>
      </x:c>
      <x:c r="F136" s="9" t="str">
        <x:f>'Evaluation Plan'!F136</x:f>
        <x:v>1011</x:v>
      </x:c>
      <x:c r="G136" s="9" t="str">
        <x:f>'Evaluation Plan'!G136</x:f>
        <x:v>NO MOVEMENT — goal already satisfied</x:v>
      </x:c>
      <x:c r="H136" s="10"/>
      <x:c r="I136" s="9" t="str">
        <x:f>'Evaluation Plan'!I136</x:f>
        <x:v>Goal already satisfied / no movement</x:v>
      </x:c>
      <x:c r="J136" s="9" t="str">
        <x:f>'Evaluation Plan'!J136</x:f>
        <x:v>SZ-NOOP-1-2</x:v>
      </x:c>
      <x:c r="K136" s="9" t="str">
        <x:f>'Evaluation Plan'!K136</x:f>
        <x:v>smallest</x:v>
      </x:c>
      <x:c r="L136" s="9" t="str">
        <x:f>'Evaluation Plan'!L136</x:f>
        <x:v>Trained smallest × red pencil sharpener; target already in bowl</x:v>
      </x:c>
      <x:c r="M136" s="9" t="str">
        <x:f>'Evaluation Plan'!M136</x:f>
        <x:v>red pencil sharpener</x:v>
      </x:c>
      <x:c r="N136" s="9" t="str">
        <x:f>'Evaluation Plan'!N136</x:f>
        <x:v>In bowl</x:v>
      </x:c>
      <x:c r="O136" s="9" t="n">
        <x:f>'Evaluation Plan'!O136</x:f>
        <x:v>3</x:v>
      </x:c>
      <x:c r="P136" s="9" t="str">
        <x:f>IF(ISBLANK('Evaluation Plan'!P136),"",'Evaluation Plan'!P136)</x:f>
      </x:c>
      <x:c r="Q136" s="9" t="str">
        <x:f>'Evaluation Plan'!Q136</x:f>
        <x:v>Place the target in the bowl before starting; arrange the listed distractors on the table.</x:v>
      </x:c>
      <x:c r="R136" s="10" t="str">
        <x:f>'Evaluation Plan'!R136</x:f>
        <x:v>Normal training-supported size wording is retained, so no-movement behavior is not correlated with a special phrase. Success requires no object contact or displacement.</x:v>
      </x:c>
      <x:c r="S136" s="10" t="str">
        <x:f>IF(ISBLANK('Evaluation Plan'!S136),"",'Evaluation Plan'!S136)</x:f>
      </x:c>
    </x:row>
    <x:row r="137" ht="68" customHeight="1">
      <x:c r="A137" s="9" t="str">
        <x:v>Not collected</x:v>
      </x:c>
      <x:c r="B137" s="9" t="n">
        <x:f>'Evaluation Plan'!B137</x:f>
        <x:v>135</x:v>
      </x:c>
      <x:c r="C137" s="10" t="str">
        <x:f>'Evaluation Plan'!C137</x:f>
        <x:v>Put the smallest object in the bowl.</x:v>
      </x:c>
      <x:c r="D137" s="10" t="str">
        <x:f>'Evaluation Plan'!D137</x:f>
        <x:v>Bowl: green block. Table: crushed Pepsi can. row shifted 4 cm toward robot-right; every object fully visible. The requested extremal object is already in the bowl.</x:v>
      </x:c>
      <x:c r="E137" s="9" t="str">
        <x:f>IF(ISBLANK('Evaluation Plan'!E137),"",'Evaluation Plan'!E137)</x:f>
      </x:c>
      <x:c r="F137" s="9" t="str">
        <x:f>'Evaluation Plan'!F137</x:f>
        <x:v>1056</x:v>
      </x:c>
      <x:c r="G137" s="9" t="str">
        <x:f>'Evaluation Plan'!G137</x:f>
        <x:v>NO MOVEMENT — goal already satisfied</x:v>
      </x:c>
      <x:c r="H137" s="10"/>
      <x:c r="I137" s="9" t="str">
        <x:f>'Evaluation Plan'!I137</x:f>
        <x:v>Goal already satisfied / no movement</x:v>
      </x:c>
      <x:c r="J137" s="9" t="str">
        <x:f>'Evaluation Plan'!J137</x:f>
        <x:v>SZ-NOOP-2-2</x:v>
      </x:c>
      <x:c r="K137" s="9" t="str">
        <x:f>'Evaluation Plan'!K137</x:f>
        <x:v>smallest</x:v>
      </x:c>
      <x:c r="L137" s="9" t="str">
        <x:f>'Evaluation Plan'!L137</x:f>
        <x:v>Trained smallest × green block; target already in bowl</x:v>
      </x:c>
      <x:c r="M137" s="9" t="str">
        <x:f>'Evaluation Plan'!M137</x:f>
        <x:v>green block</x:v>
      </x:c>
      <x:c r="N137" s="9" t="str">
        <x:f>'Evaluation Plan'!N137</x:f>
        <x:v>In bowl</x:v>
      </x:c>
      <x:c r="O137" s="9" t="n">
        <x:f>'Evaluation Plan'!O137</x:f>
        <x:v>2</x:v>
      </x:c>
      <x:c r="P137" s="9" t="str">
        <x:f>IF(ISBLANK('Evaluation Plan'!P137),"",'Evaluation Plan'!P137)</x:f>
      </x:c>
      <x:c r="Q137" s="9" t="str">
        <x:f>'Evaluation Plan'!Q137</x:f>
        <x:v>Place the target in the bowl before starting; arrange the listed distractors on the table.</x:v>
      </x:c>
      <x:c r="R137" s="10" t="str">
        <x:f>'Evaluation Plan'!R137</x:f>
        <x:v>Normal training-supported size wording is retained, so no-movement behavior is not correlated with a special phrase. Success requires no object contact or displacement.</x:v>
      </x:c>
      <x:c r="S137" s="10" t="str">
        <x:f>IF(ISBLANK('Evaluation Plan'!S137),"",'Evaluation Plan'!S137)</x:f>
      </x:c>
    </x:row>
    <x:row r="138" ht="68" customHeight="1">
      <x:c r="A138" s="9" t="str">
        <x:v>Not collected</x:v>
      </x:c>
      <x:c r="B138" s="9" t="n">
        <x:f>'Evaluation Plan'!B138</x:f>
        <x:v>136</x:v>
      </x:c>
      <x:c r="C138" s="10" t="str">
        <x:f>'Evaluation Plan'!C138</x:f>
        <x:v>Move the object that is largest into the bowl.</x:v>
      </x:c>
      <x:c r="D138" s="10" t="str">
        <x:f>'Evaluation Plan'!D138</x:f>
        <x:v>Bowl: juggling ball. Table: green block. row shifted 4 cm toward the robot; every object fully visible. The requested extremal object is already in the bowl.</x:v>
      </x:c>
      <x:c r="E138" s="9" t="str">
        <x:f>IF(ISBLANK('Evaluation Plan'!E138),"",'Evaluation Plan'!E138)</x:f>
      </x:c>
      <x:c r="F138" s="9" t="str">
        <x:f>'Evaluation Plan'!F138</x:f>
        <x:v>1131</x:v>
      </x:c>
      <x:c r="G138" s="9" t="str">
        <x:f>'Evaluation Plan'!G138</x:f>
        <x:v>NO MOVEMENT — goal already satisfied</x:v>
      </x:c>
      <x:c r="H138" s="10"/>
      <x:c r="I138" s="9" t="str">
        <x:f>'Evaluation Plan'!I138</x:f>
        <x:v>Goal already satisfied / no movement</x:v>
      </x:c>
      <x:c r="J138" s="9" t="str">
        <x:f>'Evaluation Plan'!J138</x:f>
        <x:v>SZ-NOOP-3-2</x:v>
      </x:c>
      <x:c r="K138" s="9" t="str">
        <x:f>'Evaluation Plan'!K138</x:f>
        <x:v>largest</x:v>
      </x:c>
      <x:c r="L138" s="9" t="str">
        <x:f>'Evaluation Plan'!L138</x:f>
        <x:v>Trained largest × juggling ball; target already in bowl</x:v>
      </x:c>
      <x:c r="M138" s="9" t="str">
        <x:f>'Evaluation Plan'!M138</x:f>
        <x:v>juggling ball</x:v>
      </x:c>
      <x:c r="N138" s="9" t="str">
        <x:f>'Evaluation Plan'!N138</x:f>
        <x:v>In bowl</x:v>
      </x:c>
      <x:c r="O138" s="9" t="n">
        <x:f>'Evaluation Plan'!O138</x:f>
        <x:v>2</x:v>
      </x:c>
      <x:c r="P138" s="9" t="str">
        <x:f>IF(ISBLANK('Evaluation Plan'!P138),"",'Evaluation Plan'!P138)</x:f>
      </x:c>
      <x:c r="Q138" s="9" t="str">
        <x:f>'Evaluation Plan'!Q138</x:f>
        <x:v>Place the target in the bowl before starting; arrange the listed distractors on the table.</x:v>
      </x:c>
      <x:c r="R138" s="10" t="str">
        <x:f>'Evaluation Plan'!R138</x:f>
        <x:v>Normal training-supported size wording is retained, so no-movement behavior is not correlated with a special phrase. Success requires no object contact or displacement.</x:v>
      </x:c>
      <x:c r="S138" s="10" t="str">
        <x:f>IF(ISBLANK('Evaluation Plan'!S138),"",'Evaluation Plan'!S138)</x:f>
      </x:c>
    </x:row>
    <x:row r="139" ht="68" customHeight="1">
      <x:c r="A139" s="9" t="str">
        <x:v>Not collected</x:v>
      </x:c>
      <x:c r="B139" s="9" t="n">
        <x:f>'Evaluation Plan'!B139</x:f>
        <x:v>137</x:v>
      </x:c>
      <x:c r="C139" s="10" t="str">
        <x:f>'Evaluation Plan'!C139</x:f>
        <x:v>Pick up the largest item and place it in the bowl.</x:v>
      </x:c>
      <x:c r="D139" s="10" t="str">
        <x:f>'Evaluation Plan'!D139</x:f>
        <x:v>Bowl: crushed Pepsi can. Table: green block. row shifted 4 cm away from the robot; every object fully visible. The requested extremal object is already in the bowl.</x:v>
      </x:c>
      <x:c r="E139" s="9" t="str">
        <x:f>IF(ISBLANK('Evaluation Plan'!E139),"",'Evaluation Plan'!E139)</x:f>
      </x:c>
      <x:c r="F139" s="9" t="str">
        <x:f>'Evaluation Plan'!F139</x:f>
        <x:v>1161</x:v>
      </x:c>
      <x:c r="G139" s="9" t="str">
        <x:f>'Evaluation Plan'!G139</x:f>
        <x:v>NO MOVEMENT — goal already satisfied</x:v>
      </x:c>
      <x:c r="H139" s="10"/>
      <x:c r="I139" s="9" t="str">
        <x:f>'Evaluation Plan'!I139</x:f>
        <x:v>Goal already satisfied / no movement</x:v>
      </x:c>
      <x:c r="J139" s="9" t="str">
        <x:f>'Evaluation Plan'!J139</x:f>
        <x:v>SZ-NOOP-4-2</x:v>
      </x:c>
      <x:c r="K139" s="9" t="str">
        <x:f>'Evaluation Plan'!K139</x:f>
        <x:v>largest</x:v>
      </x:c>
      <x:c r="L139" s="9" t="str">
        <x:f>'Evaluation Plan'!L139</x:f>
        <x:v>Trained largest × crushed Pepsi can; target already in bowl</x:v>
      </x:c>
      <x:c r="M139" s="9" t="str">
        <x:f>'Evaluation Plan'!M139</x:f>
        <x:v>crushed Pepsi can</x:v>
      </x:c>
      <x:c r="N139" s="9" t="str">
        <x:f>'Evaluation Plan'!N139</x:f>
        <x:v>In bowl</x:v>
      </x:c>
      <x:c r="O139" s="9" t="n">
        <x:f>'Evaluation Plan'!O139</x:f>
        <x:v>2</x:v>
      </x:c>
      <x:c r="P139" s="9" t="str">
        <x:f>IF(ISBLANK('Evaluation Plan'!P139),"",'Evaluation Plan'!P139)</x:f>
      </x:c>
      <x:c r="Q139" s="9" t="str">
        <x:f>'Evaluation Plan'!Q139</x:f>
        <x:v>Place the target in the bowl before starting; arrange the listed distractors on the table.</x:v>
      </x:c>
      <x:c r="R139" s="10" t="str">
        <x:f>'Evaluation Plan'!R139</x:f>
        <x:v>Normal training-supported size wording is retained, so no-movement behavior is not correlated with a special phrase. Success requires no object contact or displacement.</x:v>
      </x:c>
      <x:c r="S139" s="10" t="str">
        <x:f>IF(ISBLANK('Evaluation Plan'!S139),"",'Evaluation Plan'!S139)</x:f>
      </x:c>
    </x:row>
    <x:row r="140" ht="68" customHeight="1">
      <x:c r="A140" s="9" t="str">
        <x:v>Not collected</x:v>
      </x:c>
      <x:c r="B140" s="9" t="n">
        <x:f>'Evaluation Plan'!B140</x:f>
        <x:v>138</x:v>
      </x:c>
      <x:c r="C140" s="10" t="str">
        <x:f>'Evaluation Plan'!C140</x:f>
        <x:v>Put the smallest object in the bowl.</x:v>
      </x:c>
      <x:c r="D140" s="10" t="str">
        <x:f>'Evaluation Plan'!D140</x:f>
        <x:v>Bowl: red pencil sharpener. Table: green block; juggling ball; crushed Pepsi can. row shifted 4 cm toward robot-right; every object fully visible. The requested extremal object is already in the bowl.</x:v>
      </x:c>
      <x:c r="E140" s="9" t="str">
        <x:f>IF(ISBLANK('Evaluation Plan'!E140),"",'Evaluation Plan'!E140)</x:f>
      </x:c>
      <x:c r="F140" s="9" t="str">
        <x:f>'Evaluation Plan'!F140</x:f>
        <x:v>1012</x:v>
      </x:c>
      <x:c r="G140" s="9" t="str">
        <x:f>'Evaluation Plan'!G140</x:f>
        <x:v>NO MOVEMENT — goal already satisfied</x:v>
      </x:c>
      <x:c r="H140" s="10"/>
      <x:c r="I140" s="9" t="str">
        <x:f>'Evaluation Plan'!I140</x:f>
        <x:v>Goal already satisfied / no movement</x:v>
      </x:c>
      <x:c r="J140" s="9" t="str">
        <x:f>'Evaluation Plan'!J140</x:f>
        <x:v>SZ-NOOP-1-3</x:v>
      </x:c>
      <x:c r="K140" s="9" t="str">
        <x:f>'Evaluation Plan'!K140</x:f>
        <x:v>smallest</x:v>
      </x:c>
      <x:c r="L140" s="9" t="str">
        <x:f>'Evaluation Plan'!L140</x:f>
        <x:v>Trained smallest × red pencil sharpener; target already in bowl</x:v>
      </x:c>
      <x:c r="M140" s="9" t="str">
        <x:f>'Evaluation Plan'!M140</x:f>
        <x:v>red pencil sharpener</x:v>
      </x:c>
      <x:c r="N140" s="9" t="str">
        <x:f>'Evaluation Plan'!N140</x:f>
        <x:v>In bowl</x:v>
      </x:c>
      <x:c r="O140" s="9" t="n">
        <x:f>'Evaluation Plan'!O140</x:f>
        <x:v>4</x:v>
      </x:c>
      <x:c r="P140" s="9" t="str">
        <x:f>IF(ISBLANK('Evaluation Plan'!P140),"",'Evaluation Plan'!P140)</x:f>
      </x:c>
      <x:c r="Q140" s="9" t="str">
        <x:f>'Evaluation Plan'!Q140</x:f>
        <x:v>Place the target in the bowl before starting; arrange the listed distractors on the table.</x:v>
      </x:c>
      <x:c r="R140" s="10" t="str">
        <x:f>'Evaluation Plan'!R140</x:f>
        <x:v>Normal training-supported size wording is retained, so no-movement behavior is not correlated with a special phrase. Success requires no object contact or displacement.</x:v>
      </x:c>
      <x:c r="S140" s="10" t="str">
        <x:f>IF(ISBLANK('Evaluation Plan'!S140),"",'Evaluation Plan'!S140)</x:f>
      </x:c>
    </x:row>
    <x:row r="141" ht="68" customHeight="1">
      <x:c r="A141" s="9" t="str">
        <x:v>Not collected</x:v>
      </x:c>
      <x:c r="B141" s="9" t="n">
        <x:f>'Evaluation Plan'!B141</x:f>
        <x:v>139</x:v>
      </x:c>
      <x:c r="C141" s="10" t="str">
        <x:f>'Evaluation Plan'!C141</x:f>
        <x:v>Move the object that is smallest into the bowl.</x:v>
      </x:c>
      <x:c r="D141" s="10" t="str">
        <x:f>'Evaluation Plan'!D141</x:f>
        <x:v>Bowl: green block. Table: juggling ball; crushed Pepsi can. row shifted 4 cm toward the robot; every object fully visible. The requested extremal object is already in the bowl.</x:v>
      </x:c>
      <x:c r="E141" s="9" t="str">
        <x:f>IF(ISBLANK('Evaluation Plan'!E141),"",'Evaluation Plan'!E141)</x:f>
      </x:c>
      <x:c r="F141" s="9" t="str">
        <x:f>'Evaluation Plan'!F141</x:f>
        <x:v>1057</x:v>
      </x:c>
      <x:c r="G141" s="9" t="str">
        <x:f>'Evaluation Plan'!G141</x:f>
        <x:v>NO MOVEMENT — goal already satisfied</x:v>
      </x:c>
      <x:c r="H141" s="10"/>
      <x:c r="I141" s="9" t="str">
        <x:f>'Evaluation Plan'!I141</x:f>
        <x:v>Goal already satisfied / no movement</x:v>
      </x:c>
      <x:c r="J141" s="9" t="str">
        <x:f>'Evaluation Plan'!J141</x:f>
        <x:v>SZ-NOOP-2-3</x:v>
      </x:c>
      <x:c r="K141" s="9" t="str">
        <x:f>'Evaluation Plan'!K141</x:f>
        <x:v>smallest</x:v>
      </x:c>
      <x:c r="L141" s="9" t="str">
        <x:f>'Evaluation Plan'!L141</x:f>
        <x:v>Trained smallest × green block; target already in bowl</x:v>
      </x:c>
      <x:c r="M141" s="9" t="str">
        <x:f>'Evaluation Plan'!M141</x:f>
        <x:v>green block</x:v>
      </x:c>
      <x:c r="N141" s="9" t="str">
        <x:f>'Evaluation Plan'!N141</x:f>
        <x:v>In bowl</x:v>
      </x:c>
      <x:c r="O141" s="9" t="n">
        <x:f>'Evaluation Plan'!O141</x:f>
        <x:v>3</x:v>
      </x:c>
      <x:c r="P141" s="9" t="str">
        <x:f>IF(ISBLANK('Evaluation Plan'!P141),"",'Evaluation Plan'!P141)</x:f>
      </x:c>
      <x:c r="Q141" s="9" t="str">
        <x:f>'Evaluation Plan'!Q141</x:f>
        <x:v>Place the target in the bowl before starting; arrange the listed distractors on the table.</x:v>
      </x:c>
      <x:c r="R141" s="10" t="str">
        <x:f>'Evaluation Plan'!R141</x:f>
        <x:v>Normal training-supported size wording is retained, so no-movement behavior is not correlated with a special phrase. Success requires no object contact or displacement.</x:v>
      </x:c>
      <x:c r="S141" s="10" t="str">
        <x:f>IF(ISBLANK('Evaluation Plan'!S141),"",'Evaluation Plan'!S141)</x:f>
      </x:c>
    </x:row>
    <x:row r="142" ht="68" customHeight="1">
      <x:c r="A142" s="9" t="str">
        <x:v>Not collected</x:v>
      </x:c>
      <x:c r="B142" s="9" t="n">
        <x:f>'Evaluation Plan'!B142</x:f>
        <x:v>140</x:v>
      </x:c>
      <x:c r="C142" s="10" t="str">
        <x:f>'Evaluation Plan'!C142</x:f>
        <x:v>Pick up the largest item and place it in the bowl.</x:v>
      </x:c>
      <x:c r="D142" s="10" t="str">
        <x:f>'Evaluation Plan'!D142</x:f>
        <x:v>Bowl: juggling ball. Table: red pencil sharpener; green block. row shifted 4 cm away from the robot; every object fully visible. The requested extremal object is already in the bowl.</x:v>
      </x:c>
      <x:c r="E142" s="9" t="str">
        <x:f>IF(ISBLANK('Evaluation Plan'!E142),"",'Evaluation Plan'!E142)</x:f>
      </x:c>
      <x:c r="F142" s="9" t="str">
        <x:f>'Evaluation Plan'!F142</x:f>
        <x:v>1132</x:v>
      </x:c>
      <x:c r="G142" s="9" t="str">
        <x:f>'Evaluation Plan'!G142</x:f>
        <x:v>NO MOVEMENT — goal already satisfied</x:v>
      </x:c>
      <x:c r="H142" s="10"/>
      <x:c r="I142" s="9" t="str">
        <x:f>'Evaluation Plan'!I142</x:f>
        <x:v>Goal already satisfied / no movement</x:v>
      </x:c>
      <x:c r="J142" s="9" t="str">
        <x:f>'Evaluation Plan'!J142</x:f>
        <x:v>SZ-NOOP-3-3</x:v>
      </x:c>
      <x:c r="K142" s="9" t="str">
        <x:f>'Evaluation Plan'!K142</x:f>
        <x:v>largest</x:v>
      </x:c>
      <x:c r="L142" s="9" t="str">
        <x:f>'Evaluation Plan'!L142</x:f>
        <x:v>Trained largest × juggling ball; target already in bowl</x:v>
      </x:c>
      <x:c r="M142" s="9" t="str">
        <x:f>'Evaluation Plan'!M142</x:f>
        <x:v>juggling ball</x:v>
      </x:c>
      <x:c r="N142" s="9" t="str">
        <x:f>'Evaluation Plan'!N142</x:f>
        <x:v>In bowl</x:v>
      </x:c>
      <x:c r="O142" s="9" t="n">
        <x:f>'Evaluation Plan'!O142</x:f>
        <x:v>3</x:v>
      </x:c>
      <x:c r="P142" s="9" t="str">
        <x:f>IF(ISBLANK('Evaluation Plan'!P142),"",'Evaluation Plan'!P142)</x:f>
      </x:c>
      <x:c r="Q142" s="9" t="str">
        <x:f>'Evaluation Plan'!Q142</x:f>
        <x:v>Place the target in the bowl before starting; arrange the listed distractors on the table.</x:v>
      </x:c>
      <x:c r="R142" s="10" t="str">
        <x:f>'Evaluation Plan'!R142</x:f>
        <x:v>Normal training-supported size wording is retained, so no-movement behavior is not correlated with a special phrase. Success requires no object contact or displacement.</x:v>
      </x:c>
      <x:c r="S142" s="10" t="str">
        <x:f>IF(ISBLANK('Evaluation Plan'!S142),"",'Evaluation Plan'!S142)</x:f>
      </x:c>
    </x:row>
    <x:row r="143" ht="68" customHeight="1">
      <x:c r="A143" s="9" t="str">
        <x:v>Not collected</x:v>
      </x:c>
      <x:c r="B143" s="9" t="n">
        <x:f>'Evaluation Plan'!B143</x:f>
        <x:v>141</x:v>
      </x:c>
      <x:c r="C143" s="10" t="str">
        <x:f>'Evaluation Plan'!C143</x:f>
        <x:v>Put the largest object in the bowl.</x:v>
      </x:c>
      <x:c r="D143" s="10" t="str">
        <x:f>'Evaluation Plan'!D143</x:f>
        <x:v>Bowl: crushed Pepsi can. Table: red pencil sharpener; green block; juggling ball. row centered on the workspace; every object fully visible. The requested extremal object is already in the bowl.</x:v>
      </x:c>
      <x:c r="E143" s="9" t="str">
        <x:f>IF(ISBLANK('Evaluation Plan'!E143),"",'Evaluation Plan'!E143)</x:f>
      </x:c>
      <x:c r="F143" s="9" t="str">
        <x:f>'Evaluation Plan'!F143</x:f>
        <x:v>1162</x:v>
      </x:c>
      <x:c r="G143" s="9" t="str">
        <x:f>'Evaluation Plan'!G143</x:f>
        <x:v>NO MOVEMENT — goal already satisfied</x:v>
      </x:c>
      <x:c r="H143" s="10"/>
      <x:c r="I143" s="9" t="str">
        <x:f>'Evaluation Plan'!I143</x:f>
        <x:v>Goal already satisfied / no movement</x:v>
      </x:c>
      <x:c r="J143" s="9" t="str">
        <x:f>'Evaluation Plan'!J143</x:f>
        <x:v>SZ-NOOP-4-3</x:v>
      </x:c>
      <x:c r="K143" s="9" t="str">
        <x:f>'Evaluation Plan'!K143</x:f>
        <x:v>largest</x:v>
      </x:c>
      <x:c r="L143" s="9" t="str">
        <x:f>'Evaluation Plan'!L143</x:f>
        <x:v>Trained largest × crushed Pepsi can; target already in bowl</x:v>
      </x:c>
      <x:c r="M143" s="9" t="str">
        <x:f>'Evaluation Plan'!M143</x:f>
        <x:v>crushed Pepsi can</x:v>
      </x:c>
      <x:c r="N143" s="9" t="str">
        <x:f>'Evaluation Plan'!N143</x:f>
        <x:v>In bowl</x:v>
      </x:c>
      <x:c r="O143" s="9" t="n">
        <x:f>'Evaluation Plan'!O143</x:f>
        <x:v>4</x:v>
      </x:c>
      <x:c r="P143" s="9" t="str">
        <x:f>IF(ISBLANK('Evaluation Plan'!P143),"",'Evaluation Plan'!P143)</x:f>
      </x:c>
      <x:c r="Q143" s="9" t="str">
        <x:f>'Evaluation Plan'!Q143</x:f>
        <x:v>Place the target in the bowl before starting; arrange the listed distractors on the table.</x:v>
      </x:c>
      <x:c r="R143" s="10" t="str">
        <x:f>'Evaluation Plan'!R143</x:f>
        <x:v>Normal training-supported size wording is retained, so no-movement behavior is not correlated with a special phrase. Success requires no object contact or displacement.</x:v>
      </x:c>
      <x:c r="S143" s="10" t="str">
        <x:f>IF(ISBLANK('Evaluation Plan'!S143),"",'Evaluation Plan'!S143)</x:f>
      </x:c>
    </x:row>
    <x:row r="144" ht="68" customHeight="1">
      <x:c r="A144" s="9" t="str">
        <x:v>Not collected</x:v>
      </x:c>
      <x:c r="B144" s="9" t="n">
        <x:f>'Evaluation Plan'!B144</x:f>
        <x:v>142</x:v>
      </x:c>
      <x:c r="C144" s="10" t="str">
        <x:f>'Evaluation Plan'!C144</x:f>
        <x:v>Move the object that is smallest into the bowl.</x:v>
      </x:c>
      <x:c r="D144" s="10" t="str">
        <x:f>'Evaluation Plan'!D144</x:f>
        <x:v>Bowl: red pencil sharpener. Table: juggling ball; crushed Pepsi can; green block. row shifted 4 cm toward the robot; every object fully visible. The requested extremal object is already in the bowl.</x:v>
      </x:c>
      <x:c r="E144" s="9" t="str">
        <x:f>IF(ISBLANK('Evaluation Plan'!E144),"",'Evaluation Plan'!E144)</x:f>
      </x:c>
      <x:c r="F144" s="9" t="str">
        <x:f>'Evaluation Plan'!F144</x:f>
        <x:v>1013</x:v>
      </x:c>
      <x:c r="G144" s="9" t="str">
        <x:f>'Evaluation Plan'!G144</x:f>
        <x:v>NO MOVEMENT — goal already satisfied</x:v>
      </x:c>
      <x:c r="H144" s="10"/>
      <x:c r="I144" s="9" t="str">
        <x:f>'Evaluation Plan'!I144</x:f>
        <x:v>Goal already satisfied / no movement</x:v>
      </x:c>
      <x:c r="J144" s="9" t="str">
        <x:f>'Evaluation Plan'!J144</x:f>
        <x:v>SZ-NOOP-1-4</x:v>
      </x:c>
      <x:c r="K144" s="9" t="str">
        <x:f>'Evaluation Plan'!K144</x:f>
        <x:v>smallest</x:v>
      </x:c>
      <x:c r="L144" s="9" t="str">
        <x:f>'Evaluation Plan'!L144</x:f>
        <x:v>Trained smallest × red pencil sharpener; target already in bowl</x:v>
      </x:c>
      <x:c r="M144" s="9" t="str">
        <x:f>'Evaluation Plan'!M144</x:f>
        <x:v>red pencil sharpener</x:v>
      </x:c>
      <x:c r="N144" s="9" t="str">
        <x:f>'Evaluation Plan'!N144</x:f>
        <x:v>In bowl</x:v>
      </x:c>
      <x:c r="O144" s="9" t="n">
        <x:f>'Evaluation Plan'!O144</x:f>
        <x:v>4</x:v>
      </x:c>
      <x:c r="P144" s="9" t="str">
        <x:f>IF(ISBLANK('Evaluation Plan'!P144),"",'Evaluation Plan'!P144)</x:f>
      </x:c>
      <x:c r="Q144" s="9" t="str">
        <x:f>'Evaluation Plan'!Q144</x:f>
        <x:v>Place the target in the bowl before starting; arrange the listed distractors on the table.</x:v>
      </x:c>
      <x:c r="R144" s="10" t="str">
        <x:f>'Evaluation Plan'!R144</x:f>
        <x:v>Normal training-supported size wording is retained, so no-movement behavior is not correlated with a special phrase. Success requires no object contact or displacement.</x:v>
      </x:c>
      <x:c r="S144" s="10" t="str">
        <x:f>IF(ISBLANK('Evaluation Plan'!S144),"",'Evaluation Plan'!S144)</x:f>
      </x:c>
    </x:row>
    <x:row r="145" ht="68" customHeight="1">
      <x:c r="A145" s="9" t="str">
        <x:v>Not collected</x:v>
      </x:c>
      <x:c r="B145" s="9" t="n">
        <x:f>'Evaluation Plan'!B145</x:f>
        <x:v>143</x:v>
      </x:c>
      <x:c r="C145" s="10" t="str">
        <x:f>'Evaluation Plan'!C145</x:f>
        <x:v>Pick up the smallest item and place it in the bowl.</x:v>
      </x:c>
      <x:c r="D145" s="10" t="str">
        <x:f>'Evaluation Plan'!D145</x:f>
        <x:v>Bowl: green block. Table: crushed Pepsi can; juggling ball. row shifted 4 cm away from the robot; every object fully visible. The requested extremal object is already in the bowl.</x:v>
      </x:c>
      <x:c r="E145" s="9" t="str">
        <x:f>IF(ISBLANK('Evaluation Plan'!E145),"",'Evaluation Plan'!E145)</x:f>
      </x:c>
      <x:c r="F145" s="9" t="str">
        <x:f>'Evaluation Plan'!F145</x:f>
        <x:v>1058</x:v>
      </x:c>
      <x:c r="G145" s="9" t="str">
        <x:f>'Evaluation Plan'!G145</x:f>
        <x:v>NO MOVEMENT — goal already satisfied</x:v>
      </x:c>
      <x:c r="H145" s="10"/>
      <x:c r="I145" s="9" t="str">
        <x:f>'Evaluation Plan'!I145</x:f>
        <x:v>Goal already satisfied / no movement</x:v>
      </x:c>
      <x:c r="J145" s="9" t="str">
        <x:f>'Evaluation Plan'!J145</x:f>
        <x:v>SZ-NOOP-2-4</x:v>
      </x:c>
      <x:c r="K145" s="9" t="str">
        <x:f>'Evaluation Plan'!K145</x:f>
        <x:v>smallest</x:v>
      </x:c>
      <x:c r="L145" s="9" t="str">
        <x:f>'Evaluation Plan'!L145</x:f>
        <x:v>Trained smallest × green block; target already in bowl</x:v>
      </x:c>
      <x:c r="M145" s="9" t="str">
        <x:f>'Evaluation Plan'!M145</x:f>
        <x:v>green block</x:v>
      </x:c>
      <x:c r="N145" s="9" t="str">
        <x:f>'Evaluation Plan'!N145</x:f>
        <x:v>In bowl</x:v>
      </x:c>
      <x:c r="O145" s="9" t="n">
        <x:f>'Evaluation Plan'!O145</x:f>
        <x:v>3</x:v>
      </x:c>
      <x:c r="P145" s="9" t="str">
        <x:f>IF(ISBLANK('Evaluation Plan'!P145),"",'Evaluation Plan'!P145)</x:f>
      </x:c>
      <x:c r="Q145" s="9" t="str">
        <x:f>'Evaluation Plan'!Q145</x:f>
        <x:v>Place the target in the bowl before starting; arrange the listed distractors on the table.</x:v>
      </x:c>
      <x:c r="R145" s="10" t="str">
        <x:f>'Evaluation Plan'!R145</x:f>
        <x:v>Normal training-supported size wording is retained, so no-movement behavior is not correlated with a special phrase. Success requires no object contact or displacement.</x:v>
      </x:c>
      <x:c r="S145" s="10" t="str">
        <x:f>IF(ISBLANK('Evaluation Plan'!S145),"",'Evaluation Plan'!S145)</x:f>
      </x:c>
    </x:row>
    <x:row r="146" ht="68" customHeight="1">
      <x:c r="A146" s="9" t="str">
        <x:v>Not collected</x:v>
      </x:c>
      <x:c r="B146" s="9" t="n">
        <x:f>'Evaluation Plan'!B146</x:f>
        <x:v>144</x:v>
      </x:c>
      <x:c r="C146" s="10" t="str">
        <x:f>'Evaluation Plan'!C146</x:f>
        <x:v>Put the largest object in the bowl.</x:v>
      </x:c>
      <x:c r="D146" s="10" t="str">
        <x:f>'Evaluation Plan'!D146</x:f>
        <x:v>Bowl: juggling ball. Table: green block; red pencil sharpener. row centered on the workspace; every object fully visible. The requested extremal object is already in the bowl.</x:v>
      </x:c>
      <x:c r="E146" s="9" t="str">
        <x:f>IF(ISBLANK('Evaluation Plan'!E146),"",'Evaluation Plan'!E146)</x:f>
      </x:c>
      <x:c r="F146" s="9" t="str">
        <x:f>'Evaluation Plan'!F146</x:f>
        <x:v>1133</x:v>
      </x:c>
      <x:c r="G146" s="9" t="str">
        <x:f>'Evaluation Plan'!G146</x:f>
        <x:v>NO MOVEMENT — goal already satisfied</x:v>
      </x:c>
      <x:c r="H146" s="10"/>
      <x:c r="I146" s="9" t="str">
        <x:f>'Evaluation Plan'!I146</x:f>
        <x:v>Goal already satisfied / no movement</x:v>
      </x:c>
      <x:c r="J146" s="9" t="str">
        <x:f>'Evaluation Plan'!J146</x:f>
        <x:v>SZ-NOOP-3-4</x:v>
      </x:c>
      <x:c r="K146" s="9" t="str">
        <x:f>'Evaluation Plan'!K146</x:f>
        <x:v>largest</x:v>
      </x:c>
      <x:c r="L146" s="9" t="str">
        <x:f>'Evaluation Plan'!L146</x:f>
        <x:v>Trained largest × juggling ball; target already in bowl</x:v>
      </x:c>
      <x:c r="M146" s="9" t="str">
        <x:f>'Evaluation Plan'!M146</x:f>
        <x:v>juggling ball</x:v>
      </x:c>
      <x:c r="N146" s="9" t="str">
        <x:f>'Evaluation Plan'!N146</x:f>
        <x:v>In bowl</x:v>
      </x:c>
      <x:c r="O146" s="9" t="n">
        <x:f>'Evaluation Plan'!O146</x:f>
        <x:v>3</x:v>
      </x:c>
      <x:c r="P146" s="9" t="str">
        <x:f>IF(ISBLANK('Evaluation Plan'!P146),"",'Evaluation Plan'!P146)</x:f>
      </x:c>
      <x:c r="Q146" s="9" t="str">
        <x:f>'Evaluation Plan'!Q146</x:f>
        <x:v>Place the target in the bowl before starting; arrange the listed distractors on the table.</x:v>
      </x:c>
      <x:c r="R146" s="10" t="str">
        <x:f>'Evaluation Plan'!R146</x:f>
        <x:v>Normal training-supported size wording is retained, so no-movement behavior is not correlated with a special phrase. Success requires no object contact or displacement.</x:v>
      </x:c>
      <x:c r="S146" s="10" t="str">
        <x:f>IF(ISBLANK('Evaluation Plan'!S146),"",'Evaluation Plan'!S146)</x:f>
      </x:c>
    </x:row>
    <x:row r="147" ht="68" customHeight="1">
      <x:c r="A147" s="9" t="str">
        <x:v>Not collected</x:v>
      </x:c>
      <x:c r="B147" s="9" t="n">
        <x:f>'Evaluation Plan'!B147</x:f>
        <x:v>145</x:v>
      </x:c>
      <x:c r="C147" s="10" t="str">
        <x:f>'Evaluation Plan'!C147</x:f>
        <x:v>Move the object that is largest into the bowl.</x:v>
      </x:c>
      <x:c r="D147" s="10" t="str">
        <x:f>'Evaluation Plan'!D147</x:f>
        <x:v>Bowl: crushed Pepsi can. Table: green block; juggling ball; red pencil sharpener. row shifted 4 cm toward robot-left; every object fully visible. The requested extremal object is already in the bowl.</x:v>
      </x:c>
      <x:c r="E147" s="9" t="str">
        <x:f>IF(ISBLANK('Evaluation Plan'!E147),"",'Evaluation Plan'!E147)</x:f>
      </x:c>
      <x:c r="F147" s="9" t="str">
        <x:f>'Evaluation Plan'!F147</x:f>
        <x:v>1163</x:v>
      </x:c>
      <x:c r="G147" s="9" t="str">
        <x:f>'Evaluation Plan'!G147</x:f>
        <x:v>NO MOVEMENT — goal already satisfied</x:v>
      </x:c>
      <x:c r="H147" s="10"/>
      <x:c r="I147" s="9" t="str">
        <x:f>'Evaluation Plan'!I147</x:f>
        <x:v>Goal already satisfied / no movement</x:v>
      </x:c>
      <x:c r="J147" s="9" t="str">
        <x:f>'Evaluation Plan'!J147</x:f>
        <x:v>SZ-NOOP-4-4</x:v>
      </x:c>
      <x:c r="K147" s="9" t="str">
        <x:f>'Evaluation Plan'!K147</x:f>
        <x:v>largest</x:v>
      </x:c>
      <x:c r="L147" s="9" t="str">
        <x:f>'Evaluation Plan'!L147</x:f>
        <x:v>Trained largest × crushed Pepsi can; target already in bowl</x:v>
      </x:c>
      <x:c r="M147" s="9" t="str">
        <x:f>'Evaluation Plan'!M147</x:f>
        <x:v>crushed Pepsi can</x:v>
      </x:c>
      <x:c r="N147" s="9" t="str">
        <x:f>'Evaluation Plan'!N147</x:f>
        <x:v>In bowl</x:v>
      </x:c>
      <x:c r="O147" s="9" t="n">
        <x:f>'Evaluation Plan'!O147</x:f>
        <x:v>4</x:v>
      </x:c>
      <x:c r="P147" s="9" t="str">
        <x:f>IF(ISBLANK('Evaluation Plan'!P147),"",'Evaluation Plan'!P147)</x:f>
      </x:c>
      <x:c r="Q147" s="9" t="str">
        <x:f>'Evaluation Plan'!Q147</x:f>
        <x:v>Place the target in the bowl before starting; arrange the listed distractors on the table.</x:v>
      </x:c>
      <x:c r="R147" s="10" t="str">
        <x:f>'Evaluation Plan'!R147</x:f>
        <x:v>Normal training-supported size wording is retained, so no-movement behavior is not correlated with a special phrase. Success requires no object contact or displacement.</x:v>
      </x:c>
      <x:c r="S147" s="10" t="str">
        <x:f>IF(ISBLANK('Evaluation Plan'!S147),"",'Evaluation Plan'!S147)</x:f>
      </x:c>
    </x:row>
    <x:row r="148" ht="68" customHeight="1">
      <x:c r="A148" s="9" t="str">
        <x:v>Not collected</x:v>
      </x:c>
      <x:c r="B148" s="9" t="n">
        <x:f>'Evaluation Plan'!B148</x:f>
        <x:v>146</x:v>
      </x:c>
      <x:c r="C148" s="10" t="str">
        <x:f>'Evaluation Plan'!C148</x:f>
        <x:v>Pick up the smallest item and place it in the bowl.</x:v>
      </x:c>
      <x:c r="D148" s="10" t="str">
        <x:f>'Evaluation Plan'!D148</x:f>
        <x:v>Bowl: red pencil sharpener. Table: crushed Pepsi can; green block; juggling ball. row shifted 4 cm away from the robot; every object fully visible. The requested extremal object is already in the bowl.</x:v>
      </x:c>
      <x:c r="E148" s="9" t="str">
        <x:f>IF(ISBLANK('Evaluation Plan'!E148),"",'Evaluation Plan'!E148)</x:f>
      </x:c>
      <x:c r="F148" s="9" t="str">
        <x:f>'Evaluation Plan'!F148</x:f>
        <x:v>1014</x:v>
      </x:c>
      <x:c r="G148" s="9" t="str">
        <x:f>'Evaluation Plan'!G148</x:f>
        <x:v>NO MOVEMENT — goal already satisfied</x:v>
      </x:c>
      <x:c r="H148" s="10"/>
      <x:c r="I148" s="9" t="str">
        <x:f>'Evaluation Plan'!I148</x:f>
        <x:v>Goal already satisfied / no movement</x:v>
      </x:c>
      <x:c r="J148" s="9" t="str">
        <x:f>'Evaluation Plan'!J148</x:f>
        <x:v>SZ-NOOP-1-5</x:v>
      </x:c>
      <x:c r="K148" s="9" t="str">
        <x:f>'Evaluation Plan'!K148</x:f>
        <x:v>smallest</x:v>
      </x:c>
      <x:c r="L148" s="9" t="str">
        <x:f>'Evaluation Plan'!L148</x:f>
        <x:v>Trained smallest × red pencil sharpener; target already in bowl</x:v>
      </x:c>
      <x:c r="M148" s="9" t="str">
        <x:f>'Evaluation Plan'!M148</x:f>
        <x:v>red pencil sharpener</x:v>
      </x:c>
      <x:c r="N148" s="9" t="str">
        <x:f>'Evaluation Plan'!N148</x:f>
        <x:v>In bowl</x:v>
      </x:c>
      <x:c r="O148" s="9" t="n">
        <x:f>'Evaluation Plan'!O148</x:f>
        <x:v>4</x:v>
      </x:c>
      <x:c r="P148" s="9" t="str">
        <x:f>IF(ISBLANK('Evaluation Plan'!P148),"",'Evaluation Plan'!P148)</x:f>
      </x:c>
      <x:c r="Q148" s="9" t="str">
        <x:f>'Evaluation Plan'!Q148</x:f>
        <x:v>Place the target in the bowl before starting; arrange the listed distractors on the table.</x:v>
      </x:c>
      <x:c r="R148" s="10" t="str">
        <x:f>'Evaluation Plan'!R148</x:f>
        <x:v>Normal training-supported size wording is retained, so no-movement behavior is not correlated with a special phrase. Success requires no object contact or displacement.</x:v>
      </x:c>
      <x:c r="S148" s="10" t="str">
        <x:f>IF(ISBLANK('Evaluation Plan'!S148),"",'Evaluation Plan'!S148)</x:f>
      </x:c>
    </x:row>
    <x:row r="149" ht="68" customHeight="1">
      <x:c r="A149" s="9" t="str">
        <x:v>Not collected</x:v>
      </x:c>
      <x:c r="B149" s="9" t="n">
        <x:f>'Evaluation Plan'!B149</x:f>
        <x:v>147</x:v>
      </x:c>
      <x:c r="C149" s="10" t="str">
        <x:f>'Evaluation Plan'!C149</x:f>
        <x:v>Put the smallest object in the bowl.</x:v>
      </x:c>
      <x:c r="D149" s="10" t="str">
        <x:f>'Evaluation Plan'!D149</x:f>
        <x:v>Bowl: green block. Table: juggling ball; crushed Pepsi can. row centered on the workspace; every object fully visible. The requested extremal object is already in the bowl.</x:v>
      </x:c>
      <x:c r="E149" s="9" t="str">
        <x:f>IF(ISBLANK('Evaluation Plan'!E149),"",'Evaluation Plan'!E149)</x:f>
      </x:c>
      <x:c r="F149" s="9" t="str">
        <x:f>'Evaluation Plan'!F149</x:f>
        <x:v>1059</x:v>
      </x:c>
      <x:c r="G149" s="9" t="str">
        <x:f>'Evaluation Plan'!G149</x:f>
        <x:v>NO MOVEMENT — goal already satisfied</x:v>
      </x:c>
      <x:c r="H149" s="10"/>
      <x:c r="I149" s="9" t="str">
        <x:f>'Evaluation Plan'!I149</x:f>
        <x:v>Goal already satisfied / no movement</x:v>
      </x:c>
      <x:c r="J149" s="9" t="str">
        <x:f>'Evaluation Plan'!J149</x:f>
        <x:v>SZ-NOOP-2-5</x:v>
      </x:c>
      <x:c r="K149" s="9" t="str">
        <x:f>'Evaluation Plan'!K149</x:f>
        <x:v>smallest</x:v>
      </x:c>
      <x:c r="L149" s="9" t="str">
        <x:f>'Evaluation Plan'!L149</x:f>
        <x:v>Trained smallest × green block; target already in bowl</x:v>
      </x:c>
      <x:c r="M149" s="9" t="str">
        <x:f>'Evaluation Plan'!M149</x:f>
        <x:v>green block</x:v>
      </x:c>
      <x:c r="N149" s="9" t="str">
        <x:f>'Evaluation Plan'!N149</x:f>
        <x:v>In bowl</x:v>
      </x:c>
      <x:c r="O149" s="9" t="n">
        <x:f>'Evaluation Plan'!O149</x:f>
        <x:v>3</x:v>
      </x:c>
      <x:c r="P149" s="9" t="str">
        <x:f>IF(ISBLANK('Evaluation Plan'!P149),"",'Evaluation Plan'!P149)</x:f>
      </x:c>
      <x:c r="Q149" s="9" t="str">
        <x:f>'Evaluation Plan'!Q149</x:f>
        <x:v>Place the target in the bowl before starting; arrange the listed distractors on the table.</x:v>
      </x:c>
      <x:c r="R149" s="10" t="str">
        <x:f>'Evaluation Plan'!R149</x:f>
        <x:v>Normal training-supported size wording is retained, so no-movement behavior is not correlated with a special phrase. Success requires no object contact or displacement.</x:v>
      </x:c>
      <x:c r="S149" s="10" t="str">
        <x:f>IF(ISBLANK('Evaluation Plan'!S149),"",'Evaluation Plan'!S149)</x:f>
      </x:c>
    </x:row>
    <x:row r="150" ht="68" customHeight="1">
      <x:c r="A150" s="9" t="str">
        <x:v>Not collected</x:v>
      </x:c>
      <x:c r="B150" s="9" t="n">
        <x:f>'Evaluation Plan'!B150</x:f>
        <x:v>148</x:v>
      </x:c>
      <x:c r="C150" s="10" t="str">
        <x:f>'Evaluation Plan'!C150</x:f>
        <x:v>Move the object that is largest into the bowl.</x:v>
      </x:c>
      <x:c r="D150" s="10" t="str">
        <x:f>'Evaluation Plan'!D150</x:f>
        <x:v>Bowl: juggling ball. Table: red pencil sharpener; green block. row shifted 4 cm toward robot-left; every object fully visible. The requested extremal object is already in the bowl.</x:v>
      </x:c>
      <x:c r="E150" s="9" t="str">
        <x:f>IF(ISBLANK('Evaluation Plan'!E150),"",'Evaluation Plan'!E150)</x:f>
      </x:c>
      <x:c r="F150" s="9" t="str">
        <x:f>'Evaluation Plan'!F150</x:f>
        <x:v>1134</x:v>
      </x:c>
      <x:c r="G150" s="9" t="str">
        <x:f>'Evaluation Plan'!G150</x:f>
        <x:v>NO MOVEMENT — goal already satisfied</x:v>
      </x:c>
      <x:c r="H150" s="10"/>
      <x:c r="I150" s="9" t="str">
        <x:f>'Evaluation Plan'!I150</x:f>
        <x:v>Goal already satisfied / no movement</x:v>
      </x:c>
      <x:c r="J150" s="9" t="str">
        <x:f>'Evaluation Plan'!J150</x:f>
        <x:v>SZ-NOOP-3-5</x:v>
      </x:c>
      <x:c r="K150" s="9" t="str">
        <x:f>'Evaluation Plan'!K150</x:f>
        <x:v>largest</x:v>
      </x:c>
      <x:c r="L150" s="9" t="str">
        <x:f>'Evaluation Plan'!L150</x:f>
        <x:v>Trained largest × juggling ball; target already in bowl</x:v>
      </x:c>
      <x:c r="M150" s="9" t="str">
        <x:f>'Evaluation Plan'!M150</x:f>
        <x:v>juggling ball</x:v>
      </x:c>
      <x:c r="N150" s="9" t="str">
        <x:f>'Evaluation Plan'!N150</x:f>
        <x:v>In bowl</x:v>
      </x:c>
      <x:c r="O150" s="9" t="n">
        <x:f>'Evaluation Plan'!O150</x:f>
        <x:v>3</x:v>
      </x:c>
      <x:c r="P150" s="9" t="str">
        <x:f>IF(ISBLANK('Evaluation Plan'!P150),"",'Evaluation Plan'!P150)</x:f>
      </x:c>
      <x:c r="Q150" s="9" t="str">
        <x:f>'Evaluation Plan'!Q150</x:f>
        <x:v>Place the target in the bowl before starting; arrange the listed distractors on the table.</x:v>
      </x:c>
      <x:c r="R150" s="10" t="str">
        <x:f>'Evaluation Plan'!R150</x:f>
        <x:v>Normal training-supported size wording is retained, so no-movement behavior is not correlated with a special phrase. Success requires no object contact or displacement.</x:v>
      </x:c>
      <x:c r="S150" s="10" t="str">
        <x:f>IF(ISBLANK('Evaluation Plan'!S150),"",'Evaluation Plan'!S150)</x:f>
      </x:c>
    </x:row>
    <x:row r="151" ht="68" customHeight="1">
      <x:c r="A151" s="9" t="str">
        <x:v>Not collected</x:v>
      </x:c>
      <x:c r="B151" s="9" t="n">
        <x:f>'Evaluation Plan'!B151</x:f>
        <x:v>149</x:v>
      </x:c>
      <x:c r="C151" s="10" t="str">
        <x:f>'Evaluation Plan'!C151</x:f>
        <x:v>Pick up the largest item and place it in the bowl.</x:v>
      </x:c>
      <x:c r="D151" s="10" t="str">
        <x:f>'Evaluation Plan'!D151</x:f>
        <x:v>Bowl: crushed Pepsi can. Table: juggling ball; red pencil sharpener; green block. row shifted 4 cm toward robot-right; every object fully visible. The requested extremal object is already in the bowl.</x:v>
      </x:c>
      <x:c r="E151" s="9" t="str">
        <x:f>IF(ISBLANK('Evaluation Plan'!E151),"",'Evaluation Plan'!E151)</x:f>
      </x:c>
      <x:c r="F151" s="9" t="str">
        <x:f>'Evaluation Plan'!F151</x:f>
        <x:v>1164</x:v>
      </x:c>
      <x:c r="G151" s="9" t="str">
        <x:f>'Evaluation Plan'!G151</x:f>
        <x:v>NO MOVEMENT — goal already satisfied</x:v>
      </x:c>
      <x:c r="H151" s="10"/>
      <x:c r="I151" s="9" t="str">
        <x:f>'Evaluation Plan'!I151</x:f>
        <x:v>Goal already satisfied / no movement</x:v>
      </x:c>
      <x:c r="J151" s="9" t="str">
        <x:f>'Evaluation Plan'!J151</x:f>
        <x:v>SZ-NOOP-4-5</x:v>
      </x:c>
      <x:c r="K151" s="9" t="str">
        <x:f>'Evaluation Plan'!K151</x:f>
        <x:v>largest</x:v>
      </x:c>
      <x:c r="L151" s="9" t="str">
        <x:f>'Evaluation Plan'!L151</x:f>
        <x:v>Trained largest × crushed Pepsi can; target already in bowl</x:v>
      </x:c>
      <x:c r="M151" s="9" t="str">
        <x:f>'Evaluation Plan'!M151</x:f>
        <x:v>crushed Pepsi can</x:v>
      </x:c>
      <x:c r="N151" s="9" t="str">
        <x:f>'Evaluation Plan'!N151</x:f>
        <x:v>In bowl</x:v>
      </x:c>
      <x:c r="O151" s="9" t="n">
        <x:f>'Evaluation Plan'!O151</x:f>
        <x:v>4</x:v>
      </x:c>
      <x:c r="P151" s="9" t="str">
        <x:f>IF(ISBLANK('Evaluation Plan'!P151),"",'Evaluation Plan'!P151)</x:f>
      </x:c>
      <x:c r="Q151" s="9" t="str">
        <x:f>'Evaluation Plan'!Q151</x:f>
        <x:v>Place the target in the bowl before starting; arrange the listed distractors on the table.</x:v>
      </x:c>
      <x:c r="R151" s="10" t="str">
        <x:f>'Evaluation Plan'!R151</x:f>
        <x:v>Normal training-supported size wording is retained, so no-movement behavior is not correlated with a special phrase. Success requires no object contact or displacement.</x:v>
      </x:c>
      <x:c r="S151" s="10" t="str">
        <x:f>IF(ISBLANK('Evaluation Plan'!S151),"",'Evaluation Plan'!S151)</x:f>
      </x:c>
    </x:row>
  </x:sheetData>
  <x:conditionalFormatting sqref="A2:S151">
    <x:cfRule type="expression" dxfId="26" priority="1">
      <x:formula>$A2="Success"</x:formula>
    </x:cfRule>
    <x:cfRule type="expression" dxfId="27" priority="2">
      <x:formula>$A2="Failure"</x:formula>
    </x:cfRule>
  </x:conditionalFormatting>
  <x:conditionalFormatting sqref="I2:I151">
    <x:cfRule type="containsText" dxfId="28" priority="3" operator="containsText" text="In-distribution"/>
    <x:cfRule type="containsText" dxfId="29" priority="4" operator="containsText" text="Concept/compositional"/>
    <x:cfRule type="containsText" dxfId="30" priority="5" operator="containsText" text="Matched manipulation"/>
    <x:cfRule type="containsText" dxfId="31" priority="6" operator="containsText" text="Language robustness"/>
    <x:cfRule type="containsText" dxfId="32" priority="7" operator="containsText" text="Cross-task"/>
    <x:cfRule type="containsText" dxfId="33" priority="8" operator="containsText" text="Goal already"/>
  </x:conditionalFormatting>
  <x:dataValidations count="1">
    <x:dataValidation type="list" sqref="A2:A151">
      <x:formula1>"Not collected,Success,Failure"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140415f4fac4d7e"/>
  </x:tableParts>
</x:worksheet>
</file>