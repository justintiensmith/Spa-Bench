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1cd52d3ce941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Plan" sheetId="1" r:id="Rc903d26425314144"/>
    <x:sheet xmlns:r="http://schemas.openxmlformats.org/officeDocument/2006/relationships" name="Object Inventory" sheetId="2" r:id="R2ca80f253cac4e88"/>
    <x:sheet xmlns:r="http://schemas.openxmlformats.org/officeDocument/2006/relationships" name="Training Alignment" sheetId="3" r:id="R4ba4ec8596a941bb"/>
    <x:sheet xmlns:r="http://schemas.openxmlformats.org/officeDocument/2006/relationships" name="Protocol" sheetId="4" r:id="R6d8e894f46f04646"/>
    <x:sheet xmlns:r="http://schemas.openxmlformats.org/officeDocument/2006/relationships" name="Design QA" sheetId="5" r:id="R7c4c17251aea4f2e"/>
    <x:sheet xmlns:r="http://schemas.openxmlformats.org/officeDocument/2006/relationships" name="pi0.5 Results" sheetId="6" r:id="Rd2dbbd07b0ca4ed0"/>
    <x:sheet xmlns:r="http://schemas.openxmlformats.org/officeDocument/2006/relationships" name="VLA0 Results" sheetId="7" r:id="R4fbeffcbc2624035"/>
    <x:sheet xmlns:r="http://schemas.openxmlformats.org/officeDocument/2006/relationships" name="MolmoAct2 Results" sheetId="8" r:id="Rdaf83a6206844d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</x:fills>
  <x:borders count="3">
    <x:border/>
    <x:border>
      <x:top style="medium">
        <x:color rgb="FF1F4E78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DDEBF7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867c9a056c403f" /><Relationship Type="http://schemas.openxmlformats.org/officeDocument/2006/relationships/theme" Target="/xl/theme/theme1.xml" Id="R66e66cff79574363" /><Relationship Type="http://schemas.openxmlformats.org/officeDocument/2006/relationships/sharedStrings" Target="/xl/sharedStrings.xml" Id="R84656ef151c5435e" /><Relationship Type="http://schemas.openxmlformats.org/officeDocument/2006/relationships/worksheet" Target="/xl/worksheets/sheet1.xml" Id="Rc903d26425314144" /><Relationship Type="http://schemas.openxmlformats.org/officeDocument/2006/relationships/worksheet" Target="/xl/worksheets/sheet2.xml" Id="R2ca80f253cac4e88" /><Relationship Type="http://schemas.openxmlformats.org/officeDocument/2006/relationships/worksheet" Target="/xl/worksheets/sheet3.xml" Id="R4ba4ec8596a941bb" /><Relationship Type="http://schemas.openxmlformats.org/officeDocument/2006/relationships/worksheet" Target="/xl/worksheets/sheet4.xml" Id="R6d8e894f46f04646" /><Relationship Type="http://schemas.openxmlformats.org/officeDocument/2006/relationships/worksheet" Target="/xl/worksheets/sheet5.xml" Id="R7c4c17251aea4f2e" /><Relationship Type="http://schemas.openxmlformats.org/officeDocument/2006/relationships/worksheet" Target="/xl/worksheets/sheet6.xml" Id="Rd2dbbd07b0ca4ed0" /><Relationship Type="http://schemas.openxmlformats.org/officeDocument/2006/relationships/worksheet" Target="/xl/worksheets/sheet7.xml" Id="R4fbeffcbc2624035" /><Relationship Type="http://schemas.openxmlformats.org/officeDocument/2006/relationships/worksheet" Target="/xl/worksheets/sheet8.xml" Id="Rdaf83a6206844dc4" /></Relationships>
</file>

<file path=xl/tables/table1.xml><?xml version="1.0" encoding="utf-8"?>
<x:table xmlns:x="http://schemas.openxmlformats.org/spreadsheetml/2006/main" id="1" name="StateRecognitionPlanFinal" displayName="StateRecognitionPlanFinal" ref="A1:P131" headerRowCount="1" totalsRowCount="0" totalsRowShown="0">
  <x:autoFilter ref="A1:P131"/>
  <x:tableColumns count="16">
    <x:tableColumn id="1" name="Status"/>
    <x:tableColumn id="2" name="Episode"/>
    <x:tableColumn id="3" name="Prompt"/>
    <x:tableColumn id="4" name="Scene Setup (P1-P4)"/>
    <x:tableColumn id="5" name="Reference Episode"/>
    <x:tableColumn id="6" name="Expected Target"/>
    <x:tableColumn id="7" name="Observations"/>
    <x:tableColumn id="8" name="Condition"/>
    <x:tableColumn id="9" name="Scene Family"/>
    <x:tableColumn id="10" name="Queried State"/>
    <x:tableColumn id="11" name="Object Count"/>
    <x:tableColumn id="12" name="Comparison / Subtype"/>
    <x:tableColumn id="13" name="Collection Block"/>
    <x:tableColumn id="14" name="Setup Change from Previous"/>
    <x:tableColumn id="15" name="Design Note"/>
    <x:tableColumn id="16" name="Reference Media File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alObjectInventory" displayName="FinalObjectInventory" ref="A1:H8" headerRowCount="1" totalsRowCount="0" totalsRowShown="0">
  <x:tableColumns count="8">
    <x:tableColumn id="1" name="Slot / Object"/>
    <x:tableColumn id="2" name="Prompt Category Phrase"/>
    <x:tableColumn id="3" name="Instance A"/>
    <x:tableColumn id="4" name="Instance B"/>
    <x:tableColumn id="5" name="Valid States"/>
    <x:tableColumn id="6" name="Training Exposure"/>
    <x:tableColumn id="7" name="Visual Tier"/>
    <x:tableColumn id="8" name="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iningAlignmentTable" displayName="TrainingAlignmentTable" ref="A1:C10" headerRowCount="1" totalsRowCount="0" totalsRowShown="0">
  <x:tableColumns count="3">
    <x:tableColumn id="1" name="Training / Evaluation Feature"/>
    <x:tableColumn id="2" name="Observed in planned State Recognition training"/>
    <x:tableColumn id="3" name="Evaluation consequ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nalDesignQA" displayName="FinalDesignQA" ref="A1:E32" headerRowCount="1" totalsRowCount="0" totalsRowShown="0">
  <x:tableColumns count="5">
    <x:tableColumn id="1" name="Check"/>
    <x:tableColumn id="2" name="Observed"/>
    <x:tableColumn id="3" name="Expected"/>
    <x:tableColumn id="4" name="Statu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i05StateResultsFinal" displayName="Pi05StateResultsFinal" ref="A1:P131" headerRowCount="1" totalsRowCount="0" totalsRowShown="0">
  <x:autoFilter ref="A1:P131"/>
  <x:tableColumns count="16">
    <x:tableColumn id="1" name="Status"/>
    <x:tableColumn id="2" name="Episode"/>
    <x:tableColumn id="3" name="Prompt"/>
    <x:tableColumn id="4" name="Scene Setup (P1-P4)"/>
    <x:tableColumn id="5" name="Reference Episode"/>
    <x:tableColumn id="6" name="Expected Target"/>
    <x:tableColumn id="7" name="Observations"/>
    <x:tableColumn id="8" name="Condition"/>
    <x:tableColumn id="9" name="Scene Family"/>
    <x:tableColumn id="10" name="Queried State"/>
    <x:tableColumn id="11" name="Object Count"/>
    <x:tableColumn id="12" name="Comparison / Subtype"/>
    <x:tableColumn id="13" name="Collection Block"/>
    <x:tableColumn id="14" name="Setup Change from Previous"/>
    <x:tableColumn id="15" name="Design Note"/>
    <x:tableColumn id="16" name="Reference Media Filena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LA0StateResultsFinal" displayName="VLA0StateResultsFinal" ref="A1:P131" headerRowCount="1" totalsRowCount="0" totalsRowShown="0">
  <x:autoFilter ref="A1:P131"/>
  <x:tableColumns count="16">
    <x:tableColumn id="1" name="Status"/>
    <x:tableColumn id="2" name="Episode"/>
    <x:tableColumn id="3" name="Prompt"/>
    <x:tableColumn id="4" name="Scene Setup (P1-P4)"/>
    <x:tableColumn id="5" name="Reference Episode"/>
    <x:tableColumn id="6" name="Expected Target"/>
    <x:tableColumn id="7" name="Observations"/>
    <x:tableColumn id="8" name="Condition"/>
    <x:tableColumn id="9" name="Scene Family"/>
    <x:tableColumn id="10" name="Queried State"/>
    <x:tableColumn id="11" name="Object Count"/>
    <x:tableColumn id="12" name="Comparison / Subtype"/>
    <x:tableColumn id="13" name="Collection Block"/>
    <x:tableColumn id="14" name="Setup Change from Previous"/>
    <x:tableColumn id="15" name="Design Note"/>
    <x:tableColumn id="16" name="Reference Media Filenam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olmoAct2StateResultsFinal" displayName="MolmoAct2StateResultsFinal" ref="A1:P131" headerRowCount="1" totalsRowCount="0" totalsRowShown="0">
  <x:autoFilter ref="A1:P131"/>
  <x:tableColumns count="16">
    <x:tableColumn id="1" name="Status"/>
    <x:tableColumn id="2" name="Episode"/>
    <x:tableColumn id="3" name="Prompt"/>
    <x:tableColumn id="4" name="Scene Setup (P1-P4)"/>
    <x:tableColumn id="5" name="Reference Episode"/>
    <x:tableColumn id="6" name="Expected Target"/>
    <x:tableColumn id="7" name="Observations"/>
    <x:tableColumn id="8" name="Condition"/>
    <x:tableColumn id="9" name="Scene Family"/>
    <x:tableColumn id="10" name="Queried State"/>
    <x:tableColumn id="11" name="Object Count"/>
    <x:tableColumn id="12" name="Comparison / Subtype"/>
    <x:tableColumn id="13" name="Collection Block"/>
    <x:tableColumn id="14" name="Setup Change from Previous"/>
    <x:tableColumn id="15" name="Design Note"/>
    <x:tableColumn id="16" name="Reference Media File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eb279b242441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4b0358667c840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e0f3d5ed55f4e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da2a0a77264b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0c8d7b2f6a44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3abd21de824c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772545882e4e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42" hidden="0" customWidth="1"/>
    <x:col min="4" max="4" width="82" hidden="0" customWidth="1"/>
    <x:col min="5" max="5" width="13" hidden="0" customWidth="1"/>
    <x:col min="6" max="6" width="25" hidden="0" customWidth="1"/>
    <x:col min="7" max="7" width="42" hidden="0" customWidth="1"/>
    <x:col min="8" max="8" width="31" hidden="0" customWidth="1"/>
    <x:col min="9" max="9" width="13" hidden="0" customWidth="1"/>
    <x:col min="10" max="10" width="14" hidden="0" customWidth="1"/>
    <x:col min="11" max="11" width="12" hidden="0" customWidth="1"/>
    <x:col min="12" max="12" width="46" hidden="0" customWidth="1"/>
    <x:col min="13" max="13" width="12" hidden="0" customWidth="1"/>
    <x:col min="14" max="14" width="64" hidden="0" customWidth="1"/>
    <x:col min="15" max="15" width="66" hidden="0" customWidth="1"/>
    <x:col min="16" max="16" width="28" hidden="0" customWidth="1"/>
  </x:cols>
  <x:sheetData>
    <x:row r="1" ht="36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(P1-P4)</x:v>
      </x:c>
      <x:c r="E1" s="5" t="str">
        <x:v>Reference Episode</x:v>
      </x:c>
      <x:c r="F1" s="5" t="str">
        <x:v>Expected Target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Queried State</x:v>
      </x:c>
      <x:c r="K1" s="5" t="str">
        <x:v>Object Count</x:v>
      </x:c>
      <x:c r="L1" s="5" t="str">
        <x:v>Comparison / Subtype</x:v>
      </x:c>
      <x:c r="M1" s="5" t="str">
        <x:v>Collection Block</x:v>
      </x:c>
      <x:c r="N1" s="5" t="str">
        <x:v>Setup Change from Previous</x:v>
      </x:c>
      <x:c r="O1" s="5" t="str">
        <x:v>Design Note</x:v>
      </x:c>
      <x:c r="P1" s="5" t="str">
        <x:v>Reference Media Filename</x:v>
      </x:c>
    </x:row>
    <x:row r="2" ht="60" customHeight="1">
      <x:c r="A2" s="9" t="str">
        <x:v>Not collected</x:v>
      </x:c>
      <x:c r="B2" s="9" t="n">
        <x:v>0</x:v>
      </x:c>
      <x:c r="C2" s="10" t="str">
        <x:v>Place the closed white cup in the bowl.</x:v>
      </x:c>
      <x:c r="D2" s="10" t="str">
        <x:v>P1 white cup A (C, UR) [TARGET]; P2 white cup B (O, UR) [STATE COMPETITOR]; P3 yellow-white striped cup A (O, UR)</x:v>
      </x:c>
      <x:c r="E2" s="9"/>
      <x:c r="F2" s="9" t="str">
        <x:v>white cup A</x:v>
      </x:c>
      <x:c r="G2" s="10"/>
      <x:c r="H2" s="9" t="str">
        <x:v>Concept/compositional transfer</x:v>
      </x:c>
      <x:c r="I2" s="9" t="str">
        <x:v>SR-F01</x:v>
      </x:c>
      <x:c r="J2" s="9" t="str">
        <x:v>closed</x:v>
      </x:c>
      <x:c r="K2" s="9" t="n">
        <x:v>3</x:v>
      </x:c>
      <x:c r="L2" s="9" t="str">
        <x:v>1 — Canonical transfer — Held-out state word + known category (closed)</x:v>
      </x:c>
      <x:c r="M2" s="9" t="n">
        <x:v>1</x:v>
      </x:c>
      <x:c r="N2" s="10" t="str">
        <x:v>Build the marked same-category discrimination scene. Save a first-frame image or filename.</x:v>
      </x:c>
      <x:c r="O2" s="10" t="str">
        <x:v>Two objects match the named category; only the state word selects the target. Target and competitor differ only on the queried state axis.</x:v>
      </x:c>
      <x:c r="P2" s="10"/>
    </x:row>
    <x:row r="3" ht="60" customHeight="1">
      <x:c r="A3" s="8" t="str">
        <x:v>Not collected</x:v>
      </x:c>
      <x:c r="B3" s="8" t="n">
        <x:v>1</x:v>
      </x:c>
      <x:c r="C3" s="7" t="str">
        <x:v>Put the open white cup in the bowl.</x:v>
      </x:c>
      <x:c r="D3" s="7" t="str">
        <x:v>P1 white cup A (C, UR) [STATE COMPETITOR]; P2 white cup B (O, UR) [TARGET]; P3 yellow-white striped cup A (O, UR)</x:v>
      </x:c>
      <x:c r="E3" s="8" t="n">
        <x:v>0</x:v>
      </x:c>
      <x:c r="F3" s="8" t="str">
        <x:v>white cup B</x:v>
      </x:c>
      <x:c r="G3" s="7"/>
      <x:c r="H3" s="8" t="str">
        <x:v>Exact-scene opposite-state contrast</x:v>
      </x:c>
      <x:c r="I3" s="8" t="str">
        <x:v>SR-F01</x:v>
      </x:c>
      <x:c r="J3" s="8" t="str">
        <x:v>open</x:v>
      </x:c>
      <x:c r="K3" s="8" t="n">
        <x:v>3</x:v>
      </x:c>
      <x:c r="L3" s="8" t="str">
        <x:v>2 — Exact-scene opposite-state contrast — State-word counterfactual (closed→open)</x:v>
      </x:c>
      <x:c r="M3" s="8" t="n">
        <x:v>1</x:v>
      </x:c>
      <x:c r="N3" s="7" t="str">
        <x:v>Reset the canonical target to its marked position. Preserve every object and state; change only the queried state word and expected target.</x:v>
      </x:c>
      <x:c r="O3" s="7" t="str">
        <x:v>Exact-scene semantic counterfactual. The state word switches to the opposite state and the correct target switches to the other same-category instance.</x:v>
      </x:c>
      <x:c r="P3" s="7"/>
    </x:row>
    <x:row r="4" ht="60" customHeight="1">
      <x:c r="A4" s="8" t="str">
        <x:v>Not collected</x:v>
      </x:c>
      <x:c r="B4" s="8" t="n">
        <x:v>2</x:v>
      </x:c>
      <x:c r="C4" s="7" t="str">
        <x:v>Move the white cup that is closed into the bowl.</x:v>
      </x:c>
      <x:c r="D4" s="7" t="str">
        <x:v>P1 white cup A (C, UR) [TARGET]; P2 white cup B (O, UR) [STATE COMPETITOR]; P3 yellow-white striped cup A (O, UR)</x:v>
      </x:c>
      <x:c r="E4" s="8" t="n">
        <x:v>0</x:v>
      </x:c>
      <x:c r="F4" s="8" t="str">
        <x:v>white cup A</x:v>
      </x:c>
      <x:c r="G4" s="7"/>
      <x:c r="H4" s="8" t="str">
        <x:v>Language robustness</x:v>
      </x:c>
      <x:c r="I4" s="8" t="str">
        <x:v>SR-F01</x:v>
      </x:c>
      <x:c r="J4" s="8" t="str">
        <x:v>closed</x:v>
      </x:c>
      <x:c r="K4" s="8" t="n">
        <x:v>3</x:v>
      </x:c>
      <x:c r="L4" s="8" t="str">
        <x:v>3 — Exact-scene transfer paraphrase — Paraphrase of concept/compositional-transfer prompt</x:v>
      </x:c>
      <x:c r="M4" s="8" t="n">
        <x:v>1</x:v>
      </x:c>
      <x:c r="N4" s="7" t="str">
        <x:v>Reset only the moved target; change only the prompt wording.</x:v>
      </x:c>
      <x:c r="O4" s="7" t="str">
        <x:v>Exact-scene language pair for the state-bearing transfer prompt.</x:v>
      </x:c>
      <x:c r="P4" s="7"/>
    </x:row>
    <x:row r="5" ht="60" customHeight="1">
      <x:c r="A5" s="8" t="str">
        <x:v>Not collected</x:v>
      </x:c>
      <x:c r="B5" s="8" t="n">
        <x:v>3</x:v>
      </x:c>
      <x:c r="C5" s="7" t="str">
        <x:v>Place the white cup in the bowl.</x:v>
      </x:c>
      <x:c r="D5" s="7" t="str">
        <x:v>P1 white cup A (C, UR) [TARGET]; P2 brown cup B (O, UR) [NEUTRAL REPLACEMENT]; P3 yellow-white striped cup A (O, UR)</x:v>
      </x:c>
      <x:c r="E5" s="8" t="n">
        <x:v>0</x:v>
      </x:c>
      <x:c r="F5" s="8" t="str">
        <x:v>white cup A</x:v>
      </x:c>
      <x:c r="G5" s="7"/>
      <x:c r="H5" s="8" t="str">
        <x:v>Matched manipulation control</x:v>
      </x:c>
      <x:c r="I5" s="8" t="str">
        <x:v>SR-F01</x:v>
      </x:c>
      <x:c r="J5" s="8" t="str">
        <x:v>closed</x:v>
      </x:c>
      <x:c r="K5" s="8" t="n">
        <x:v>3</x:v>
      </x:c>
      <x:c r="L5" s="8" t="str">
        <x:v>4 — Matched control — Category-only control with 3 objects</x:v>
      </x:c>
      <x:c r="M5" s="8" t="n">
        <x:v>1</x:v>
      </x:c>
      <x:c r="N5" s="7" t="str">
        <x:v>Reset the target; replace the same-category state competitor with brown cup B at the same position. Keep object count, other objects, camera, and bowl fixed.</x:v>
      </x:c>
      <x:c r="O5" s="7" t="str">
        <x:v>The neutral replacement removes category ambiguity without changing the three- or four-object set size.</x:v>
      </x:c>
      <x:c r="P5" s="7"/>
    </x:row>
    <x:row r="6" ht="60" customHeight="1">
      <x:c r="A6" s="9" t="str">
        <x:v>Not collected</x:v>
      </x:c>
      <x:c r="B6" s="9" t="n">
        <x:v>4</x:v>
      </x:c>
      <x:c r="C6" s="10" t="str">
        <x:v>Put the open yellow-white striped cup in the bowl.</x:v>
      </x:c>
      <x:c r="D6" s="10" t="str">
        <x:v>P1 white cup B (C, UD); P2 yellow-white striped cup B (O, UD) [TARGET]; P3 yellow-white striped cup A (C, UD) [STATE COMPETITOR]</x:v>
      </x:c>
      <x:c r="E6" s="9"/>
      <x:c r="F6" s="9" t="str">
        <x:v>yellow-white striped cup B</x:v>
      </x:c>
      <x:c r="G6" s="10"/>
      <x:c r="H6" s="9" t="str">
        <x:v>Concept/compositional transfer</x:v>
      </x:c>
      <x:c r="I6" s="9" t="str">
        <x:v>SR-F02</x:v>
      </x:c>
      <x:c r="J6" s="9" t="str">
        <x:v>open</x:v>
      </x:c>
      <x:c r="K6" s="9" t="n">
        <x:v>3</x:v>
      </x:c>
      <x:c r="L6" s="9" t="str">
        <x:v>1 — Canonical transfer — Seen state word in a new scene (open)</x:v>
      </x:c>
      <x:c r="M6" s="9" t="n">
        <x:v>2</x:v>
      </x:c>
      <x:c r="N6" s="10" t="str">
        <x:v>Build the marked same-category discrimination scene. Save a first-frame image or filename.</x:v>
      </x:c>
      <x:c r="O6" s="10" t="str">
        <x:v>Two objects match the named category; only the state word selects the target. Target and competitor differ only on the queried state axis.</x:v>
      </x:c>
      <x:c r="P6" s="10"/>
    </x:row>
    <x:row r="7" ht="60" customHeight="1">
      <x:c r="A7" s="8" t="str">
        <x:v>Not collected</x:v>
      </x:c>
      <x:c r="B7" s="8" t="n">
        <x:v>5</x:v>
      </x:c>
      <x:c r="C7" s="7" t="str">
        <x:v>Move the closed yellow-white striped cup into the bowl.</x:v>
      </x:c>
      <x:c r="D7" s="7" t="str">
        <x:v>P1 white cup B (C, UD); P2 yellow-white striped cup B (O, UD) [STATE COMPETITOR]; P3 yellow-white striped cup A (C, UD) [TARGET]</x:v>
      </x:c>
      <x:c r="E7" s="8" t="n">
        <x:v>4</x:v>
      </x:c>
      <x:c r="F7" s="8" t="str">
        <x:v>yellow-white striped cup A</x:v>
      </x:c>
      <x:c r="G7" s="7"/>
      <x:c r="H7" s="8" t="str">
        <x:v>Exact-scene opposite-state contrast</x:v>
      </x:c>
      <x:c r="I7" s="8" t="str">
        <x:v>SR-F02</x:v>
      </x:c>
      <x:c r="J7" s="8" t="str">
        <x:v>closed</x:v>
      </x:c>
      <x:c r="K7" s="8" t="n">
        <x:v>3</x:v>
      </x:c>
      <x:c r="L7" s="8" t="str">
        <x:v>2 — Exact-scene opposite-state contrast — State-word counterfactual (open→closed)</x:v>
      </x:c>
      <x:c r="M7" s="8" t="n">
        <x:v>2</x:v>
      </x:c>
      <x:c r="N7" s="7" t="str">
        <x:v>Reset the canonical target to its marked position. Preserve every object and state; change only the queried state word and expected target.</x:v>
      </x:c>
      <x:c r="O7" s="7" t="str">
        <x:v>Exact-scene semantic counterfactual. The state word switches to the opposite state and the correct target switches to the other same-category instance.</x:v>
      </x:c>
      <x:c r="P7" s="7"/>
    </x:row>
    <x:row r="8" ht="60" customHeight="1">
      <x:c r="A8" s="8" t="str">
        <x:v>Not collected</x:v>
      </x:c>
      <x:c r="B8" s="8" t="n">
        <x:v>6</x:v>
      </x:c>
      <x:c r="C8" s="7" t="str">
        <x:v>Put the yellow-white striped cup with its opening uncovered in the bowl.</x:v>
      </x:c>
      <x:c r="D8" s="7" t="str">
        <x:v>P1 white cup B (C, UD); P2 yellow-white striped cup B (O, UD) [TARGET]; P3 yellow-white striped cup A (C, UD) [STATE COMPETITOR]</x:v>
      </x:c>
      <x:c r="E8" s="8" t="n">
        <x:v>4</x:v>
      </x:c>
      <x:c r="F8" s="8" t="str">
        <x:v>yellow-white striped cup B</x:v>
      </x:c>
      <x:c r="G8" s="7"/>
      <x:c r="H8" s="8" t="str">
        <x:v>Language robustness</x:v>
      </x:c>
      <x:c r="I8" s="8" t="str">
        <x:v>SR-F02</x:v>
      </x:c>
      <x:c r="J8" s="8" t="str">
        <x:v>open</x:v>
      </x:c>
      <x:c r="K8" s="8" t="n">
        <x:v>3</x:v>
      </x:c>
      <x:c r="L8" s="8" t="str">
        <x:v>3 — Exact-scene transfer paraphrase — Paraphrase of concept/compositional-transfer prompt</x:v>
      </x:c>
      <x:c r="M8" s="8" t="n">
        <x:v>2</x:v>
      </x:c>
      <x:c r="N8" s="7" t="str">
        <x:v>Reset only the moved target; change only the prompt wording.</x:v>
      </x:c>
      <x:c r="O8" s="7" t="str">
        <x:v>Exact-scene language pair for the state-bearing transfer prompt.</x:v>
      </x:c>
      <x:c r="P8" s="7"/>
    </x:row>
    <x:row r="9" ht="60" customHeight="1">
      <x:c r="A9" s="8" t="str">
        <x:v>Not collected</x:v>
      </x:c>
      <x:c r="B9" s="8" t="n">
        <x:v>7</x:v>
      </x:c>
      <x:c r="C9" s="7" t="str">
        <x:v>Put the yellow-white striped cup in the bowl.</x:v>
      </x:c>
      <x:c r="D9" s="7" t="str">
        <x:v>P1 white cup B (C, UD); P2 yellow-white striped cup B (O, UD) [TARGET]; P3 glass spice container A (C, UD) [NEUTRAL REPLACEMENT]</x:v>
      </x:c>
      <x:c r="E9" s="8" t="n">
        <x:v>4</x:v>
      </x:c>
      <x:c r="F9" s="8" t="str">
        <x:v>yellow-white striped cup B</x:v>
      </x:c>
      <x:c r="G9" s="7"/>
      <x:c r="H9" s="8" t="str">
        <x:v>Matched manipulation control</x:v>
      </x:c>
      <x:c r="I9" s="8" t="str">
        <x:v>SR-F02</x:v>
      </x:c>
      <x:c r="J9" s="8" t="str">
        <x:v>open</x:v>
      </x:c>
      <x:c r="K9" s="8" t="n">
        <x:v>3</x:v>
      </x:c>
      <x:c r="L9" s="8" t="str">
        <x:v>4 — Matched control — Category-only control with 3 objects</x:v>
      </x:c>
      <x:c r="M9" s="8" t="n">
        <x:v>2</x:v>
      </x:c>
      <x:c r="N9" s="7" t="str">
        <x:v>Reset the target; replace the same-category state competitor with glass spice container A at the same position. Keep object count, other objects, camera, and bowl fixed.</x:v>
      </x:c>
      <x:c r="O9" s="7" t="str">
        <x:v>The neutral replacement removes category ambiguity without changing the three- or four-object set size.</x:v>
      </x:c>
      <x:c r="P9" s="7"/>
    </x:row>
    <x:row r="10" ht="60" customHeight="1">
      <x:c r="A10" s="9" t="str">
        <x:v>Not collected</x:v>
      </x:c>
      <x:c r="B10" s="9" t="n">
        <x:v>8</x:v>
      </x:c>
      <x:c r="C10" s="10" t="str">
        <x:v>Move the upright brown cup into the bowl.</x:v>
      </x:c>
      <x:c r="D10" s="10" t="str">
        <x:v>P1 brown cup B (O, UD) [STATE COMPETITOR]; P2 white cup B (C, UD); P3 brown cup A (O, UR) [TARGET]</x:v>
      </x:c>
      <x:c r="E10" s="9"/>
      <x:c r="F10" s="9" t="str">
        <x:v>brown cup A</x:v>
      </x:c>
      <x:c r="G10" s="10"/>
      <x:c r="H10" s="9" t="str">
        <x:v>Concept/compositional transfer</x:v>
      </x:c>
      <x:c r="I10" s="9" t="str">
        <x:v>SR-F03</x:v>
      </x:c>
      <x:c r="J10" s="9" t="str">
        <x:v>upright</x:v>
      </x:c>
      <x:c r="K10" s="9" t="n">
        <x:v>3</x:v>
      </x:c>
      <x:c r="L10" s="9" t="str">
        <x:v>1 — Canonical transfer — Held-out state word + known category (upright)</x:v>
      </x:c>
      <x:c r="M10" s="9" t="n">
        <x:v>3</x:v>
      </x:c>
      <x:c r="N10" s="10" t="str">
        <x:v>Build the marked same-category discrimination scene. Save a first-frame image or filename.</x:v>
      </x:c>
      <x:c r="O10" s="10" t="str">
        <x:v>Two objects match the named category; only the state word selects the target. Target and competitor differ only on the queried state axis.</x:v>
      </x:c>
      <x:c r="P10" s="10"/>
    </x:row>
    <x:row r="11" ht="60" customHeight="1">
      <x:c r="A11" s="8" t="str">
        <x:v>Not collected</x:v>
      </x:c>
      <x:c r="B11" s="8" t="n">
        <x:v>9</x:v>
      </x:c>
      <x:c r="C11" s="7" t="str">
        <x:v>Place the upside-down brown cup in the bowl.</x:v>
      </x:c>
      <x:c r="D11" s="7" t="str">
        <x:v>P1 brown cup B (O, UD) [TARGET]; P2 white cup B (C, UD); P3 brown cup A (O, UR) [STATE COMPETITOR]</x:v>
      </x:c>
      <x:c r="E11" s="8" t="n">
        <x:v>8</x:v>
      </x:c>
      <x:c r="F11" s="8" t="str">
        <x:v>brown cup B</x:v>
      </x:c>
      <x:c r="G11" s="7"/>
      <x:c r="H11" s="8" t="str">
        <x:v>Exact-scene opposite-state contrast</x:v>
      </x:c>
      <x:c r="I11" s="8" t="str">
        <x:v>SR-F03</x:v>
      </x:c>
      <x:c r="J11" s="8" t="str">
        <x:v>upside-down</x:v>
      </x:c>
      <x:c r="K11" s="8" t="n">
        <x:v>3</x:v>
      </x:c>
      <x:c r="L11" s="8" t="str">
        <x:v>2 — Exact-scene opposite-state contrast — State-word counterfactual (upright→upside-down)</x:v>
      </x:c>
      <x:c r="M11" s="8" t="n">
        <x:v>3</x:v>
      </x:c>
      <x:c r="N11" s="7" t="str">
        <x:v>Reset the canonical target to its marked position. Preserve every object and state; change only the queried state word and expected target.</x:v>
      </x:c>
      <x:c r="O11" s="7" t="str">
        <x:v>Exact-scene semantic counterfactual. The state word switches to the opposite state and the correct target switches to the other same-category instance.</x:v>
      </x:c>
      <x:c r="P11" s="7"/>
    </x:row>
    <x:row r="12" ht="60" customHeight="1">
      <x:c r="A12" s="8" t="str">
        <x:v>Not collected</x:v>
      </x:c>
      <x:c r="B12" s="8" t="n">
        <x:v>10</x:v>
      </x:c>
      <x:c r="C12" s="7" t="str">
        <x:v>Find the upright brown cup and place it in the bowl.</x:v>
      </x:c>
      <x:c r="D12" s="7" t="str">
        <x:v>P1 brown cup B (O, UD) [STATE COMPETITOR]; P2 white cup B (C, UD); P3 brown cup A (O, UR) [TARGET]</x:v>
      </x:c>
      <x:c r="E12" s="8" t="n">
        <x:v>8</x:v>
      </x:c>
      <x:c r="F12" s="8" t="str">
        <x:v>brown cup A</x:v>
      </x:c>
      <x:c r="G12" s="7"/>
      <x:c r="H12" s="8" t="str">
        <x:v>Language robustness</x:v>
      </x:c>
      <x:c r="I12" s="8" t="str">
        <x:v>SR-F03</x:v>
      </x:c>
      <x:c r="J12" s="8" t="str">
        <x:v>upright</x:v>
      </x:c>
      <x:c r="K12" s="8" t="n">
        <x:v>3</x:v>
      </x:c>
      <x:c r="L12" s="8" t="str">
        <x:v>3 — Exact-scene transfer paraphrase — Paraphrase of concept/compositional-transfer prompt</x:v>
      </x:c>
      <x:c r="M12" s="8" t="n">
        <x:v>3</x:v>
      </x:c>
      <x:c r="N12" s="7" t="str">
        <x:v>Reset only the moved target; change only the prompt wording.</x:v>
      </x:c>
      <x:c r="O12" s="7" t="str">
        <x:v>Exact-scene language pair for the state-bearing transfer prompt.</x:v>
      </x:c>
      <x:c r="P12" s="7"/>
    </x:row>
    <x:row r="13" ht="60" customHeight="1">
      <x:c r="A13" s="8" t="str">
        <x:v>Not collected</x:v>
      </x:c>
      <x:c r="B13" s="8" t="n">
        <x:v>11</x:v>
      </x:c>
      <x:c r="C13" s="7" t="str">
        <x:v>Move the brown cup into the bowl.</x:v>
      </x:c>
      <x:c r="D13" s="7" t="str">
        <x:v>P1 yellow-white striped cup B (O, UD) [NEUTRAL REPLACEMENT]; P2 white cup B (C, UD); P3 brown cup A (O, UR) [TARGET]</x:v>
      </x:c>
      <x:c r="E13" s="8" t="n">
        <x:v>8</x:v>
      </x:c>
      <x:c r="F13" s="8" t="str">
        <x:v>brown cup A</x:v>
      </x:c>
      <x:c r="G13" s="7"/>
      <x:c r="H13" s="8" t="str">
        <x:v>Matched manipulation control</x:v>
      </x:c>
      <x:c r="I13" s="8" t="str">
        <x:v>SR-F03</x:v>
      </x:c>
      <x:c r="J13" s="8" t="str">
        <x:v>upright</x:v>
      </x:c>
      <x:c r="K13" s="8" t="n">
        <x:v>3</x:v>
      </x:c>
      <x:c r="L13" s="8" t="str">
        <x:v>4 — Matched control — Category-only control with 3 objects</x:v>
      </x:c>
      <x:c r="M13" s="8" t="n">
        <x:v>3</x:v>
      </x:c>
      <x:c r="N13" s="7" t="str">
        <x:v>Reset the target; replace the same-category state competitor with yellow-white striped cup B at the same position. Keep object count, other objects, camera, and bowl fixed.</x:v>
      </x:c>
      <x:c r="O13" s="7" t="str">
        <x:v>The neutral replacement removes category ambiguity without changing the three- or four-object set size.</x:v>
      </x:c>
      <x:c r="P13" s="7"/>
    </x:row>
    <x:row r="14" ht="60" customHeight="1">
      <x:c r="A14" s="9" t="str">
        <x:v>Not collected</x:v>
      </x:c>
      <x:c r="B14" s="9" t="n">
        <x:v>12</x:v>
      </x:c>
      <x:c r="C14" s="10" t="str">
        <x:v>Place the upside-down glass spice container in the bowl.</x:v>
      </x:c>
      <x:c r="D14" s="10" t="str">
        <x:v>P1 glass spice container B (C, UD) [TARGET]; P2 glass spice container A (C, UR) [STATE COMPETITOR]; P3 white cup B (C, UD)</x:v>
      </x:c>
      <x:c r="E14" s="9"/>
      <x:c r="F14" s="9" t="str">
        <x:v>glass spice container B</x:v>
      </x:c>
      <x:c r="G14" s="10"/>
      <x:c r="H14" s="9" t="str">
        <x:v>Concept/compositional transfer</x:v>
      </x:c>
      <x:c r="I14" s="9" t="str">
        <x:v>SR-F04</x:v>
      </x:c>
      <x:c r="J14" s="9" t="str">
        <x:v>upside-down</x:v>
      </x:c>
      <x:c r="K14" s="9" t="n">
        <x:v>3</x:v>
      </x:c>
      <x:c r="L14" s="9" t="str">
        <x:v>1 — Canonical transfer — Seen state word in a new scene (upside-down)</x:v>
      </x:c>
      <x:c r="M14" s="9" t="n">
        <x:v>4</x:v>
      </x:c>
      <x:c r="N14" s="10" t="str">
        <x:v>Build the marked same-category discrimination scene. Save a first-frame image or filename.</x:v>
      </x:c>
      <x:c r="O14" s="10" t="str">
        <x:v>Two objects match the named category; only the state word selects the target. Target and competitor differ only on the queried state axis.</x:v>
      </x:c>
      <x:c r="P14" s="10"/>
    </x:row>
    <x:row r="15" ht="60" customHeight="1">
      <x:c r="A15" s="8" t="str">
        <x:v>Not collected</x:v>
      </x:c>
      <x:c r="B15" s="8" t="n">
        <x:v>13</x:v>
      </x:c>
      <x:c r="C15" s="7" t="str">
        <x:v>Put the upright glass spice container in the bowl.</x:v>
      </x:c>
      <x:c r="D15" s="7" t="str">
        <x:v>P1 glass spice container B (C, UD) [STATE COMPETITOR]; P2 glass spice container A (C, UR) [TARGET]; P3 white cup B (C, UD)</x:v>
      </x:c>
      <x:c r="E15" s="8" t="n">
        <x:v>12</x:v>
      </x:c>
      <x:c r="F15" s="8" t="str">
        <x:v>glass spice container A</x:v>
      </x:c>
      <x:c r="G15" s="7"/>
      <x:c r="H15" s="8" t="str">
        <x:v>Exact-scene opposite-state contrast</x:v>
      </x:c>
      <x:c r="I15" s="8" t="str">
        <x:v>SR-F04</x:v>
      </x:c>
      <x:c r="J15" s="8" t="str">
        <x:v>upright</x:v>
      </x:c>
      <x:c r="K15" s="8" t="n">
        <x:v>3</x:v>
      </x:c>
      <x:c r="L15" s="8" t="str">
        <x:v>2 — Exact-scene opposite-state contrast — State-word counterfactual (upside-down→upright)</x:v>
      </x:c>
      <x:c r="M15" s="8" t="n">
        <x:v>4</x:v>
      </x:c>
      <x:c r="N15" s="7" t="str">
        <x:v>Reset the canonical target to its marked position. Preserve every object and state; change only the queried state word and expected target.</x:v>
      </x:c>
      <x:c r="O15" s="7" t="str">
        <x:v>Exact-scene semantic counterfactual. The state word switches to the opposite state and the correct target switches to the other same-category instance.</x:v>
      </x:c>
      <x:c r="P15" s="7"/>
    </x:row>
    <x:row r="16" ht="60" customHeight="1">
      <x:c r="A16" s="8" t="str">
        <x:v>Not collected</x:v>
      </x:c>
      <x:c r="B16" s="8" t="n">
        <x:v>14</x:v>
      </x:c>
      <x:c r="C16" s="7" t="str">
        <x:v>Place the overturned glass spice container in the bowl.</x:v>
      </x:c>
      <x:c r="D16" s="7" t="str">
        <x:v>P1 glass spice container B (C, UD) [TARGET]; P2 glass spice container A (C, UR) [STATE COMPETITOR]; P3 white cup B (C, UD)</x:v>
      </x:c>
      <x:c r="E16" s="8" t="n">
        <x:v>12</x:v>
      </x:c>
      <x:c r="F16" s="8" t="str">
        <x:v>glass spice container B</x:v>
      </x:c>
      <x:c r="G16" s="7"/>
      <x:c r="H16" s="8" t="str">
        <x:v>Language robustness</x:v>
      </x:c>
      <x:c r="I16" s="8" t="str">
        <x:v>SR-F04</x:v>
      </x:c>
      <x:c r="J16" s="8" t="str">
        <x:v>upside-down</x:v>
      </x:c>
      <x:c r="K16" s="8" t="n">
        <x:v>3</x:v>
      </x:c>
      <x:c r="L16" s="8" t="str">
        <x:v>3 — Exact-scene transfer paraphrase — Paraphrase of concept/compositional-transfer prompt</x:v>
      </x:c>
      <x:c r="M16" s="8" t="n">
        <x:v>4</x:v>
      </x:c>
      <x:c r="N16" s="7" t="str">
        <x:v>Reset only the moved target; change only the prompt wording.</x:v>
      </x:c>
      <x:c r="O16" s="7" t="str">
        <x:v>Exact-scene language pair for the state-bearing transfer prompt.</x:v>
      </x:c>
      <x:c r="P16" s="7"/>
    </x:row>
    <x:row r="17" ht="60" customHeight="1">
      <x:c r="A17" s="8" t="str">
        <x:v>Not collected</x:v>
      </x:c>
      <x:c r="B17" s="8" t="n">
        <x:v>15</x:v>
      </x:c>
      <x:c r="C17" s="7" t="str">
        <x:v>Place the glass spice container in the bowl.</x:v>
      </x:c>
      <x:c r="D17" s="7" t="str">
        <x:v>P1 glass spice container B (C, UD) [TARGET]; P2 brown cup A (C, UR) [NEUTRAL REPLACEMENT]; P3 white cup B (C, UD)</x:v>
      </x:c>
      <x:c r="E17" s="8" t="n">
        <x:v>12</x:v>
      </x:c>
      <x:c r="F17" s="8" t="str">
        <x:v>glass spice container B</x:v>
      </x:c>
      <x:c r="G17" s="7"/>
      <x:c r="H17" s="8" t="str">
        <x:v>Matched manipulation control</x:v>
      </x:c>
      <x:c r="I17" s="8" t="str">
        <x:v>SR-F04</x:v>
      </x:c>
      <x:c r="J17" s="8" t="str">
        <x:v>upside-down</x:v>
      </x:c>
      <x:c r="K17" s="8" t="n">
        <x:v>3</x:v>
      </x:c>
      <x:c r="L17" s="8" t="str">
        <x:v>4 — Matched control — Category-only control with 3 objects</x:v>
      </x:c>
      <x:c r="M17" s="8" t="n">
        <x:v>4</x:v>
      </x:c>
      <x:c r="N17" s="7" t="str">
        <x:v>Reset the target; replace the same-category state competitor with brown cup A at the same position. Keep object count, other objects, camera, and bowl fixed.</x:v>
      </x:c>
      <x:c r="O17" s="7" t="str">
        <x:v>The neutral replacement removes category ambiguity without changing the three- or four-object set size.</x:v>
      </x:c>
      <x:c r="P17" s="7"/>
    </x:row>
    <x:row r="18" ht="60" customHeight="1">
      <x:c r="A18" s="9" t="str">
        <x:v>Not collected</x:v>
      </x:c>
      <x:c r="B18" s="9" t="n">
        <x:v>16</x:v>
      </x:c>
      <x:c r="C18" s="10" t="str">
        <x:v>Put the closed yellow-white striped cup in the bowl.</x:v>
      </x:c>
      <x:c r="D18" s="10" t="str">
        <x:v>P1 white cup A (O, UR); P2 yellow-white striped cup A (C, UR) [TARGET]; P3 yellow-white striped cup B (O, UR) [STATE COMPETITOR]</x:v>
      </x:c>
      <x:c r="E18" s="9"/>
      <x:c r="F18" s="9" t="str">
        <x:v>yellow-white striped cup A</x:v>
      </x:c>
      <x:c r="G18" s="10"/>
      <x:c r="H18" s="9" t="str">
        <x:v>Concept/compositional transfer</x:v>
      </x:c>
      <x:c r="I18" s="9" t="str">
        <x:v>SR-F05</x:v>
      </x:c>
      <x:c r="J18" s="9" t="str">
        <x:v>closed</x:v>
      </x:c>
      <x:c r="K18" s="9" t="n">
        <x:v>3</x:v>
      </x:c>
      <x:c r="L18" s="9" t="str">
        <x:v>1 — Canonical transfer — Held-out state word + known category (closed)</x:v>
      </x:c>
      <x:c r="M18" s="9" t="n">
        <x:v>5</x:v>
      </x:c>
      <x:c r="N18" s="10" t="str">
        <x:v>Build the marked same-category discrimination scene. Save a first-frame image or filename.</x:v>
      </x:c>
      <x:c r="O18" s="10" t="str">
        <x:v>Two objects match the named category; only the state word selects the target. Target and competitor differ only on the queried state axis.</x:v>
      </x:c>
      <x:c r="P18" s="10"/>
    </x:row>
    <x:row r="19" ht="60" customHeight="1">
      <x:c r="A19" s="8" t="str">
        <x:v>Not collected</x:v>
      </x:c>
      <x:c r="B19" s="8" t="n">
        <x:v>17</x:v>
      </x:c>
      <x:c r="C19" s="7" t="str">
        <x:v>Move the open yellow-white striped cup into the bowl.</x:v>
      </x:c>
      <x:c r="D19" s="7" t="str">
        <x:v>P1 white cup A (O, UR); P2 yellow-white striped cup A (C, UR) [STATE COMPETITOR]; P3 yellow-white striped cup B (O, UR) [TARGET]</x:v>
      </x:c>
      <x:c r="E19" s="8" t="n">
        <x:v>16</x:v>
      </x:c>
      <x:c r="F19" s="8" t="str">
        <x:v>yellow-white striped cup B</x:v>
      </x:c>
      <x:c r="G19" s="7"/>
      <x:c r="H19" s="8" t="str">
        <x:v>Exact-scene opposite-state contrast</x:v>
      </x:c>
      <x:c r="I19" s="8" t="str">
        <x:v>SR-F05</x:v>
      </x:c>
      <x:c r="J19" s="8" t="str">
        <x:v>open</x:v>
      </x:c>
      <x:c r="K19" s="8" t="n">
        <x:v>3</x:v>
      </x:c>
      <x:c r="L19" s="8" t="str">
        <x:v>2 — Exact-scene opposite-state contrast — State-word counterfactual (closed→open)</x:v>
      </x:c>
      <x:c r="M19" s="8" t="n">
        <x:v>5</x:v>
      </x:c>
      <x:c r="N19" s="7" t="str">
        <x:v>Reset the canonical target to its marked position. Preserve every object and state; change only the queried state word and expected target.</x:v>
      </x:c>
      <x:c r="O19" s="7" t="str">
        <x:v>Exact-scene semantic counterfactual. The state word switches to the opposite state and the correct target switches to the other same-category instance.</x:v>
      </x:c>
      <x:c r="P19" s="7"/>
    </x:row>
    <x:row r="20" ht="60" customHeight="1">
      <x:c r="A20" s="8" t="str">
        <x:v>Not collected</x:v>
      </x:c>
      <x:c r="B20" s="8" t="n">
        <x:v>18</x:v>
      </x:c>
      <x:c r="C20" s="7" t="str">
        <x:v>Move the closed yellow-white striped cup into the bowl.</x:v>
      </x:c>
      <x:c r="D20" s="7" t="str">
        <x:v>P1 white cup A (O, UR); P2 yellow-white striped cup A (C, UR) [TARGET]; P3 yellow-white striped cup B (O, UR) [STATE COMPETITOR]</x:v>
      </x:c>
      <x:c r="E20" s="8" t="n">
        <x:v>16</x:v>
      </x:c>
      <x:c r="F20" s="8" t="str">
        <x:v>yellow-white striped cup A</x:v>
      </x:c>
      <x:c r="G20" s="7"/>
      <x:c r="H20" s="8" t="str">
        <x:v>Language robustness</x:v>
      </x:c>
      <x:c r="I20" s="8" t="str">
        <x:v>SR-F05</x:v>
      </x:c>
      <x:c r="J20" s="8" t="str">
        <x:v>closed</x:v>
      </x:c>
      <x:c r="K20" s="8" t="n">
        <x:v>3</x:v>
      </x:c>
      <x:c r="L20" s="8" t="str">
        <x:v>3 — Exact-scene transfer paraphrase — Paraphrase of concept/compositional-transfer prompt</x:v>
      </x:c>
      <x:c r="M20" s="8" t="n">
        <x:v>5</x:v>
      </x:c>
      <x:c r="N20" s="7" t="str">
        <x:v>Reset only the moved target; change only the prompt wording.</x:v>
      </x:c>
      <x:c r="O20" s="7" t="str">
        <x:v>Exact-scene language pair for the state-bearing transfer prompt.</x:v>
      </x:c>
      <x:c r="P20" s="7"/>
    </x:row>
    <x:row r="21" ht="60" customHeight="1">
      <x:c r="A21" s="8" t="str">
        <x:v>Not collected</x:v>
      </x:c>
      <x:c r="B21" s="8" t="n">
        <x:v>19</x:v>
      </x:c>
      <x:c r="C21" s="7" t="str">
        <x:v>Put the yellow-white striped cup in the bowl.</x:v>
      </x:c>
      <x:c r="D21" s="7" t="str">
        <x:v>P1 white cup A (O, UR); P2 yellow-white striped cup A (C, UR) [TARGET]; P3 brown cup B (O, UR) [NEUTRAL REPLACEMENT]</x:v>
      </x:c>
      <x:c r="E21" s="8" t="n">
        <x:v>16</x:v>
      </x:c>
      <x:c r="F21" s="8" t="str">
        <x:v>yellow-white striped cup A</x:v>
      </x:c>
      <x:c r="G21" s="7"/>
      <x:c r="H21" s="8" t="str">
        <x:v>Matched manipulation control</x:v>
      </x:c>
      <x:c r="I21" s="8" t="str">
        <x:v>SR-F05</x:v>
      </x:c>
      <x:c r="J21" s="8" t="str">
        <x:v>closed</x:v>
      </x:c>
      <x:c r="K21" s="8" t="n">
        <x:v>3</x:v>
      </x:c>
      <x:c r="L21" s="8" t="str">
        <x:v>4 — Matched control — Category-only control with 3 objects</x:v>
      </x:c>
      <x:c r="M21" s="8" t="n">
        <x:v>5</x:v>
      </x:c>
      <x:c r="N21" s="7" t="str">
        <x:v>Reset the target; replace the same-category state competitor with brown cup B at the same position. Keep object count, other objects, camera, and bowl fixed.</x:v>
      </x:c>
      <x:c r="O21" s="7" t="str">
        <x:v>The neutral replacement removes category ambiguity without changing the three- or four-object set size.</x:v>
      </x:c>
      <x:c r="P21" s="7"/>
    </x:row>
    <x:row r="22" ht="60" customHeight="1">
      <x:c r="A22" s="9" t="str">
        <x:v>Not collected</x:v>
      </x:c>
      <x:c r="B22" s="9" t="n">
        <x:v>20</x:v>
      </x:c>
      <x:c r="C22" s="10" t="str">
        <x:v>Move the open brown cup into the bowl.</x:v>
      </x:c>
      <x:c r="D22" s="10" t="str">
        <x:v>P1 brown cup A (C, UD) [STATE COMPETITOR]; P2 white cup A (O, UR); P3 brown cup B (O, UD) [TARGET]</x:v>
      </x:c>
      <x:c r="E22" s="9"/>
      <x:c r="F22" s="9" t="str">
        <x:v>brown cup B</x:v>
      </x:c>
      <x:c r="G22" s="10"/>
      <x:c r="H22" s="9" t="str">
        <x:v>Concept/compositional transfer</x:v>
      </x:c>
      <x:c r="I22" s="9" t="str">
        <x:v>SR-F06</x:v>
      </x:c>
      <x:c r="J22" s="9" t="str">
        <x:v>open</x:v>
      </x:c>
      <x:c r="K22" s="9" t="n">
        <x:v>3</x:v>
      </x:c>
      <x:c r="L22" s="9" t="str">
        <x:v>1 — Canonical transfer — Seen state word in a new scene (open)</x:v>
      </x:c>
      <x:c r="M22" s="9" t="n">
        <x:v>6</x:v>
      </x:c>
      <x:c r="N22" s="10" t="str">
        <x:v>Build the marked same-category discrimination scene. Save a first-frame image or filename.</x:v>
      </x:c>
      <x:c r="O22" s="10" t="str">
        <x:v>Two objects match the named category; only the state word selects the target. Target and competitor differ only on the queried state axis.</x:v>
      </x:c>
      <x:c r="P22" s="10"/>
    </x:row>
    <x:row r="23" ht="60" customHeight="1">
      <x:c r="A23" s="8" t="str">
        <x:v>Not collected</x:v>
      </x:c>
      <x:c r="B23" s="8" t="n">
        <x:v>21</x:v>
      </x:c>
      <x:c r="C23" s="7" t="str">
        <x:v>Place the closed brown cup in the bowl.</x:v>
      </x:c>
      <x:c r="D23" s="7" t="str">
        <x:v>P1 brown cup A (C, UD) [TARGET]; P2 white cup A (O, UR); P3 brown cup B (O, UD) [STATE COMPETITOR]</x:v>
      </x:c>
      <x:c r="E23" s="8" t="n">
        <x:v>20</x:v>
      </x:c>
      <x:c r="F23" s="8" t="str">
        <x:v>brown cup A</x:v>
      </x:c>
      <x:c r="G23" s="7"/>
      <x:c r="H23" s="8" t="str">
        <x:v>Exact-scene opposite-state contrast</x:v>
      </x:c>
      <x:c r="I23" s="8" t="str">
        <x:v>SR-F06</x:v>
      </x:c>
      <x:c r="J23" s="8" t="str">
        <x:v>closed</x:v>
      </x:c>
      <x:c r="K23" s="8" t="n">
        <x:v>3</x:v>
      </x:c>
      <x:c r="L23" s="8" t="str">
        <x:v>2 — Exact-scene opposite-state contrast — State-word counterfactual (open→closed)</x:v>
      </x:c>
      <x:c r="M23" s="8" t="n">
        <x:v>6</x:v>
      </x:c>
      <x:c r="N23" s="7" t="str">
        <x:v>Reset the canonical target to its marked position. Preserve every object and state; change only the queried state word and expected target.</x:v>
      </x:c>
      <x:c r="O23" s="7" t="str">
        <x:v>Exact-scene semantic counterfactual. The state word switches to the opposite state and the correct target switches to the other same-category instance.</x:v>
      </x:c>
      <x:c r="P23" s="7"/>
    </x:row>
    <x:row r="24" ht="60" customHeight="1">
      <x:c r="A24" s="8" t="str">
        <x:v>Not collected</x:v>
      </x:c>
      <x:c r="B24" s="8" t="n">
        <x:v>22</x:v>
      </x:c>
      <x:c r="C24" s="7" t="str">
        <x:v>Move the brown cup that is open into the bowl.</x:v>
      </x:c>
      <x:c r="D24" s="7" t="str">
        <x:v>P1 brown cup A (C, UD) [STATE COMPETITOR]; P2 white cup A (O, UR); P3 brown cup B (O, UD) [TARGET]</x:v>
      </x:c>
      <x:c r="E24" s="8" t="n">
        <x:v>20</x:v>
      </x:c>
      <x:c r="F24" s="8" t="str">
        <x:v>brown cup B</x:v>
      </x:c>
      <x:c r="G24" s="7"/>
      <x:c r="H24" s="8" t="str">
        <x:v>Language robustness</x:v>
      </x:c>
      <x:c r="I24" s="8" t="str">
        <x:v>SR-F06</x:v>
      </x:c>
      <x:c r="J24" s="8" t="str">
        <x:v>open</x:v>
      </x:c>
      <x:c r="K24" s="8" t="n">
        <x:v>3</x:v>
      </x:c>
      <x:c r="L24" s="8" t="str">
        <x:v>3 — Exact-scene transfer paraphrase — Paraphrase of concept/compositional-transfer prompt</x:v>
      </x:c>
      <x:c r="M24" s="8" t="n">
        <x:v>6</x:v>
      </x:c>
      <x:c r="N24" s="7" t="str">
        <x:v>Reset only the moved target; change only the prompt wording.</x:v>
      </x:c>
      <x:c r="O24" s="7" t="str">
        <x:v>Exact-scene language pair for the state-bearing transfer prompt.</x:v>
      </x:c>
      <x:c r="P24" s="7"/>
    </x:row>
    <x:row r="25" ht="60" customHeight="1">
      <x:c r="A25" s="8" t="str">
        <x:v>Not collected</x:v>
      </x:c>
      <x:c r="B25" s="8" t="n">
        <x:v>23</x:v>
      </x:c>
      <x:c r="C25" s="7" t="str">
        <x:v>Move the brown cup into the bowl.</x:v>
      </x:c>
      <x:c r="D25" s="7" t="str">
        <x:v>P1 glass spice container A (C, UD) [NEUTRAL REPLACEMENT]; P2 white cup A (O, UR); P3 brown cup B (O, UD) [TARGET]</x:v>
      </x:c>
      <x:c r="E25" s="8" t="n">
        <x:v>20</x:v>
      </x:c>
      <x:c r="F25" s="8" t="str">
        <x:v>brown cup B</x:v>
      </x:c>
      <x:c r="G25" s="7"/>
      <x:c r="H25" s="8" t="str">
        <x:v>Matched manipulation control</x:v>
      </x:c>
      <x:c r="I25" s="8" t="str">
        <x:v>SR-F06</x:v>
      </x:c>
      <x:c r="J25" s="8" t="str">
        <x:v>open</x:v>
      </x:c>
      <x:c r="K25" s="8" t="n">
        <x:v>3</x:v>
      </x:c>
      <x:c r="L25" s="8" t="str">
        <x:v>4 — Matched control — Category-only control with 3 objects</x:v>
      </x:c>
      <x:c r="M25" s="8" t="n">
        <x:v>6</x:v>
      </x:c>
      <x:c r="N25" s="7" t="str">
        <x:v>Reset the target; replace the same-category state competitor with glass spice container A at the same position. Keep object count, other objects, camera, and bowl fixed.</x:v>
      </x:c>
      <x:c r="O25" s="7" t="str">
        <x:v>The neutral replacement removes category ambiguity without changing the three- or four-object set size.</x:v>
      </x:c>
      <x:c r="P25" s="7"/>
    </x:row>
    <x:row r="26" ht="60" customHeight="1">
      <x:c r="A26" s="9" t="str">
        <x:v>Not collected</x:v>
      </x:c>
      <x:c r="B26" s="9" t="n">
        <x:v>24</x:v>
      </x:c>
      <x:c r="C26" s="10" t="str">
        <x:v>Place the upright glass spice container in the bowl.</x:v>
      </x:c>
      <x:c r="D26" s="10" t="str">
        <x:v>P1 glass spice container A (O, UR) [TARGET]; P2 glass spice container B (O, UD) [STATE COMPETITOR]; P3 white cup A (O, UR)</x:v>
      </x:c>
      <x:c r="E26" s="9"/>
      <x:c r="F26" s="9" t="str">
        <x:v>glass spice container A</x:v>
      </x:c>
      <x:c r="G26" s="10"/>
      <x:c r="H26" s="9" t="str">
        <x:v>Concept/compositional transfer</x:v>
      </x:c>
      <x:c r="I26" s="9" t="str">
        <x:v>SR-F07</x:v>
      </x:c>
      <x:c r="J26" s="9" t="str">
        <x:v>upright</x:v>
      </x:c>
      <x:c r="K26" s="9" t="n">
        <x:v>3</x:v>
      </x:c>
      <x:c r="L26" s="9" t="str">
        <x:v>1 — Canonical transfer — Held-out state word + known category (upright)</x:v>
      </x:c>
      <x:c r="M26" s="9" t="n">
        <x:v>7</x:v>
      </x:c>
      <x:c r="N26" s="10" t="str">
        <x:v>Build the marked same-category discrimination scene. Save a first-frame image or filename.</x:v>
      </x:c>
      <x:c r="O26" s="10" t="str">
        <x:v>Two objects match the named category; only the state word selects the target. Target and competitor differ only on the queried state axis.</x:v>
      </x:c>
      <x:c r="P26" s="10"/>
    </x:row>
    <x:row r="27" ht="60" customHeight="1">
      <x:c r="A27" s="8" t="str">
        <x:v>Not collected</x:v>
      </x:c>
      <x:c r="B27" s="8" t="n">
        <x:v>25</x:v>
      </x:c>
      <x:c r="C27" s="7" t="str">
        <x:v>Put the upside-down glass spice container in the bowl.</x:v>
      </x:c>
      <x:c r="D27" s="7" t="str">
        <x:v>P1 glass spice container A (O, UR) [STATE COMPETITOR]; P2 glass spice container B (O, UD) [TARGET]; P3 white cup A (O, UR)</x:v>
      </x:c>
      <x:c r="E27" s="8" t="n">
        <x:v>24</x:v>
      </x:c>
      <x:c r="F27" s="8" t="str">
        <x:v>glass spice container B</x:v>
      </x:c>
      <x:c r="G27" s="7"/>
      <x:c r="H27" s="8" t="str">
        <x:v>Exact-scene opposite-state contrast</x:v>
      </x:c>
      <x:c r="I27" s="8" t="str">
        <x:v>SR-F07</x:v>
      </x:c>
      <x:c r="J27" s="8" t="str">
        <x:v>upside-down</x:v>
      </x:c>
      <x:c r="K27" s="8" t="n">
        <x:v>3</x:v>
      </x:c>
      <x:c r="L27" s="8" t="str">
        <x:v>2 — Exact-scene opposite-state contrast — State-word counterfactual (upright→upside-down)</x:v>
      </x:c>
      <x:c r="M27" s="8" t="n">
        <x:v>7</x:v>
      </x:c>
      <x:c r="N27" s="7" t="str">
        <x:v>Reset the canonical target to its marked position. Preserve every object and state; change only the queried state word and expected target.</x:v>
      </x:c>
      <x:c r="O27" s="7" t="str">
        <x:v>Exact-scene semantic counterfactual. The state word switches to the opposite state and the correct target switches to the other same-category instance.</x:v>
      </x:c>
      <x:c r="P27" s="7"/>
    </x:row>
    <x:row r="28" ht="60" customHeight="1">
      <x:c r="A28" s="8" t="str">
        <x:v>Not collected</x:v>
      </x:c>
      <x:c r="B28" s="8" t="n">
        <x:v>26</x:v>
      </x:c>
      <x:c r="C28" s="7" t="str">
        <x:v>Put the right-side-up glass spice container in the bowl.</x:v>
      </x:c>
      <x:c r="D28" s="7" t="str">
        <x:v>P1 glass spice container A (O, UR) [TARGET]; P2 glass spice container B (O, UD) [STATE COMPETITOR]; P3 white cup A (O, UR)</x:v>
      </x:c>
      <x:c r="E28" s="8" t="n">
        <x:v>24</x:v>
      </x:c>
      <x:c r="F28" s="8" t="str">
        <x:v>glass spice container A</x:v>
      </x:c>
      <x:c r="G28" s="7"/>
      <x:c r="H28" s="8" t="str">
        <x:v>Language robustness</x:v>
      </x:c>
      <x:c r="I28" s="8" t="str">
        <x:v>SR-F07</x:v>
      </x:c>
      <x:c r="J28" s="8" t="str">
        <x:v>upright</x:v>
      </x:c>
      <x:c r="K28" s="8" t="n">
        <x:v>3</x:v>
      </x:c>
      <x:c r="L28" s="8" t="str">
        <x:v>3 — Exact-scene transfer paraphrase — Paraphrase of concept/compositional-transfer prompt</x:v>
      </x:c>
      <x:c r="M28" s="8" t="n">
        <x:v>7</x:v>
      </x:c>
      <x:c r="N28" s="7" t="str">
        <x:v>Reset only the moved target; change only the prompt wording.</x:v>
      </x:c>
      <x:c r="O28" s="7" t="str">
        <x:v>Exact-scene language pair for the state-bearing transfer prompt.</x:v>
      </x:c>
      <x:c r="P28" s="7"/>
    </x:row>
    <x:row r="29" ht="60" customHeight="1">
      <x:c r="A29" s="8" t="str">
        <x:v>Not collected</x:v>
      </x:c>
      <x:c r="B29" s="8" t="n">
        <x:v>27</x:v>
      </x:c>
      <x:c r="C29" s="7" t="str">
        <x:v>Place the glass spice container in the bowl.</x:v>
      </x:c>
      <x:c r="D29" s="7" t="str">
        <x:v>P1 glass spice container A (O, UR) [TARGET]; P2 yellow-white striped cup B (O, UD) [NEUTRAL REPLACEMENT]; P3 white cup A (O, UR)</x:v>
      </x:c>
      <x:c r="E29" s="8" t="n">
        <x:v>24</x:v>
      </x:c>
      <x:c r="F29" s="8" t="str">
        <x:v>glass spice container A</x:v>
      </x:c>
      <x:c r="G29" s="7"/>
      <x:c r="H29" s="8" t="str">
        <x:v>Matched manipulation control</x:v>
      </x:c>
      <x:c r="I29" s="8" t="str">
        <x:v>SR-F07</x:v>
      </x:c>
      <x:c r="J29" s="8" t="str">
        <x:v>upright</x:v>
      </x:c>
      <x:c r="K29" s="8" t="n">
        <x:v>3</x:v>
      </x:c>
      <x:c r="L29" s="8" t="str">
        <x:v>4 — Matched control — Category-only control with 3 objects</x:v>
      </x:c>
      <x:c r="M29" s="8" t="n">
        <x:v>7</x:v>
      </x:c>
      <x:c r="N29" s="7" t="str">
        <x:v>Reset the target; replace the same-category state competitor with yellow-white striped cup B at the same position. Keep object count, other objects, camera, and bowl fixed.</x:v>
      </x:c>
      <x:c r="O29" s="7" t="str">
        <x:v>The neutral replacement removes category ambiguity without changing the three- or four-object set size.</x:v>
      </x:c>
      <x:c r="P29" s="7"/>
    </x:row>
    <x:row r="30" ht="60" customHeight="1">
      <x:c r="A30" s="9" t="str">
        <x:v>Not collected</x:v>
      </x:c>
      <x:c r="B30" s="9" t="n">
        <x:v>28</x:v>
      </x:c>
      <x:c r="C30" s="10" t="str">
        <x:v>Put the upside-down white cup in the bowl.</x:v>
      </x:c>
      <x:c r="D30" s="10" t="str">
        <x:v>P1 yellow-white striped cup B (C, UD); P2 white cup B (C, UD) [TARGET]; P3 white cup A (C, UR) [STATE COMPETITOR]</x:v>
      </x:c>
      <x:c r="E30" s="9"/>
      <x:c r="F30" s="9" t="str">
        <x:v>white cup B</x:v>
      </x:c>
      <x:c r="G30" s="10"/>
      <x:c r="H30" s="9" t="str">
        <x:v>Concept/compositional transfer</x:v>
      </x:c>
      <x:c r="I30" s="9" t="str">
        <x:v>SR-F08</x:v>
      </x:c>
      <x:c r="J30" s="9" t="str">
        <x:v>upside-down</x:v>
      </x:c>
      <x:c r="K30" s="9" t="n">
        <x:v>3</x:v>
      </x:c>
      <x:c r="L30" s="9" t="str">
        <x:v>1 — Canonical transfer — Seen state word in a new scene (upside-down)</x:v>
      </x:c>
      <x:c r="M30" s="9" t="n">
        <x:v>8</x:v>
      </x:c>
      <x:c r="N30" s="10" t="str">
        <x:v>Build the marked same-category discrimination scene. Save a first-frame image or filename.</x:v>
      </x:c>
      <x:c r="O30" s="10" t="str">
        <x:v>Two objects match the named category; only the state word selects the target. Target and competitor differ only on the queried state axis.</x:v>
      </x:c>
      <x:c r="P30" s="10"/>
    </x:row>
    <x:row r="31" ht="60" customHeight="1">
      <x:c r="A31" s="8" t="str">
        <x:v>Not collected</x:v>
      </x:c>
      <x:c r="B31" s="8" t="n">
        <x:v>29</x:v>
      </x:c>
      <x:c r="C31" s="7" t="str">
        <x:v>Move the upright white cup into the bowl.</x:v>
      </x:c>
      <x:c r="D31" s="7" t="str">
        <x:v>P1 yellow-white striped cup B (C, UD); P2 white cup B (C, UD) [STATE COMPETITOR]; P3 white cup A (C, UR) [TARGET]</x:v>
      </x:c>
      <x:c r="E31" s="8" t="n">
        <x:v>28</x:v>
      </x:c>
      <x:c r="F31" s="8" t="str">
        <x:v>white cup A</x:v>
      </x:c>
      <x:c r="G31" s="7"/>
      <x:c r="H31" s="8" t="str">
        <x:v>Exact-scene opposite-state contrast</x:v>
      </x:c>
      <x:c r="I31" s="8" t="str">
        <x:v>SR-F08</x:v>
      </x:c>
      <x:c r="J31" s="8" t="str">
        <x:v>upright</x:v>
      </x:c>
      <x:c r="K31" s="8" t="n">
        <x:v>3</x:v>
      </x:c>
      <x:c r="L31" s="8" t="str">
        <x:v>2 — Exact-scene opposite-state contrast — State-word counterfactual (upside-down→upright)</x:v>
      </x:c>
      <x:c r="M31" s="8" t="n">
        <x:v>8</x:v>
      </x:c>
      <x:c r="N31" s="7" t="str">
        <x:v>Reset the canonical target to its marked position. Preserve every object and state; change only the queried state word and expected target.</x:v>
      </x:c>
      <x:c r="O31" s="7" t="str">
        <x:v>Exact-scene semantic counterfactual. The state word switches to the opposite state and the correct target switches to the other same-category instance.</x:v>
      </x:c>
      <x:c r="P31" s="7"/>
    </x:row>
    <x:row r="32" ht="60" customHeight="1">
      <x:c r="A32" s="8" t="str">
        <x:v>Not collected</x:v>
      </x:c>
      <x:c r="B32" s="8" t="n">
        <x:v>30</x:v>
      </x:c>
      <x:c r="C32" s="7" t="str">
        <x:v>Find the upside-down white cup and place it in the bowl.</x:v>
      </x:c>
      <x:c r="D32" s="7" t="str">
        <x:v>P1 yellow-white striped cup B (C, UD); P2 white cup B (C, UD) [TARGET]; P3 white cup A (C, UR) [STATE COMPETITOR]</x:v>
      </x:c>
      <x:c r="E32" s="8" t="n">
        <x:v>28</x:v>
      </x:c>
      <x:c r="F32" s="8" t="str">
        <x:v>white cup B</x:v>
      </x:c>
      <x:c r="G32" s="7"/>
      <x:c r="H32" s="8" t="str">
        <x:v>Language robustness</x:v>
      </x:c>
      <x:c r="I32" s="8" t="str">
        <x:v>SR-F08</x:v>
      </x:c>
      <x:c r="J32" s="8" t="str">
        <x:v>upside-down</x:v>
      </x:c>
      <x:c r="K32" s="8" t="n">
        <x:v>3</x:v>
      </x:c>
      <x:c r="L32" s="8" t="str">
        <x:v>3 — Exact-scene transfer paraphrase — Paraphrase of concept/compositional-transfer prompt</x:v>
      </x:c>
      <x:c r="M32" s="8" t="n">
        <x:v>8</x:v>
      </x:c>
      <x:c r="N32" s="7" t="str">
        <x:v>Reset only the moved target; change only the prompt wording.</x:v>
      </x:c>
      <x:c r="O32" s="7" t="str">
        <x:v>Exact-scene language pair for the state-bearing transfer prompt.</x:v>
      </x:c>
      <x:c r="P32" s="7"/>
    </x:row>
    <x:row r="33" ht="60" customHeight="1">
      <x:c r="A33" s="8" t="str">
        <x:v>Not collected</x:v>
      </x:c>
      <x:c r="B33" s="8" t="n">
        <x:v>31</x:v>
      </x:c>
      <x:c r="C33" s="7" t="str">
        <x:v>Put the white cup in the bowl.</x:v>
      </x:c>
      <x:c r="D33" s="7" t="str">
        <x:v>P1 yellow-white striped cup B (C, UD); P2 white cup B (C, UD) [TARGET]; P3 glass spice container A (C, UR) [NEUTRAL REPLACEMENT]</x:v>
      </x:c>
      <x:c r="E33" s="8" t="n">
        <x:v>28</x:v>
      </x:c>
      <x:c r="F33" s="8" t="str">
        <x:v>white cup B</x:v>
      </x:c>
      <x:c r="G33" s="7"/>
      <x:c r="H33" s="8" t="str">
        <x:v>Matched manipulation control</x:v>
      </x:c>
      <x:c r="I33" s="8" t="str">
        <x:v>SR-F08</x:v>
      </x:c>
      <x:c r="J33" s="8" t="str">
        <x:v>upside-down</x:v>
      </x:c>
      <x:c r="K33" s="8" t="n">
        <x:v>3</x:v>
      </x:c>
      <x:c r="L33" s="8" t="str">
        <x:v>4 — Matched control — Category-only control with 3 objects</x:v>
      </x:c>
      <x:c r="M33" s="8" t="n">
        <x:v>8</x:v>
      </x:c>
      <x:c r="N33" s="7" t="str">
        <x:v>Reset the target; replace the same-category state competitor with glass spice container A at the same position. Keep object count, other objects, camera, and bowl fixed.</x:v>
      </x:c>
      <x:c r="O33" s="7" t="str">
        <x:v>The neutral replacement removes category ambiguity without changing the three- or four-object set size.</x:v>
      </x:c>
      <x:c r="P33" s="7"/>
    </x:row>
    <x:row r="34" ht="60" customHeight="1">
      <x:c r="A34" s="9" t="str">
        <x:v>Not collected</x:v>
      </x:c>
      <x:c r="B34" s="9" t="n">
        <x:v>32</x:v>
      </x:c>
      <x:c r="C34" s="10" t="str">
        <x:v>Move the closed brown cup into the bowl.</x:v>
      </x:c>
      <x:c r="D34" s="10" t="str">
        <x:v>P1 brown cup B (O, UR) [STATE COMPETITOR]; P2 white cup B (C, UD); P3 brown cup A (C, UR) [TARGET]</x:v>
      </x:c>
      <x:c r="E34" s="9"/>
      <x:c r="F34" s="9" t="str">
        <x:v>brown cup A</x:v>
      </x:c>
      <x:c r="G34" s="10"/>
      <x:c r="H34" s="9" t="str">
        <x:v>Concept/compositional transfer</x:v>
      </x:c>
      <x:c r="I34" s="9" t="str">
        <x:v>SR-F09</x:v>
      </x:c>
      <x:c r="J34" s="9" t="str">
        <x:v>closed</x:v>
      </x:c>
      <x:c r="K34" s="9" t="n">
        <x:v>3</x:v>
      </x:c>
      <x:c r="L34" s="9" t="str">
        <x:v>1 — Canonical transfer — Held-out state word + known category (closed)</x:v>
      </x:c>
      <x:c r="M34" s="9" t="n">
        <x:v>9</x:v>
      </x:c>
      <x:c r="N34" s="10" t="str">
        <x:v>Build the marked same-category discrimination scene. Save a first-frame image or filename.</x:v>
      </x:c>
      <x:c r="O34" s="10" t="str">
        <x:v>Two objects match the named category; only the state word selects the target. Target and competitor differ only on the queried state axis.</x:v>
      </x:c>
      <x:c r="P34" s="10"/>
    </x:row>
    <x:row r="35" ht="60" customHeight="1">
      <x:c r="A35" s="8" t="str">
        <x:v>Not collected</x:v>
      </x:c>
      <x:c r="B35" s="8" t="n">
        <x:v>33</x:v>
      </x:c>
      <x:c r="C35" s="7" t="str">
        <x:v>Place the open brown cup in the bowl.</x:v>
      </x:c>
      <x:c r="D35" s="7" t="str">
        <x:v>P1 brown cup B (O, UR) [TARGET]; P2 white cup B (C, UD); P3 brown cup A (C, UR) [STATE COMPETITOR]</x:v>
      </x:c>
      <x:c r="E35" s="8" t="n">
        <x:v>32</x:v>
      </x:c>
      <x:c r="F35" s="8" t="str">
        <x:v>brown cup B</x:v>
      </x:c>
      <x:c r="G35" s="7"/>
      <x:c r="H35" s="8" t="str">
        <x:v>Exact-scene opposite-state contrast</x:v>
      </x:c>
      <x:c r="I35" s="8" t="str">
        <x:v>SR-F09</x:v>
      </x:c>
      <x:c r="J35" s="8" t="str">
        <x:v>open</x:v>
      </x:c>
      <x:c r="K35" s="8" t="n">
        <x:v>3</x:v>
      </x:c>
      <x:c r="L35" s="8" t="str">
        <x:v>2 — Exact-scene opposite-state contrast — State-word counterfactual (closed→open)</x:v>
      </x:c>
      <x:c r="M35" s="8" t="n">
        <x:v>9</x:v>
      </x:c>
      <x:c r="N35" s="7" t="str">
        <x:v>Reset the canonical target to its marked position. Preserve every object and state; change only the queried state word and expected target.</x:v>
      </x:c>
      <x:c r="O35" s="7" t="str">
        <x:v>Exact-scene semantic counterfactual. The state word switches to the opposite state and the correct target switches to the other same-category instance.</x:v>
      </x:c>
      <x:c r="P35" s="7"/>
    </x:row>
    <x:row r="36" ht="60" customHeight="1">
      <x:c r="A36" s="8" t="str">
        <x:v>Not collected</x:v>
      </x:c>
      <x:c r="B36" s="8" t="n">
        <x:v>34</x:v>
      </x:c>
      <x:c r="C36" s="7" t="str">
        <x:v>Place the brown cup that is not open in the bowl.</x:v>
      </x:c>
      <x:c r="D36" s="7" t="str">
        <x:v>P1 brown cup B (O, UR) [STATE COMPETITOR]; P2 white cup B (C, UD); P3 brown cup A (C, UR) [TARGET]</x:v>
      </x:c>
      <x:c r="E36" s="8" t="n">
        <x:v>32</x:v>
      </x:c>
      <x:c r="F36" s="8" t="str">
        <x:v>brown cup A</x:v>
      </x:c>
      <x:c r="G36" s="7"/>
      <x:c r="H36" s="8" t="str">
        <x:v>Language robustness</x:v>
      </x:c>
      <x:c r="I36" s="8" t="str">
        <x:v>SR-F09</x:v>
      </x:c>
      <x:c r="J36" s="8" t="str">
        <x:v>closed</x:v>
      </x:c>
      <x:c r="K36" s="8" t="n">
        <x:v>3</x:v>
      </x:c>
      <x:c r="L36" s="8" t="str">
        <x:v>3 — Exact-scene transfer paraphrase — Paraphrase of concept/compositional-transfer prompt</x:v>
      </x:c>
      <x:c r="M36" s="8" t="n">
        <x:v>9</x:v>
      </x:c>
      <x:c r="N36" s="7" t="str">
        <x:v>Reset only the moved target; change only the prompt wording.</x:v>
      </x:c>
      <x:c r="O36" s="7" t="str">
        <x:v>Exact-scene language pair for the state-bearing transfer prompt.</x:v>
      </x:c>
      <x:c r="P36" s="7"/>
    </x:row>
    <x:row r="37" ht="60" customHeight="1">
      <x:c r="A37" s="8" t="str">
        <x:v>Not collected</x:v>
      </x:c>
      <x:c r="B37" s="8" t="n">
        <x:v>35</x:v>
      </x:c>
      <x:c r="C37" s="7" t="str">
        <x:v>Move the brown cup into the bowl.</x:v>
      </x:c>
      <x:c r="D37" s="7" t="str">
        <x:v>P1 yellow-white striped cup B (O, UR) [NEUTRAL REPLACEMENT]; P2 white cup B (C, UD); P3 brown cup A (C, UR) [TARGET]</x:v>
      </x:c>
      <x:c r="E37" s="8" t="n">
        <x:v>32</x:v>
      </x:c>
      <x:c r="F37" s="8" t="str">
        <x:v>brown cup A</x:v>
      </x:c>
      <x:c r="G37" s="7"/>
      <x:c r="H37" s="8" t="str">
        <x:v>Matched manipulation control</x:v>
      </x:c>
      <x:c r="I37" s="8" t="str">
        <x:v>SR-F09</x:v>
      </x:c>
      <x:c r="J37" s="8" t="str">
        <x:v>closed</x:v>
      </x:c>
      <x:c r="K37" s="8" t="n">
        <x:v>3</x:v>
      </x:c>
      <x:c r="L37" s="8" t="str">
        <x:v>4 — Matched control — Category-only control with 3 objects</x:v>
      </x:c>
      <x:c r="M37" s="8" t="n">
        <x:v>9</x:v>
      </x:c>
      <x:c r="N37" s="7" t="str">
        <x:v>Reset the target; replace the same-category state competitor with yellow-white striped cup B at the same position. Keep object count, other objects, camera, and bowl fixed.</x:v>
      </x:c>
      <x:c r="O37" s="7" t="str">
        <x:v>The neutral replacement removes category ambiguity without changing the three- or four-object set size.</x:v>
      </x:c>
      <x:c r="P37" s="7"/>
    </x:row>
    <x:row r="38" ht="60" customHeight="1">
      <x:c r="A38" s="9" t="str">
        <x:v>Not collected</x:v>
      </x:c>
      <x:c r="B38" s="9" t="n">
        <x:v>36</x:v>
      </x:c>
      <x:c r="C38" s="10" t="str">
        <x:v>Place the open glass spice container in the bowl.</x:v>
      </x:c>
      <x:c r="D38" s="10" t="str">
        <x:v>P1 glass spice container B (O, UD) [TARGET]; P2 glass spice container A (C, UD) [STATE COMPETITOR]; P3 white cup B (C, UD)</x:v>
      </x:c>
      <x:c r="E38" s="9"/>
      <x:c r="F38" s="9" t="str">
        <x:v>glass spice container B</x:v>
      </x:c>
      <x:c r="G38" s="10"/>
      <x:c r="H38" s="9" t="str">
        <x:v>Concept/compositional transfer</x:v>
      </x:c>
      <x:c r="I38" s="9" t="str">
        <x:v>SR-F10</x:v>
      </x:c>
      <x:c r="J38" s="9" t="str">
        <x:v>open</x:v>
      </x:c>
      <x:c r="K38" s="9" t="n">
        <x:v>3</x:v>
      </x:c>
      <x:c r="L38" s="9" t="str">
        <x:v>1 — Canonical transfer — Seen state word in a new scene (open)</x:v>
      </x:c>
      <x:c r="M38" s="9" t="n">
        <x:v>10</x:v>
      </x:c>
      <x:c r="N38" s="10" t="str">
        <x:v>Build the marked same-category discrimination scene. Save a first-frame image or filename.</x:v>
      </x:c>
      <x:c r="O38" s="10" t="str">
        <x:v>Two objects match the named category; only the state word selects the target. Target and competitor differ only on the queried state axis.</x:v>
      </x:c>
      <x:c r="P38" s="10"/>
    </x:row>
    <x:row r="39" ht="60" customHeight="1">
      <x:c r="A39" s="8" t="str">
        <x:v>Not collected</x:v>
      </x:c>
      <x:c r="B39" s="8" t="n">
        <x:v>37</x:v>
      </x:c>
      <x:c r="C39" s="7" t="str">
        <x:v>Put the closed glass spice container in the bowl.</x:v>
      </x:c>
      <x:c r="D39" s="7" t="str">
        <x:v>P1 glass spice container B (O, UD) [STATE COMPETITOR]; P2 glass spice container A (C, UD) [TARGET]; P3 white cup B (C, UD)</x:v>
      </x:c>
      <x:c r="E39" s="8" t="n">
        <x:v>36</x:v>
      </x:c>
      <x:c r="F39" s="8" t="str">
        <x:v>glass spice container A</x:v>
      </x:c>
      <x:c r="G39" s="7"/>
      <x:c r="H39" s="8" t="str">
        <x:v>Exact-scene opposite-state contrast</x:v>
      </x:c>
      <x:c r="I39" s="8" t="str">
        <x:v>SR-F10</x:v>
      </x:c>
      <x:c r="J39" s="8" t="str">
        <x:v>closed</x:v>
      </x:c>
      <x:c r="K39" s="8" t="n">
        <x:v>3</x:v>
      </x:c>
      <x:c r="L39" s="8" t="str">
        <x:v>2 — Exact-scene opposite-state contrast — State-word counterfactual (open→closed)</x:v>
      </x:c>
      <x:c r="M39" s="8" t="n">
        <x:v>10</x:v>
      </x:c>
      <x:c r="N39" s="7" t="str">
        <x:v>Reset the canonical target to its marked position. Preserve every object and state; change only the queried state word and expected target.</x:v>
      </x:c>
      <x:c r="O39" s="7" t="str">
        <x:v>Exact-scene semantic counterfactual. The state word switches to the opposite state and the correct target switches to the other same-category instance.</x:v>
      </x:c>
      <x:c r="P39" s="7"/>
    </x:row>
    <x:row r="40" ht="60" customHeight="1">
      <x:c r="A40" s="8" t="str">
        <x:v>Not collected</x:v>
      </x:c>
      <x:c r="B40" s="8" t="n">
        <x:v>38</x:v>
      </x:c>
      <x:c r="C40" s="7" t="str">
        <x:v>Move the open glass spice container into the bowl.</x:v>
      </x:c>
      <x:c r="D40" s="7" t="str">
        <x:v>P1 glass spice container B (O, UD) [TARGET]; P2 glass spice container A (C, UD) [STATE COMPETITOR]; P3 white cup B (C, UD)</x:v>
      </x:c>
      <x:c r="E40" s="8" t="n">
        <x:v>36</x:v>
      </x:c>
      <x:c r="F40" s="8" t="str">
        <x:v>glass spice container B</x:v>
      </x:c>
      <x:c r="G40" s="7"/>
      <x:c r="H40" s="8" t="str">
        <x:v>Language robustness</x:v>
      </x:c>
      <x:c r="I40" s="8" t="str">
        <x:v>SR-F10</x:v>
      </x:c>
      <x:c r="J40" s="8" t="str">
        <x:v>open</x:v>
      </x:c>
      <x:c r="K40" s="8" t="n">
        <x:v>3</x:v>
      </x:c>
      <x:c r="L40" s="8" t="str">
        <x:v>3 — Exact-scene transfer paraphrase — Paraphrase of concept/compositional-transfer prompt</x:v>
      </x:c>
      <x:c r="M40" s="8" t="n">
        <x:v>10</x:v>
      </x:c>
      <x:c r="N40" s="7" t="str">
        <x:v>Reset only the moved target; change only the prompt wording.</x:v>
      </x:c>
      <x:c r="O40" s="7" t="str">
        <x:v>Exact-scene language pair for the state-bearing transfer prompt.</x:v>
      </x:c>
      <x:c r="P40" s="7"/>
    </x:row>
    <x:row r="41" ht="60" customHeight="1">
      <x:c r="A41" s="8" t="str">
        <x:v>Not collected</x:v>
      </x:c>
      <x:c r="B41" s="8" t="n">
        <x:v>39</x:v>
      </x:c>
      <x:c r="C41" s="7" t="str">
        <x:v>Place the glass spice container in the bowl.</x:v>
      </x:c>
      <x:c r="D41" s="7" t="str">
        <x:v>P1 glass spice container B (O, UD) [TARGET]; P2 brown cup A (C, UD) [NEUTRAL REPLACEMENT]; P3 white cup B (C, UD)</x:v>
      </x:c>
      <x:c r="E41" s="8" t="n">
        <x:v>36</x:v>
      </x:c>
      <x:c r="F41" s="8" t="str">
        <x:v>glass spice container B</x:v>
      </x:c>
      <x:c r="G41" s="7"/>
      <x:c r="H41" s="8" t="str">
        <x:v>Matched manipulation control</x:v>
      </x:c>
      <x:c r="I41" s="8" t="str">
        <x:v>SR-F10</x:v>
      </x:c>
      <x:c r="J41" s="8" t="str">
        <x:v>open</x:v>
      </x:c>
      <x:c r="K41" s="8" t="n">
        <x:v>3</x:v>
      </x:c>
      <x:c r="L41" s="8" t="str">
        <x:v>4 — Matched control — Category-only control with 3 objects</x:v>
      </x:c>
      <x:c r="M41" s="8" t="n">
        <x:v>10</x:v>
      </x:c>
      <x:c r="N41" s="7" t="str">
        <x:v>Reset the target; replace the same-category state competitor with brown cup A at the same position. Keep object count, other objects, camera, and bowl fixed.</x:v>
      </x:c>
      <x:c r="O41" s="7" t="str">
        <x:v>The neutral replacement removes category ambiguity without changing the three- or four-object set size.</x:v>
      </x:c>
      <x:c r="P41" s="7"/>
    </x:row>
    <x:row r="42" ht="60" customHeight="1">
      <x:c r="A42" s="9" t="str">
        <x:v>Not collected</x:v>
      </x:c>
      <x:c r="B42" s="9" t="n">
        <x:v>40</x:v>
      </x:c>
      <x:c r="C42" s="10" t="str">
        <x:v>Put the upright white cup in the bowl.</x:v>
      </x:c>
      <x:c r="D42" s="10" t="str">
        <x:v>P1 yellow-white striped cup A (O, UR); P2 brown cup B (C, UD); P3 white cup A (O, UR) [TARGET]; P4 white cup B (O, UD) [STATE COMPETITOR]</x:v>
      </x:c>
      <x:c r="E42" s="9"/>
      <x:c r="F42" s="9" t="str">
        <x:v>white cup A</x:v>
      </x:c>
      <x:c r="G42" s="10"/>
      <x:c r="H42" s="9" t="str">
        <x:v>Concept/compositional transfer</x:v>
      </x:c>
      <x:c r="I42" s="9" t="str">
        <x:v>SR-F11</x:v>
      </x:c>
      <x:c r="J42" s="9" t="str">
        <x:v>upright</x:v>
      </x:c>
      <x:c r="K42" s="9" t="n">
        <x:v>4</x:v>
      </x:c>
      <x:c r="L42" s="9" t="str">
        <x:v>1 — Canonical transfer — Held-out state word + known category (upright)</x:v>
      </x:c>
      <x:c r="M42" s="9" t="n">
        <x:v>11</x:v>
      </x:c>
      <x:c r="N42" s="10" t="str">
        <x:v>Build the marked same-category discrimination scene. Save a first-frame image or filename.</x:v>
      </x:c>
      <x:c r="O42" s="10" t="str">
        <x:v>Two objects match the named category; only the state word selects the target. Target and competitor differ only on the queried state axis.</x:v>
      </x:c>
      <x:c r="P42" s="10"/>
    </x:row>
    <x:row r="43" ht="60" customHeight="1">
      <x:c r="A43" s="8" t="str">
        <x:v>Not collected</x:v>
      </x:c>
      <x:c r="B43" s="8" t="n">
        <x:v>41</x:v>
      </x:c>
      <x:c r="C43" s="7" t="str">
        <x:v>Move the upside-down white cup into the bowl.</x:v>
      </x:c>
      <x:c r="D43" s="7" t="str">
        <x:v>P1 yellow-white striped cup A (O, UR); P2 brown cup B (C, UD); P3 white cup A (O, UR) [STATE COMPETITOR]; P4 white cup B (O, UD) [TARGET]</x:v>
      </x:c>
      <x:c r="E43" s="8" t="n">
        <x:v>40</x:v>
      </x:c>
      <x:c r="F43" s="8" t="str">
        <x:v>white cup B</x:v>
      </x:c>
      <x:c r="G43" s="7"/>
      <x:c r="H43" s="8" t="str">
        <x:v>Exact-scene opposite-state contrast</x:v>
      </x:c>
      <x:c r="I43" s="8" t="str">
        <x:v>SR-F11</x:v>
      </x:c>
      <x:c r="J43" s="8" t="str">
        <x:v>upside-down</x:v>
      </x:c>
      <x:c r="K43" s="8" t="n">
        <x:v>4</x:v>
      </x:c>
      <x:c r="L43" s="8" t="str">
        <x:v>2 — Exact-scene opposite-state contrast — State-word counterfactual (upright→upside-down)</x:v>
      </x:c>
      <x:c r="M43" s="8" t="n">
        <x:v>11</x:v>
      </x:c>
      <x:c r="N43" s="7" t="str">
        <x:v>Reset the canonical target to its marked position. Preserve every object and state; change only the queried state word and expected target.</x:v>
      </x:c>
      <x:c r="O43" s="7" t="str">
        <x:v>Exact-scene semantic counterfactual. The state word switches to the opposite state and the correct target switches to the other same-category instance.</x:v>
      </x:c>
      <x:c r="P43" s="7"/>
    </x:row>
    <x:row r="44" ht="60" customHeight="1">
      <x:c r="A44" s="8" t="str">
        <x:v>Not collected</x:v>
      </x:c>
      <x:c r="B44" s="8" t="n">
        <x:v>42</x:v>
      </x:c>
      <x:c r="C44" s="7" t="str">
        <x:v>Put the white cup in the bowl.</x:v>
      </x:c>
      <x:c r="D44" s="7" t="str">
        <x:v>P1 yellow-white striped cup A (O, UR); P2 brown cup B (C, UD); P3 white cup A (O, UR) [TARGET]; P4 glass spice container B (O, UD) [NEUTRAL REPLACEMENT]</x:v>
      </x:c>
      <x:c r="E44" s="8" t="n">
        <x:v>40</x:v>
      </x:c>
      <x:c r="F44" s="8" t="str">
        <x:v>white cup A</x:v>
      </x:c>
      <x:c r="G44" s="7"/>
      <x:c r="H44" s="8" t="str">
        <x:v>Matched manipulation control</x:v>
      </x:c>
      <x:c r="I44" s="8" t="str">
        <x:v>SR-F11</x:v>
      </x:c>
      <x:c r="J44" s="8" t="str">
        <x:v>upright</x:v>
      </x:c>
      <x:c r="K44" s="8" t="n">
        <x:v>4</x:v>
      </x:c>
      <x:c r="L44" s="8" t="str">
        <x:v>3 — Matched control — Category-only control with 4 objects</x:v>
      </x:c>
      <x:c r="M44" s="8" t="n">
        <x:v>11</x:v>
      </x:c>
      <x:c r="N44" s="7" t="str">
        <x:v>Reset the target; replace the same-category state competitor with glass spice container B at the same position. Keep object count, other objects, camera, and bowl fixed.</x:v>
      </x:c>
      <x:c r="O44" s="7" t="str">
        <x:v>The neutral replacement removes category ambiguity without changing the three- or four-object set size.</x:v>
      </x:c>
      <x:c r="P44" s="7"/>
    </x:row>
    <x:row r="45" ht="60" customHeight="1">
      <x:c r="A45" s="8" t="str">
        <x:v>Not collected</x:v>
      </x:c>
      <x:c r="B45" s="8" t="n">
        <x:v>43</x:v>
      </x:c>
      <x:c r="C45" s="7" t="str">
        <x:v>Pick up the white cup and place it in the bowl.</x:v>
      </x:c>
      <x:c r="D45" s="7" t="str">
        <x:v>P1 yellow-white striped cup A (O, UR); P2 brown cup B (C, UD); P3 white cup A (O, UR) [TARGET]; P4 glass spice container B (O, UD) [NEUTRAL REPLACEMENT]</x:v>
      </x:c>
      <x:c r="E45" s="8" t="n">
        <x:v>42</x:v>
      </x:c>
      <x:c r="F45" s="8" t="str">
        <x:v>white cup A</x:v>
      </x:c>
      <x:c r="G45" s="7"/>
      <x:c r="H45" s="8" t="str">
        <x:v>Language robustness</x:v>
      </x:c>
      <x:c r="I45" s="8" t="str">
        <x:v>SR-F11</x:v>
      </x:c>
      <x:c r="J45" s="8" t="str">
        <x:v>upright</x:v>
      </x:c>
      <x:c r="K45" s="8" t="n">
        <x:v>4</x:v>
      </x:c>
      <x:c r="L45" s="8" t="str">
        <x:v>4 — Exact-scene control paraphrase — Paraphrase of matched-control prompt</x:v>
      </x:c>
      <x:c r="M45" s="8" t="n">
        <x:v>11</x:v>
      </x:c>
      <x:c r="N45" s="7" t="str">
        <x:v>Reset only the moved target; change only the prompt wording.</x:v>
      </x:c>
      <x:c r="O45" s="7" t="str">
        <x:v>Exact-scene language pair for the category-only matched control.</x:v>
      </x:c>
      <x:c r="P45" s="7"/>
    </x:row>
    <x:row r="46" ht="60" customHeight="1">
      <x:c r="A46" s="9" t="str">
        <x:v>Not collected</x:v>
      </x:c>
      <x:c r="B46" s="9" t="n">
        <x:v>44</x:v>
      </x:c>
      <x:c r="C46" s="10" t="str">
        <x:v>Move the upside-down yellow-white striped cup into the bowl.</x:v>
      </x:c>
      <x:c r="D46" s="10" t="str">
        <x:v>P1 yellow-white striped cup A (C, UR) [STATE COMPETITOR]; P2 white cup A (O, UR); P3 brown cup B (C, UD); P4 yellow-white striped cup B (C, UD) [TARGET]</x:v>
      </x:c>
      <x:c r="E46" s="9"/>
      <x:c r="F46" s="9" t="str">
        <x:v>yellow-white striped cup B</x:v>
      </x:c>
      <x:c r="G46" s="10"/>
      <x:c r="H46" s="9" t="str">
        <x:v>Concept/compositional transfer</x:v>
      </x:c>
      <x:c r="I46" s="9" t="str">
        <x:v>SR-F12</x:v>
      </x:c>
      <x:c r="J46" s="9" t="str">
        <x:v>upside-down</x:v>
      </x:c>
      <x:c r="K46" s="9" t="n">
        <x:v>4</x:v>
      </x:c>
      <x:c r="L46" s="9" t="str">
        <x:v>1 — Canonical transfer — Seen state word in a new scene (upside-down)</x:v>
      </x:c>
      <x:c r="M46" s="9" t="n">
        <x:v>12</x:v>
      </x:c>
      <x:c r="N46" s="10" t="str">
        <x:v>Build the marked same-category discrimination scene. Save a first-frame image or filename.</x:v>
      </x:c>
      <x:c r="O46" s="10" t="str">
        <x:v>Two objects match the named category; only the state word selects the target. Target and competitor differ only on the queried state axis.</x:v>
      </x:c>
      <x:c r="P46" s="10"/>
    </x:row>
    <x:row r="47" ht="60" customHeight="1">
      <x:c r="A47" s="8" t="str">
        <x:v>Not collected</x:v>
      </x:c>
      <x:c r="B47" s="8" t="n">
        <x:v>45</x:v>
      </x:c>
      <x:c r="C47" s="7" t="str">
        <x:v>Place the upright yellow-white striped cup in the bowl.</x:v>
      </x:c>
      <x:c r="D47" s="7" t="str">
        <x:v>P1 yellow-white striped cup A (C, UR) [TARGET]; P2 white cup A (O, UR); P3 brown cup B (C, UD); P4 yellow-white striped cup B (C, UD) [STATE COMPETITOR]</x:v>
      </x:c>
      <x:c r="E47" s="8" t="n">
        <x:v>44</x:v>
      </x:c>
      <x:c r="F47" s="8" t="str">
        <x:v>yellow-white striped cup A</x:v>
      </x:c>
      <x:c r="G47" s="7"/>
      <x:c r="H47" s="8" t="str">
        <x:v>Exact-scene opposite-state contrast</x:v>
      </x:c>
      <x:c r="I47" s="8" t="str">
        <x:v>SR-F12</x:v>
      </x:c>
      <x:c r="J47" s="8" t="str">
        <x:v>upright</x:v>
      </x:c>
      <x:c r="K47" s="8" t="n">
        <x:v>4</x:v>
      </x:c>
      <x:c r="L47" s="8" t="str">
        <x:v>2 — Exact-scene opposite-state contrast — State-word counterfactual (upside-down→upright)</x:v>
      </x:c>
      <x:c r="M47" s="8" t="n">
        <x:v>12</x:v>
      </x:c>
      <x:c r="N47" s="7" t="str">
        <x:v>Reset the canonical target to its marked position. Preserve every object and state; change only the queried state word and expected target.</x:v>
      </x:c>
      <x:c r="O47" s="7" t="str">
        <x:v>Exact-scene semantic counterfactual. The state word switches to the opposite state and the correct target switches to the other same-category instance.</x:v>
      </x:c>
      <x:c r="P47" s="7"/>
    </x:row>
    <x:row r="48" ht="60" customHeight="1">
      <x:c r="A48" s="8" t="str">
        <x:v>Not collected</x:v>
      </x:c>
      <x:c r="B48" s="8" t="n">
        <x:v>46</x:v>
      </x:c>
      <x:c r="C48" s="7" t="str">
        <x:v>Move the yellow-white striped cup into the bowl.</x:v>
      </x:c>
      <x:c r="D48" s="7" t="str">
        <x:v>P1 glass spice container A (C, UR) [NEUTRAL REPLACEMENT]; P2 white cup A (O, UR); P3 brown cup B (C, UD); P4 yellow-white striped cup B (C, UD) [TARGET]</x:v>
      </x:c>
      <x:c r="E48" s="8" t="n">
        <x:v>44</x:v>
      </x:c>
      <x:c r="F48" s="8" t="str">
        <x:v>yellow-white striped cup B</x:v>
      </x:c>
      <x:c r="G48" s="7"/>
      <x:c r="H48" s="8" t="str">
        <x:v>Matched manipulation control</x:v>
      </x:c>
      <x:c r="I48" s="8" t="str">
        <x:v>SR-F12</x:v>
      </x:c>
      <x:c r="J48" s="8" t="str">
        <x:v>upside-down</x:v>
      </x:c>
      <x:c r="K48" s="8" t="n">
        <x:v>4</x:v>
      </x:c>
      <x:c r="L48" s="8" t="str">
        <x:v>3 — Matched control — Category-only control with 4 objects</x:v>
      </x:c>
      <x:c r="M48" s="8" t="n">
        <x:v>12</x:v>
      </x:c>
      <x:c r="N48" s="7" t="str">
        <x:v>Reset the target; replace the same-category state competitor with glass spice container A at the same position. Keep object count, other objects, camera, and bowl fixed.</x:v>
      </x:c>
      <x:c r="O48" s="7" t="str">
        <x:v>The neutral replacement removes category ambiguity without changing the three- or four-object set size.</x:v>
      </x:c>
      <x:c r="P48" s="7"/>
    </x:row>
    <x:row r="49" ht="60" customHeight="1">
      <x:c r="A49" s="8" t="str">
        <x:v>Not collected</x:v>
      </x:c>
      <x:c r="B49" s="8" t="n">
        <x:v>47</x:v>
      </x:c>
      <x:c r="C49" s="7" t="str">
        <x:v>Move the yellow-white striped cup over to the bowl.</x:v>
      </x:c>
      <x:c r="D49" s="7" t="str">
        <x:v>P1 glass spice container A (C, UR) [NEUTRAL REPLACEMENT]; P2 white cup A (O, UR); P3 brown cup B (C, UD); P4 yellow-white striped cup B (C, UD) [TARGET]</x:v>
      </x:c>
      <x:c r="E49" s="8" t="n">
        <x:v>46</x:v>
      </x:c>
      <x:c r="F49" s="8" t="str">
        <x:v>yellow-white striped cup B</x:v>
      </x:c>
      <x:c r="G49" s="7"/>
      <x:c r="H49" s="8" t="str">
        <x:v>Language robustness</x:v>
      </x:c>
      <x:c r="I49" s="8" t="str">
        <x:v>SR-F12</x:v>
      </x:c>
      <x:c r="J49" s="8" t="str">
        <x:v>upside-down</x:v>
      </x:c>
      <x:c r="K49" s="8" t="n">
        <x:v>4</x:v>
      </x:c>
      <x:c r="L49" s="8" t="str">
        <x:v>4 — Exact-scene control paraphrase — Paraphrase of matched-control prompt</x:v>
      </x:c>
      <x:c r="M49" s="8" t="n">
        <x:v>12</x:v>
      </x:c>
      <x:c r="N49" s="7" t="str">
        <x:v>Reset only the moved target; change only the prompt wording.</x:v>
      </x:c>
      <x:c r="O49" s="7" t="str">
        <x:v>Exact-scene language pair for the category-only matched control.</x:v>
      </x:c>
      <x:c r="P49" s="7"/>
    </x:row>
    <x:row r="50" ht="60" customHeight="1">
      <x:c r="A50" s="9" t="str">
        <x:v>Not collected</x:v>
      </x:c>
      <x:c r="B50" s="9" t="n">
        <x:v>48</x:v>
      </x:c>
      <x:c r="C50" s="10" t="str">
        <x:v>Place the closed glass spice container in the bowl.</x:v>
      </x:c>
      <x:c r="D50" s="10" t="str">
        <x:v>P1 glass spice container A (C, UR) [TARGET]; P2 glass spice container B (O, UR) [STATE COMPETITOR]; P3 white cup A (O, UR); P4 yellow-white striped cup B (C, UD)</x:v>
      </x:c>
      <x:c r="E50" s="9"/>
      <x:c r="F50" s="9" t="str">
        <x:v>glass spice container A</x:v>
      </x:c>
      <x:c r="G50" s="10"/>
      <x:c r="H50" s="9" t="str">
        <x:v>Concept/compositional transfer</x:v>
      </x:c>
      <x:c r="I50" s="9" t="str">
        <x:v>SR-F13</x:v>
      </x:c>
      <x:c r="J50" s="9" t="str">
        <x:v>closed</x:v>
      </x:c>
      <x:c r="K50" s="9" t="n">
        <x:v>4</x:v>
      </x:c>
      <x:c r="L50" s="9" t="str">
        <x:v>1 — Canonical transfer — Held-out state word + known category (closed)</x:v>
      </x:c>
      <x:c r="M50" s="9" t="n">
        <x:v>13</x:v>
      </x:c>
      <x:c r="N50" s="10" t="str">
        <x:v>Build the marked same-category discrimination scene. Save a first-frame image or filename.</x:v>
      </x:c>
      <x:c r="O50" s="10" t="str">
        <x:v>Two objects match the named category; only the state word selects the target. Target and competitor differ only on the queried state axis.</x:v>
      </x:c>
      <x:c r="P50" s="10"/>
    </x:row>
    <x:row r="51" ht="60" customHeight="1">
      <x:c r="A51" s="8" t="str">
        <x:v>Not collected</x:v>
      </x:c>
      <x:c r="B51" s="8" t="n">
        <x:v>49</x:v>
      </x:c>
      <x:c r="C51" s="7" t="str">
        <x:v>Put the open glass spice container in the bowl.</x:v>
      </x:c>
      <x:c r="D51" s="7" t="str">
        <x:v>P1 glass spice container A (C, UR) [STATE COMPETITOR]; P2 glass spice container B (O, UR) [TARGET]; P3 white cup A (O, UR); P4 yellow-white striped cup B (C, UD)</x:v>
      </x:c>
      <x:c r="E51" s="8" t="n">
        <x:v>48</x:v>
      </x:c>
      <x:c r="F51" s="8" t="str">
        <x:v>glass spice container B</x:v>
      </x:c>
      <x:c r="G51" s="7"/>
      <x:c r="H51" s="8" t="str">
        <x:v>Exact-scene opposite-state contrast</x:v>
      </x:c>
      <x:c r="I51" s="8" t="str">
        <x:v>SR-F13</x:v>
      </x:c>
      <x:c r="J51" s="8" t="str">
        <x:v>open</x:v>
      </x:c>
      <x:c r="K51" s="8" t="n">
        <x:v>4</x:v>
      </x:c>
      <x:c r="L51" s="8" t="str">
        <x:v>2 — Exact-scene opposite-state contrast — State-word counterfactual (closed→open)</x:v>
      </x:c>
      <x:c r="M51" s="8" t="n">
        <x:v>13</x:v>
      </x:c>
      <x:c r="N51" s="7" t="str">
        <x:v>Reset the canonical target to its marked position. Preserve every object and state; change only the queried state word and expected target.</x:v>
      </x:c>
      <x:c r="O51" s="7" t="str">
        <x:v>Exact-scene semantic counterfactual. The state word switches to the opposite state and the correct target switches to the other same-category instance.</x:v>
      </x:c>
      <x:c r="P51" s="7"/>
    </x:row>
    <x:row r="52" ht="60" customHeight="1">
      <x:c r="A52" s="8" t="str">
        <x:v>Not collected</x:v>
      </x:c>
      <x:c r="B52" s="8" t="n">
        <x:v>50</x:v>
      </x:c>
      <x:c r="C52" s="7" t="str">
        <x:v>Place the glass spice container in the bowl.</x:v>
      </x:c>
      <x:c r="D52" s="7" t="str">
        <x:v>P1 glass spice container A (C, UR) [TARGET]; P2 brown cup B (O, UR) [NEUTRAL REPLACEMENT]; P3 white cup A (O, UR); P4 yellow-white striped cup B (C, UD)</x:v>
      </x:c>
      <x:c r="E52" s="8" t="n">
        <x:v>48</x:v>
      </x:c>
      <x:c r="F52" s="8" t="str">
        <x:v>glass spice container A</x:v>
      </x:c>
      <x:c r="G52" s="7"/>
      <x:c r="H52" s="8" t="str">
        <x:v>Matched manipulation control</x:v>
      </x:c>
      <x:c r="I52" s="8" t="str">
        <x:v>SR-F13</x:v>
      </x:c>
      <x:c r="J52" s="8" t="str">
        <x:v>closed</x:v>
      </x:c>
      <x:c r="K52" s="8" t="n">
        <x:v>4</x:v>
      </x:c>
      <x:c r="L52" s="8" t="str">
        <x:v>3 — Matched control — Category-only control with 4 objects</x:v>
      </x:c>
      <x:c r="M52" s="8" t="n">
        <x:v>13</x:v>
      </x:c>
      <x:c r="N52" s="7" t="str">
        <x:v>Reset the target; replace the same-category state competitor with brown cup B at the same position. Keep object count, other objects, camera, and bowl fixed.</x:v>
      </x:c>
      <x:c r="O52" s="7" t="str">
        <x:v>The neutral replacement removes category ambiguity without changing the three- or four-object set size.</x:v>
      </x:c>
      <x:c r="P52" s="7"/>
    </x:row>
    <x:row r="53" ht="60" customHeight="1">
      <x:c r="A53" s="8" t="str">
        <x:v>Not collected</x:v>
      </x:c>
      <x:c r="B53" s="8" t="n">
        <x:v>51</x:v>
      </x:c>
      <x:c r="C53" s="7" t="str">
        <x:v>Put the glass spice container inside the bowl.</x:v>
      </x:c>
      <x:c r="D53" s="7" t="str">
        <x:v>P1 glass spice container A (C, UR) [TARGET]; P2 brown cup B (O, UR) [NEUTRAL REPLACEMENT]; P3 white cup A (O, UR); P4 yellow-white striped cup B (C, UD)</x:v>
      </x:c>
      <x:c r="E53" s="8" t="n">
        <x:v>50</x:v>
      </x:c>
      <x:c r="F53" s="8" t="str">
        <x:v>glass spice container A</x:v>
      </x:c>
      <x:c r="G53" s="7"/>
      <x:c r="H53" s="8" t="str">
        <x:v>Language robustness</x:v>
      </x:c>
      <x:c r="I53" s="8" t="str">
        <x:v>SR-F13</x:v>
      </x:c>
      <x:c r="J53" s="8" t="str">
        <x:v>closed</x:v>
      </x:c>
      <x:c r="K53" s="8" t="n">
        <x:v>4</x:v>
      </x:c>
      <x:c r="L53" s="8" t="str">
        <x:v>4 — Exact-scene control paraphrase — Paraphrase of matched-control prompt</x:v>
      </x:c>
      <x:c r="M53" s="8" t="n">
        <x:v>13</x:v>
      </x:c>
      <x:c r="N53" s="7" t="str">
        <x:v>Reset only the moved target; change only the prompt wording.</x:v>
      </x:c>
      <x:c r="O53" s="7" t="str">
        <x:v>Exact-scene language pair for the category-only matched control.</x:v>
      </x:c>
      <x:c r="P53" s="7"/>
    </x:row>
    <x:row r="54" ht="60" customHeight="1">
      <x:c r="A54" s="9" t="str">
        <x:v>Not collected</x:v>
      </x:c>
      <x:c r="B54" s="9" t="n">
        <x:v>52</x:v>
      </x:c>
      <x:c r="C54" s="10" t="str">
        <x:v>Put the open white cup in the bowl.</x:v>
      </x:c>
      <x:c r="D54" s="10" t="str">
        <x:v>P1 yellow-white striped cup B (C, UD); P2 white cup B (O, UD) [TARGET]; P3 white cup A (C, UD) [STATE COMPETITOR]; P4 brown cup A (O, UR)</x:v>
      </x:c>
      <x:c r="E54" s="9"/>
      <x:c r="F54" s="9" t="str">
        <x:v>white cup B</x:v>
      </x:c>
      <x:c r="G54" s="10"/>
      <x:c r="H54" s="9" t="str">
        <x:v>Concept/compositional transfer</x:v>
      </x:c>
      <x:c r="I54" s="9" t="str">
        <x:v>SR-F14</x:v>
      </x:c>
      <x:c r="J54" s="9" t="str">
        <x:v>open</x:v>
      </x:c>
      <x:c r="K54" s="9" t="n">
        <x:v>4</x:v>
      </x:c>
      <x:c r="L54" s="9" t="str">
        <x:v>1 — Canonical transfer — Seen state word in a new scene (open)</x:v>
      </x:c>
      <x:c r="M54" s="9" t="n">
        <x:v>14</x:v>
      </x:c>
      <x:c r="N54" s="10" t="str">
        <x:v>Build the marked same-category discrimination scene. Save a first-frame image or filename.</x:v>
      </x:c>
      <x:c r="O54" s="10" t="str">
        <x:v>Two objects match the named category; only the state word selects the target. Target and competitor differ only on the queried state axis.</x:v>
      </x:c>
      <x:c r="P54" s="10"/>
    </x:row>
    <x:row r="55" ht="60" customHeight="1">
      <x:c r="A55" s="8" t="str">
        <x:v>Not collected</x:v>
      </x:c>
      <x:c r="B55" s="8" t="n">
        <x:v>53</x:v>
      </x:c>
      <x:c r="C55" s="7" t="str">
        <x:v>Move the closed white cup into the bowl.</x:v>
      </x:c>
      <x:c r="D55" s="7" t="str">
        <x:v>P1 yellow-white striped cup B (C, UD); P2 white cup B (O, UD) [STATE COMPETITOR]; P3 white cup A (C, UD) [TARGET]; P4 brown cup A (O, UR)</x:v>
      </x:c>
      <x:c r="E55" s="8" t="n">
        <x:v>52</x:v>
      </x:c>
      <x:c r="F55" s="8" t="str">
        <x:v>white cup A</x:v>
      </x:c>
      <x:c r="G55" s="7"/>
      <x:c r="H55" s="8" t="str">
        <x:v>Exact-scene opposite-state contrast</x:v>
      </x:c>
      <x:c r="I55" s="8" t="str">
        <x:v>SR-F14</x:v>
      </x:c>
      <x:c r="J55" s="8" t="str">
        <x:v>closed</x:v>
      </x:c>
      <x:c r="K55" s="8" t="n">
        <x:v>4</x:v>
      </x:c>
      <x:c r="L55" s="8" t="str">
        <x:v>2 — Exact-scene opposite-state contrast — State-word counterfactual (open→closed)</x:v>
      </x:c>
      <x:c r="M55" s="8" t="n">
        <x:v>14</x:v>
      </x:c>
      <x:c r="N55" s="7" t="str">
        <x:v>Reset the canonical target to its marked position. Preserve every object and state; change only the queried state word and expected target.</x:v>
      </x:c>
      <x:c r="O55" s="7" t="str">
        <x:v>Exact-scene semantic counterfactual. The state word switches to the opposite state and the correct target switches to the other same-category instance.</x:v>
      </x:c>
      <x:c r="P55" s="7"/>
    </x:row>
    <x:row r="56" ht="60" customHeight="1">
      <x:c r="A56" s="8" t="str">
        <x:v>Not collected</x:v>
      </x:c>
      <x:c r="B56" s="8" t="n">
        <x:v>54</x:v>
      </x:c>
      <x:c r="C56" s="7" t="str">
        <x:v>Put the white cup in the bowl.</x:v>
      </x:c>
      <x:c r="D56" s="7" t="str">
        <x:v>P1 yellow-white striped cup B (C, UD); P2 white cup B (O, UD) [TARGET]; P3 glass spice container A (C, UD) [NEUTRAL REPLACEMENT]; P4 brown cup A (O, UR)</x:v>
      </x:c>
      <x:c r="E56" s="8" t="n">
        <x:v>52</x:v>
      </x:c>
      <x:c r="F56" s="8" t="str">
        <x:v>white cup B</x:v>
      </x:c>
      <x:c r="G56" s="7"/>
      <x:c r="H56" s="8" t="str">
        <x:v>Matched manipulation control</x:v>
      </x:c>
      <x:c r="I56" s="8" t="str">
        <x:v>SR-F14</x:v>
      </x:c>
      <x:c r="J56" s="8" t="str">
        <x:v>open</x:v>
      </x:c>
      <x:c r="K56" s="8" t="n">
        <x:v>4</x:v>
      </x:c>
      <x:c r="L56" s="8" t="str">
        <x:v>3 — Matched control — Category-only control with 4 objects</x:v>
      </x:c>
      <x:c r="M56" s="8" t="n">
        <x:v>14</x:v>
      </x:c>
      <x:c r="N56" s="7" t="str">
        <x:v>Reset the target; replace the same-category state competitor with glass spice container A at the same position. Keep object count, other objects, camera, and bowl fixed.</x:v>
      </x:c>
      <x:c r="O56" s="7" t="str">
        <x:v>The neutral replacement removes category ambiguity without changing the three- or four-object set size.</x:v>
      </x:c>
      <x:c r="P56" s="7"/>
    </x:row>
    <x:row r="57" ht="60" customHeight="1">
      <x:c r="A57" s="8" t="str">
        <x:v>Not collected</x:v>
      </x:c>
      <x:c r="B57" s="8" t="n">
        <x:v>55</x:v>
      </x:c>
      <x:c r="C57" s="7" t="str">
        <x:v>Take the white cup and set it in the bowl.</x:v>
      </x:c>
      <x:c r="D57" s="7" t="str">
        <x:v>P1 yellow-white striped cup B (C, UD); P2 white cup B (O, UD) [TARGET]; P3 glass spice container A (C, UD) [NEUTRAL REPLACEMENT]; P4 brown cup A (O, UR)</x:v>
      </x:c>
      <x:c r="E57" s="8" t="n">
        <x:v>54</x:v>
      </x:c>
      <x:c r="F57" s="8" t="str">
        <x:v>white cup B</x:v>
      </x:c>
      <x:c r="G57" s="7"/>
      <x:c r="H57" s="8" t="str">
        <x:v>Language robustness</x:v>
      </x:c>
      <x:c r="I57" s="8" t="str">
        <x:v>SR-F14</x:v>
      </x:c>
      <x:c r="J57" s="8" t="str">
        <x:v>open</x:v>
      </x:c>
      <x:c r="K57" s="8" t="n">
        <x:v>4</x:v>
      </x:c>
      <x:c r="L57" s="8" t="str">
        <x:v>4 — Exact-scene control paraphrase — Paraphrase of matched-control prompt</x:v>
      </x:c>
      <x:c r="M57" s="8" t="n">
        <x:v>14</x:v>
      </x:c>
      <x:c r="N57" s="7" t="str">
        <x:v>Reset only the moved target; change only the prompt wording.</x:v>
      </x:c>
      <x:c r="O57" s="7" t="str">
        <x:v>Exact-scene language pair for the category-only matched control.</x:v>
      </x:c>
      <x:c r="P57" s="7"/>
    </x:row>
    <x:row r="58" ht="60" customHeight="1">
      <x:c r="A58" s="9" t="str">
        <x:v>Not collected</x:v>
      </x:c>
      <x:c r="B58" s="9" t="n">
        <x:v>56</x:v>
      </x:c>
      <x:c r="C58" s="10" t="str">
        <x:v>Move the upright yellow-white striped cup into the bowl.</x:v>
      </x:c>
      <x:c r="D58" s="10" t="str">
        <x:v>P1 white cup A (O, UR); P2 brown cup B (C, UD); P3 yellow-white striped cup A (O, UR) [TARGET]; P4 yellow-white striped cup B (O, UD) [STATE COMPETITOR]</x:v>
      </x:c>
      <x:c r="E58" s="9"/>
      <x:c r="F58" s="9" t="str">
        <x:v>yellow-white striped cup A</x:v>
      </x:c>
      <x:c r="G58" s="10"/>
      <x:c r="H58" s="9" t="str">
        <x:v>Concept/compositional transfer</x:v>
      </x:c>
      <x:c r="I58" s="9" t="str">
        <x:v>SR-F15</x:v>
      </x:c>
      <x:c r="J58" s="9" t="str">
        <x:v>upright</x:v>
      </x:c>
      <x:c r="K58" s="9" t="n">
        <x:v>4</x:v>
      </x:c>
      <x:c r="L58" s="9" t="str">
        <x:v>1 — Canonical transfer — Held-out state word + known category (upright)</x:v>
      </x:c>
      <x:c r="M58" s="9" t="n">
        <x:v>15</x:v>
      </x:c>
      <x:c r="N58" s="10" t="str">
        <x:v>Build the marked same-category discrimination scene. Save a first-frame image or filename.</x:v>
      </x:c>
      <x:c r="O58" s="10" t="str">
        <x:v>Two objects match the named category; only the state word selects the target. Target and competitor differ only on the queried state axis.</x:v>
      </x:c>
      <x:c r="P58" s="10"/>
    </x:row>
    <x:row r="59" ht="60" customHeight="1">
      <x:c r="A59" s="8" t="str">
        <x:v>Not collected</x:v>
      </x:c>
      <x:c r="B59" s="8" t="n">
        <x:v>57</x:v>
      </x:c>
      <x:c r="C59" s="7" t="str">
        <x:v>Place the upside-down yellow-white striped cup in the bowl.</x:v>
      </x:c>
      <x:c r="D59" s="7" t="str">
        <x:v>P1 white cup A (O, UR); P2 brown cup B (C, UD); P3 yellow-white striped cup A (O, UR) [STATE COMPETITOR]; P4 yellow-white striped cup B (O, UD) [TARGET]</x:v>
      </x:c>
      <x:c r="E59" s="8" t="n">
        <x:v>56</x:v>
      </x:c>
      <x:c r="F59" s="8" t="str">
        <x:v>yellow-white striped cup B</x:v>
      </x:c>
      <x:c r="G59" s="7"/>
      <x:c r="H59" s="8" t="str">
        <x:v>Exact-scene opposite-state contrast</x:v>
      </x:c>
      <x:c r="I59" s="8" t="str">
        <x:v>SR-F15</x:v>
      </x:c>
      <x:c r="J59" s="8" t="str">
        <x:v>upside-down</x:v>
      </x:c>
      <x:c r="K59" s="8" t="n">
        <x:v>4</x:v>
      </x:c>
      <x:c r="L59" s="8" t="str">
        <x:v>2 — Exact-scene opposite-state contrast — State-word counterfactual (upright→upside-down)</x:v>
      </x:c>
      <x:c r="M59" s="8" t="n">
        <x:v>15</x:v>
      </x:c>
      <x:c r="N59" s="7" t="str">
        <x:v>Reset the canonical target to its marked position. Preserve every object and state; change only the queried state word and expected target.</x:v>
      </x:c>
      <x:c r="O59" s="7" t="str">
        <x:v>Exact-scene semantic counterfactual. The state word switches to the opposite state and the correct target switches to the other same-category instance.</x:v>
      </x:c>
      <x:c r="P59" s="7"/>
    </x:row>
    <x:row r="60" ht="60" customHeight="1">
      <x:c r="A60" s="8" t="str">
        <x:v>Not collected</x:v>
      </x:c>
      <x:c r="B60" s="8" t="n">
        <x:v>58</x:v>
      </x:c>
      <x:c r="C60" s="7" t="str">
        <x:v>Move the yellow-white striped cup into the bowl.</x:v>
      </x:c>
      <x:c r="D60" s="7" t="str">
        <x:v>P1 white cup A (O, UR); P2 brown cup B (C, UD); P3 yellow-white striped cup A (O, UR) [TARGET]; P4 glass spice container B (O, UD) [NEUTRAL REPLACEMENT]</x:v>
      </x:c>
      <x:c r="E60" s="8" t="n">
        <x:v>56</x:v>
      </x:c>
      <x:c r="F60" s="8" t="str">
        <x:v>yellow-white striped cup A</x:v>
      </x:c>
      <x:c r="G60" s="7"/>
      <x:c r="H60" s="8" t="str">
        <x:v>Matched manipulation control</x:v>
      </x:c>
      <x:c r="I60" s="8" t="str">
        <x:v>SR-F15</x:v>
      </x:c>
      <x:c r="J60" s="8" t="str">
        <x:v>upright</x:v>
      </x:c>
      <x:c r="K60" s="8" t="n">
        <x:v>4</x:v>
      </x:c>
      <x:c r="L60" s="8" t="str">
        <x:v>3 — Matched control — Category-only control with 4 objects</x:v>
      </x:c>
      <x:c r="M60" s="8" t="n">
        <x:v>15</x:v>
      </x:c>
      <x:c r="N60" s="7" t="str">
        <x:v>Reset the target; replace the same-category state competitor with glass spice container B at the same position. Keep object count, other objects, camera, and bowl fixed.</x:v>
      </x:c>
      <x:c r="O60" s="7" t="str">
        <x:v>The neutral replacement removes category ambiguity without changing the three- or four-object set size.</x:v>
      </x:c>
      <x:c r="P60" s="7"/>
    </x:row>
    <x:row r="61" ht="60" customHeight="1">
      <x:c r="A61" s="8" t="str">
        <x:v>Not collected</x:v>
      </x:c>
      <x:c r="B61" s="8" t="n">
        <x:v>59</x:v>
      </x:c>
      <x:c r="C61" s="7" t="str">
        <x:v>Transfer the yellow-white striped cup into the bowl.</x:v>
      </x:c>
      <x:c r="D61" s="7" t="str">
        <x:v>P1 white cup A (O, UR); P2 brown cup B (C, UD); P3 yellow-white striped cup A (O, UR) [TARGET]; P4 glass spice container B (O, UD) [NEUTRAL REPLACEMENT]</x:v>
      </x:c>
      <x:c r="E61" s="8" t="n">
        <x:v>58</x:v>
      </x:c>
      <x:c r="F61" s="8" t="str">
        <x:v>yellow-white striped cup A</x:v>
      </x:c>
      <x:c r="G61" s="7"/>
      <x:c r="H61" s="8" t="str">
        <x:v>Language robustness</x:v>
      </x:c>
      <x:c r="I61" s="8" t="str">
        <x:v>SR-F15</x:v>
      </x:c>
      <x:c r="J61" s="8" t="str">
        <x:v>upright</x:v>
      </x:c>
      <x:c r="K61" s="8" t="n">
        <x:v>4</x:v>
      </x:c>
      <x:c r="L61" s="8" t="str">
        <x:v>4 — Exact-scene control paraphrase — Paraphrase of matched-control prompt</x:v>
      </x:c>
      <x:c r="M61" s="8" t="n">
        <x:v>15</x:v>
      </x:c>
      <x:c r="N61" s="7" t="str">
        <x:v>Reset only the moved target; change only the prompt wording.</x:v>
      </x:c>
      <x:c r="O61" s="7" t="str">
        <x:v>Exact-scene language pair for the category-only matched control.</x:v>
      </x:c>
      <x:c r="P61" s="7"/>
    </x:row>
    <x:row r="62" ht="60" customHeight="1">
      <x:c r="A62" s="9" t="str">
        <x:v>Not collected</x:v>
      </x:c>
      <x:c r="B62" s="9" t="n">
        <x:v>60</x:v>
      </x:c>
      <x:c r="C62" s="10" t="str">
        <x:v>Place the upside-down brown cup in the bowl.</x:v>
      </x:c>
      <x:c r="D62" s="10" t="str">
        <x:v>P1 brown cup A (C, UR) [STATE COMPETITOR]; P2 white cup A (O, UR); P3 yellow-white striped cup B (C, UD); P4 brown cup B (C, UD) [TARGET]</x:v>
      </x:c>
      <x:c r="E62" s="9"/>
      <x:c r="F62" s="9" t="str">
        <x:v>brown cup B</x:v>
      </x:c>
      <x:c r="G62" s="10"/>
      <x:c r="H62" s="9" t="str">
        <x:v>Concept/compositional transfer</x:v>
      </x:c>
      <x:c r="I62" s="9" t="str">
        <x:v>SR-F16</x:v>
      </x:c>
      <x:c r="J62" s="9" t="str">
        <x:v>upside-down</x:v>
      </x:c>
      <x:c r="K62" s="9" t="n">
        <x:v>4</x:v>
      </x:c>
      <x:c r="L62" s="9" t="str">
        <x:v>1 — Canonical transfer — Seen state word in a new scene (upside-down)</x:v>
      </x:c>
      <x:c r="M62" s="9" t="n">
        <x:v>16</x:v>
      </x:c>
      <x:c r="N62" s="10" t="str">
        <x:v>Build the marked same-category discrimination scene. Save a first-frame image or filename.</x:v>
      </x:c>
      <x:c r="O62" s="10" t="str">
        <x:v>Two objects match the named category; only the state word selects the target. Target and competitor differ only on the queried state axis.</x:v>
      </x:c>
      <x:c r="P62" s="10"/>
    </x:row>
    <x:row r="63" ht="60" customHeight="1">
      <x:c r="A63" s="8" t="str">
        <x:v>Not collected</x:v>
      </x:c>
      <x:c r="B63" s="8" t="n">
        <x:v>61</x:v>
      </x:c>
      <x:c r="C63" s="7" t="str">
        <x:v>Put the upright brown cup in the bowl.</x:v>
      </x:c>
      <x:c r="D63" s="7" t="str">
        <x:v>P1 brown cup A (C, UR) [TARGET]; P2 white cup A (O, UR); P3 yellow-white striped cup B (C, UD); P4 brown cup B (C, UD) [STATE COMPETITOR]</x:v>
      </x:c>
      <x:c r="E63" s="8" t="n">
        <x:v>60</x:v>
      </x:c>
      <x:c r="F63" s="8" t="str">
        <x:v>brown cup A</x:v>
      </x:c>
      <x:c r="G63" s="7"/>
      <x:c r="H63" s="8" t="str">
        <x:v>Exact-scene opposite-state contrast</x:v>
      </x:c>
      <x:c r="I63" s="8" t="str">
        <x:v>SR-F16</x:v>
      </x:c>
      <x:c r="J63" s="8" t="str">
        <x:v>upright</x:v>
      </x:c>
      <x:c r="K63" s="8" t="n">
        <x:v>4</x:v>
      </x:c>
      <x:c r="L63" s="8" t="str">
        <x:v>2 — Exact-scene opposite-state contrast — State-word counterfactual (upside-down→upright)</x:v>
      </x:c>
      <x:c r="M63" s="8" t="n">
        <x:v>16</x:v>
      </x:c>
      <x:c r="N63" s="7" t="str">
        <x:v>Reset the canonical target to its marked position. Preserve every object and state; change only the queried state word and expected target.</x:v>
      </x:c>
      <x:c r="O63" s="7" t="str">
        <x:v>Exact-scene semantic counterfactual. The state word switches to the opposite state and the correct target switches to the other same-category instance.</x:v>
      </x:c>
      <x:c r="P63" s="7"/>
    </x:row>
    <x:row r="64" ht="60" customHeight="1">
      <x:c r="A64" s="8" t="str">
        <x:v>Not collected</x:v>
      </x:c>
      <x:c r="B64" s="8" t="n">
        <x:v>62</x:v>
      </x:c>
      <x:c r="C64" s="7" t="str">
        <x:v>Place the brown cup in the bowl.</x:v>
      </x:c>
      <x:c r="D64" s="7" t="str">
        <x:v>P1 glass spice container A (C, UR) [NEUTRAL REPLACEMENT]; P2 white cup A (O, UR); P3 yellow-white striped cup B (C, UD); P4 brown cup B (C, UD) [TARGET]</x:v>
      </x:c>
      <x:c r="E64" s="8" t="n">
        <x:v>60</x:v>
      </x:c>
      <x:c r="F64" s="8" t="str">
        <x:v>brown cup B</x:v>
      </x:c>
      <x:c r="G64" s="7"/>
      <x:c r="H64" s="8" t="str">
        <x:v>Matched manipulation control</x:v>
      </x:c>
      <x:c r="I64" s="8" t="str">
        <x:v>SR-F16</x:v>
      </x:c>
      <x:c r="J64" s="8" t="str">
        <x:v>upside-down</x:v>
      </x:c>
      <x:c r="K64" s="8" t="n">
        <x:v>4</x:v>
      </x:c>
      <x:c r="L64" s="8" t="str">
        <x:v>3 — Matched control — Category-only control with 4 objects</x:v>
      </x:c>
      <x:c r="M64" s="8" t="n">
        <x:v>16</x:v>
      </x:c>
      <x:c r="N64" s="7" t="str">
        <x:v>Reset the target; replace the same-category state competitor with glass spice container A at the same position. Keep object count, other objects, camera, and bowl fixed.</x:v>
      </x:c>
      <x:c r="O64" s="7" t="str">
        <x:v>The neutral replacement removes category ambiguity without changing the three- or four-object set size.</x:v>
      </x:c>
      <x:c r="P64" s="7"/>
    </x:row>
    <x:row r="65" ht="60" customHeight="1">
      <x:c r="A65" s="8" t="str">
        <x:v>Not collected</x:v>
      </x:c>
      <x:c r="B65" s="8" t="n">
        <x:v>63</x:v>
      </x:c>
      <x:c r="C65" s="7" t="str">
        <x:v>Pick up the brown cup and place it in the bowl.</x:v>
      </x:c>
      <x:c r="D65" s="7" t="str">
        <x:v>P1 glass spice container A (C, UR) [NEUTRAL REPLACEMENT]; P2 white cup A (O, UR); P3 yellow-white striped cup B (C, UD); P4 brown cup B (C, UD) [TARGET]</x:v>
      </x:c>
      <x:c r="E65" s="8" t="n">
        <x:v>62</x:v>
      </x:c>
      <x:c r="F65" s="8" t="str">
        <x:v>brown cup B</x:v>
      </x:c>
      <x:c r="G65" s="7"/>
      <x:c r="H65" s="8" t="str">
        <x:v>Language robustness</x:v>
      </x:c>
      <x:c r="I65" s="8" t="str">
        <x:v>SR-F16</x:v>
      </x:c>
      <x:c r="J65" s="8" t="str">
        <x:v>upside-down</x:v>
      </x:c>
      <x:c r="K65" s="8" t="n">
        <x:v>4</x:v>
      </x:c>
      <x:c r="L65" s="8" t="str">
        <x:v>4 — Exact-scene control paraphrase — Paraphrase of matched-control prompt</x:v>
      </x:c>
      <x:c r="M65" s="8" t="n">
        <x:v>16</x:v>
      </x:c>
      <x:c r="N65" s="7" t="str">
        <x:v>Reset only the moved target; change only the prompt wording.</x:v>
      </x:c>
      <x:c r="O65" s="7" t="str">
        <x:v>Exact-scene language pair for the category-only matched control.</x:v>
      </x:c>
      <x:c r="P65" s="7"/>
    </x:row>
    <x:row r="66" ht="60" customHeight="1">
      <x:c r="A66" s="9" t="str">
        <x:v>Not collected</x:v>
      </x:c>
      <x:c r="B66" s="9" t="n">
        <x:v>64</x:v>
      </x:c>
      <x:c r="C66" s="10" t="str">
        <x:v>Put the closed white cup in the bowl.</x:v>
      </x:c>
      <x:c r="D66" s="10" t="str">
        <x:v>P1 white cup A (C, UR) [TARGET]; P2 white cup B (O, UR) [STATE COMPETITOR]; P3 yellow-white striped cup A (O, UR); P4 brown cup B (C, UD)</x:v>
      </x:c>
      <x:c r="E66" s="9"/>
      <x:c r="F66" s="9" t="str">
        <x:v>white cup A</x:v>
      </x:c>
      <x:c r="G66" s="10"/>
      <x:c r="H66" s="9" t="str">
        <x:v>Concept/compositional transfer</x:v>
      </x:c>
      <x:c r="I66" s="9" t="str">
        <x:v>SR-F17</x:v>
      </x:c>
      <x:c r="J66" s="9" t="str">
        <x:v>closed</x:v>
      </x:c>
      <x:c r="K66" s="9" t="n">
        <x:v>4</x:v>
      </x:c>
      <x:c r="L66" s="9" t="str">
        <x:v>1 — Canonical transfer — Held-out state word + known category (closed)</x:v>
      </x:c>
      <x:c r="M66" s="9" t="n">
        <x:v>17</x:v>
      </x:c>
      <x:c r="N66" s="10" t="str">
        <x:v>Build the marked same-category discrimination scene. Save a first-frame image or filename.</x:v>
      </x:c>
      <x:c r="O66" s="10" t="str">
        <x:v>Two objects match the named category; only the state word selects the target. Target and competitor differ only on the queried state axis.</x:v>
      </x:c>
      <x:c r="P66" s="10"/>
    </x:row>
    <x:row r="67" ht="60" customHeight="1">
      <x:c r="A67" s="8" t="str">
        <x:v>Not collected</x:v>
      </x:c>
      <x:c r="B67" s="8" t="n">
        <x:v>65</x:v>
      </x:c>
      <x:c r="C67" s="7" t="str">
        <x:v>Move the open white cup into the bowl.</x:v>
      </x:c>
      <x:c r="D67" s="7" t="str">
        <x:v>P1 white cup A (C, UR) [STATE COMPETITOR]; P2 white cup B (O, UR) [TARGET]; P3 yellow-white striped cup A (O, UR); P4 brown cup B (C, UD)</x:v>
      </x:c>
      <x:c r="E67" s="8" t="n">
        <x:v>64</x:v>
      </x:c>
      <x:c r="F67" s="8" t="str">
        <x:v>white cup B</x:v>
      </x:c>
      <x:c r="G67" s="7"/>
      <x:c r="H67" s="8" t="str">
        <x:v>Exact-scene opposite-state contrast</x:v>
      </x:c>
      <x:c r="I67" s="8" t="str">
        <x:v>SR-F17</x:v>
      </x:c>
      <x:c r="J67" s="8" t="str">
        <x:v>open</x:v>
      </x:c>
      <x:c r="K67" s="8" t="n">
        <x:v>4</x:v>
      </x:c>
      <x:c r="L67" s="8" t="str">
        <x:v>2 — Exact-scene opposite-state contrast — State-word counterfactual (closed→open)</x:v>
      </x:c>
      <x:c r="M67" s="8" t="n">
        <x:v>17</x:v>
      </x:c>
      <x:c r="N67" s="7" t="str">
        <x:v>Reset the canonical target to its marked position. Preserve every object and state; change only the queried state word and expected target.</x:v>
      </x:c>
      <x:c r="O67" s="7" t="str">
        <x:v>Exact-scene semantic counterfactual. The state word switches to the opposite state and the correct target switches to the other same-category instance.</x:v>
      </x:c>
      <x:c r="P67" s="7"/>
    </x:row>
    <x:row r="68" ht="60" customHeight="1">
      <x:c r="A68" s="8" t="str">
        <x:v>Not collected</x:v>
      </x:c>
      <x:c r="B68" s="8" t="n">
        <x:v>66</x:v>
      </x:c>
      <x:c r="C68" s="7" t="str">
        <x:v>Put the white cup in the bowl.</x:v>
      </x:c>
      <x:c r="D68" s="7" t="str">
        <x:v>P1 white cup A (C, UR) [TARGET]; P2 glass spice container B (O, UR) [NEUTRAL REPLACEMENT]; P3 yellow-white striped cup A (O, UR); P4 brown cup B (C, UD)</x:v>
      </x:c>
      <x:c r="E68" s="8" t="n">
        <x:v>64</x:v>
      </x:c>
      <x:c r="F68" s="8" t="str">
        <x:v>white cup A</x:v>
      </x:c>
      <x:c r="G68" s="7"/>
      <x:c r="H68" s="8" t="str">
        <x:v>Matched manipulation control</x:v>
      </x:c>
      <x:c r="I68" s="8" t="str">
        <x:v>SR-F17</x:v>
      </x:c>
      <x:c r="J68" s="8" t="str">
        <x:v>closed</x:v>
      </x:c>
      <x:c r="K68" s="8" t="n">
        <x:v>4</x:v>
      </x:c>
      <x:c r="L68" s="8" t="str">
        <x:v>3 — Matched control — Category-only control with 4 objects</x:v>
      </x:c>
      <x:c r="M68" s="8" t="n">
        <x:v>17</x:v>
      </x:c>
      <x:c r="N68" s="7" t="str">
        <x:v>Reset the target; replace the same-category state competitor with glass spice container B at the same position. Keep object count, other objects, camera, and bowl fixed.</x:v>
      </x:c>
      <x:c r="O68" s="7" t="str">
        <x:v>The neutral replacement removes category ambiguity without changing the three- or four-object set size.</x:v>
      </x:c>
      <x:c r="P68" s="7"/>
    </x:row>
    <x:row r="69" ht="60" customHeight="1">
      <x:c r="A69" s="8" t="str">
        <x:v>Not collected</x:v>
      </x:c>
      <x:c r="B69" s="8" t="n">
        <x:v>67</x:v>
      </x:c>
      <x:c r="C69" s="7" t="str">
        <x:v>Move the white cup over to the bowl.</x:v>
      </x:c>
      <x:c r="D69" s="7" t="str">
        <x:v>P1 white cup A (C, UR) [TARGET]; P2 glass spice container B (O, UR) [NEUTRAL REPLACEMENT]; P3 yellow-white striped cup A (O, UR); P4 brown cup B (C, UD)</x:v>
      </x:c>
      <x:c r="E69" s="8" t="n">
        <x:v>66</x:v>
      </x:c>
      <x:c r="F69" s="8" t="str">
        <x:v>white cup A</x:v>
      </x:c>
      <x:c r="G69" s="7"/>
      <x:c r="H69" s="8" t="str">
        <x:v>Language robustness</x:v>
      </x:c>
      <x:c r="I69" s="8" t="str">
        <x:v>SR-F17</x:v>
      </x:c>
      <x:c r="J69" s="8" t="str">
        <x:v>closed</x:v>
      </x:c>
      <x:c r="K69" s="8" t="n">
        <x:v>4</x:v>
      </x:c>
      <x:c r="L69" s="8" t="str">
        <x:v>4 — Exact-scene control paraphrase — Paraphrase of matched-control prompt</x:v>
      </x:c>
      <x:c r="M69" s="8" t="n">
        <x:v>17</x:v>
      </x:c>
      <x:c r="N69" s="7" t="str">
        <x:v>Reset only the moved target; change only the prompt wording.</x:v>
      </x:c>
      <x:c r="O69" s="7" t="str">
        <x:v>Exact-scene language pair for the category-only matched control.</x:v>
      </x:c>
      <x:c r="P69" s="7"/>
    </x:row>
    <x:row r="70" ht="60" customHeight="1">
      <x:c r="A70" s="9" t="str">
        <x:v>Not collected</x:v>
      </x:c>
      <x:c r="B70" s="9" t="n">
        <x:v>68</x:v>
      </x:c>
      <x:c r="C70" s="10" t="str">
        <x:v>Move the open yellow-white striped cup into the bowl.</x:v>
      </x:c>
      <x:c r="D70" s="10" t="str">
        <x:v>P1 white cup B (C, UD); P2 yellow-white striped cup B (O, UD) [TARGET]; P3 yellow-white striped cup A (C, UD) [STATE COMPETITOR]; P4 brown cup A (O, UR)</x:v>
      </x:c>
      <x:c r="E70" s="9"/>
      <x:c r="F70" s="9" t="str">
        <x:v>yellow-white striped cup B</x:v>
      </x:c>
      <x:c r="G70" s="10"/>
      <x:c r="H70" s="9" t="str">
        <x:v>Concept/compositional transfer</x:v>
      </x:c>
      <x:c r="I70" s="9" t="str">
        <x:v>SR-F18</x:v>
      </x:c>
      <x:c r="J70" s="9" t="str">
        <x:v>open</x:v>
      </x:c>
      <x:c r="K70" s="9" t="n">
        <x:v>4</x:v>
      </x:c>
      <x:c r="L70" s="9" t="str">
        <x:v>1 — Canonical transfer — Seen state word in a new scene (open)</x:v>
      </x:c>
      <x:c r="M70" s="9" t="n">
        <x:v>18</x:v>
      </x:c>
      <x:c r="N70" s="10" t="str">
        <x:v>Build the marked same-category discrimination scene. Save a first-frame image or filename.</x:v>
      </x:c>
      <x:c r="O70" s="10" t="str">
        <x:v>Two objects match the named category; only the state word selects the target. Target and competitor differ only on the queried state axis.</x:v>
      </x:c>
      <x:c r="P70" s="10"/>
    </x:row>
    <x:row r="71" ht="60" customHeight="1">
      <x:c r="A71" s="8" t="str">
        <x:v>Not collected</x:v>
      </x:c>
      <x:c r="B71" s="8" t="n">
        <x:v>69</x:v>
      </x:c>
      <x:c r="C71" s="7" t="str">
        <x:v>Place the closed yellow-white striped cup in the bowl.</x:v>
      </x:c>
      <x:c r="D71" s="7" t="str">
        <x:v>P1 white cup B (C, UD); P2 yellow-white striped cup B (O, UD) [STATE COMPETITOR]; P3 yellow-white striped cup A (C, UD) [TARGET]; P4 brown cup A (O, UR)</x:v>
      </x:c>
      <x:c r="E71" s="8" t="n">
        <x:v>68</x:v>
      </x:c>
      <x:c r="F71" s="8" t="str">
        <x:v>yellow-white striped cup A</x:v>
      </x:c>
      <x:c r="G71" s="7"/>
      <x:c r="H71" s="8" t="str">
        <x:v>Exact-scene opposite-state contrast</x:v>
      </x:c>
      <x:c r="I71" s="8" t="str">
        <x:v>SR-F18</x:v>
      </x:c>
      <x:c r="J71" s="8" t="str">
        <x:v>closed</x:v>
      </x:c>
      <x:c r="K71" s="8" t="n">
        <x:v>4</x:v>
      </x:c>
      <x:c r="L71" s="8" t="str">
        <x:v>2 — Exact-scene opposite-state contrast — State-word counterfactual (open→closed)</x:v>
      </x:c>
      <x:c r="M71" s="8" t="n">
        <x:v>18</x:v>
      </x:c>
      <x:c r="N71" s="7" t="str">
        <x:v>Reset the canonical target to its marked position. Preserve every object and state; change only the queried state word and expected target.</x:v>
      </x:c>
      <x:c r="O71" s="7" t="str">
        <x:v>Exact-scene semantic counterfactual. The state word switches to the opposite state and the correct target switches to the other same-category instance.</x:v>
      </x:c>
      <x:c r="P71" s="7"/>
    </x:row>
    <x:row r="72" ht="60" customHeight="1">
      <x:c r="A72" s="8" t="str">
        <x:v>Not collected</x:v>
      </x:c>
      <x:c r="B72" s="8" t="n">
        <x:v>70</x:v>
      </x:c>
      <x:c r="C72" s="7" t="str">
        <x:v>Move the yellow-white striped cup into the bowl.</x:v>
      </x:c>
      <x:c r="D72" s="7" t="str">
        <x:v>P1 white cup B (C, UD); P2 yellow-white striped cup B (O, UD) [TARGET]; P3 glass spice container A (C, UD) [NEUTRAL REPLACEMENT]; P4 brown cup A (O, UR)</x:v>
      </x:c>
      <x:c r="E72" s="8" t="n">
        <x:v>68</x:v>
      </x:c>
      <x:c r="F72" s="8" t="str">
        <x:v>yellow-white striped cup B</x:v>
      </x:c>
      <x:c r="G72" s="7"/>
      <x:c r="H72" s="8" t="str">
        <x:v>Matched manipulation control</x:v>
      </x:c>
      <x:c r="I72" s="8" t="str">
        <x:v>SR-F18</x:v>
      </x:c>
      <x:c r="J72" s="8" t="str">
        <x:v>open</x:v>
      </x:c>
      <x:c r="K72" s="8" t="n">
        <x:v>4</x:v>
      </x:c>
      <x:c r="L72" s="8" t="str">
        <x:v>3 — Matched control — Category-only control with 4 objects</x:v>
      </x:c>
      <x:c r="M72" s="8" t="n">
        <x:v>18</x:v>
      </x:c>
      <x:c r="N72" s="7" t="str">
        <x:v>Reset the target; replace the same-category state competitor with glass spice container A at the same position. Keep object count, other objects, camera, and bowl fixed.</x:v>
      </x:c>
      <x:c r="O72" s="7" t="str">
        <x:v>The neutral replacement removes category ambiguity without changing the three- or four-object set size.</x:v>
      </x:c>
      <x:c r="P72" s="7"/>
    </x:row>
    <x:row r="73" ht="60" customHeight="1">
      <x:c r="A73" s="8" t="str">
        <x:v>Not collected</x:v>
      </x:c>
      <x:c r="B73" s="8" t="n">
        <x:v>71</x:v>
      </x:c>
      <x:c r="C73" s="7" t="str">
        <x:v>Put the yellow-white striped cup inside the bowl.</x:v>
      </x:c>
      <x:c r="D73" s="7" t="str">
        <x:v>P1 white cup B (C, UD); P2 yellow-white striped cup B (O, UD) [TARGET]; P3 glass spice container A (C, UD) [NEUTRAL REPLACEMENT]; P4 brown cup A (O, UR)</x:v>
      </x:c>
      <x:c r="E73" s="8" t="n">
        <x:v>70</x:v>
      </x:c>
      <x:c r="F73" s="8" t="str">
        <x:v>yellow-white striped cup B</x:v>
      </x:c>
      <x:c r="G73" s="7"/>
      <x:c r="H73" s="8" t="str">
        <x:v>Language robustness</x:v>
      </x:c>
      <x:c r="I73" s="8" t="str">
        <x:v>SR-F18</x:v>
      </x:c>
      <x:c r="J73" s="8" t="str">
        <x:v>open</x:v>
      </x:c>
      <x:c r="K73" s="8" t="n">
        <x:v>4</x:v>
      </x:c>
      <x:c r="L73" s="8" t="str">
        <x:v>4 — Exact-scene control paraphrase — Paraphrase of matched-control prompt</x:v>
      </x:c>
      <x:c r="M73" s="8" t="n">
        <x:v>18</x:v>
      </x:c>
      <x:c r="N73" s="7" t="str">
        <x:v>Reset only the moved target; change only the prompt wording.</x:v>
      </x:c>
      <x:c r="O73" s="7" t="str">
        <x:v>Exact-scene language pair for the category-only matched control.</x:v>
      </x:c>
      <x:c r="P73" s="7"/>
    </x:row>
    <x:row r="74" ht="60" customHeight="1">
      <x:c r="A74" s="9" t="str">
        <x:v>Not collected</x:v>
      </x:c>
      <x:c r="B74" s="9" t="n">
        <x:v>72</x:v>
      </x:c>
      <x:c r="C74" s="10" t="str">
        <x:v>Place the upright brown cup in the bowl.</x:v>
      </x:c>
      <x:c r="D74" s="10" t="str">
        <x:v>P1 white cup A (O, UR); P2 yellow-white striped cup B (C, UD); P3 brown cup A (O, UR) [TARGET]; P4 brown cup B (O, UD) [STATE COMPETITOR]</x:v>
      </x:c>
      <x:c r="E74" s="9"/>
      <x:c r="F74" s="9" t="str">
        <x:v>brown cup A</x:v>
      </x:c>
      <x:c r="G74" s="10"/>
      <x:c r="H74" s="9" t="str">
        <x:v>Concept/compositional transfer</x:v>
      </x:c>
      <x:c r="I74" s="9" t="str">
        <x:v>SR-F19</x:v>
      </x:c>
      <x:c r="J74" s="9" t="str">
        <x:v>upright</x:v>
      </x:c>
      <x:c r="K74" s="9" t="n">
        <x:v>4</x:v>
      </x:c>
      <x:c r="L74" s="9" t="str">
        <x:v>1 — Canonical transfer — Held-out state word + known category (upright)</x:v>
      </x:c>
      <x:c r="M74" s="9" t="n">
        <x:v>19</x:v>
      </x:c>
      <x:c r="N74" s="10" t="str">
        <x:v>Build the marked same-category discrimination scene. Save a first-frame image or filename.</x:v>
      </x:c>
      <x:c r="O74" s="10" t="str">
        <x:v>Two objects match the named category; only the state word selects the target. Target and competitor differ only on the queried state axis.</x:v>
      </x:c>
      <x:c r="P74" s="10"/>
    </x:row>
    <x:row r="75" ht="60" customHeight="1">
      <x:c r="A75" s="8" t="str">
        <x:v>Not collected</x:v>
      </x:c>
      <x:c r="B75" s="8" t="n">
        <x:v>73</x:v>
      </x:c>
      <x:c r="C75" s="7" t="str">
        <x:v>Put the upside-down brown cup in the bowl.</x:v>
      </x:c>
      <x:c r="D75" s="7" t="str">
        <x:v>P1 white cup A (O, UR); P2 yellow-white striped cup B (C, UD); P3 brown cup A (O, UR) [STATE COMPETITOR]; P4 brown cup B (O, UD) [TARGET]</x:v>
      </x:c>
      <x:c r="E75" s="8" t="n">
        <x:v>72</x:v>
      </x:c>
      <x:c r="F75" s="8" t="str">
        <x:v>brown cup B</x:v>
      </x:c>
      <x:c r="G75" s="7"/>
      <x:c r="H75" s="8" t="str">
        <x:v>Exact-scene opposite-state contrast</x:v>
      </x:c>
      <x:c r="I75" s="8" t="str">
        <x:v>SR-F19</x:v>
      </x:c>
      <x:c r="J75" s="8" t="str">
        <x:v>upside-down</x:v>
      </x:c>
      <x:c r="K75" s="8" t="n">
        <x:v>4</x:v>
      </x:c>
      <x:c r="L75" s="8" t="str">
        <x:v>2 — Exact-scene opposite-state contrast — State-word counterfactual (upright→upside-down)</x:v>
      </x:c>
      <x:c r="M75" s="8" t="n">
        <x:v>19</x:v>
      </x:c>
      <x:c r="N75" s="7" t="str">
        <x:v>Reset the canonical target to its marked position. Preserve every object and state; change only the queried state word and expected target.</x:v>
      </x:c>
      <x:c r="O75" s="7" t="str">
        <x:v>Exact-scene semantic counterfactual. The state word switches to the opposite state and the correct target switches to the other same-category instance.</x:v>
      </x:c>
      <x:c r="P75" s="7"/>
    </x:row>
    <x:row r="76" ht="60" customHeight="1">
      <x:c r="A76" s="8" t="str">
        <x:v>Not collected</x:v>
      </x:c>
      <x:c r="B76" s="8" t="n">
        <x:v>74</x:v>
      </x:c>
      <x:c r="C76" s="7" t="str">
        <x:v>Place the brown cup in the bowl.</x:v>
      </x:c>
      <x:c r="D76" s="7" t="str">
        <x:v>P1 white cup A (O, UR); P2 yellow-white striped cup B (C, UD); P3 brown cup A (O, UR) [TARGET]; P4 glass spice container B (O, UD) [NEUTRAL REPLACEMENT]</x:v>
      </x:c>
      <x:c r="E76" s="8" t="n">
        <x:v>72</x:v>
      </x:c>
      <x:c r="F76" s="8" t="str">
        <x:v>brown cup A</x:v>
      </x:c>
      <x:c r="G76" s="7"/>
      <x:c r="H76" s="8" t="str">
        <x:v>Matched manipulation control</x:v>
      </x:c>
      <x:c r="I76" s="8" t="str">
        <x:v>SR-F19</x:v>
      </x:c>
      <x:c r="J76" s="8" t="str">
        <x:v>upright</x:v>
      </x:c>
      <x:c r="K76" s="8" t="n">
        <x:v>4</x:v>
      </x:c>
      <x:c r="L76" s="8" t="str">
        <x:v>3 — Matched control — Category-only control with 4 objects</x:v>
      </x:c>
      <x:c r="M76" s="8" t="n">
        <x:v>19</x:v>
      </x:c>
      <x:c r="N76" s="7" t="str">
        <x:v>Reset the target; replace the same-category state competitor with glass spice container B at the same position. Keep object count, other objects, camera, and bowl fixed.</x:v>
      </x:c>
      <x:c r="O76" s="7" t="str">
        <x:v>The neutral replacement removes category ambiguity without changing the three- or four-object set size.</x:v>
      </x:c>
      <x:c r="P76" s="7"/>
    </x:row>
    <x:row r="77" ht="60" customHeight="1">
      <x:c r="A77" s="8" t="str">
        <x:v>Not collected</x:v>
      </x:c>
      <x:c r="B77" s="8" t="n">
        <x:v>75</x:v>
      </x:c>
      <x:c r="C77" s="7" t="str">
        <x:v>Take the brown cup and set it in the bowl.</x:v>
      </x:c>
      <x:c r="D77" s="7" t="str">
        <x:v>P1 white cup A (O, UR); P2 yellow-white striped cup B (C, UD); P3 brown cup A (O, UR) [TARGET]; P4 glass spice container B (O, UD) [NEUTRAL REPLACEMENT]</x:v>
      </x:c>
      <x:c r="E77" s="8" t="n">
        <x:v>74</x:v>
      </x:c>
      <x:c r="F77" s="8" t="str">
        <x:v>brown cup A</x:v>
      </x:c>
      <x:c r="G77" s="7"/>
      <x:c r="H77" s="8" t="str">
        <x:v>Language robustness</x:v>
      </x:c>
      <x:c r="I77" s="8" t="str">
        <x:v>SR-F19</x:v>
      </x:c>
      <x:c r="J77" s="8" t="str">
        <x:v>upright</x:v>
      </x:c>
      <x:c r="K77" s="8" t="n">
        <x:v>4</x:v>
      </x:c>
      <x:c r="L77" s="8" t="str">
        <x:v>4 — Exact-scene control paraphrase — Paraphrase of matched-control prompt</x:v>
      </x:c>
      <x:c r="M77" s="8" t="n">
        <x:v>19</x:v>
      </x:c>
      <x:c r="N77" s="7" t="str">
        <x:v>Reset only the moved target; change only the prompt wording.</x:v>
      </x:c>
      <x:c r="O77" s="7" t="str">
        <x:v>Exact-scene language pair for the category-only matched control.</x:v>
      </x:c>
      <x:c r="P77" s="7"/>
    </x:row>
    <x:row r="78" ht="60" customHeight="1">
      <x:c r="A78" s="9" t="str">
        <x:v>Not collected</x:v>
      </x:c>
      <x:c r="B78" s="9" t="n">
        <x:v>76</x:v>
      </x:c>
      <x:c r="C78" s="10" t="str">
        <x:v>Put the upside-down glass spice container in the bowl.</x:v>
      </x:c>
      <x:c r="D78" s="10" t="str">
        <x:v>P1 glass spice container A (C, UR) [STATE COMPETITOR]; P2 white cup A (O, UR); P3 yellow-white striped cup B (C, UD); P4 glass spice container B (C, UD) [TARGET]</x:v>
      </x:c>
      <x:c r="E78" s="9"/>
      <x:c r="F78" s="9" t="str">
        <x:v>glass spice container B</x:v>
      </x:c>
      <x:c r="G78" s="10"/>
      <x:c r="H78" s="9" t="str">
        <x:v>Concept/compositional transfer</x:v>
      </x:c>
      <x:c r="I78" s="9" t="str">
        <x:v>SR-F20</x:v>
      </x:c>
      <x:c r="J78" s="9" t="str">
        <x:v>upside-down</x:v>
      </x:c>
      <x:c r="K78" s="9" t="n">
        <x:v>4</x:v>
      </x:c>
      <x:c r="L78" s="9" t="str">
        <x:v>1 — Canonical transfer — Seen state word in a new scene (upside-down)</x:v>
      </x:c>
      <x:c r="M78" s="9" t="n">
        <x:v>20</x:v>
      </x:c>
      <x:c r="N78" s="10" t="str">
        <x:v>Build the marked same-category discrimination scene. Save a first-frame image or filename.</x:v>
      </x:c>
      <x:c r="O78" s="10" t="str">
        <x:v>Two objects match the named category; only the state word selects the target. Target and competitor differ only on the queried state axis.</x:v>
      </x:c>
      <x:c r="P78" s="10"/>
    </x:row>
    <x:row r="79" ht="60" customHeight="1">
      <x:c r="A79" s="8" t="str">
        <x:v>Not collected</x:v>
      </x:c>
      <x:c r="B79" s="8" t="n">
        <x:v>77</x:v>
      </x:c>
      <x:c r="C79" s="7" t="str">
        <x:v>Move the upright glass spice container into the bowl.</x:v>
      </x:c>
      <x:c r="D79" s="7" t="str">
        <x:v>P1 glass spice container A (C, UR) [TARGET]; P2 white cup A (O, UR); P3 yellow-white striped cup B (C, UD); P4 glass spice container B (C, UD) [STATE COMPETITOR]</x:v>
      </x:c>
      <x:c r="E79" s="8" t="n">
        <x:v>76</x:v>
      </x:c>
      <x:c r="F79" s="8" t="str">
        <x:v>glass spice container A</x:v>
      </x:c>
      <x:c r="G79" s="7"/>
      <x:c r="H79" s="8" t="str">
        <x:v>Exact-scene opposite-state contrast</x:v>
      </x:c>
      <x:c r="I79" s="8" t="str">
        <x:v>SR-F20</x:v>
      </x:c>
      <x:c r="J79" s="8" t="str">
        <x:v>upright</x:v>
      </x:c>
      <x:c r="K79" s="8" t="n">
        <x:v>4</x:v>
      </x:c>
      <x:c r="L79" s="8" t="str">
        <x:v>2 — Exact-scene opposite-state contrast — State-word counterfactual (upside-down→upright)</x:v>
      </x:c>
      <x:c r="M79" s="8" t="n">
        <x:v>20</x:v>
      </x:c>
      <x:c r="N79" s="7" t="str">
        <x:v>Reset the canonical target to its marked position. Preserve every object and state; change only the queried state word and expected target.</x:v>
      </x:c>
      <x:c r="O79" s="7" t="str">
        <x:v>Exact-scene semantic counterfactual. The state word switches to the opposite state and the correct target switches to the other same-category instance.</x:v>
      </x:c>
      <x:c r="P79" s="7"/>
    </x:row>
    <x:row r="80" ht="60" customHeight="1">
      <x:c r="A80" s="8" t="str">
        <x:v>Not collected</x:v>
      </x:c>
      <x:c r="B80" s="8" t="n">
        <x:v>78</x:v>
      </x:c>
      <x:c r="C80" s="7" t="str">
        <x:v>Put the glass spice container in the bowl.</x:v>
      </x:c>
      <x:c r="D80" s="7" t="str">
        <x:v>P1 brown cup A (C, UR) [NEUTRAL REPLACEMENT]; P2 white cup A (O, UR); P3 yellow-white striped cup B (C, UD); P4 glass spice container B (C, UD) [TARGET]</x:v>
      </x:c>
      <x:c r="E80" s="8" t="n">
        <x:v>76</x:v>
      </x:c>
      <x:c r="F80" s="8" t="str">
        <x:v>glass spice container B</x:v>
      </x:c>
      <x:c r="G80" s="7"/>
      <x:c r="H80" s="8" t="str">
        <x:v>Matched manipulation control</x:v>
      </x:c>
      <x:c r="I80" s="8" t="str">
        <x:v>SR-F20</x:v>
      </x:c>
      <x:c r="J80" s="8" t="str">
        <x:v>upside-down</x:v>
      </x:c>
      <x:c r="K80" s="8" t="n">
        <x:v>4</x:v>
      </x:c>
      <x:c r="L80" s="8" t="str">
        <x:v>3 — Matched control — Category-only control with 4 objects</x:v>
      </x:c>
      <x:c r="M80" s="8" t="n">
        <x:v>20</x:v>
      </x:c>
      <x:c r="N80" s="7" t="str">
        <x:v>Reset the target; replace the same-category state competitor with brown cup A at the same position. Keep object count, other objects, camera, and bowl fixed.</x:v>
      </x:c>
      <x:c r="O80" s="7" t="str">
        <x:v>The neutral replacement removes category ambiguity without changing the three- or four-object set size.</x:v>
      </x:c>
      <x:c r="P80" s="7"/>
    </x:row>
    <x:row r="81" ht="60" customHeight="1">
      <x:c r="A81" s="8" t="str">
        <x:v>Not collected</x:v>
      </x:c>
      <x:c r="B81" s="8" t="n">
        <x:v>79</x:v>
      </x:c>
      <x:c r="C81" s="7" t="str">
        <x:v>Transfer the glass spice container into the bowl.</x:v>
      </x:c>
      <x:c r="D81" s="7" t="str">
        <x:v>P1 brown cup A (C, UR) [NEUTRAL REPLACEMENT]; P2 white cup A (O, UR); P3 yellow-white striped cup B (C, UD); P4 glass spice container B (C, UD) [TARGET]</x:v>
      </x:c>
      <x:c r="E81" s="8" t="n">
        <x:v>78</x:v>
      </x:c>
      <x:c r="F81" s="8" t="str">
        <x:v>glass spice container B</x:v>
      </x:c>
      <x:c r="G81" s="7"/>
      <x:c r="H81" s="8" t="str">
        <x:v>Language robustness</x:v>
      </x:c>
      <x:c r="I81" s="8" t="str">
        <x:v>SR-F20</x:v>
      </x:c>
      <x:c r="J81" s="8" t="str">
        <x:v>upside-down</x:v>
      </x:c>
      <x:c r="K81" s="8" t="n">
        <x:v>4</x:v>
      </x:c>
      <x:c r="L81" s="8" t="str">
        <x:v>4 — Exact-scene control paraphrase — Paraphrase of matched-control prompt</x:v>
      </x:c>
      <x:c r="M81" s="8" t="n">
        <x:v>20</x:v>
      </x:c>
      <x:c r="N81" s="7" t="str">
        <x:v>Reset only the moved target; change only the prompt wording.</x:v>
      </x:c>
      <x:c r="O81" s="7" t="str">
        <x:v>Exact-scene language pair for the category-only matched control.</x:v>
      </x:c>
      <x:c r="P81" s="7"/>
    </x:row>
    <x:row r="82" ht="60" customHeight="1">
      <x:c r="A82" s="8" t="str">
        <x:v>Not collected</x:v>
      </x:c>
      <x:c r="B82" s="8" t="n">
        <x:v>80</x:v>
      </x:c>
      <x:c r="C82" s="7" t="str">
        <x:v>Move the closed yellow-white striped cup into the bowl.</x:v>
      </x:c>
      <x:c r="D82" s="7" t="str">
        <x:v>P1 yellow-white striped cup A (C, UR) [TARGET]; P2 yellow-white striped cup B (O, UR) [STATE COMPETITOR]; P3 white cup A (O, UR)</x:v>
      </x:c>
      <x:c r="E82" s="8"/>
      <x:c r="F82" s="8" t="str">
        <x:v>yellow-white striped cup A</x:v>
      </x:c>
      <x:c r="G82" s="7"/>
      <x:c r="H82" s="8" t="str">
        <x:v>Concept/compositional transfer</x:v>
      </x:c>
      <x:c r="I82" s="8" t="str">
        <x:v>SR-X01</x:v>
      </x:c>
      <x:c r="J82" s="8" t="str">
        <x:v>closed</x:v>
      </x:c>
      <x:c r="K82" s="8" t="n">
        <x:v>3</x:v>
      </x:c>
      <x:c r="L82" s="8" t="str">
        <x:v>Additional transfer — Additional held-out state + category (closed)</x:v>
      </x:c>
      <x:c r="M82" s="8" t="n">
        <x:v>21</x:v>
      </x:c>
      <x:c r="N82" s="7" t="str">
        <x:v>Build the listed same-category discrimination scene; both category instances must remain present.</x:v>
      </x:c>
      <x:c r="O82" s="7" t="str">
        <x:v>Unpaired primary-transfer coverage. Category and state are both present in the prompt, matching the training prompt structure.</x:v>
      </x:c>
      <x:c r="P82" s="7"/>
    </x:row>
    <x:row r="83" ht="60" customHeight="1">
      <x:c r="A83" s="8" t="str">
        <x:v>Not collected</x:v>
      </x:c>
      <x:c r="B83" s="8" t="n">
        <x:v>81</x:v>
      </x:c>
      <x:c r="C83" s="7" t="str">
        <x:v>Place the closed brown cup in the bowl.</x:v>
      </x:c>
      <x:c r="D83" s="7" t="str">
        <x:v>P1 white cup B (C, UD); P2 brown cup B (C, UD) [TARGET]; P3 brown cup A (O, UD) [STATE COMPETITOR]</x:v>
      </x:c>
      <x:c r="E83" s="8"/>
      <x:c r="F83" s="8" t="str">
        <x:v>brown cup B</x:v>
      </x:c>
      <x:c r="G83" s="7"/>
      <x:c r="H83" s="8" t="str">
        <x:v>Concept/compositional transfer</x:v>
      </x:c>
      <x:c r="I83" s="8" t="str">
        <x:v>SR-X02</x:v>
      </x:c>
      <x:c r="J83" s="8" t="str">
        <x:v>closed</x:v>
      </x:c>
      <x:c r="K83" s="8" t="n">
        <x:v>3</x:v>
      </x:c>
      <x:c r="L83" s="8" t="str">
        <x:v>Additional transfer — Additional held-out state + category (closed)</x:v>
      </x:c>
      <x:c r="M83" s="8" t="n">
        <x:v>22</x:v>
      </x:c>
      <x:c r="N83" s="7" t="str">
        <x:v>Build the listed same-category discrimination scene; both category instances must remain present.</x:v>
      </x:c>
      <x:c r="O83" s="7" t="str">
        <x:v>Unpaired primary-transfer coverage. Category and state are both present in the prompt, matching the training prompt structure.</x:v>
      </x:c>
      <x:c r="P83" s="7"/>
    </x:row>
    <x:row r="84" ht="60" customHeight="1">
      <x:c r="A84" s="8" t="str">
        <x:v>Not collected</x:v>
      </x:c>
      <x:c r="B84" s="8" t="n">
        <x:v>82</x:v>
      </x:c>
      <x:c r="C84" s="7" t="str">
        <x:v>Put the closed glass spice container in the bowl.</x:v>
      </x:c>
      <x:c r="D84" s="7" t="str">
        <x:v>P1 glass spice container B (O, UR) [STATE COMPETITOR]; P2 white cup B (C, UD); P3 glass spice container A (C, UR) [TARGET]</x:v>
      </x:c>
      <x:c r="E84" s="8"/>
      <x:c r="F84" s="8" t="str">
        <x:v>glass spice container A</x:v>
      </x:c>
      <x:c r="G84" s="7"/>
      <x:c r="H84" s="8" t="str">
        <x:v>Concept/compositional transfer</x:v>
      </x:c>
      <x:c r="I84" s="8" t="str">
        <x:v>SR-X03</x:v>
      </x:c>
      <x:c r="J84" s="8" t="str">
        <x:v>closed</x:v>
      </x:c>
      <x:c r="K84" s="8" t="n">
        <x:v>3</x:v>
      </x:c>
      <x:c r="L84" s="8" t="str">
        <x:v>Additional transfer — Additional held-out state + category (closed)</x:v>
      </x:c>
      <x:c r="M84" s="8" t="n">
        <x:v>23</x:v>
      </x:c>
      <x:c r="N84" s="7" t="str">
        <x:v>Build the listed same-category discrimination scene; both category instances must remain present.</x:v>
      </x:c>
      <x:c r="O84" s="7" t="str">
        <x:v>Unpaired primary-transfer coverage. Category and state are both present in the prompt, matching the training prompt structure.</x:v>
      </x:c>
      <x:c r="P84" s="7"/>
    </x:row>
    <x:row r="85" ht="60" customHeight="1">
      <x:c r="A85" s="8" t="str">
        <x:v>Not collected</x:v>
      </x:c>
      <x:c r="B85" s="8" t="n">
        <x:v>83</x:v>
      </x:c>
      <x:c r="C85" s="7" t="str">
        <x:v>Move the closed white cup into the bowl.</x:v>
      </x:c>
      <x:c r="D85" s="7" t="str">
        <x:v>P1 white cup B (C, UD) [TARGET]; P2 white cup A (O, UD) [STATE COMPETITOR]; P3 yellow-white striped cup B (C, UD)</x:v>
      </x:c>
      <x:c r="E85" s="8"/>
      <x:c r="F85" s="8" t="str">
        <x:v>white cup B</x:v>
      </x:c>
      <x:c r="G85" s="7"/>
      <x:c r="H85" s="8" t="str">
        <x:v>Concept/compositional transfer</x:v>
      </x:c>
      <x:c r="I85" s="8" t="str">
        <x:v>SR-X04</x:v>
      </x:c>
      <x:c r="J85" s="8" t="str">
        <x:v>closed</x:v>
      </x:c>
      <x:c r="K85" s="8" t="n">
        <x:v>3</x:v>
      </x:c>
      <x:c r="L85" s="8" t="str">
        <x:v>Additional transfer — Additional held-out state + category (closed)</x:v>
      </x:c>
      <x:c r="M85" s="8" t="n">
        <x:v>24</x:v>
      </x:c>
      <x:c r="N85" s="7" t="str">
        <x:v>Build the listed same-category discrimination scene; both category instances must remain present.</x:v>
      </x:c>
      <x:c r="O85" s="7" t="str">
        <x:v>Unpaired primary-transfer coverage. Category and state are both present in the prompt, matching the training prompt structure.</x:v>
      </x:c>
      <x:c r="P85" s="7"/>
    </x:row>
    <x:row r="86" ht="60" customHeight="1">
      <x:c r="A86" s="8" t="str">
        <x:v>Not collected</x:v>
      </x:c>
      <x:c r="B86" s="8" t="n">
        <x:v>84</x:v>
      </x:c>
      <x:c r="C86" s="7" t="str">
        <x:v>Place the closed yellow-white striped cup in the bowl.</x:v>
      </x:c>
      <x:c r="D86" s="7" t="str">
        <x:v>P1 white cup A (O, UR); P2 yellow-white striped cup A (C, UR) [TARGET]; P3 yellow-white striped cup B (O, UR) [STATE COMPETITOR]</x:v>
      </x:c>
      <x:c r="E86" s="8"/>
      <x:c r="F86" s="8" t="str">
        <x:v>yellow-white striped cup A</x:v>
      </x:c>
      <x:c r="G86" s="7"/>
      <x:c r="H86" s="8" t="str">
        <x:v>Concept/compositional transfer</x:v>
      </x:c>
      <x:c r="I86" s="8" t="str">
        <x:v>SR-X05</x:v>
      </x:c>
      <x:c r="J86" s="8" t="str">
        <x:v>closed</x:v>
      </x:c>
      <x:c r="K86" s="8" t="n">
        <x:v>3</x:v>
      </x:c>
      <x:c r="L86" s="8" t="str">
        <x:v>Additional transfer — Additional held-out state + category (closed)</x:v>
      </x:c>
      <x:c r="M86" s="8" t="n">
        <x:v>25</x:v>
      </x:c>
      <x:c r="N86" s="7" t="str">
        <x:v>Build the listed same-category discrimination scene; both category instances must remain present.</x:v>
      </x:c>
      <x:c r="O86" s="7" t="str">
        <x:v>Unpaired primary-transfer coverage. Category and state are both present in the prompt, matching the training prompt structure.</x:v>
      </x:c>
      <x:c r="P86" s="7"/>
    </x:row>
    <x:row r="87" ht="60" customHeight="1">
      <x:c r="A87" s="8" t="str">
        <x:v>Not collected</x:v>
      </x:c>
      <x:c r="B87" s="8" t="n">
        <x:v>85</x:v>
      </x:c>
      <x:c r="C87" s="7" t="str">
        <x:v>Put the closed brown cup in the bowl.</x:v>
      </x:c>
      <x:c r="D87" s="7" t="str">
        <x:v>P1 brown cup A (O, UD) [STATE COMPETITOR]; P2 white cup A (O, UR); P3 brown cup B (C, UD) [TARGET]</x:v>
      </x:c>
      <x:c r="E87" s="8"/>
      <x:c r="F87" s="8" t="str">
        <x:v>brown cup B</x:v>
      </x:c>
      <x:c r="G87" s="7"/>
      <x:c r="H87" s="8" t="str">
        <x:v>Concept/compositional transfer</x:v>
      </x:c>
      <x:c r="I87" s="8" t="str">
        <x:v>SR-X06</x:v>
      </x:c>
      <x:c r="J87" s="8" t="str">
        <x:v>closed</x:v>
      </x:c>
      <x:c r="K87" s="8" t="n">
        <x:v>3</x:v>
      </x:c>
      <x:c r="L87" s="8" t="str">
        <x:v>Additional transfer — Additional held-out state + category (closed)</x:v>
      </x:c>
      <x:c r="M87" s="8" t="n">
        <x:v>26</x:v>
      </x:c>
      <x:c r="N87" s="7" t="str">
        <x:v>Build the listed same-category discrimination scene; both category instances must remain present.</x:v>
      </x:c>
      <x:c r="O87" s="7" t="str">
        <x:v>Unpaired primary-transfer coverage. Category and state are both present in the prompt, matching the training prompt structure.</x:v>
      </x:c>
      <x:c r="P87" s="7"/>
    </x:row>
    <x:row r="88" ht="60" customHeight="1">
      <x:c r="A88" s="8" t="str">
        <x:v>Not collected</x:v>
      </x:c>
      <x:c r="B88" s="8" t="n">
        <x:v>86</x:v>
      </x:c>
      <x:c r="C88" s="7" t="str">
        <x:v>Move the closed glass spice container into the bowl.</x:v>
      </x:c>
      <x:c r="D88" s="7" t="str">
        <x:v>P1 glass spice container A (C, UR) [TARGET]; P2 glass spice container B (O, UR) [STATE COMPETITOR]; P3 white cup A (O, UR)</x:v>
      </x:c>
      <x:c r="E88" s="8"/>
      <x:c r="F88" s="8" t="str">
        <x:v>glass spice container A</x:v>
      </x:c>
      <x:c r="G88" s="7"/>
      <x:c r="H88" s="8" t="str">
        <x:v>Concept/compositional transfer</x:v>
      </x:c>
      <x:c r="I88" s="8" t="str">
        <x:v>SR-X07</x:v>
      </x:c>
      <x:c r="J88" s="8" t="str">
        <x:v>closed</x:v>
      </x:c>
      <x:c r="K88" s="8" t="n">
        <x:v>3</x:v>
      </x:c>
      <x:c r="L88" s="8" t="str">
        <x:v>Additional transfer — Additional held-out state + category (closed)</x:v>
      </x:c>
      <x:c r="M88" s="8" t="n">
        <x:v>27</x:v>
      </x:c>
      <x:c r="N88" s="7" t="str">
        <x:v>Build the listed same-category discrimination scene; both category instances must remain present.</x:v>
      </x:c>
      <x:c r="O88" s="7" t="str">
        <x:v>Unpaired primary-transfer coverage. Category and state are both present in the prompt, matching the training prompt structure.</x:v>
      </x:c>
      <x:c r="P88" s="7"/>
    </x:row>
    <x:row r="89" ht="60" customHeight="1">
      <x:c r="A89" s="8" t="str">
        <x:v>Not collected</x:v>
      </x:c>
      <x:c r="B89" s="8" t="n">
        <x:v>87</x:v>
      </x:c>
      <x:c r="C89" s="7" t="str">
        <x:v>Place the closed white cup in the bowl.</x:v>
      </x:c>
      <x:c r="D89" s="7" t="str">
        <x:v>P1 yellow-white striped cup B (C, UD); P2 white cup B (C, UD) [TARGET]; P3 white cup A (O, UD) [STATE COMPETITOR]</x:v>
      </x:c>
      <x:c r="E89" s="8"/>
      <x:c r="F89" s="8" t="str">
        <x:v>white cup B</x:v>
      </x:c>
      <x:c r="G89" s="7"/>
      <x:c r="H89" s="8" t="str">
        <x:v>Concept/compositional transfer</x:v>
      </x:c>
      <x:c r="I89" s="8" t="str">
        <x:v>SR-X08</x:v>
      </x:c>
      <x:c r="J89" s="8" t="str">
        <x:v>closed</x:v>
      </x:c>
      <x:c r="K89" s="8" t="n">
        <x:v>3</x:v>
      </x:c>
      <x:c r="L89" s="8" t="str">
        <x:v>Additional transfer — Additional held-out state + category (closed)</x:v>
      </x:c>
      <x:c r="M89" s="8" t="n">
        <x:v>28</x:v>
      </x:c>
      <x:c r="N89" s="7" t="str">
        <x:v>Build the listed same-category discrimination scene; both category instances must remain present.</x:v>
      </x:c>
      <x:c r="O89" s="7" t="str">
        <x:v>Unpaired primary-transfer coverage. Category and state are both present in the prompt, matching the training prompt structure.</x:v>
      </x:c>
      <x:c r="P89" s="7"/>
    </x:row>
    <x:row r="90" ht="60" customHeight="1">
      <x:c r="A90" s="8" t="str">
        <x:v>Not collected</x:v>
      </x:c>
      <x:c r="B90" s="8" t="n">
        <x:v>88</x:v>
      </x:c>
      <x:c r="C90" s="7" t="str">
        <x:v>Put the closed yellow-white striped cup in the bowl.</x:v>
      </x:c>
      <x:c r="D90" s="7" t="str">
        <x:v>P1 yellow-white striped cup B (O, UR) [STATE COMPETITOR]; P2 white cup B (C, UD); P3 yellow-white striped cup A (C, UR) [TARGET]</x:v>
      </x:c>
      <x:c r="E90" s="8"/>
      <x:c r="F90" s="8" t="str">
        <x:v>yellow-white striped cup A</x:v>
      </x:c>
      <x:c r="G90" s="7"/>
      <x:c r="H90" s="8" t="str">
        <x:v>Concept/compositional transfer</x:v>
      </x:c>
      <x:c r="I90" s="8" t="str">
        <x:v>SR-X09</x:v>
      </x:c>
      <x:c r="J90" s="8" t="str">
        <x:v>closed</x:v>
      </x:c>
      <x:c r="K90" s="8" t="n">
        <x:v>3</x:v>
      </x:c>
      <x:c r="L90" s="8" t="str">
        <x:v>Additional transfer — Additional held-out state + category (closed)</x:v>
      </x:c>
      <x:c r="M90" s="8" t="n">
        <x:v>29</x:v>
      </x:c>
      <x:c r="N90" s="7" t="str">
        <x:v>Build the listed same-category discrimination scene; both category instances must remain present.</x:v>
      </x:c>
      <x:c r="O90" s="7" t="str">
        <x:v>Unpaired primary-transfer coverage. Category and state are both present in the prompt, matching the training prompt structure.</x:v>
      </x:c>
      <x:c r="P90" s="7"/>
    </x:row>
    <x:row r="91" ht="60" customHeight="1">
      <x:c r="A91" s="8" t="str">
        <x:v>Not collected</x:v>
      </x:c>
      <x:c r="B91" s="8" t="n">
        <x:v>89</x:v>
      </x:c>
      <x:c r="C91" s="7" t="str">
        <x:v>Move the closed brown cup into the bowl.</x:v>
      </x:c>
      <x:c r="D91" s="7" t="str">
        <x:v>P1 brown cup B (C, UD) [TARGET]; P2 brown cup A (O, UD) [STATE COMPETITOR]; P3 white cup B (C, UD)</x:v>
      </x:c>
      <x:c r="E91" s="8"/>
      <x:c r="F91" s="8" t="str">
        <x:v>brown cup B</x:v>
      </x:c>
      <x:c r="G91" s="7"/>
      <x:c r="H91" s="8" t="str">
        <x:v>Concept/compositional transfer</x:v>
      </x:c>
      <x:c r="I91" s="8" t="str">
        <x:v>SR-X10</x:v>
      </x:c>
      <x:c r="J91" s="8" t="str">
        <x:v>closed</x:v>
      </x:c>
      <x:c r="K91" s="8" t="n">
        <x:v>3</x:v>
      </x:c>
      <x:c r="L91" s="8" t="str">
        <x:v>Additional transfer — Additional held-out state + category (closed)</x:v>
      </x:c>
      <x:c r="M91" s="8" t="n">
        <x:v>30</x:v>
      </x:c>
      <x:c r="N91" s="7" t="str">
        <x:v>Build the listed same-category discrimination scene; both category instances must remain present.</x:v>
      </x:c>
      <x:c r="O91" s="7" t="str">
        <x:v>Unpaired primary-transfer coverage. Category and state are both present in the prompt, matching the training prompt structure.</x:v>
      </x:c>
      <x:c r="P91" s="7"/>
    </x:row>
    <x:row r="92" ht="60" customHeight="1">
      <x:c r="A92" s="8" t="str">
        <x:v>Not collected</x:v>
      </x:c>
      <x:c r="B92" s="8" t="n">
        <x:v>90</x:v>
      </x:c>
      <x:c r="C92" s="7" t="str">
        <x:v>Place the open glass spice container in the bowl.</x:v>
      </x:c>
      <x:c r="D92" s="7" t="str">
        <x:v>P1 white cup A (O, UR); P2 glass spice container A (O, UR) [TARGET]; P3 glass spice container B (C, UR) [STATE COMPETITOR]</x:v>
      </x:c>
      <x:c r="E92" s="8"/>
      <x:c r="F92" s="8" t="str">
        <x:v>glass spice container A</x:v>
      </x:c>
      <x:c r="G92" s="7"/>
      <x:c r="H92" s="8" t="str">
        <x:v>Concept/compositional transfer</x:v>
      </x:c>
      <x:c r="I92" s="8" t="str">
        <x:v>SR-X11</x:v>
      </x:c>
      <x:c r="J92" s="8" t="str">
        <x:v>open</x:v>
      </x:c>
      <x:c r="K92" s="8" t="n">
        <x:v>3</x:v>
      </x:c>
      <x:c r="L92" s="8" t="str">
        <x:v>Additional transfer — Additional seen-state scene transfer (open)</x:v>
      </x:c>
      <x:c r="M92" s="8" t="n">
        <x:v>31</x:v>
      </x:c>
      <x:c r="N92" s="7" t="str">
        <x:v>Build the listed same-category discrimination scene; both category instances must remain present.</x:v>
      </x:c>
      <x:c r="O92" s="7" t="str">
        <x:v>Unpaired primary-transfer coverage. Category and state are both present in the prompt, matching the training prompt structure.</x:v>
      </x:c>
      <x:c r="P92" s="7"/>
    </x:row>
    <x:row r="93" ht="60" customHeight="1">
      <x:c r="A93" s="8" t="str">
        <x:v>Not collected</x:v>
      </x:c>
      <x:c r="B93" s="8" t="n">
        <x:v>91</x:v>
      </x:c>
      <x:c r="C93" s="7" t="str">
        <x:v>Put the open white cup in the bowl.</x:v>
      </x:c>
      <x:c r="D93" s="7" t="str">
        <x:v>P1 white cup A (C, UD) [STATE COMPETITOR]; P2 yellow-white striped cup A (O, UR); P3 brown cup B (C, UD); P4 white cup B (O, UD) [TARGET]</x:v>
      </x:c>
      <x:c r="E93" s="8"/>
      <x:c r="F93" s="8" t="str">
        <x:v>white cup B</x:v>
      </x:c>
      <x:c r="G93" s="7"/>
      <x:c r="H93" s="8" t="str">
        <x:v>Concept/compositional transfer</x:v>
      </x:c>
      <x:c r="I93" s="8" t="str">
        <x:v>SR-X12</x:v>
      </x:c>
      <x:c r="J93" s="8" t="str">
        <x:v>open</x:v>
      </x:c>
      <x:c r="K93" s="8" t="n">
        <x:v>4</x:v>
      </x:c>
      <x:c r="L93" s="8" t="str">
        <x:v>Additional transfer — Additional seen-state scene transfer (open)</x:v>
      </x:c>
      <x:c r="M93" s="8" t="n">
        <x:v>32</x:v>
      </x:c>
      <x:c r="N93" s="7" t="str">
        <x:v>Build the listed same-category discrimination scene; both category instances must remain present.</x:v>
      </x:c>
      <x:c r="O93" s="7" t="str">
        <x:v>Unpaired primary-transfer coverage. Category and state are both present in the prompt, matching the training prompt structure.</x:v>
      </x:c>
      <x:c r="P93" s="7"/>
    </x:row>
    <x:row r="94" ht="60" customHeight="1">
      <x:c r="A94" s="8" t="str">
        <x:v>Not collected</x:v>
      </x:c>
      <x:c r="B94" s="8" t="n">
        <x:v>92</x:v>
      </x:c>
      <x:c r="C94" s="7" t="str">
        <x:v>Move the open yellow-white striped cup into the bowl.</x:v>
      </x:c>
      <x:c r="D94" s="7" t="str">
        <x:v>P1 yellow-white striped cup A (O, UR) [TARGET]; P2 yellow-white striped cup B (C, UR) [STATE COMPETITOR]; P3 white cup A (O, UR); P4 brown cup B (C, UD)</x:v>
      </x:c>
      <x:c r="E94" s="8"/>
      <x:c r="F94" s="8" t="str">
        <x:v>yellow-white striped cup A</x:v>
      </x:c>
      <x:c r="G94" s="7"/>
      <x:c r="H94" s="8" t="str">
        <x:v>Concept/compositional transfer</x:v>
      </x:c>
      <x:c r="I94" s="8" t="str">
        <x:v>SR-X13</x:v>
      </x:c>
      <x:c r="J94" s="8" t="str">
        <x:v>open</x:v>
      </x:c>
      <x:c r="K94" s="8" t="n">
        <x:v>4</x:v>
      </x:c>
      <x:c r="L94" s="8" t="str">
        <x:v>Additional transfer — Additional seen-state scene transfer (open)</x:v>
      </x:c>
      <x:c r="M94" s="8" t="n">
        <x:v>33</x:v>
      </x:c>
      <x:c r="N94" s="7" t="str">
        <x:v>Build the listed same-category discrimination scene; both category instances must remain present.</x:v>
      </x:c>
      <x:c r="O94" s="7" t="str">
        <x:v>Unpaired primary-transfer coverage. Category and state are both present in the prompt, matching the training prompt structure.</x:v>
      </x:c>
      <x:c r="P94" s="7"/>
    </x:row>
    <x:row r="95" ht="60" customHeight="1">
      <x:c r="A95" s="8" t="str">
        <x:v>Not collected</x:v>
      </x:c>
      <x:c r="B95" s="8" t="n">
        <x:v>93</x:v>
      </x:c>
      <x:c r="C95" s="7" t="str">
        <x:v>Place the open brown cup in the bowl.</x:v>
      </x:c>
      <x:c r="D95" s="7" t="str">
        <x:v>P1 white cup B (C, UD); P2 brown cup B (O, UD) [TARGET]; P3 brown cup A (C, UD) [STATE COMPETITOR]; P4 yellow-white striped cup A (O, UR)</x:v>
      </x:c>
      <x:c r="E95" s="8"/>
      <x:c r="F95" s="8" t="str">
        <x:v>brown cup B</x:v>
      </x:c>
      <x:c r="G95" s="7"/>
      <x:c r="H95" s="8" t="str">
        <x:v>Concept/compositional transfer</x:v>
      </x:c>
      <x:c r="I95" s="8" t="str">
        <x:v>SR-X14</x:v>
      </x:c>
      <x:c r="J95" s="8" t="str">
        <x:v>open</x:v>
      </x:c>
      <x:c r="K95" s="8" t="n">
        <x:v>4</x:v>
      </x:c>
      <x:c r="L95" s="8" t="str">
        <x:v>Additional transfer — Additional seen-state scene transfer (open)</x:v>
      </x:c>
      <x:c r="M95" s="8" t="n">
        <x:v>34</x:v>
      </x:c>
      <x:c r="N95" s="7" t="str">
        <x:v>Build the listed same-category discrimination scene; both category instances must remain present.</x:v>
      </x:c>
      <x:c r="O95" s="7" t="str">
        <x:v>Unpaired primary-transfer coverage. Category and state are both present in the prompt, matching the training prompt structure.</x:v>
      </x:c>
      <x:c r="P95" s="7"/>
    </x:row>
    <x:row r="96" ht="60" customHeight="1">
      <x:c r="A96" s="8" t="str">
        <x:v>Not collected</x:v>
      </x:c>
      <x:c r="B96" s="8" t="n">
        <x:v>94</x:v>
      </x:c>
      <x:c r="C96" s="7" t="str">
        <x:v>Put the open glass spice container in the bowl.</x:v>
      </x:c>
      <x:c r="D96" s="7" t="str">
        <x:v>P1 white cup A (O, UR); P2 yellow-white striped cup B (C, UD); P3 glass spice container A (O, UR) [TARGET]; P4 glass spice container B (C, UR) [STATE COMPETITOR]</x:v>
      </x:c>
      <x:c r="E96" s="8"/>
      <x:c r="F96" s="8" t="str">
        <x:v>glass spice container A</x:v>
      </x:c>
      <x:c r="G96" s="7"/>
      <x:c r="H96" s="8" t="str">
        <x:v>Concept/compositional transfer</x:v>
      </x:c>
      <x:c r="I96" s="8" t="str">
        <x:v>SR-X15</x:v>
      </x:c>
      <x:c r="J96" s="8" t="str">
        <x:v>open</x:v>
      </x:c>
      <x:c r="K96" s="8" t="n">
        <x:v>4</x:v>
      </x:c>
      <x:c r="L96" s="8" t="str">
        <x:v>Additional transfer — Additional seen-state scene transfer (open)</x:v>
      </x:c>
      <x:c r="M96" s="8" t="n">
        <x:v>35</x:v>
      </x:c>
      <x:c r="N96" s="7" t="str">
        <x:v>Build the listed same-category discrimination scene; both category instances must remain present.</x:v>
      </x:c>
      <x:c r="O96" s="7" t="str">
        <x:v>Unpaired primary-transfer coverage. Category and state are both present in the prompt, matching the training prompt structure.</x:v>
      </x:c>
      <x:c r="P96" s="7"/>
    </x:row>
    <x:row r="97" ht="60" customHeight="1">
      <x:c r="A97" s="8" t="str">
        <x:v>Not collected</x:v>
      </x:c>
      <x:c r="B97" s="8" t="n">
        <x:v>95</x:v>
      </x:c>
      <x:c r="C97" s="7" t="str">
        <x:v>Move the upright white cup into the bowl.</x:v>
      </x:c>
      <x:c r="D97" s="7" t="str">
        <x:v>P1 white cup A (C, UD) [STATE COMPETITOR]; P2 yellow-white striped cup A (O, UR); P3 brown cup B (C, UD); P4 white cup B (C, UR) [TARGET]</x:v>
      </x:c>
      <x:c r="E97" s="8"/>
      <x:c r="F97" s="8" t="str">
        <x:v>white cup B</x:v>
      </x:c>
      <x:c r="G97" s="7"/>
      <x:c r="H97" s="8" t="str">
        <x:v>Concept/compositional transfer</x:v>
      </x:c>
      <x:c r="I97" s="8" t="str">
        <x:v>SR-X16</x:v>
      </x:c>
      <x:c r="J97" s="8" t="str">
        <x:v>upright</x:v>
      </x:c>
      <x:c r="K97" s="8" t="n">
        <x:v>4</x:v>
      </x:c>
      <x:c r="L97" s="8" t="str">
        <x:v>Additional transfer — Additional held-out state + category (upright)</x:v>
      </x:c>
      <x:c r="M97" s="8" t="n">
        <x:v>36</x:v>
      </x:c>
      <x:c r="N97" s="7" t="str">
        <x:v>Build the listed same-category discrimination scene; both category instances must remain present.</x:v>
      </x:c>
      <x:c r="O97" s="7" t="str">
        <x:v>Unpaired primary-transfer coverage. Category and state are both present in the prompt, matching the training prompt structure.</x:v>
      </x:c>
      <x:c r="P97" s="7"/>
    </x:row>
    <x:row r="98" ht="60" customHeight="1">
      <x:c r="A98" s="8" t="str">
        <x:v>Not collected</x:v>
      </x:c>
      <x:c r="B98" s="8" t="n">
        <x:v>96</x:v>
      </x:c>
      <x:c r="C98" s="7" t="str">
        <x:v>Place the upright yellow-white striped cup in the bowl.</x:v>
      </x:c>
      <x:c r="D98" s="7" t="str">
        <x:v>P1 yellow-white striped cup A (O, UR) [TARGET]; P2 yellow-white striped cup B (O, UD) [STATE COMPETITOR]; P3 white cup A (O, UR); P4 brown cup B (C, UD)</x:v>
      </x:c>
      <x:c r="E98" s="8"/>
      <x:c r="F98" s="8" t="str">
        <x:v>yellow-white striped cup A</x:v>
      </x:c>
      <x:c r="G98" s="7"/>
      <x:c r="H98" s="8" t="str">
        <x:v>Concept/compositional transfer</x:v>
      </x:c>
      <x:c r="I98" s="8" t="str">
        <x:v>SR-X17</x:v>
      </x:c>
      <x:c r="J98" s="8" t="str">
        <x:v>upright</x:v>
      </x:c>
      <x:c r="K98" s="8" t="n">
        <x:v>4</x:v>
      </x:c>
      <x:c r="L98" s="8" t="str">
        <x:v>Additional transfer — Additional held-out state + category (upright)</x:v>
      </x:c>
      <x:c r="M98" s="8" t="n">
        <x:v>37</x:v>
      </x:c>
      <x:c r="N98" s="7" t="str">
        <x:v>Build the listed same-category discrimination scene; both category instances must remain present.</x:v>
      </x:c>
      <x:c r="O98" s="7" t="str">
        <x:v>Unpaired primary-transfer coverage. Category and state are both present in the prompt, matching the training prompt structure.</x:v>
      </x:c>
      <x:c r="P98" s="7"/>
    </x:row>
    <x:row r="99" ht="60" customHeight="1">
      <x:c r="A99" s="8" t="str">
        <x:v>Not collected</x:v>
      </x:c>
      <x:c r="B99" s="8" t="n">
        <x:v>97</x:v>
      </x:c>
      <x:c r="C99" s="7" t="str">
        <x:v>Put the upright brown cup in the bowl.</x:v>
      </x:c>
      <x:c r="D99" s="7" t="str">
        <x:v>P1 white cup B (C, UD); P2 brown cup B (C, UR) [TARGET]; P3 brown cup A (C, UD) [STATE COMPETITOR]; P4 yellow-white striped cup A (O, UR)</x:v>
      </x:c>
      <x:c r="E99" s="8"/>
      <x:c r="F99" s="8" t="str">
        <x:v>brown cup B</x:v>
      </x:c>
      <x:c r="G99" s="7"/>
      <x:c r="H99" s="8" t="str">
        <x:v>Concept/compositional transfer</x:v>
      </x:c>
      <x:c r="I99" s="8" t="str">
        <x:v>SR-X18</x:v>
      </x:c>
      <x:c r="J99" s="8" t="str">
        <x:v>upright</x:v>
      </x:c>
      <x:c r="K99" s="8" t="n">
        <x:v>4</x:v>
      </x:c>
      <x:c r="L99" s="8" t="str">
        <x:v>Additional transfer — Additional held-out state + category (upright)</x:v>
      </x:c>
      <x:c r="M99" s="8" t="n">
        <x:v>38</x:v>
      </x:c>
      <x:c r="N99" s="7" t="str">
        <x:v>Build the listed same-category discrimination scene; both category instances must remain present.</x:v>
      </x:c>
      <x:c r="O99" s="7" t="str">
        <x:v>Unpaired primary-transfer coverage. Category and state are both present in the prompt, matching the training prompt structure.</x:v>
      </x:c>
      <x:c r="P99" s="7"/>
    </x:row>
    <x:row r="100" ht="60" customHeight="1">
      <x:c r="A100" s="8" t="str">
        <x:v>Not collected</x:v>
      </x:c>
      <x:c r="B100" s="8" t="n">
        <x:v>98</x:v>
      </x:c>
      <x:c r="C100" s="7" t="str">
        <x:v>Move the upright glass spice container into the bowl.</x:v>
      </x:c>
      <x:c r="D100" s="7" t="str">
        <x:v>P1 white cup A (O, UR); P2 yellow-white striped cup B (C, UD); P3 glass spice container A (O, UR) [TARGET]; P4 glass spice container B (O, UD) [STATE COMPETITOR]</x:v>
      </x:c>
      <x:c r="E100" s="8"/>
      <x:c r="F100" s="8" t="str">
        <x:v>glass spice container A</x:v>
      </x:c>
      <x:c r="G100" s="7"/>
      <x:c r="H100" s="8" t="str">
        <x:v>Concept/compositional transfer</x:v>
      </x:c>
      <x:c r="I100" s="8" t="str">
        <x:v>SR-X19</x:v>
      </x:c>
      <x:c r="J100" s="8" t="str">
        <x:v>upright</x:v>
      </x:c>
      <x:c r="K100" s="8" t="n">
        <x:v>4</x:v>
      </x:c>
      <x:c r="L100" s="8" t="str">
        <x:v>Additional transfer — Additional held-out state + category (upright)</x:v>
      </x:c>
      <x:c r="M100" s="8" t="n">
        <x:v>39</x:v>
      </x:c>
      <x:c r="N100" s="7" t="str">
        <x:v>Build the listed same-category discrimination scene; both category instances must remain present.</x:v>
      </x:c>
      <x:c r="O100" s="7" t="str">
        <x:v>Unpaired primary-transfer coverage. Category and state are both present in the prompt, matching the training prompt structure.</x:v>
      </x:c>
      <x:c r="P100" s="7"/>
    </x:row>
    <x:row r="101" ht="60" customHeight="1">
      <x:c r="A101" s="8" t="str">
        <x:v>Not collected</x:v>
      </x:c>
      <x:c r="B101" s="8" t="n">
        <x:v>99</x:v>
      </x:c>
      <x:c r="C101" s="7" t="str">
        <x:v>Place the upright white cup in the bowl.</x:v>
      </x:c>
      <x:c r="D101" s="7" t="str">
        <x:v>P1 white cup A (C, UD) [STATE COMPETITOR]; P2 yellow-white striped cup A (O, UR); P3 brown cup B (C, UD); P4 white cup B (C, UR) [TARGET]</x:v>
      </x:c>
      <x:c r="E101" s="8"/>
      <x:c r="F101" s="8" t="str">
        <x:v>white cup B</x:v>
      </x:c>
      <x:c r="G101" s="7"/>
      <x:c r="H101" s="8" t="str">
        <x:v>Concept/compositional transfer</x:v>
      </x:c>
      <x:c r="I101" s="8" t="str">
        <x:v>SR-X20</x:v>
      </x:c>
      <x:c r="J101" s="8" t="str">
        <x:v>upright</x:v>
      </x:c>
      <x:c r="K101" s="8" t="n">
        <x:v>4</x:v>
      </x:c>
      <x:c r="L101" s="8" t="str">
        <x:v>Additional transfer — Additional held-out state + category (upright)</x:v>
      </x:c>
      <x:c r="M101" s="8" t="n">
        <x:v>40</x:v>
      </x:c>
      <x:c r="N101" s="7" t="str">
        <x:v>Build the listed same-category discrimination scene; both category instances must remain present.</x:v>
      </x:c>
      <x:c r="O101" s="7" t="str">
        <x:v>Unpaired primary-transfer coverage. Category and state are both present in the prompt, matching the training prompt structure.</x:v>
      </x:c>
      <x:c r="P101" s="7"/>
    </x:row>
    <x:row r="102" ht="60" customHeight="1">
      <x:c r="A102" s="8" t="str">
        <x:v>Not collected</x:v>
      </x:c>
      <x:c r="B102" s="8" t="n">
        <x:v>100</x:v>
      </x:c>
      <x:c r="C102" s="7" t="str">
        <x:v>Put the upside-down yellow-white striped cup in the bowl.</x:v>
      </x:c>
      <x:c r="D102" s="7" t="str">
        <x:v>P1 yellow-white striped cup A (O, UD) [TARGET]; P2 yellow-white striped cup B (O, UR) [STATE COMPETITOR]; P3 white cup A (O, UR); P4 brown cup B (C, UD)</x:v>
      </x:c>
      <x:c r="E102" s="8"/>
      <x:c r="F102" s="8" t="str">
        <x:v>yellow-white striped cup A</x:v>
      </x:c>
      <x:c r="G102" s="7"/>
      <x:c r="H102" s="8" t="str">
        <x:v>Concept/compositional transfer</x:v>
      </x:c>
      <x:c r="I102" s="8" t="str">
        <x:v>SR-X21</x:v>
      </x:c>
      <x:c r="J102" s="8" t="str">
        <x:v>upside-down</x:v>
      </x:c>
      <x:c r="K102" s="8" t="n">
        <x:v>4</x:v>
      </x:c>
      <x:c r="L102" s="8" t="str">
        <x:v>Additional transfer — Additional seen-state scene transfer (upside-down)</x:v>
      </x:c>
      <x:c r="M102" s="8" t="n">
        <x:v>41</x:v>
      </x:c>
      <x:c r="N102" s="7" t="str">
        <x:v>Build the listed same-category discrimination scene; both category instances must remain present.</x:v>
      </x:c>
      <x:c r="O102" s="7" t="str">
        <x:v>Unpaired primary-transfer coverage. Category and state are both present in the prompt, matching the training prompt structure.</x:v>
      </x:c>
      <x:c r="P102" s="7"/>
    </x:row>
    <x:row r="103" ht="60" customHeight="1">
      <x:c r="A103" s="8" t="str">
        <x:v>Not collected</x:v>
      </x:c>
      <x:c r="B103" s="8" t="n">
        <x:v>101</x:v>
      </x:c>
      <x:c r="C103" s="7" t="str">
        <x:v>Move the upside-down brown cup into the bowl.</x:v>
      </x:c>
      <x:c r="D103" s="7" t="str">
        <x:v>P1 white cup B (C, UD); P2 brown cup B (C, UD) [TARGET]; P3 brown cup A (C, UR) [STATE COMPETITOR]; P4 yellow-white striped cup A (O, UR)</x:v>
      </x:c>
      <x:c r="E103" s="8"/>
      <x:c r="F103" s="8" t="str">
        <x:v>brown cup B</x:v>
      </x:c>
      <x:c r="G103" s="7"/>
      <x:c r="H103" s="8" t="str">
        <x:v>Concept/compositional transfer</x:v>
      </x:c>
      <x:c r="I103" s="8" t="str">
        <x:v>SR-X22</x:v>
      </x:c>
      <x:c r="J103" s="8" t="str">
        <x:v>upside-down</x:v>
      </x:c>
      <x:c r="K103" s="8" t="n">
        <x:v>4</x:v>
      </x:c>
      <x:c r="L103" s="8" t="str">
        <x:v>Additional transfer — Additional seen-state scene transfer (upside-down)</x:v>
      </x:c>
      <x:c r="M103" s="8" t="n">
        <x:v>42</x:v>
      </x:c>
      <x:c r="N103" s="7" t="str">
        <x:v>Build the listed same-category discrimination scene; both category instances must remain present.</x:v>
      </x:c>
      <x:c r="O103" s="7" t="str">
        <x:v>Unpaired primary-transfer coverage. Category and state are both present in the prompt, matching the training prompt structure.</x:v>
      </x:c>
      <x:c r="P103" s="7"/>
    </x:row>
    <x:row r="104" ht="60" customHeight="1">
      <x:c r="A104" s="8" t="str">
        <x:v>Not collected</x:v>
      </x:c>
      <x:c r="B104" s="8" t="n">
        <x:v>102</x:v>
      </x:c>
      <x:c r="C104" s="7" t="str">
        <x:v>Put the upright can in the bowl.</x:v>
      </x:c>
      <x:c r="D104" s="7" t="str">
        <x:v>P1 crushed Coke can (UR) [TARGET]; P2 crushed Pepsi can (UD) [STATE COMPETITOR]; P3 white cup A (O, UD); P4 yellow-white striped cup B (C, UD)</x:v>
      </x:c>
      <x:c r="E104" s="8"/>
      <x:c r="F104" s="8" t="str">
        <x:v>crushed Coke can</x:v>
      </x:c>
      <x:c r="G104" s="7"/>
      <x:c r="H104" s="8" t="str">
        <x:v>Concept/compositional transfer</x:v>
      </x:c>
      <x:c r="I104" s="8" t="str">
        <x:v>SR-CAN01</x:v>
      </x:c>
      <x:c r="J104" s="8" t="str">
        <x:v>upright</x:v>
      </x:c>
      <x:c r="K104" s="8" t="n">
        <x:v>4</x:v>
      </x:c>
      <x:c r="L104" s="8" t="str">
        <x:v>Additional transfer — Cross-task object transfer — can orientation</x:v>
      </x:c>
      <x:c r="M104" s="8" t="n">
        <x:v>43</x:v>
      </x:c>
      <x:c r="N104" s="7" t="str">
        <x:v>Use both crushed cans. One must be upright and the other upside-down; the state word, not brand, selects the target.</x:v>
      </x:c>
      <x:c r="O104" s="7" t="str">
        <x:v>Cans were seen elsewhere in training, so these test cross-task composition rather than global visual novelty. Never assign open/closed to cans.</x:v>
      </x:c>
      <x:c r="P104" s="7"/>
    </x:row>
    <x:row r="105" ht="60" customHeight="1">
      <x:c r="A105" s="8" t="str">
        <x:v>Not collected</x:v>
      </x:c>
      <x:c r="B105" s="8" t="n">
        <x:v>103</x:v>
      </x:c>
      <x:c r="C105" s="7" t="str">
        <x:v>Move the upright can into the bowl.</x:v>
      </x:c>
      <x:c r="D105" s="7" t="str">
        <x:v>P1 yellow-white striped cup B (C, UD); P2 crushed Pepsi can (UR) [TARGET]; P3 crushed Coke can (UD) [STATE COMPETITOR]; P4 brown cup A (O, UD)</x:v>
      </x:c>
      <x:c r="E105" s="8"/>
      <x:c r="F105" s="8" t="str">
        <x:v>crushed Pepsi can</x:v>
      </x:c>
      <x:c r="G105" s="7"/>
      <x:c r="H105" s="8" t="str">
        <x:v>Concept/compositional transfer</x:v>
      </x:c>
      <x:c r="I105" s="8" t="str">
        <x:v>SR-CAN02</x:v>
      </x:c>
      <x:c r="J105" s="8" t="str">
        <x:v>upright</x:v>
      </x:c>
      <x:c r="K105" s="8" t="n">
        <x:v>4</x:v>
      </x:c>
      <x:c r="L105" s="8" t="str">
        <x:v>Additional transfer — Cross-task object transfer — can orientation</x:v>
      </x:c>
      <x:c r="M105" s="8" t="n">
        <x:v>44</x:v>
      </x:c>
      <x:c r="N105" s="7" t="str">
        <x:v>Use both crushed cans. One must be upright and the other upside-down; the state word, not brand, selects the target.</x:v>
      </x:c>
      <x:c r="O105" s="7" t="str">
        <x:v>Cans were seen elsewhere in training, so these test cross-task composition rather than global visual novelty. Never assign open/closed to cans.</x:v>
      </x:c>
      <x:c r="P105" s="7"/>
    </x:row>
    <x:row r="106" ht="60" customHeight="1">
      <x:c r="A106" s="8" t="str">
        <x:v>Not collected</x:v>
      </x:c>
      <x:c r="B106" s="8" t="n">
        <x:v>104</x:v>
      </x:c>
      <x:c r="C106" s="7" t="str">
        <x:v>Place the upright can in the bowl.</x:v>
      </x:c>
      <x:c r="D106" s="7" t="str">
        <x:v>P1 brown cup A (O, UD); P2 glass spice container B (C, UD); P3 crushed Coke can (UR) [TARGET]; P4 crushed Pepsi can (UD) [STATE COMPETITOR]</x:v>
      </x:c>
      <x:c r="E106" s="8"/>
      <x:c r="F106" s="8" t="str">
        <x:v>crushed Coke can</x:v>
      </x:c>
      <x:c r="G106" s="7"/>
      <x:c r="H106" s="8" t="str">
        <x:v>Concept/compositional transfer</x:v>
      </x:c>
      <x:c r="I106" s="8" t="str">
        <x:v>SR-CAN03</x:v>
      </x:c>
      <x:c r="J106" s="8" t="str">
        <x:v>upright</x:v>
      </x:c>
      <x:c r="K106" s="8" t="n">
        <x:v>4</x:v>
      </x:c>
      <x:c r="L106" s="8" t="str">
        <x:v>Additional transfer — Cross-task object transfer — can orientation</x:v>
      </x:c>
      <x:c r="M106" s="8" t="n">
        <x:v>45</x:v>
      </x:c>
      <x:c r="N106" s="7" t="str">
        <x:v>Use both crushed cans. One must be upright and the other upside-down; the state word, not brand, selects the target.</x:v>
      </x:c>
      <x:c r="O106" s="7" t="str">
        <x:v>Cans were seen elsewhere in training, so these test cross-task composition rather than global visual novelty. Never assign open/closed to cans.</x:v>
      </x:c>
      <x:c r="P106" s="7"/>
    </x:row>
    <x:row r="107" ht="60" customHeight="1">
      <x:c r="A107" s="8" t="str">
        <x:v>Not collected</x:v>
      </x:c>
      <x:c r="B107" s="8" t="n">
        <x:v>105</x:v>
      </x:c>
      <x:c r="C107" s="7" t="str">
        <x:v>Put the upright can in the bowl.</x:v>
      </x:c>
      <x:c r="D107" s="7" t="str">
        <x:v>P1 crushed Coke can (UD) [STATE COMPETITOR]; P2 glass spice container A (O, UD); P3 white cup B (C, UD); P4 crushed Pepsi can (UR) [TARGET]</x:v>
      </x:c>
      <x:c r="E107" s="8"/>
      <x:c r="F107" s="8" t="str">
        <x:v>crushed Pepsi can</x:v>
      </x:c>
      <x:c r="G107" s="7"/>
      <x:c r="H107" s="8" t="str">
        <x:v>Concept/compositional transfer</x:v>
      </x:c>
      <x:c r="I107" s="8" t="str">
        <x:v>SR-CAN04</x:v>
      </x:c>
      <x:c r="J107" s="8" t="str">
        <x:v>upright</x:v>
      </x:c>
      <x:c r="K107" s="8" t="n">
        <x:v>4</x:v>
      </x:c>
      <x:c r="L107" s="8" t="str">
        <x:v>Additional transfer — Cross-task object transfer — can orientation</x:v>
      </x:c>
      <x:c r="M107" s="8" t="n">
        <x:v>46</x:v>
      </x:c>
      <x:c r="N107" s="7" t="str">
        <x:v>Use both crushed cans. One must be upright and the other upside-down; the state word, not brand, selects the target.</x:v>
      </x:c>
      <x:c r="O107" s="7" t="str">
        <x:v>Cans were seen elsewhere in training, so these test cross-task composition rather than global visual novelty. Never assign open/closed to cans.</x:v>
      </x:c>
      <x:c r="P107" s="7"/>
    </x:row>
    <x:row r="108" ht="60" customHeight="1">
      <x:c r="A108" s="8" t="str">
        <x:v>Not collected</x:v>
      </x:c>
      <x:c r="B108" s="8" t="n">
        <x:v>106</x:v>
      </x:c>
      <x:c r="C108" s="7" t="str">
        <x:v>Move the upright can into the bowl.</x:v>
      </x:c>
      <x:c r="D108" s="7" t="str">
        <x:v>P1 crushed Coke can (UR) [TARGET]; P2 crushed Pepsi can (UD) [STATE COMPETITOR]; P3 white cup A (O, UD); P4 yellow-white striped cup B (C, UD)</x:v>
      </x:c>
      <x:c r="E108" s="8"/>
      <x:c r="F108" s="8" t="str">
        <x:v>crushed Coke can</x:v>
      </x:c>
      <x:c r="G108" s="7"/>
      <x:c r="H108" s="8" t="str">
        <x:v>Concept/compositional transfer</x:v>
      </x:c>
      <x:c r="I108" s="8" t="str">
        <x:v>SR-CAN05</x:v>
      </x:c>
      <x:c r="J108" s="8" t="str">
        <x:v>upright</x:v>
      </x:c>
      <x:c r="K108" s="8" t="n">
        <x:v>4</x:v>
      </x:c>
      <x:c r="L108" s="8" t="str">
        <x:v>Additional transfer — Cross-task object transfer — can orientation</x:v>
      </x:c>
      <x:c r="M108" s="8" t="n">
        <x:v>47</x:v>
      </x:c>
      <x:c r="N108" s="7" t="str">
        <x:v>Use both crushed cans. One must be upright and the other upside-down; the state word, not brand, selects the target.</x:v>
      </x:c>
      <x:c r="O108" s="7" t="str">
        <x:v>Cans were seen elsewhere in training, so these test cross-task composition rather than global visual novelty. Never assign open/closed to cans.</x:v>
      </x:c>
      <x:c r="P108" s="7"/>
    </x:row>
    <x:row r="109" ht="60" customHeight="1">
      <x:c r="A109" s="8" t="str">
        <x:v>Not collected</x:v>
      </x:c>
      <x:c r="B109" s="8" t="n">
        <x:v>107</x:v>
      </x:c>
      <x:c r="C109" s="7" t="str">
        <x:v>Place the upside-down can in the bowl.</x:v>
      </x:c>
      <x:c r="D109" s="7" t="str">
        <x:v>P1 yellow-white striped cup B (C, UR); P2 crushed Pepsi can (UD) [TARGET]; P3 crushed Coke can (UR) [STATE COMPETITOR]; P4 brown cup A (O, UR)</x:v>
      </x:c>
      <x:c r="E109" s="8"/>
      <x:c r="F109" s="8" t="str">
        <x:v>crushed Pepsi can</x:v>
      </x:c>
      <x:c r="G109" s="7"/>
      <x:c r="H109" s="8" t="str">
        <x:v>Concept/compositional transfer</x:v>
      </x:c>
      <x:c r="I109" s="8" t="str">
        <x:v>SR-CAN06</x:v>
      </x:c>
      <x:c r="J109" s="8" t="str">
        <x:v>upside-down</x:v>
      </x:c>
      <x:c r="K109" s="8" t="n">
        <x:v>4</x:v>
      </x:c>
      <x:c r="L109" s="8" t="str">
        <x:v>Additional transfer — Cross-task object transfer — can orientation</x:v>
      </x:c>
      <x:c r="M109" s="8" t="n">
        <x:v>48</x:v>
      </x:c>
      <x:c r="N109" s="7" t="str">
        <x:v>Use both crushed cans. One must be upright and the other upside-down; the state word, not brand, selects the target.</x:v>
      </x:c>
      <x:c r="O109" s="7" t="str">
        <x:v>Cans were seen elsewhere in training, so these test cross-task composition rather than global visual novelty. Never assign open/closed to cans.</x:v>
      </x:c>
      <x:c r="P109" s="7"/>
    </x:row>
    <x:row r="110" ht="60" customHeight="1">
      <x:c r="A110" s="8" t="str">
        <x:v>Not collected</x:v>
      </x:c>
      <x:c r="B110" s="8" t="n">
        <x:v>108</x:v>
      </x:c>
      <x:c r="C110" s="7" t="str">
        <x:v>Put the upside-down can in the bowl.</x:v>
      </x:c>
      <x:c r="D110" s="7" t="str">
        <x:v>P1 brown cup A (O, UR); P2 glass spice container B (C, UR); P3 crushed Coke can (UD) [TARGET]; P4 crushed Pepsi can (UR) [STATE COMPETITOR]</x:v>
      </x:c>
      <x:c r="E110" s="8"/>
      <x:c r="F110" s="8" t="str">
        <x:v>crushed Coke can</x:v>
      </x:c>
      <x:c r="G110" s="7"/>
      <x:c r="H110" s="8" t="str">
        <x:v>Concept/compositional transfer</x:v>
      </x:c>
      <x:c r="I110" s="8" t="str">
        <x:v>SR-CAN07</x:v>
      </x:c>
      <x:c r="J110" s="8" t="str">
        <x:v>upside-down</x:v>
      </x:c>
      <x:c r="K110" s="8" t="n">
        <x:v>4</x:v>
      </x:c>
      <x:c r="L110" s="8" t="str">
        <x:v>Additional transfer — Cross-task object transfer — can orientation</x:v>
      </x:c>
      <x:c r="M110" s="8" t="n">
        <x:v>49</x:v>
      </x:c>
      <x:c r="N110" s="7" t="str">
        <x:v>Use both crushed cans. One must be upright and the other upside-down; the state word, not brand, selects the target.</x:v>
      </x:c>
      <x:c r="O110" s="7" t="str">
        <x:v>Cans were seen elsewhere in training, so these test cross-task composition rather than global visual novelty. Never assign open/closed to cans.</x:v>
      </x:c>
      <x:c r="P110" s="7"/>
    </x:row>
    <x:row r="111" ht="60" customHeight="1">
      <x:c r="A111" s="8" t="str">
        <x:v>Not collected</x:v>
      </x:c>
      <x:c r="B111" s="8" t="n">
        <x:v>109</x:v>
      </x:c>
      <x:c r="C111" s="7" t="str">
        <x:v>Move the upside-down can into the bowl.</x:v>
      </x:c>
      <x:c r="D111" s="7" t="str">
        <x:v>P1 crushed Coke can (UR) [STATE COMPETITOR]; P2 glass spice container A (O, UR); P3 white cup B (C, UR); P4 crushed Pepsi can (UD) [TARGET]</x:v>
      </x:c>
      <x:c r="E111" s="8"/>
      <x:c r="F111" s="8" t="str">
        <x:v>crushed Pepsi can</x:v>
      </x:c>
      <x:c r="G111" s="7"/>
      <x:c r="H111" s="8" t="str">
        <x:v>Concept/compositional transfer</x:v>
      </x:c>
      <x:c r="I111" s="8" t="str">
        <x:v>SR-CAN08</x:v>
      </x:c>
      <x:c r="J111" s="8" t="str">
        <x:v>upside-down</x:v>
      </x:c>
      <x:c r="K111" s="8" t="n">
        <x:v>4</x:v>
      </x:c>
      <x:c r="L111" s="8" t="str">
        <x:v>Additional transfer — Cross-task object transfer — can orientation</x:v>
      </x:c>
      <x:c r="M111" s="8" t="n">
        <x:v>50</x:v>
      </x:c>
      <x:c r="N111" s="7" t="str">
        <x:v>Use both crushed cans. One must be upright and the other upside-down; the state word, not brand, selects the target.</x:v>
      </x:c>
      <x:c r="O111" s="7" t="str">
        <x:v>Cans were seen elsewhere in training, so these test cross-task composition rather than global visual novelty. Never assign open/closed to cans.</x:v>
      </x:c>
      <x:c r="P111" s="7"/>
    </x:row>
    <x:row r="112" ht="60" customHeight="1">
      <x:c r="A112" s="9" t="str">
        <x:v>Not collected</x:v>
      </x:c>
      <x:c r="B112" s="9" t="n">
        <x:v>110</x:v>
      </x:c>
      <x:c r="C112" s="10" t="str">
        <x:v>Place the open black cup in the bowl.</x:v>
      </x:c>
      <x:c r="D112" s="10" t="str">
        <x:v>P1 black cup A (O, UR) [TARGET]; P2 black cup B (C, UR) [STATE COMPETITOR]; P3 brown cup A (O, UR)</x:v>
      </x:c>
      <x:c r="E112" s="9"/>
      <x:c r="F112" s="9" t="str">
        <x:v>black cup A</x:v>
      </x:c>
      <x:c r="G112" s="10"/>
      <x:c r="H112" s="9" t="str">
        <x:v>Black-cup seen-state baseline</x:v>
      </x:c>
      <x:c r="I112" s="9" t="str">
        <x:v>SR-BLK01</x:v>
      </x:c>
      <x:c r="J112" s="9" t="str">
        <x:v>open</x:v>
      </x:c>
      <x:c r="K112" s="9" t="n">
        <x:v>3</x:v>
      </x:c>
      <x:c r="L112" s="9" t="str">
        <x:v>1 — Seen-state black-cup baseline — Globally unseen category + seen state word (open)</x:v>
      </x:c>
      <x:c r="M112" s="9" t="n">
        <x:v>51</x:v>
      </x:c>
      <x:c r="N112" s="10" t="str">
        <x:v>Build the listed scene with black cups A and B in opposite states on the queried axis.</x:v>
      </x:c>
      <x:c r="O112" s="10" t="str">
        <x:v>The black category is novel, but the state word was explicitly seen during fine-tuning. Two black cups force state-based selection.</x:v>
      </x:c>
      <x:c r="P112" s="10"/>
    </x:row>
    <x:row r="113" ht="60" customHeight="1">
      <x:c r="A113" s="8" t="str">
        <x:v>Not collected</x:v>
      </x:c>
      <x:c r="B113" s="8" t="n">
        <x:v>111</x:v>
      </x:c>
      <x:c r="C113" s="7" t="str">
        <x:v>Place the closed black cup in the bowl.</x:v>
      </x:c>
      <x:c r="D113" s="7" t="str">
        <x:v>P1 black cup A (O, UR) [STATE COMPETITOR]; P2 black cup B (C, UR) [TARGET]; P3 brown cup A (O, UR)</x:v>
      </x:c>
      <x:c r="E113" s="8" t="n">
        <x:v>110</x:v>
      </x:c>
      <x:c r="F113" s="8" t="str">
        <x:v>black cup B</x:v>
      </x:c>
      <x:c r="G113" s="7"/>
      <x:c r="H113" s="8" t="str">
        <x:v>Black-cup held-out-state composition</x:v>
      </x:c>
      <x:c r="I113" s="8" t="str">
        <x:v>SR-BLK01</x:v>
      </x:c>
      <x:c r="J113" s="8" t="str">
        <x:v>closed</x:v>
      </x:c>
      <x:c r="K113" s="8" t="n">
        <x:v>3</x:v>
      </x:c>
      <x:c r="L113" s="8" t="str">
        <x:v>2 — Held-out-state black-cup composition — Globally unseen category + held-out state word (closed)</x:v>
      </x:c>
      <x:c r="M113" s="8" t="n">
        <x:v>51</x:v>
      </x:c>
      <x:c r="N113" s="7" t="str">
        <x:v>Reset black cup A to its marked position. Do not alter any object or state; only change the prompt and expected target.</x:v>
      </x:c>
      <x:c r="O113" s="7" t="str">
        <x:v>Exact-scene comparison against the preceding seen-state baseline. The target switches to the other matched black cup.</x:v>
      </x:c>
      <x:c r="P113" s="7"/>
    </x:row>
    <x:row r="114" ht="60" customHeight="1">
      <x:c r="A114" s="9" t="str">
        <x:v>Not collected</x:v>
      </x:c>
      <x:c r="B114" s="9" t="n">
        <x:v>112</x:v>
      </x:c>
      <x:c r="C114" s="10" t="str">
        <x:v>Put the open black cup in the bowl.</x:v>
      </x:c>
      <x:c r="D114" s="10" t="str">
        <x:v>P1 glass spice container B (C, UD); P2 black cup A (O, UD) [TARGET]; P3 black cup B (C, UD) [STATE COMPETITOR]; P4 white cup A (O, UR)</x:v>
      </x:c>
      <x:c r="E114" s="9"/>
      <x:c r="F114" s="9" t="str">
        <x:v>black cup A</x:v>
      </x:c>
      <x:c r="G114" s="10"/>
      <x:c r="H114" s="9" t="str">
        <x:v>Black-cup seen-state baseline</x:v>
      </x:c>
      <x:c r="I114" s="9" t="str">
        <x:v>SR-BLK02</x:v>
      </x:c>
      <x:c r="J114" s="9" t="str">
        <x:v>open</x:v>
      </x:c>
      <x:c r="K114" s="9" t="n">
        <x:v>4</x:v>
      </x:c>
      <x:c r="L114" s="9" t="str">
        <x:v>1 — Seen-state black-cup baseline — Globally unseen category + seen state word (open)</x:v>
      </x:c>
      <x:c r="M114" s="9" t="n">
        <x:v>52</x:v>
      </x:c>
      <x:c r="N114" s="10" t="str">
        <x:v>Build the listed scene with black cups A and B in opposite states on the queried axis.</x:v>
      </x:c>
      <x:c r="O114" s="10" t="str">
        <x:v>The black category is novel, but the state word was explicitly seen during fine-tuning. Two black cups force state-based selection.</x:v>
      </x:c>
      <x:c r="P114" s="10"/>
    </x:row>
    <x:row r="115" ht="60" customHeight="1">
      <x:c r="A115" s="8" t="str">
        <x:v>Not collected</x:v>
      </x:c>
      <x:c r="B115" s="8" t="n">
        <x:v>113</x:v>
      </x:c>
      <x:c r="C115" s="7" t="str">
        <x:v>Put the closed black cup in the bowl.</x:v>
      </x:c>
      <x:c r="D115" s="7" t="str">
        <x:v>P1 glass spice container B (C, UD); P2 black cup A (O, UD) [STATE COMPETITOR]; P3 black cup B (C, UD) [TARGET]; P4 white cup A (O, UR)</x:v>
      </x:c>
      <x:c r="E115" s="8" t="n">
        <x:v>112</x:v>
      </x:c>
      <x:c r="F115" s="8" t="str">
        <x:v>black cup B</x:v>
      </x:c>
      <x:c r="G115" s="7"/>
      <x:c r="H115" s="8" t="str">
        <x:v>Black-cup held-out-state composition</x:v>
      </x:c>
      <x:c r="I115" s="8" t="str">
        <x:v>SR-BLK02</x:v>
      </x:c>
      <x:c r="J115" s="8" t="str">
        <x:v>closed</x:v>
      </x:c>
      <x:c r="K115" s="8" t="n">
        <x:v>4</x:v>
      </x:c>
      <x:c r="L115" s="8" t="str">
        <x:v>2 — Held-out-state black-cup composition — Globally unseen category + held-out state word (closed)</x:v>
      </x:c>
      <x:c r="M115" s="8" t="n">
        <x:v>52</x:v>
      </x:c>
      <x:c r="N115" s="7" t="str">
        <x:v>Reset black cup A to its marked position. Do not alter any object or state; only change the prompt and expected target.</x:v>
      </x:c>
      <x:c r="O115" s="7" t="str">
        <x:v>Exact-scene comparison against the preceding seen-state baseline. The target switches to the other matched black cup.</x:v>
      </x:c>
      <x:c r="P115" s="7"/>
    </x:row>
    <x:row r="116" ht="60" customHeight="1">
      <x:c r="A116" s="9" t="str">
        <x:v>Not collected</x:v>
      </x:c>
      <x:c r="B116" s="9" t="n">
        <x:v>114</x:v>
      </x:c>
      <x:c r="C116" s="10" t="str">
        <x:v>Move the open black cup into the bowl.</x:v>
      </x:c>
      <x:c r="D116" s="10" t="str">
        <x:v>P1 black cup B (C, UR) [STATE COMPETITOR]; P2 white cup B (C, UD); P3 black cup A (O, UR) [TARGET]</x:v>
      </x:c>
      <x:c r="E116" s="9"/>
      <x:c r="F116" s="9" t="str">
        <x:v>black cup A</x:v>
      </x:c>
      <x:c r="G116" s="10"/>
      <x:c r="H116" s="9" t="str">
        <x:v>Black-cup seen-state baseline</x:v>
      </x:c>
      <x:c r="I116" s="9" t="str">
        <x:v>SR-BLK03</x:v>
      </x:c>
      <x:c r="J116" s="9" t="str">
        <x:v>open</x:v>
      </x:c>
      <x:c r="K116" s="9" t="n">
        <x:v>3</x:v>
      </x:c>
      <x:c r="L116" s="9" t="str">
        <x:v>1 — Seen-state black-cup baseline — Globally unseen category + seen state word (open)</x:v>
      </x:c>
      <x:c r="M116" s="9" t="n">
        <x:v>53</x:v>
      </x:c>
      <x:c r="N116" s="10" t="str">
        <x:v>Build the listed scene with black cups A and B in opposite states on the queried axis.</x:v>
      </x:c>
      <x:c r="O116" s="10" t="str">
        <x:v>The black category is novel, but the state word was explicitly seen during fine-tuning. Two black cups force state-based selection.</x:v>
      </x:c>
      <x:c r="P116" s="10"/>
    </x:row>
    <x:row r="117" ht="60" customHeight="1">
      <x:c r="A117" s="8" t="str">
        <x:v>Not collected</x:v>
      </x:c>
      <x:c r="B117" s="8" t="n">
        <x:v>115</x:v>
      </x:c>
      <x:c r="C117" s="7" t="str">
        <x:v>Move the closed black cup into the bowl.</x:v>
      </x:c>
      <x:c r="D117" s="7" t="str">
        <x:v>P1 black cup B (C, UR) [TARGET]; P2 white cup B (C, UD); P3 black cup A (O, UR) [STATE COMPETITOR]</x:v>
      </x:c>
      <x:c r="E117" s="8" t="n">
        <x:v>114</x:v>
      </x:c>
      <x:c r="F117" s="8" t="str">
        <x:v>black cup B</x:v>
      </x:c>
      <x:c r="G117" s="7"/>
      <x:c r="H117" s="8" t="str">
        <x:v>Black-cup held-out-state composition</x:v>
      </x:c>
      <x:c r="I117" s="8" t="str">
        <x:v>SR-BLK03</x:v>
      </x:c>
      <x:c r="J117" s="8" t="str">
        <x:v>closed</x:v>
      </x:c>
      <x:c r="K117" s="8" t="n">
        <x:v>3</x:v>
      </x:c>
      <x:c r="L117" s="8" t="str">
        <x:v>2 — Held-out-state black-cup composition — Globally unseen category + held-out state word (closed)</x:v>
      </x:c>
      <x:c r="M117" s="8" t="n">
        <x:v>53</x:v>
      </x:c>
      <x:c r="N117" s="7" t="str">
        <x:v>Reset black cup A to its marked position. Do not alter any object or state; only change the prompt and expected target.</x:v>
      </x:c>
      <x:c r="O117" s="7" t="str">
        <x:v>Exact-scene comparison against the preceding seen-state baseline. The target switches to the other matched black cup.</x:v>
      </x:c>
      <x:c r="P117" s="7"/>
    </x:row>
    <x:row r="118" ht="60" customHeight="1">
      <x:c r="A118" s="9" t="str">
        <x:v>Not collected</x:v>
      </x:c>
      <x:c r="B118" s="9" t="n">
        <x:v>116</x:v>
      </x:c>
      <x:c r="C118" s="10" t="str">
        <x:v>Place the open black cup in the bowl.</x:v>
      </x:c>
      <x:c r="D118" s="10" t="str">
        <x:v>P1 black cup B (C, UD) [STATE COMPETITOR]; P2 yellow-white striped cup A (O, UR); P3 brown cup B (C, UD); P4 black cup A (O, UD) [TARGET]</x:v>
      </x:c>
      <x:c r="E118" s="9"/>
      <x:c r="F118" s="9" t="str">
        <x:v>black cup A</x:v>
      </x:c>
      <x:c r="G118" s="10"/>
      <x:c r="H118" s="9" t="str">
        <x:v>Black-cup seen-state baseline</x:v>
      </x:c>
      <x:c r="I118" s="9" t="str">
        <x:v>SR-BLK04</x:v>
      </x:c>
      <x:c r="J118" s="9" t="str">
        <x:v>open</x:v>
      </x:c>
      <x:c r="K118" s="9" t="n">
        <x:v>4</x:v>
      </x:c>
      <x:c r="L118" s="9" t="str">
        <x:v>1 — Seen-state black-cup baseline — Globally unseen category + seen state word (open)</x:v>
      </x:c>
      <x:c r="M118" s="9" t="n">
        <x:v>54</x:v>
      </x:c>
      <x:c r="N118" s="10" t="str">
        <x:v>Build the listed scene with black cups A and B in opposite states on the queried axis.</x:v>
      </x:c>
      <x:c r="O118" s="10" t="str">
        <x:v>The black category is novel, but the state word was explicitly seen during fine-tuning. Two black cups force state-based selection.</x:v>
      </x:c>
      <x:c r="P118" s="10"/>
    </x:row>
    <x:row r="119" ht="60" customHeight="1">
      <x:c r="A119" s="8" t="str">
        <x:v>Not collected</x:v>
      </x:c>
      <x:c r="B119" s="8" t="n">
        <x:v>117</x:v>
      </x:c>
      <x:c r="C119" s="7" t="str">
        <x:v>Place the closed black cup in the bowl.</x:v>
      </x:c>
      <x:c r="D119" s="7" t="str">
        <x:v>P1 black cup B (C, UD) [TARGET]; P2 yellow-white striped cup A (O, UR); P3 brown cup B (C, UD); P4 black cup A (O, UD) [STATE COMPETITOR]</x:v>
      </x:c>
      <x:c r="E119" s="8" t="n">
        <x:v>116</x:v>
      </x:c>
      <x:c r="F119" s="8" t="str">
        <x:v>black cup B</x:v>
      </x:c>
      <x:c r="G119" s="7"/>
      <x:c r="H119" s="8" t="str">
        <x:v>Black-cup held-out-state composition</x:v>
      </x:c>
      <x:c r="I119" s="8" t="str">
        <x:v>SR-BLK04</x:v>
      </x:c>
      <x:c r="J119" s="8" t="str">
        <x:v>closed</x:v>
      </x:c>
      <x:c r="K119" s="8" t="n">
        <x:v>4</x:v>
      </x:c>
      <x:c r="L119" s="8" t="str">
        <x:v>2 — Held-out-state black-cup composition — Globally unseen category + held-out state word (closed)</x:v>
      </x:c>
      <x:c r="M119" s="8" t="n">
        <x:v>54</x:v>
      </x:c>
      <x:c r="N119" s="7" t="str">
        <x:v>Reset black cup A to its marked position. Do not alter any object or state; only change the prompt and expected target.</x:v>
      </x:c>
      <x:c r="O119" s="7" t="str">
        <x:v>Exact-scene comparison against the preceding seen-state baseline. The target switches to the other matched black cup.</x:v>
      </x:c>
      <x:c r="P119" s="7"/>
    </x:row>
    <x:row r="120" ht="60" customHeight="1">
      <x:c r="A120" s="9" t="str">
        <x:v>Not collected</x:v>
      </x:c>
      <x:c r="B120" s="9" t="n">
        <x:v>118</x:v>
      </x:c>
      <x:c r="C120" s="10" t="str">
        <x:v>Put the open black cup in the bowl.</x:v>
      </x:c>
      <x:c r="D120" s="10" t="str">
        <x:v>P1 brown cup A (O, UR); P2 black cup A (O, UR) [TARGET]; P3 black cup B (C, UR) [STATE COMPETITOR]</x:v>
      </x:c>
      <x:c r="E120" s="9"/>
      <x:c r="F120" s="9" t="str">
        <x:v>black cup A</x:v>
      </x:c>
      <x:c r="G120" s="10"/>
      <x:c r="H120" s="9" t="str">
        <x:v>Black-cup seen-state baseline</x:v>
      </x:c>
      <x:c r="I120" s="9" t="str">
        <x:v>SR-BLK05</x:v>
      </x:c>
      <x:c r="J120" s="9" t="str">
        <x:v>open</x:v>
      </x:c>
      <x:c r="K120" s="9" t="n">
        <x:v>3</x:v>
      </x:c>
      <x:c r="L120" s="9" t="str">
        <x:v>1 — Seen-state black-cup baseline — Globally unseen category + seen state word (open)</x:v>
      </x:c>
      <x:c r="M120" s="9" t="n">
        <x:v>55</x:v>
      </x:c>
      <x:c r="N120" s="10" t="str">
        <x:v>Build the listed scene with black cups A and B in opposite states on the queried axis.</x:v>
      </x:c>
      <x:c r="O120" s="10" t="str">
        <x:v>The black category is novel, but the state word was explicitly seen during fine-tuning. Two black cups force state-based selection.</x:v>
      </x:c>
      <x:c r="P120" s="10"/>
    </x:row>
    <x:row r="121" ht="60" customHeight="1">
      <x:c r="A121" s="8" t="str">
        <x:v>Not collected</x:v>
      </x:c>
      <x:c r="B121" s="8" t="n">
        <x:v>119</x:v>
      </x:c>
      <x:c r="C121" s="7" t="str">
        <x:v>Put the closed black cup in the bowl.</x:v>
      </x:c>
      <x:c r="D121" s="7" t="str">
        <x:v>P1 brown cup A (O, UR); P2 black cup A (O, UR) [STATE COMPETITOR]; P3 black cup B (C, UR) [TARGET]</x:v>
      </x:c>
      <x:c r="E121" s="8" t="n">
        <x:v>118</x:v>
      </x:c>
      <x:c r="F121" s="8" t="str">
        <x:v>black cup B</x:v>
      </x:c>
      <x:c r="G121" s="7"/>
      <x:c r="H121" s="8" t="str">
        <x:v>Black-cup held-out-state composition</x:v>
      </x:c>
      <x:c r="I121" s="8" t="str">
        <x:v>SR-BLK05</x:v>
      </x:c>
      <x:c r="J121" s="8" t="str">
        <x:v>closed</x:v>
      </x:c>
      <x:c r="K121" s="8" t="n">
        <x:v>3</x:v>
      </x:c>
      <x:c r="L121" s="8" t="str">
        <x:v>2 — Held-out-state black-cup composition — Globally unseen category + held-out state word (closed)</x:v>
      </x:c>
      <x:c r="M121" s="8" t="n">
        <x:v>55</x:v>
      </x:c>
      <x:c r="N121" s="7" t="str">
        <x:v>Reset black cup A to its marked position. Do not alter any object or state; only change the prompt and expected target.</x:v>
      </x:c>
      <x:c r="O121" s="7" t="str">
        <x:v>Exact-scene comparison against the preceding seen-state baseline. The target switches to the other matched black cup.</x:v>
      </x:c>
      <x:c r="P121" s="7"/>
    </x:row>
    <x:row r="122" ht="60" customHeight="1">
      <x:c r="A122" s="9" t="str">
        <x:v>Not collected</x:v>
      </x:c>
      <x:c r="B122" s="9" t="n">
        <x:v>120</x:v>
      </x:c>
      <x:c r="C122" s="10" t="str">
        <x:v>Move the upside-down black cup into the bowl.</x:v>
      </x:c>
      <x:c r="D122" s="10" t="str">
        <x:v>P1 glass spice container B (C, UD); P2 black cup A (C, UD) [TARGET]; P3 black cup B (C, UR) [STATE COMPETITOR]; P4 white cup A (O, UR)</x:v>
      </x:c>
      <x:c r="E122" s="9"/>
      <x:c r="F122" s="9" t="str">
        <x:v>black cup A</x:v>
      </x:c>
      <x:c r="G122" s="10"/>
      <x:c r="H122" s="9" t="str">
        <x:v>Black-cup seen-state baseline</x:v>
      </x:c>
      <x:c r="I122" s="9" t="str">
        <x:v>SR-BLK06</x:v>
      </x:c>
      <x:c r="J122" s="9" t="str">
        <x:v>upside-down</x:v>
      </x:c>
      <x:c r="K122" s="9" t="n">
        <x:v>4</x:v>
      </x:c>
      <x:c r="L122" s="9" t="str">
        <x:v>1 — Seen-state black-cup baseline — Globally unseen category + seen state word (upside-down)</x:v>
      </x:c>
      <x:c r="M122" s="9" t="n">
        <x:v>56</x:v>
      </x:c>
      <x:c r="N122" s="10" t="str">
        <x:v>Build the listed scene with black cups A and B in opposite states on the queried axis.</x:v>
      </x:c>
      <x:c r="O122" s="10" t="str">
        <x:v>The black category is novel, but the state word was explicitly seen during fine-tuning. Two black cups force state-based selection.</x:v>
      </x:c>
      <x:c r="P122" s="10"/>
    </x:row>
    <x:row r="123" ht="60" customHeight="1">
      <x:c r="A123" s="8" t="str">
        <x:v>Not collected</x:v>
      </x:c>
      <x:c r="B123" s="8" t="n">
        <x:v>121</x:v>
      </x:c>
      <x:c r="C123" s="7" t="str">
        <x:v>Move the upright black cup into the bowl.</x:v>
      </x:c>
      <x:c r="D123" s="7" t="str">
        <x:v>P1 glass spice container B (C, UD); P2 black cup A (C, UD) [STATE COMPETITOR]; P3 black cup B (C, UR) [TARGET]; P4 white cup A (O, UR)</x:v>
      </x:c>
      <x:c r="E123" s="8" t="n">
        <x:v>120</x:v>
      </x:c>
      <x:c r="F123" s="8" t="str">
        <x:v>black cup B</x:v>
      </x:c>
      <x:c r="G123" s="7"/>
      <x:c r="H123" s="8" t="str">
        <x:v>Black-cup held-out-state composition</x:v>
      </x:c>
      <x:c r="I123" s="8" t="str">
        <x:v>SR-BLK06</x:v>
      </x:c>
      <x:c r="J123" s="8" t="str">
        <x:v>upright</x:v>
      </x:c>
      <x:c r="K123" s="8" t="n">
        <x:v>4</x:v>
      </x:c>
      <x:c r="L123" s="8" t="str">
        <x:v>2 — Held-out-state black-cup composition — Globally unseen category + held-out state word (upright)</x:v>
      </x:c>
      <x:c r="M123" s="8" t="n">
        <x:v>56</x:v>
      </x:c>
      <x:c r="N123" s="7" t="str">
        <x:v>Reset black cup A to its marked position. Do not alter any object or state; only change the prompt and expected target.</x:v>
      </x:c>
      <x:c r="O123" s="7" t="str">
        <x:v>Exact-scene comparison against the preceding seen-state baseline. The target switches to the other matched black cup.</x:v>
      </x:c>
      <x:c r="P123" s="7"/>
    </x:row>
    <x:row r="124" ht="60" customHeight="1">
      <x:c r="A124" s="9" t="str">
        <x:v>Not collected</x:v>
      </x:c>
      <x:c r="B124" s="9" t="n">
        <x:v>122</x:v>
      </x:c>
      <x:c r="C124" s="10" t="str">
        <x:v>Place the upside-down black cup in the bowl.</x:v>
      </x:c>
      <x:c r="D124" s="10" t="str">
        <x:v>P1 black cup A (O, UD) [TARGET]; P2 black cup B (O, UR) [STATE COMPETITOR]; P3 white cup A (O, UR)</x:v>
      </x:c>
      <x:c r="E124" s="9"/>
      <x:c r="F124" s="9" t="str">
        <x:v>black cup A</x:v>
      </x:c>
      <x:c r="G124" s="10"/>
      <x:c r="H124" s="9" t="str">
        <x:v>Black-cup seen-state baseline</x:v>
      </x:c>
      <x:c r="I124" s="9" t="str">
        <x:v>SR-BLK07</x:v>
      </x:c>
      <x:c r="J124" s="9" t="str">
        <x:v>upside-down</x:v>
      </x:c>
      <x:c r="K124" s="9" t="n">
        <x:v>3</x:v>
      </x:c>
      <x:c r="L124" s="9" t="str">
        <x:v>1 — Seen-state black-cup baseline — Globally unseen category + seen state word (upside-down)</x:v>
      </x:c>
      <x:c r="M124" s="9" t="n">
        <x:v>57</x:v>
      </x:c>
      <x:c r="N124" s="10" t="str">
        <x:v>Build the listed scene with black cups A and B in opposite states on the queried axis.</x:v>
      </x:c>
      <x:c r="O124" s="10" t="str">
        <x:v>The black category is novel, but the state word was explicitly seen during fine-tuning. Two black cups force state-based selection.</x:v>
      </x:c>
      <x:c r="P124" s="10"/>
    </x:row>
    <x:row r="125" ht="60" customHeight="1">
      <x:c r="A125" s="8" t="str">
        <x:v>Not collected</x:v>
      </x:c>
      <x:c r="B125" s="8" t="n">
        <x:v>123</x:v>
      </x:c>
      <x:c r="C125" s="7" t="str">
        <x:v>Place the upright black cup in the bowl.</x:v>
      </x:c>
      <x:c r="D125" s="7" t="str">
        <x:v>P1 black cup A (O, UD) [STATE COMPETITOR]; P2 black cup B (O, UR) [TARGET]; P3 white cup A (O, UR)</x:v>
      </x:c>
      <x:c r="E125" s="8" t="n">
        <x:v>122</x:v>
      </x:c>
      <x:c r="F125" s="8" t="str">
        <x:v>black cup B</x:v>
      </x:c>
      <x:c r="G125" s="7"/>
      <x:c r="H125" s="8" t="str">
        <x:v>Black-cup held-out-state composition</x:v>
      </x:c>
      <x:c r="I125" s="8" t="str">
        <x:v>SR-BLK07</x:v>
      </x:c>
      <x:c r="J125" s="8" t="str">
        <x:v>upright</x:v>
      </x:c>
      <x:c r="K125" s="8" t="n">
        <x:v>3</x:v>
      </x:c>
      <x:c r="L125" s="8" t="str">
        <x:v>2 — Held-out-state black-cup composition — Globally unseen category + held-out state word (upright)</x:v>
      </x:c>
      <x:c r="M125" s="8" t="n">
        <x:v>57</x:v>
      </x:c>
      <x:c r="N125" s="7" t="str">
        <x:v>Reset black cup A to its marked position. Do not alter any object or state; only change the prompt and expected target.</x:v>
      </x:c>
      <x:c r="O125" s="7" t="str">
        <x:v>Exact-scene comparison against the preceding seen-state baseline. The target switches to the other matched black cup.</x:v>
      </x:c>
      <x:c r="P125" s="7"/>
    </x:row>
    <x:row r="126" ht="60" customHeight="1">
      <x:c r="A126" s="9" t="str">
        <x:v>Not collected</x:v>
      </x:c>
      <x:c r="B126" s="9" t="n">
        <x:v>124</x:v>
      </x:c>
      <x:c r="C126" s="10" t="str">
        <x:v>Put the upside-down black cup in the bowl.</x:v>
      </x:c>
      <x:c r="D126" s="10" t="str">
        <x:v>P1 black cup B (C, UR) [STATE COMPETITOR]; P2 yellow-white striped cup A (O, UR); P3 brown cup B (C, UD); P4 black cup A (C, UD) [TARGET]</x:v>
      </x:c>
      <x:c r="E126" s="9"/>
      <x:c r="F126" s="9" t="str">
        <x:v>black cup A</x:v>
      </x:c>
      <x:c r="G126" s="10"/>
      <x:c r="H126" s="9" t="str">
        <x:v>Black-cup seen-state baseline</x:v>
      </x:c>
      <x:c r="I126" s="9" t="str">
        <x:v>SR-BLK08</x:v>
      </x:c>
      <x:c r="J126" s="9" t="str">
        <x:v>upside-down</x:v>
      </x:c>
      <x:c r="K126" s="9" t="n">
        <x:v>4</x:v>
      </x:c>
      <x:c r="L126" s="9" t="str">
        <x:v>1 — Seen-state black-cup baseline — Globally unseen category + seen state word (upside-down)</x:v>
      </x:c>
      <x:c r="M126" s="9" t="n">
        <x:v>58</x:v>
      </x:c>
      <x:c r="N126" s="10" t="str">
        <x:v>Build the listed scene with black cups A and B in opposite states on the queried axis.</x:v>
      </x:c>
      <x:c r="O126" s="10" t="str">
        <x:v>The black category is novel, but the state word was explicitly seen during fine-tuning. Two black cups force state-based selection.</x:v>
      </x:c>
      <x:c r="P126" s="10"/>
    </x:row>
    <x:row r="127" ht="60" customHeight="1">
      <x:c r="A127" s="8" t="str">
        <x:v>Not collected</x:v>
      </x:c>
      <x:c r="B127" s="8" t="n">
        <x:v>125</x:v>
      </x:c>
      <x:c r="C127" s="7" t="str">
        <x:v>Put the upright black cup in the bowl.</x:v>
      </x:c>
      <x:c r="D127" s="7" t="str">
        <x:v>P1 black cup B (C, UR) [TARGET]; P2 yellow-white striped cup A (O, UR); P3 brown cup B (C, UD); P4 black cup A (C, UD) [STATE COMPETITOR]</x:v>
      </x:c>
      <x:c r="E127" s="8" t="n">
        <x:v>124</x:v>
      </x:c>
      <x:c r="F127" s="8" t="str">
        <x:v>black cup B</x:v>
      </x:c>
      <x:c r="G127" s="7"/>
      <x:c r="H127" s="8" t="str">
        <x:v>Black-cup held-out-state composition</x:v>
      </x:c>
      <x:c r="I127" s="8" t="str">
        <x:v>SR-BLK08</x:v>
      </x:c>
      <x:c r="J127" s="8" t="str">
        <x:v>upright</x:v>
      </x:c>
      <x:c r="K127" s="8" t="n">
        <x:v>4</x:v>
      </x:c>
      <x:c r="L127" s="8" t="str">
        <x:v>2 — Held-out-state black-cup composition — Globally unseen category + held-out state word (upright)</x:v>
      </x:c>
      <x:c r="M127" s="8" t="n">
        <x:v>58</x:v>
      </x:c>
      <x:c r="N127" s="7" t="str">
        <x:v>Reset black cup A to its marked position. Do not alter any object or state; only change the prompt and expected target.</x:v>
      </x:c>
      <x:c r="O127" s="7" t="str">
        <x:v>Exact-scene comparison against the preceding seen-state baseline. The target switches to the other matched black cup.</x:v>
      </x:c>
      <x:c r="P127" s="7"/>
    </x:row>
    <x:row r="128" ht="60" customHeight="1">
      <x:c r="A128" s="9" t="str">
        <x:v>Not collected</x:v>
      </x:c>
      <x:c r="B128" s="9" t="n">
        <x:v>126</x:v>
      </x:c>
      <x:c r="C128" s="10" t="str">
        <x:v>Move the upside-down black cup into the bowl.</x:v>
      </x:c>
      <x:c r="D128" s="10" t="str">
        <x:v>P1 black cup B (O, UR) [STATE COMPETITOR]; P2 brown cup B (C, UD); P3 black cup A (O, UD) [TARGET]</x:v>
      </x:c>
      <x:c r="E128" s="9"/>
      <x:c r="F128" s="9" t="str">
        <x:v>black cup A</x:v>
      </x:c>
      <x:c r="G128" s="10"/>
      <x:c r="H128" s="9" t="str">
        <x:v>Black-cup seen-state baseline</x:v>
      </x:c>
      <x:c r="I128" s="9" t="str">
        <x:v>SR-BLK09</x:v>
      </x:c>
      <x:c r="J128" s="9" t="str">
        <x:v>upside-down</x:v>
      </x:c>
      <x:c r="K128" s="9" t="n">
        <x:v>3</x:v>
      </x:c>
      <x:c r="L128" s="9" t="str">
        <x:v>1 — Seen-state black-cup baseline — Globally unseen category + seen state word (upside-down)</x:v>
      </x:c>
      <x:c r="M128" s="9" t="n">
        <x:v>59</x:v>
      </x:c>
      <x:c r="N128" s="10" t="str">
        <x:v>Build the listed scene with black cups A and B in opposite states on the queried axis.</x:v>
      </x:c>
      <x:c r="O128" s="10" t="str">
        <x:v>The black category is novel, but the state word was explicitly seen during fine-tuning. Two black cups force state-based selection.</x:v>
      </x:c>
      <x:c r="P128" s="10"/>
    </x:row>
    <x:row r="129" ht="60" customHeight="1">
      <x:c r="A129" s="8" t="str">
        <x:v>Not collected</x:v>
      </x:c>
      <x:c r="B129" s="8" t="n">
        <x:v>127</x:v>
      </x:c>
      <x:c r="C129" s="7" t="str">
        <x:v>Move the upright black cup into the bowl.</x:v>
      </x:c>
      <x:c r="D129" s="7" t="str">
        <x:v>P1 black cup B (O, UR) [TARGET]; P2 brown cup B (C, UD); P3 black cup A (O, UD) [STATE COMPETITOR]</x:v>
      </x:c>
      <x:c r="E129" s="8" t="n">
        <x:v>126</x:v>
      </x:c>
      <x:c r="F129" s="8" t="str">
        <x:v>black cup B</x:v>
      </x:c>
      <x:c r="G129" s="7"/>
      <x:c r="H129" s="8" t="str">
        <x:v>Black-cup held-out-state composition</x:v>
      </x:c>
      <x:c r="I129" s="8" t="str">
        <x:v>SR-BLK09</x:v>
      </x:c>
      <x:c r="J129" s="8" t="str">
        <x:v>upright</x:v>
      </x:c>
      <x:c r="K129" s="8" t="n">
        <x:v>3</x:v>
      </x:c>
      <x:c r="L129" s="8" t="str">
        <x:v>2 — Held-out-state black-cup composition — Globally unseen category + held-out state word (upright)</x:v>
      </x:c>
      <x:c r="M129" s="8" t="n">
        <x:v>59</x:v>
      </x:c>
      <x:c r="N129" s="7" t="str">
        <x:v>Reset black cup A to its marked position. Do not alter any object or state; only change the prompt and expected target.</x:v>
      </x:c>
      <x:c r="O129" s="7" t="str">
        <x:v>Exact-scene comparison against the preceding seen-state baseline. The target switches to the other matched black cup.</x:v>
      </x:c>
      <x:c r="P129" s="7"/>
    </x:row>
    <x:row r="130" ht="60" customHeight="1">
      <x:c r="A130" s="9" t="str">
        <x:v>Not collected</x:v>
      </x:c>
      <x:c r="B130" s="9" t="n">
        <x:v>128</x:v>
      </x:c>
      <x:c r="C130" s="10" t="str">
        <x:v>Place the upside-down black cup in the bowl.</x:v>
      </x:c>
      <x:c r="D130" s="10" t="str">
        <x:v>P1 glass spice container B (C, UD); P2 black cup A (C, UD) [TARGET]; P3 black cup B (C, UR) [STATE COMPETITOR]; P4 white cup A (O, UR)</x:v>
      </x:c>
      <x:c r="E130" s="9"/>
      <x:c r="F130" s="9" t="str">
        <x:v>black cup A</x:v>
      </x:c>
      <x:c r="G130" s="10"/>
      <x:c r="H130" s="9" t="str">
        <x:v>Black-cup seen-state baseline</x:v>
      </x:c>
      <x:c r="I130" s="9" t="str">
        <x:v>SR-BLK10</x:v>
      </x:c>
      <x:c r="J130" s="9" t="str">
        <x:v>upside-down</x:v>
      </x:c>
      <x:c r="K130" s="9" t="n">
        <x:v>4</x:v>
      </x:c>
      <x:c r="L130" s="9" t="str">
        <x:v>1 — Seen-state black-cup baseline — Globally unseen category + seen state word (upside-down)</x:v>
      </x:c>
      <x:c r="M130" s="9" t="n">
        <x:v>60</x:v>
      </x:c>
      <x:c r="N130" s="10" t="str">
        <x:v>Build the listed scene with black cups A and B in opposite states on the queried axis.</x:v>
      </x:c>
      <x:c r="O130" s="10" t="str">
        <x:v>The black category is novel, but the state word was explicitly seen during fine-tuning. Two black cups force state-based selection.</x:v>
      </x:c>
      <x:c r="P130" s="10"/>
    </x:row>
    <x:row r="131" ht="60" customHeight="1">
      <x:c r="A131" s="8" t="str">
        <x:v>Not collected</x:v>
      </x:c>
      <x:c r="B131" s="8" t="n">
        <x:v>129</x:v>
      </x:c>
      <x:c r="C131" s="7" t="str">
        <x:v>Place the upright black cup in the bowl.</x:v>
      </x:c>
      <x:c r="D131" s="7" t="str">
        <x:v>P1 glass spice container B (C, UD); P2 black cup A (C, UD) [STATE COMPETITOR]; P3 black cup B (C, UR) [TARGET]; P4 white cup A (O, UR)</x:v>
      </x:c>
      <x:c r="E131" s="8" t="n">
        <x:v>128</x:v>
      </x:c>
      <x:c r="F131" s="8" t="str">
        <x:v>black cup B</x:v>
      </x:c>
      <x:c r="G131" s="7"/>
      <x:c r="H131" s="8" t="str">
        <x:v>Black-cup held-out-state composition</x:v>
      </x:c>
      <x:c r="I131" s="8" t="str">
        <x:v>SR-BLK10</x:v>
      </x:c>
      <x:c r="J131" s="8" t="str">
        <x:v>upright</x:v>
      </x:c>
      <x:c r="K131" s="8" t="n">
        <x:v>4</x:v>
      </x:c>
      <x:c r="L131" s="8" t="str">
        <x:v>2 — Held-out-state black-cup composition — Globally unseen category + held-out state word (upright)</x:v>
      </x:c>
      <x:c r="M131" s="8" t="n">
        <x:v>60</x:v>
      </x:c>
      <x:c r="N131" s="7" t="str">
        <x:v>Reset black cup A to its marked position. Do not alter any object or state; only change the prompt and expected target.</x:v>
      </x:c>
      <x:c r="O131" s="7" t="str">
        <x:v>Exact-scene comparison against the preceding seen-state baseline. The target switches to the other matched black cup.</x:v>
      </x:c>
      <x:c r="P131" s="7"/>
    </x:row>
  </x:sheetData>
  <x:conditionalFormatting sqref="A2:P131">
    <x:cfRule type="expression" dxfId="0" priority="1">
      <x:formula>$A2="Success"</x:formula>
    </x:cfRule>
    <x:cfRule type="expression" dxfId="1" priority="2">
      <x:formula>$A2="Failure"</x:formula>
    </x:cfRule>
  </x:conditionalFormatting>
  <x:conditionalFormatting sqref="H2:H131">
    <x:cfRule type="containsText" dxfId="2" priority="3" operator="containsText" text="Concept/compositional transfer"/>
    <x:cfRule type="containsText" dxfId="3" priority="4" operator="containsText" text="Exact-scene opposite-state contrast"/>
    <x:cfRule type="containsText" dxfId="4" priority="5" operator="containsText" text="Matched manipulation control"/>
    <x:cfRule type="containsText" dxfId="5" priority="6" operator="containsText" text="Black-cup"/>
    <x:cfRule type="containsText" dxfId="6" priority="7" operator="containsText" text="Language robustness"/>
  </x:conditionalFormatting>
  <x:dataValidations count="1">
    <x:dataValidation type="list" sqref="A2:A13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eb279b2424412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9" hidden="0" customWidth="1"/>
    <x:col min="3" max="3" width="30" hidden="0" customWidth="1"/>
    <x:col min="4" max="4" width="32" hidden="0" customWidth="1"/>
    <x:col min="5" max="5" width="31" hidden="0" customWidth="1"/>
    <x:col min="6" max="6" width="42" hidden="0" customWidth="1"/>
    <x:col min="7" max="7" width="28" hidden="0" customWidth="1"/>
    <x:col min="8" max="8" width="62" hidden="0" customWidth="1"/>
  </x:cols>
  <x:sheetData>
    <x:row r="1" ht="34" customHeight="1">
      <x:c r="A1" s="4" t="str">
        <x:v>Slot / Object</x:v>
      </x:c>
      <x:c r="B1" s="4" t="str">
        <x:v>Prompt Category Phrase</x:v>
      </x:c>
      <x:c r="C1" s="4" t="str">
        <x:v>Instance A</x:v>
      </x:c>
      <x:c r="D1" s="4" t="str">
        <x:v>Instance B</x:v>
      </x:c>
      <x:c r="E1" s="4" t="str">
        <x:v>Valid States</x:v>
      </x:c>
      <x:c r="F1" s="4" t="str">
        <x:v>Training Exposure</x:v>
      </x:c>
      <x:c r="G1" s="4" t="str">
        <x:v>Visual Tier</x:v>
      </x:c>
      <x:c r="H1" s="4" t="str">
        <x:v>Rule</x:v>
      </x:c>
    </x:row>
    <x:row r="2" ht="56" customHeight="1">
      <x:c r="A2" s="7" t="str">
        <x:v>white cup A/B</x:v>
      </x:c>
      <x:c r="B2" s="7" t="str">
        <x:v>white cup</x:v>
      </x:c>
      <x:c r="C2" s="7" t="str">
        <x:v>white cup A</x:v>
      </x:c>
      <x:c r="D2" s="7" t="str">
        <x:v>white cup B</x:v>
      </x:c>
      <x:c r="E2" s="7" t="str">
        <x:v>open/closed and upright/upside-down</x:v>
      </x:c>
      <x:c r="F2" s="7" t="str">
        <x:v>Seen in State Recognition</x:v>
      </x:c>
      <x:c r="G2" s="7" t="str">
        <x:v>Known</x:v>
      </x:c>
      <x:c r="H2" s="7" t="str">
        <x:v>Two same-category instances</x:v>
      </x:c>
    </x:row>
    <x:row r="3" ht="56" customHeight="1">
      <x:c r="A3" s="7" t="str">
        <x:v>striped cup A/B</x:v>
      </x:c>
      <x:c r="B3" s="7" t="str">
        <x:v>yellow-white striped cup</x:v>
      </x:c>
      <x:c r="C3" s="7" t="str">
        <x:v>yellow-white striped cup A</x:v>
      </x:c>
      <x:c r="D3" s="7" t="str">
        <x:v>yellow-white striped cup B</x:v>
      </x:c>
      <x:c r="E3" s="7" t="str">
        <x:v>open/closed and upright/upside-down</x:v>
      </x:c>
      <x:c r="F3" s="7" t="str">
        <x:v>Seen in State Recognition</x:v>
      </x:c>
      <x:c r="G3" s="7" t="str">
        <x:v>Known</x:v>
      </x:c>
      <x:c r="H3" s="7" t="str">
        <x:v>Two same-category instances</x:v>
      </x:c>
    </x:row>
    <x:row r="4" ht="56" customHeight="1">
      <x:c r="A4" s="7" t="str">
        <x:v>brown cup A/B</x:v>
      </x:c>
      <x:c r="B4" s="7" t="str">
        <x:v>brown cup</x:v>
      </x:c>
      <x:c r="C4" s="7" t="str">
        <x:v>brown cup A</x:v>
      </x:c>
      <x:c r="D4" s="7" t="str">
        <x:v>brown cup B</x:v>
      </x:c>
      <x:c r="E4" s="7" t="str">
        <x:v>open/closed and upright/upside-down</x:v>
      </x:c>
      <x:c r="F4" s="7" t="str">
        <x:v>Seen in State Recognition</x:v>
      </x:c>
      <x:c r="G4" s="7" t="str">
        <x:v>Known</x:v>
      </x:c>
      <x:c r="H4" s="7" t="str">
        <x:v>Two same-category instances</x:v>
      </x:c>
    </x:row>
    <x:row r="5" ht="56" customHeight="1">
      <x:c r="A5" s="7" t="str">
        <x:v>glass spice container A/B</x:v>
      </x:c>
      <x:c r="B5" s="7" t="str">
        <x:v>glass spice container</x:v>
      </x:c>
      <x:c r="C5" s="7" t="str">
        <x:v>glass spice container A</x:v>
      </x:c>
      <x:c r="D5" s="7" t="str">
        <x:v>glass spice container B</x:v>
      </x:c>
      <x:c r="E5" s="7" t="str">
        <x:v>open/closed and upright/upside-down</x:v>
      </x:c>
      <x:c r="F5" s="7" t="str">
        <x:v>Seen in State Recognition</x:v>
      </x:c>
      <x:c r="G5" s="7" t="str">
        <x:v>Known</x:v>
      </x:c>
      <x:c r="H5" s="7" t="str">
        <x:v>Two same-category instances</x:v>
      </x:c>
    </x:row>
    <x:row r="6" ht="56" customHeight="1">
      <x:c r="A6" s="7" t="str">
        <x:v>crushed Coke can</x:v>
      </x:c>
      <x:c r="B6" s="7" t="str">
        <x:v>can</x:v>
      </x:c>
      <x:c r="C6" s="7" t="str">
        <x:v>crushed Coke can</x:v>
      </x:c>
      <x:c r="D6" s="7"/>
      <x:c r="E6" s="7" t="str">
        <x:v>upright/upside-down only</x:v>
      </x:c>
      <x:c r="F6" s="7" t="str">
        <x:v>Seen in another training task</x:v>
      </x:c>
      <x:c r="G6" s="7" t="str">
        <x:v>Cross-task seen</x:v>
      </x:c>
      <x:c r="H6" s="7" t="str">
        <x:v>Never label open/closed</x:v>
      </x:c>
    </x:row>
    <x:row r="7" ht="56" customHeight="1">
      <x:c r="A7" s="7" t="str">
        <x:v>crushed Pepsi can</x:v>
      </x:c>
      <x:c r="B7" s="7" t="str">
        <x:v>can</x:v>
      </x:c>
      <x:c r="C7" s="7" t="str">
        <x:v>crushed Pepsi can</x:v>
      </x:c>
      <x:c r="D7" s="7"/>
      <x:c r="E7" s="7" t="str">
        <x:v>upright/upside-down only</x:v>
      </x:c>
      <x:c r="F7" s="7" t="str">
        <x:v>Seen in another training task</x:v>
      </x:c>
      <x:c r="G7" s="7" t="str">
        <x:v>Cross-task seen</x:v>
      </x:c>
      <x:c r="H7" s="7" t="str">
        <x:v>Never label open/closed</x:v>
      </x:c>
    </x:row>
    <x:row r="8" ht="56" customHeight="1">
      <x:c r="A8" s="11" t="str">
        <x:v>Black cup A/B</x:v>
      </x:c>
      <x:c r="B8" s="11" t="str">
        <x:v>black cup</x:v>
      </x:c>
      <x:c r="C8" s="11" t="str">
        <x:v>black cup A</x:v>
      </x:c>
      <x:c r="D8" s="11" t="str">
        <x:v>black cup B</x:v>
      </x:c>
      <x:c r="E8" s="11" t="str">
        <x:v>open/closed and upright/upside-down if visually unambiguous</x:v>
      </x:c>
      <x:c r="F8" s="11" t="str">
        <x:v>Both must be absent from all 1,200 training episodes</x:v>
      </x:c>
      <x:c r="G8" s="11" t="str">
        <x:v>Globally unseen matched pair</x:v>
      </x:c>
      <x:c r="H8" s="11" t="str">
        <x:v>Use cups matched in shape, size, material and color; place them in opposite states so the state word is necessary</x:v>
      </x:c>
    </x:row>
  </x:sheetData>
  <x:pageMargins left="0.7" right="0.7" top="0.75" bottom="0.75" header="0.3" footer="0.3"/>
  <x:tableParts count="1">
    <x:tablePart xmlns:r="http://schemas.openxmlformats.org/officeDocument/2006/relationships" r:id="R24b0358667c840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5" hidden="0" customWidth="1"/>
    <x:col min="3" max="3" width="78" hidden="0" customWidth="1"/>
  </x:cols>
  <x:sheetData>
    <x:row r="1" ht="34" customHeight="1">
      <x:c r="A1" s="4" t="str">
        <x:v>Training / Evaluation Feature</x:v>
      </x:c>
      <x:c r="B1" s="4" t="str">
        <x:v>Observed in planned State Recognition training</x:v>
      </x:c>
      <x:c r="C1" s="4" t="str">
        <x:v>Evaluation consequence</x:v>
      </x:c>
    </x:row>
    <x:row r="2" ht="50" customHeight="1">
      <x:c r="A2" s="7" t="str">
        <x:v>State Recognition episodes</x:v>
      </x:c>
      <x:c r="B2" s="7" t="n">
        <x:v>200</x:v>
      </x:c>
      <x:c r="C2" s="7" t="str">
        <x:v>Final focused evaluation uses 130 trials per model.</x:v>
      </x:c>
    </x:row>
    <x:row r="3" ht="50" customHeight="1">
      <x:c r="A3" s="7" t="str">
        <x:v>Explicit open prompts</x:v>
      </x:c>
      <x:c r="B3" s="7" t="n">
        <x:v>33</x:v>
      </x:c>
      <x:c r="C3" s="7" t="str">
        <x:v>Use state + category as the canonical seen-language structure.</x:v>
      </x:c>
    </x:row>
    <x:row r="4" ht="50" customHeight="1">
      <x:c r="A4" s="7" t="str">
        <x:v>Explicit upside-down prompts</x:v>
      </x:c>
      <x:c r="B4" s="7" t="n">
        <x:v>16</x:v>
      </x:c>
      <x:c r="C4" s="7" t="str">
        <x:v>Use state + category as the canonical seen-language structure.</x:v>
      </x:c>
    </x:row>
    <x:row r="5" ht="50" customHeight="1">
      <x:c r="A5" s="7" t="str">
        <x:v>Explicit closed prompts</x:v>
      </x:c>
      <x:c r="B5" s="7" t="n">
        <x:v>0</x:v>
      </x:c>
      <x:c r="C5" s="7" t="str">
        <x:v>Closed remains a fine-tuning-held-out state word.</x:v>
      </x:c>
    </x:row>
    <x:row r="6" ht="50" customHeight="1">
      <x:c r="A6" s="7" t="str">
        <x:v>Explicit upright prompts</x:v>
      </x:c>
      <x:c r="B6" s="7" t="n">
        <x:v>0</x:v>
      </x:c>
      <x:c r="C6" s="7" t="str">
        <x:v>Upright remains a fine-tuning-held-out state word.</x:v>
      </x:c>
    </x:row>
    <x:row r="7" ht="50" customHeight="1">
      <x:c r="A7" s="7" t="str">
        <x:v>State prompts using object/item</x:v>
      </x:c>
      <x:c r="B7" s="7" t="n">
        <x:v>0</x:v>
      </x:c>
      <x:c r="C7" s="7" t="str">
        <x:v>Generic-object prompts were removed from the focused evaluation.</x:v>
      </x:c>
    </x:row>
    <x:row r="8" ht="50" customHeight="1">
      <x:c r="A8" s="7" t="str">
        <x:v>Explicit state scene structure</x:v>
      </x:c>
      <x:c r="B8" s="7" t="str">
        <x:v>Same-category discrimination</x:v>
      </x:c>
      <x:c r="C8" s="7" t="str">
        <x:v>Primary and black-cup state trials contain two objects matching the prompted category in opposite states.</x:v>
      </x:c>
    </x:row>
    <x:row r="9" ht="50" customHeight="1">
      <x:c r="A9" s="7" t="str">
        <x:v>Planned 61 recollections</x:v>
      </x:c>
      <x:c r="B9" s="7" t="str">
        <x:v>Generic category prompts; one target-category object</x:v>
      </x:c>
      <x:c r="C9" s="7" t="str">
        <x:v>They remove ambiguous supervision but do not create generic state-word training prompts.</x:v>
      </x:c>
    </x:row>
    <x:row r="10" ht="50" customHeight="1">
      <x:c r="A10" s="7" t="str">
        <x:v>Source workbook</x:v>
      </x:c>
      <x:c r="B10" s="7" t="str">
        <x:v>/Users/justintiensmith/Downloads/VLA_Reasoning_Dataset_Info_Planned_After_61_Recollections.xlsx</x:v>
      </x:c>
      <x:c r="C10" s="7" t="str">
        <x:v>Counts and prompt structure checked before this revision.</x:v>
      </x:c>
    </x:row>
  </x:sheetData>
  <x:pageMargins left="0.7" right="0.7" top="0.75" bottom="0.75" header="0.3" footer="0.3"/>
  <x:tableParts count="1">
    <x:tablePart xmlns:r="http://schemas.openxmlformats.org/officeDocument/2006/relationships" r:id="R9e0f3d5ed55f4e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10" hidden="0" customWidth="1"/>
  </x:cols>
  <x:sheetData>
    <x:row r="1" ht="36" customHeight="1">
      <x:c r="A1" s="19" t="str">
        <x:v>STATE RECOGNITION EVALUATION — FINAL PAIRED DESIGN (130 TRIALS)</x:v>
      </x:c>
      <x:c r="B1" s="19"/>
    </x:row>
    <x:row r="2" ht="58" customHeight="1">
      <x:c r="A2" s="20" t="str">
        <x:v>Rows 0-39</x:v>
      </x:c>
      <x:c r="B2" s="21" t="str">
        <x:v>Ten three-object families: canonical transfer → exact-scene opposite-state contrast → transfer paraphrase → matched control.</x:v>
      </x:c>
    </x:row>
    <x:row r="3" ht="58" customHeight="1">
      <x:c r="A3" s="20" t="str">
        <x:v>Rows 40-79</x:v>
      </x:c>
      <x:c r="B3" s="21" t="str">
        <x:v>Ten four-object families: canonical transfer → exact-scene opposite-state contrast → matched control → control paraphrase.</x:v>
      </x:c>
    </x:row>
    <x:row r="4" ht="58" customHeight="1">
      <x:c r="A4" s="20" t="str">
        <x:v>Opposite-state contrast</x:v>
      </x:c>
      <x:c r="B4" s="21" t="str">
        <x:v>Twenty exact-scene trials change only open↔closed or upright↔upside-down. The expected target switches to the other same-category instance, directly testing whether selection follows the state word.</x:v>
      </x:c>
    </x:row>
    <x:row r="5" ht="58" customHeight="1">
      <x:c r="A5" s="20" t="str">
        <x:v>Matched controls</x:v>
      </x:c>
      <x:c r="B5" s="21" t="str">
        <x:v>Replace the same-category state competitor with a neutral training-seen distractor at the same position. Never change the number of objects within a transfer/control pair.</x:v>
      </x:c>
    </x:row>
    <x:row r="6" ht="58" customHeight="1">
      <x:c r="A6" s="20" t="str">
        <x:v>Language split</x:v>
      </x:c>
      <x:c r="B6" s="21" t="str">
        <x:v>Ten paraphrases reference exact transfer scenes and ten reference exact matched-control scenes. Reset only the moved target; change only the wording.</x:v>
      </x:c>
    </x:row>
    <x:row r="7" ht="58" customHeight="1">
      <x:c r="A7" s="20" t="str">
        <x:v>Primary endpoint</x:v>
      </x:c>
      <x:c r="B7" s="21" t="str">
        <x:v>The 50 concept/compositional-transfer trials remain the primary endpoint. Episodes 0-109 also contain 20 opposite-state contrasts, 20 matched controls, and 20 exact-scene language trials.</x:v>
      </x:c>
    </x:row>
    <x:row r="8" ht="58" customHeight="1">
      <x:c r="A8" s="20" t="str">
        <x:v>Cross-task objects</x:v>
      </x:c>
      <x:c r="B8" s="21" t="str">
        <x:v>Episodes 102-109 use both crushed cans and only upright/upside-down. They test cross-task composition but do not establish open/closed cross-task transfer.</x:v>
      </x:c>
    </x:row>
    <x:row r="9" ht="58" customHeight="1">
      <x:c r="A9" s="20" t="str">
        <x:v>Black cup pairs</x:v>
      </x:c>
      <x:c r="B9" s="21" t="str">
        <x:v>Episodes 110-129 form ten exact-scene pairs with black cup A and B in opposite states. Five pairs compare open → closed; five compare upside-down → upright.</x:v>
      </x:c>
    </x:row>
    <x:row r="10" ht="58" customHeight="1">
      <x:c r="A10" s="20" t="str">
        <x:v>Black-cup interpretation</x:v>
      </x:c>
      <x:c r="B10" s="21" t="str">
        <x:v>Open and upside-down are seen-state baselines. Closed and upright are held-out-state compositions. Both black cups must be globally unseen and visually matched.</x:v>
      </x:c>
    </x:row>
    <x:row r="11" ht="58" customHeight="1">
      <x:c r="A11" s="20" t="str">
        <x:v>Collection columns</x:v>
      </x:c>
      <x:c r="B11" s="21" t="str">
        <x:v>Use Status values Not collected, Success or Failure. Record qualitative details in Observations; keep first-frame filenames for cross-model reconstruction.</x:v>
      </x:c>
    </x:row>
    <x:row r="12" ht="58" customHeight="1">
      <x:c r="A12" s="20" t="str">
        <x:v>Cross-model reproducibility</x:v>
      </x:c>
      <x:c r="B12" s="21" t="str">
        <x:v>Use marked P1-P4 locations, fixed camera/bowl/lighting/horizon, and the same episode order. Save each first-frame reference filename.</x:v>
      </x:c>
    </x:row>
    <x:row r="13" ht="58" customHeight="1">
      <x:c r="A13" s="20" t="str">
        <x:v>Scoring</x:v>
      </x:c>
      <x:c r="B13" s="21" t="str">
        <x:v>Success = specified target in bowl within fixed horizon. Wrong target, timeout, no grasp, or drop outside bowl = Failure. Setup/hardware faults = Invalid / Repeat.</x:v>
      </x:c>
    </x:row>
    <x:row r="14" ht="58" customHeight="1">
      <x:c r="A14" s="20" t="str">
        <x:v>Statistical unit</x:v>
      </x:c>
      <x:c r="B14" s="21" t="str">
        <x:v>Cluster by Scene Family and compare models on identical episode specifications. Report primary/opposite-state pair consistency separately from marginal success. Treat the ten black-cup families as paired scene repetitions over one unseen category, not ten independent unseen categories.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4" hidden="0" customWidth="1"/>
    <x:col min="3" max="3" width="14" hidden="0" customWidth="1"/>
    <x:col min="4" max="4" width="14" hidden="0" customWidth="1"/>
    <x:col min="5" max="5" width="68" hidden="0" customWidth="1"/>
  </x:cols>
  <x:sheetData>
    <x:row r="1" ht="32" customHeight="1">
      <x:c r="A1" s="4" t="str">
        <x:v>Check</x:v>
      </x:c>
      <x:c r="B1" s="4" t="str">
        <x:v>Observed</x:v>
      </x:c>
      <x:c r="C1" s="4" t="str">
        <x:v>Expected</x:v>
      </x:c>
      <x:c r="D1" s="4" t="str">
        <x:v>Status</x:v>
      </x:c>
      <x:c r="E1" s="4" t="str">
        <x:v>Notes</x:v>
      </x:c>
    </x:row>
    <x:row r="2" ht="38" customHeight="1">
      <x:c r="A2" s="7" t="str">
        <x:v>Total trials</x:v>
      </x:c>
      <x:c r="B2" s="7" t="n">
        <x:f>COUNTA('Evaluation Plan'!$B$2:$B$131)</x:f>
        <x:v>130</x:v>
      </x:c>
      <x:c r="C2" s="7" t="n">
        <x:v>130</x:v>
      </x:c>
      <x:c r="D2" s="7" t="str">
        <x:f>IF(B2=C2,"PASS","CHECK")</x:f>
        <x:v>PASS</x:v>
      </x:c>
      <x:c r="E2" s="7"/>
    </x:row>
    <x:row r="3" ht="38" customHeight="1">
      <x:c r="A3" s="7" t="str">
        <x:v>Concept/compositional transfer</x:v>
      </x:c>
      <x:c r="B3" s="7" t="n">
        <x:f>COUNTIF('Evaluation Plan'!$H$2:$H$131,"Concept/compositional transfer")</x:f>
        <x:v>50</x:v>
      </x:c>
      <x:c r="C3" s="7" t="n">
        <x:v>50</x:v>
      </x:c>
      <x:c r="D3" s="7" t="str">
        <x:f>IF(B3=C3,"PASS","CHECK")</x:f>
        <x:v>PASS</x:v>
      </x:c>
      <x:c r="E3" s="7" t="str">
        <x:v>Primary prompt-aligned transfer endpoint</x:v>
      </x:c>
    </x:row>
    <x:row r="4" ht="38" customHeight="1">
      <x:c r="A4" s="7" t="str">
        <x:v>Exact-scene opposite-state contrast</x:v>
      </x:c>
      <x:c r="B4" s="7" t="n">
        <x:f>COUNTIF('Evaluation Plan'!$H$2:$H$131,"Exact-scene opposite-state contrast")</x:f>
        <x:v>20</x:v>
      </x:c>
      <x:c r="C4" s="7" t="n">
        <x:v>20</x:v>
      </x:c>
      <x:c r="D4" s="7" t="str">
        <x:f>IF(B4=C4,"PASS","CHECK")</x:f>
        <x:v>PASS</x:v>
      </x:c>
      <x:c r="E4" s="7" t="str">
        <x:v>State word flips; target switches</x:v>
      </x:c>
    </x:row>
    <x:row r="5" ht="38" customHeight="1">
      <x:c r="A5" s="7" t="str">
        <x:v>Matched manipulation control</x:v>
      </x:c>
      <x:c r="B5" s="7" t="n">
        <x:f>COUNTIF('Evaluation Plan'!$H$2:$H$131,"Matched manipulation control")</x:f>
        <x:v>20</x:v>
      </x:c>
      <x:c r="C5" s="7" t="n">
        <x:v>20</x:v>
      </x:c>
      <x:c r="D5" s="7" t="str">
        <x:f>IF(B5=C5,"PASS","CHECK")</x:f>
        <x:v>PASS</x:v>
      </x:c>
      <x:c r="E5" s="7"/>
    </x:row>
    <x:row r="6" ht="38" customHeight="1">
      <x:c r="A6" s="7" t="str">
        <x:v>Language robustness</x:v>
      </x:c>
      <x:c r="B6" s="7" t="n">
        <x:f>COUNTIF('Evaluation Plan'!$H$2:$H$131,"Language robustness")</x:f>
        <x:v>20</x:v>
      </x:c>
      <x:c r="C6" s="7" t="n">
        <x:v>20</x:v>
      </x:c>
      <x:c r="D6" s="7" t="str">
        <x:f>IF(B6=C6,"PASS","CHECK")</x:f>
        <x:v>PASS</x:v>
      </x:c>
      <x:c r="E6" s="7"/>
    </x:row>
    <x:row r="7" ht="38" customHeight="1">
      <x:c r="A7" s="7" t="str">
        <x:v>Black-cup seen-state baseline</x:v>
      </x:c>
      <x:c r="B7" s="7" t="n">
        <x:f>COUNTIF('Evaluation Plan'!$H$2:$H$131,"Black-cup seen-state baseline")</x:f>
        <x:v>10</x:v>
      </x:c>
      <x:c r="C7" s="7" t="n">
        <x:v>10</x:v>
      </x:c>
      <x:c r="D7" s="7" t="str">
        <x:f>IF(B7=C7,"PASS","CHECK")</x:f>
        <x:v>PASS</x:v>
      </x:c>
      <x:c r="E7" s="7" t="str">
        <x:v>5 open + 5 upside-down</x:v>
      </x:c>
    </x:row>
    <x:row r="8" ht="38" customHeight="1">
      <x:c r="A8" s="7" t="str">
        <x:v>Black-cup held-out-state composition</x:v>
      </x:c>
      <x:c r="B8" s="7" t="n">
        <x:f>COUNTIF('Evaluation Plan'!$H$2:$H$131,"Black-cup held-out-state composition")</x:f>
        <x:v>10</x:v>
      </x:c>
      <x:c r="C8" s="7" t="n">
        <x:v>10</x:v>
      </x:c>
      <x:c r="D8" s="7" t="str">
        <x:f>IF(B8=C8,"PASS","CHECK")</x:f>
        <x:v>PASS</x:v>
      </x:c>
      <x:c r="E8" s="7" t="str">
        <x:v>5 closed + 5 upright</x:v>
      </x:c>
    </x:row>
    <x:row r="9" ht="38" customHeight="1">
      <x:c r="A9" s="7" t="str">
        <x:v>Three-object paired transfer</x:v>
      </x:c>
      <x:c r="B9" s="7" t="n">
        <x:f>COUNTIFS('Evaluation Plan'!$H$2:$H$41,"Concept/compositional transfer",'Evaluation Plan'!$K$2:$K$41,3)</x:f>
        <x:v>10</x:v>
      </x:c>
      <x:c r="C9" s="7" t="n">
        <x:v>10</x:v>
      </x:c>
      <x:c r="D9" s="7" t="str">
        <x:f>IF(B9=C9,"PASS","CHECK")</x:f>
        <x:v>PASS</x:v>
      </x:c>
      <x:c r="E9" s="7" t="str">
        <x:v>Families 1-10</x:v>
      </x:c>
    </x:row>
    <x:row r="10" ht="38" customHeight="1">
      <x:c r="A10" s="7" t="str">
        <x:v>Three-object opposite-state contrasts</x:v>
      </x:c>
      <x:c r="B10" s="7" t="n">
        <x:f>COUNTIFS('Evaluation Plan'!$H$2:$H$41,"Exact-scene opposite-state contrast",'Evaluation Plan'!$K$2:$K$41,3)</x:f>
        <x:v>10</x:v>
      </x:c>
      <x:c r="C10" s="7" t="n">
        <x:v>10</x:v>
      </x:c>
      <x:c r="D10" s="7" t="str">
        <x:f>IF(B10=C10,"PASS","CHECK")</x:f>
        <x:v>PASS</x:v>
      </x:c>
      <x:c r="E10" s="7" t="str">
        <x:v>Families 1-10</x:v>
      </x:c>
    </x:row>
    <x:row r="11" ht="38" customHeight="1">
      <x:c r="A11" s="7" t="str">
        <x:v>Three-object matched controls</x:v>
      </x:c>
      <x:c r="B11" s="7" t="n">
        <x:f>COUNTIFS('Evaluation Plan'!$H$2:$H$41,"Matched manipulation control",'Evaluation Plan'!$K$2:$K$41,3)</x:f>
        <x:v>10</x:v>
      </x:c>
      <x:c r="C11" s="7" t="n">
        <x:v>10</x:v>
      </x:c>
      <x:c r="D11" s="7" t="str">
        <x:f>IF(B11=C11,"PASS","CHECK")</x:f>
        <x:v>PASS</x:v>
      </x:c>
      <x:c r="E11" s="7" t="str">
        <x:v>Families 1-10</x:v>
      </x:c>
    </x:row>
    <x:row r="12" ht="38" customHeight="1">
      <x:c r="A12" s="7" t="str">
        <x:v>Four-object paired transfer</x:v>
      </x:c>
      <x:c r="B12" s="7" t="n">
        <x:f>COUNTIFS('Evaluation Plan'!$H$42:$H$81,"Concept/compositional transfer",'Evaluation Plan'!$K$42:$K$81,4)</x:f>
        <x:v>10</x:v>
      </x:c>
      <x:c r="C12" s="7" t="n">
        <x:v>10</x:v>
      </x:c>
      <x:c r="D12" s="7" t="str">
        <x:f>IF(B12=C12,"PASS","CHECK")</x:f>
        <x:v>PASS</x:v>
      </x:c>
      <x:c r="E12" s="7" t="str">
        <x:v>Families 11-20</x:v>
      </x:c>
    </x:row>
    <x:row r="13" ht="38" customHeight="1">
      <x:c r="A13" s="7" t="str">
        <x:v>Four-object opposite-state contrasts</x:v>
      </x:c>
      <x:c r="B13" s="7" t="n">
        <x:f>COUNTIFS('Evaluation Plan'!$H$42:$H$81,"Exact-scene opposite-state contrast",'Evaluation Plan'!$K$42:$K$81,4)</x:f>
        <x:v>10</x:v>
      </x:c>
      <x:c r="C13" s="7" t="n">
        <x:v>10</x:v>
      </x:c>
      <x:c r="D13" s="7" t="str">
        <x:f>IF(B13=C13,"PASS","CHECK")</x:f>
        <x:v>PASS</x:v>
      </x:c>
      <x:c r="E13" s="7" t="str">
        <x:v>Families 11-20</x:v>
      </x:c>
    </x:row>
    <x:row r="14" ht="38" customHeight="1">
      <x:c r="A14" s="7" t="str">
        <x:v>Four-object matched controls</x:v>
      </x:c>
      <x:c r="B14" s="7" t="n">
        <x:f>COUNTIFS('Evaluation Plan'!$H$42:$H$81,"Matched manipulation control",'Evaluation Plan'!$K$42:$K$81,4)</x:f>
        <x:v>10</x:v>
      </x:c>
      <x:c r="C14" s="7" t="n">
        <x:v>10</x:v>
      </x:c>
      <x:c r="D14" s="7" t="str">
        <x:f>IF(B14=C14,"PASS","CHECK")</x:f>
        <x:v>PASS</x:v>
      </x:c>
      <x:c r="E14" s="7" t="str">
        <x:v>Families 11-20</x:v>
      </x:c>
    </x:row>
    <x:row r="15" ht="38" customHeight="1">
      <x:c r="A15" s="7" t="str">
        <x:v>Transfer-scene paraphrases</x:v>
      </x:c>
      <x:c r="B15" s="7" t="n">
        <x:f>COUNTIF('Evaluation Plan'!$L$2:$L$131,"3 — Exact-scene transfer paraphrase — Paraphrase of concept/compositional-transfer prompt")</x:f>
        <x:v>10</x:v>
      </x:c>
      <x:c r="C15" s="7" t="n">
        <x:v>10</x:v>
      </x:c>
      <x:c r="D15" s="7" t="str">
        <x:f>IF(B15=C15,"PASS","CHECK")</x:f>
        <x:v>PASS</x:v>
      </x:c>
      <x:c r="E15" s="7" t="str">
        <x:v>Exact transfer scenes</x:v>
      </x:c>
    </x:row>
    <x:row r="16" ht="38" customHeight="1">
      <x:c r="A16" s="7" t="str">
        <x:v>Control-scene paraphrases</x:v>
      </x:c>
      <x:c r="B16" s="7" t="n">
        <x:f>COUNTIF('Evaluation Plan'!$L$2:$L$131,"4 — Exact-scene control paraphrase — Paraphrase of matched-control prompt")</x:f>
        <x:v>10</x:v>
      </x:c>
      <x:c r="C16" s="7" t="n">
        <x:v>10</x:v>
      </x:c>
      <x:c r="D16" s="7" t="str">
        <x:f>IF(B16=C16,"PASS","CHECK")</x:f>
        <x:v>PASS</x:v>
      </x:c>
      <x:c r="E16" s="7" t="str">
        <x:v>Exact control scenes</x:v>
      </x:c>
    </x:row>
    <x:row r="17" ht="38" customHeight="1">
      <x:c r="A17" s="7" t="str">
        <x:v>Cross-task can transfer</x:v>
      </x:c>
      <x:c r="B17" s="7" t="n">
        <x:f>COUNTIF('Evaluation Plan'!$L$2:$L$131,"Additional transfer — Cross-task object transfer — can orientation")</x:f>
        <x:v>8</x:v>
      </x:c>
      <x:c r="C17" s="7" t="n">
        <x:v>8</x:v>
      </x:c>
      <x:c r="D17" s="7" t="str">
        <x:f>IF(B17=C17,"PASS","CHECK")</x:f>
        <x:v>PASS</x:v>
      </x:c>
      <x:c r="E17" s="7" t="str">
        <x:v>Orientation only</x:v>
      </x:c>
    </x:row>
    <x:row r="18" ht="38" customHeight="1">
      <x:c r="A18" s="7" t="str">
        <x:v>Black-cup seen open</x:v>
      </x:c>
      <x:c r="B18" s="7" t="n">
        <x:f>COUNTIFS('Evaluation Plan'!$H$2:$H$131,"Black-cup seen-state baseline",'Evaluation Plan'!$J$2:$J$131,"open")</x:f>
        <x:v>5</x:v>
      </x:c>
      <x:c r="C18" s="7" t="n">
        <x:v>5</x:v>
      </x:c>
      <x:c r="D18" s="7" t="str">
        <x:f>IF(B18=C18,"PASS","CHECK")</x:f>
        <x:v>PASS</x:v>
      </x:c>
      <x:c r="E18" s="7"/>
    </x:row>
    <x:row r="19" ht="38" customHeight="1">
      <x:c r="A19" s="7" t="str">
        <x:v>Black-cup seen upside-down</x:v>
      </x:c>
      <x:c r="B19" s="7" t="n">
        <x:f>COUNTIFS('Evaluation Plan'!$H$2:$H$131,"Black-cup seen-state baseline",'Evaluation Plan'!$J$2:$J$131,"upside-down")</x:f>
        <x:v>5</x:v>
      </x:c>
      <x:c r="C19" s="7" t="n">
        <x:v>5</x:v>
      </x:c>
      <x:c r="D19" s="7" t="str">
        <x:f>IF(B19=C19,"PASS","CHECK")</x:f>
        <x:v>PASS</x:v>
      </x:c>
      <x:c r="E19" s="7"/>
    </x:row>
    <x:row r="20" ht="38" customHeight="1">
      <x:c r="A20" s="7" t="str">
        <x:v>Black-cup held-out closed</x:v>
      </x:c>
      <x:c r="B20" s="7" t="n">
        <x:f>COUNTIFS('Evaluation Plan'!$H$2:$H$131,"Black-cup held-out-state composition",'Evaluation Plan'!$J$2:$J$131,"closed")</x:f>
        <x:v>5</x:v>
      </x:c>
      <x:c r="C20" s="7" t="n">
        <x:v>5</x:v>
      </x:c>
      <x:c r="D20" s="7" t="str">
        <x:f>IF(B20=C20,"PASS","CHECK")</x:f>
        <x:v>PASS</x:v>
      </x:c>
      <x:c r="E20" s="7"/>
    </x:row>
    <x:row r="21" ht="38" customHeight="1">
      <x:c r="A21" s="7" t="str">
        <x:v>Black-cup held-out upright</x:v>
      </x:c>
      <x:c r="B21" s="7" t="n">
        <x:f>COUNTIFS('Evaluation Plan'!$H$2:$H$131,"Black-cup held-out-state composition",'Evaluation Plan'!$J$2:$J$131,"upright")</x:f>
        <x:v>5</x:v>
      </x:c>
      <x:c r="C21" s="7" t="n">
        <x:v>5</x:v>
      </x:c>
      <x:c r="D21" s="7" t="str">
        <x:f>IF(B21=C21,"PASS","CHECK")</x:f>
        <x:v>PASS</x:v>
      </x:c>
      <x:c r="E21" s="7"/>
    </x:row>
    <x:row r="22" ht="38" customHeight="1">
      <x:c r="A22" s="7" t="str">
        <x:v>Black rows containing cups A and B</x:v>
      </x:c>
      <x:c r="B22" s="7" t="n">
        <x:f>COUNTIF('Evaluation Plan'!$H$2:$H$131,"Black-cup seen-state baseline")+COUNTIF('Evaluation Plan'!$H$2:$H$131,"Black-cup held-out-state composition")</x:f>
        <x:v>20</x:v>
      </x:c>
      <x:c r="C22" s="7" t="n">
        <x:v>20</x:v>
      </x:c>
      <x:c r="D22" s="7" t="str">
        <x:f>IF(B22=C22,"PASS","CHECK")</x:f>
        <x:v>PASS</x:v>
      </x:c>
      <x:c r="E22" s="7" t="str">
        <x:v>State word is necessary</x:v>
      </x:c>
    </x:row>
    <x:row r="23" ht="38" customHeight="1">
      <x:c r="A23" s="7" t="str">
        <x:v>Opposite-state contrast: open</x:v>
      </x:c>
      <x:c r="B23" s="7" t="n">
        <x:f>COUNTIFS('Evaluation Plan'!$H$2:$H$131,"Exact-scene opposite-state contrast",'Evaluation Plan'!$J$2:$J$131,"open")</x:f>
        <x:v>5</x:v>
      </x:c>
      <x:c r="C23" s="7" t="n">
        <x:v>5</x:v>
      </x:c>
      <x:c r="D23" s="7" t="str">
        <x:f>IF(B23=C23,"PASS","CHECK")</x:f>
        <x:v>PASS</x:v>
      </x:c>
      <x:c r="E23" s="7"/>
    </x:row>
    <x:row r="24" ht="38" customHeight="1">
      <x:c r="A24" s="7" t="str">
        <x:v>Opposite-state contrast: closed</x:v>
      </x:c>
      <x:c r="B24" s="7" t="n">
        <x:f>COUNTIFS('Evaluation Plan'!$H$2:$H$131,"Exact-scene opposite-state contrast",'Evaluation Plan'!$J$2:$J$131,"closed")</x:f>
        <x:v>5</x:v>
      </x:c>
      <x:c r="C24" s="7" t="n">
        <x:v>5</x:v>
      </x:c>
      <x:c r="D24" s="7" t="str">
        <x:f>IF(B24=C24,"PASS","CHECK")</x:f>
        <x:v>PASS</x:v>
      </x:c>
      <x:c r="E24" s="7"/>
    </x:row>
    <x:row r="25" ht="38" customHeight="1">
      <x:c r="A25" s="7" t="str">
        <x:v>Opposite-state contrast: upright</x:v>
      </x:c>
      <x:c r="B25" s="7" t="n">
        <x:f>COUNTIFS('Evaluation Plan'!$H$2:$H$131,"Exact-scene opposite-state contrast",'Evaluation Plan'!$J$2:$J$131,"upright")</x:f>
        <x:v>5</x:v>
      </x:c>
      <x:c r="C25" s="7" t="n">
        <x:v>5</x:v>
      </x:c>
      <x:c r="D25" s="7" t="str">
        <x:f>IF(B25=C25,"PASS","CHECK")</x:f>
        <x:v>PASS</x:v>
      </x:c>
      <x:c r="E25" s="7"/>
    </x:row>
    <x:row r="26" ht="38" customHeight="1">
      <x:c r="A26" s="7" t="str">
        <x:v>Opposite-state contrast: upside-down</x:v>
      </x:c>
      <x:c r="B26" s="7" t="n">
        <x:f>COUNTIFS('Evaluation Plan'!$H$2:$H$131,"Exact-scene opposite-state contrast",'Evaluation Plan'!$J$2:$J$131,"upside-down")</x:f>
        <x:v>5</x:v>
      </x:c>
      <x:c r="C26" s="7" t="n">
        <x:v>5</x:v>
      </x:c>
      <x:c r="D26" s="7" t="str">
        <x:f>IF(B26=C26,"PASS","CHECK")</x:f>
        <x:v>PASS</x:v>
      </x:c>
      <x:c r="E26" s="7"/>
    </x:row>
    <x:row r="27" ht="38" customHeight="1">
      <x:c r="A27" s="7" t="str">
        <x:v>Opposite-state contrasts with references</x:v>
      </x:c>
      <x:c r="B27" s="7" t="n">
        <x:f>COUNTIFS('Evaluation Plan'!$H$2:$H$131,"Exact-scene opposite-state contrast",'Evaluation Plan'!$E$2:$E$131,"&gt;=0")</x:f>
        <x:v>20</x:v>
      </x:c>
      <x:c r="C27" s="7" t="n">
        <x:v>20</x:v>
      </x:c>
      <x:c r="D27" s="7" t="str">
        <x:f>IF(B27=C27,"PASS","CHECK")</x:f>
        <x:v>PASS</x:v>
      </x:c>
      <x:c r="E27" s="7"/>
    </x:row>
    <x:row r="28" ht="38" customHeight="1">
      <x:c r="A28" s="7" t="str">
        <x:v>Language rows with references</x:v>
      </x:c>
      <x:c r="B28" s="7" t="n">
        <x:f>COUNTIFS('Evaluation Plan'!$H$2:$H$131,"Language robustness",'Evaluation Plan'!$E$2:$E$131,"&gt;=0")</x:f>
        <x:v>20</x:v>
      </x:c>
      <x:c r="C28" s="7" t="n">
        <x:v>20</x:v>
      </x:c>
      <x:c r="D28" s="7" t="str">
        <x:f>IF(B28=C28,"PASS","CHECK")</x:f>
        <x:v>PASS</x:v>
      </x:c>
      <x:c r="E28" s="7"/>
    </x:row>
    <x:row r="29" ht="38" customHeight="1">
      <x:c r="A29" s="7" t="str">
        <x:v>Control rows referencing canonical transfer</x:v>
      </x:c>
      <x:c r="B29" s="7" t="n">
        <x:f>COUNTIFS('Evaluation Plan'!$H$2:$H$131,"Matched manipulation control",'Evaluation Plan'!$E$2:$E$131,"&gt;=0")</x:f>
        <x:v>20</x:v>
      </x:c>
      <x:c r="C29" s="7" t="n">
        <x:v>20</x:v>
      </x:c>
      <x:c r="D29" s="7" t="str">
        <x:f>IF(B29=C29,"PASS","CHECK")</x:f>
        <x:v>PASS</x:v>
      </x:c>
      <x:c r="E29" s="7"/>
    </x:row>
    <x:row r="30" ht="38" customHeight="1">
      <x:c r="A30" s="7" t="str">
        <x:v>Initial Not collected statuses</x:v>
      </x:c>
      <x:c r="B30" s="7" t="n">
        <x:f>COUNTIF('Evaluation Plan'!$A$2:$A$131,"Not collected")</x:f>
        <x:v>130</x:v>
      </x:c>
      <x:c r="C30" s="7" t="n">
        <x:v>130</x:v>
      </x:c>
      <x:c r="D30" s="7" t="str">
        <x:f>IF(B30=C30,"PASS","CHECK")</x:f>
        <x:v>PASS</x:v>
      </x:c>
      <x:c r="E30" s="7"/>
    </x:row>
    <x:row r="31" ht="38" customHeight="1">
      <x:c r="A31" s="7" t="str">
        <x:v>Minimum episode number</x:v>
      </x:c>
      <x:c r="B31" s="7" t="n">
        <x:f>MIN('Evaluation Plan'!$B$2:$B$131)</x:f>
        <x:v>0</x:v>
      </x:c>
      <x:c r="C31" s="7" t="n">
        <x:v>0</x:v>
      </x:c>
      <x:c r="D31" s="7" t="str">
        <x:f>IF(B31=C31,"PASS","CHECK")</x:f>
        <x:v>PASS</x:v>
      </x:c>
      <x:c r="E31" s="7"/>
    </x:row>
    <x:row r="32" ht="38" customHeight="1">
      <x:c r="A32" s="7" t="str">
        <x:v>Maximum episode number</x:v>
      </x:c>
      <x:c r="B32" s="7" t="n">
        <x:f>MAX('Evaluation Plan'!$B$2:$B$131)</x:f>
        <x:v>129</x:v>
      </x:c>
      <x:c r="C32" s="7" t="n">
        <x:v>129</x:v>
      </x:c>
      <x:c r="D32" s="7" t="str">
        <x:f>IF(B32=C32,"PASS","CHECK")</x:f>
        <x:v>PASS</x:v>
      </x:c>
      <x:c r="E32" s="7"/>
    </x:row>
  </x:sheetData>
  <x:conditionalFormatting sqref="D2:D32">
    <x:cfRule type="containsText" dxfId="7" priority="1" operator="containsText" text="PASS"/>
    <x:cfRule type="containsText" dxfId="8" priority="2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3eda2a0a77264b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42" hidden="0" customWidth="1"/>
    <x:col min="4" max="4" width="82" hidden="0" customWidth="1"/>
    <x:col min="5" max="5" width="13" hidden="0" customWidth="1"/>
    <x:col min="6" max="6" width="25" hidden="0" customWidth="1"/>
    <x:col min="7" max="7" width="42" hidden="0" customWidth="1"/>
    <x:col min="8" max="8" width="31" hidden="0" customWidth="1"/>
    <x:col min="9" max="9" width="13" hidden="0" customWidth="1"/>
    <x:col min="10" max="10" width="14" hidden="0" customWidth="1"/>
    <x:col min="11" max="11" width="12" hidden="0" customWidth="1"/>
    <x:col min="12" max="12" width="46" hidden="0" customWidth="1"/>
    <x:col min="13" max="13" width="12" hidden="0" customWidth="1"/>
    <x:col min="14" max="14" width="64" hidden="0" customWidth="1"/>
    <x:col min="15" max="15" width="66" hidden="0" customWidth="1"/>
    <x:col min="16" max="16" width="28" hidden="0" customWidth="1"/>
  </x:cols>
  <x:sheetData>
    <x:row r="1" ht="36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(P1-P4)</x:v>
      </x:c>
      <x:c r="E1" s="5" t="str">
        <x:v>Reference Episode</x:v>
      </x:c>
      <x:c r="F1" s="5" t="str">
        <x:v>Expected Target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Queried State</x:v>
      </x:c>
      <x:c r="K1" s="5" t="str">
        <x:v>Object Count</x:v>
      </x:c>
      <x:c r="L1" s="5" t="str">
        <x:v>Comparison / Subtype</x:v>
      </x:c>
      <x:c r="M1" s="5" t="str">
        <x:v>Collection Block</x:v>
      </x:c>
      <x:c r="N1" s="5" t="str">
        <x:v>Setup Change from Previous</x:v>
      </x:c>
      <x:c r="O1" s="5" t="str">
        <x:v>Design Note</x:v>
      </x:c>
      <x:c r="P1" s="5" t="str">
        <x:v>Reference Media Filename</x:v>
      </x:c>
    </x:row>
    <x:row r="2" ht="58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Place the closed white cup in the bowl.</x:v>
      </x:c>
      <x:c r="D2" s="10" t="str">
        <x:f>'Evaluation Plan'!D2</x:f>
        <x:v>P1 white cup A (C, UR) [TARGET]; P2 white cup B (O, UR) [STATE COMPETITOR]; P3 yellow-white striped cup A (O, UR)</x:v>
      </x:c>
      <x:c r="E2" s="9" t="str">
        <x:f>IF('Evaluation Plan'!H2="Exact-scene opposite-state contrast",'Evaluation Plan'!E2,IF('Evaluation Plan'!H2="Language robustness",'Evaluation Plan'!E2,IF('Evaluation Plan'!H2="Matched manipulation control",'Evaluation Plan'!E2,IF('Evaluation Plan'!H2="Black-cup held-out-state composition",'Evaluation Plan'!E2,""))))</x:f>
      </x:c>
      <x:c r="F2" s="9" t="str">
        <x:f>'Evaluation Plan'!F2</x:f>
        <x:v>white cup A</x:v>
      </x:c>
      <x:c r="G2" s="10"/>
      <x:c r="H2" s="9" t="str">
        <x:f>'Evaluation Plan'!H2</x:f>
        <x:v>Concept/compositional transfer</x:v>
      </x:c>
      <x:c r="I2" s="9" t="str">
        <x:f>'Evaluation Plan'!I2</x:f>
        <x:v>SR-F01</x:v>
      </x:c>
      <x:c r="J2" s="9" t="str">
        <x:f>'Evaluation Plan'!J2</x:f>
        <x:v>closed</x:v>
      </x:c>
      <x:c r="K2" s="9" t="n">
        <x:f>'Evaluation Plan'!K2</x:f>
        <x:v>3</x:v>
      </x:c>
      <x:c r="L2" s="9" t="str">
        <x:f>'Evaluation Plan'!L2</x:f>
        <x:v>1 — Canonical transfer — Held-out state word + known category (closed)</x:v>
      </x:c>
      <x:c r="M2" s="9" t="n">
        <x:f>'Evaluation Plan'!M2</x:f>
        <x:v>1</x:v>
      </x:c>
      <x:c r="N2" s="10" t="str">
        <x:f>'Evaluation Plan'!N2</x:f>
        <x:v>Build the marked same-category discrimination scene. Save a first-frame image or filename.</x:v>
      </x:c>
      <x:c r="O2" s="10" t="str">
        <x:f>'Evaluation Plan'!O2</x:f>
        <x:v>Two objects match the named category; only the state word selects the target. Target and competitor differ only on the queried state axis.</x:v>
      </x:c>
      <x:c r="P2" s="10" t="str">
        <x:f>IF('Evaluation Plan'!P2=0,"",'Evaluation Plan'!P2)</x:f>
      </x:c>
    </x:row>
    <x:row r="3" ht="58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Put the open white cup in the bowl.</x:v>
      </x:c>
      <x:c r="D3" s="7" t="str">
        <x:f>'Evaluation Plan'!D3</x:f>
        <x:v>P1 white cup A (C, UR) [STATE COMPETITOR]; P2 white cup B (O, UR) [TARGET]; P3 yellow-white striped cup A (O, UR)</x:v>
      </x:c>
      <x:c r="E3" s="8" t="n">
        <x:f>IF('Evaluation Plan'!H3="Exact-scene opposite-state contrast",'Evaluation Plan'!E3,IF('Evaluation Plan'!H3="Language robustness",'Evaluation Plan'!E3,IF('Evaluation Plan'!H3="Matched manipulation control",'Evaluation Plan'!E3,IF('Evaluation Plan'!H3="Black-cup held-out-state composition",'Evaluation Plan'!E3,""))))</x:f>
        <x:v>0</x:v>
      </x:c>
      <x:c r="F3" s="8" t="str">
        <x:f>'Evaluation Plan'!F3</x:f>
        <x:v>white cup B</x:v>
      </x:c>
      <x:c r="G3" s="7"/>
      <x:c r="H3" s="8" t="str">
        <x:f>'Evaluation Plan'!H3</x:f>
        <x:v>Exact-scene opposite-state contrast</x:v>
      </x:c>
      <x:c r="I3" s="8" t="str">
        <x:f>'Evaluation Plan'!I3</x:f>
        <x:v>SR-F01</x:v>
      </x:c>
      <x:c r="J3" s="8" t="str">
        <x:f>'Evaluation Plan'!J3</x:f>
        <x:v>open</x:v>
      </x:c>
      <x:c r="K3" s="8" t="n">
        <x:f>'Evaluation Plan'!K3</x:f>
        <x:v>3</x:v>
      </x:c>
      <x:c r="L3" s="8" t="str">
        <x:f>'Evaluation Plan'!L3</x:f>
        <x:v>2 — Exact-scene opposite-state contrast — State-word counterfactual (closed→open)</x:v>
      </x:c>
      <x:c r="M3" s="8" t="n">
        <x:f>'Evaluation Plan'!M3</x:f>
        <x:v>1</x:v>
      </x:c>
      <x:c r="N3" s="7" t="str">
        <x:f>'Evaluation Plan'!N3</x:f>
        <x:v>Reset the canonical target to its marked position. Preserve every object and state; change only the queried state word and expected target.</x:v>
      </x:c>
      <x:c r="O3" s="7" t="str">
        <x:f>'Evaluation Plan'!O3</x:f>
        <x:v>Exact-scene semantic counterfactual. The state word switches to the opposite state and the correct target switches to the other same-category instance.</x:v>
      </x:c>
      <x:c r="P3" s="7" t="str">
        <x:f>IF('Evaluation Plan'!P3=0,"",'Evaluation Plan'!P3)</x:f>
      </x:c>
    </x:row>
    <x:row r="4" ht="58" customHeight="1">
      <x:c r="A4" s="8" t="str">
        <x:v>Not collected</x:v>
      </x:c>
      <x:c r="B4" s="8" t="n">
        <x:f>'Evaluation Plan'!B4</x:f>
        <x:v>2</x:v>
      </x:c>
      <x:c r="C4" s="7" t="str">
        <x:f>'Evaluation Plan'!C4</x:f>
        <x:v>Move the white cup that is closed into the bowl.</x:v>
      </x:c>
      <x:c r="D4" s="7" t="str">
        <x:f>'Evaluation Plan'!D4</x:f>
        <x:v>P1 white cup A (C, UR) [TARGET]; P2 white cup B (O, UR) [STATE COMPETITOR]; P3 yellow-white striped cup A (O, UR)</x:v>
      </x:c>
      <x:c r="E4" s="8" t="n">
        <x:f>IF('Evaluation Plan'!H4="Exact-scene opposite-state contrast",'Evaluation Plan'!E4,IF('Evaluation Plan'!H4="Language robustness",'Evaluation Plan'!E4,IF('Evaluation Plan'!H4="Matched manipulation control",'Evaluation Plan'!E4,IF('Evaluation Plan'!H4="Black-cup held-out-state composition",'Evaluation Plan'!E4,""))))</x:f>
        <x:v>0</x:v>
      </x:c>
      <x:c r="F4" s="8" t="str">
        <x:f>'Evaluation Plan'!F4</x:f>
        <x:v>white cup A</x:v>
      </x:c>
      <x:c r="G4" s="7"/>
      <x:c r="H4" s="8" t="str">
        <x:f>'Evaluation Plan'!H4</x:f>
        <x:v>Language robustness</x:v>
      </x:c>
      <x:c r="I4" s="8" t="str">
        <x:f>'Evaluation Plan'!I4</x:f>
        <x:v>SR-F01</x:v>
      </x:c>
      <x:c r="J4" s="8" t="str">
        <x:f>'Evaluation Plan'!J4</x:f>
        <x:v>closed</x:v>
      </x:c>
      <x:c r="K4" s="8" t="n">
        <x:f>'Evaluation Plan'!K4</x:f>
        <x:v>3</x:v>
      </x:c>
      <x:c r="L4" s="8" t="str">
        <x:f>'Evaluation Plan'!L4</x:f>
        <x:v>3 — Exact-scene transfer paraphrase — Paraphrase of concept/compositional-transfer prompt</x:v>
      </x:c>
      <x:c r="M4" s="8" t="n">
        <x:f>'Evaluation Plan'!M4</x:f>
        <x:v>1</x:v>
      </x:c>
      <x:c r="N4" s="7" t="str">
        <x:f>'Evaluation Plan'!N4</x:f>
        <x:v>Reset only the moved target; change only the prompt wording.</x:v>
      </x:c>
      <x:c r="O4" s="7" t="str">
        <x:f>'Evaluation Plan'!O4</x:f>
        <x:v>Exact-scene language pair for the state-bearing transfer prompt.</x:v>
      </x:c>
      <x:c r="P4" s="7" t="str">
        <x:f>IF('Evaluation Plan'!P4=0,"",'Evaluation Plan'!P4)</x:f>
      </x:c>
    </x:row>
    <x:row r="5" ht="58" customHeight="1">
      <x:c r="A5" s="8" t="str">
        <x:v>Not collected</x:v>
      </x:c>
      <x:c r="B5" s="8" t="n">
        <x:f>'Evaluation Plan'!B5</x:f>
        <x:v>3</x:v>
      </x:c>
      <x:c r="C5" s="7" t="str">
        <x:f>'Evaluation Plan'!C5</x:f>
        <x:v>Place the white cup in the bowl.</x:v>
      </x:c>
      <x:c r="D5" s="7" t="str">
        <x:f>'Evaluation Plan'!D5</x:f>
        <x:v>P1 white cup A (C, UR) [TARGET]; P2 brown cup B (O, UR) [NEUTRAL REPLACEMENT]; P3 yellow-white striped cup A (O, UR)</x:v>
      </x:c>
      <x:c r="E5" s="8" t="n">
        <x:f>IF('Evaluation Plan'!H5="Exact-scene opposite-state contrast",'Evaluation Plan'!E5,IF('Evaluation Plan'!H5="Language robustness",'Evaluation Plan'!E5,IF('Evaluation Plan'!H5="Matched manipulation control",'Evaluation Plan'!E5,IF('Evaluation Plan'!H5="Black-cup held-out-state composition",'Evaluation Plan'!E5,""))))</x:f>
        <x:v>0</x:v>
      </x:c>
      <x:c r="F5" s="8" t="str">
        <x:f>'Evaluation Plan'!F5</x:f>
        <x:v>white cup A</x:v>
      </x:c>
      <x:c r="G5" s="7"/>
      <x:c r="H5" s="8" t="str">
        <x:f>'Evaluation Plan'!H5</x:f>
        <x:v>Matched manipulation control</x:v>
      </x:c>
      <x:c r="I5" s="8" t="str">
        <x:f>'Evaluation Plan'!I5</x:f>
        <x:v>SR-F01</x:v>
      </x:c>
      <x:c r="J5" s="8" t="str">
        <x:f>'Evaluation Plan'!J5</x:f>
        <x:v>closed</x:v>
      </x:c>
      <x:c r="K5" s="8" t="n">
        <x:f>'Evaluation Plan'!K5</x:f>
        <x:v>3</x:v>
      </x:c>
      <x:c r="L5" s="8" t="str">
        <x:f>'Evaluation Plan'!L5</x:f>
        <x:v>4 — Matched control — Category-only control with 3 objects</x:v>
      </x:c>
      <x:c r="M5" s="8" t="n">
        <x:f>'Evaluation Plan'!M5</x:f>
        <x:v>1</x:v>
      </x:c>
      <x:c r="N5" s="7" t="str">
        <x:f>'Evaluation Plan'!N5</x:f>
        <x:v>Reset the target; replace the same-category state competitor with brown cup B at the same position. Keep object count, other objects, camera, and bowl fixed.</x:v>
      </x:c>
      <x:c r="O5" s="7" t="str">
        <x:f>'Evaluation Plan'!O5</x:f>
        <x:v>The neutral replacement removes category ambiguity without changing the three- or four-object set size.</x:v>
      </x:c>
      <x:c r="P5" s="7" t="str">
        <x:f>IF('Evaluation Plan'!P5=0,"",'Evaluation Plan'!P5)</x:f>
      </x:c>
    </x:row>
    <x:row r="6" ht="58" customHeight="1">
      <x:c r="A6" s="9" t="str">
        <x:v>Not collected</x:v>
      </x:c>
      <x:c r="B6" s="9" t="n">
        <x:f>'Evaluation Plan'!B6</x:f>
        <x:v>4</x:v>
      </x:c>
      <x:c r="C6" s="10" t="str">
        <x:f>'Evaluation Plan'!C6</x:f>
        <x:v>Put the open yellow-white striped cup in the bowl.</x:v>
      </x:c>
      <x:c r="D6" s="10" t="str">
        <x:f>'Evaluation Plan'!D6</x:f>
        <x:v>P1 white cup B (C, UD); P2 yellow-white striped cup B (O, UD) [TARGET]; P3 yellow-white striped cup A (C, UD) [STATE COMPETITOR]</x:v>
      </x:c>
      <x:c r="E6" s="9" t="str">
        <x:f>IF('Evaluation Plan'!H6="Exact-scene opposite-state contrast",'Evaluation Plan'!E6,IF('Evaluation Plan'!H6="Language robustness",'Evaluation Plan'!E6,IF('Evaluation Plan'!H6="Matched manipulation control",'Evaluation Plan'!E6,IF('Evaluation Plan'!H6="Black-cup held-out-state composition",'Evaluation Plan'!E6,""))))</x:f>
      </x:c>
      <x:c r="F6" s="9" t="str">
        <x:f>'Evaluation Plan'!F6</x:f>
        <x:v>yellow-white striped cup B</x:v>
      </x:c>
      <x:c r="G6" s="10"/>
      <x:c r="H6" s="9" t="str">
        <x:f>'Evaluation Plan'!H6</x:f>
        <x:v>Concept/compositional transfer</x:v>
      </x:c>
      <x:c r="I6" s="9" t="str">
        <x:f>'Evaluation Plan'!I6</x:f>
        <x:v>SR-F02</x:v>
      </x:c>
      <x:c r="J6" s="9" t="str">
        <x:f>'Evaluation Plan'!J6</x:f>
        <x:v>open</x:v>
      </x:c>
      <x:c r="K6" s="9" t="n">
        <x:f>'Evaluation Plan'!K6</x:f>
        <x:v>3</x:v>
      </x:c>
      <x:c r="L6" s="9" t="str">
        <x:f>'Evaluation Plan'!L6</x:f>
        <x:v>1 — Canonical transfer — Seen state word in a new scene (open)</x:v>
      </x:c>
      <x:c r="M6" s="9" t="n">
        <x:f>'Evaluation Plan'!M6</x:f>
        <x:v>2</x:v>
      </x:c>
      <x:c r="N6" s="10" t="str">
        <x:f>'Evaluation Plan'!N6</x:f>
        <x:v>Build the marked same-category discrimination scene. Save a first-frame image or filename.</x:v>
      </x:c>
      <x:c r="O6" s="10" t="str">
        <x:f>'Evaluation Plan'!O6</x:f>
        <x:v>Two objects match the named category; only the state word selects the target. Target and competitor differ only on the queried state axis.</x:v>
      </x:c>
      <x:c r="P6" s="10" t="str">
        <x:f>IF('Evaluation Plan'!P6=0,"",'Evaluation Plan'!P6)</x:f>
      </x:c>
    </x:row>
    <x:row r="7" ht="58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Move the closed yellow-white striped cup into the bowl.</x:v>
      </x:c>
      <x:c r="D7" s="7" t="str">
        <x:f>'Evaluation Plan'!D7</x:f>
        <x:v>P1 white cup B (C, UD); P2 yellow-white striped cup B (O, UD) [STATE COMPETITOR]; P3 yellow-white striped cup A (C, UD) [TARGET]</x:v>
      </x:c>
      <x:c r="E7" s="8" t="n">
        <x:f>IF('Evaluation Plan'!H7="Exact-scene opposite-state contrast",'Evaluation Plan'!E7,IF('Evaluation Plan'!H7="Language robustness",'Evaluation Plan'!E7,IF('Evaluation Plan'!H7="Matched manipulation control",'Evaluation Plan'!E7,IF('Evaluation Plan'!H7="Black-cup held-out-state composition",'Evaluation Plan'!E7,""))))</x:f>
        <x:v>4</x:v>
      </x:c>
      <x:c r="F7" s="8" t="str">
        <x:f>'Evaluation Plan'!F7</x:f>
        <x:v>yellow-white striped cup A</x:v>
      </x:c>
      <x:c r="G7" s="7"/>
      <x:c r="H7" s="8" t="str">
        <x:f>'Evaluation Plan'!H7</x:f>
        <x:v>Exact-scene opposite-state contrast</x:v>
      </x:c>
      <x:c r="I7" s="8" t="str">
        <x:f>'Evaluation Plan'!I7</x:f>
        <x:v>SR-F02</x:v>
      </x:c>
      <x:c r="J7" s="8" t="str">
        <x:f>'Evaluation Plan'!J7</x:f>
        <x:v>closed</x:v>
      </x:c>
      <x:c r="K7" s="8" t="n">
        <x:f>'Evaluation Plan'!K7</x:f>
        <x:v>3</x:v>
      </x:c>
      <x:c r="L7" s="8" t="str">
        <x:f>'Evaluation Plan'!L7</x:f>
        <x:v>2 — Exact-scene opposite-state contrast — State-word counterfactual (open→closed)</x:v>
      </x:c>
      <x:c r="M7" s="8" t="n">
        <x:f>'Evaluation Plan'!M7</x:f>
        <x:v>2</x:v>
      </x:c>
      <x:c r="N7" s="7" t="str">
        <x:f>'Evaluation Plan'!N7</x:f>
        <x:v>Reset the canonical target to its marked position. Preserve every object and state; change only the queried state word and expected target.</x:v>
      </x:c>
      <x:c r="O7" s="7" t="str">
        <x:f>'Evaluation Plan'!O7</x:f>
        <x:v>Exact-scene semantic counterfactual. The state word switches to the opposite state and the correct target switches to the other same-category instance.</x:v>
      </x:c>
      <x:c r="P7" s="7" t="str">
        <x:f>IF('Evaluation Plan'!P7=0,"",'Evaluation Plan'!P7)</x:f>
      </x:c>
    </x:row>
    <x:row r="8" ht="58" customHeight="1">
      <x:c r="A8" s="8" t="str">
        <x:v>Not collected</x:v>
      </x:c>
      <x:c r="B8" s="8" t="n">
        <x:f>'Evaluation Plan'!B8</x:f>
        <x:v>6</x:v>
      </x:c>
      <x:c r="C8" s="7" t="str">
        <x:f>'Evaluation Plan'!C8</x:f>
        <x:v>Put the yellow-white striped cup with its opening uncovered in the bowl.</x:v>
      </x:c>
      <x:c r="D8" s="7" t="str">
        <x:f>'Evaluation Plan'!D8</x:f>
        <x:v>P1 white cup B (C, UD); P2 yellow-white striped cup B (O, UD) [TARGET]; P3 yellow-white striped cup A (C, UD) [STATE COMPETITOR]</x:v>
      </x:c>
      <x:c r="E8" s="8" t="n">
        <x:f>IF('Evaluation Plan'!H8="Exact-scene opposite-state contrast",'Evaluation Plan'!E8,IF('Evaluation Plan'!H8="Language robustness",'Evaluation Plan'!E8,IF('Evaluation Plan'!H8="Matched manipulation control",'Evaluation Plan'!E8,IF('Evaluation Plan'!H8="Black-cup held-out-state composition",'Evaluation Plan'!E8,""))))</x:f>
        <x:v>4</x:v>
      </x:c>
      <x:c r="F8" s="8" t="str">
        <x:f>'Evaluation Plan'!F8</x:f>
        <x:v>yellow-white striped cup B</x:v>
      </x:c>
      <x:c r="G8" s="7"/>
      <x:c r="H8" s="8" t="str">
        <x:f>'Evaluation Plan'!H8</x:f>
        <x:v>Language robustness</x:v>
      </x:c>
      <x:c r="I8" s="8" t="str">
        <x:f>'Evaluation Plan'!I8</x:f>
        <x:v>SR-F02</x:v>
      </x:c>
      <x:c r="J8" s="8" t="str">
        <x:f>'Evaluation Plan'!J8</x:f>
        <x:v>open</x:v>
      </x:c>
      <x:c r="K8" s="8" t="n">
        <x:f>'Evaluation Plan'!K8</x:f>
        <x:v>3</x:v>
      </x:c>
      <x:c r="L8" s="8" t="str">
        <x:f>'Evaluation Plan'!L8</x:f>
        <x:v>3 — Exact-scene transfer paraphrase — Paraphrase of concept/compositional-transfer prompt</x:v>
      </x:c>
      <x:c r="M8" s="8" t="n">
        <x:f>'Evaluation Plan'!M8</x:f>
        <x:v>2</x:v>
      </x:c>
      <x:c r="N8" s="7" t="str">
        <x:f>'Evaluation Plan'!N8</x:f>
        <x:v>Reset only the moved target; change only the prompt wording.</x:v>
      </x:c>
      <x:c r="O8" s="7" t="str">
        <x:f>'Evaluation Plan'!O8</x:f>
        <x:v>Exact-scene language pair for the state-bearing transfer prompt.</x:v>
      </x:c>
      <x:c r="P8" s="7" t="str">
        <x:f>IF('Evaluation Plan'!P8=0,"",'Evaluation Plan'!P8)</x:f>
      </x:c>
    </x:row>
    <x:row r="9" ht="58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Put the yellow-white striped cup in the bowl.</x:v>
      </x:c>
      <x:c r="D9" s="7" t="str">
        <x:f>'Evaluation Plan'!D9</x:f>
        <x:v>P1 white cup B (C, UD); P2 yellow-white striped cup B (O, UD) [TARGET]; P3 glass spice container A (C, UD) [NEUTRAL REPLACEMENT]</x:v>
      </x:c>
      <x:c r="E9" s="8" t="n">
        <x:f>IF('Evaluation Plan'!H9="Exact-scene opposite-state contrast",'Evaluation Plan'!E9,IF('Evaluation Plan'!H9="Language robustness",'Evaluation Plan'!E9,IF('Evaluation Plan'!H9="Matched manipulation control",'Evaluation Plan'!E9,IF('Evaluation Plan'!H9="Black-cup held-out-state composition",'Evaluation Plan'!E9,""))))</x:f>
        <x:v>4</x:v>
      </x:c>
      <x:c r="F9" s="8" t="str">
        <x:f>'Evaluation Plan'!F9</x:f>
        <x:v>yellow-white striped cup B</x:v>
      </x:c>
      <x:c r="G9" s="7"/>
      <x:c r="H9" s="8" t="str">
        <x:f>'Evaluation Plan'!H9</x:f>
        <x:v>Matched manipulation control</x:v>
      </x:c>
      <x:c r="I9" s="8" t="str">
        <x:f>'Evaluation Plan'!I9</x:f>
        <x:v>SR-F02</x:v>
      </x:c>
      <x:c r="J9" s="8" t="str">
        <x:f>'Evaluation Plan'!J9</x:f>
        <x:v>open</x:v>
      </x:c>
      <x:c r="K9" s="8" t="n">
        <x:f>'Evaluation Plan'!K9</x:f>
        <x:v>3</x:v>
      </x:c>
      <x:c r="L9" s="8" t="str">
        <x:f>'Evaluation Plan'!L9</x:f>
        <x:v>4 — Matched control — Category-only control with 3 objects</x:v>
      </x:c>
      <x:c r="M9" s="8" t="n">
        <x:f>'Evaluation Plan'!M9</x:f>
        <x:v>2</x:v>
      </x:c>
      <x:c r="N9" s="7" t="str">
        <x:f>'Evaluation Plan'!N9</x:f>
        <x:v>Reset the target; replace the same-category state competitor with glass spice container A at the same position. Keep object count, other objects, camera, and bowl fixed.</x:v>
      </x:c>
      <x:c r="O9" s="7" t="str">
        <x:f>'Evaluation Plan'!O9</x:f>
        <x:v>The neutral replacement removes category ambiguity without changing the three- or four-object set size.</x:v>
      </x:c>
      <x:c r="P9" s="7" t="str">
        <x:f>IF('Evaluation Plan'!P9=0,"",'Evaluation Plan'!P9)</x:f>
      </x:c>
    </x:row>
    <x:row r="10" ht="58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Move the upright brown cup into the bowl.</x:v>
      </x:c>
      <x:c r="D10" s="10" t="str">
        <x:f>'Evaluation Plan'!D10</x:f>
        <x:v>P1 brown cup B (O, UD) [STATE COMPETITOR]; P2 white cup B (C, UD); P3 brown cup A (O, UR) [TARGET]</x:v>
      </x:c>
      <x:c r="E10" s="9" t="str">
        <x:f>IF('Evaluation Plan'!H10="Exact-scene opposite-state contrast",'Evaluation Plan'!E10,IF('Evaluation Plan'!H10="Language robustness",'Evaluation Plan'!E10,IF('Evaluation Plan'!H10="Matched manipulation control",'Evaluation Plan'!E10,IF('Evaluation Plan'!H10="Black-cup held-out-state composition",'Evaluation Plan'!E10,""))))</x:f>
      </x:c>
      <x:c r="F10" s="9" t="str">
        <x:f>'Evaluation Plan'!F10</x:f>
        <x:v>brown cup A</x:v>
      </x:c>
      <x:c r="G10" s="10"/>
      <x:c r="H10" s="9" t="str">
        <x:f>'Evaluation Plan'!H10</x:f>
        <x:v>Concept/compositional transfer</x:v>
      </x:c>
      <x:c r="I10" s="9" t="str">
        <x:f>'Evaluation Plan'!I10</x:f>
        <x:v>SR-F03</x:v>
      </x:c>
      <x:c r="J10" s="9" t="str">
        <x:f>'Evaluation Plan'!J10</x:f>
        <x:v>upright</x:v>
      </x:c>
      <x:c r="K10" s="9" t="n">
        <x:f>'Evaluation Plan'!K10</x:f>
        <x:v>3</x:v>
      </x:c>
      <x:c r="L10" s="9" t="str">
        <x:f>'Evaluation Plan'!L10</x:f>
        <x:v>1 — Canonical transfer — Held-out state word + known category (upright)</x:v>
      </x:c>
      <x:c r="M10" s="9" t="n">
        <x:f>'Evaluation Plan'!M10</x:f>
        <x:v>3</x:v>
      </x:c>
      <x:c r="N10" s="10" t="str">
        <x:f>'Evaluation Plan'!N10</x:f>
        <x:v>Build the marked same-category discrimination scene. Save a first-frame image or filename.</x:v>
      </x:c>
      <x:c r="O10" s="10" t="str">
        <x:f>'Evaluation Plan'!O10</x:f>
        <x:v>Two objects match the named category; only the state word selects the target. Target and competitor differ only on the queried state axis.</x:v>
      </x:c>
      <x:c r="P10" s="10" t="str">
        <x:f>IF('Evaluation Plan'!P10=0,"",'Evaluation Plan'!P10)</x:f>
      </x:c>
    </x:row>
    <x:row r="11" ht="58" customHeight="1">
      <x:c r="A11" s="8" t="str">
        <x:v>Not collected</x:v>
      </x:c>
      <x:c r="B11" s="8" t="n">
        <x:f>'Evaluation Plan'!B11</x:f>
        <x:v>9</x:v>
      </x:c>
      <x:c r="C11" s="7" t="str">
        <x:f>'Evaluation Plan'!C11</x:f>
        <x:v>Place the upside-down brown cup in the bowl.</x:v>
      </x:c>
      <x:c r="D11" s="7" t="str">
        <x:f>'Evaluation Plan'!D11</x:f>
        <x:v>P1 brown cup B (O, UD) [TARGET]; P2 white cup B (C, UD); P3 brown cup A (O, UR) [STATE COMPETITOR]</x:v>
      </x:c>
      <x:c r="E11" s="8" t="n">
        <x:f>IF('Evaluation Plan'!H11="Exact-scene opposite-state contrast",'Evaluation Plan'!E11,IF('Evaluation Plan'!H11="Language robustness",'Evaluation Plan'!E11,IF('Evaluation Plan'!H11="Matched manipulation control",'Evaluation Plan'!E11,IF('Evaluation Plan'!H11="Black-cup held-out-state composition",'Evaluation Plan'!E11,""))))</x:f>
        <x:v>8</x:v>
      </x:c>
      <x:c r="F11" s="8" t="str">
        <x:f>'Evaluation Plan'!F11</x:f>
        <x:v>brown cup B</x:v>
      </x:c>
      <x:c r="G11" s="7"/>
      <x:c r="H11" s="8" t="str">
        <x:f>'Evaluation Plan'!H11</x:f>
        <x:v>Exact-scene opposite-state contrast</x:v>
      </x:c>
      <x:c r="I11" s="8" t="str">
        <x:f>'Evaluation Plan'!I11</x:f>
        <x:v>SR-F03</x:v>
      </x:c>
      <x:c r="J11" s="8" t="str">
        <x:f>'Evaluation Plan'!J11</x:f>
        <x:v>upside-down</x:v>
      </x:c>
      <x:c r="K11" s="8" t="n">
        <x:f>'Evaluation Plan'!K11</x:f>
        <x:v>3</x:v>
      </x:c>
      <x:c r="L11" s="8" t="str">
        <x:f>'Evaluation Plan'!L11</x:f>
        <x:v>2 — Exact-scene opposite-state contrast — State-word counterfactual (upright→upside-down)</x:v>
      </x:c>
      <x:c r="M11" s="8" t="n">
        <x:f>'Evaluation Plan'!M11</x:f>
        <x:v>3</x:v>
      </x:c>
      <x:c r="N11" s="7" t="str">
        <x:f>'Evaluation Plan'!N11</x:f>
        <x:v>Reset the canonical target to its marked position. Preserve every object and state; change only the queried state word and expected target.</x:v>
      </x:c>
      <x:c r="O11" s="7" t="str">
        <x:f>'Evaluation Plan'!O11</x:f>
        <x:v>Exact-scene semantic counterfactual. The state word switches to the opposite state and the correct target switches to the other same-category instance.</x:v>
      </x:c>
      <x:c r="P11" s="7" t="str">
        <x:f>IF('Evaluation Plan'!P11=0,"",'Evaluation Plan'!P11)</x:f>
      </x:c>
    </x:row>
    <x:row r="12" ht="58" customHeight="1">
      <x:c r="A12" s="8" t="str">
        <x:v>Not collected</x:v>
      </x:c>
      <x:c r="B12" s="8" t="n">
        <x:f>'Evaluation Plan'!B12</x:f>
        <x:v>10</x:v>
      </x:c>
      <x:c r="C12" s="7" t="str">
        <x:f>'Evaluation Plan'!C12</x:f>
        <x:v>Find the upright brown cup and place it in the bowl.</x:v>
      </x:c>
      <x:c r="D12" s="7" t="str">
        <x:f>'Evaluation Plan'!D12</x:f>
        <x:v>P1 brown cup B (O, UD) [STATE COMPETITOR]; P2 white cup B (C, UD); P3 brown cup A (O, UR) [TARGET]</x:v>
      </x:c>
      <x:c r="E12" s="8" t="n">
        <x:f>IF('Evaluation Plan'!H12="Exact-scene opposite-state contrast",'Evaluation Plan'!E12,IF('Evaluation Plan'!H12="Language robustness",'Evaluation Plan'!E12,IF('Evaluation Plan'!H12="Matched manipulation control",'Evaluation Plan'!E12,IF('Evaluation Plan'!H12="Black-cup held-out-state composition",'Evaluation Plan'!E12,""))))</x:f>
        <x:v>8</x:v>
      </x:c>
      <x:c r="F12" s="8" t="str">
        <x:f>'Evaluation Plan'!F12</x:f>
        <x:v>brown cup A</x:v>
      </x:c>
      <x:c r="G12" s="7"/>
      <x:c r="H12" s="8" t="str">
        <x:f>'Evaluation Plan'!H12</x:f>
        <x:v>Language robustness</x:v>
      </x:c>
      <x:c r="I12" s="8" t="str">
        <x:f>'Evaluation Plan'!I12</x:f>
        <x:v>SR-F03</x:v>
      </x:c>
      <x:c r="J12" s="8" t="str">
        <x:f>'Evaluation Plan'!J12</x:f>
        <x:v>upright</x:v>
      </x:c>
      <x:c r="K12" s="8" t="n">
        <x:f>'Evaluation Plan'!K12</x:f>
        <x:v>3</x:v>
      </x:c>
      <x:c r="L12" s="8" t="str">
        <x:f>'Evaluation Plan'!L12</x:f>
        <x:v>3 — Exact-scene transfer paraphrase — Paraphrase of concept/compositional-transfer prompt</x:v>
      </x:c>
      <x:c r="M12" s="8" t="n">
        <x:f>'Evaluation Plan'!M12</x:f>
        <x:v>3</x:v>
      </x:c>
      <x:c r="N12" s="7" t="str">
        <x:f>'Evaluation Plan'!N12</x:f>
        <x:v>Reset only the moved target; change only the prompt wording.</x:v>
      </x:c>
      <x:c r="O12" s="7" t="str">
        <x:f>'Evaluation Plan'!O12</x:f>
        <x:v>Exact-scene language pair for the state-bearing transfer prompt.</x:v>
      </x:c>
      <x:c r="P12" s="7" t="str">
        <x:f>IF('Evaluation Plan'!P12=0,"",'Evaluation Plan'!P12)</x:f>
      </x:c>
    </x:row>
    <x:row r="13" ht="58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Move the brown cup into the bowl.</x:v>
      </x:c>
      <x:c r="D13" s="7" t="str">
        <x:f>'Evaluation Plan'!D13</x:f>
        <x:v>P1 yellow-white striped cup B (O, UD) [NEUTRAL REPLACEMENT]; P2 white cup B (C, UD); P3 brown cup A (O, UR) [TARGET]</x:v>
      </x:c>
      <x:c r="E13" s="8" t="n">
        <x:f>IF('Evaluation Plan'!H13="Exact-scene opposite-state contrast",'Evaluation Plan'!E13,IF('Evaluation Plan'!H13="Language robustness",'Evaluation Plan'!E13,IF('Evaluation Plan'!H13="Matched manipulation control",'Evaluation Plan'!E13,IF('Evaluation Plan'!H13="Black-cup held-out-state composition",'Evaluation Plan'!E13,""))))</x:f>
        <x:v>8</x:v>
      </x:c>
      <x:c r="F13" s="8" t="str">
        <x:f>'Evaluation Plan'!F13</x:f>
        <x:v>brown cup A</x:v>
      </x:c>
      <x:c r="G13" s="7"/>
      <x:c r="H13" s="8" t="str">
        <x:f>'Evaluation Plan'!H13</x:f>
        <x:v>Matched manipulation control</x:v>
      </x:c>
      <x:c r="I13" s="8" t="str">
        <x:f>'Evaluation Plan'!I13</x:f>
        <x:v>SR-F03</x:v>
      </x:c>
      <x:c r="J13" s="8" t="str">
        <x:f>'Evaluation Plan'!J13</x:f>
        <x:v>upright</x:v>
      </x:c>
      <x:c r="K13" s="8" t="n">
        <x:f>'Evaluation Plan'!K13</x:f>
        <x:v>3</x:v>
      </x:c>
      <x:c r="L13" s="8" t="str">
        <x:f>'Evaluation Plan'!L13</x:f>
        <x:v>4 — Matched control — Category-only control with 3 objects</x:v>
      </x:c>
      <x:c r="M13" s="8" t="n">
        <x:f>'Evaluation Plan'!M13</x:f>
        <x:v>3</x:v>
      </x:c>
      <x:c r="N13" s="7" t="str">
        <x:f>'Evaluation Plan'!N13</x:f>
        <x:v>Reset the target; replace the same-category state competitor with yellow-white striped cup B at the same position. Keep object count, other objects, camera, and bowl fixed.</x:v>
      </x:c>
      <x:c r="O13" s="7" t="str">
        <x:f>'Evaluation Plan'!O13</x:f>
        <x:v>The neutral replacement removes category ambiguity without changing the three- or four-object set size.</x:v>
      </x:c>
      <x:c r="P13" s="7" t="str">
        <x:f>IF('Evaluation Plan'!P13=0,"",'Evaluation Plan'!P13)</x:f>
      </x:c>
    </x:row>
    <x:row r="14" ht="58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Place the upside-down glass spice container in the bowl.</x:v>
      </x:c>
      <x:c r="D14" s="10" t="str">
        <x:f>'Evaluation Plan'!D14</x:f>
        <x:v>P1 glass spice container B (C, UD) [TARGET]; P2 glass spice container A (C, UR) [STATE COMPETITOR]; P3 white cup B (C, UD)</x:v>
      </x:c>
      <x:c r="E14" s="9" t="str">
        <x:f>IF('Evaluation Plan'!H14="Exact-scene opposite-state contrast",'Evaluation Plan'!E14,IF('Evaluation Plan'!H14="Language robustness",'Evaluation Plan'!E14,IF('Evaluation Plan'!H14="Matched manipulation control",'Evaluation Plan'!E14,IF('Evaluation Plan'!H14="Black-cup held-out-state composition",'Evaluation Plan'!E14,""))))</x:f>
      </x:c>
      <x:c r="F14" s="9" t="str">
        <x:f>'Evaluation Plan'!F14</x:f>
        <x:v>glass spice container B</x:v>
      </x:c>
      <x:c r="G14" s="10"/>
      <x:c r="H14" s="9" t="str">
        <x:f>'Evaluation Plan'!H14</x:f>
        <x:v>Concept/compositional transfer</x:v>
      </x:c>
      <x:c r="I14" s="9" t="str">
        <x:f>'Evaluation Plan'!I14</x:f>
        <x:v>SR-F04</x:v>
      </x:c>
      <x:c r="J14" s="9" t="str">
        <x:f>'Evaluation Plan'!J14</x:f>
        <x:v>upside-down</x:v>
      </x:c>
      <x:c r="K14" s="9" t="n">
        <x:f>'Evaluation Plan'!K14</x:f>
        <x:v>3</x:v>
      </x:c>
      <x:c r="L14" s="9" t="str">
        <x:f>'Evaluation Plan'!L14</x:f>
        <x:v>1 — Canonical transfer — Seen state word in a new scene (upside-down)</x:v>
      </x:c>
      <x:c r="M14" s="9" t="n">
        <x:f>'Evaluation Plan'!M14</x:f>
        <x:v>4</x:v>
      </x:c>
      <x:c r="N14" s="10" t="str">
        <x:f>'Evaluation Plan'!N14</x:f>
        <x:v>Build the marked same-category discrimination scene. Save a first-frame image or filename.</x:v>
      </x:c>
      <x:c r="O14" s="10" t="str">
        <x:f>'Evaluation Plan'!O14</x:f>
        <x:v>Two objects match the named category; only the state word selects the target. Target and competitor differ only on the queried state axis.</x:v>
      </x:c>
      <x:c r="P14" s="10" t="str">
        <x:f>IF('Evaluation Plan'!P14=0,"",'Evaluation Plan'!P14)</x:f>
      </x:c>
    </x:row>
    <x:row r="15" ht="58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Put the upright glass spice container in the bowl.</x:v>
      </x:c>
      <x:c r="D15" s="7" t="str">
        <x:f>'Evaluation Plan'!D15</x:f>
        <x:v>P1 glass spice container B (C, UD) [STATE COMPETITOR]; P2 glass spice container A (C, UR) [TARGET]; P3 white cup B (C, UD)</x:v>
      </x:c>
      <x:c r="E15" s="8" t="n">
        <x:f>IF('Evaluation Plan'!H15="Exact-scene opposite-state contrast",'Evaluation Plan'!E15,IF('Evaluation Plan'!H15="Language robustness",'Evaluation Plan'!E15,IF('Evaluation Plan'!H15="Matched manipulation control",'Evaluation Plan'!E15,IF('Evaluation Plan'!H15="Black-cup held-out-state composition",'Evaluation Plan'!E15,""))))</x:f>
        <x:v>12</x:v>
      </x:c>
      <x:c r="F15" s="8" t="str">
        <x:f>'Evaluation Plan'!F15</x:f>
        <x:v>glass spice container A</x:v>
      </x:c>
      <x:c r="G15" s="7"/>
      <x:c r="H15" s="8" t="str">
        <x:f>'Evaluation Plan'!H15</x:f>
        <x:v>Exact-scene opposite-state contrast</x:v>
      </x:c>
      <x:c r="I15" s="8" t="str">
        <x:f>'Evaluation Plan'!I15</x:f>
        <x:v>SR-F04</x:v>
      </x:c>
      <x:c r="J15" s="8" t="str">
        <x:f>'Evaluation Plan'!J15</x:f>
        <x:v>upright</x:v>
      </x:c>
      <x:c r="K15" s="8" t="n">
        <x:f>'Evaluation Plan'!K15</x:f>
        <x:v>3</x:v>
      </x:c>
      <x:c r="L15" s="8" t="str">
        <x:f>'Evaluation Plan'!L15</x:f>
        <x:v>2 — Exact-scene opposite-state contrast — State-word counterfactual (upside-down→upright)</x:v>
      </x:c>
      <x:c r="M15" s="8" t="n">
        <x:f>'Evaluation Plan'!M15</x:f>
        <x:v>4</x:v>
      </x:c>
      <x:c r="N15" s="7" t="str">
        <x:f>'Evaluation Plan'!N15</x:f>
        <x:v>Reset the canonical target to its marked position. Preserve every object and state; change only the queried state word and expected target.</x:v>
      </x:c>
      <x:c r="O15" s="7" t="str">
        <x:f>'Evaluation Plan'!O15</x:f>
        <x:v>Exact-scene semantic counterfactual. The state word switches to the opposite state and the correct target switches to the other same-category instance.</x:v>
      </x:c>
      <x:c r="P15" s="7" t="str">
        <x:f>IF('Evaluation Plan'!P15=0,"",'Evaluation Plan'!P15)</x:f>
      </x:c>
    </x:row>
    <x:row r="16" ht="58" customHeight="1">
      <x:c r="A16" s="8" t="str">
        <x:v>Not collected</x:v>
      </x:c>
      <x:c r="B16" s="8" t="n">
        <x:f>'Evaluation Plan'!B16</x:f>
        <x:v>14</x:v>
      </x:c>
      <x:c r="C16" s="7" t="str">
        <x:f>'Evaluation Plan'!C16</x:f>
        <x:v>Place the overturned glass spice container in the bowl.</x:v>
      </x:c>
      <x:c r="D16" s="7" t="str">
        <x:f>'Evaluation Plan'!D16</x:f>
        <x:v>P1 glass spice container B (C, UD) [TARGET]; P2 glass spice container A (C, UR) [STATE COMPETITOR]; P3 white cup B (C, UD)</x:v>
      </x:c>
      <x:c r="E16" s="8" t="n">
        <x:f>IF('Evaluation Plan'!H16="Exact-scene opposite-state contrast",'Evaluation Plan'!E16,IF('Evaluation Plan'!H16="Language robustness",'Evaluation Plan'!E16,IF('Evaluation Plan'!H16="Matched manipulation control",'Evaluation Plan'!E16,IF('Evaluation Plan'!H16="Black-cup held-out-state composition",'Evaluation Plan'!E16,""))))</x:f>
        <x:v>12</x:v>
      </x:c>
      <x:c r="F16" s="8" t="str">
        <x:f>'Evaluation Plan'!F16</x:f>
        <x:v>glass spice container B</x:v>
      </x:c>
      <x:c r="G16" s="7"/>
      <x:c r="H16" s="8" t="str">
        <x:f>'Evaluation Plan'!H16</x:f>
        <x:v>Language robustness</x:v>
      </x:c>
      <x:c r="I16" s="8" t="str">
        <x:f>'Evaluation Plan'!I16</x:f>
        <x:v>SR-F04</x:v>
      </x:c>
      <x:c r="J16" s="8" t="str">
        <x:f>'Evaluation Plan'!J16</x:f>
        <x:v>upside-down</x:v>
      </x:c>
      <x:c r="K16" s="8" t="n">
        <x:f>'Evaluation Plan'!K16</x:f>
        <x:v>3</x:v>
      </x:c>
      <x:c r="L16" s="8" t="str">
        <x:f>'Evaluation Plan'!L16</x:f>
        <x:v>3 — Exact-scene transfer paraphrase — Paraphrase of concept/compositional-transfer prompt</x:v>
      </x:c>
      <x:c r="M16" s="8" t="n">
        <x:f>'Evaluation Plan'!M16</x:f>
        <x:v>4</x:v>
      </x:c>
      <x:c r="N16" s="7" t="str">
        <x:f>'Evaluation Plan'!N16</x:f>
        <x:v>Reset only the moved target; change only the prompt wording.</x:v>
      </x:c>
      <x:c r="O16" s="7" t="str">
        <x:f>'Evaluation Plan'!O16</x:f>
        <x:v>Exact-scene language pair for the state-bearing transfer prompt.</x:v>
      </x:c>
      <x:c r="P16" s="7" t="str">
        <x:f>IF('Evaluation Plan'!P16=0,"",'Evaluation Plan'!P16)</x:f>
      </x:c>
    </x:row>
    <x:row r="17" ht="58" customHeight="1">
      <x:c r="A17" s="8" t="str">
        <x:v>Not collected</x:v>
      </x:c>
      <x:c r="B17" s="8" t="n">
        <x:f>'Evaluation Plan'!B17</x:f>
        <x:v>15</x:v>
      </x:c>
      <x:c r="C17" s="7" t="str">
        <x:f>'Evaluation Plan'!C17</x:f>
        <x:v>Place the glass spice container in the bowl.</x:v>
      </x:c>
      <x:c r="D17" s="7" t="str">
        <x:f>'Evaluation Plan'!D17</x:f>
        <x:v>P1 glass spice container B (C, UD) [TARGET]; P2 brown cup A (C, UR) [NEUTRAL REPLACEMENT]; P3 white cup B (C, UD)</x:v>
      </x:c>
      <x:c r="E17" s="8" t="n">
        <x:f>IF('Evaluation Plan'!H17="Exact-scene opposite-state contrast",'Evaluation Plan'!E17,IF('Evaluation Plan'!H17="Language robustness",'Evaluation Plan'!E17,IF('Evaluation Plan'!H17="Matched manipulation control",'Evaluation Plan'!E17,IF('Evaluation Plan'!H17="Black-cup held-out-state composition",'Evaluation Plan'!E17,""))))</x:f>
        <x:v>12</x:v>
      </x:c>
      <x:c r="F17" s="8" t="str">
        <x:f>'Evaluation Plan'!F17</x:f>
        <x:v>glass spice container B</x:v>
      </x:c>
      <x:c r="G17" s="7"/>
      <x:c r="H17" s="8" t="str">
        <x:f>'Evaluation Plan'!H17</x:f>
        <x:v>Matched manipulation control</x:v>
      </x:c>
      <x:c r="I17" s="8" t="str">
        <x:f>'Evaluation Plan'!I17</x:f>
        <x:v>SR-F04</x:v>
      </x:c>
      <x:c r="J17" s="8" t="str">
        <x:f>'Evaluation Plan'!J17</x:f>
        <x:v>upside-down</x:v>
      </x:c>
      <x:c r="K17" s="8" t="n">
        <x:f>'Evaluation Plan'!K17</x:f>
        <x:v>3</x:v>
      </x:c>
      <x:c r="L17" s="8" t="str">
        <x:f>'Evaluation Plan'!L17</x:f>
        <x:v>4 — Matched control — Category-only control with 3 objects</x:v>
      </x:c>
      <x:c r="M17" s="8" t="n">
        <x:f>'Evaluation Plan'!M17</x:f>
        <x:v>4</x:v>
      </x:c>
      <x:c r="N17" s="7" t="str">
        <x:f>'Evaluation Plan'!N17</x:f>
        <x:v>Reset the target; replace the same-category state competitor with brown cup A at the same position. Keep object count, other objects, camera, and bowl fixed.</x:v>
      </x:c>
      <x:c r="O17" s="7" t="str">
        <x:f>'Evaluation Plan'!O17</x:f>
        <x:v>The neutral replacement removes category ambiguity without changing the three- or four-object set size.</x:v>
      </x:c>
      <x:c r="P17" s="7" t="str">
        <x:f>IF('Evaluation Plan'!P17=0,"",'Evaluation Plan'!P17)</x:f>
      </x:c>
    </x:row>
    <x:row r="18" ht="58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Put the closed yellow-white striped cup in the bowl.</x:v>
      </x:c>
      <x:c r="D18" s="10" t="str">
        <x:f>'Evaluation Plan'!D18</x:f>
        <x:v>P1 white cup A (O, UR); P2 yellow-white striped cup A (C, UR) [TARGET]; P3 yellow-white striped cup B (O, UR) [STATE COMPETITOR]</x:v>
      </x:c>
      <x:c r="E18" s="9" t="str">
        <x:f>IF('Evaluation Plan'!H18="Exact-scene opposite-state contrast",'Evaluation Plan'!E18,IF('Evaluation Plan'!H18="Language robustness",'Evaluation Plan'!E18,IF('Evaluation Plan'!H18="Matched manipulation control",'Evaluation Plan'!E18,IF('Evaluation Plan'!H18="Black-cup held-out-state composition",'Evaluation Plan'!E18,""))))</x:f>
      </x:c>
      <x:c r="F18" s="9" t="str">
        <x:f>'Evaluation Plan'!F18</x:f>
        <x:v>yellow-white striped cup A</x:v>
      </x:c>
      <x:c r="G18" s="10"/>
      <x:c r="H18" s="9" t="str">
        <x:f>'Evaluation Plan'!H18</x:f>
        <x:v>Concept/compositional transfer</x:v>
      </x:c>
      <x:c r="I18" s="9" t="str">
        <x:f>'Evaluation Plan'!I18</x:f>
        <x:v>SR-F05</x:v>
      </x:c>
      <x:c r="J18" s="9" t="str">
        <x:f>'Evaluation Plan'!J18</x:f>
        <x:v>closed</x:v>
      </x:c>
      <x:c r="K18" s="9" t="n">
        <x:f>'Evaluation Plan'!K18</x:f>
        <x:v>3</x:v>
      </x:c>
      <x:c r="L18" s="9" t="str">
        <x:f>'Evaluation Plan'!L18</x:f>
        <x:v>1 — Canonical transfer — Held-out state word + known category (closed)</x:v>
      </x:c>
      <x:c r="M18" s="9" t="n">
        <x:f>'Evaluation Plan'!M18</x:f>
        <x:v>5</x:v>
      </x:c>
      <x:c r="N18" s="10" t="str">
        <x:f>'Evaluation Plan'!N18</x:f>
        <x:v>Build the marked same-category discrimination scene. Save a first-frame image or filename.</x:v>
      </x:c>
      <x:c r="O18" s="10" t="str">
        <x:f>'Evaluation Plan'!O18</x:f>
        <x:v>Two objects match the named category; only the state word selects the target. Target and competitor differ only on the queried state axis.</x:v>
      </x:c>
      <x:c r="P18" s="10" t="str">
        <x:f>IF('Evaluation Plan'!P18=0,"",'Evaluation Plan'!P18)</x:f>
      </x:c>
    </x:row>
    <x:row r="19" ht="58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Move the open yellow-white striped cup into the bowl.</x:v>
      </x:c>
      <x:c r="D19" s="7" t="str">
        <x:f>'Evaluation Plan'!D19</x:f>
        <x:v>P1 white cup A (O, UR); P2 yellow-white striped cup A (C, UR) [STATE COMPETITOR]; P3 yellow-white striped cup B (O, UR) [TARGET]</x:v>
      </x:c>
      <x:c r="E19" s="8" t="n">
        <x:f>IF('Evaluation Plan'!H19="Exact-scene opposite-state contrast",'Evaluation Plan'!E19,IF('Evaluation Plan'!H19="Language robustness",'Evaluation Plan'!E19,IF('Evaluation Plan'!H19="Matched manipulation control",'Evaluation Plan'!E19,IF('Evaluation Plan'!H19="Black-cup held-out-state composition",'Evaluation Plan'!E19,""))))</x:f>
        <x:v>16</x:v>
      </x:c>
      <x:c r="F19" s="8" t="str">
        <x:f>'Evaluation Plan'!F19</x:f>
        <x:v>yellow-white striped cup B</x:v>
      </x:c>
      <x:c r="G19" s="7"/>
      <x:c r="H19" s="8" t="str">
        <x:f>'Evaluation Plan'!H19</x:f>
        <x:v>Exact-scene opposite-state contrast</x:v>
      </x:c>
      <x:c r="I19" s="8" t="str">
        <x:f>'Evaluation Plan'!I19</x:f>
        <x:v>SR-F05</x:v>
      </x:c>
      <x:c r="J19" s="8" t="str">
        <x:f>'Evaluation Plan'!J19</x:f>
        <x:v>open</x:v>
      </x:c>
      <x:c r="K19" s="8" t="n">
        <x:f>'Evaluation Plan'!K19</x:f>
        <x:v>3</x:v>
      </x:c>
      <x:c r="L19" s="8" t="str">
        <x:f>'Evaluation Plan'!L19</x:f>
        <x:v>2 — Exact-scene opposite-state contrast — State-word counterfactual (closed→open)</x:v>
      </x:c>
      <x:c r="M19" s="8" t="n">
        <x:f>'Evaluation Plan'!M19</x:f>
        <x:v>5</x:v>
      </x:c>
      <x:c r="N19" s="7" t="str">
        <x:f>'Evaluation Plan'!N19</x:f>
        <x:v>Reset the canonical target to its marked position. Preserve every object and state; change only the queried state word and expected target.</x:v>
      </x:c>
      <x:c r="O19" s="7" t="str">
        <x:f>'Evaluation Plan'!O19</x:f>
        <x:v>Exact-scene semantic counterfactual. The state word switches to the opposite state and the correct target switches to the other same-category instance.</x:v>
      </x:c>
      <x:c r="P19" s="7" t="str">
        <x:f>IF('Evaluation Plan'!P19=0,"",'Evaluation Plan'!P19)</x:f>
      </x:c>
    </x:row>
    <x:row r="20" ht="58" customHeight="1">
      <x:c r="A20" s="8" t="str">
        <x:v>Not collected</x:v>
      </x:c>
      <x:c r="B20" s="8" t="n">
        <x:f>'Evaluation Plan'!B20</x:f>
        <x:v>18</x:v>
      </x:c>
      <x:c r="C20" s="7" t="str">
        <x:f>'Evaluation Plan'!C20</x:f>
        <x:v>Move the closed yellow-white striped cup into the bowl.</x:v>
      </x:c>
      <x:c r="D20" s="7" t="str">
        <x:f>'Evaluation Plan'!D20</x:f>
        <x:v>P1 white cup A (O, UR); P2 yellow-white striped cup A (C, UR) [TARGET]; P3 yellow-white striped cup B (O, UR) [STATE COMPETITOR]</x:v>
      </x:c>
      <x:c r="E20" s="8" t="n">
        <x:f>IF('Evaluation Plan'!H20="Exact-scene opposite-state contrast",'Evaluation Plan'!E20,IF('Evaluation Plan'!H20="Language robustness",'Evaluation Plan'!E20,IF('Evaluation Plan'!H20="Matched manipulation control",'Evaluation Plan'!E20,IF('Evaluation Plan'!H20="Black-cup held-out-state composition",'Evaluation Plan'!E20,""))))</x:f>
        <x:v>16</x:v>
      </x:c>
      <x:c r="F20" s="8" t="str">
        <x:f>'Evaluation Plan'!F20</x:f>
        <x:v>yellow-white striped cup A</x:v>
      </x:c>
      <x:c r="G20" s="7"/>
      <x:c r="H20" s="8" t="str">
        <x:f>'Evaluation Plan'!H20</x:f>
        <x:v>Language robustness</x:v>
      </x:c>
      <x:c r="I20" s="8" t="str">
        <x:f>'Evaluation Plan'!I20</x:f>
        <x:v>SR-F05</x:v>
      </x:c>
      <x:c r="J20" s="8" t="str">
        <x:f>'Evaluation Plan'!J20</x:f>
        <x:v>closed</x:v>
      </x:c>
      <x:c r="K20" s="8" t="n">
        <x:f>'Evaluation Plan'!K20</x:f>
        <x:v>3</x:v>
      </x:c>
      <x:c r="L20" s="8" t="str">
        <x:f>'Evaluation Plan'!L20</x:f>
        <x:v>3 — Exact-scene transfer paraphrase — Paraphrase of concept/compositional-transfer prompt</x:v>
      </x:c>
      <x:c r="M20" s="8" t="n">
        <x:f>'Evaluation Plan'!M20</x:f>
        <x:v>5</x:v>
      </x:c>
      <x:c r="N20" s="7" t="str">
        <x:f>'Evaluation Plan'!N20</x:f>
        <x:v>Reset only the moved target; change only the prompt wording.</x:v>
      </x:c>
      <x:c r="O20" s="7" t="str">
        <x:f>'Evaluation Plan'!O20</x:f>
        <x:v>Exact-scene language pair for the state-bearing transfer prompt.</x:v>
      </x:c>
      <x:c r="P20" s="7" t="str">
        <x:f>IF('Evaluation Plan'!P20=0,"",'Evaluation Plan'!P20)</x:f>
      </x:c>
    </x:row>
    <x:row r="21" ht="58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Put the yellow-white striped cup in the bowl.</x:v>
      </x:c>
      <x:c r="D21" s="7" t="str">
        <x:f>'Evaluation Plan'!D21</x:f>
        <x:v>P1 white cup A (O, UR); P2 yellow-white striped cup A (C, UR) [TARGET]; P3 brown cup B (O, UR) [NEUTRAL REPLACEMENT]</x:v>
      </x:c>
      <x:c r="E21" s="8" t="n">
        <x:f>IF('Evaluation Plan'!H21="Exact-scene opposite-state contrast",'Evaluation Plan'!E21,IF('Evaluation Plan'!H21="Language robustness",'Evaluation Plan'!E21,IF('Evaluation Plan'!H21="Matched manipulation control",'Evaluation Plan'!E21,IF('Evaluation Plan'!H21="Black-cup held-out-state composition",'Evaluation Plan'!E21,""))))</x:f>
        <x:v>16</x:v>
      </x:c>
      <x:c r="F21" s="8" t="str">
        <x:f>'Evaluation Plan'!F21</x:f>
        <x:v>yellow-white striped cup A</x:v>
      </x:c>
      <x:c r="G21" s="7"/>
      <x:c r="H21" s="8" t="str">
        <x:f>'Evaluation Plan'!H21</x:f>
        <x:v>Matched manipulation control</x:v>
      </x:c>
      <x:c r="I21" s="8" t="str">
        <x:f>'Evaluation Plan'!I21</x:f>
        <x:v>SR-F05</x:v>
      </x:c>
      <x:c r="J21" s="8" t="str">
        <x:f>'Evaluation Plan'!J21</x:f>
        <x:v>closed</x:v>
      </x:c>
      <x:c r="K21" s="8" t="n">
        <x:f>'Evaluation Plan'!K21</x:f>
        <x:v>3</x:v>
      </x:c>
      <x:c r="L21" s="8" t="str">
        <x:f>'Evaluation Plan'!L21</x:f>
        <x:v>4 — Matched control — Category-only control with 3 objects</x:v>
      </x:c>
      <x:c r="M21" s="8" t="n">
        <x:f>'Evaluation Plan'!M21</x:f>
        <x:v>5</x:v>
      </x:c>
      <x:c r="N21" s="7" t="str">
        <x:f>'Evaluation Plan'!N21</x:f>
        <x:v>Reset the target; replace the same-category state competitor with brown cup B at the same position. Keep object count, other objects, camera, and bowl fixed.</x:v>
      </x:c>
      <x:c r="O21" s="7" t="str">
        <x:f>'Evaluation Plan'!O21</x:f>
        <x:v>The neutral replacement removes category ambiguity without changing the three- or four-object set size.</x:v>
      </x:c>
      <x:c r="P21" s="7" t="str">
        <x:f>IF('Evaluation Plan'!P21=0,"",'Evaluation Plan'!P21)</x:f>
      </x:c>
    </x:row>
    <x:row r="22" ht="58" customHeight="1">
      <x:c r="A22" s="9" t="str">
        <x:v>Not collected</x:v>
      </x:c>
      <x:c r="B22" s="9" t="n">
        <x:f>'Evaluation Plan'!B22</x:f>
        <x:v>20</x:v>
      </x:c>
      <x:c r="C22" s="10" t="str">
        <x:f>'Evaluation Plan'!C22</x:f>
        <x:v>Move the open brown cup into the bowl.</x:v>
      </x:c>
      <x:c r="D22" s="10" t="str">
        <x:f>'Evaluation Plan'!D22</x:f>
        <x:v>P1 brown cup A (C, UD) [STATE COMPETITOR]; P2 white cup A (O, UR); P3 brown cup B (O, UD) [TARGET]</x:v>
      </x:c>
      <x:c r="E22" s="9" t="str">
        <x:f>IF('Evaluation Plan'!H22="Exact-scene opposite-state contrast",'Evaluation Plan'!E22,IF('Evaluation Plan'!H22="Language robustness",'Evaluation Plan'!E22,IF('Evaluation Plan'!H22="Matched manipulation control",'Evaluation Plan'!E22,IF('Evaluation Plan'!H22="Black-cup held-out-state composition",'Evaluation Plan'!E22,""))))</x:f>
      </x:c>
      <x:c r="F22" s="9" t="str">
        <x:f>'Evaluation Plan'!F22</x:f>
        <x:v>brown cup B</x:v>
      </x:c>
      <x:c r="G22" s="10"/>
      <x:c r="H22" s="9" t="str">
        <x:f>'Evaluation Plan'!H22</x:f>
        <x:v>Concept/compositional transfer</x:v>
      </x:c>
      <x:c r="I22" s="9" t="str">
        <x:f>'Evaluation Plan'!I22</x:f>
        <x:v>SR-F06</x:v>
      </x:c>
      <x:c r="J22" s="9" t="str">
        <x:f>'Evaluation Plan'!J22</x:f>
        <x:v>open</x:v>
      </x:c>
      <x:c r="K22" s="9" t="n">
        <x:f>'Evaluation Plan'!K22</x:f>
        <x:v>3</x:v>
      </x:c>
      <x:c r="L22" s="9" t="str">
        <x:f>'Evaluation Plan'!L22</x:f>
        <x:v>1 — Canonical transfer — Seen state word in a new scene (open)</x:v>
      </x:c>
      <x:c r="M22" s="9" t="n">
        <x:f>'Evaluation Plan'!M22</x:f>
        <x:v>6</x:v>
      </x:c>
      <x:c r="N22" s="10" t="str">
        <x:f>'Evaluation Plan'!N22</x:f>
        <x:v>Build the marked same-category discrimination scene. Save a first-frame image or filename.</x:v>
      </x:c>
      <x:c r="O22" s="10" t="str">
        <x:f>'Evaluation Plan'!O22</x:f>
        <x:v>Two objects match the named category; only the state word selects the target. Target and competitor differ only on the queried state axis.</x:v>
      </x:c>
      <x:c r="P22" s="10" t="str">
        <x:f>IF('Evaluation Plan'!P22=0,"",'Evaluation Plan'!P22)</x:f>
      </x:c>
    </x:row>
    <x:row r="23" ht="58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Place the closed brown cup in the bowl.</x:v>
      </x:c>
      <x:c r="D23" s="7" t="str">
        <x:f>'Evaluation Plan'!D23</x:f>
        <x:v>P1 brown cup A (C, UD) [TARGET]; P2 white cup A (O, UR); P3 brown cup B (O, UD) [STATE COMPETITOR]</x:v>
      </x:c>
      <x:c r="E23" s="8" t="n">
        <x:f>IF('Evaluation Plan'!H23="Exact-scene opposite-state contrast",'Evaluation Plan'!E23,IF('Evaluation Plan'!H23="Language robustness",'Evaluation Plan'!E23,IF('Evaluation Plan'!H23="Matched manipulation control",'Evaluation Plan'!E23,IF('Evaluation Plan'!H23="Black-cup held-out-state composition",'Evaluation Plan'!E23,""))))</x:f>
        <x:v>20</x:v>
      </x:c>
      <x:c r="F23" s="8" t="str">
        <x:f>'Evaluation Plan'!F23</x:f>
        <x:v>brown cup A</x:v>
      </x:c>
      <x:c r="G23" s="7"/>
      <x:c r="H23" s="8" t="str">
        <x:f>'Evaluation Plan'!H23</x:f>
        <x:v>Exact-scene opposite-state contrast</x:v>
      </x:c>
      <x:c r="I23" s="8" t="str">
        <x:f>'Evaluation Plan'!I23</x:f>
        <x:v>SR-F06</x:v>
      </x:c>
      <x:c r="J23" s="8" t="str">
        <x:f>'Evaluation Plan'!J23</x:f>
        <x:v>closed</x:v>
      </x:c>
      <x:c r="K23" s="8" t="n">
        <x:f>'Evaluation Plan'!K23</x:f>
        <x:v>3</x:v>
      </x:c>
      <x:c r="L23" s="8" t="str">
        <x:f>'Evaluation Plan'!L23</x:f>
        <x:v>2 — Exact-scene opposite-state contrast — State-word counterfactual (open→closed)</x:v>
      </x:c>
      <x:c r="M23" s="8" t="n">
        <x:f>'Evaluation Plan'!M23</x:f>
        <x:v>6</x:v>
      </x:c>
      <x:c r="N23" s="7" t="str">
        <x:f>'Evaluation Plan'!N23</x:f>
        <x:v>Reset the canonical target to its marked position. Preserve every object and state; change only the queried state word and expected target.</x:v>
      </x:c>
      <x:c r="O23" s="7" t="str">
        <x:f>'Evaluation Plan'!O23</x:f>
        <x:v>Exact-scene semantic counterfactual. The state word switches to the opposite state and the correct target switches to the other same-category instance.</x:v>
      </x:c>
      <x:c r="P23" s="7" t="str">
        <x:f>IF('Evaluation Plan'!P23=0,"",'Evaluation Plan'!P23)</x:f>
      </x:c>
    </x:row>
    <x:row r="24" ht="58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Move the brown cup that is open into the bowl.</x:v>
      </x:c>
      <x:c r="D24" s="7" t="str">
        <x:f>'Evaluation Plan'!D24</x:f>
        <x:v>P1 brown cup A (C, UD) [STATE COMPETITOR]; P2 white cup A (O, UR); P3 brown cup B (O, UD) [TARGET]</x:v>
      </x:c>
      <x:c r="E24" s="8" t="n">
        <x:f>IF('Evaluation Plan'!H24="Exact-scene opposite-state contrast",'Evaluation Plan'!E24,IF('Evaluation Plan'!H24="Language robustness",'Evaluation Plan'!E24,IF('Evaluation Plan'!H24="Matched manipulation control",'Evaluation Plan'!E24,IF('Evaluation Plan'!H24="Black-cup held-out-state composition",'Evaluation Plan'!E24,""))))</x:f>
        <x:v>20</x:v>
      </x:c>
      <x:c r="F24" s="8" t="str">
        <x:f>'Evaluation Plan'!F24</x:f>
        <x:v>brown cup B</x:v>
      </x:c>
      <x:c r="G24" s="7"/>
      <x:c r="H24" s="8" t="str">
        <x:f>'Evaluation Plan'!H24</x:f>
        <x:v>Language robustness</x:v>
      </x:c>
      <x:c r="I24" s="8" t="str">
        <x:f>'Evaluation Plan'!I24</x:f>
        <x:v>SR-F06</x:v>
      </x:c>
      <x:c r="J24" s="8" t="str">
        <x:f>'Evaluation Plan'!J24</x:f>
        <x:v>open</x:v>
      </x:c>
      <x:c r="K24" s="8" t="n">
        <x:f>'Evaluation Plan'!K24</x:f>
        <x:v>3</x:v>
      </x:c>
      <x:c r="L24" s="8" t="str">
        <x:f>'Evaluation Plan'!L24</x:f>
        <x:v>3 — Exact-scene transfer paraphrase — Paraphrase of concept/compositional-transfer prompt</x:v>
      </x:c>
      <x:c r="M24" s="8" t="n">
        <x:f>'Evaluation Plan'!M24</x:f>
        <x:v>6</x:v>
      </x:c>
      <x:c r="N24" s="7" t="str">
        <x:f>'Evaluation Plan'!N24</x:f>
        <x:v>Reset only the moved target; change only the prompt wording.</x:v>
      </x:c>
      <x:c r="O24" s="7" t="str">
        <x:f>'Evaluation Plan'!O24</x:f>
        <x:v>Exact-scene language pair for the state-bearing transfer prompt.</x:v>
      </x:c>
      <x:c r="P24" s="7" t="str">
        <x:f>IF('Evaluation Plan'!P24=0,"",'Evaluation Plan'!P24)</x:f>
      </x:c>
    </x:row>
    <x:row r="25" ht="58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Move the brown cup into the bowl.</x:v>
      </x:c>
      <x:c r="D25" s="7" t="str">
        <x:f>'Evaluation Plan'!D25</x:f>
        <x:v>P1 glass spice container A (C, UD) [NEUTRAL REPLACEMENT]; P2 white cup A (O, UR); P3 brown cup B (O, UD) [TARGET]</x:v>
      </x:c>
      <x:c r="E25" s="8" t="n">
        <x:f>IF('Evaluation Plan'!H25="Exact-scene opposite-state contrast",'Evaluation Plan'!E25,IF('Evaluation Plan'!H25="Language robustness",'Evaluation Plan'!E25,IF('Evaluation Plan'!H25="Matched manipulation control",'Evaluation Plan'!E25,IF('Evaluation Plan'!H25="Black-cup held-out-state composition",'Evaluation Plan'!E25,""))))</x:f>
        <x:v>20</x:v>
      </x:c>
      <x:c r="F25" s="8" t="str">
        <x:f>'Evaluation Plan'!F25</x:f>
        <x:v>brown cup B</x:v>
      </x:c>
      <x:c r="G25" s="7"/>
      <x:c r="H25" s="8" t="str">
        <x:f>'Evaluation Plan'!H25</x:f>
        <x:v>Matched manipulation control</x:v>
      </x:c>
      <x:c r="I25" s="8" t="str">
        <x:f>'Evaluation Plan'!I25</x:f>
        <x:v>SR-F06</x:v>
      </x:c>
      <x:c r="J25" s="8" t="str">
        <x:f>'Evaluation Plan'!J25</x:f>
        <x:v>open</x:v>
      </x:c>
      <x:c r="K25" s="8" t="n">
        <x:f>'Evaluation Plan'!K25</x:f>
        <x:v>3</x:v>
      </x:c>
      <x:c r="L25" s="8" t="str">
        <x:f>'Evaluation Plan'!L25</x:f>
        <x:v>4 — Matched control — Category-only control with 3 objects</x:v>
      </x:c>
      <x:c r="M25" s="8" t="n">
        <x:f>'Evaluation Plan'!M25</x:f>
        <x:v>6</x:v>
      </x:c>
      <x:c r="N25" s="7" t="str">
        <x:f>'Evaluation Plan'!N25</x:f>
        <x:v>Reset the target; replace the same-category state competitor with glass spice container A at the same position. Keep object count, other objects, camera, and bowl fixed.</x:v>
      </x:c>
      <x:c r="O25" s="7" t="str">
        <x:f>'Evaluation Plan'!O25</x:f>
        <x:v>The neutral replacement removes category ambiguity without changing the three- or four-object set size.</x:v>
      </x:c>
      <x:c r="P25" s="7" t="str">
        <x:f>IF('Evaluation Plan'!P25=0,"",'Evaluation Plan'!P25)</x:f>
      </x:c>
    </x:row>
    <x:row r="26" ht="58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Place the upright glass spice container in the bowl.</x:v>
      </x:c>
      <x:c r="D26" s="10" t="str">
        <x:f>'Evaluation Plan'!D26</x:f>
        <x:v>P1 glass spice container A (O, UR) [TARGET]; P2 glass spice container B (O, UD) [STATE COMPETITOR]; P3 white cup A (O, UR)</x:v>
      </x:c>
      <x:c r="E26" s="9" t="str">
        <x:f>IF('Evaluation Plan'!H26="Exact-scene opposite-state contrast",'Evaluation Plan'!E26,IF('Evaluation Plan'!H26="Language robustness",'Evaluation Plan'!E26,IF('Evaluation Plan'!H26="Matched manipulation control",'Evaluation Plan'!E26,IF('Evaluation Plan'!H26="Black-cup held-out-state composition",'Evaluation Plan'!E26,""))))</x:f>
      </x:c>
      <x:c r="F26" s="9" t="str">
        <x:f>'Evaluation Plan'!F26</x:f>
        <x:v>glass spice container A</x:v>
      </x:c>
      <x:c r="G26" s="10"/>
      <x:c r="H26" s="9" t="str">
        <x:f>'Evaluation Plan'!H26</x:f>
        <x:v>Concept/compositional transfer</x:v>
      </x:c>
      <x:c r="I26" s="9" t="str">
        <x:f>'Evaluation Plan'!I26</x:f>
        <x:v>SR-F07</x:v>
      </x:c>
      <x:c r="J26" s="9" t="str">
        <x:f>'Evaluation Plan'!J26</x:f>
        <x:v>upright</x:v>
      </x:c>
      <x:c r="K26" s="9" t="n">
        <x:f>'Evaluation Plan'!K26</x:f>
        <x:v>3</x:v>
      </x:c>
      <x:c r="L26" s="9" t="str">
        <x:f>'Evaluation Plan'!L26</x:f>
        <x:v>1 — Canonical transfer — Held-out state word + known category (upright)</x:v>
      </x:c>
      <x:c r="M26" s="9" t="n">
        <x:f>'Evaluation Plan'!M26</x:f>
        <x:v>7</x:v>
      </x:c>
      <x:c r="N26" s="10" t="str">
        <x:f>'Evaluation Plan'!N26</x:f>
        <x:v>Build the marked same-category discrimination scene. Save a first-frame image or filename.</x:v>
      </x:c>
      <x:c r="O26" s="10" t="str">
        <x:f>'Evaluation Plan'!O26</x:f>
        <x:v>Two objects match the named category; only the state word selects the target. Target and competitor differ only on the queried state axis.</x:v>
      </x:c>
      <x:c r="P26" s="10" t="str">
        <x:f>IF('Evaluation Plan'!P26=0,"",'Evaluation Plan'!P26)</x:f>
      </x:c>
    </x:row>
    <x:row r="27" ht="58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Put the upside-down glass spice container in the bowl.</x:v>
      </x:c>
      <x:c r="D27" s="7" t="str">
        <x:f>'Evaluation Plan'!D27</x:f>
        <x:v>P1 glass spice container A (O, UR) [STATE COMPETITOR]; P2 glass spice container B (O, UD) [TARGET]; P3 white cup A (O, UR)</x:v>
      </x:c>
      <x:c r="E27" s="8" t="n">
        <x:f>IF('Evaluation Plan'!H27="Exact-scene opposite-state contrast",'Evaluation Plan'!E27,IF('Evaluation Plan'!H27="Language robustness",'Evaluation Plan'!E27,IF('Evaluation Plan'!H27="Matched manipulation control",'Evaluation Plan'!E27,IF('Evaluation Plan'!H27="Black-cup held-out-state composition",'Evaluation Plan'!E27,""))))</x:f>
        <x:v>24</x:v>
      </x:c>
      <x:c r="F27" s="8" t="str">
        <x:f>'Evaluation Plan'!F27</x:f>
        <x:v>glass spice container B</x:v>
      </x:c>
      <x:c r="G27" s="7"/>
      <x:c r="H27" s="8" t="str">
        <x:f>'Evaluation Plan'!H27</x:f>
        <x:v>Exact-scene opposite-state contrast</x:v>
      </x:c>
      <x:c r="I27" s="8" t="str">
        <x:f>'Evaluation Plan'!I27</x:f>
        <x:v>SR-F07</x:v>
      </x:c>
      <x:c r="J27" s="8" t="str">
        <x:f>'Evaluation Plan'!J27</x:f>
        <x:v>upside-down</x:v>
      </x:c>
      <x:c r="K27" s="8" t="n">
        <x:f>'Evaluation Plan'!K27</x:f>
        <x:v>3</x:v>
      </x:c>
      <x:c r="L27" s="8" t="str">
        <x:f>'Evaluation Plan'!L27</x:f>
        <x:v>2 — Exact-scene opposite-state contrast — State-word counterfactual (upright→upside-down)</x:v>
      </x:c>
      <x:c r="M27" s="8" t="n">
        <x:f>'Evaluation Plan'!M27</x:f>
        <x:v>7</x:v>
      </x:c>
      <x:c r="N27" s="7" t="str">
        <x:f>'Evaluation Plan'!N27</x:f>
        <x:v>Reset the canonical target to its marked position. Preserve every object and state; change only the queried state word and expected target.</x:v>
      </x:c>
      <x:c r="O27" s="7" t="str">
        <x:f>'Evaluation Plan'!O27</x:f>
        <x:v>Exact-scene semantic counterfactual. The state word switches to the opposite state and the correct target switches to the other same-category instance.</x:v>
      </x:c>
      <x:c r="P27" s="7" t="str">
        <x:f>IF('Evaluation Plan'!P27=0,"",'Evaluation Plan'!P27)</x:f>
      </x:c>
    </x:row>
    <x:row r="28" ht="58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Put the right-side-up glass spice container in the bowl.</x:v>
      </x:c>
      <x:c r="D28" s="7" t="str">
        <x:f>'Evaluation Plan'!D28</x:f>
        <x:v>P1 glass spice container A (O, UR) [TARGET]; P2 glass spice container B (O, UD) [STATE COMPETITOR]; P3 white cup A (O, UR)</x:v>
      </x:c>
      <x:c r="E28" s="8" t="n">
        <x:f>IF('Evaluation Plan'!H28="Exact-scene opposite-state contrast",'Evaluation Plan'!E28,IF('Evaluation Plan'!H28="Language robustness",'Evaluation Plan'!E28,IF('Evaluation Plan'!H28="Matched manipulation control",'Evaluation Plan'!E28,IF('Evaluation Plan'!H28="Black-cup held-out-state composition",'Evaluation Plan'!E28,""))))</x:f>
        <x:v>24</x:v>
      </x:c>
      <x:c r="F28" s="8" t="str">
        <x:f>'Evaluation Plan'!F28</x:f>
        <x:v>glass spice container A</x:v>
      </x:c>
      <x:c r="G28" s="7"/>
      <x:c r="H28" s="8" t="str">
        <x:f>'Evaluation Plan'!H28</x:f>
        <x:v>Language robustness</x:v>
      </x:c>
      <x:c r="I28" s="8" t="str">
        <x:f>'Evaluation Plan'!I28</x:f>
        <x:v>SR-F07</x:v>
      </x:c>
      <x:c r="J28" s="8" t="str">
        <x:f>'Evaluation Plan'!J28</x:f>
        <x:v>upright</x:v>
      </x:c>
      <x:c r="K28" s="8" t="n">
        <x:f>'Evaluation Plan'!K28</x:f>
        <x:v>3</x:v>
      </x:c>
      <x:c r="L28" s="8" t="str">
        <x:f>'Evaluation Plan'!L28</x:f>
        <x:v>3 — Exact-scene transfer paraphrase — Paraphrase of concept/compositional-transfer prompt</x:v>
      </x:c>
      <x:c r="M28" s="8" t="n">
        <x:f>'Evaluation Plan'!M28</x:f>
        <x:v>7</x:v>
      </x:c>
      <x:c r="N28" s="7" t="str">
        <x:f>'Evaluation Plan'!N28</x:f>
        <x:v>Reset only the moved target; change only the prompt wording.</x:v>
      </x:c>
      <x:c r="O28" s="7" t="str">
        <x:f>'Evaluation Plan'!O28</x:f>
        <x:v>Exact-scene language pair for the state-bearing transfer prompt.</x:v>
      </x:c>
      <x:c r="P28" s="7" t="str">
        <x:f>IF('Evaluation Plan'!P28=0,"",'Evaluation Plan'!P28)</x:f>
      </x:c>
    </x:row>
    <x:row r="29" ht="58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Place the glass spice container in the bowl.</x:v>
      </x:c>
      <x:c r="D29" s="7" t="str">
        <x:f>'Evaluation Plan'!D29</x:f>
        <x:v>P1 glass spice container A (O, UR) [TARGET]; P2 yellow-white striped cup B (O, UD) [NEUTRAL REPLACEMENT]; P3 white cup A (O, UR)</x:v>
      </x:c>
      <x:c r="E29" s="8" t="n">
        <x:f>IF('Evaluation Plan'!H29="Exact-scene opposite-state contrast",'Evaluation Plan'!E29,IF('Evaluation Plan'!H29="Language robustness",'Evaluation Plan'!E29,IF('Evaluation Plan'!H29="Matched manipulation control",'Evaluation Plan'!E29,IF('Evaluation Plan'!H29="Black-cup held-out-state composition",'Evaluation Plan'!E29,""))))</x:f>
        <x:v>24</x:v>
      </x:c>
      <x:c r="F29" s="8" t="str">
        <x:f>'Evaluation Plan'!F29</x:f>
        <x:v>glass spice container A</x:v>
      </x:c>
      <x:c r="G29" s="7"/>
      <x:c r="H29" s="8" t="str">
        <x:f>'Evaluation Plan'!H29</x:f>
        <x:v>Matched manipulation control</x:v>
      </x:c>
      <x:c r="I29" s="8" t="str">
        <x:f>'Evaluation Plan'!I29</x:f>
        <x:v>SR-F07</x:v>
      </x:c>
      <x:c r="J29" s="8" t="str">
        <x:f>'Evaluation Plan'!J29</x:f>
        <x:v>upright</x:v>
      </x:c>
      <x:c r="K29" s="8" t="n">
        <x:f>'Evaluation Plan'!K29</x:f>
        <x:v>3</x:v>
      </x:c>
      <x:c r="L29" s="8" t="str">
        <x:f>'Evaluation Plan'!L29</x:f>
        <x:v>4 — Matched control — Category-only control with 3 objects</x:v>
      </x:c>
      <x:c r="M29" s="8" t="n">
        <x:f>'Evaluation Plan'!M29</x:f>
        <x:v>7</x:v>
      </x:c>
      <x:c r="N29" s="7" t="str">
        <x:f>'Evaluation Plan'!N29</x:f>
        <x:v>Reset the target; replace the same-category state competitor with yellow-white striped cup B at the same position. Keep object count, other objects, camera, and bowl fixed.</x:v>
      </x:c>
      <x:c r="O29" s="7" t="str">
        <x:f>'Evaluation Plan'!O29</x:f>
        <x:v>The neutral replacement removes category ambiguity without changing the three- or four-object set size.</x:v>
      </x:c>
      <x:c r="P29" s="7" t="str">
        <x:f>IF('Evaluation Plan'!P29=0,"",'Evaluation Plan'!P29)</x:f>
      </x:c>
    </x:row>
    <x:row r="30" ht="58" customHeight="1">
      <x:c r="A30" s="9" t="str">
        <x:v>Not collected</x:v>
      </x:c>
      <x:c r="B30" s="9" t="n">
        <x:f>'Evaluation Plan'!B30</x:f>
        <x:v>28</x:v>
      </x:c>
      <x:c r="C30" s="10" t="str">
        <x:f>'Evaluation Plan'!C30</x:f>
        <x:v>Put the upside-down white cup in the bowl.</x:v>
      </x:c>
      <x:c r="D30" s="10" t="str">
        <x:f>'Evaluation Plan'!D30</x:f>
        <x:v>P1 yellow-white striped cup B (C, UD); P2 white cup B (C, UD) [TARGET]; P3 white cup A (C, UR) [STATE COMPETITOR]</x:v>
      </x:c>
      <x:c r="E30" s="9" t="str">
        <x:f>IF('Evaluation Plan'!H30="Exact-scene opposite-state contrast",'Evaluation Plan'!E30,IF('Evaluation Plan'!H30="Language robustness",'Evaluation Plan'!E30,IF('Evaluation Plan'!H30="Matched manipulation control",'Evaluation Plan'!E30,IF('Evaluation Plan'!H30="Black-cup held-out-state composition",'Evaluation Plan'!E30,""))))</x:f>
      </x:c>
      <x:c r="F30" s="9" t="str">
        <x:f>'Evaluation Plan'!F30</x:f>
        <x:v>white cup B</x:v>
      </x:c>
      <x:c r="G30" s="10"/>
      <x:c r="H30" s="9" t="str">
        <x:f>'Evaluation Plan'!H30</x:f>
        <x:v>Concept/compositional transfer</x:v>
      </x:c>
      <x:c r="I30" s="9" t="str">
        <x:f>'Evaluation Plan'!I30</x:f>
        <x:v>SR-F08</x:v>
      </x:c>
      <x:c r="J30" s="9" t="str">
        <x:f>'Evaluation Plan'!J30</x:f>
        <x:v>upside-down</x:v>
      </x:c>
      <x:c r="K30" s="9" t="n">
        <x:f>'Evaluation Plan'!K30</x:f>
        <x:v>3</x:v>
      </x:c>
      <x:c r="L30" s="9" t="str">
        <x:f>'Evaluation Plan'!L30</x:f>
        <x:v>1 — Canonical transfer — Seen state word in a new scene (upside-down)</x:v>
      </x:c>
      <x:c r="M30" s="9" t="n">
        <x:f>'Evaluation Plan'!M30</x:f>
        <x:v>8</x:v>
      </x:c>
      <x:c r="N30" s="10" t="str">
        <x:f>'Evaluation Plan'!N30</x:f>
        <x:v>Build the marked same-category discrimination scene. Save a first-frame image or filename.</x:v>
      </x:c>
      <x:c r="O30" s="10" t="str">
        <x:f>'Evaluation Plan'!O30</x:f>
        <x:v>Two objects match the named category; only the state word selects the target. Target and competitor differ only on the queried state axis.</x:v>
      </x:c>
      <x:c r="P30" s="10" t="str">
        <x:f>IF('Evaluation Plan'!P30=0,"",'Evaluation Plan'!P30)</x:f>
      </x:c>
    </x:row>
    <x:row r="31" ht="58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Move the upright white cup into the bowl.</x:v>
      </x:c>
      <x:c r="D31" s="7" t="str">
        <x:f>'Evaluation Plan'!D31</x:f>
        <x:v>P1 yellow-white striped cup B (C, UD); P2 white cup B (C, UD) [STATE COMPETITOR]; P3 white cup A (C, UR) [TARGET]</x:v>
      </x:c>
      <x:c r="E31" s="8" t="n">
        <x:f>IF('Evaluation Plan'!H31="Exact-scene opposite-state contrast",'Evaluation Plan'!E31,IF('Evaluation Plan'!H31="Language robustness",'Evaluation Plan'!E31,IF('Evaluation Plan'!H31="Matched manipulation control",'Evaluation Plan'!E31,IF('Evaluation Plan'!H31="Black-cup held-out-state composition",'Evaluation Plan'!E31,""))))</x:f>
        <x:v>28</x:v>
      </x:c>
      <x:c r="F31" s="8" t="str">
        <x:f>'Evaluation Plan'!F31</x:f>
        <x:v>white cup A</x:v>
      </x:c>
      <x:c r="G31" s="7"/>
      <x:c r="H31" s="8" t="str">
        <x:f>'Evaluation Plan'!H31</x:f>
        <x:v>Exact-scene opposite-state contrast</x:v>
      </x:c>
      <x:c r="I31" s="8" t="str">
        <x:f>'Evaluation Plan'!I31</x:f>
        <x:v>SR-F08</x:v>
      </x:c>
      <x:c r="J31" s="8" t="str">
        <x:f>'Evaluation Plan'!J31</x:f>
        <x:v>upright</x:v>
      </x:c>
      <x:c r="K31" s="8" t="n">
        <x:f>'Evaluation Plan'!K31</x:f>
        <x:v>3</x:v>
      </x:c>
      <x:c r="L31" s="8" t="str">
        <x:f>'Evaluation Plan'!L31</x:f>
        <x:v>2 — Exact-scene opposite-state contrast — State-word counterfactual (upside-down→upright)</x:v>
      </x:c>
      <x:c r="M31" s="8" t="n">
        <x:f>'Evaluation Plan'!M31</x:f>
        <x:v>8</x:v>
      </x:c>
      <x:c r="N31" s="7" t="str">
        <x:f>'Evaluation Plan'!N31</x:f>
        <x:v>Reset the canonical target to its marked position. Preserve every object and state; change only the queried state word and expected target.</x:v>
      </x:c>
      <x:c r="O31" s="7" t="str">
        <x:f>'Evaluation Plan'!O31</x:f>
        <x:v>Exact-scene semantic counterfactual. The state word switches to the opposite state and the correct target switches to the other same-category instance.</x:v>
      </x:c>
      <x:c r="P31" s="7" t="str">
        <x:f>IF('Evaluation Plan'!P31=0,"",'Evaluation Plan'!P31)</x:f>
      </x:c>
    </x:row>
    <x:row r="32" ht="58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Find the upside-down white cup and place it in the bowl.</x:v>
      </x:c>
      <x:c r="D32" s="7" t="str">
        <x:f>'Evaluation Plan'!D32</x:f>
        <x:v>P1 yellow-white striped cup B (C, UD); P2 white cup B (C, UD) [TARGET]; P3 white cup A (C, UR) [STATE COMPETITOR]</x:v>
      </x:c>
      <x:c r="E32" s="8" t="n">
        <x:f>IF('Evaluation Plan'!H32="Exact-scene opposite-state contrast",'Evaluation Plan'!E32,IF('Evaluation Plan'!H32="Language robustness",'Evaluation Plan'!E32,IF('Evaluation Plan'!H32="Matched manipulation control",'Evaluation Plan'!E32,IF('Evaluation Plan'!H32="Black-cup held-out-state composition",'Evaluation Plan'!E32,""))))</x:f>
        <x:v>28</x:v>
      </x:c>
      <x:c r="F32" s="8" t="str">
        <x:f>'Evaluation Plan'!F32</x:f>
        <x:v>white cup B</x:v>
      </x:c>
      <x:c r="G32" s="7"/>
      <x:c r="H32" s="8" t="str">
        <x:f>'Evaluation Plan'!H32</x:f>
        <x:v>Language robustness</x:v>
      </x:c>
      <x:c r="I32" s="8" t="str">
        <x:f>'Evaluation Plan'!I32</x:f>
        <x:v>SR-F08</x:v>
      </x:c>
      <x:c r="J32" s="8" t="str">
        <x:f>'Evaluation Plan'!J32</x:f>
        <x:v>upside-down</x:v>
      </x:c>
      <x:c r="K32" s="8" t="n">
        <x:f>'Evaluation Plan'!K32</x:f>
        <x:v>3</x:v>
      </x:c>
      <x:c r="L32" s="8" t="str">
        <x:f>'Evaluation Plan'!L32</x:f>
        <x:v>3 — Exact-scene transfer paraphrase — Paraphrase of concept/compositional-transfer prompt</x:v>
      </x:c>
      <x:c r="M32" s="8" t="n">
        <x:f>'Evaluation Plan'!M32</x:f>
        <x:v>8</x:v>
      </x:c>
      <x:c r="N32" s="7" t="str">
        <x:f>'Evaluation Plan'!N32</x:f>
        <x:v>Reset only the moved target; change only the prompt wording.</x:v>
      </x:c>
      <x:c r="O32" s="7" t="str">
        <x:f>'Evaluation Plan'!O32</x:f>
        <x:v>Exact-scene language pair for the state-bearing transfer prompt.</x:v>
      </x:c>
      <x:c r="P32" s="7" t="str">
        <x:f>IF('Evaluation Plan'!P32=0,"",'Evaluation Plan'!P32)</x:f>
      </x:c>
    </x:row>
    <x:row r="33" ht="58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Put the white cup in the bowl.</x:v>
      </x:c>
      <x:c r="D33" s="7" t="str">
        <x:f>'Evaluation Plan'!D33</x:f>
        <x:v>P1 yellow-white striped cup B (C, UD); P2 white cup B (C, UD) [TARGET]; P3 glass spice container A (C, UR) [NEUTRAL REPLACEMENT]</x:v>
      </x:c>
      <x:c r="E33" s="8" t="n">
        <x:f>IF('Evaluation Plan'!H33="Exact-scene opposite-state contrast",'Evaluation Plan'!E33,IF('Evaluation Plan'!H33="Language robustness",'Evaluation Plan'!E33,IF('Evaluation Plan'!H33="Matched manipulation control",'Evaluation Plan'!E33,IF('Evaluation Plan'!H33="Black-cup held-out-state composition",'Evaluation Plan'!E33,""))))</x:f>
        <x:v>28</x:v>
      </x:c>
      <x:c r="F33" s="8" t="str">
        <x:f>'Evaluation Plan'!F33</x:f>
        <x:v>white cup B</x:v>
      </x:c>
      <x:c r="G33" s="7"/>
      <x:c r="H33" s="8" t="str">
        <x:f>'Evaluation Plan'!H33</x:f>
        <x:v>Matched manipulation control</x:v>
      </x:c>
      <x:c r="I33" s="8" t="str">
        <x:f>'Evaluation Plan'!I33</x:f>
        <x:v>SR-F08</x:v>
      </x:c>
      <x:c r="J33" s="8" t="str">
        <x:f>'Evaluation Plan'!J33</x:f>
        <x:v>upside-down</x:v>
      </x:c>
      <x:c r="K33" s="8" t="n">
        <x:f>'Evaluation Plan'!K33</x:f>
        <x:v>3</x:v>
      </x:c>
      <x:c r="L33" s="8" t="str">
        <x:f>'Evaluation Plan'!L33</x:f>
        <x:v>4 — Matched control — Category-only control with 3 objects</x:v>
      </x:c>
      <x:c r="M33" s="8" t="n">
        <x:f>'Evaluation Plan'!M33</x:f>
        <x:v>8</x:v>
      </x:c>
      <x:c r="N33" s="7" t="str">
        <x:f>'Evaluation Plan'!N33</x:f>
        <x:v>Reset the target; replace the same-category state competitor with glass spice container A at the same position. Keep object count, other objects, camera, and bowl fixed.</x:v>
      </x:c>
      <x:c r="O33" s="7" t="str">
        <x:f>'Evaluation Plan'!O33</x:f>
        <x:v>The neutral replacement removes category ambiguity without changing the three- or four-object set size.</x:v>
      </x:c>
      <x:c r="P33" s="7" t="str">
        <x:f>IF('Evaluation Plan'!P33=0,"",'Evaluation Plan'!P33)</x:f>
      </x:c>
    </x:row>
    <x:row r="34" ht="58" customHeight="1">
      <x:c r="A34" s="9" t="str">
        <x:v>Not collected</x:v>
      </x:c>
      <x:c r="B34" s="9" t="n">
        <x:f>'Evaluation Plan'!B34</x:f>
        <x:v>32</x:v>
      </x:c>
      <x:c r="C34" s="10" t="str">
        <x:f>'Evaluation Plan'!C34</x:f>
        <x:v>Move the closed brown cup into the bowl.</x:v>
      </x:c>
      <x:c r="D34" s="10" t="str">
        <x:f>'Evaluation Plan'!D34</x:f>
        <x:v>P1 brown cup B (O, UR) [STATE COMPETITOR]; P2 white cup B (C, UD); P3 brown cup A (C, UR) [TARGET]</x:v>
      </x:c>
      <x:c r="E34" s="9" t="str">
        <x:f>IF('Evaluation Plan'!H34="Exact-scene opposite-state contrast",'Evaluation Plan'!E34,IF('Evaluation Plan'!H34="Language robustness",'Evaluation Plan'!E34,IF('Evaluation Plan'!H34="Matched manipulation control",'Evaluation Plan'!E34,IF('Evaluation Plan'!H34="Black-cup held-out-state composition",'Evaluation Plan'!E34,""))))</x:f>
      </x:c>
      <x:c r="F34" s="9" t="str">
        <x:f>'Evaluation Plan'!F34</x:f>
        <x:v>brown cup A</x:v>
      </x:c>
      <x:c r="G34" s="10"/>
      <x:c r="H34" s="9" t="str">
        <x:f>'Evaluation Plan'!H34</x:f>
        <x:v>Concept/compositional transfer</x:v>
      </x:c>
      <x:c r="I34" s="9" t="str">
        <x:f>'Evaluation Plan'!I34</x:f>
        <x:v>SR-F09</x:v>
      </x:c>
      <x:c r="J34" s="9" t="str">
        <x:f>'Evaluation Plan'!J34</x:f>
        <x:v>closed</x:v>
      </x:c>
      <x:c r="K34" s="9" t="n">
        <x:f>'Evaluation Plan'!K34</x:f>
        <x:v>3</x:v>
      </x:c>
      <x:c r="L34" s="9" t="str">
        <x:f>'Evaluation Plan'!L34</x:f>
        <x:v>1 — Canonical transfer — Held-out state word + known category (closed)</x:v>
      </x:c>
      <x:c r="M34" s="9" t="n">
        <x:f>'Evaluation Plan'!M34</x:f>
        <x:v>9</x:v>
      </x:c>
      <x:c r="N34" s="10" t="str">
        <x:f>'Evaluation Plan'!N34</x:f>
        <x:v>Build the marked same-category discrimination scene. Save a first-frame image or filename.</x:v>
      </x:c>
      <x:c r="O34" s="10" t="str">
        <x:f>'Evaluation Plan'!O34</x:f>
        <x:v>Two objects match the named category; only the state word selects the target. Target and competitor differ only on the queried state axis.</x:v>
      </x:c>
      <x:c r="P34" s="10" t="str">
        <x:f>IF('Evaluation Plan'!P34=0,"",'Evaluation Plan'!P34)</x:f>
      </x:c>
    </x:row>
    <x:row r="35" ht="58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Place the open brown cup in the bowl.</x:v>
      </x:c>
      <x:c r="D35" s="7" t="str">
        <x:f>'Evaluation Plan'!D35</x:f>
        <x:v>P1 brown cup B (O, UR) [TARGET]; P2 white cup B (C, UD); P3 brown cup A (C, UR) [STATE COMPETITOR]</x:v>
      </x:c>
      <x:c r="E35" s="8" t="n">
        <x:f>IF('Evaluation Plan'!H35="Exact-scene opposite-state contrast",'Evaluation Plan'!E35,IF('Evaluation Plan'!H35="Language robustness",'Evaluation Plan'!E35,IF('Evaluation Plan'!H35="Matched manipulation control",'Evaluation Plan'!E35,IF('Evaluation Plan'!H35="Black-cup held-out-state composition",'Evaluation Plan'!E35,""))))</x:f>
        <x:v>32</x:v>
      </x:c>
      <x:c r="F35" s="8" t="str">
        <x:f>'Evaluation Plan'!F35</x:f>
        <x:v>brown cup B</x:v>
      </x:c>
      <x:c r="G35" s="7"/>
      <x:c r="H35" s="8" t="str">
        <x:f>'Evaluation Plan'!H35</x:f>
        <x:v>Exact-scene opposite-state contrast</x:v>
      </x:c>
      <x:c r="I35" s="8" t="str">
        <x:f>'Evaluation Plan'!I35</x:f>
        <x:v>SR-F09</x:v>
      </x:c>
      <x:c r="J35" s="8" t="str">
        <x:f>'Evaluation Plan'!J35</x:f>
        <x:v>open</x:v>
      </x:c>
      <x:c r="K35" s="8" t="n">
        <x:f>'Evaluation Plan'!K35</x:f>
        <x:v>3</x:v>
      </x:c>
      <x:c r="L35" s="8" t="str">
        <x:f>'Evaluation Plan'!L35</x:f>
        <x:v>2 — Exact-scene opposite-state contrast — State-word counterfactual (closed→open)</x:v>
      </x:c>
      <x:c r="M35" s="8" t="n">
        <x:f>'Evaluation Plan'!M35</x:f>
        <x:v>9</x:v>
      </x:c>
      <x:c r="N35" s="7" t="str">
        <x:f>'Evaluation Plan'!N35</x:f>
        <x:v>Reset the canonical target to its marked position. Preserve every object and state; change only the queried state word and expected target.</x:v>
      </x:c>
      <x:c r="O35" s="7" t="str">
        <x:f>'Evaluation Plan'!O35</x:f>
        <x:v>Exact-scene semantic counterfactual. The state word switches to the opposite state and the correct target switches to the other same-category instance.</x:v>
      </x:c>
      <x:c r="P35" s="7" t="str">
        <x:f>IF('Evaluation Plan'!P35=0,"",'Evaluation Plan'!P35)</x:f>
      </x:c>
    </x:row>
    <x:row r="36" ht="58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Place the brown cup that is not open in the bowl.</x:v>
      </x:c>
      <x:c r="D36" s="7" t="str">
        <x:f>'Evaluation Plan'!D36</x:f>
        <x:v>P1 brown cup B (O, UR) [STATE COMPETITOR]; P2 white cup B (C, UD); P3 brown cup A (C, UR) [TARGET]</x:v>
      </x:c>
      <x:c r="E36" s="8" t="n">
        <x:f>IF('Evaluation Plan'!H36="Exact-scene opposite-state contrast",'Evaluation Plan'!E36,IF('Evaluation Plan'!H36="Language robustness",'Evaluation Plan'!E36,IF('Evaluation Plan'!H36="Matched manipulation control",'Evaluation Plan'!E36,IF('Evaluation Plan'!H36="Black-cup held-out-state composition",'Evaluation Plan'!E36,""))))</x:f>
        <x:v>32</x:v>
      </x:c>
      <x:c r="F36" s="8" t="str">
        <x:f>'Evaluation Plan'!F36</x:f>
        <x:v>brown cup A</x:v>
      </x:c>
      <x:c r="G36" s="7"/>
      <x:c r="H36" s="8" t="str">
        <x:f>'Evaluation Plan'!H36</x:f>
        <x:v>Language robustness</x:v>
      </x:c>
      <x:c r="I36" s="8" t="str">
        <x:f>'Evaluation Plan'!I36</x:f>
        <x:v>SR-F09</x:v>
      </x:c>
      <x:c r="J36" s="8" t="str">
        <x:f>'Evaluation Plan'!J36</x:f>
        <x:v>closed</x:v>
      </x:c>
      <x:c r="K36" s="8" t="n">
        <x:f>'Evaluation Plan'!K36</x:f>
        <x:v>3</x:v>
      </x:c>
      <x:c r="L36" s="8" t="str">
        <x:f>'Evaluation Plan'!L36</x:f>
        <x:v>3 — Exact-scene transfer paraphrase — Paraphrase of concept/compositional-transfer prompt</x:v>
      </x:c>
      <x:c r="M36" s="8" t="n">
        <x:f>'Evaluation Plan'!M36</x:f>
        <x:v>9</x:v>
      </x:c>
      <x:c r="N36" s="7" t="str">
        <x:f>'Evaluation Plan'!N36</x:f>
        <x:v>Reset only the moved target; change only the prompt wording.</x:v>
      </x:c>
      <x:c r="O36" s="7" t="str">
        <x:f>'Evaluation Plan'!O36</x:f>
        <x:v>Exact-scene language pair for the state-bearing transfer prompt.</x:v>
      </x:c>
      <x:c r="P36" s="7" t="str">
        <x:f>IF('Evaluation Plan'!P36=0,"",'Evaluation Plan'!P36)</x:f>
      </x:c>
    </x:row>
    <x:row r="37" ht="58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Move the brown cup into the bowl.</x:v>
      </x:c>
      <x:c r="D37" s="7" t="str">
        <x:f>'Evaluation Plan'!D37</x:f>
        <x:v>P1 yellow-white striped cup B (O, UR) [NEUTRAL REPLACEMENT]; P2 white cup B (C, UD); P3 brown cup A (C, UR) [TARGET]</x:v>
      </x:c>
      <x:c r="E37" s="8" t="n">
        <x:f>IF('Evaluation Plan'!H37="Exact-scene opposite-state contrast",'Evaluation Plan'!E37,IF('Evaluation Plan'!H37="Language robustness",'Evaluation Plan'!E37,IF('Evaluation Plan'!H37="Matched manipulation control",'Evaluation Plan'!E37,IF('Evaluation Plan'!H37="Black-cup held-out-state composition",'Evaluation Plan'!E37,""))))</x:f>
        <x:v>32</x:v>
      </x:c>
      <x:c r="F37" s="8" t="str">
        <x:f>'Evaluation Plan'!F37</x:f>
        <x:v>brown cup A</x:v>
      </x:c>
      <x:c r="G37" s="7"/>
      <x:c r="H37" s="8" t="str">
        <x:f>'Evaluation Plan'!H37</x:f>
        <x:v>Matched manipulation control</x:v>
      </x:c>
      <x:c r="I37" s="8" t="str">
        <x:f>'Evaluation Plan'!I37</x:f>
        <x:v>SR-F09</x:v>
      </x:c>
      <x:c r="J37" s="8" t="str">
        <x:f>'Evaluation Plan'!J37</x:f>
        <x:v>closed</x:v>
      </x:c>
      <x:c r="K37" s="8" t="n">
        <x:f>'Evaluation Plan'!K37</x:f>
        <x:v>3</x:v>
      </x:c>
      <x:c r="L37" s="8" t="str">
        <x:f>'Evaluation Plan'!L37</x:f>
        <x:v>4 — Matched control — Category-only control with 3 objects</x:v>
      </x:c>
      <x:c r="M37" s="8" t="n">
        <x:f>'Evaluation Plan'!M37</x:f>
        <x:v>9</x:v>
      </x:c>
      <x:c r="N37" s="7" t="str">
        <x:f>'Evaluation Plan'!N37</x:f>
        <x:v>Reset the target; replace the same-category state competitor with yellow-white striped cup B at the same position. Keep object count, other objects, camera, and bowl fixed.</x:v>
      </x:c>
      <x:c r="O37" s="7" t="str">
        <x:f>'Evaluation Plan'!O37</x:f>
        <x:v>The neutral replacement removes category ambiguity without changing the three- or four-object set size.</x:v>
      </x:c>
      <x:c r="P37" s="7" t="str">
        <x:f>IF('Evaluation Plan'!P37=0,"",'Evaluation Plan'!P37)</x:f>
      </x:c>
    </x:row>
    <x:row r="38" ht="58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Place the open glass spice container in the bowl.</x:v>
      </x:c>
      <x:c r="D38" s="10" t="str">
        <x:f>'Evaluation Plan'!D38</x:f>
        <x:v>P1 glass spice container B (O, UD) [TARGET]; P2 glass spice container A (C, UD) [STATE COMPETITOR]; P3 white cup B (C, UD)</x:v>
      </x:c>
      <x:c r="E38" s="9" t="str">
        <x:f>IF('Evaluation Plan'!H38="Exact-scene opposite-state contrast",'Evaluation Plan'!E38,IF('Evaluation Plan'!H38="Language robustness",'Evaluation Plan'!E38,IF('Evaluation Plan'!H38="Matched manipulation control",'Evaluation Plan'!E38,IF('Evaluation Plan'!H38="Black-cup held-out-state composition",'Evaluation Plan'!E38,""))))</x:f>
      </x:c>
      <x:c r="F38" s="9" t="str">
        <x:f>'Evaluation Plan'!F38</x:f>
        <x:v>glass spice container B</x:v>
      </x:c>
      <x:c r="G38" s="10"/>
      <x:c r="H38" s="9" t="str">
        <x:f>'Evaluation Plan'!H38</x:f>
        <x:v>Concept/compositional transfer</x:v>
      </x:c>
      <x:c r="I38" s="9" t="str">
        <x:f>'Evaluation Plan'!I38</x:f>
        <x:v>SR-F10</x:v>
      </x:c>
      <x:c r="J38" s="9" t="str">
        <x:f>'Evaluation Plan'!J38</x:f>
        <x:v>open</x:v>
      </x:c>
      <x:c r="K38" s="9" t="n">
        <x:f>'Evaluation Plan'!K38</x:f>
        <x:v>3</x:v>
      </x:c>
      <x:c r="L38" s="9" t="str">
        <x:f>'Evaluation Plan'!L38</x:f>
        <x:v>1 — Canonical transfer — Seen state word in a new scene (open)</x:v>
      </x:c>
      <x:c r="M38" s="9" t="n">
        <x:f>'Evaluation Plan'!M38</x:f>
        <x:v>10</x:v>
      </x:c>
      <x:c r="N38" s="10" t="str">
        <x:f>'Evaluation Plan'!N38</x:f>
        <x:v>Build the marked same-category discrimination scene. Save a first-frame image or filename.</x:v>
      </x:c>
      <x:c r="O38" s="10" t="str">
        <x:f>'Evaluation Plan'!O38</x:f>
        <x:v>Two objects match the named category; only the state word selects the target. Target and competitor differ only on the queried state axis.</x:v>
      </x:c>
      <x:c r="P38" s="10" t="str">
        <x:f>IF('Evaluation Plan'!P38=0,"",'Evaluation Plan'!P38)</x:f>
      </x:c>
    </x:row>
    <x:row r="39" ht="58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Put the closed glass spice container in the bowl.</x:v>
      </x:c>
      <x:c r="D39" s="7" t="str">
        <x:f>'Evaluation Plan'!D39</x:f>
        <x:v>P1 glass spice container B (O, UD) [STATE COMPETITOR]; P2 glass spice container A (C, UD) [TARGET]; P3 white cup B (C, UD)</x:v>
      </x:c>
      <x:c r="E39" s="8" t="n">
        <x:f>IF('Evaluation Plan'!H39="Exact-scene opposite-state contrast",'Evaluation Plan'!E39,IF('Evaluation Plan'!H39="Language robustness",'Evaluation Plan'!E39,IF('Evaluation Plan'!H39="Matched manipulation control",'Evaluation Plan'!E39,IF('Evaluation Plan'!H39="Black-cup held-out-state composition",'Evaluation Plan'!E39,""))))</x:f>
        <x:v>36</x:v>
      </x:c>
      <x:c r="F39" s="8" t="str">
        <x:f>'Evaluation Plan'!F39</x:f>
        <x:v>glass spice container A</x:v>
      </x:c>
      <x:c r="G39" s="7"/>
      <x:c r="H39" s="8" t="str">
        <x:f>'Evaluation Plan'!H39</x:f>
        <x:v>Exact-scene opposite-state contrast</x:v>
      </x:c>
      <x:c r="I39" s="8" t="str">
        <x:f>'Evaluation Plan'!I39</x:f>
        <x:v>SR-F10</x:v>
      </x:c>
      <x:c r="J39" s="8" t="str">
        <x:f>'Evaluation Plan'!J39</x:f>
        <x:v>closed</x:v>
      </x:c>
      <x:c r="K39" s="8" t="n">
        <x:f>'Evaluation Plan'!K39</x:f>
        <x:v>3</x:v>
      </x:c>
      <x:c r="L39" s="8" t="str">
        <x:f>'Evaluation Plan'!L39</x:f>
        <x:v>2 — Exact-scene opposite-state contrast — State-word counterfactual (open→closed)</x:v>
      </x:c>
      <x:c r="M39" s="8" t="n">
        <x:f>'Evaluation Plan'!M39</x:f>
        <x:v>10</x:v>
      </x:c>
      <x:c r="N39" s="7" t="str">
        <x:f>'Evaluation Plan'!N39</x:f>
        <x:v>Reset the canonical target to its marked position. Preserve every object and state; change only the queried state word and expected target.</x:v>
      </x:c>
      <x:c r="O39" s="7" t="str">
        <x:f>'Evaluation Plan'!O39</x:f>
        <x:v>Exact-scene semantic counterfactual. The state word switches to the opposite state and the correct target switches to the other same-category instance.</x:v>
      </x:c>
      <x:c r="P39" s="7" t="str">
        <x:f>IF('Evaluation Plan'!P39=0,"",'Evaluation Plan'!P39)</x:f>
      </x:c>
    </x:row>
    <x:row r="40" ht="58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Move the open glass spice container into the bowl.</x:v>
      </x:c>
      <x:c r="D40" s="7" t="str">
        <x:f>'Evaluation Plan'!D40</x:f>
        <x:v>P1 glass spice container B (O, UD) [TARGET]; P2 glass spice container A (C, UD) [STATE COMPETITOR]; P3 white cup B (C, UD)</x:v>
      </x:c>
      <x:c r="E40" s="8" t="n">
        <x:f>IF('Evaluation Plan'!H40="Exact-scene opposite-state contrast",'Evaluation Plan'!E40,IF('Evaluation Plan'!H40="Language robustness",'Evaluation Plan'!E40,IF('Evaluation Plan'!H40="Matched manipulation control",'Evaluation Plan'!E40,IF('Evaluation Plan'!H40="Black-cup held-out-state composition",'Evaluation Plan'!E40,""))))</x:f>
        <x:v>36</x:v>
      </x:c>
      <x:c r="F40" s="8" t="str">
        <x:f>'Evaluation Plan'!F40</x:f>
        <x:v>glass spice container B</x:v>
      </x:c>
      <x:c r="G40" s="7"/>
      <x:c r="H40" s="8" t="str">
        <x:f>'Evaluation Plan'!H40</x:f>
        <x:v>Language robustness</x:v>
      </x:c>
      <x:c r="I40" s="8" t="str">
        <x:f>'Evaluation Plan'!I40</x:f>
        <x:v>SR-F10</x:v>
      </x:c>
      <x:c r="J40" s="8" t="str">
        <x:f>'Evaluation Plan'!J40</x:f>
        <x:v>open</x:v>
      </x:c>
      <x:c r="K40" s="8" t="n">
        <x:f>'Evaluation Plan'!K40</x:f>
        <x:v>3</x:v>
      </x:c>
      <x:c r="L40" s="8" t="str">
        <x:f>'Evaluation Plan'!L40</x:f>
        <x:v>3 — Exact-scene transfer paraphrase — Paraphrase of concept/compositional-transfer prompt</x:v>
      </x:c>
      <x:c r="M40" s="8" t="n">
        <x:f>'Evaluation Plan'!M40</x:f>
        <x:v>10</x:v>
      </x:c>
      <x:c r="N40" s="7" t="str">
        <x:f>'Evaluation Plan'!N40</x:f>
        <x:v>Reset only the moved target; change only the prompt wording.</x:v>
      </x:c>
      <x:c r="O40" s="7" t="str">
        <x:f>'Evaluation Plan'!O40</x:f>
        <x:v>Exact-scene language pair for the state-bearing transfer prompt.</x:v>
      </x:c>
      <x:c r="P40" s="7" t="str">
        <x:f>IF('Evaluation Plan'!P40=0,"",'Evaluation Plan'!P40)</x:f>
      </x:c>
    </x:row>
    <x:row r="41" ht="58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Place the glass spice container in the bowl.</x:v>
      </x:c>
      <x:c r="D41" s="7" t="str">
        <x:f>'Evaluation Plan'!D41</x:f>
        <x:v>P1 glass spice container B (O, UD) [TARGET]; P2 brown cup A (C, UD) [NEUTRAL REPLACEMENT]; P3 white cup B (C, UD)</x:v>
      </x:c>
      <x:c r="E41" s="8" t="n">
        <x:f>IF('Evaluation Plan'!H41="Exact-scene opposite-state contrast",'Evaluation Plan'!E41,IF('Evaluation Plan'!H41="Language robustness",'Evaluation Plan'!E41,IF('Evaluation Plan'!H41="Matched manipulation control",'Evaluation Plan'!E41,IF('Evaluation Plan'!H41="Black-cup held-out-state composition",'Evaluation Plan'!E41,""))))</x:f>
        <x:v>36</x:v>
      </x:c>
      <x:c r="F41" s="8" t="str">
        <x:f>'Evaluation Plan'!F41</x:f>
        <x:v>glass spice container B</x:v>
      </x:c>
      <x:c r="G41" s="7"/>
      <x:c r="H41" s="8" t="str">
        <x:f>'Evaluation Plan'!H41</x:f>
        <x:v>Matched manipulation control</x:v>
      </x:c>
      <x:c r="I41" s="8" t="str">
        <x:f>'Evaluation Plan'!I41</x:f>
        <x:v>SR-F10</x:v>
      </x:c>
      <x:c r="J41" s="8" t="str">
        <x:f>'Evaluation Plan'!J41</x:f>
        <x:v>open</x:v>
      </x:c>
      <x:c r="K41" s="8" t="n">
        <x:f>'Evaluation Plan'!K41</x:f>
        <x:v>3</x:v>
      </x:c>
      <x:c r="L41" s="8" t="str">
        <x:f>'Evaluation Plan'!L41</x:f>
        <x:v>4 — Matched control — Category-only control with 3 objects</x:v>
      </x:c>
      <x:c r="M41" s="8" t="n">
        <x:f>'Evaluation Plan'!M41</x:f>
        <x:v>10</x:v>
      </x:c>
      <x:c r="N41" s="7" t="str">
        <x:f>'Evaluation Plan'!N41</x:f>
        <x:v>Reset the target; replace the same-category state competitor with brown cup A at the same position. Keep object count, other objects, camera, and bowl fixed.</x:v>
      </x:c>
      <x:c r="O41" s="7" t="str">
        <x:f>'Evaluation Plan'!O41</x:f>
        <x:v>The neutral replacement removes category ambiguity without changing the three- or four-object set size.</x:v>
      </x:c>
      <x:c r="P41" s="7" t="str">
        <x:f>IF('Evaluation Plan'!P41=0,"",'Evaluation Plan'!P41)</x:f>
      </x:c>
    </x:row>
    <x:row r="42" ht="58" customHeight="1">
      <x:c r="A42" s="9" t="str">
        <x:v>Not collected</x:v>
      </x:c>
      <x:c r="B42" s="9" t="n">
        <x:f>'Evaluation Plan'!B42</x:f>
        <x:v>40</x:v>
      </x:c>
      <x:c r="C42" s="10" t="str">
        <x:f>'Evaluation Plan'!C42</x:f>
        <x:v>Put the upright white cup in the bowl.</x:v>
      </x:c>
      <x:c r="D42" s="10" t="str">
        <x:f>'Evaluation Plan'!D42</x:f>
        <x:v>P1 yellow-white striped cup A (O, UR); P2 brown cup B (C, UD); P3 white cup A (O, UR) [TARGET]; P4 white cup B (O, UD) [STATE COMPETITOR]</x:v>
      </x:c>
      <x:c r="E42" s="9" t="str">
        <x:f>IF('Evaluation Plan'!H42="Exact-scene opposite-state contrast",'Evaluation Plan'!E42,IF('Evaluation Plan'!H42="Language robustness",'Evaluation Plan'!E42,IF('Evaluation Plan'!H42="Matched manipulation control",'Evaluation Plan'!E42,IF('Evaluation Plan'!H42="Black-cup held-out-state composition",'Evaluation Plan'!E42,""))))</x:f>
      </x:c>
      <x:c r="F42" s="9" t="str">
        <x:f>'Evaluation Plan'!F42</x:f>
        <x:v>white cup A</x:v>
      </x:c>
      <x:c r="G42" s="10"/>
      <x:c r="H42" s="9" t="str">
        <x:f>'Evaluation Plan'!H42</x:f>
        <x:v>Concept/compositional transfer</x:v>
      </x:c>
      <x:c r="I42" s="9" t="str">
        <x:f>'Evaluation Plan'!I42</x:f>
        <x:v>SR-F11</x:v>
      </x:c>
      <x:c r="J42" s="9" t="str">
        <x:f>'Evaluation Plan'!J42</x:f>
        <x:v>upright</x:v>
      </x:c>
      <x:c r="K42" s="9" t="n">
        <x:f>'Evaluation Plan'!K42</x:f>
        <x:v>4</x:v>
      </x:c>
      <x:c r="L42" s="9" t="str">
        <x:f>'Evaluation Plan'!L42</x:f>
        <x:v>1 — Canonical transfer — Held-out state word + known category (upright)</x:v>
      </x:c>
      <x:c r="M42" s="9" t="n">
        <x:f>'Evaluation Plan'!M42</x:f>
        <x:v>11</x:v>
      </x:c>
      <x:c r="N42" s="10" t="str">
        <x:f>'Evaluation Plan'!N42</x:f>
        <x:v>Build the marked same-category discrimination scene. Save a first-frame image or filename.</x:v>
      </x:c>
      <x:c r="O42" s="10" t="str">
        <x:f>'Evaluation Plan'!O42</x:f>
        <x:v>Two objects match the named category; only the state word selects the target. Target and competitor differ only on the queried state axis.</x:v>
      </x:c>
      <x:c r="P42" s="10" t="str">
        <x:f>IF('Evaluation Plan'!P42=0,"",'Evaluation Plan'!P42)</x:f>
      </x:c>
    </x:row>
    <x:row r="43" ht="58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Move the upside-down white cup into the bowl.</x:v>
      </x:c>
      <x:c r="D43" s="7" t="str">
        <x:f>'Evaluation Plan'!D43</x:f>
        <x:v>P1 yellow-white striped cup A (O, UR); P2 brown cup B (C, UD); P3 white cup A (O, UR) [STATE COMPETITOR]; P4 white cup B (O, UD) [TARGET]</x:v>
      </x:c>
      <x:c r="E43" s="8" t="n">
        <x:f>IF('Evaluation Plan'!H43="Exact-scene opposite-state contrast",'Evaluation Plan'!E43,IF('Evaluation Plan'!H43="Language robustness",'Evaluation Plan'!E43,IF('Evaluation Plan'!H43="Matched manipulation control",'Evaluation Plan'!E43,IF('Evaluation Plan'!H43="Black-cup held-out-state composition",'Evaluation Plan'!E43,""))))</x:f>
        <x:v>40</x:v>
      </x:c>
      <x:c r="F43" s="8" t="str">
        <x:f>'Evaluation Plan'!F43</x:f>
        <x:v>white cup B</x:v>
      </x:c>
      <x:c r="G43" s="7"/>
      <x:c r="H43" s="8" t="str">
        <x:f>'Evaluation Plan'!H43</x:f>
        <x:v>Exact-scene opposite-state contrast</x:v>
      </x:c>
      <x:c r="I43" s="8" t="str">
        <x:f>'Evaluation Plan'!I43</x:f>
        <x:v>SR-F11</x:v>
      </x:c>
      <x:c r="J43" s="8" t="str">
        <x:f>'Evaluation Plan'!J43</x:f>
        <x:v>upside-down</x:v>
      </x:c>
      <x:c r="K43" s="8" t="n">
        <x:f>'Evaluation Plan'!K43</x:f>
        <x:v>4</x:v>
      </x:c>
      <x:c r="L43" s="8" t="str">
        <x:f>'Evaluation Plan'!L43</x:f>
        <x:v>2 — Exact-scene opposite-state contrast — State-word counterfactual (upright→upside-down)</x:v>
      </x:c>
      <x:c r="M43" s="8" t="n">
        <x:f>'Evaluation Plan'!M43</x:f>
        <x:v>11</x:v>
      </x:c>
      <x:c r="N43" s="7" t="str">
        <x:f>'Evaluation Plan'!N43</x:f>
        <x:v>Reset the canonical target to its marked position. Preserve every object and state; change only the queried state word and expected target.</x:v>
      </x:c>
      <x:c r="O43" s="7" t="str">
        <x:f>'Evaluation Plan'!O43</x:f>
        <x:v>Exact-scene semantic counterfactual. The state word switches to the opposite state and the correct target switches to the other same-category instance.</x:v>
      </x:c>
      <x:c r="P43" s="7" t="str">
        <x:f>IF('Evaluation Plan'!P43=0,"",'Evaluation Plan'!P43)</x:f>
      </x:c>
    </x:row>
    <x:row r="44" ht="58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Put the white cup in the bowl.</x:v>
      </x:c>
      <x:c r="D44" s="7" t="str">
        <x:f>'Evaluation Plan'!D44</x:f>
        <x:v>P1 yellow-white striped cup A (O, UR); P2 brown cup B (C, UD); P3 white cup A (O, UR) [TARGET]; P4 glass spice container B (O, UD) [NEUTRAL REPLACEMENT]</x:v>
      </x:c>
      <x:c r="E44" s="8" t="n">
        <x:f>IF('Evaluation Plan'!H44="Exact-scene opposite-state contrast",'Evaluation Plan'!E44,IF('Evaluation Plan'!H44="Language robustness",'Evaluation Plan'!E44,IF('Evaluation Plan'!H44="Matched manipulation control",'Evaluation Plan'!E44,IF('Evaluation Plan'!H44="Black-cup held-out-state composition",'Evaluation Plan'!E44,""))))</x:f>
        <x:v>40</x:v>
      </x:c>
      <x:c r="F44" s="8" t="str">
        <x:f>'Evaluation Plan'!F44</x:f>
        <x:v>white cup A</x:v>
      </x:c>
      <x:c r="G44" s="7"/>
      <x:c r="H44" s="8" t="str">
        <x:f>'Evaluation Plan'!H44</x:f>
        <x:v>Matched manipulation control</x:v>
      </x:c>
      <x:c r="I44" s="8" t="str">
        <x:f>'Evaluation Plan'!I44</x:f>
        <x:v>SR-F11</x:v>
      </x:c>
      <x:c r="J44" s="8" t="str">
        <x:f>'Evaluation Plan'!J44</x:f>
        <x:v>upright</x:v>
      </x:c>
      <x:c r="K44" s="8" t="n">
        <x:f>'Evaluation Plan'!K44</x:f>
        <x:v>4</x:v>
      </x:c>
      <x:c r="L44" s="8" t="str">
        <x:f>'Evaluation Plan'!L44</x:f>
        <x:v>3 — Matched control — Category-only control with 4 objects</x:v>
      </x:c>
      <x:c r="M44" s="8" t="n">
        <x:f>'Evaluation Plan'!M44</x:f>
        <x:v>11</x:v>
      </x:c>
      <x:c r="N44" s="7" t="str">
        <x:f>'Evaluation Plan'!N44</x:f>
        <x:v>Reset the target; replace the same-category state competitor with glass spice container B at the same position. Keep object count, other objects, camera, and bowl fixed.</x:v>
      </x:c>
      <x:c r="O44" s="7" t="str">
        <x:f>'Evaluation Plan'!O44</x:f>
        <x:v>The neutral replacement removes category ambiguity without changing the three- or four-object set size.</x:v>
      </x:c>
      <x:c r="P44" s="7" t="str">
        <x:f>IF('Evaluation Plan'!P44=0,"",'Evaluation Plan'!P44)</x:f>
      </x:c>
    </x:row>
    <x:row r="45" ht="58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Pick up the white cup and place it in the bowl.</x:v>
      </x:c>
      <x:c r="D45" s="7" t="str">
        <x:f>'Evaluation Plan'!D45</x:f>
        <x:v>P1 yellow-white striped cup A (O, UR); P2 brown cup B (C, UD); P3 white cup A (O, UR) [TARGET]; P4 glass spice container B (O, UD) [NEUTRAL REPLACEMENT]</x:v>
      </x:c>
      <x:c r="E45" s="8" t="n">
        <x:f>IF('Evaluation Plan'!H45="Exact-scene opposite-state contrast",'Evaluation Plan'!E45,IF('Evaluation Plan'!H45="Language robustness",'Evaluation Plan'!E45,IF('Evaluation Plan'!H45="Matched manipulation control",'Evaluation Plan'!E45,IF('Evaluation Plan'!H45="Black-cup held-out-state composition",'Evaluation Plan'!E45,""))))</x:f>
        <x:v>42</x:v>
      </x:c>
      <x:c r="F45" s="8" t="str">
        <x:f>'Evaluation Plan'!F45</x:f>
        <x:v>white cup A</x:v>
      </x:c>
      <x:c r="G45" s="7"/>
      <x:c r="H45" s="8" t="str">
        <x:f>'Evaluation Plan'!H45</x:f>
        <x:v>Language robustness</x:v>
      </x:c>
      <x:c r="I45" s="8" t="str">
        <x:f>'Evaluation Plan'!I45</x:f>
        <x:v>SR-F11</x:v>
      </x:c>
      <x:c r="J45" s="8" t="str">
        <x:f>'Evaluation Plan'!J45</x:f>
        <x:v>upright</x:v>
      </x:c>
      <x:c r="K45" s="8" t="n">
        <x:f>'Evaluation Plan'!K45</x:f>
        <x:v>4</x:v>
      </x:c>
      <x:c r="L45" s="8" t="str">
        <x:f>'Evaluation Plan'!L45</x:f>
        <x:v>4 — Exact-scene control paraphrase — Paraphrase of matched-control prompt</x:v>
      </x:c>
      <x:c r="M45" s="8" t="n">
        <x:f>'Evaluation Plan'!M45</x:f>
        <x:v>11</x:v>
      </x:c>
      <x:c r="N45" s="7" t="str">
        <x:f>'Evaluation Plan'!N45</x:f>
        <x:v>Reset only the moved target; change only the prompt wording.</x:v>
      </x:c>
      <x:c r="O45" s="7" t="str">
        <x:f>'Evaluation Plan'!O45</x:f>
        <x:v>Exact-scene language pair for the category-only matched control.</x:v>
      </x:c>
      <x:c r="P45" s="7" t="str">
        <x:f>IF('Evaluation Plan'!P45=0,"",'Evaluation Plan'!P45)</x:f>
      </x:c>
    </x:row>
    <x:row r="46" ht="58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Move the upside-down yellow-white striped cup into the bowl.</x:v>
      </x:c>
      <x:c r="D46" s="10" t="str">
        <x:f>'Evaluation Plan'!D46</x:f>
        <x:v>P1 yellow-white striped cup A (C, UR) [STATE COMPETITOR]; P2 white cup A (O, UR); P3 brown cup B (C, UD); P4 yellow-white striped cup B (C, UD) [TARGET]</x:v>
      </x:c>
      <x:c r="E46" s="9" t="str">
        <x:f>IF('Evaluation Plan'!H46="Exact-scene opposite-state contrast",'Evaluation Plan'!E46,IF('Evaluation Plan'!H46="Language robustness",'Evaluation Plan'!E46,IF('Evaluation Plan'!H46="Matched manipulation control",'Evaluation Plan'!E46,IF('Evaluation Plan'!H46="Black-cup held-out-state composition",'Evaluation Plan'!E46,""))))</x:f>
      </x:c>
      <x:c r="F46" s="9" t="str">
        <x:f>'Evaluation Plan'!F46</x:f>
        <x:v>yellow-white striped cup B</x:v>
      </x:c>
      <x:c r="G46" s="10"/>
      <x:c r="H46" s="9" t="str">
        <x:f>'Evaluation Plan'!H46</x:f>
        <x:v>Concept/compositional transfer</x:v>
      </x:c>
      <x:c r="I46" s="9" t="str">
        <x:f>'Evaluation Plan'!I46</x:f>
        <x:v>SR-F12</x:v>
      </x:c>
      <x:c r="J46" s="9" t="str">
        <x:f>'Evaluation Plan'!J46</x:f>
        <x:v>upside-down</x:v>
      </x:c>
      <x:c r="K46" s="9" t="n">
        <x:f>'Evaluation Plan'!K46</x:f>
        <x:v>4</x:v>
      </x:c>
      <x:c r="L46" s="9" t="str">
        <x:f>'Evaluation Plan'!L46</x:f>
        <x:v>1 — Canonical transfer — Seen state word in a new scene (upside-down)</x:v>
      </x:c>
      <x:c r="M46" s="9" t="n">
        <x:f>'Evaluation Plan'!M46</x:f>
        <x:v>12</x:v>
      </x:c>
      <x:c r="N46" s="10" t="str">
        <x:f>'Evaluation Plan'!N46</x:f>
        <x:v>Build the marked same-category discrimination scene. Save a first-frame image or filename.</x:v>
      </x:c>
      <x:c r="O46" s="10" t="str">
        <x:f>'Evaluation Plan'!O46</x:f>
        <x:v>Two objects match the named category; only the state word selects the target. Target and competitor differ only on the queried state axis.</x:v>
      </x:c>
      <x:c r="P46" s="10" t="str">
        <x:f>IF('Evaluation Plan'!P46=0,"",'Evaluation Plan'!P46)</x:f>
      </x:c>
    </x:row>
    <x:row r="47" ht="58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Place the upright yellow-white striped cup in the bowl.</x:v>
      </x:c>
      <x:c r="D47" s="7" t="str">
        <x:f>'Evaluation Plan'!D47</x:f>
        <x:v>P1 yellow-white striped cup A (C, UR) [TARGET]; P2 white cup A (O, UR); P3 brown cup B (C, UD); P4 yellow-white striped cup B (C, UD) [STATE COMPETITOR]</x:v>
      </x:c>
      <x:c r="E47" s="8" t="n">
        <x:f>IF('Evaluation Plan'!H47="Exact-scene opposite-state contrast",'Evaluation Plan'!E47,IF('Evaluation Plan'!H47="Language robustness",'Evaluation Plan'!E47,IF('Evaluation Plan'!H47="Matched manipulation control",'Evaluation Plan'!E47,IF('Evaluation Plan'!H47="Black-cup held-out-state composition",'Evaluation Plan'!E47,""))))</x:f>
        <x:v>44</x:v>
      </x:c>
      <x:c r="F47" s="8" t="str">
        <x:f>'Evaluation Plan'!F47</x:f>
        <x:v>yellow-white striped cup A</x:v>
      </x:c>
      <x:c r="G47" s="7"/>
      <x:c r="H47" s="8" t="str">
        <x:f>'Evaluation Plan'!H47</x:f>
        <x:v>Exact-scene opposite-state contrast</x:v>
      </x:c>
      <x:c r="I47" s="8" t="str">
        <x:f>'Evaluation Plan'!I47</x:f>
        <x:v>SR-F12</x:v>
      </x:c>
      <x:c r="J47" s="8" t="str">
        <x:f>'Evaluation Plan'!J47</x:f>
        <x:v>upright</x:v>
      </x:c>
      <x:c r="K47" s="8" t="n">
        <x:f>'Evaluation Plan'!K47</x:f>
        <x:v>4</x:v>
      </x:c>
      <x:c r="L47" s="8" t="str">
        <x:f>'Evaluation Plan'!L47</x:f>
        <x:v>2 — Exact-scene opposite-state contrast — State-word counterfactual (upside-down→upright)</x:v>
      </x:c>
      <x:c r="M47" s="8" t="n">
        <x:f>'Evaluation Plan'!M47</x:f>
        <x:v>12</x:v>
      </x:c>
      <x:c r="N47" s="7" t="str">
        <x:f>'Evaluation Plan'!N47</x:f>
        <x:v>Reset the canonical target to its marked position. Preserve every object and state; change only the queried state word and expected target.</x:v>
      </x:c>
      <x:c r="O47" s="7" t="str">
        <x:f>'Evaluation Plan'!O47</x:f>
        <x:v>Exact-scene semantic counterfactual. The state word switches to the opposite state and the correct target switches to the other same-category instance.</x:v>
      </x:c>
      <x:c r="P47" s="7" t="str">
        <x:f>IF('Evaluation Plan'!P47=0,"",'Evaluation Plan'!P47)</x:f>
      </x:c>
    </x:row>
    <x:row r="48" ht="58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Move the yellow-white striped cup into the bowl.</x:v>
      </x:c>
      <x:c r="D48" s="7" t="str">
        <x:f>'Evaluation Plan'!D48</x:f>
        <x:v>P1 glass spice container A (C, UR) [NEUTRAL REPLACEMENT]; P2 white cup A (O, UR); P3 brown cup B (C, UD); P4 yellow-white striped cup B (C, UD) [TARGET]</x:v>
      </x:c>
      <x:c r="E48" s="8" t="n">
        <x:f>IF('Evaluation Plan'!H48="Exact-scene opposite-state contrast",'Evaluation Plan'!E48,IF('Evaluation Plan'!H48="Language robustness",'Evaluation Plan'!E48,IF('Evaluation Plan'!H48="Matched manipulation control",'Evaluation Plan'!E48,IF('Evaluation Plan'!H48="Black-cup held-out-state composition",'Evaluation Plan'!E48,""))))</x:f>
        <x:v>44</x:v>
      </x:c>
      <x:c r="F48" s="8" t="str">
        <x:f>'Evaluation Plan'!F48</x:f>
        <x:v>yellow-white striped cup B</x:v>
      </x:c>
      <x:c r="G48" s="7"/>
      <x:c r="H48" s="8" t="str">
        <x:f>'Evaluation Plan'!H48</x:f>
        <x:v>Matched manipulation control</x:v>
      </x:c>
      <x:c r="I48" s="8" t="str">
        <x:f>'Evaluation Plan'!I48</x:f>
        <x:v>SR-F12</x:v>
      </x:c>
      <x:c r="J48" s="8" t="str">
        <x:f>'Evaluation Plan'!J48</x:f>
        <x:v>upside-down</x:v>
      </x:c>
      <x:c r="K48" s="8" t="n">
        <x:f>'Evaluation Plan'!K48</x:f>
        <x:v>4</x:v>
      </x:c>
      <x:c r="L48" s="8" t="str">
        <x:f>'Evaluation Plan'!L48</x:f>
        <x:v>3 — Matched control — Category-only control with 4 objects</x:v>
      </x:c>
      <x:c r="M48" s="8" t="n">
        <x:f>'Evaluation Plan'!M48</x:f>
        <x:v>12</x:v>
      </x:c>
      <x:c r="N48" s="7" t="str">
        <x:f>'Evaluation Plan'!N48</x:f>
        <x:v>Reset the target; replace the same-category state competitor with glass spice container A at the same position. Keep object count, other objects, camera, and bowl fixed.</x:v>
      </x:c>
      <x:c r="O48" s="7" t="str">
        <x:f>'Evaluation Plan'!O48</x:f>
        <x:v>The neutral replacement removes category ambiguity without changing the three- or four-object set size.</x:v>
      </x:c>
      <x:c r="P48" s="7" t="str">
        <x:f>IF('Evaluation Plan'!P48=0,"",'Evaluation Plan'!P48)</x:f>
      </x:c>
    </x:row>
    <x:row r="49" ht="58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Move the yellow-white striped cup over to the bowl.</x:v>
      </x:c>
      <x:c r="D49" s="7" t="str">
        <x:f>'Evaluation Plan'!D49</x:f>
        <x:v>P1 glass spice container A (C, UR) [NEUTRAL REPLACEMENT]; P2 white cup A (O, UR); P3 brown cup B (C, UD); P4 yellow-white striped cup B (C, UD) [TARGET]</x:v>
      </x:c>
      <x:c r="E49" s="8" t="n">
        <x:f>IF('Evaluation Plan'!H49="Exact-scene opposite-state contrast",'Evaluation Plan'!E49,IF('Evaluation Plan'!H49="Language robustness",'Evaluation Plan'!E49,IF('Evaluation Plan'!H49="Matched manipulation control",'Evaluation Plan'!E49,IF('Evaluation Plan'!H49="Black-cup held-out-state composition",'Evaluation Plan'!E49,""))))</x:f>
        <x:v>46</x:v>
      </x:c>
      <x:c r="F49" s="8" t="str">
        <x:f>'Evaluation Plan'!F49</x:f>
        <x:v>yellow-white striped cup B</x:v>
      </x:c>
      <x:c r="G49" s="7"/>
      <x:c r="H49" s="8" t="str">
        <x:f>'Evaluation Plan'!H49</x:f>
        <x:v>Language robustness</x:v>
      </x:c>
      <x:c r="I49" s="8" t="str">
        <x:f>'Evaluation Plan'!I49</x:f>
        <x:v>SR-F12</x:v>
      </x:c>
      <x:c r="J49" s="8" t="str">
        <x:f>'Evaluation Plan'!J49</x:f>
        <x:v>upside-down</x:v>
      </x:c>
      <x:c r="K49" s="8" t="n">
        <x:f>'Evaluation Plan'!K49</x:f>
        <x:v>4</x:v>
      </x:c>
      <x:c r="L49" s="8" t="str">
        <x:f>'Evaluation Plan'!L49</x:f>
        <x:v>4 — Exact-scene control paraphrase — Paraphrase of matched-control prompt</x:v>
      </x:c>
      <x:c r="M49" s="8" t="n">
        <x:f>'Evaluation Plan'!M49</x:f>
        <x:v>12</x:v>
      </x:c>
      <x:c r="N49" s="7" t="str">
        <x:f>'Evaluation Plan'!N49</x:f>
        <x:v>Reset only the moved target; change only the prompt wording.</x:v>
      </x:c>
      <x:c r="O49" s="7" t="str">
        <x:f>'Evaluation Plan'!O49</x:f>
        <x:v>Exact-scene language pair for the category-only matched control.</x:v>
      </x:c>
      <x:c r="P49" s="7" t="str">
        <x:f>IF('Evaluation Plan'!P49=0,"",'Evaluation Plan'!P49)</x:f>
      </x:c>
    </x:row>
    <x:row r="50" ht="58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Place the closed glass spice container in the bowl.</x:v>
      </x:c>
      <x:c r="D50" s="10" t="str">
        <x:f>'Evaluation Plan'!D50</x:f>
        <x:v>P1 glass spice container A (C, UR) [TARGET]; P2 glass spice container B (O, UR) [STATE COMPETITOR]; P3 white cup A (O, UR); P4 yellow-white striped cup B (C, UD)</x:v>
      </x:c>
      <x:c r="E50" s="9" t="str">
        <x:f>IF('Evaluation Plan'!H50="Exact-scene opposite-state contrast",'Evaluation Plan'!E50,IF('Evaluation Plan'!H50="Language robustness",'Evaluation Plan'!E50,IF('Evaluation Plan'!H50="Matched manipulation control",'Evaluation Plan'!E50,IF('Evaluation Plan'!H50="Black-cup held-out-state composition",'Evaluation Plan'!E50,""))))</x:f>
      </x:c>
      <x:c r="F50" s="9" t="str">
        <x:f>'Evaluation Plan'!F50</x:f>
        <x:v>glass spice container A</x:v>
      </x:c>
      <x:c r="G50" s="10"/>
      <x:c r="H50" s="9" t="str">
        <x:f>'Evaluation Plan'!H50</x:f>
        <x:v>Concept/compositional transfer</x:v>
      </x:c>
      <x:c r="I50" s="9" t="str">
        <x:f>'Evaluation Plan'!I50</x:f>
        <x:v>SR-F13</x:v>
      </x:c>
      <x:c r="J50" s="9" t="str">
        <x:f>'Evaluation Plan'!J50</x:f>
        <x:v>closed</x:v>
      </x:c>
      <x:c r="K50" s="9" t="n">
        <x:f>'Evaluation Plan'!K50</x:f>
        <x:v>4</x:v>
      </x:c>
      <x:c r="L50" s="9" t="str">
        <x:f>'Evaluation Plan'!L50</x:f>
        <x:v>1 — Canonical transfer — Held-out state word + known category (closed)</x:v>
      </x:c>
      <x:c r="M50" s="9" t="n">
        <x:f>'Evaluation Plan'!M50</x:f>
        <x:v>13</x:v>
      </x:c>
      <x:c r="N50" s="10" t="str">
        <x:f>'Evaluation Plan'!N50</x:f>
        <x:v>Build the marked same-category discrimination scene. Save a first-frame image or filename.</x:v>
      </x:c>
      <x:c r="O50" s="10" t="str">
        <x:f>'Evaluation Plan'!O50</x:f>
        <x:v>Two objects match the named category; only the state word selects the target. Target and competitor differ only on the queried state axis.</x:v>
      </x:c>
      <x:c r="P50" s="10" t="str">
        <x:f>IF('Evaluation Plan'!P50=0,"",'Evaluation Plan'!P50)</x:f>
      </x:c>
    </x:row>
    <x:row r="51" ht="58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Put the open glass spice container in the bowl.</x:v>
      </x:c>
      <x:c r="D51" s="7" t="str">
        <x:f>'Evaluation Plan'!D51</x:f>
        <x:v>P1 glass spice container A (C, UR) [STATE COMPETITOR]; P2 glass spice container B (O, UR) [TARGET]; P3 white cup A (O, UR); P4 yellow-white striped cup B (C, UD)</x:v>
      </x:c>
      <x:c r="E51" s="8" t="n">
        <x:f>IF('Evaluation Plan'!H51="Exact-scene opposite-state contrast",'Evaluation Plan'!E51,IF('Evaluation Plan'!H51="Language robustness",'Evaluation Plan'!E51,IF('Evaluation Plan'!H51="Matched manipulation control",'Evaluation Plan'!E51,IF('Evaluation Plan'!H51="Black-cup held-out-state composition",'Evaluation Plan'!E51,""))))</x:f>
        <x:v>48</x:v>
      </x:c>
      <x:c r="F51" s="8" t="str">
        <x:f>'Evaluation Plan'!F51</x:f>
        <x:v>glass spice container B</x:v>
      </x:c>
      <x:c r="G51" s="7"/>
      <x:c r="H51" s="8" t="str">
        <x:f>'Evaluation Plan'!H51</x:f>
        <x:v>Exact-scene opposite-state contrast</x:v>
      </x:c>
      <x:c r="I51" s="8" t="str">
        <x:f>'Evaluation Plan'!I51</x:f>
        <x:v>SR-F13</x:v>
      </x:c>
      <x:c r="J51" s="8" t="str">
        <x:f>'Evaluation Plan'!J51</x:f>
        <x:v>open</x:v>
      </x:c>
      <x:c r="K51" s="8" t="n">
        <x:f>'Evaluation Plan'!K51</x:f>
        <x:v>4</x:v>
      </x:c>
      <x:c r="L51" s="8" t="str">
        <x:f>'Evaluation Plan'!L51</x:f>
        <x:v>2 — Exact-scene opposite-state contrast — State-word counterfactual (closed→open)</x:v>
      </x:c>
      <x:c r="M51" s="8" t="n">
        <x:f>'Evaluation Plan'!M51</x:f>
        <x:v>13</x:v>
      </x:c>
      <x:c r="N51" s="7" t="str">
        <x:f>'Evaluation Plan'!N51</x:f>
        <x:v>Reset the canonical target to its marked position. Preserve every object and state; change only the queried state word and expected target.</x:v>
      </x:c>
      <x:c r="O51" s="7" t="str">
        <x:f>'Evaluation Plan'!O51</x:f>
        <x:v>Exact-scene semantic counterfactual. The state word switches to the opposite state and the correct target switches to the other same-category instance.</x:v>
      </x:c>
      <x:c r="P51" s="7" t="str">
        <x:f>IF('Evaluation Plan'!P51=0,"",'Evaluation Plan'!P51)</x:f>
      </x:c>
    </x:row>
    <x:row r="52" ht="58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Place the glass spice container in the bowl.</x:v>
      </x:c>
      <x:c r="D52" s="7" t="str">
        <x:f>'Evaluation Plan'!D52</x:f>
        <x:v>P1 glass spice container A (C, UR) [TARGET]; P2 brown cup B (O, UR) [NEUTRAL REPLACEMENT]; P3 white cup A (O, UR); P4 yellow-white striped cup B (C, UD)</x:v>
      </x:c>
      <x:c r="E52" s="8" t="n">
        <x:f>IF('Evaluation Plan'!H52="Exact-scene opposite-state contrast",'Evaluation Plan'!E52,IF('Evaluation Plan'!H52="Language robustness",'Evaluation Plan'!E52,IF('Evaluation Plan'!H52="Matched manipulation control",'Evaluation Plan'!E52,IF('Evaluation Plan'!H52="Black-cup held-out-state composition",'Evaluation Plan'!E52,""))))</x:f>
        <x:v>48</x:v>
      </x:c>
      <x:c r="F52" s="8" t="str">
        <x:f>'Evaluation Plan'!F52</x:f>
        <x:v>glass spice container A</x:v>
      </x:c>
      <x:c r="G52" s="7"/>
      <x:c r="H52" s="8" t="str">
        <x:f>'Evaluation Plan'!H52</x:f>
        <x:v>Matched manipulation control</x:v>
      </x:c>
      <x:c r="I52" s="8" t="str">
        <x:f>'Evaluation Plan'!I52</x:f>
        <x:v>SR-F13</x:v>
      </x:c>
      <x:c r="J52" s="8" t="str">
        <x:f>'Evaluation Plan'!J52</x:f>
        <x:v>closed</x:v>
      </x:c>
      <x:c r="K52" s="8" t="n">
        <x:f>'Evaluation Plan'!K52</x:f>
        <x:v>4</x:v>
      </x:c>
      <x:c r="L52" s="8" t="str">
        <x:f>'Evaluation Plan'!L52</x:f>
        <x:v>3 — Matched control — Category-only control with 4 objects</x:v>
      </x:c>
      <x:c r="M52" s="8" t="n">
        <x:f>'Evaluation Plan'!M52</x:f>
        <x:v>13</x:v>
      </x:c>
      <x:c r="N52" s="7" t="str">
        <x:f>'Evaluation Plan'!N52</x:f>
        <x:v>Reset the target; replace the same-category state competitor with brown cup B at the same position. Keep object count, other objects, camera, and bowl fixed.</x:v>
      </x:c>
      <x:c r="O52" s="7" t="str">
        <x:f>'Evaluation Plan'!O52</x:f>
        <x:v>The neutral replacement removes category ambiguity without changing the three- or four-object set size.</x:v>
      </x:c>
      <x:c r="P52" s="7" t="str">
        <x:f>IF('Evaluation Plan'!P52=0,"",'Evaluation Plan'!P52)</x:f>
      </x:c>
    </x:row>
    <x:row r="53" ht="58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Put the glass spice container inside the bowl.</x:v>
      </x:c>
      <x:c r="D53" s="7" t="str">
        <x:f>'Evaluation Plan'!D53</x:f>
        <x:v>P1 glass spice container A (C, UR) [TARGET]; P2 brown cup B (O, UR) [NEUTRAL REPLACEMENT]; P3 white cup A (O, UR); P4 yellow-white striped cup B (C, UD)</x:v>
      </x:c>
      <x:c r="E53" s="8" t="n">
        <x:f>IF('Evaluation Plan'!H53="Exact-scene opposite-state contrast",'Evaluation Plan'!E53,IF('Evaluation Plan'!H53="Language robustness",'Evaluation Plan'!E53,IF('Evaluation Plan'!H53="Matched manipulation control",'Evaluation Plan'!E53,IF('Evaluation Plan'!H53="Black-cup held-out-state composition",'Evaluation Plan'!E53,""))))</x:f>
        <x:v>50</x:v>
      </x:c>
      <x:c r="F53" s="8" t="str">
        <x:f>'Evaluation Plan'!F53</x:f>
        <x:v>glass spice container A</x:v>
      </x:c>
      <x:c r="G53" s="7"/>
      <x:c r="H53" s="8" t="str">
        <x:f>'Evaluation Plan'!H53</x:f>
        <x:v>Language robustness</x:v>
      </x:c>
      <x:c r="I53" s="8" t="str">
        <x:f>'Evaluation Plan'!I53</x:f>
        <x:v>SR-F13</x:v>
      </x:c>
      <x:c r="J53" s="8" t="str">
        <x:f>'Evaluation Plan'!J53</x:f>
        <x:v>closed</x:v>
      </x:c>
      <x:c r="K53" s="8" t="n">
        <x:f>'Evaluation Plan'!K53</x:f>
        <x:v>4</x:v>
      </x:c>
      <x:c r="L53" s="8" t="str">
        <x:f>'Evaluation Plan'!L53</x:f>
        <x:v>4 — Exact-scene control paraphrase — Paraphrase of matched-control prompt</x:v>
      </x:c>
      <x:c r="M53" s="8" t="n">
        <x:f>'Evaluation Plan'!M53</x:f>
        <x:v>13</x:v>
      </x:c>
      <x:c r="N53" s="7" t="str">
        <x:f>'Evaluation Plan'!N53</x:f>
        <x:v>Reset only the moved target; change only the prompt wording.</x:v>
      </x:c>
      <x:c r="O53" s="7" t="str">
        <x:f>'Evaluation Plan'!O53</x:f>
        <x:v>Exact-scene language pair for the category-only matched control.</x:v>
      </x:c>
      <x:c r="P53" s="7" t="str">
        <x:f>IF('Evaluation Plan'!P53=0,"",'Evaluation Plan'!P53)</x:f>
      </x:c>
    </x:row>
    <x:row r="54" ht="58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Put the open white cup in the bowl.</x:v>
      </x:c>
      <x:c r="D54" s="10" t="str">
        <x:f>'Evaluation Plan'!D54</x:f>
        <x:v>P1 yellow-white striped cup B (C, UD); P2 white cup B (O, UD) [TARGET]; P3 white cup A (C, UD) [STATE COMPETITOR]; P4 brown cup A (O, UR)</x:v>
      </x:c>
      <x:c r="E54" s="9" t="str">
        <x:f>IF('Evaluation Plan'!H54="Exact-scene opposite-state contrast",'Evaluation Plan'!E54,IF('Evaluation Plan'!H54="Language robustness",'Evaluation Plan'!E54,IF('Evaluation Plan'!H54="Matched manipulation control",'Evaluation Plan'!E54,IF('Evaluation Plan'!H54="Black-cup held-out-state composition",'Evaluation Plan'!E54,""))))</x:f>
      </x:c>
      <x:c r="F54" s="9" t="str">
        <x:f>'Evaluation Plan'!F54</x:f>
        <x:v>white cup B</x:v>
      </x:c>
      <x:c r="G54" s="10"/>
      <x:c r="H54" s="9" t="str">
        <x:f>'Evaluation Plan'!H54</x:f>
        <x:v>Concept/compositional transfer</x:v>
      </x:c>
      <x:c r="I54" s="9" t="str">
        <x:f>'Evaluation Plan'!I54</x:f>
        <x:v>SR-F14</x:v>
      </x:c>
      <x:c r="J54" s="9" t="str">
        <x:f>'Evaluation Plan'!J54</x:f>
        <x:v>open</x:v>
      </x:c>
      <x:c r="K54" s="9" t="n">
        <x:f>'Evaluation Plan'!K54</x:f>
        <x:v>4</x:v>
      </x:c>
      <x:c r="L54" s="9" t="str">
        <x:f>'Evaluation Plan'!L54</x:f>
        <x:v>1 — Canonical transfer — Seen state word in a new scene (open)</x:v>
      </x:c>
      <x:c r="M54" s="9" t="n">
        <x:f>'Evaluation Plan'!M54</x:f>
        <x:v>14</x:v>
      </x:c>
      <x:c r="N54" s="10" t="str">
        <x:f>'Evaluation Plan'!N54</x:f>
        <x:v>Build the marked same-category discrimination scene. Save a first-frame image or filename.</x:v>
      </x:c>
      <x:c r="O54" s="10" t="str">
        <x:f>'Evaluation Plan'!O54</x:f>
        <x:v>Two objects match the named category; only the state word selects the target. Target and competitor differ only on the queried state axis.</x:v>
      </x:c>
      <x:c r="P54" s="10" t="str">
        <x:f>IF('Evaluation Plan'!P54=0,"",'Evaluation Plan'!P54)</x:f>
      </x:c>
    </x:row>
    <x:row r="55" ht="58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Move the closed white cup into the bowl.</x:v>
      </x:c>
      <x:c r="D55" s="7" t="str">
        <x:f>'Evaluation Plan'!D55</x:f>
        <x:v>P1 yellow-white striped cup B (C, UD); P2 white cup B (O, UD) [STATE COMPETITOR]; P3 white cup A (C, UD) [TARGET]; P4 brown cup A (O, UR)</x:v>
      </x:c>
      <x:c r="E55" s="8" t="n">
        <x:f>IF('Evaluation Plan'!H55="Exact-scene opposite-state contrast",'Evaluation Plan'!E55,IF('Evaluation Plan'!H55="Language robustness",'Evaluation Plan'!E55,IF('Evaluation Plan'!H55="Matched manipulation control",'Evaluation Plan'!E55,IF('Evaluation Plan'!H55="Black-cup held-out-state composition",'Evaluation Plan'!E55,""))))</x:f>
        <x:v>52</x:v>
      </x:c>
      <x:c r="F55" s="8" t="str">
        <x:f>'Evaluation Plan'!F55</x:f>
        <x:v>white cup A</x:v>
      </x:c>
      <x:c r="G55" s="7"/>
      <x:c r="H55" s="8" t="str">
        <x:f>'Evaluation Plan'!H55</x:f>
        <x:v>Exact-scene opposite-state contrast</x:v>
      </x:c>
      <x:c r="I55" s="8" t="str">
        <x:f>'Evaluation Plan'!I55</x:f>
        <x:v>SR-F14</x:v>
      </x:c>
      <x:c r="J55" s="8" t="str">
        <x:f>'Evaluation Plan'!J55</x:f>
        <x:v>closed</x:v>
      </x:c>
      <x:c r="K55" s="8" t="n">
        <x:f>'Evaluation Plan'!K55</x:f>
        <x:v>4</x:v>
      </x:c>
      <x:c r="L55" s="8" t="str">
        <x:f>'Evaluation Plan'!L55</x:f>
        <x:v>2 — Exact-scene opposite-state contrast — State-word counterfactual (open→closed)</x:v>
      </x:c>
      <x:c r="M55" s="8" t="n">
        <x:f>'Evaluation Plan'!M55</x:f>
        <x:v>14</x:v>
      </x:c>
      <x:c r="N55" s="7" t="str">
        <x:f>'Evaluation Plan'!N55</x:f>
        <x:v>Reset the canonical target to its marked position. Preserve every object and state; change only the queried state word and expected target.</x:v>
      </x:c>
      <x:c r="O55" s="7" t="str">
        <x:f>'Evaluation Plan'!O55</x:f>
        <x:v>Exact-scene semantic counterfactual. The state word switches to the opposite state and the correct target switches to the other same-category instance.</x:v>
      </x:c>
      <x:c r="P55" s="7" t="str">
        <x:f>IF('Evaluation Plan'!P55=0,"",'Evaluation Plan'!P55)</x:f>
      </x:c>
    </x:row>
    <x:row r="56" ht="58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Put the white cup in the bowl.</x:v>
      </x:c>
      <x:c r="D56" s="7" t="str">
        <x:f>'Evaluation Plan'!D56</x:f>
        <x:v>P1 yellow-white striped cup B (C, UD); P2 white cup B (O, UD) [TARGET]; P3 glass spice container A (C, UD) [NEUTRAL REPLACEMENT]; P4 brown cup A (O, UR)</x:v>
      </x:c>
      <x:c r="E56" s="8" t="n">
        <x:f>IF('Evaluation Plan'!H56="Exact-scene opposite-state contrast",'Evaluation Plan'!E56,IF('Evaluation Plan'!H56="Language robustness",'Evaluation Plan'!E56,IF('Evaluation Plan'!H56="Matched manipulation control",'Evaluation Plan'!E56,IF('Evaluation Plan'!H56="Black-cup held-out-state composition",'Evaluation Plan'!E56,""))))</x:f>
        <x:v>52</x:v>
      </x:c>
      <x:c r="F56" s="8" t="str">
        <x:f>'Evaluation Plan'!F56</x:f>
        <x:v>white cup B</x:v>
      </x:c>
      <x:c r="G56" s="7"/>
      <x:c r="H56" s="8" t="str">
        <x:f>'Evaluation Plan'!H56</x:f>
        <x:v>Matched manipulation control</x:v>
      </x:c>
      <x:c r="I56" s="8" t="str">
        <x:f>'Evaluation Plan'!I56</x:f>
        <x:v>SR-F14</x:v>
      </x:c>
      <x:c r="J56" s="8" t="str">
        <x:f>'Evaluation Plan'!J56</x:f>
        <x:v>open</x:v>
      </x:c>
      <x:c r="K56" s="8" t="n">
        <x:f>'Evaluation Plan'!K56</x:f>
        <x:v>4</x:v>
      </x:c>
      <x:c r="L56" s="8" t="str">
        <x:f>'Evaluation Plan'!L56</x:f>
        <x:v>3 — Matched control — Category-only control with 4 objects</x:v>
      </x:c>
      <x:c r="M56" s="8" t="n">
        <x:f>'Evaluation Plan'!M56</x:f>
        <x:v>14</x:v>
      </x:c>
      <x:c r="N56" s="7" t="str">
        <x:f>'Evaluation Plan'!N56</x:f>
        <x:v>Reset the target; replace the same-category state competitor with glass spice container A at the same position. Keep object count, other objects, camera, and bowl fixed.</x:v>
      </x:c>
      <x:c r="O56" s="7" t="str">
        <x:f>'Evaluation Plan'!O56</x:f>
        <x:v>The neutral replacement removes category ambiguity without changing the three- or four-object set size.</x:v>
      </x:c>
      <x:c r="P56" s="7" t="str">
        <x:f>IF('Evaluation Plan'!P56=0,"",'Evaluation Plan'!P56)</x:f>
      </x:c>
    </x:row>
    <x:row r="57" ht="58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Take the white cup and set it in the bowl.</x:v>
      </x:c>
      <x:c r="D57" s="7" t="str">
        <x:f>'Evaluation Plan'!D57</x:f>
        <x:v>P1 yellow-white striped cup B (C, UD); P2 white cup B (O, UD) [TARGET]; P3 glass spice container A (C, UD) [NEUTRAL REPLACEMENT]; P4 brown cup A (O, UR)</x:v>
      </x:c>
      <x:c r="E57" s="8" t="n">
        <x:f>IF('Evaluation Plan'!H57="Exact-scene opposite-state contrast",'Evaluation Plan'!E57,IF('Evaluation Plan'!H57="Language robustness",'Evaluation Plan'!E57,IF('Evaluation Plan'!H57="Matched manipulation control",'Evaluation Plan'!E57,IF('Evaluation Plan'!H57="Black-cup held-out-state composition",'Evaluation Plan'!E57,""))))</x:f>
        <x:v>54</x:v>
      </x:c>
      <x:c r="F57" s="8" t="str">
        <x:f>'Evaluation Plan'!F57</x:f>
        <x:v>white cup B</x:v>
      </x:c>
      <x:c r="G57" s="7"/>
      <x:c r="H57" s="8" t="str">
        <x:f>'Evaluation Plan'!H57</x:f>
        <x:v>Language robustness</x:v>
      </x:c>
      <x:c r="I57" s="8" t="str">
        <x:f>'Evaluation Plan'!I57</x:f>
        <x:v>SR-F14</x:v>
      </x:c>
      <x:c r="J57" s="8" t="str">
        <x:f>'Evaluation Plan'!J57</x:f>
        <x:v>open</x:v>
      </x:c>
      <x:c r="K57" s="8" t="n">
        <x:f>'Evaluation Plan'!K57</x:f>
        <x:v>4</x:v>
      </x:c>
      <x:c r="L57" s="8" t="str">
        <x:f>'Evaluation Plan'!L57</x:f>
        <x:v>4 — Exact-scene control paraphrase — Paraphrase of matched-control prompt</x:v>
      </x:c>
      <x:c r="M57" s="8" t="n">
        <x:f>'Evaluation Plan'!M57</x:f>
        <x:v>14</x:v>
      </x:c>
      <x:c r="N57" s="7" t="str">
        <x:f>'Evaluation Plan'!N57</x:f>
        <x:v>Reset only the moved target; change only the prompt wording.</x:v>
      </x:c>
      <x:c r="O57" s="7" t="str">
        <x:f>'Evaluation Plan'!O57</x:f>
        <x:v>Exact-scene language pair for the category-only matched control.</x:v>
      </x:c>
      <x:c r="P57" s="7" t="str">
        <x:f>IF('Evaluation Plan'!P57=0,"",'Evaluation Plan'!P57)</x:f>
      </x:c>
    </x:row>
    <x:row r="58" ht="58" customHeight="1">
      <x:c r="A58" s="9" t="str">
        <x:v>Not collected</x:v>
      </x:c>
      <x:c r="B58" s="9" t="n">
        <x:f>'Evaluation Plan'!B58</x:f>
        <x:v>56</x:v>
      </x:c>
      <x:c r="C58" s="10" t="str">
        <x:f>'Evaluation Plan'!C58</x:f>
        <x:v>Move the upright yellow-white striped cup into the bowl.</x:v>
      </x:c>
      <x:c r="D58" s="10" t="str">
        <x:f>'Evaluation Plan'!D58</x:f>
        <x:v>P1 white cup A (O, UR); P2 brown cup B (C, UD); P3 yellow-white striped cup A (O, UR) [TARGET]; P4 yellow-white striped cup B (O, UD) [STATE COMPETITOR]</x:v>
      </x:c>
      <x:c r="E58" s="9" t="str">
        <x:f>IF('Evaluation Plan'!H58="Exact-scene opposite-state contrast",'Evaluation Plan'!E58,IF('Evaluation Plan'!H58="Language robustness",'Evaluation Plan'!E58,IF('Evaluation Plan'!H58="Matched manipulation control",'Evaluation Plan'!E58,IF('Evaluation Plan'!H58="Black-cup held-out-state composition",'Evaluation Plan'!E58,""))))</x:f>
      </x:c>
      <x:c r="F58" s="9" t="str">
        <x:f>'Evaluation Plan'!F58</x:f>
        <x:v>yellow-white striped cup A</x:v>
      </x:c>
      <x:c r="G58" s="10"/>
      <x:c r="H58" s="9" t="str">
        <x:f>'Evaluation Plan'!H58</x:f>
        <x:v>Concept/compositional transfer</x:v>
      </x:c>
      <x:c r="I58" s="9" t="str">
        <x:f>'Evaluation Plan'!I58</x:f>
        <x:v>SR-F15</x:v>
      </x:c>
      <x:c r="J58" s="9" t="str">
        <x:f>'Evaluation Plan'!J58</x:f>
        <x:v>upright</x:v>
      </x:c>
      <x:c r="K58" s="9" t="n">
        <x:f>'Evaluation Plan'!K58</x:f>
        <x:v>4</x:v>
      </x:c>
      <x:c r="L58" s="9" t="str">
        <x:f>'Evaluation Plan'!L58</x:f>
        <x:v>1 — Canonical transfer — Held-out state word + known category (upright)</x:v>
      </x:c>
      <x:c r="M58" s="9" t="n">
        <x:f>'Evaluation Plan'!M58</x:f>
        <x:v>15</x:v>
      </x:c>
      <x:c r="N58" s="10" t="str">
        <x:f>'Evaluation Plan'!N58</x:f>
        <x:v>Build the marked same-category discrimination scene. Save a first-frame image or filename.</x:v>
      </x:c>
      <x:c r="O58" s="10" t="str">
        <x:f>'Evaluation Plan'!O58</x:f>
        <x:v>Two objects match the named category; only the state word selects the target. Target and competitor differ only on the queried state axis.</x:v>
      </x:c>
      <x:c r="P58" s="10" t="str">
        <x:f>IF('Evaluation Plan'!P58=0,"",'Evaluation Plan'!P58)</x:f>
      </x:c>
    </x:row>
    <x:row r="59" ht="58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Place the upside-down yellow-white striped cup in the bowl.</x:v>
      </x:c>
      <x:c r="D59" s="7" t="str">
        <x:f>'Evaluation Plan'!D59</x:f>
        <x:v>P1 white cup A (O, UR); P2 brown cup B (C, UD); P3 yellow-white striped cup A (O, UR) [STATE COMPETITOR]; P4 yellow-white striped cup B (O, UD) [TARGET]</x:v>
      </x:c>
      <x:c r="E59" s="8" t="n">
        <x:f>IF('Evaluation Plan'!H59="Exact-scene opposite-state contrast",'Evaluation Plan'!E59,IF('Evaluation Plan'!H59="Language robustness",'Evaluation Plan'!E59,IF('Evaluation Plan'!H59="Matched manipulation control",'Evaluation Plan'!E59,IF('Evaluation Plan'!H59="Black-cup held-out-state composition",'Evaluation Plan'!E59,""))))</x:f>
        <x:v>56</x:v>
      </x:c>
      <x:c r="F59" s="8" t="str">
        <x:f>'Evaluation Plan'!F59</x:f>
        <x:v>yellow-white striped cup B</x:v>
      </x:c>
      <x:c r="G59" s="7"/>
      <x:c r="H59" s="8" t="str">
        <x:f>'Evaluation Plan'!H59</x:f>
        <x:v>Exact-scene opposite-state contrast</x:v>
      </x:c>
      <x:c r="I59" s="8" t="str">
        <x:f>'Evaluation Plan'!I59</x:f>
        <x:v>SR-F15</x:v>
      </x:c>
      <x:c r="J59" s="8" t="str">
        <x:f>'Evaluation Plan'!J59</x:f>
        <x:v>upside-down</x:v>
      </x:c>
      <x:c r="K59" s="8" t="n">
        <x:f>'Evaluation Plan'!K59</x:f>
        <x:v>4</x:v>
      </x:c>
      <x:c r="L59" s="8" t="str">
        <x:f>'Evaluation Plan'!L59</x:f>
        <x:v>2 — Exact-scene opposite-state contrast — State-word counterfactual (upright→upside-down)</x:v>
      </x:c>
      <x:c r="M59" s="8" t="n">
        <x:f>'Evaluation Plan'!M59</x:f>
        <x:v>15</x:v>
      </x:c>
      <x:c r="N59" s="7" t="str">
        <x:f>'Evaluation Plan'!N59</x:f>
        <x:v>Reset the canonical target to its marked position. Preserve every object and state; change only the queried state word and expected target.</x:v>
      </x:c>
      <x:c r="O59" s="7" t="str">
        <x:f>'Evaluation Plan'!O59</x:f>
        <x:v>Exact-scene semantic counterfactual. The state word switches to the opposite state and the correct target switches to the other same-category instance.</x:v>
      </x:c>
      <x:c r="P59" s="7" t="str">
        <x:f>IF('Evaluation Plan'!P59=0,"",'Evaluation Plan'!P59)</x:f>
      </x:c>
    </x:row>
    <x:row r="60" ht="58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Move the yellow-white striped cup into the bowl.</x:v>
      </x:c>
      <x:c r="D60" s="7" t="str">
        <x:f>'Evaluation Plan'!D60</x:f>
        <x:v>P1 white cup A (O, UR); P2 brown cup B (C, UD); P3 yellow-white striped cup A (O, UR) [TARGET]; P4 glass spice container B (O, UD) [NEUTRAL REPLACEMENT]</x:v>
      </x:c>
      <x:c r="E60" s="8" t="n">
        <x:f>IF('Evaluation Plan'!H60="Exact-scene opposite-state contrast",'Evaluation Plan'!E60,IF('Evaluation Plan'!H60="Language robustness",'Evaluation Plan'!E60,IF('Evaluation Plan'!H60="Matched manipulation control",'Evaluation Plan'!E60,IF('Evaluation Plan'!H60="Black-cup held-out-state composition",'Evaluation Plan'!E60,""))))</x:f>
        <x:v>56</x:v>
      </x:c>
      <x:c r="F60" s="8" t="str">
        <x:f>'Evaluation Plan'!F60</x:f>
        <x:v>yellow-white striped cup A</x:v>
      </x:c>
      <x:c r="G60" s="7"/>
      <x:c r="H60" s="8" t="str">
        <x:f>'Evaluation Plan'!H60</x:f>
        <x:v>Matched manipulation control</x:v>
      </x:c>
      <x:c r="I60" s="8" t="str">
        <x:f>'Evaluation Plan'!I60</x:f>
        <x:v>SR-F15</x:v>
      </x:c>
      <x:c r="J60" s="8" t="str">
        <x:f>'Evaluation Plan'!J60</x:f>
        <x:v>upright</x:v>
      </x:c>
      <x:c r="K60" s="8" t="n">
        <x:f>'Evaluation Plan'!K60</x:f>
        <x:v>4</x:v>
      </x:c>
      <x:c r="L60" s="8" t="str">
        <x:f>'Evaluation Plan'!L60</x:f>
        <x:v>3 — Matched control — Category-only control with 4 objects</x:v>
      </x:c>
      <x:c r="M60" s="8" t="n">
        <x:f>'Evaluation Plan'!M60</x:f>
        <x:v>15</x:v>
      </x:c>
      <x:c r="N60" s="7" t="str">
        <x:f>'Evaluation Plan'!N60</x:f>
        <x:v>Reset the target; replace the same-category state competitor with glass spice container B at the same position. Keep object count, other objects, camera, and bowl fixed.</x:v>
      </x:c>
      <x:c r="O60" s="7" t="str">
        <x:f>'Evaluation Plan'!O60</x:f>
        <x:v>The neutral replacement removes category ambiguity without changing the three- or four-object set size.</x:v>
      </x:c>
      <x:c r="P60" s="7" t="str">
        <x:f>IF('Evaluation Plan'!P60=0,"",'Evaluation Plan'!P60)</x:f>
      </x:c>
    </x:row>
    <x:row r="61" ht="58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Transfer the yellow-white striped cup into the bowl.</x:v>
      </x:c>
      <x:c r="D61" s="7" t="str">
        <x:f>'Evaluation Plan'!D61</x:f>
        <x:v>P1 white cup A (O, UR); P2 brown cup B (C, UD); P3 yellow-white striped cup A (O, UR) [TARGET]; P4 glass spice container B (O, UD) [NEUTRAL REPLACEMENT]</x:v>
      </x:c>
      <x:c r="E61" s="8" t="n">
        <x:f>IF('Evaluation Plan'!H61="Exact-scene opposite-state contrast",'Evaluation Plan'!E61,IF('Evaluation Plan'!H61="Language robustness",'Evaluation Plan'!E61,IF('Evaluation Plan'!H61="Matched manipulation control",'Evaluation Plan'!E61,IF('Evaluation Plan'!H61="Black-cup held-out-state composition",'Evaluation Plan'!E61,""))))</x:f>
        <x:v>58</x:v>
      </x:c>
      <x:c r="F61" s="8" t="str">
        <x:f>'Evaluation Plan'!F61</x:f>
        <x:v>yellow-white striped cup A</x:v>
      </x:c>
      <x:c r="G61" s="7"/>
      <x:c r="H61" s="8" t="str">
        <x:f>'Evaluation Plan'!H61</x:f>
        <x:v>Language robustness</x:v>
      </x:c>
      <x:c r="I61" s="8" t="str">
        <x:f>'Evaluation Plan'!I61</x:f>
        <x:v>SR-F15</x:v>
      </x:c>
      <x:c r="J61" s="8" t="str">
        <x:f>'Evaluation Plan'!J61</x:f>
        <x:v>upright</x:v>
      </x:c>
      <x:c r="K61" s="8" t="n">
        <x:f>'Evaluation Plan'!K61</x:f>
        <x:v>4</x:v>
      </x:c>
      <x:c r="L61" s="8" t="str">
        <x:f>'Evaluation Plan'!L61</x:f>
        <x:v>4 — Exact-scene control paraphrase — Paraphrase of matched-control prompt</x:v>
      </x:c>
      <x:c r="M61" s="8" t="n">
        <x:f>'Evaluation Plan'!M61</x:f>
        <x:v>15</x:v>
      </x:c>
      <x:c r="N61" s="7" t="str">
        <x:f>'Evaluation Plan'!N61</x:f>
        <x:v>Reset only the moved target; change only the prompt wording.</x:v>
      </x:c>
      <x:c r="O61" s="7" t="str">
        <x:f>'Evaluation Plan'!O61</x:f>
        <x:v>Exact-scene language pair for the category-only matched control.</x:v>
      </x:c>
      <x:c r="P61" s="7" t="str">
        <x:f>IF('Evaluation Plan'!P61=0,"",'Evaluation Plan'!P61)</x:f>
      </x:c>
    </x:row>
    <x:row r="62" ht="58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Place the upside-down brown cup in the bowl.</x:v>
      </x:c>
      <x:c r="D62" s="10" t="str">
        <x:f>'Evaluation Plan'!D62</x:f>
        <x:v>P1 brown cup A (C, UR) [STATE COMPETITOR]; P2 white cup A (O, UR); P3 yellow-white striped cup B (C, UD); P4 brown cup B (C, UD) [TARGET]</x:v>
      </x:c>
      <x:c r="E62" s="9" t="str">
        <x:f>IF('Evaluation Plan'!H62="Exact-scene opposite-state contrast",'Evaluation Plan'!E62,IF('Evaluation Plan'!H62="Language robustness",'Evaluation Plan'!E62,IF('Evaluation Plan'!H62="Matched manipulation control",'Evaluation Plan'!E62,IF('Evaluation Plan'!H62="Black-cup held-out-state composition",'Evaluation Plan'!E62,""))))</x:f>
      </x:c>
      <x:c r="F62" s="9" t="str">
        <x:f>'Evaluation Plan'!F62</x:f>
        <x:v>brown cup B</x:v>
      </x:c>
      <x:c r="G62" s="10"/>
      <x:c r="H62" s="9" t="str">
        <x:f>'Evaluation Plan'!H62</x:f>
        <x:v>Concept/compositional transfer</x:v>
      </x:c>
      <x:c r="I62" s="9" t="str">
        <x:f>'Evaluation Plan'!I62</x:f>
        <x:v>SR-F16</x:v>
      </x:c>
      <x:c r="J62" s="9" t="str">
        <x:f>'Evaluation Plan'!J62</x:f>
        <x:v>upside-down</x:v>
      </x:c>
      <x:c r="K62" s="9" t="n">
        <x:f>'Evaluation Plan'!K62</x:f>
        <x:v>4</x:v>
      </x:c>
      <x:c r="L62" s="9" t="str">
        <x:f>'Evaluation Plan'!L62</x:f>
        <x:v>1 — Canonical transfer — Seen state word in a new scene (upside-down)</x:v>
      </x:c>
      <x:c r="M62" s="9" t="n">
        <x:f>'Evaluation Plan'!M62</x:f>
        <x:v>16</x:v>
      </x:c>
      <x:c r="N62" s="10" t="str">
        <x:f>'Evaluation Plan'!N62</x:f>
        <x:v>Build the marked same-category discrimination scene. Save a first-frame image or filename.</x:v>
      </x:c>
      <x:c r="O62" s="10" t="str">
        <x:f>'Evaluation Plan'!O62</x:f>
        <x:v>Two objects match the named category; only the state word selects the target. Target and competitor differ only on the queried state axis.</x:v>
      </x:c>
      <x:c r="P62" s="10" t="str">
        <x:f>IF('Evaluation Plan'!P62=0,"",'Evaluation Plan'!P62)</x:f>
      </x:c>
    </x:row>
    <x:row r="63" ht="58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Put the upright brown cup in the bowl.</x:v>
      </x:c>
      <x:c r="D63" s="7" t="str">
        <x:f>'Evaluation Plan'!D63</x:f>
        <x:v>P1 brown cup A (C, UR) [TARGET]; P2 white cup A (O, UR); P3 yellow-white striped cup B (C, UD); P4 brown cup B (C, UD) [STATE COMPETITOR]</x:v>
      </x:c>
      <x:c r="E63" s="8" t="n">
        <x:f>IF('Evaluation Plan'!H63="Exact-scene opposite-state contrast",'Evaluation Plan'!E63,IF('Evaluation Plan'!H63="Language robustness",'Evaluation Plan'!E63,IF('Evaluation Plan'!H63="Matched manipulation control",'Evaluation Plan'!E63,IF('Evaluation Plan'!H63="Black-cup held-out-state composition",'Evaluation Plan'!E63,""))))</x:f>
        <x:v>60</x:v>
      </x:c>
      <x:c r="F63" s="8" t="str">
        <x:f>'Evaluation Plan'!F63</x:f>
        <x:v>brown cup A</x:v>
      </x:c>
      <x:c r="G63" s="7"/>
      <x:c r="H63" s="8" t="str">
        <x:f>'Evaluation Plan'!H63</x:f>
        <x:v>Exact-scene opposite-state contrast</x:v>
      </x:c>
      <x:c r="I63" s="8" t="str">
        <x:f>'Evaluation Plan'!I63</x:f>
        <x:v>SR-F16</x:v>
      </x:c>
      <x:c r="J63" s="8" t="str">
        <x:f>'Evaluation Plan'!J63</x:f>
        <x:v>upright</x:v>
      </x:c>
      <x:c r="K63" s="8" t="n">
        <x:f>'Evaluation Plan'!K63</x:f>
        <x:v>4</x:v>
      </x:c>
      <x:c r="L63" s="8" t="str">
        <x:f>'Evaluation Plan'!L63</x:f>
        <x:v>2 — Exact-scene opposite-state contrast — State-word counterfactual (upside-down→upright)</x:v>
      </x:c>
      <x:c r="M63" s="8" t="n">
        <x:f>'Evaluation Plan'!M63</x:f>
        <x:v>16</x:v>
      </x:c>
      <x:c r="N63" s="7" t="str">
        <x:f>'Evaluation Plan'!N63</x:f>
        <x:v>Reset the canonical target to its marked position. Preserve every object and state; change only the queried state word and expected target.</x:v>
      </x:c>
      <x:c r="O63" s="7" t="str">
        <x:f>'Evaluation Plan'!O63</x:f>
        <x:v>Exact-scene semantic counterfactual. The state word switches to the opposite state and the correct target switches to the other same-category instance.</x:v>
      </x:c>
      <x:c r="P63" s="7" t="str">
        <x:f>IF('Evaluation Plan'!P63=0,"",'Evaluation Plan'!P63)</x:f>
      </x:c>
    </x:row>
    <x:row r="64" ht="58" customHeight="1">
      <x:c r="A64" s="8" t="str">
        <x:v>Not collected</x:v>
      </x:c>
      <x:c r="B64" s="8" t="n">
        <x:f>'Evaluation Plan'!B64</x:f>
        <x:v>62</x:v>
      </x:c>
      <x:c r="C64" s="7" t="str">
        <x:f>'Evaluation Plan'!C64</x:f>
        <x:v>Place the brown cup in the bowl.</x:v>
      </x:c>
      <x:c r="D64" s="7" t="str">
        <x:f>'Evaluation Plan'!D64</x:f>
        <x:v>P1 glass spice container A (C, UR) [NEUTRAL REPLACEMENT]; P2 white cup A (O, UR); P3 yellow-white striped cup B (C, UD); P4 brown cup B (C, UD) [TARGET]</x:v>
      </x:c>
      <x:c r="E64" s="8" t="n">
        <x:f>IF('Evaluation Plan'!H64="Exact-scene opposite-state contrast",'Evaluation Plan'!E64,IF('Evaluation Plan'!H64="Language robustness",'Evaluation Plan'!E64,IF('Evaluation Plan'!H64="Matched manipulation control",'Evaluation Plan'!E64,IF('Evaluation Plan'!H64="Black-cup held-out-state composition",'Evaluation Plan'!E64,""))))</x:f>
        <x:v>60</x:v>
      </x:c>
      <x:c r="F64" s="8" t="str">
        <x:f>'Evaluation Plan'!F64</x:f>
        <x:v>brown cup B</x:v>
      </x:c>
      <x:c r="G64" s="7"/>
      <x:c r="H64" s="8" t="str">
        <x:f>'Evaluation Plan'!H64</x:f>
        <x:v>Matched manipulation control</x:v>
      </x:c>
      <x:c r="I64" s="8" t="str">
        <x:f>'Evaluation Plan'!I64</x:f>
        <x:v>SR-F16</x:v>
      </x:c>
      <x:c r="J64" s="8" t="str">
        <x:f>'Evaluation Plan'!J64</x:f>
        <x:v>upside-down</x:v>
      </x:c>
      <x:c r="K64" s="8" t="n">
        <x:f>'Evaluation Plan'!K64</x:f>
        <x:v>4</x:v>
      </x:c>
      <x:c r="L64" s="8" t="str">
        <x:f>'Evaluation Plan'!L64</x:f>
        <x:v>3 — Matched control — Category-only control with 4 objects</x:v>
      </x:c>
      <x:c r="M64" s="8" t="n">
        <x:f>'Evaluation Plan'!M64</x:f>
        <x:v>16</x:v>
      </x:c>
      <x:c r="N64" s="7" t="str">
        <x:f>'Evaluation Plan'!N64</x:f>
        <x:v>Reset the target; replace the same-category state competitor with glass spice container A at the same position. Keep object count, other objects, camera, and bowl fixed.</x:v>
      </x:c>
      <x:c r="O64" s="7" t="str">
        <x:f>'Evaluation Plan'!O64</x:f>
        <x:v>The neutral replacement removes category ambiguity without changing the three- or four-object set size.</x:v>
      </x:c>
      <x:c r="P64" s="7" t="str">
        <x:f>IF('Evaluation Plan'!P64=0,"",'Evaluation Plan'!P64)</x:f>
      </x:c>
    </x:row>
    <x:row r="65" ht="58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Pick up the brown cup and place it in the bowl.</x:v>
      </x:c>
      <x:c r="D65" s="7" t="str">
        <x:f>'Evaluation Plan'!D65</x:f>
        <x:v>P1 glass spice container A (C, UR) [NEUTRAL REPLACEMENT]; P2 white cup A (O, UR); P3 yellow-white striped cup B (C, UD); P4 brown cup B (C, UD) [TARGET]</x:v>
      </x:c>
      <x:c r="E65" s="8" t="n">
        <x:f>IF('Evaluation Plan'!H65="Exact-scene opposite-state contrast",'Evaluation Plan'!E65,IF('Evaluation Plan'!H65="Language robustness",'Evaluation Plan'!E65,IF('Evaluation Plan'!H65="Matched manipulation control",'Evaluation Plan'!E65,IF('Evaluation Plan'!H65="Black-cup held-out-state composition",'Evaluation Plan'!E65,""))))</x:f>
        <x:v>62</x:v>
      </x:c>
      <x:c r="F65" s="8" t="str">
        <x:f>'Evaluation Plan'!F65</x:f>
        <x:v>brown cup B</x:v>
      </x:c>
      <x:c r="G65" s="7"/>
      <x:c r="H65" s="8" t="str">
        <x:f>'Evaluation Plan'!H65</x:f>
        <x:v>Language robustness</x:v>
      </x:c>
      <x:c r="I65" s="8" t="str">
        <x:f>'Evaluation Plan'!I65</x:f>
        <x:v>SR-F16</x:v>
      </x:c>
      <x:c r="J65" s="8" t="str">
        <x:f>'Evaluation Plan'!J65</x:f>
        <x:v>upside-down</x:v>
      </x:c>
      <x:c r="K65" s="8" t="n">
        <x:f>'Evaluation Plan'!K65</x:f>
        <x:v>4</x:v>
      </x:c>
      <x:c r="L65" s="8" t="str">
        <x:f>'Evaluation Plan'!L65</x:f>
        <x:v>4 — Exact-scene control paraphrase — Paraphrase of matched-control prompt</x:v>
      </x:c>
      <x:c r="M65" s="8" t="n">
        <x:f>'Evaluation Plan'!M65</x:f>
        <x:v>16</x:v>
      </x:c>
      <x:c r="N65" s="7" t="str">
        <x:f>'Evaluation Plan'!N65</x:f>
        <x:v>Reset only the moved target; change only the prompt wording.</x:v>
      </x:c>
      <x:c r="O65" s="7" t="str">
        <x:f>'Evaluation Plan'!O65</x:f>
        <x:v>Exact-scene language pair for the category-only matched control.</x:v>
      </x:c>
      <x:c r="P65" s="7" t="str">
        <x:f>IF('Evaluation Plan'!P65=0,"",'Evaluation Plan'!P65)</x:f>
      </x:c>
    </x:row>
    <x:row r="66" ht="58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Put the closed white cup in the bowl.</x:v>
      </x:c>
      <x:c r="D66" s="10" t="str">
        <x:f>'Evaluation Plan'!D66</x:f>
        <x:v>P1 white cup A (C, UR) [TARGET]; P2 white cup B (O, UR) [STATE COMPETITOR]; P3 yellow-white striped cup A (O, UR); P4 brown cup B (C, UD)</x:v>
      </x:c>
      <x:c r="E66" s="9" t="str">
        <x:f>IF('Evaluation Plan'!H66="Exact-scene opposite-state contrast",'Evaluation Plan'!E66,IF('Evaluation Plan'!H66="Language robustness",'Evaluation Plan'!E66,IF('Evaluation Plan'!H66="Matched manipulation control",'Evaluation Plan'!E66,IF('Evaluation Plan'!H66="Black-cup held-out-state composition",'Evaluation Plan'!E66,""))))</x:f>
      </x:c>
      <x:c r="F66" s="9" t="str">
        <x:f>'Evaluation Plan'!F66</x:f>
        <x:v>white cup A</x:v>
      </x:c>
      <x:c r="G66" s="10"/>
      <x:c r="H66" s="9" t="str">
        <x:f>'Evaluation Plan'!H66</x:f>
        <x:v>Concept/compositional transfer</x:v>
      </x:c>
      <x:c r="I66" s="9" t="str">
        <x:f>'Evaluation Plan'!I66</x:f>
        <x:v>SR-F17</x:v>
      </x:c>
      <x:c r="J66" s="9" t="str">
        <x:f>'Evaluation Plan'!J66</x:f>
        <x:v>closed</x:v>
      </x:c>
      <x:c r="K66" s="9" t="n">
        <x:f>'Evaluation Plan'!K66</x:f>
        <x:v>4</x:v>
      </x:c>
      <x:c r="L66" s="9" t="str">
        <x:f>'Evaluation Plan'!L66</x:f>
        <x:v>1 — Canonical transfer — Held-out state word + known category (closed)</x:v>
      </x:c>
      <x:c r="M66" s="9" t="n">
        <x:f>'Evaluation Plan'!M66</x:f>
        <x:v>17</x:v>
      </x:c>
      <x:c r="N66" s="10" t="str">
        <x:f>'Evaluation Plan'!N66</x:f>
        <x:v>Build the marked same-category discrimination scene. Save a first-frame image or filename.</x:v>
      </x:c>
      <x:c r="O66" s="10" t="str">
        <x:f>'Evaluation Plan'!O66</x:f>
        <x:v>Two objects match the named category; only the state word selects the target. Target and competitor differ only on the queried state axis.</x:v>
      </x:c>
      <x:c r="P66" s="10" t="str">
        <x:f>IF('Evaluation Plan'!P66=0,"",'Evaluation Plan'!P66)</x:f>
      </x:c>
    </x:row>
    <x:row r="67" ht="58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Move the open white cup into the bowl.</x:v>
      </x:c>
      <x:c r="D67" s="7" t="str">
        <x:f>'Evaluation Plan'!D67</x:f>
        <x:v>P1 white cup A (C, UR) [STATE COMPETITOR]; P2 white cup B (O, UR) [TARGET]; P3 yellow-white striped cup A (O, UR); P4 brown cup B (C, UD)</x:v>
      </x:c>
      <x:c r="E67" s="8" t="n">
        <x:f>IF('Evaluation Plan'!H67="Exact-scene opposite-state contrast",'Evaluation Plan'!E67,IF('Evaluation Plan'!H67="Language robustness",'Evaluation Plan'!E67,IF('Evaluation Plan'!H67="Matched manipulation control",'Evaluation Plan'!E67,IF('Evaluation Plan'!H67="Black-cup held-out-state composition",'Evaluation Plan'!E67,""))))</x:f>
        <x:v>64</x:v>
      </x:c>
      <x:c r="F67" s="8" t="str">
        <x:f>'Evaluation Plan'!F67</x:f>
        <x:v>white cup B</x:v>
      </x:c>
      <x:c r="G67" s="7"/>
      <x:c r="H67" s="8" t="str">
        <x:f>'Evaluation Plan'!H67</x:f>
        <x:v>Exact-scene opposite-state contrast</x:v>
      </x:c>
      <x:c r="I67" s="8" t="str">
        <x:f>'Evaluation Plan'!I67</x:f>
        <x:v>SR-F17</x:v>
      </x:c>
      <x:c r="J67" s="8" t="str">
        <x:f>'Evaluation Plan'!J67</x:f>
        <x:v>open</x:v>
      </x:c>
      <x:c r="K67" s="8" t="n">
        <x:f>'Evaluation Plan'!K67</x:f>
        <x:v>4</x:v>
      </x:c>
      <x:c r="L67" s="8" t="str">
        <x:f>'Evaluation Plan'!L67</x:f>
        <x:v>2 — Exact-scene opposite-state contrast — State-word counterfactual (closed→open)</x:v>
      </x:c>
      <x:c r="M67" s="8" t="n">
        <x:f>'Evaluation Plan'!M67</x:f>
        <x:v>17</x:v>
      </x:c>
      <x:c r="N67" s="7" t="str">
        <x:f>'Evaluation Plan'!N67</x:f>
        <x:v>Reset the canonical target to its marked position. Preserve every object and state; change only the queried state word and expected target.</x:v>
      </x:c>
      <x:c r="O67" s="7" t="str">
        <x:f>'Evaluation Plan'!O67</x:f>
        <x:v>Exact-scene semantic counterfactual. The state word switches to the opposite state and the correct target switches to the other same-category instance.</x:v>
      </x:c>
      <x:c r="P67" s="7" t="str">
        <x:f>IF('Evaluation Plan'!P67=0,"",'Evaluation Plan'!P67)</x:f>
      </x:c>
    </x:row>
    <x:row r="68" ht="58" customHeight="1">
      <x:c r="A68" s="8" t="str">
        <x:v>Not collected</x:v>
      </x:c>
      <x:c r="B68" s="8" t="n">
        <x:f>'Evaluation Plan'!B68</x:f>
        <x:v>66</x:v>
      </x:c>
      <x:c r="C68" s="7" t="str">
        <x:f>'Evaluation Plan'!C68</x:f>
        <x:v>Put the white cup in the bowl.</x:v>
      </x:c>
      <x:c r="D68" s="7" t="str">
        <x:f>'Evaluation Plan'!D68</x:f>
        <x:v>P1 white cup A (C, UR) [TARGET]; P2 glass spice container B (O, UR) [NEUTRAL REPLACEMENT]; P3 yellow-white striped cup A (O, UR); P4 brown cup B (C, UD)</x:v>
      </x:c>
      <x:c r="E68" s="8" t="n">
        <x:f>IF('Evaluation Plan'!H68="Exact-scene opposite-state contrast",'Evaluation Plan'!E68,IF('Evaluation Plan'!H68="Language robustness",'Evaluation Plan'!E68,IF('Evaluation Plan'!H68="Matched manipulation control",'Evaluation Plan'!E68,IF('Evaluation Plan'!H68="Black-cup held-out-state composition",'Evaluation Plan'!E68,""))))</x:f>
        <x:v>64</x:v>
      </x:c>
      <x:c r="F68" s="8" t="str">
        <x:f>'Evaluation Plan'!F68</x:f>
        <x:v>white cup A</x:v>
      </x:c>
      <x:c r="G68" s="7"/>
      <x:c r="H68" s="8" t="str">
        <x:f>'Evaluation Plan'!H68</x:f>
        <x:v>Matched manipulation control</x:v>
      </x:c>
      <x:c r="I68" s="8" t="str">
        <x:f>'Evaluation Plan'!I68</x:f>
        <x:v>SR-F17</x:v>
      </x:c>
      <x:c r="J68" s="8" t="str">
        <x:f>'Evaluation Plan'!J68</x:f>
        <x:v>closed</x:v>
      </x:c>
      <x:c r="K68" s="8" t="n">
        <x:f>'Evaluation Plan'!K68</x:f>
        <x:v>4</x:v>
      </x:c>
      <x:c r="L68" s="8" t="str">
        <x:f>'Evaluation Plan'!L68</x:f>
        <x:v>3 — Matched control — Category-only control with 4 objects</x:v>
      </x:c>
      <x:c r="M68" s="8" t="n">
        <x:f>'Evaluation Plan'!M68</x:f>
        <x:v>17</x:v>
      </x:c>
      <x:c r="N68" s="7" t="str">
        <x:f>'Evaluation Plan'!N68</x:f>
        <x:v>Reset the target; replace the same-category state competitor with glass spice container B at the same position. Keep object count, other objects, camera, and bowl fixed.</x:v>
      </x:c>
      <x:c r="O68" s="7" t="str">
        <x:f>'Evaluation Plan'!O68</x:f>
        <x:v>The neutral replacement removes category ambiguity without changing the three- or four-object set size.</x:v>
      </x:c>
      <x:c r="P68" s="7" t="str">
        <x:f>IF('Evaluation Plan'!P68=0,"",'Evaluation Plan'!P68)</x:f>
      </x:c>
    </x:row>
    <x:row r="69" ht="58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Move the white cup over to the bowl.</x:v>
      </x:c>
      <x:c r="D69" s="7" t="str">
        <x:f>'Evaluation Plan'!D69</x:f>
        <x:v>P1 white cup A (C, UR) [TARGET]; P2 glass spice container B (O, UR) [NEUTRAL REPLACEMENT]; P3 yellow-white striped cup A (O, UR); P4 brown cup B (C, UD)</x:v>
      </x:c>
      <x:c r="E69" s="8" t="n">
        <x:f>IF('Evaluation Plan'!H69="Exact-scene opposite-state contrast",'Evaluation Plan'!E69,IF('Evaluation Plan'!H69="Language robustness",'Evaluation Plan'!E69,IF('Evaluation Plan'!H69="Matched manipulation control",'Evaluation Plan'!E69,IF('Evaluation Plan'!H69="Black-cup held-out-state composition",'Evaluation Plan'!E69,""))))</x:f>
        <x:v>66</x:v>
      </x:c>
      <x:c r="F69" s="8" t="str">
        <x:f>'Evaluation Plan'!F69</x:f>
        <x:v>white cup A</x:v>
      </x:c>
      <x:c r="G69" s="7"/>
      <x:c r="H69" s="8" t="str">
        <x:f>'Evaluation Plan'!H69</x:f>
        <x:v>Language robustness</x:v>
      </x:c>
      <x:c r="I69" s="8" t="str">
        <x:f>'Evaluation Plan'!I69</x:f>
        <x:v>SR-F17</x:v>
      </x:c>
      <x:c r="J69" s="8" t="str">
        <x:f>'Evaluation Plan'!J69</x:f>
        <x:v>closed</x:v>
      </x:c>
      <x:c r="K69" s="8" t="n">
        <x:f>'Evaluation Plan'!K69</x:f>
        <x:v>4</x:v>
      </x:c>
      <x:c r="L69" s="8" t="str">
        <x:f>'Evaluation Plan'!L69</x:f>
        <x:v>4 — Exact-scene control paraphrase — Paraphrase of matched-control prompt</x:v>
      </x:c>
      <x:c r="M69" s="8" t="n">
        <x:f>'Evaluation Plan'!M69</x:f>
        <x:v>17</x:v>
      </x:c>
      <x:c r="N69" s="7" t="str">
        <x:f>'Evaluation Plan'!N69</x:f>
        <x:v>Reset only the moved target; change only the prompt wording.</x:v>
      </x:c>
      <x:c r="O69" s="7" t="str">
        <x:f>'Evaluation Plan'!O69</x:f>
        <x:v>Exact-scene language pair for the category-only matched control.</x:v>
      </x:c>
      <x:c r="P69" s="7" t="str">
        <x:f>IF('Evaluation Plan'!P69=0,"",'Evaluation Plan'!P69)</x:f>
      </x:c>
    </x:row>
    <x:row r="70" ht="58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Move the open yellow-white striped cup into the bowl.</x:v>
      </x:c>
      <x:c r="D70" s="10" t="str">
        <x:f>'Evaluation Plan'!D70</x:f>
        <x:v>P1 white cup B (C, UD); P2 yellow-white striped cup B (O, UD) [TARGET]; P3 yellow-white striped cup A (C, UD) [STATE COMPETITOR]; P4 brown cup A (O, UR)</x:v>
      </x:c>
      <x:c r="E70" s="9" t="str">
        <x:f>IF('Evaluation Plan'!H70="Exact-scene opposite-state contrast",'Evaluation Plan'!E70,IF('Evaluation Plan'!H70="Language robustness",'Evaluation Plan'!E70,IF('Evaluation Plan'!H70="Matched manipulation control",'Evaluation Plan'!E70,IF('Evaluation Plan'!H70="Black-cup held-out-state composition",'Evaluation Plan'!E70,""))))</x:f>
      </x:c>
      <x:c r="F70" s="9" t="str">
        <x:f>'Evaluation Plan'!F70</x:f>
        <x:v>yellow-white striped cup B</x:v>
      </x:c>
      <x:c r="G70" s="10"/>
      <x:c r="H70" s="9" t="str">
        <x:f>'Evaluation Plan'!H70</x:f>
        <x:v>Concept/compositional transfer</x:v>
      </x:c>
      <x:c r="I70" s="9" t="str">
        <x:f>'Evaluation Plan'!I70</x:f>
        <x:v>SR-F18</x:v>
      </x:c>
      <x:c r="J70" s="9" t="str">
        <x:f>'Evaluation Plan'!J70</x:f>
        <x:v>open</x:v>
      </x:c>
      <x:c r="K70" s="9" t="n">
        <x:f>'Evaluation Plan'!K70</x:f>
        <x:v>4</x:v>
      </x:c>
      <x:c r="L70" s="9" t="str">
        <x:f>'Evaluation Plan'!L70</x:f>
        <x:v>1 — Canonical transfer — Seen state word in a new scene (open)</x:v>
      </x:c>
      <x:c r="M70" s="9" t="n">
        <x:f>'Evaluation Plan'!M70</x:f>
        <x:v>18</x:v>
      </x:c>
      <x:c r="N70" s="10" t="str">
        <x:f>'Evaluation Plan'!N70</x:f>
        <x:v>Build the marked same-category discrimination scene. Save a first-frame image or filename.</x:v>
      </x:c>
      <x:c r="O70" s="10" t="str">
        <x:f>'Evaluation Plan'!O70</x:f>
        <x:v>Two objects match the named category; only the state word selects the target. Target and competitor differ only on the queried state axis.</x:v>
      </x:c>
      <x:c r="P70" s="10" t="str">
        <x:f>IF('Evaluation Plan'!P70=0,"",'Evaluation Plan'!P70)</x:f>
      </x:c>
    </x:row>
    <x:row r="71" ht="58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Place the closed yellow-white striped cup in the bowl.</x:v>
      </x:c>
      <x:c r="D71" s="7" t="str">
        <x:f>'Evaluation Plan'!D71</x:f>
        <x:v>P1 white cup B (C, UD); P2 yellow-white striped cup B (O, UD) [STATE COMPETITOR]; P3 yellow-white striped cup A (C, UD) [TARGET]; P4 brown cup A (O, UR)</x:v>
      </x:c>
      <x:c r="E71" s="8" t="n">
        <x:f>IF('Evaluation Plan'!H71="Exact-scene opposite-state contrast",'Evaluation Plan'!E71,IF('Evaluation Plan'!H71="Language robustness",'Evaluation Plan'!E71,IF('Evaluation Plan'!H71="Matched manipulation control",'Evaluation Plan'!E71,IF('Evaluation Plan'!H71="Black-cup held-out-state composition",'Evaluation Plan'!E71,""))))</x:f>
        <x:v>68</x:v>
      </x:c>
      <x:c r="F71" s="8" t="str">
        <x:f>'Evaluation Plan'!F71</x:f>
        <x:v>yellow-white striped cup A</x:v>
      </x:c>
      <x:c r="G71" s="7"/>
      <x:c r="H71" s="8" t="str">
        <x:f>'Evaluation Plan'!H71</x:f>
        <x:v>Exact-scene opposite-state contrast</x:v>
      </x:c>
      <x:c r="I71" s="8" t="str">
        <x:f>'Evaluation Plan'!I71</x:f>
        <x:v>SR-F18</x:v>
      </x:c>
      <x:c r="J71" s="8" t="str">
        <x:f>'Evaluation Plan'!J71</x:f>
        <x:v>closed</x:v>
      </x:c>
      <x:c r="K71" s="8" t="n">
        <x:f>'Evaluation Plan'!K71</x:f>
        <x:v>4</x:v>
      </x:c>
      <x:c r="L71" s="8" t="str">
        <x:f>'Evaluation Plan'!L71</x:f>
        <x:v>2 — Exact-scene opposite-state contrast — State-word counterfactual (open→closed)</x:v>
      </x:c>
      <x:c r="M71" s="8" t="n">
        <x:f>'Evaluation Plan'!M71</x:f>
        <x:v>18</x:v>
      </x:c>
      <x:c r="N71" s="7" t="str">
        <x:f>'Evaluation Plan'!N71</x:f>
        <x:v>Reset the canonical target to its marked position. Preserve every object and state; change only the queried state word and expected target.</x:v>
      </x:c>
      <x:c r="O71" s="7" t="str">
        <x:f>'Evaluation Plan'!O71</x:f>
        <x:v>Exact-scene semantic counterfactual. The state word switches to the opposite state and the correct target switches to the other same-category instance.</x:v>
      </x:c>
      <x:c r="P71" s="7" t="str">
        <x:f>IF('Evaluation Plan'!P71=0,"",'Evaluation Plan'!P71)</x:f>
      </x:c>
    </x:row>
    <x:row r="72" ht="58" customHeight="1">
      <x:c r="A72" s="8" t="str">
        <x:v>Not collected</x:v>
      </x:c>
      <x:c r="B72" s="8" t="n">
        <x:f>'Evaluation Plan'!B72</x:f>
        <x:v>70</x:v>
      </x:c>
      <x:c r="C72" s="7" t="str">
        <x:f>'Evaluation Plan'!C72</x:f>
        <x:v>Move the yellow-white striped cup into the bowl.</x:v>
      </x:c>
      <x:c r="D72" s="7" t="str">
        <x:f>'Evaluation Plan'!D72</x:f>
        <x:v>P1 white cup B (C, UD); P2 yellow-white striped cup B (O, UD) [TARGET]; P3 glass spice container A (C, UD) [NEUTRAL REPLACEMENT]; P4 brown cup A (O, UR)</x:v>
      </x:c>
      <x:c r="E72" s="8" t="n">
        <x:f>IF('Evaluation Plan'!H72="Exact-scene opposite-state contrast",'Evaluation Plan'!E72,IF('Evaluation Plan'!H72="Language robustness",'Evaluation Plan'!E72,IF('Evaluation Plan'!H72="Matched manipulation control",'Evaluation Plan'!E72,IF('Evaluation Plan'!H72="Black-cup held-out-state composition",'Evaluation Plan'!E72,""))))</x:f>
        <x:v>68</x:v>
      </x:c>
      <x:c r="F72" s="8" t="str">
        <x:f>'Evaluation Plan'!F72</x:f>
        <x:v>yellow-white striped cup B</x:v>
      </x:c>
      <x:c r="G72" s="7"/>
      <x:c r="H72" s="8" t="str">
        <x:f>'Evaluation Plan'!H72</x:f>
        <x:v>Matched manipulation control</x:v>
      </x:c>
      <x:c r="I72" s="8" t="str">
        <x:f>'Evaluation Plan'!I72</x:f>
        <x:v>SR-F18</x:v>
      </x:c>
      <x:c r="J72" s="8" t="str">
        <x:f>'Evaluation Plan'!J72</x:f>
        <x:v>open</x:v>
      </x:c>
      <x:c r="K72" s="8" t="n">
        <x:f>'Evaluation Plan'!K72</x:f>
        <x:v>4</x:v>
      </x:c>
      <x:c r="L72" s="8" t="str">
        <x:f>'Evaluation Plan'!L72</x:f>
        <x:v>3 — Matched control — Category-only control with 4 objects</x:v>
      </x:c>
      <x:c r="M72" s="8" t="n">
        <x:f>'Evaluation Plan'!M72</x:f>
        <x:v>18</x:v>
      </x:c>
      <x:c r="N72" s="7" t="str">
        <x:f>'Evaluation Plan'!N72</x:f>
        <x:v>Reset the target; replace the same-category state competitor with glass spice container A at the same position. Keep object count, other objects, camera, and bowl fixed.</x:v>
      </x:c>
      <x:c r="O72" s="7" t="str">
        <x:f>'Evaluation Plan'!O72</x:f>
        <x:v>The neutral replacement removes category ambiguity without changing the three- or four-object set size.</x:v>
      </x:c>
      <x:c r="P72" s="7" t="str">
        <x:f>IF('Evaluation Plan'!P72=0,"",'Evaluation Plan'!P72)</x:f>
      </x:c>
    </x:row>
    <x:row r="73" ht="58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Put the yellow-white striped cup inside the bowl.</x:v>
      </x:c>
      <x:c r="D73" s="7" t="str">
        <x:f>'Evaluation Plan'!D73</x:f>
        <x:v>P1 white cup B (C, UD); P2 yellow-white striped cup B (O, UD) [TARGET]; P3 glass spice container A (C, UD) [NEUTRAL REPLACEMENT]; P4 brown cup A (O, UR)</x:v>
      </x:c>
      <x:c r="E73" s="8" t="n">
        <x:f>IF('Evaluation Plan'!H73="Exact-scene opposite-state contrast",'Evaluation Plan'!E73,IF('Evaluation Plan'!H73="Language robustness",'Evaluation Plan'!E73,IF('Evaluation Plan'!H73="Matched manipulation control",'Evaluation Plan'!E73,IF('Evaluation Plan'!H73="Black-cup held-out-state composition",'Evaluation Plan'!E73,""))))</x:f>
        <x:v>70</x:v>
      </x:c>
      <x:c r="F73" s="8" t="str">
        <x:f>'Evaluation Plan'!F73</x:f>
        <x:v>yellow-white striped cup B</x:v>
      </x:c>
      <x:c r="G73" s="7"/>
      <x:c r="H73" s="8" t="str">
        <x:f>'Evaluation Plan'!H73</x:f>
        <x:v>Language robustness</x:v>
      </x:c>
      <x:c r="I73" s="8" t="str">
        <x:f>'Evaluation Plan'!I73</x:f>
        <x:v>SR-F18</x:v>
      </x:c>
      <x:c r="J73" s="8" t="str">
        <x:f>'Evaluation Plan'!J73</x:f>
        <x:v>open</x:v>
      </x:c>
      <x:c r="K73" s="8" t="n">
        <x:f>'Evaluation Plan'!K73</x:f>
        <x:v>4</x:v>
      </x:c>
      <x:c r="L73" s="8" t="str">
        <x:f>'Evaluation Plan'!L73</x:f>
        <x:v>4 — Exact-scene control paraphrase — Paraphrase of matched-control prompt</x:v>
      </x:c>
      <x:c r="M73" s="8" t="n">
        <x:f>'Evaluation Plan'!M73</x:f>
        <x:v>18</x:v>
      </x:c>
      <x:c r="N73" s="7" t="str">
        <x:f>'Evaluation Plan'!N73</x:f>
        <x:v>Reset only the moved target; change only the prompt wording.</x:v>
      </x:c>
      <x:c r="O73" s="7" t="str">
        <x:f>'Evaluation Plan'!O73</x:f>
        <x:v>Exact-scene language pair for the category-only matched control.</x:v>
      </x:c>
      <x:c r="P73" s="7" t="str">
        <x:f>IF('Evaluation Plan'!P73=0,"",'Evaluation Plan'!P73)</x:f>
      </x:c>
    </x:row>
    <x:row r="74" ht="58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Place the upright brown cup in the bowl.</x:v>
      </x:c>
      <x:c r="D74" s="10" t="str">
        <x:f>'Evaluation Plan'!D74</x:f>
        <x:v>P1 white cup A (O, UR); P2 yellow-white striped cup B (C, UD); P3 brown cup A (O, UR) [TARGET]; P4 brown cup B (O, UD) [STATE COMPETITOR]</x:v>
      </x:c>
      <x:c r="E74" s="9" t="str">
        <x:f>IF('Evaluation Plan'!H74="Exact-scene opposite-state contrast",'Evaluation Plan'!E74,IF('Evaluation Plan'!H74="Language robustness",'Evaluation Plan'!E74,IF('Evaluation Plan'!H74="Matched manipulation control",'Evaluation Plan'!E74,IF('Evaluation Plan'!H74="Black-cup held-out-state composition",'Evaluation Plan'!E74,""))))</x:f>
      </x:c>
      <x:c r="F74" s="9" t="str">
        <x:f>'Evaluation Plan'!F74</x:f>
        <x:v>brown cup A</x:v>
      </x:c>
      <x:c r="G74" s="10"/>
      <x:c r="H74" s="9" t="str">
        <x:f>'Evaluation Plan'!H74</x:f>
        <x:v>Concept/compositional transfer</x:v>
      </x:c>
      <x:c r="I74" s="9" t="str">
        <x:f>'Evaluation Plan'!I74</x:f>
        <x:v>SR-F19</x:v>
      </x:c>
      <x:c r="J74" s="9" t="str">
        <x:f>'Evaluation Plan'!J74</x:f>
        <x:v>upright</x:v>
      </x:c>
      <x:c r="K74" s="9" t="n">
        <x:f>'Evaluation Plan'!K74</x:f>
        <x:v>4</x:v>
      </x:c>
      <x:c r="L74" s="9" t="str">
        <x:f>'Evaluation Plan'!L74</x:f>
        <x:v>1 — Canonical transfer — Held-out state word + known category (upright)</x:v>
      </x:c>
      <x:c r="M74" s="9" t="n">
        <x:f>'Evaluation Plan'!M74</x:f>
        <x:v>19</x:v>
      </x:c>
      <x:c r="N74" s="10" t="str">
        <x:f>'Evaluation Plan'!N74</x:f>
        <x:v>Build the marked same-category discrimination scene. Save a first-frame image or filename.</x:v>
      </x:c>
      <x:c r="O74" s="10" t="str">
        <x:f>'Evaluation Plan'!O74</x:f>
        <x:v>Two objects match the named category; only the state word selects the target. Target and competitor differ only on the queried state axis.</x:v>
      </x:c>
      <x:c r="P74" s="10" t="str">
        <x:f>IF('Evaluation Plan'!P74=0,"",'Evaluation Plan'!P74)</x:f>
      </x:c>
    </x:row>
    <x:row r="75" ht="58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Put the upside-down brown cup in the bowl.</x:v>
      </x:c>
      <x:c r="D75" s="7" t="str">
        <x:f>'Evaluation Plan'!D75</x:f>
        <x:v>P1 white cup A (O, UR); P2 yellow-white striped cup B (C, UD); P3 brown cup A (O, UR) [STATE COMPETITOR]; P4 brown cup B (O, UD) [TARGET]</x:v>
      </x:c>
      <x:c r="E75" s="8" t="n">
        <x:f>IF('Evaluation Plan'!H75="Exact-scene opposite-state contrast",'Evaluation Plan'!E75,IF('Evaluation Plan'!H75="Language robustness",'Evaluation Plan'!E75,IF('Evaluation Plan'!H75="Matched manipulation control",'Evaluation Plan'!E75,IF('Evaluation Plan'!H75="Black-cup held-out-state composition",'Evaluation Plan'!E75,""))))</x:f>
        <x:v>72</x:v>
      </x:c>
      <x:c r="F75" s="8" t="str">
        <x:f>'Evaluation Plan'!F75</x:f>
        <x:v>brown cup B</x:v>
      </x:c>
      <x:c r="G75" s="7"/>
      <x:c r="H75" s="8" t="str">
        <x:f>'Evaluation Plan'!H75</x:f>
        <x:v>Exact-scene opposite-state contrast</x:v>
      </x:c>
      <x:c r="I75" s="8" t="str">
        <x:f>'Evaluation Plan'!I75</x:f>
        <x:v>SR-F19</x:v>
      </x:c>
      <x:c r="J75" s="8" t="str">
        <x:f>'Evaluation Plan'!J75</x:f>
        <x:v>upside-down</x:v>
      </x:c>
      <x:c r="K75" s="8" t="n">
        <x:f>'Evaluation Plan'!K75</x:f>
        <x:v>4</x:v>
      </x:c>
      <x:c r="L75" s="8" t="str">
        <x:f>'Evaluation Plan'!L75</x:f>
        <x:v>2 — Exact-scene opposite-state contrast — State-word counterfactual (upright→upside-down)</x:v>
      </x:c>
      <x:c r="M75" s="8" t="n">
        <x:f>'Evaluation Plan'!M75</x:f>
        <x:v>19</x:v>
      </x:c>
      <x:c r="N75" s="7" t="str">
        <x:f>'Evaluation Plan'!N75</x:f>
        <x:v>Reset the canonical target to its marked position. Preserve every object and state; change only the queried state word and expected target.</x:v>
      </x:c>
      <x:c r="O75" s="7" t="str">
        <x:f>'Evaluation Plan'!O75</x:f>
        <x:v>Exact-scene semantic counterfactual. The state word switches to the opposite state and the correct target switches to the other same-category instance.</x:v>
      </x:c>
      <x:c r="P75" s="7" t="str">
        <x:f>IF('Evaluation Plan'!P75=0,"",'Evaluation Plan'!P75)</x:f>
      </x:c>
    </x:row>
    <x:row r="76" ht="58" customHeight="1">
      <x:c r="A76" s="8" t="str">
        <x:v>Not collected</x:v>
      </x:c>
      <x:c r="B76" s="8" t="n">
        <x:f>'Evaluation Plan'!B76</x:f>
        <x:v>74</x:v>
      </x:c>
      <x:c r="C76" s="7" t="str">
        <x:f>'Evaluation Plan'!C76</x:f>
        <x:v>Place the brown cup in the bowl.</x:v>
      </x:c>
      <x:c r="D76" s="7" t="str">
        <x:f>'Evaluation Plan'!D76</x:f>
        <x:v>P1 white cup A (O, UR); P2 yellow-white striped cup B (C, UD); P3 brown cup A (O, UR) [TARGET]; P4 glass spice container B (O, UD) [NEUTRAL REPLACEMENT]</x:v>
      </x:c>
      <x:c r="E76" s="8" t="n">
        <x:f>IF('Evaluation Plan'!H76="Exact-scene opposite-state contrast",'Evaluation Plan'!E76,IF('Evaluation Plan'!H76="Language robustness",'Evaluation Plan'!E76,IF('Evaluation Plan'!H76="Matched manipulation control",'Evaluation Plan'!E76,IF('Evaluation Plan'!H76="Black-cup held-out-state composition",'Evaluation Plan'!E76,""))))</x:f>
        <x:v>72</x:v>
      </x:c>
      <x:c r="F76" s="8" t="str">
        <x:f>'Evaluation Plan'!F76</x:f>
        <x:v>brown cup A</x:v>
      </x:c>
      <x:c r="G76" s="7"/>
      <x:c r="H76" s="8" t="str">
        <x:f>'Evaluation Plan'!H76</x:f>
        <x:v>Matched manipulation control</x:v>
      </x:c>
      <x:c r="I76" s="8" t="str">
        <x:f>'Evaluation Plan'!I76</x:f>
        <x:v>SR-F19</x:v>
      </x:c>
      <x:c r="J76" s="8" t="str">
        <x:f>'Evaluation Plan'!J76</x:f>
        <x:v>upright</x:v>
      </x:c>
      <x:c r="K76" s="8" t="n">
        <x:f>'Evaluation Plan'!K76</x:f>
        <x:v>4</x:v>
      </x:c>
      <x:c r="L76" s="8" t="str">
        <x:f>'Evaluation Plan'!L76</x:f>
        <x:v>3 — Matched control — Category-only control with 4 objects</x:v>
      </x:c>
      <x:c r="M76" s="8" t="n">
        <x:f>'Evaluation Plan'!M76</x:f>
        <x:v>19</x:v>
      </x:c>
      <x:c r="N76" s="7" t="str">
        <x:f>'Evaluation Plan'!N76</x:f>
        <x:v>Reset the target; replace the same-category state competitor with glass spice container B at the same position. Keep object count, other objects, camera, and bowl fixed.</x:v>
      </x:c>
      <x:c r="O76" s="7" t="str">
        <x:f>'Evaluation Plan'!O76</x:f>
        <x:v>The neutral replacement removes category ambiguity without changing the three- or four-object set size.</x:v>
      </x:c>
      <x:c r="P76" s="7" t="str">
        <x:f>IF('Evaluation Plan'!P76=0,"",'Evaluation Plan'!P76)</x:f>
      </x:c>
    </x:row>
    <x:row r="77" ht="58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Take the brown cup and set it in the bowl.</x:v>
      </x:c>
      <x:c r="D77" s="7" t="str">
        <x:f>'Evaluation Plan'!D77</x:f>
        <x:v>P1 white cup A (O, UR); P2 yellow-white striped cup B (C, UD); P3 brown cup A (O, UR) [TARGET]; P4 glass spice container B (O, UD) [NEUTRAL REPLACEMENT]</x:v>
      </x:c>
      <x:c r="E77" s="8" t="n">
        <x:f>IF('Evaluation Plan'!H77="Exact-scene opposite-state contrast",'Evaluation Plan'!E77,IF('Evaluation Plan'!H77="Language robustness",'Evaluation Plan'!E77,IF('Evaluation Plan'!H77="Matched manipulation control",'Evaluation Plan'!E77,IF('Evaluation Plan'!H77="Black-cup held-out-state composition",'Evaluation Plan'!E77,""))))</x:f>
        <x:v>74</x:v>
      </x:c>
      <x:c r="F77" s="8" t="str">
        <x:f>'Evaluation Plan'!F77</x:f>
        <x:v>brown cup A</x:v>
      </x:c>
      <x:c r="G77" s="7"/>
      <x:c r="H77" s="8" t="str">
        <x:f>'Evaluation Plan'!H77</x:f>
        <x:v>Language robustness</x:v>
      </x:c>
      <x:c r="I77" s="8" t="str">
        <x:f>'Evaluation Plan'!I77</x:f>
        <x:v>SR-F19</x:v>
      </x:c>
      <x:c r="J77" s="8" t="str">
        <x:f>'Evaluation Plan'!J77</x:f>
        <x:v>upright</x:v>
      </x:c>
      <x:c r="K77" s="8" t="n">
        <x:f>'Evaluation Plan'!K77</x:f>
        <x:v>4</x:v>
      </x:c>
      <x:c r="L77" s="8" t="str">
        <x:f>'Evaluation Plan'!L77</x:f>
        <x:v>4 — Exact-scene control paraphrase — Paraphrase of matched-control prompt</x:v>
      </x:c>
      <x:c r="M77" s="8" t="n">
        <x:f>'Evaluation Plan'!M77</x:f>
        <x:v>19</x:v>
      </x:c>
      <x:c r="N77" s="7" t="str">
        <x:f>'Evaluation Plan'!N77</x:f>
        <x:v>Reset only the moved target; change only the prompt wording.</x:v>
      </x:c>
      <x:c r="O77" s="7" t="str">
        <x:f>'Evaluation Plan'!O77</x:f>
        <x:v>Exact-scene language pair for the category-only matched control.</x:v>
      </x:c>
      <x:c r="P77" s="7" t="str">
        <x:f>IF('Evaluation Plan'!P77=0,"",'Evaluation Plan'!P77)</x:f>
      </x:c>
    </x:row>
    <x:row r="78" ht="58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Put the upside-down glass spice container in the bowl.</x:v>
      </x:c>
      <x:c r="D78" s="10" t="str">
        <x:f>'Evaluation Plan'!D78</x:f>
        <x:v>P1 glass spice container A (C, UR) [STATE COMPETITOR]; P2 white cup A (O, UR); P3 yellow-white striped cup B (C, UD); P4 glass spice container B (C, UD) [TARGET]</x:v>
      </x:c>
      <x:c r="E78" s="9" t="str">
        <x:f>IF('Evaluation Plan'!H78="Exact-scene opposite-state contrast",'Evaluation Plan'!E78,IF('Evaluation Plan'!H78="Language robustness",'Evaluation Plan'!E78,IF('Evaluation Plan'!H78="Matched manipulation control",'Evaluation Plan'!E78,IF('Evaluation Plan'!H78="Black-cup held-out-state composition",'Evaluation Plan'!E78,""))))</x:f>
      </x:c>
      <x:c r="F78" s="9" t="str">
        <x:f>'Evaluation Plan'!F78</x:f>
        <x:v>glass spice container B</x:v>
      </x:c>
      <x:c r="G78" s="10"/>
      <x:c r="H78" s="9" t="str">
        <x:f>'Evaluation Plan'!H78</x:f>
        <x:v>Concept/compositional transfer</x:v>
      </x:c>
      <x:c r="I78" s="9" t="str">
        <x:f>'Evaluation Plan'!I78</x:f>
        <x:v>SR-F20</x:v>
      </x:c>
      <x:c r="J78" s="9" t="str">
        <x:f>'Evaluation Plan'!J78</x:f>
        <x:v>upside-down</x:v>
      </x:c>
      <x:c r="K78" s="9" t="n">
        <x:f>'Evaluation Plan'!K78</x:f>
        <x:v>4</x:v>
      </x:c>
      <x:c r="L78" s="9" t="str">
        <x:f>'Evaluation Plan'!L78</x:f>
        <x:v>1 — Canonical transfer — Seen state word in a new scene (upside-down)</x:v>
      </x:c>
      <x:c r="M78" s="9" t="n">
        <x:f>'Evaluation Plan'!M78</x:f>
        <x:v>20</x:v>
      </x:c>
      <x:c r="N78" s="10" t="str">
        <x:f>'Evaluation Plan'!N78</x:f>
        <x:v>Build the marked same-category discrimination scene. Save a first-frame image or filename.</x:v>
      </x:c>
      <x:c r="O78" s="10" t="str">
        <x:f>'Evaluation Plan'!O78</x:f>
        <x:v>Two objects match the named category; only the state word selects the target. Target and competitor differ only on the queried state axis.</x:v>
      </x:c>
      <x:c r="P78" s="10" t="str">
        <x:f>IF('Evaluation Plan'!P78=0,"",'Evaluation Plan'!P78)</x:f>
      </x:c>
    </x:row>
    <x:row r="79" ht="58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Move the upright glass spice container into the bowl.</x:v>
      </x:c>
      <x:c r="D79" s="7" t="str">
        <x:f>'Evaluation Plan'!D79</x:f>
        <x:v>P1 glass spice container A (C, UR) [TARGET]; P2 white cup A (O, UR); P3 yellow-white striped cup B (C, UD); P4 glass spice container B (C, UD) [STATE COMPETITOR]</x:v>
      </x:c>
      <x:c r="E79" s="8" t="n">
        <x:f>IF('Evaluation Plan'!H79="Exact-scene opposite-state contrast",'Evaluation Plan'!E79,IF('Evaluation Plan'!H79="Language robustness",'Evaluation Plan'!E79,IF('Evaluation Plan'!H79="Matched manipulation control",'Evaluation Plan'!E79,IF('Evaluation Plan'!H79="Black-cup held-out-state composition",'Evaluation Plan'!E79,""))))</x:f>
        <x:v>76</x:v>
      </x:c>
      <x:c r="F79" s="8" t="str">
        <x:f>'Evaluation Plan'!F79</x:f>
        <x:v>glass spice container A</x:v>
      </x:c>
      <x:c r="G79" s="7"/>
      <x:c r="H79" s="8" t="str">
        <x:f>'Evaluation Plan'!H79</x:f>
        <x:v>Exact-scene opposite-state contrast</x:v>
      </x:c>
      <x:c r="I79" s="8" t="str">
        <x:f>'Evaluation Plan'!I79</x:f>
        <x:v>SR-F20</x:v>
      </x:c>
      <x:c r="J79" s="8" t="str">
        <x:f>'Evaluation Plan'!J79</x:f>
        <x:v>upright</x:v>
      </x:c>
      <x:c r="K79" s="8" t="n">
        <x:f>'Evaluation Plan'!K79</x:f>
        <x:v>4</x:v>
      </x:c>
      <x:c r="L79" s="8" t="str">
        <x:f>'Evaluation Plan'!L79</x:f>
        <x:v>2 — Exact-scene opposite-state contrast — State-word counterfactual (upside-down→upright)</x:v>
      </x:c>
      <x:c r="M79" s="8" t="n">
        <x:f>'Evaluation Plan'!M79</x:f>
        <x:v>20</x:v>
      </x:c>
      <x:c r="N79" s="7" t="str">
        <x:f>'Evaluation Plan'!N79</x:f>
        <x:v>Reset the canonical target to its marked position. Preserve every object and state; change only the queried state word and expected target.</x:v>
      </x:c>
      <x:c r="O79" s="7" t="str">
        <x:f>'Evaluation Plan'!O79</x:f>
        <x:v>Exact-scene semantic counterfactual. The state word switches to the opposite state and the correct target switches to the other same-category instance.</x:v>
      </x:c>
      <x:c r="P79" s="7" t="str">
        <x:f>IF('Evaluation Plan'!P79=0,"",'Evaluation Plan'!P79)</x:f>
      </x:c>
    </x:row>
    <x:row r="80" ht="58" customHeight="1">
      <x:c r="A80" s="8" t="str">
        <x:v>Not collected</x:v>
      </x:c>
      <x:c r="B80" s="8" t="n">
        <x:f>'Evaluation Plan'!B80</x:f>
        <x:v>78</x:v>
      </x:c>
      <x:c r="C80" s="7" t="str">
        <x:f>'Evaluation Plan'!C80</x:f>
        <x:v>Put the glass spice container in the bowl.</x:v>
      </x:c>
      <x:c r="D80" s="7" t="str">
        <x:f>'Evaluation Plan'!D80</x:f>
        <x:v>P1 brown cup A (C, UR) [NEUTRAL REPLACEMENT]; P2 white cup A (O, UR); P3 yellow-white striped cup B (C, UD); P4 glass spice container B (C, UD) [TARGET]</x:v>
      </x:c>
      <x:c r="E80" s="8" t="n">
        <x:f>IF('Evaluation Plan'!H80="Exact-scene opposite-state contrast",'Evaluation Plan'!E80,IF('Evaluation Plan'!H80="Language robustness",'Evaluation Plan'!E80,IF('Evaluation Plan'!H80="Matched manipulation control",'Evaluation Plan'!E80,IF('Evaluation Plan'!H80="Black-cup held-out-state composition",'Evaluation Plan'!E80,""))))</x:f>
        <x:v>76</x:v>
      </x:c>
      <x:c r="F80" s="8" t="str">
        <x:f>'Evaluation Plan'!F80</x:f>
        <x:v>glass spice container B</x:v>
      </x:c>
      <x:c r="G80" s="7"/>
      <x:c r="H80" s="8" t="str">
        <x:f>'Evaluation Plan'!H80</x:f>
        <x:v>Matched manipulation control</x:v>
      </x:c>
      <x:c r="I80" s="8" t="str">
        <x:f>'Evaluation Plan'!I80</x:f>
        <x:v>SR-F20</x:v>
      </x:c>
      <x:c r="J80" s="8" t="str">
        <x:f>'Evaluation Plan'!J80</x:f>
        <x:v>upside-down</x:v>
      </x:c>
      <x:c r="K80" s="8" t="n">
        <x:f>'Evaluation Plan'!K80</x:f>
        <x:v>4</x:v>
      </x:c>
      <x:c r="L80" s="8" t="str">
        <x:f>'Evaluation Plan'!L80</x:f>
        <x:v>3 — Matched control — Category-only control with 4 objects</x:v>
      </x:c>
      <x:c r="M80" s="8" t="n">
        <x:f>'Evaluation Plan'!M80</x:f>
        <x:v>20</x:v>
      </x:c>
      <x:c r="N80" s="7" t="str">
        <x:f>'Evaluation Plan'!N80</x:f>
        <x:v>Reset the target; replace the same-category state competitor with brown cup A at the same position. Keep object count, other objects, camera, and bowl fixed.</x:v>
      </x:c>
      <x:c r="O80" s="7" t="str">
        <x:f>'Evaluation Plan'!O80</x:f>
        <x:v>The neutral replacement removes category ambiguity without changing the three- or four-object set size.</x:v>
      </x:c>
      <x:c r="P80" s="7" t="str">
        <x:f>IF('Evaluation Plan'!P80=0,"",'Evaluation Plan'!P80)</x:f>
      </x:c>
    </x:row>
    <x:row r="81" ht="58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Transfer the glass spice container into the bowl.</x:v>
      </x:c>
      <x:c r="D81" s="7" t="str">
        <x:f>'Evaluation Plan'!D81</x:f>
        <x:v>P1 brown cup A (C, UR) [NEUTRAL REPLACEMENT]; P2 white cup A (O, UR); P3 yellow-white striped cup B (C, UD); P4 glass spice container B (C, UD) [TARGET]</x:v>
      </x:c>
      <x:c r="E81" s="8" t="n">
        <x:f>IF('Evaluation Plan'!H81="Exact-scene opposite-state contrast",'Evaluation Plan'!E81,IF('Evaluation Plan'!H81="Language robustness",'Evaluation Plan'!E81,IF('Evaluation Plan'!H81="Matched manipulation control",'Evaluation Plan'!E81,IF('Evaluation Plan'!H81="Black-cup held-out-state composition",'Evaluation Plan'!E81,""))))</x:f>
        <x:v>78</x:v>
      </x:c>
      <x:c r="F81" s="8" t="str">
        <x:f>'Evaluation Plan'!F81</x:f>
        <x:v>glass spice container B</x:v>
      </x:c>
      <x:c r="G81" s="7"/>
      <x:c r="H81" s="8" t="str">
        <x:f>'Evaluation Plan'!H81</x:f>
        <x:v>Language robustness</x:v>
      </x:c>
      <x:c r="I81" s="8" t="str">
        <x:f>'Evaluation Plan'!I81</x:f>
        <x:v>SR-F20</x:v>
      </x:c>
      <x:c r="J81" s="8" t="str">
        <x:f>'Evaluation Plan'!J81</x:f>
        <x:v>upside-down</x:v>
      </x:c>
      <x:c r="K81" s="8" t="n">
        <x:f>'Evaluation Plan'!K81</x:f>
        <x:v>4</x:v>
      </x:c>
      <x:c r="L81" s="8" t="str">
        <x:f>'Evaluation Plan'!L81</x:f>
        <x:v>4 — Exact-scene control paraphrase — Paraphrase of matched-control prompt</x:v>
      </x:c>
      <x:c r="M81" s="8" t="n">
        <x:f>'Evaluation Plan'!M81</x:f>
        <x:v>20</x:v>
      </x:c>
      <x:c r="N81" s="7" t="str">
        <x:f>'Evaluation Plan'!N81</x:f>
        <x:v>Reset only the moved target; change only the prompt wording.</x:v>
      </x:c>
      <x:c r="O81" s="7" t="str">
        <x:f>'Evaluation Plan'!O81</x:f>
        <x:v>Exact-scene language pair for the category-only matched control.</x:v>
      </x:c>
      <x:c r="P81" s="7" t="str">
        <x:f>IF('Evaluation Plan'!P81=0,"",'Evaluation Plan'!P81)</x:f>
      </x:c>
    </x:row>
    <x:row r="82" ht="58" customHeight="1">
      <x:c r="A82" s="8" t="str">
        <x:v>Not collected</x:v>
      </x:c>
      <x:c r="B82" s="8" t="n">
        <x:f>'Evaluation Plan'!B82</x:f>
        <x:v>80</x:v>
      </x:c>
      <x:c r="C82" s="7" t="str">
        <x:f>'Evaluation Plan'!C82</x:f>
        <x:v>Move the closed yellow-white striped cup into the bowl.</x:v>
      </x:c>
      <x:c r="D82" s="7" t="str">
        <x:f>'Evaluation Plan'!D82</x:f>
        <x:v>P1 yellow-white striped cup A (C, UR) [TARGET]; P2 yellow-white striped cup B (O, UR) [STATE COMPETITOR]; P3 white cup A (O, UR)</x:v>
      </x:c>
      <x:c r="E82" s="8" t="str">
        <x:f>IF('Evaluation Plan'!H82="Exact-scene opposite-state contrast",'Evaluation Plan'!E82,IF('Evaluation Plan'!H82="Language robustness",'Evaluation Plan'!E82,IF('Evaluation Plan'!H82="Matched manipulation control",'Evaluation Plan'!E82,IF('Evaluation Plan'!H82="Black-cup held-out-state composition",'Evaluation Plan'!E82,""))))</x:f>
      </x:c>
      <x:c r="F82" s="8" t="str">
        <x:f>'Evaluation Plan'!F82</x:f>
        <x:v>yellow-white striped cup A</x:v>
      </x:c>
      <x:c r="G82" s="7"/>
      <x:c r="H82" s="8" t="str">
        <x:f>'Evaluation Plan'!H82</x:f>
        <x:v>Concept/compositional transfer</x:v>
      </x:c>
      <x:c r="I82" s="8" t="str">
        <x:f>'Evaluation Plan'!I82</x:f>
        <x:v>SR-X01</x:v>
      </x:c>
      <x:c r="J82" s="8" t="str">
        <x:f>'Evaluation Plan'!J82</x:f>
        <x:v>closed</x:v>
      </x:c>
      <x:c r="K82" s="8" t="n">
        <x:f>'Evaluation Plan'!K82</x:f>
        <x:v>3</x:v>
      </x:c>
      <x:c r="L82" s="8" t="str">
        <x:f>'Evaluation Plan'!L82</x:f>
        <x:v>Additional transfer — Additional held-out state + category (closed)</x:v>
      </x:c>
      <x:c r="M82" s="8" t="n">
        <x:f>'Evaluation Plan'!M82</x:f>
        <x:v>21</x:v>
      </x:c>
      <x:c r="N82" s="7" t="str">
        <x:f>'Evaluation Plan'!N82</x:f>
        <x:v>Build the listed same-category discrimination scene; both category instances must remain present.</x:v>
      </x:c>
      <x:c r="O82" s="7" t="str">
        <x:f>'Evaluation Plan'!O82</x:f>
        <x:v>Unpaired primary-transfer coverage. Category and state are both present in the prompt, matching the training prompt structure.</x:v>
      </x:c>
      <x:c r="P82" s="7" t="str">
        <x:f>IF('Evaluation Plan'!P82=0,"",'Evaluation Plan'!P82)</x:f>
      </x:c>
    </x:row>
    <x:row r="83" ht="58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Place the closed brown cup in the bowl.</x:v>
      </x:c>
      <x:c r="D83" s="7" t="str">
        <x:f>'Evaluation Plan'!D83</x:f>
        <x:v>P1 white cup B (C, UD); P2 brown cup B (C, UD) [TARGET]; P3 brown cup A (O, UD) [STATE COMPETITOR]</x:v>
      </x:c>
      <x:c r="E83" s="8" t="str">
        <x:f>IF('Evaluation Plan'!H83="Exact-scene opposite-state contrast",'Evaluation Plan'!E83,IF('Evaluation Plan'!H83="Language robustness",'Evaluation Plan'!E83,IF('Evaluation Plan'!H83="Matched manipulation control",'Evaluation Plan'!E83,IF('Evaluation Plan'!H83="Black-cup held-out-state composition",'Evaluation Plan'!E83,""))))</x:f>
      </x:c>
      <x:c r="F83" s="8" t="str">
        <x:f>'Evaluation Plan'!F83</x:f>
        <x:v>brown cup B</x:v>
      </x:c>
      <x:c r="G83" s="7"/>
      <x:c r="H83" s="8" t="str">
        <x:f>'Evaluation Plan'!H83</x:f>
        <x:v>Concept/compositional transfer</x:v>
      </x:c>
      <x:c r="I83" s="8" t="str">
        <x:f>'Evaluation Plan'!I83</x:f>
        <x:v>SR-X02</x:v>
      </x:c>
      <x:c r="J83" s="8" t="str">
        <x:f>'Evaluation Plan'!J83</x:f>
        <x:v>closed</x:v>
      </x:c>
      <x:c r="K83" s="8" t="n">
        <x:f>'Evaluation Plan'!K83</x:f>
        <x:v>3</x:v>
      </x:c>
      <x:c r="L83" s="8" t="str">
        <x:f>'Evaluation Plan'!L83</x:f>
        <x:v>Additional transfer — Additional held-out state + category (closed)</x:v>
      </x:c>
      <x:c r="M83" s="8" t="n">
        <x:f>'Evaluation Plan'!M83</x:f>
        <x:v>22</x:v>
      </x:c>
      <x:c r="N83" s="7" t="str">
        <x:f>'Evaluation Plan'!N83</x:f>
        <x:v>Build the listed same-category discrimination scene; both category instances must remain present.</x:v>
      </x:c>
      <x:c r="O83" s="7" t="str">
        <x:f>'Evaluation Plan'!O83</x:f>
        <x:v>Unpaired primary-transfer coverage. Category and state are both present in the prompt, matching the training prompt structure.</x:v>
      </x:c>
      <x:c r="P83" s="7" t="str">
        <x:f>IF('Evaluation Plan'!P83=0,"",'Evaluation Plan'!P83)</x:f>
      </x:c>
    </x:row>
    <x:row r="84" ht="58" customHeight="1">
      <x:c r="A84" s="8" t="str">
        <x:v>Not collected</x:v>
      </x:c>
      <x:c r="B84" s="8" t="n">
        <x:f>'Evaluation Plan'!B84</x:f>
        <x:v>82</x:v>
      </x:c>
      <x:c r="C84" s="7" t="str">
        <x:f>'Evaluation Plan'!C84</x:f>
        <x:v>Put the closed glass spice container in the bowl.</x:v>
      </x:c>
      <x:c r="D84" s="7" t="str">
        <x:f>'Evaluation Plan'!D84</x:f>
        <x:v>P1 glass spice container B (O, UR) [STATE COMPETITOR]; P2 white cup B (C, UD); P3 glass spice container A (C, UR) [TARGET]</x:v>
      </x:c>
      <x:c r="E84" s="8" t="str">
        <x:f>IF('Evaluation Plan'!H84="Exact-scene opposite-state contrast",'Evaluation Plan'!E84,IF('Evaluation Plan'!H84="Language robustness",'Evaluation Plan'!E84,IF('Evaluation Plan'!H84="Matched manipulation control",'Evaluation Plan'!E84,IF('Evaluation Plan'!H84="Black-cup held-out-state composition",'Evaluation Plan'!E84,""))))</x:f>
      </x:c>
      <x:c r="F84" s="8" t="str">
        <x:f>'Evaluation Plan'!F84</x:f>
        <x:v>glass spice container A</x:v>
      </x:c>
      <x:c r="G84" s="7"/>
      <x:c r="H84" s="8" t="str">
        <x:f>'Evaluation Plan'!H84</x:f>
        <x:v>Concept/compositional transfer</x:v>
      </x:c>
      <x:c r="I84" s="8" t="str">
        <x:f>'Evaluation Plan'!I84</x:f>
        <x:v>SR-X03</x:v>
      </x:c>
      <x:c r="J84" s="8" t="str">
        <x:f>'Evaluation Plan'!J84</x:f>
        <x:v>closed</x:v>
      </x:c>
      <x:c r="K84" s="8" t="n">
        <x:f>'Evaluation Plan'!K84</x:f>
        <x:v>3</x:v>
      </x:c>
      <x:c r="L84" s="8" t="str">
        <x:f>'Evaluation Plan'!L84</x:f>
        <x:v>Additional transfer — Additional held-out state + category (closed)</x:v>
      </x:c>
      <x:c r="M84" s="8" t="n">
        <x:f>'Evaluation Plan'!M84</x:f>
        <x:v>23</x:v>
      </x:c>
      <x:c r="N84" s="7" t="str">
        <x:f>'Evaluation Plan'!N84</x:f>
        <x:v>Build the listed same-category discrimination scene; both category instances must remain present.</x:v>
      </x:c>
      <x:c r="O84" s="7" t="str">
        <x:f>'Evaluation Plan'!O84</x:f>
        <x:v>Unpaired primary-transfer coverage. Category and state are both present in the prompt, matching the training prompt structure.</x:v>
      </x:c>
      <x:c r="P84" s="7" t="str">
        <x:f>IF('Evaluation Plan'!P84=0,"",'Evaluation Plan'!P84)</x:f>
      </x:c>
    </x:row>
    <x:row r="85" ht="58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Move the closed white cup into the bowl.</x:v>
      </x:c>
      <x:c r="D85" s="7" t="str">
        <x:f>'Evaluation Plan'!D85</x:f>
        <x:v>P1 white cup B (C, UD) [TARGET]; P2 white cup A (O, UD) [STATE COMPETITOR]; P3 yellow-white striped cup B (C, UD)</x:v>
      </x:c>
      <x:c r="E85" s="8" t="str">
        <x:f>IF('Evaluation Plan'!H85="Exact-scene opposite-state contrast",'Evaluation Plan'!E85,IF('Evaluation Plan'!H85="Language robustness",'Evaluation Plan'!E85,IF('Evaluation Plan'!H85="Matched manipulation control",'Evaluation Plan'!E85,IF('Evaluation Plan'!H85="Black-cup held-out-state composition",'Evaluation Plan'!E85,""))))</x:f>
      </x:c>
      <x:c r="F85" s="8" t="str">
        <x:f>'Evaluation Plan'!F85</x:f>
        <x:v>white cup B</x:v>
      </x:c>
      <x:c r="G85" s="7"/>
      <x:c r="H85" s="8" t="str">
        <x:f>'Evaluation Plan'!H85</x:f>
        <x:v>Concept/compositional transfer</x:v>
      </x:c>
      <x:c r="I85" s="8" t="str">
        <x:f>'Evaluation Plan'!I85</x:f>
        <x:v>SR-X04</x:v>
      </x:c>
      <x:c r="J85" s="8" t="str">
        <x:f>'Evaluation Plan'!J85</x:f>
        <x:v>closed</x:v>
      </x:c>
      <x:c r="K85" s="8" t="n">
        <x:f>'Evaluation Plan'!K85</x:f>
        <x:v>3</x:v>
      </x:c>
      <x:c r="L85" s="8" t="str">
        <x:f>'Evaluation Plan'!L85</x:f>
        <x:v>Additional transfer — Additional held-out state + category (closed)</x:v>
      </x:c>
      <x:c r="M85" s="8" t="n">
        <x:f>'Evaluation Plan'!M85</x:f>
        <x:v>24</x:v>
      </x:c>
      <x:c r="N85" s="7" t="str">
        <x:f>'Evaluation Plan'!N85</x:f>
        <x:v>Build the listed same-category discrimination scene; both category instances must remain present.</x:v>
      </x:c>
      <x:c r="O85" s="7" t="str">
        <x:f>'Evaluation Plan'!O85</x:f>
        <x:v>Unpaired primary-transfer coverage. Category and state are both present in the prompt, matching the training prompt structure.</x:v>
      </x:c>
      <x:c r="P85" s="7" t="str">
        <x:f>IF('Evaluation Plan'!P85=0,"",'Evaluation Plan'!P85)</x:f>
      </x:c>
    </x:row>
    <x:row r="86" ht="58" customHeight="1">
      <x:c r="A86" s="8" t="str">
        <x:v>Not collected</x:v>
      </x:c>
      <x:c r="B86" s="8" t="n">
        <x:f>'Evaluation Plan'!B86</x:f>
        <x:v>84</x:v>
      </x:c>
      <x:c r="C86" s="7" t="str">
        <x:f>'Evaluation Plan'!C86</x:f>
        <x:v>Place the closed yellow-white striped cup in the bowl.</x:v>
      </x:c>
      <x:c r="D86" s="7" t="str">
        <x:f>'Evaluation Plan'!D86</x:f>
        <x:v>P1 white cup A (O, UR); P2 yellow-white striped cup A (C, UR) [TARGET]; P3 yellow-white striped cup B (O, UR) [STATE COMPETITOR]</x:v>
      </x:c>
      <x:c r="E86" s="8" t="str">
        <x:f>IF('Evaluation Plan'!H86="Exact-scene opposite-state contrast",'Evaluation Plan'!E86,IF('Evaluation Plan'!H86="Language robustness",'Evaluation Plan'!E86,IF('Evaluation Plan'!H86="Matched manipulation control",'Evaluation Plan'!E86,IF('Evaluation Plan'!H86="Black-cup held-out-state composition",'Evaluation Plan'!E86,""))))</x:f>
      </x:c>
      <x:c r="F86" s="8" t="str">
        <x:f>'Evaluation Plan'!F86</x:f>
        <x:v>yellow-white striped cup A</x:v>
      </x:c>
      <x:c r="G86" s="7"/>
      <x:c r="H86" s="8" t="str">
        <x:f>'Evaluation Plan'!H86</x:f>
        <x:v>Concept/compositional transfer</x:v>
      </x:c>
      <x:c r="I86" s="8" t="str">
        <x:f>'Evaluation Plan'!I86</x:f>
        <x:v>SR-X05</x:v>
      </x:c>
      <x:c r="J86" s="8" t="str">
        <x:f>'Evaluation Plan'!J86</x:f>
        <x:v>closed</x:v>
      </x:c>
      <x:c r="K86" s="8" t="n">
        <x:f>'Evaluation Plan'!K86</x:f>
        <x:v>3</x:v>
      </x:c>
      <x:c r="L86" s="8" t="str">
        <x:f>'Evaluation Plan'!L86</x:f>
        <x:v>Additional transfer — Additional held-out state + category (closed)</x:v>
      </x:c>
      <x:c r="M86" s="8" t="n">
        <x:f>'Evaluation Plan'!M86</x:f>
        <x:v>25</x:v>
      </x:c>
      <x:c r="N86" s="7" t="str">
        <x:f>'Evaluation Plan'!N86</x:f>
        <x:v>Build the listed same-category discrimination scene; both category instances must remain present.</x:v>
      </x:c>
      <x:c r="O86" s="7" t="str">
        <x:f>'Evaluation Plan'!O86</x:f>
        <x:v>Unpaired primary-transfer coverage. Category and state are both present in the prompt, matching the training prompt structure.</x:v>
      </x:c>
      <x:c r="P86" s="7" t="str">
        <x:f>IF('Evaluation Plan'!P86=0,"",'Evaluation Plan'!P86)</x:f>
      </x:c>
    </x:row>
    <x:row r="87" ht="58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Put the closed brown cup in the bowl.</x:v>
      </x:c>
      <x:c r="D87" s="7" t="str">
        <x:f>'Evaluation Plan'!D87</x:f>
        <x:v>P1 brown cup A (O, UD) [STATE COMPETITOR]; P2 white cup A (O, UR); P3 brown cup B (C, UD) [TARGET]</x:v>
      </x:c>
      <x:c r="E87" s="8" t="str">
        <x:f>IF('Evaluation Plan'!H87="Exact-scene opposite-state contrast",'Evaluation Plan'!E87,IF('Evaluation Plan'!H87="Language robustness",'Evaluation Plan'!E87,IF('Evaluation Plan'!H87="Matched manipulation control",'Evaluation Plan'!E87,IF('Evaluation Plan'!H87="Black-cup held-out-state composition",'Evaluation Plan'!E87,""))))</x:f>
      </x:c>
      <x:c r="F87" s="8" t="str">
        <x:f>'Evaluation Plan'!F87</x:f>
        <x:v>brown cup B</x:v>
      </x:c>
      <x:c r="G87" s="7"/>
      <x:c r="H87" s="8" t="str">
        <x:f>'Evaluation Plan'!H87</x:f>
        <x:v>Concept/compositional transfer</x:v>
      </x:c>
      <x:c r="I87" s="8" t="str">
        <x:f>'Evaluation Plan'!I87</x:f>
        <x:v>SR-X06</x:v>
      </x:c>
      <x:c r="J87" s="8" t="str">
        <x:f>'Evaluation Plan'!J87</x:f>
        <x:v>closed</x:v>
      </x:c>
      <x:c r="K87" s="8" t="n">
        <x:f>'Evaluation Plan'!K87</x:f>
        <x:v>3</x:v>
      </x:c>
      <x:c r="L87" s="8" t="str">
        <x:f>'Evaluation Plan'!L87</x:f>
        <x:v>Additional transfer — Additional held-out state + category (closed)</x:v>
      </x:c>
      <x:c r="M87" s="8" t="n">
        <x:f>'Evaluation Plan'!M87</x:f>
        <x:v>26</x:v>
      </x:c>
      <x:c r="N87" s="7" t="str">
        <x:f>'Evaluation Plan'!N87</x:f>
        <x:v>Build the listed same-category discrimination scene; both category instances must remain present.</x:v>
      </x:c>
      <x:c r="O87" s="7" t="str">
        <x:f>'Evaluation Plan'!O87</x:f>
        <x:v>Unpaired primary-transfer coverage. Category and state are both present in the prompt, matching the training prompt structure.</x:v>
      </x:c>
      <x:c r="P87" s="7" t="str">
        <x:f>IF('Evaluation Plan'!P87=0,"",'Evaluation Plan'!P87)</x:f>
      </x:c>
    </x:row>
    <x:row r="88" ht="58" customHeight="1">
      <x:c r="A88" s="8" t="str">
        <x:v>Not collected</x:v>
      </x:c>
      <x:c r="B88" s="8" t="n">
        <x:f>'Evaluation Plan'!B88</x:f>
        <x:v>86</x:v>
      </x:c>
      <x:c r="C88" s="7" t="str">
        <x:f>'Evaluation Plan'!C88</x:f>
        <x:v>Move the closed glass spice container into the bowl.</x:v>
      </x:c>
      <x:c r="D88" s="7" t="str">
        <x:f>'Evaluation Plan'!D88</x:f>
        <x:v>P1 glass spice container A (C, UR) [TARGET]; P2 glass spice container B (O, UR) [STATE COMPETITOR]; P3 white cup A (O, UR)</x:v>
      </x:c>
      <x:c r="E88" s="8" t="str">
        <x:f>IF('Evaluation Plan'!H88="Exact-scene opposite-state contrast",'Evaluation Plan'!E88,IF('Evaluation Plan'!H88="Language robustness",'Evaluation Plan'!E88,IF('Evaluation Plan'!H88="Matched manipulation control",'Evaluation Plan'!E88,IF('Evaluation Plan'!H88="Black-cup held-out-state composition",'Evaluation Plan'!E88,""))))</x:f>
      </x:c>
      <x:c r="F88" s="8" t="str">
        <x:f>'Evaluation Plan'!F88</x:f>
        <x:v>glass spice container A</x:v>
      </x:c>
      <x:c r="G88" s="7"/>
      <x:c r="H88" s="8" t="str">
        <x:f>'Evaluation Plan'!H88</x:f>
        <x:v>Concept/compositional transfer</x:v>
      </x:c>
      <x:c r="I88" s="8" t="str">
        <x:f>'Evaluation Plan'!I88</x:f>
        <x:v>SR-X07</x:v>
      </x:c>
      <x:c r="J88" s="8" t="str">
        <x:f>'Evaluation Plan'!J88</x:f>
        <x:v>closed</x:v>
      </x:c>
      <x:c r="K88" s="8" t="n">
        <x:f>'Evaluation Plan'!K88</x:f>
        <x:v>3</x:v>
      </x:c>
      <x:c r="L88" s="8" t="str">
        <x:f>'Evaluation Plan'!L88</x:f>
        <x:v>Additional transfer — Additional held-out state + category (closed)</x:v>
      </x:c>
      <x:c r="M88" s="8" t="n">
        <x:f>'Evaluation Plan'!M88</x:f>
        <x:v>27</x:v>
      </x:c>
      <x:c r="N88" s="7" t="str">
        <x:f>'Evaluation Plan'!N88</x:f>
        <x:v>Build the listed same-category discrimination scene; both category instances must remain present.</x:v>
      </x:c>
      <x:c r="O88" s="7" t="str">
        <x:f>'Evaluation Plan'!O88</x:f>
        <x:v>Unpaired primary-transfer coverage. Category and state are both present in the prompt, matching the training prompt structure.</x:v>
      </x:c>
      <x:c r="P88" s="7" t="str">
        <x:f>IF('Evaluation Plan'!P88=0,"",'Evaluation Plan'!P88)</x:f>
      </x:c>
    </x:row>
    <x:row r="89" ht="58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Place the closed white cup in the bowl.</x:v>
      </x:c>
      <x:c r="D89" s="7" t="str">
        <x:f>'Evaluation Plan'!D89</x:f>
        <x:v>P1 yellow-white striped cup B (C, UD); P2 white cup B (C, UD) [TARGET]; P3 white cup A (O, UD) [STATE COMPETITOR]</x:v>
      </x:c>
      <x:c r="E89" s="8" t="str">
        <x:f>IF('Evaluation Plan'!H89="Exact-scene opposite-state contrast",'Evaluation Plan'!E89,IF('Evaluation Plan'!H89="Language robustness",'Evaluation Plan'!E89,IF('Evaluation Plan'!H89="Matched manipulation control",'Evaluation Plan'!E89,IF('Evaluation Plan'!H89="Black-cup held-out-state composition",'Evaluation Plan'!E89,""))))</x:f>
      </x:c>
      <x:c r="F89" s="8" t="str">
        <x:f>'Evaluation Plan'!F89</x:f>
        <x:v>white cup B</x:v>
      </x:c>
      <x:c r="G89" s="7"/>
      <x:c r="H89" s="8" t="str">
        <x:f>'Evaluation Plan'!H89</x:f>
        <x:v>Concept/compositional transfer</x:v>
      </x:c>
      <x:c r="I89" s="8" t="str">
        <x:f>'Evaluation Plan'!I89</x:f>
        <x:v>SR-X08</x:v>
      </x:c>
      <x:c r="J89" s="8" t="str">
        <x:f>'Evaluation Plan'!J89</x:f>
        <x:v>closed</x:v>
      </x:c>
      <x:c r="K89" s="8" t="n">
        <x:f>'Evaluation Plan'!K89</x:f>
        <x:v>3</x:v>
      </x:c>
      <x:c r="L89" s="8" t="str">
        <x:f>'Evaluation Plan'!L89</x:f>
        <x:v>Additional transfer — Additional held-out state + category (closed)</x:v>
      </x:c>
      <x:c r="M89" s="8" t="n">
        <x:f>'Evaluation Plan'!M89</x:f>
        <x:v>28</x:v>
      </x:c>
      <x:c r="N89" s="7" t="str">
        <x:f>'Evaluation Plan'!N89</x:f>
        <x:v>Build the listed same-category discrimination scene; both category instances must remain present.</x:v>
      </x:c>
      <x:c r="O89" s="7" t="str">
        <x:f>'Evaluation Plan'!O89</x:f>
        <x:v>Unpaired primary-transfer coverage. Category and state are both present in the prompt, matching the training prompt structure.</x:v>
      </x:c>
      <x:c r="P89" s="7" t="str">
        <x:f>IF('Evaluation Plan'!P89=0,"",'Evaluation Plan'!P89)</x:f>
      </x:c>
    </x:row>
    <x:row r="90" ht="58" customHeight="1">
      <x:c r="A90" s="8" t="str">
        <x:v>Not collected</x:v>
      </x:c>
      <x:c r="B90" s="8" t="n">
        <x:f>'Evaluation Plan'!B90</x:f>
        <x:v>88</x:v>
      </x:c>
      <x:c r="C90" s="7" t="str">
        <x:f>'Evaluation Plan'!C90</x:f>
        <x:v>Put the closed yellow-white striped cup in the bowl.</x:v>
      </x:c>
      <x:c r="D90" s="7" t="str">
        <x:f>'Evaluation Plan'!D90</x:f>
        <x:v>P1 yellow-white striped cup B (O, UR) [STATE COMPETITOR]; P2 white cup B (C, UD); P3 yellow-white striped cup A (C, UR) [TARGET]</x:v>
      </x:c>
      <x:c r="E90" s="8" t="str">
        <x:f>IF('Evaluation Plan'!H90="Exact-scene opposite-state contrast",'Evaluation Plan'!E90,IF('Evaluation Plan'!H90="Language robustness",'Evaluation Plan'!E90,IF('Evaluation Plan'!H90="Matched manipulation control",'Evaluation Plan'!E90,IF('Evaluation Plan'!H90="Black-cup held-out-state composition",'Evaluation Plan'!E90,""))))</x:f>
      </x:c>
      <x:c r="F90" s="8" t="str">
        <x:f>'Evaluation Plan'!F90</x:f>
        <x:v>yellow-white striped cup A</x:v>
      </x:c>
      <x:c r="G90" s="7"/>
      <x:c r="H90" s="8" t="str">
        <x:f>'Evaluation Plan'!H90</x:f>
        <x:v>Concept/compositional transfer</x:v>
      </x:c>
      <x:c r="I90" s="8" t="str">
        <x:f>'Evaluation Plan'!I90</x:f>
        <x:v>SR-X09</x:v>
      </x:c>
      <x:c r="J90" s="8" t="str">
        <x:f>'Evaluation Plan'!J90</x:f>
        <x:v>closed</x:v>
      </x:c>
      <x:c r="K90" s="8" t="n">
        <x:f>'Evaluation Plan'!K90</x:f>
        <x:v>3</x:v>
      </x:c>
      <x:c r="L90" s="8" t="str">
        <x:f>'Evaluation Plan'!L90</x:f>
        <x:v>Additional transfer — Additional held-out state + category (closed)</x:v>
      </x:c>
      <x:c r="M90" s="8" t="n">
        <x:f>'Evaluation Plan'!M90</x:f>
        <x:v>29</x:v>
      </x:c>
      <x:c r="N90" s="7" t="str">
        <x:f>'Evaluation Plan'!N90</x:f>
        <x:v>Build the listed same-category discrimination scene; both category instances must remain present.</x:v>
      </x:c>
      <x:c r="O90" s="7" t="str">
        <x:f>'Evaluation Plan'!O90</x:f>
        <x:v>Unpaired primary-transfer coverage. Category and state are both present in the prompt, matching the training prompt structure.</x:v>
      </x:c>
      <x:c r="P90" s="7" t="str">
        <x:f>IF('Evaluation Plan'!P90=0,"",'Evaluation Plan'!P90)</x:f>
      </x:c>
    </x:row>
    <x:row r="91" ht="58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Move the closed brown cup into the bowl.</x:v>
      </x:c>
      <x:c r="D91" s="7" t="str">
        <x:f>'Evaluation Plan'!D91</x:f>
        <x:v>P1 brown cup B (C, UD) [TARGET]; P2 brown cup A (O, UD) [STATE COMPETITOR]; P3 white cup B (C, UD)</x:v>
      </x:c>
      <x:c r="E91" s="8" t="str">
        <x:f>IF('Evaluation Plan'!H91="Exact-scene opposite-state contrast",'Evaluation Plan'!E91,IF('Evaluation Plan'!H91="Language robustness",'Evaluation Plan'!E91,IF('Evaluation Plan'!H91="Matched manipulation control",'Evaluation Plan'!E91,IF('Evaluation Plan'!H91="Black-cup held-out-state composition",'Evaluation Plan'!E91,""))))</x:f>
      </x:c>
      <x:c r="F91" s="8" t="str">
        <x:f>'Evaluation Plan'!F91</x:f>
        <x:v>brown cup B</x:v>
      </x:c>
      <x:c r="G91" s="7"/>
      <x:c r="H91" s="8" t="str">
        <x:f>'Evaluation Plan'!H91</x:f>
        <x:v>Concept/compositional transfer</x:v>
      </x:c>
      <x:c r="I91" s="8" t="str">
        <x:f>'Evaluation Plan'!I91</x:f>
        <x:v>SR-X10</x:v>
      </x:c>
      <x:c r="J91" s="8" t="str">
        <x:f>'Evaluation Plan'!J91</x:f>
        <x:v>closed</x:v>
      </x:c>
      <x:c r="K91" s="8" t="n">
        <x:f>'Evaluation Plan'!K91</x:f>
        <x:v>3</x:v>
      </x:c>
      <x:c r="L91" s="8" t="str">
        <x:f>'Evaluation Plan'!L91</x:f>
        <x:v>Additional transfer — Additional held-out state + category (closed)</x:v>
      </x:c>
      <x:c r="M91" s="8" t="n">
        <x:f>'Evaluation Plan'!M91</x:f>
        <x:v>30</x:v>
      </x:c>
      <x:c r="N91" s="7" t="str">
        <x:f>'Evaluation Plan'!N91</x:f>
        <x:v>Build the listed same-category discrimination scene; both category instances must remain present.</x:v>
      </x:c>
      <x:c r="O91" s="7" t="str">
        <x:f>'Evaluation Plan'!O91</x:f>
        <x:v>Unpaired primary-transfer coverage. Category and state are both present in the prompt, matching the training prompt structure.</x:v>
      </x:c>
      <x:c r="P91" s="7" t="str">
        <x:f>IF('Evaluation Plan'!P91=0,"",'Evaluation Plan'!P91)</x:f>
      </x:c>
    </x:row>
    <x:row r="92" ht="58" customHeight="1">
      <x:c r="A92" s="8" t="str">
        <x:v>Not collected</x:v>
      </x:c>
      <x:c r="B92" s="8" t="n">
        <x:f>'Evaluation Plan'!B92</x:f>
        <x:v>90</x:v>
      </x:c>
      <x:c r="C92" s="7" t="str">
        <x:f>'Evaluation Plan'!C92</x:f>
        <x:v>Place the open glass spice container in the bowl.</x:v>
      </x:c>
      <x:c r="D92" s="7" t="str">
        <x:f>'Evaluation Plan'!D92</x:f>
        <x:v>P1 white cup A (O, UR); P2 glass spice container A (O, UR) [TARGET]; P3 glass spice container B (C, UR) [STATE COMPETITOR]</x:v>
      </x:c>
      <x:c r="E92" s="8" t="str">
        <x:f>IF('Evaluation Plan'!H92="Exact-scene opposite-state contrast",'Evaluation Plan'!E92,IF('Evaluation Plan'!H92="Language robustness",'Evaluation Plan'!E92,IF('Evaluation Plan'!H92="Matched manipulation control",'Evaluation Plan'!E92,IF('Evaluation Plan'!H92="Black-cup held-out-state composition",'Evaluation Plan'!E92,""))))</x:f>
      </x:c>
      <x:c r="F92" s="8" t="str">
        <x:f>'Evaluation Plan'!F92</x:f>
        <x:v>glass spice container A</x:v>
      </x:c>
      <x:c r="G92" s="7"/>
      <x:c r="H92" s="8" t="str">
        <x:f>'Evaluation Plan'!H92</x:f>
        <x:v>Concept/compositional transfer</x:v>
      </x:c>
      <x:c r="I92" s="8" t="str">
        <x:f>'Evaluation Plan'!I92</x:f>
        <x:v>SR-X11</x:v>
      </x:c>
      <x:c r="J92" s="8" t="str">
        <x:f>'Evaluation Plan'!J92</x:f>
        <x:v>open</x:v>
      </x:c>
      <x:c r="K92" s="8" t="n">
        <x:f>'Evaluation Plan'!K92</x:f>
        <x:v>3</x:v>
      </x:c>
      <x:c r="L92" s="8" t="str">
        <x:f>'Evaluation Plan'!L92</x:f>
        <x:v>Additional transfer — Additional seen-state scene transfer (open)</x:v>
      </x:c>
      <x:c r="M92" s="8" t="n">
        <x:f>'Evaluation Plan'!M92</x:f>
        <x:v>31</x:v>
      </x:c>
      <x:c r="N92" s="7" t="str">
        <x:f>'Evaluation Plan'!N92</x:f>
        <x:v>Build the listed same-category discrimination scene; both category instances must remain present.</x:v>
      </x:c>
      <x:c r="O92" s="7" t="str">
        <x:f>'Evaluation Plan'!O92</x:f>
        <x:v>Unpaired primary-transfer coverage. Category and state are both present in the prompt, matching the training prompt structure.</x:v>
      </x:c>
      <x:c r="P92" s="7" t="str">
        <x:f>IF('Evaluation Plan'!P92=0,"",'Evaluation Plan'!P92)</x:f>
      </x:c>
    </x:row>
    <x:row r="93" ht="58" customHeight="1">
      <x:c r="A93" s="8" t="str">
        <x:v>Not collected</x:v>
      </x:c>
      <x:c r="B93" s="8" t="n">
        <x:f>'Evaluation Plan'!B93</x:f>
        <x:v>91</x:v>
      </x:c>
      <x:c r="C93" s="7" t="str">
        <x:f>'Evaluation Plan'!C93</x:f>
        <x:v>Put the open white cup in the bowl.</x:v>
      </x:c>
      <x:c r="D93" s="7" t="str">
        <x:f>'Evaluation Plan'!D93</x:f>
        <x:v>P1 white cup A (C, UD) [STATE COMPETITOR]; P2 yellow-white striped cup A (O, UR); P3 brown cup B (C, UD); P4 white cup B (O, UD) [TARGET]</x:v>
      </x:c>
      <x:c r="E93" s="8" t="str">
        <x:f>IF('Evaluation Plan'!H93="Exact-scene opposite-state contrast",'Evaluation Plan'!E93,IF('Evaluation Plan'!H93="Language robustness",'Evaluation Plan'!E93,IF('Evaluation Plan'!H93="Matched manipulation control",'Evaluation Plan'!E93,IF('Evaluation Plan'!H93="Black-cup held-out-state composition",'Evaluation Plan'!E93,""))))</x:f>
      </x:c>
      <x:c r="F93" s="8" t="str">
        <x:f>'Evaluation Plan'!F93</x:f>
        <x:v>white cup B</x:v>
      </x:c>
      <x:c r="G93" s="7"/>
      <x:c r="H93" s="8" t="str">
        <x:f>'Evaluation Plan'!H93</x:f>
        <x:v>Concept/compositional transfer</x:v>
      </x:c>
      <x:c r="I93" s="8" t="str">
        <x:f>'Evaluation Plan'!I93</x:f>
        <x:v>SR-X12</x:v>
      </x:c>
      <x:c r="J93" s="8" t="str">
        <x:f>'Evaluation Plan'!J93</x:f>
        <x:v>open</x:v>
      </x:c>
      <x:c r="K93" s="8" t="n">
        <x:f>'Evaluation Plan'!K93</x:f>
        <x:v>4</x:v>
      </x:c>
      <x:c r="L93" s="8" t="str">
        <x:f>'Evaluation Plan'!L93</x:f>
        <x:v>Additional transfer — Additional seen-state scene transfer (open)</x:v>
      </x:c>
      <x:c r="M93" s="8" t="n">
        <x:f>'Evaluation Plan'!M93</x:f>
        <x:v>32</x:v>
      </x:c>
      <x:c r="N93" s="7" t="str">
        <x:f>'Evaluation Plan'!N93</x:f>
        <x:v>Build the listed same-category discrimination scene; both category instances must remain present.</x:v>
      </x:c>
      <x:c r="O93" s="7" t="str">
        <x:f>'Evaluation Plan'!O93</x:f>
        <x:v>Unpaired primary-transfer coverage. Category and state are both present in the prompt, matching the training prompt structure.</x:v>
      </x:c>
      <x:c r="P93" s="7" t="str">
        <x:f>IF('Evaluation Plan'!P93=0,"",'Evaluation Plan'!P93)</x:f>
      </x:c>
    </x:row>
    <x:row r="94" ht="58" customHeight="1">
      <x:c r="A94" s="8" t="str">
        <x:v>Not collected</x:v>
      </x:c>
      <x:c r="B94" s="8" t="n">
        <x:f>'Evaluation Plan'!B94</x:f>
        <x:v>92</x:v>
      </x:c>
      <x:c r="C94" s="7" t="str">
        <x:f>'Evaluation Plan'!C94</x:f>
        <x:v>Move the open yellow-white striped cup into the bowl.</x:v>
      </x:c>
      <x:c r="D94" s="7" t="str">
        <x:f>'Evaluation Plan'!D94</x:f>
        <x:v>P1 yellow-white striped cup A (O, UR) [TARGET]; P2 yellow-white striped cup B (C, UR) [STATE COMPETITOR]; P3 white cup A (O, UR); P4 brown cup B (C, UD)</x:v>
      </x:c>
      <x:c r="E94" s="8" t="str">
        <x:f>IF('Evaluation Plan'!H94="Exact-scene opposite-state contrast",'Evaluation Plan'!E94,IF('Evaluation Plan'!H94="Language robustness",'Evaluation Plan'!E94,IF('Evaluation Plan'!H94="Matched manipulation control",'Evaluation Plan'!E94,IF('Evaluation Plan'!H94="Black-cup held-out-state composition",'Evaluation Plan'!E94,""))))</x:f>
      </x:c>
      <x:c r="F94" s="8" t="str">
        <x:f>'Evaluation Plan'!F94</x:f>
        <x:v>yellow-white striped cup A</x:v>
      </x:c>
      <x:c r="G94" s="7"/>
      <x:c r="H94" s="8" t="str">
        <x:f>'Evaluation Plan'!H94</x:f>
        <x:v>Concept/compositional transfer</x:v>
      </x:c>
      <x:c r="I94" s="8" t="str">
        <x:f>'Evaluation Plan'!I94</x:f>
        <x:v>SR-X13</x:v>
      </x:c>
      <x:c r="J94" s="8" t="str">
        <x:f>'Evaluation Plan'!J94</x:f>
        <x:v>open</x:v>
      </x:c>
      <x:c r="K94" s="8" t="n">
        <x:f>'Evaluation Plan'!K94</x:f>
        <x:v>4</x:v>
      </x:c>
      <x:c r="L94" s="8" t="str">
        <x:f>'Evaluation Plan'!L94</x:f>
        <x:v>Additional transfer — Additional seen-state scene transfer (open)</x:v>
      </x:c>
      <x:c r="M94" s="8" t="n">
        <x:f>'Evaluation Plan'!M94</x:f>
        <x:v>33</x:v>
      </x:c>
      <x:c r="N94" s="7" t="str">
        <x:f>'Evaluation Plan'!N94</x:f>
        <x:v>Build the listed same-category discrimination scene; both category instances must remain present.</x:v>
      </x:c>
      <x:c r="O94" s="7" t="str">
        <x:f>'Evaluation Plan'!O94</x:f>
        <x:v>Unpaired primary-transfer coverage. Category and state are both present in the prompt, matching the training prompt structure.</x:v>
      </x:c>
      <x:c r="P94" s="7" t="str">
        <x:f>IF('Evaluation Plan'!P94=0,"",'Evaluation Plan'!P94)</x:f>
      </x:c>
    </x:row>
    <x:row r="95" ht="58" customHeight="1">
      <x:c r="A95" s="8" t="str">
        <x:v>Not collected</x:v>
      </x:c>
      <x:c r="B95" s="8" t="n">
        <x:f>'Evaluation Plan'!B95</x:f>
        <x:v>93</x:v>
      </x:c>
      <x:c r="C95" s="7" t="str">
        <x:f>'Evaluation Plan'!C95</x:f>
        <x:v>Place the open brown cup in the bowl.</x:v>
      </x:c>
      <x:c r="D95" s="7" t="str">
        <x:f>'Evaluation Plan'!D95</x:f>
        <x:v>P1 white cup B (C, UD); P2 brown cup B (O, UD) [TARGET]; P3 brown cup A (C, UD) [STATE COMPETITOR]; P4 yellow-white striped cup A (O, UR)</x:v>
      </x:c>
      <x:c r="E95" s="8" t="str">
        <x:f>IF('Evaluation Plan'!H95="Exact-scene opposite-state contrast",'Evaluation Plan'!E95,IF('Evaluation Plan'!H95="Language robustness",'Evaluation Plan'!E95,IF('Evaluation Plan'!H95="Matched manipulation control",'Evaluation Plan'!E95,IF('Evaluation Plan'!H95="Black-cup held-out-state composition",'Evaluation Plan'!E95,""))))</x:f>
      </x:c>
      <x:c r="F95" s="8" t="str">
        <x:f>'Evaluation Plan'!F95</x:f>
        <x:v>brown cup B</x:v>
      </x:c>
      <x:c r="G95" s="7"/>
      <x:c r="H95" s="8" t="str">
        <x:f>'Evaluation Plan'!H95</x:f>
        <x:v>Concept/compositional transfer</x:v>
      </x:c>
      <x:c r="I95" s="8" t="str">
        <x:f>'Evaluation Plan'!I95</x:f>
        <x:v>SR-X14</x:v>
      </x:c>
      <x:c r="J95" s="8" t="str">
        <x:f>'Evaluation Plan'!J95</x:f>
        <x:v>open</x:v>
      </x:c>
      <x:c r="K95" s="8" t="n">
        <x:f>'Evaluation Plan'!K95</x:f>
        <x:v>4</x:v>
      </x:c>
      <x:c r="L95" s="8" t="str">
        <x:f>'Evaluation Plan'!L95</x:f>
        <x:v>Additional transfer — Additional seen-state scene transfer (open)</x:v>
      </x:c>
      <x:c r="M95" s="8" t="n">
        <x:f>'Evaluation Plan'!M95</x:f>
        <x:v>34</x:v>
      </x:c>
      <x:c r="N95" s="7" t="str">
        <x:f>'Evaluation Plan'!N95</x:f>
        <x:v>Build the listed same-category discrimination scene; both category instances must remain present.</x:v>
      </x:c>
      <x:c r="O95" s="7" t="str">
        <x:f>'Evaluation Plan'!O95</x:f>
        <x:v>Unpaired primary-transfer coverage. Category and state are both present in the prompt, matching the training prompt structure.</x:v>
      </x:c>
      <x:c r="P95" s="7" t="str">
        <x:f>IF('Evaluation Plan'!P95=0,"",'Evaluation Plan'!P95)</x:f>
      </x:c>
    </x:row>
    <x:row r="96" ht="58" customHeight="1">
      <x:c r="A96" s="8" t="str">
        <x:v>Not collected</x:v>
      </x:c>
      <x:c r="B96" s="8" t="n">
        <x:f>'Evaluation Plan'!B96</x:f>
        <x:v>94</x:v>
      </x:c>
      <x:c r="C96" s="7" t="str">
        <x:f>'Evaluation Plan'!C96</x:f>
        <x:v>Put the open glass spice container in the bowl.</x:v>
      </x:c>
      <x:c r="D96" s="7" t="str">
        <x:f>'Evaluation Plan'!D96</x:f>
        <x:v>P1 white cup A (O, UR); P2 yellow-white striped cup B (C, UD); P3 glass spice container A (O, UR) [TARGET]; P4 glass spice container B (C, UR) [STATE COMPETITOR]</x:v>
      </x:c>
      <x:c r="E96" s="8" t="str">
        <x:f>IF('Evaluation Plan'!H96="Exact-scene opposite-state contrast",'Evaluation Plan'!E96,IF('Evaluation Plan'!H96="Language robustness",'Evaluation Plan'!E96,IF('Evaluation Plan'!H96="Matched manipulation control",'Evaluation Plan'!E96,IF('Evaluation Plan'!H96="Black-cup held-out-state composition",'Evaluation Plan'!E96,""))))</x:f>
      </x:c>
      <x:c r="F96" s="8" t="str">
        <x:f>'Evaluation Plan'!F96</x:f>
        <x:v>glass spice container A</x:v>
      </x:c>
      <x:c r="G96" s="7"/>
      <x:c r="H96" s="8" t="str">
        <x:f>'Evaluation Plan'!H96</x:f>
        <x:v>Concept/compositional transfer</x:v>
      </x:c>
      <x:c r="I96" s="8" t="str">
        <x:f>'Evaluation Plan'!I96</x:f>
        <x:v>SR-X15</x:v>
      </x:c>
      <x:c r="J96" s="8" t="str">
        <x:f>'Evaluation Plan'!J96</x:f>
        <x:v>open</x:v>
      </x:c>
      <x:c r="K96" s="8" t="n">
        <x:f>'Evaluation Plan'!K96</x:f>
        <x:v>4</x:v>
      </x:c>
      <x:c r="L96" s="8" t="str">
        <x:f>'Evaluation Plan'!L96</x:f>
        <x:v>Additional transfer — Additional seen-state scene transfer (open)</x:v>
      </x:c>
      <x:c r="M96" s="8" t="n">
        <x:f>'Evaluation Plan'!M96</x:f>
        <x:v>35</x:v>
      </x:c>
      <x:c r="N96" s="7" t="str">
        <x:f>'Evaluation Plan'!N96</x:f>
        <x:v>Build the listed same-category discrimination scene; both category instances must remain present.</x:v>
      </x:c>
      <x:c r="O96" s="7" t="str">
        <x:f>'Evaluation Plan'!O96</x:f>
        <x:v>Unpaired primary-transfer coverage. Category and state are both present in the prompt, matching the training prompt structure.</x:v>
      </x:c>
      <x:c r="P96" s="7" t="str">
        <x:f>IF('Evaluation Plan'!P96=0,"",'Evaluation Plan'!P96)</x:f>
      </x:c>
    </x:row>
    <x:row r="97" ht="58" customHeight="1">
      <x:c r="A97" s="8" t="str">
        <x:v>Not collected</x:v>
      </x:c>
      <x:c r="B97" s="8" t="n">
        <x:f>'Evaluation Plan'!B97</x:f>
        <x:v>95</x:v>
      </x:c>
      <x:c r="C97" s="7" t="str">
        <x:f>'Evaluation Plan'!C97</x:f>
        <x:v>Move the upright white cup into the bowl.</x:v>
      </x:c>
      <x:c r="D97" s="7" t="str">
        <x:f>'Evaluation Plan'!D97</x:f>
        <x:v>P1 white cup A (C, UD) [STATE COMPETITOR]; P2 yellow-white striped cup A (O, UR); P3 brown cup B (C, UD); P4 white cup B (C, UR) [TARGET]</x:v>
      </x:c>
      <x:c r="E97" s="8" t="str">
        <x:f>IF('Evaluation Plan'!H97="Exact-scene opposite-state contrast",'Evaluation Plan'!E97,IF('Evaluation Plan'!H97="Language robustness",'Evaluation Plan'!E97,IF('Evaluation Plan'!H97="Matched manipulation control",'Evaluation Plan'!E97,IF('Evaluation Plan'!H97="Black-cup held-out-state composition",'Evaluation Plan'!E97,""))))</x:f>
      </x:c>
      <x:c r="F97" s="8" t="str">
        <x:f>'Evaluation Plan'!F97</x:f>
        <x:v>white cup B</x:v>
      </x:c>
      <x:c r="G97" s="7"/>
      <x:c r="H97" s="8" t="str">
        <x:f>'Evaluation Plan'!H97</x:f>
        <x:v>Concept/compositional transfer</x:v>
      </x:c>
      <x:c r="I97" s="8" t="str">
        <x:f>'Evaluation Plan'!I97</x:f>
        <x:v>SR-X16</x:v>
      </x:c>
      <x:c r="J97" s="8" t="str">
        <x:f>'Evaluation Plan'!J97</x:f>
        <x:v>upright</x:v>
      </x:c>
      <x:c r="K97" s="8" t="n">
        <x:f>'Evaluation Plan'!K97</x:f>
        <x:v>4</x:v>
      </x:c>
      <x:c r="L97" s="8" t="str">
        <x:f>'Evaluation Plan'!L97</x:f>
        <x:v>Additional transfer — Additional held-out state + category (upright)</x:v>
      </x:c>
      <x:c r="M97" s="8" t="n">
        <x:f>'Evaluation Plan'!M97</x:f>
        <x:v>36</x:v>
      </x:c>
      <x:c r="N97" s="7" t="str">
        <x:f>'Evaluation Plan'!N97</x:f>
        <x:v>Build the listed same-category discrimination scene; both category instances must remain present.</x:v>
      </x:c>
      <x:c r="O97" s="7" t="str">
        <x:f>'Evaluation Plan'!O97</x:f>
        <x:v>Unpaired primary-transfer coverage. Category and state are both present in the prompt, matching the training prompt structure.</x:v>
      </x:c>
      <x:c r="P97" s="7" t="str">
        <x:f>IF('Evaluation Plan'!P97=0,"",'Evaluation Plan'!P97)</x:f>
      </x:c>
    </x:row>
    <x:row r="98" ht="58" customHeight="1">
      <x:c r="A98" s="8" t="str">
        <x:v>Not collected</x:v>
      </x:c>
      <x:c r="B98" s="8" t="n">
        <x:f>'Evaluation Plan'!B98</x:f>
        <x:v>96</x:v>
      </x:c>
      <x:c r="C98" s="7" t="str">
        <x:f>'Evaluation Plan'!C98</x:f>
        <x:v>Place the upright yellow-white striped cup in the bowl.</x:v>
      </x:c>
      <x:c r="D98" s="7" t="str">
        <x:f>'Evaluation Plan'!D98</x:f>
        <x:v>P1 yellow-white striped cup A (O, UR) [TARGET]; P2 yellow-white striped cup B (O, UD) [STATE COMPETITOR]; P3 white cup A (O, UR); P4 brown cup B (C, UD)</x:v>
      </x:c>
      <x:c r="E98" s="8" t="str">
        <x:f>IF('Evaluation Plan'!H98="Exact-scene opposite-state contrast",'Evaluation Plan'!E98,IF('Evaluation Plan'!H98="Language robustness",'Evaluation Plan'!E98,IF('Evaluation Plan'!H98="Matched manipulation control",'Evaluation Plan'!E98,IF('Evaluation Plan'!H98="Black-cup held-out-state composition",'Evaluation Plan'!E98,""))))</x:f>
      </x:c>
      <x:c r="F98" s="8" t="str">
        <x:f>'Evaluation Plan'!F98</x:f>
        <x:v>yellow-white striped cup A</x:v>
      </x:c>
      <x:c r="G98" s="7"/>
      <x:c r="H98" s="8" t="str">
        <x:f>'Evaluation Plan'!H98</x:f>
        <x:v>Concept/compositional transfer</x:v>
      </x:c>
      <x:c r="I98" s="8" t="str">
        <x:f>'Evaluation Plan'!I98</x:f>
        <x:v>SR-X17</x:v>
      </x:c>
      <x:c r="J98" s="8" t="str">
        <x:f>'Evaluation Plan'!J98</x:f>
        <x:v>upright</x:v>
      </x:c>
      <x:c r="K98" s="8" t="n">
        <x:f>'Evaluation Plan'!K98</x:f>
        <x:v>4</x:v>
      </x:c>
      <x:c r="L98" s="8" t="str">
        <x:f>'Evaluation Plan'!L98</x:f>
        <x:v>Additional transfer — Additional held-out state + category (upright)</x:v>
      </x:c>
      <x:c r="M98" s="8" t="n">
        <x:f>'Evaluation Plan'!M98</x:f>
        <x:v>37</x:v>
      </x:c>
      <x:c r="N98" s="7" t="str">
        <x:f>'Evaluation Plan'!N98</x:f>
        <x:v>Build the listed same-category discrimination scene; both category instances must remain present.</x:v>
      </x:c>
      <x:c r="O98" s="7" t="str">
        <x:f>'Evaluation Plan'!O98</x:f>
        <x:v>Unpaired primary-transfer coverage. Category and state are both present in the prompt, matching the training prompt structure.</x:v>
      </x:c>
      <x:c r="P98" s="7" t="str">
        <x:f>IF('Evaluation Plan'!P98=0,"",'Evaluation Plan'!P98)</x:f>
      </x:c>
    </x:row>
    <x:row r="99" ht="58" customHeight="1">
      <x:c r="A99" s="8" t="str">
        <x:v>Not collected</x:v>
      </x:c>
      <x:c r="B99" s="8" t="n">
        <x:f>'Evaluation Plan'!B99</x:f>
        <x:v>97</x:v>
      </x:c>
      <x:c r="C99" s="7" t="str">
        <x:f>'Evaluation Plan'!C99</x:f>
        <x:v>Put the upright brown cup in the bowl.</x:v>
      </x:c>
      <x:c r="D99" s="7" t="str">
        <x:f>'Evaluation Plan'!D99</x:f>
        <x:v>P1 white cup B (C, UD); P2 brown cup B (C, UR) [TARGET]; P3 brown cup A (C, UD) [STATE COMPETITOR]; P4 yellow-white striped cup A (O, UR)</x:v>
      </x:c>
      <x:c r="E99" s="8" t="str">
        <x:f>IF('Evaluation Plan'!H99="Exact-scene opposite-state contrast",'Evaluation Plan'!E99,IF('Evaluation Plan'!H99="Language robustness",'Evaluation Plan'!E99,IF('Evaluation Plan'!H99="Matched manipulation control",'Evaluation Plan'!E99,IF('Evaluation Plan'!H99="Black-cup held-out-state composition",'Evaluation Plan'!E99,""))))</x:f>
      </x:c>
      <x:c r="F99" s="8" t="str">
        <x:f>'Evaluation Plan'!F99</x:f>
        <x:v>brown cup B</x:v>
      </x:c>
      <x:c r="G99" s="7"/>
      <x:c r="H99" s="8" t="str">
        <x:f>'Evaluation Plan'!H99</x:f>
        <x:v>Concept/compositional transfer</x:v>
      </x:c>
      <x:c r="I99" s="8" t="str">
        <x:f>'Evaluation Plan'!I99</x:f>
        <x:v>SR-X18</x:v>
      </x:c>
      <x:c r="J99" s="8" t="str">
        <x:f>'Evaluation Plan'!J99</x:f>
        <x:v>upright</x:v>
      </x:c>
      <x:c r="K99" s="8" t="n">
        <x:f>'Evaluation Plan'!K99</x:f>
        <x:v>4</x:v>
      </x:c>
      <x:c r="L99" s="8" t="str">
        <x:f>'Evaluation Plan'!L99</x:f>
        <x:v>Additional transfer — Additional held-out state + category (upright)</x:v>
      </x:c>
      <x:c r="M99" s="8" t="n">
        <x:f>'Evaluation Plan'!M99</x:f>
        <x:v>38</x:v>
      </x:c>
      <x:c r="N99" s="7" t="str">
        <x:f>'Evaluation Plan'!N99</x:f>
        <x:v>Build the listed same-category discrimination scene; both category instances must remain present.</x:v>
      </x:c>
      <x:c r="O99" s="7" t="str">
        <x:f>'Evaluation Plan'!O99</x:f>
        <x:v>Unpaired primary-transfer coverage. Category and state are both present in the prompt, matching the training prompt structure.</x:v>
      </x:c>
      <x:c r="P99" s="7" t="str">
        <x:f>IF('Evaluation Plan'!P99=0,"",'Evaluation Plan'!P99)</x:f>
      </x:c>
    </x:row>
    <x:row r="100" ht="58" customHeight="1">
      <x:c r="A100" s="8" t="str">
        <x:v>Not collected</x:v>
      </x:c>
      <x:c r="B100" s="8" t="n">
        <x:f>'Evaluation Plan'!B100</x:f>
        <x:v>98</x:v>
      </x:c>
      <x:c r="C100" s="7" t="str">
        <x:f>'Evaluation Plan'!C100</x:f>
        <x:v>Move the upright glass spice container into the bowl.</x:v>
      </x:c>
      <x:c r="D100" s="7" t="str">
        <x:f>'Evaluation Plan'!D100</x:f>
        <x:v>P1 white cup A (O, UR); P2 yellow-white striped cup B (C, UD); P3 glass spice container A (O, UR) [TARGET]; P4 glass spice container B (O, UD) [STATE COMPETITOR]</x:v>
      </x:c>
      <x:c r="E100" s="8" t="str">
        <x:f>IF('Evaluation Plan'!H100="Exact-scene opposite-state contrast",'Evaluation Plan'!E100,IF('Evaluation Plan'!H100="Language robustness",'Evaluation Plan'!E100,IF('Evaluation Plan'!H100="Matched manipulation control",'Evaluation Plan'!E100,IF('Evaluation Plan'!H100="Black-cup held-out-state composition",'Evaluation Plan'!E100,""))))</x:f>
      </x:c>
      <x:c r="F100" s="8" t="str">
        <x:f>'Evaluation Plan'!F100</x:f>
        <x:v>glass spice container A</x:v>
      </x:c>
      <x:c r="G100" s="7"/>
      <x:c r="H100" s="8" t="str">
        <x:f>'Evaluation Plan'!H100</x:f>
        <x:v>Concept/compositional transfer</x:v>
      </x:c>
      <x:c r="I100" s="8" t="str">
        <x:f>'Evaluation Plan'!I100</x:f>
        <x:v>SR-X19</x:v>
      </x:c>
      <x:c r="J100" s="8" t="str">
        <x:f>'Evaluation Plan'!J100</x:f>
        <x:v>upright</x:v>
      </x:c>
      <x:c r="K100" s="8" t="n">
        <x:f>'Evaluation Plan'!K100</x:f>
        <x:v>4</x:v>
      </x:c>
      <x:c r="L100" s="8" t="str">
        <x:f>'Evaluation Plan'!L100</x:f>
        <x:v>Additional transfer — Additional held-out state + category (upright)</x:v>
      </x:c>
      <x:c r="M100" s="8" t="n">
        <x:f>'Evaluation Plan'!M100</x:f>
        <x:v>39</x:v>
      </x:c>
      <x:c r="N100" s="7" t="str">
        <x:f>'Evaluation Plan'!N100</x:f>
        <x:v>Build the listed same-category discrimination scene; both category instances must remain present.</x:v>
      </x:c>
      <x:c r="O100" s="7" t="str">
        <x:f>'Evaluation Plan'!O100</x:f>
        <x:v>Unpaired primary-transfer coverage. Category and state are both present in the prompt, matching the training prompt structure.</x:v>
      </x:c>
      <x:c r="P100" s="7" t="str">
        <x:f>IF('Evaluation Plan'!P100=0,"",'Evaluation Plan'!P100)</x:f>
      </x:c>
    </x:row>
    <x:row r="101" ht="58" customHeight="1">
      <x:c r="A101" s="8" t="str">
        <x:v>Not collected</x:v>
      </x:c>
      <x:c r="B101" s="8" t="n">
        <x:f>'Evaluation Plan'!B101</x:f>
        <x:v>99</x:v>
      </x:c>
      <x:c r="C101" s="7" t="str">
        <x:f>'Evaluation Plan'!C101</x:f>
        <x:v>Place the upright white cup in the bowl.</x:v>
      </x:c>
      <x:c r="D101" s="7" t="str">
        <x:f>'Evaluation Plan'!D101</x:f>
        <x:v>P1 white cup A (C, UD) [STATE COMPETITOR]; P2 yellow-white striped cup A (O, UR); P3 brown cup B (C, UD); P4 white cup B (C, UR) [TARGET]</x:v>
      </x:c>
      <x:c r="E101" s="8" t="str">
        <x:f>IF('Evaluation Plan'!H101="Exact-scene opposite-state contrast",'Evaluation Plan'!E101,IF('Evaluation Plan'!H101="Language robustness",'Evaluation Plan'!E101,IF('Evaluation Plan'!H101="Matched manipulation control",'Evaluation Plan'!E101,IF('Evaluation Plan'!H101="Black-cup held-out-state composition",'Evaluation Plan'!E101,""))))</x:f>
      </x:c>
      <x:c r="F101" s="8" t="str">
        <x:f>'Evaluation Plan'!F101</x:f>
        <x:v>white cup B</x:v>
      </x:c>
      <x:c r="G101" s="7"/>
      <x:c r="H101" s="8" t="str">
        <x:f>'Evaluation Plan'!H101</x:f>
        <x:v>Concept/compositional transfer</x:v>
      </x:c>
      <x:c r="I101" s="8" t="str">
        <x:f>'Evaluation Plan'!I101</x:f>
        <x:v>SR-X20</x:v>
      </x:c>
      <x:c r="J101" s="8" t="str">
        <x:f>'Evaluation Plan'!J101</x:f>
        <x:v>upright</x:v>
      </x:c>
      <x:c r="K101" s="8" t="n">
        <x:f>'Evaluation Plan'!K101</x:f>
        <x:v>4</x:v>
      </x:c>
      <x:c r="L101" s="8" t="str">
        <x:f>'Evaluation Plan'!L101</x:f>
        <x:v>Additional transfer — Additional held-out state + category (upright)</x:v>
      </x:c>
      <x:c r="M101" s="8" t="n">
        <x:f>'Evaluation Plan'!M101</x:f>
        <x:v>40</x:v>
      </x:c>
      <x:c r="N101" s="7" t="str">
        <x:f>'Evaluation Plan'!N101</x:f>
        <x:v>Build the listed same-category discrimination scene; both category instances must remain present.</x:v>
      </x:c>
      <x:c r="O101" s="7" t="str">
        <x:f>'Evaluation Plan'!O101</x:f>
        <x:v>Unpaired primary-transfer coverage. Category and state are both present in the prompt, matching the training prompt structure.</x:v>
      </x:c>
      <x:c r="P101" s="7" t="str">
        <x:f>IF('Evaluation Plan'!P101=0,"",'Evaluation Plan'!P101)</x:f>
      </x:c>
    </x:row>
    <x:row r="102" ht="58" customHeight="1">
      <x:c r="A102" s="8" t="str">
        <x:v>Not collected</x:v>
      </x:c>
      <x:c r="B102" s="8" t="n">
        <x:f>'Evaluation Plan'!B102</x:f>
        <x:v>100</x:v>
      </x:c>
      <x:c r="C102" s="7" t="str">
        <x:f>'Evaluation Plan'!C102</x:f>
        <x:v>Put the upside-down yellow-white striped cup in the bowl.</x:v>
      </x:c>
      <x:c r="D102" s="7" t="str">
        <x:f>'Evaluation Plan'!D102</x:f>
        <x:v>P1 yellow-white striped cup A (O, UD) [TARGET]; P2 yellow-white striped cup B (O, UR) [STATE COMPETITOR]; P3 white cup A (O, UR); P4 brown cup B (C, UD)</x:v>
      </x:c>
      <x:c r="E102" s="8" t="str">
        <x:f>IF('Evaluation Plan'!H102="Exact-scene opposite-state contrast",'Evaluation Plan'!E102,IF('Evaluation Plan'!H102="Language robustness",'Evaluation Plan'!E102,IF('Evaluation Plan'!H102="Matched manipulation control",'Evaluation Plan'!E102,IF('Evaluation Plan'!H102="Black-cup held-out-state composition",'Evaluation Plan'!E102,""))))</x:f>
      </x:c>
      <x:c r="F102" s="8" t="str">
        <x:f>'Evaluation Plan'!F102</x:f>
        <x:v>yellow-white striped cup A</x:v>
      </x:c>
      <x:c r="G102" s="7"/>
      <x:c r="H102" s="8" t="str">
        <x:f>'Evaluation Plan'!H102</x:f>
        <x:v>Concept/compositional transfer</x:v>
      </x:c>
      <x:c r="I102" s="8" t="str">
        <x:f>'Evaluation Plan'!I102</x:f>
        <x:v>SR-X21</x:v>
      </x:c>
      <x:c r="J102" s="8" t="str">
        <x:f>'Evaluation Plan'!J102</x:f>
        <x:v>upside-down</x:v>
      </x:c>
      <x:c r="K102" s="8" t="n">
        <x:f>'Evaluation Plan'!K102</x:f>
        <x:v>4</x:v>
      </x:c>
      <x:c r="L102" s="8" t="str">
        <x:f>'Evaluation Plan'!L102</x:f>
        <x:v>Additional transfer — Additional seen-state scene transfer (upside-down)</x:v>
      </x:c>
      <x:c r="M102" s="8" t="n">
        <x:f>'Evaluation Plan'!M102</x:f>
        <x:v>41</x:v>
      </x:c>
      <x:c r="N102" s="7" t="str">
        <x:f>'Evaluation Plan'!N102</x:f>
        <x:v>Build the listed same-category discrimination scene; both category instances must remain present.</x:v>
      </x:c>
      <x:c r="O102" s="7" t="str">
        <x:f>'Evaluation Plan'!O102</x:f>
        <x:v>Unpaired primary-transfer coverage. Category and state are both present in the prompt, matching the training prompt structure.</x:v>
      </x:c>
      <x:c r="P102" s="7" t="str">
        <x:f>IF('Evaluation Plan'!P102=0,"",'Evaluation Plan'!P102)</x:f>
      </x:c>
    </x:row>
    <x:row r="103" ht="58" customHeight="1">
      <x:c r="A103" s="8" t="str">
        <x:v>Not collected</x:v>
      </x:c>
      <x:c r="B103" s="8" t="n">
        <x:f>'Evaluation Plan'!B103</x:f>
        <x:v>101</x:v>
      </x:c>
      <x:c r="C103" s="7" t="str">
        <x:f>'Evaluation Plan'!C103</x:f>
        <x:v>Move the upside-down brown cup into the bowl.</x:v>
      </x:c>
      <x:c r="D103" s="7" t="str">
        <x:f>'Evaluation Plan'!D103</x:f>
        <x:v>P1 white cup B (C, UD); P2 brown cup B (C, UD) [TARGET]; P3 brown cup A (C, UR) [STATE COMPETITOR]; P4 yellow-white striped cup A (O, UR)</x:v>
      </x:c>
      <x:c r="E103" s="8" t="str">
        <x:f>IF('Evaluation Plan'!H103="Exact-scene opposite-state contrast",'Evaluation Plan'!E103,IF('Evaluation Plan'!H103="Language robustness",'Evaluation Plan'!E103,IF('Evaluation Plan'!H103="Matched manipulation control",'Evaluation Plan'!E103,IF('Evaluation Plan'!H103="Black-cup held-out-state composition",'Evaluation Plan'!E103,""))))</x:f>
      </x:c>
      <x:c r="F103" s="8" t="str">
        <x:f>'Evaluation Plan'!F103</x:f>
        <x:v>brown cup B</x:v>
      </x:c>
      <x:c r="G103" s="7"/>
      <x:c r="H103" s="8" t="str">
        <x:f>'Evaluation Plan'!H103</x:f>
        <x:v>Concept/compositional transfer</x:v>
      </x:c>
      <x:c r="I103" s="8" t="str">
        <x:f>'Evaluation Plan'!I103</x:f>
        <x:v>SR-X22</x:v>
      </x:c>
      <x:c r="J103" s="8" t="str">
        <x:f>'Evaluation Plan'!J103</x:f>
        <x:v>upside-down</x:v>
      </x:c>
      <x:c r="K103" s="8" t="n">
        <x:f>'Evaluation Plan'!K103</x:f>
        <x:v>4</x:v>
      </x:c>
      <x:c r="L103" s="8" t="str">
        <x:f>'Evaluation Plan'!L103</x:f>
        <x:v>Additional transfer — Additional seen-state scene transfer (upside-down)</x:v>
      </x:c>
      <x:c r="M103" s="8" t="n">
        <x:f>'Evaluation Plan'!M103</x:f>
        <x:v>42</x:v>
      </x:c>
      <x:c r="N103" s="7" t="str">
        <x:f>'Evaluation Plan'!N103</x:f>
        <x:v>Build the listed same-category discrimination scene; both category instances must remain present.</x:v>
      </x:c>
      <x:c r="O103" s="7" t="str">
        <x:f>'Evaluation Plan'!O103</x:f>
        <x:v>Unpaired primary-transfer coverage. Category and state are both present in the prompt, matching the training prompt structure.</x:v>
      </x:c>
      <x:c r="P103" s="7" t="str">
        <x:f>IF('Evaluation Plan'!P103=0,"",'Evaluation Plan'!P103)</x:f>
      </x:c>
    </x:row>
    <x:row r="104" ht="58" customHeight="1">
      <x:c r="A104" s="8" t="str">
        <x:v>Not collected</x:v>
      </x:c>
      <x:c r="B104" s="8" t="n">
        <x:f>'Evaluation Plan'!B104</x:f>
        <x:v>102</x:v>
      </x:c>
      <x:c r="C104" s="7" t="str">
        <x:f>'Evaluation Plan'!C104</x:f>
        <x:v>Put the upright can in the bowl.</x:v>
      </x:c>
      <x:c r="D104" s="7" t="str">
        <x:f>'Evaluation Plan'!D104</x:f>
        <x:v>P1 crushed Coke can (UR) [TARGET]; P2 crushed Pepsi can (UD) [STATE COMPETITOR]; P3 white cup A (O, UD); P4 yellow-white striped cup B (C, UD)</x:v>
      </x:c>
      <x:c r="E104" s="8" t="str">
        <x:f>IF('Evaluation Plan'!H104="Exact-scene opposite-state contrast",'Evaluation Plan'!E104,IF('Evaluation Plan'!H104="Language robustness",'Evaluation Plan'!E104,IF('Evaluation Plan'!H104="Matched manipulation control",'Evaluation Plan'!E104,IF('Evaluation Plan'!H104="Black-cup held-out-state composition",'Evaluation Plan'!E104,""))))</x:f>
      </x:c>
      <x:c r="F104" s="8" t="str">
        <x:f>'Evaluation Plan'!F104</x:f>
        <x:v>crushed Coke can</x:v>
      </x:c>
      <x:c r="G104" s="7"/>
      <x:c r="H104" s="8" t="str">
        <x:f>'Evaluation Plan'!H104</x:f>
        <x:v>Concept/compositional transfer</x:v>
      </x:c>
      <x:c r="I104" s="8" t="str">
        <x:f>'Evaluation Plan'!I104</x:f>
        <x:v>SR-CAN01</x:v>
      </x:c>
      <x:c r="J104" s="8" t="str">
        <x:f>'Evaluation Plan'!J104</x:f>
        <x:v>upright</x:v>
      </x:c>
      <x:c r="K104" s="8" t="n">
        <x:f>'Evaluation Plan'!K104</x:f>
        <x:v>4</x:v>
      </x:c>
      <x:c r="L104" s="8" t="str">
        <x:f>'Evaluation Plan'!L104</x:f>
        <x:v>Additional transfer — Cross-task object transfer — can orientation</x:v>
      </x:c>
      <x:c r="M104" s="8" t="n">
        <x:f>'Evaluation Plan'!M104</x:f>
        <x:v>43</x:v>
      </x:c>
      <x:c r="N104" s="7" t="str">
        <x:f>'Evaluation Plan'!N104</x:f>
        <x:v>Use both crushed cans. One must be upright and the other upside-down; the state word, not brand, selects the target.</x:v>
      </x:c>
      <x:c r="O104" s="7" t="str">
        <x:f>'Evaluation Plan'!O104</x:f>
        <x:v>Cans were seen elsewhere in training, so these test cross-task composition rather than global visual novelty. Never assign open/closed to cans.</x:v>
      </x:c>
      <x:c r="P104" s="7" t="str">
        <x:f>IF('Evaluation Plan'!P104=0,"",'Evaluation Plan'!P104)</x:f>
      </x:c>
    </x:row>
    <x:row r="105" ht="58" customHeight="1">
      <x:c r="A105" s="8" t="str">
        <x:v>Not collected</x:v>
      </x:c>
      <x:c r="B105" s="8" t="n">
        <x:f>'Evaluation Plan'!B105</x:f>
        <x:v>103</x:v>
      </x:c>
      <x:c r="C105" s="7" t="str">
        <x:f>'Evaluation Plan'!C105</x:f>
        <x:v>Move the upright can into the bowl.</x:v>
      </x:c>
      <x:c r="D105" s="7" t="str">
        <x:f>'Evaluation Plan'!D105</x:f>
        <x:v>P1 yellow-white striped cup B (C, UD); P2 crushed Pepsi can (UR) [TARGET]; P3 crushed Coke can (UD) [STATE COMPETITOR]; P4 brown cup A (O, UD)</x:v>
      </x:c>
      <x:c r="E105" s="8" t="str">
        <x:f>IF('Evaluation Plan'!H105="Exact-scene opposite-state contrast",'Evaluation Plan'!E105,IF('Evaluation Plan'!H105="Language robustness",'Evaluation Plan'!E105,IF('Evaluation Plan'!H105="Matched manipulation control",'Evaluation Plan'!E105,IF('Evaluation Plan'!H105="Black-cup held-out-state composition",'Evaluation Plan'!E105,""))))</x:f>
      </x:c>
      <x:c r="F105" s="8" t="str">
        <x:f>'Evaluation Plan'!F105</x:f>
        <x:v>crushed Pepsi can</x:v>
      </x:c>
      <x:c r="G105" s="7"/>
      <x:c r="H105" s="8" t="str">
        <x:f>'Evaluation Plan'!H105</x:f>
        <x:v>Concept/compositional transfer</x:v>
      </x:c>
      <x:c r="I105" s="8" t="str">
        <x:f>'Evaluation Plan'!I105</x:f>
        <x:v>SR-CAN02</x:v>
      </x:c>
      <x:c r="J105" s="8" t="str">
        <x:f>'Evaluation Plan'!J105</x:f>
        <x:v>upright</x:v>
      </x:c>
      <x:c r="K105" s="8" t="n">
        <x:f>'Evaluation Plan'!K105</x:f>
        <x:v>4</x:v>
      </x:c>
      <x:c r="L105" s="8" t="str">
        <x:f>'Evaluation Plan'!L105</x:f>
        <x:v>Additional transfer — Cross-task object transfer — can orientation</x:v>
      </x:c>
      <x:c r="M105" s="8" t="n">
        <x:f>'Evaluation Plan'!M105</x:f>
        <x:v>44</x:v>
      </x:c>
      <x:c r="N105" s="7" t="str">
        <x:f>'Evaluation Plan'!N105</x:f>
        <x:v>Use both crushed cans. One must be upright and the other upside-down; the state word, not brand, selects the target.</x:v>
      </x:c>
      <x:c r="O105" s="7" t="str">
        <x:f>'Evaluation Plan'!O105</x:f>
        <x:v>Cans were seen elsewhere in training, so these test cross-task composition rather than global visual novelty. Never assign open/closed to cans.</x:v>
      </x:c>
      <x:c r="P105" s="7" t="str">
        <x:f>IF('Evaluation Plan'!P105=0,"",'Evaluation Plan'!P105)</x:f>
      </x:c>
    </x:row>
    <x:row r="106" ht="58" customHeight="1">
      <x:c r="A106" s="8" t="str">
        <x:v>Not collected</x:v>
      </x:c>
      <x:c r="B106" s="8" t="n">
        <x:f>'Evaluation Plan'!B106</x:f>
        <x:v>104</x:v>
      </x:c>
      <x:c r="C106" s="7" t="str">
        <x:f>'Evaluation Plan'!C106</x:f>
        <x:v>Place the upright can in the bowl.</x:v>
      </x:c>
      <x:c r="D106" s="7" t="str">
        <x:f>'Evaluation Plan'!D106</x:f>
        <x:v>P1 brown cup A (O, UD); P2 glass spice container B (C, UD); P3 crushed Coke can (UR) [TARGET]; P4 crushed Pepsi can (UD) [STATE COMPETITOR]</x:v>
      </x:c>
      <x:c r="E106" s="8" t="str">
        <x:f>IF('Evaluation Plan'!H106="Exact-scene opposite-state contrast",'Evaluation Plan'!E106,IF('Evaluation Plan'!H106="Language robustness",'Evaluation Plan'!E106,IF('Evaluation Plan'!H106="Matched manipulation control",'Evaluation Plan'!E106,IF('Evaluation Plan'!H106="Black-cup held-out-state composition",'Evaluation Plan'!E106,""))))</x:f>
      </x:c>
      <x:c r="F106" s="8" t="str">
        <x:f>'Evaluation Plan'!F106</x:f>
        <x:v>crushed Coke can</x:v>
      </x:c>
      <x:c r="G106" s="7"/>
      <x:c r="H106" s="8" t="str">
        <x:f>'Evaluation Plan'!H106</x:f>
        <x:v>Concept/compositional transfer</x:v>
      </x:c>
      <x:c r="I106" s="8" t="str">
        <x:f>'Evaluation Plan'!I106</x:f>
        <x:v>SR-CAN03</x:v>
      </x:c>
      <x:c r="J106" s="8" t="str">
        <x:f>'Evaluation Plan'!J106</x:f>
        <x:v>upright</x:v>
      </x:c>
      <x:c r="K106" s="8" t="n">
        <x:f>'Evaluation Plan'!K106</x:f>
        <x:v>4</x:v>
      </x:c>
      <x:c r="L106" s="8" t="str">
        <x:f>'Evaluation Plan'!L106</x:f>
        <x:v>Additional transfer — Cross-task object transfer — can orientation</x:v>
      </x:c>
      <x:c r="M106" s="8" t="n">
        <x:f>'Evaluation Plan'!M106</x:f>
        <x:v>45</x:v>
      </x:c>
      <x:c r="N106" s="7" t="str">
        <x:f>'Evaluation Plan'!N106</x:f>
        <x:v>Use both crushed cans. One must be upright and the other upside-down; the state word, not brand, selects the target.</x:v>
      </x:c>
      <x:c r="O106" s="7" t="str">
        <x:f>'Evaluation Plan'!O106</x:f>
        <x:v>Cans were seen elsewhere in training, so these test cross-task composition rather than global visual novelty. Never assign open/closed to cans.</x:v>
      </x:c>
      <x:c r="P106" s="7" t="str">
        <x:f>IF('Evaluation Plan'!P106=0,"",'Evaluation Plan'!P106)</x:f>
      </x:c>
    </x:row>
    <x:row r="107" ht="58" customHeight="1">
      <x:c r="A107" s="8" t="str">
        <x:v>Not collected</x:v>
      </x:c>
      <x:c r="B107" s="8" t="n">
        <x:f>'Evaluation Plan'!B107</x:f>
        <x:v>105</x:v>
      </x:c>
      <x:c r="C107" s="7" t="str">
        <x:f>'Evaluation Plan'!C107</x:f>
        <x:v>Put the upright can in the bowl.</x:v>
      </x:c>
      <x:c r="D107" s="7" t="str">
        <x:f>'Evaluation Plan'!D107</x:f>
        <x:v>P1 crushed Coke can (UD) [STATE COMPETITOR]; P2 glass spice container A (O, UD); P3 white cup B (C, UD); P4 crushed Pepsi can (UR) [TARGET]</x:v>
      </x:c>
      <x:c r="E107" s="8" t="str">
        <x:f>IF('Evaluation Plan'!H107="Exact-scene opposite-state contrast",'Evaluation Plan'!E107,IF('Evaluation Plan'!H107="Language robustness",'Evaluation Plan'!E107,IF('Evaluation Plan'!H107="Matched manipulation control",'Evaluation Plan'!E107,IF('Evaluation Plan'!H107="Black-cup held-out-state composition",'Evaluation Plan'!E107,""))))</x:f>
      </x:c>
      <x:c r="F107" s="8" t="str">
        <x:f>'Evaluation Plan'!F107</x:f>
        <x:v>crushed Pepsi can</x:v>
      </x:c>
      <x:c r="G107" s="7"/>
      <x:c r="H107" s="8" t="str">
        <x:f>'Evaluation Plan'!H107</x:f>
        <x:v>Concept/compositional transfer</x:v>
      </x:c>
      <x:c r="I107" s="8" t="str">
        <x:f>'Evaluation Plan'!I107</x:f>
        <x:v>SR-CAN04</x:v>
      </x:c>
      <x:c r="J107" s="8" t="str">
        <x:f>'Evaluation Plan'!J107</x:f>
        <x:v>upright</x:v>
      </x:c>
      <x:c r="K107" s="8" t="n">
        <x:f>'Evaluation Plan'!K107</x:f>
        <x:v>4</x:v>
      </x:c>
      <x:c r="L107" s="8" t="str">
        <x:f>'Evaluation Plan'!L107</x:f>
        <x:v>Additional transfer — Cross-task object transfer — can orientation</x:v>
      </x:c>
      <x:c r="M107" s="8" t="n">
        <x:f>'Evaluation Plan'!M107</x:f>
        <x:v>46</x:v>
      </x:c>
      <x:c r="N107" s="7" t="str">
        <x:f>'Evaluation Plan'!N107</x:f>
        <x:v>Use both crushed cans. One must be upright and the other upside-down; the state word, not brand, selects the target.</x:v>
      </x:c>
      <x:c r="O107" s="7" t="str">
        <x:f>'Evaluation Plan'!O107</x:f>
        <x:v>Cans were seen elsewhere in training, so these test cross-task composition rather than global visual novelty. Never assign open/closed to cans.</x:v>
      </x:c>
      <x:c r="P107" s="7" t="str">
        <x:f>IF('Evaluation Plan'!P107=0,"",'Evaluation Plan'!P107)</x:f>
      </x:c>
    </x:row>
    <x:row r="108" ht="58" customHeight="1">
      <x:c r="A108" s="8" t="str">
        <x:v>Not collected</x:v>
      </x:c>
      <x:c r="B108" s="8" t="n">
        <x:f>'Evaluation Plan'!B108</x:f>
        <x:v>106</x:v>
      </x:c>
      <x:c r="C108" s="7" t="str">
        <x:f>'Evaluation Plan'!C108</x:f>
        <x:v>Move the upright can into the bowl.</x:v>
      </x:c>
      <x:c r="D108" s="7" t="str">
        <x:f>'Evaluation Plan'!D108</x:f>
        <x:v>P1 crushed Coke can (UR) [TARGET]; P2 crushed Pepsi can (UD) [STATE COMPETITOR]; P3 white cup A (O, UD); P4 yellow-white striped cup B (C, UD)</x:v>
      </x:c>
      <x:c r="E108" s="8" t="str">
        <x:f>IF('Evaluation Plan'!H108="Exact-scene opposite-state contrast",'Evaluation Plan'!E108,IF('Evaluation Plan'!H108="Language robustness",'Evaluation Plan'!E108,IF('Evaluation Plan'!H108="Matched manipulation control",'Evaluation Plan'!E108,IF('Evaluation Plan'!H108="Black-cup held-out-state composition",'Evaluation Plan'!E108,""))))</x:f>
      </x:c>
      <x:c r="F108" s="8" t="str">
        <x:f>'Evaluation Plan'!F108</x:f>
        <x:v>crushed Coke can</x:v>
      </x:c>
      <x:c r="G108" s="7"/>
      <x:c r="H108" s="8" t="str">
        <x:f>'Evaluation Plan'!H108</x:f>
        <x:v>Concept/compositional transfer</x:v>
      </x:c>
      <x:c r="I108" s="8" t="str">
        <x:f>'Evaluation Plan'!I108</x:f>
        <x:v>SR-CAN05</x:v>
      </x:c>
      <x:c r="J108" s="8" t="str">
        <x:f>'Evaluation Plan'!J108</x:f>
        <x:v>upright</x:v>
      </x:c>
      <x:c r="K108" s="8" t="n">
        <x:f>'Evaluation Plan'!K108</x:f>
        <x:v>4</x:v>
      </x:c>
      <x:c r="L108" s="8" t="str">
        <x:f>'Evaluation Plan'!L108</x:f>
        <x:v>Additional transfer — Cross-task object transfer — can orientation</x:v>
      </x:c>
      <x:c r="M108" s="8" t="n">
        <x:f>'Evaluation Plan'!M108</x:f>
        <x:v>47</x:v>
      </x:c>
      <x:c r="N108" s="7" t="str">
        <x:f>'Evaluation Plan'!N108</x:f>
        <x:v>Use both crushed cans. One must be upright and the other upside-down; the state word, not brand, selects the target.</x:v>
      </x:c>
      <x:c r="O108" s="7" t="str">
        <x:f>'Evaluation Plan'!O108</x:f>
        <x:v>Cans were seen elsewhere in training, so these test cross-task composition rather than global visual novelty. Never assign open/closed to cans.</x:v>
      </x:c>
      <x:c r="P108" s="7" t="str">
        <x:f>IF('Evaluation Plan'!P108=0,"",'Evaluation Plan'!P108)</x:f>
      </x:c>
    </x:row>
    <x:row r="109" ht="58" customHeight="1">
      <x:c r="A109" s="8" t="str">
        <x:v>Not collected</x:v>
      </x:c>
      <x:c r="B109" s="8" t="n">
        <x:f>'Evaluation Plan'!B109</x:f>
        <x:v>107</x:v>
      </x:c>
      <x:c r="C109" s="7" t="str">
        <x:f>'Evaluation Plan'!C109</x:f>
        <x:v>Place the upside-down can in the bowl.</x:v>
      </x:c>
      <x:c r="D109" s="7" t="str">
        <x:f>'Evaluation Plan'!D109</x:f>
        <x:v>P1 yellow-white striped cup B (C, UR); P2 crushed Pepsi can (UD) [TARGET]; P3 crushed Coke can (UR) [STATE COMPETITOR]; P4 brown cup A (O, UR)</x:v>
      </x:c>
      <x:c r="E109" s="8" t="str">
        <x:f>IF('Evaluation Plan'!H109="Exact-scene opposite-state contrast",'Evaluation Plan'!E109,IF('Evaluation Plan'!H109="Language robustness",'Evaluation Plan'!E109,IF('Evaluation Plan'!H109="Matched manipulation control",'Evaluation Plan'!E109,IF('Evaluation Plan'!H109="Black-cup held-out-state composition",'Evaluation Plan'!E109,""))))</x:f>
      </x:c>
      <x:c r="F109" s="8" t="str">
        <x:f>'Evaluation Plan'!F109</x:f>
        <x:v>crushed Pepsi can</x:v>
      </x:c>
      <x:c r="G109" s="7"/>
      <x:c r="H109" s="8" t="str">
        <x:f>'Evaluation Plan'!H109</x:f>
        <x:v>Concept/compositional transfer</x:v>
      </x:c>
      <x:c r="I109" s="8" t="str">
        <x:f>'Evaluation Plan'!I109</x:f>
        <x:v>SR-CAN06</x:v>
      </x:c>
      <x:c r="J109" s="8" t="str">
        <x:f>'Evaluation Plan'!J109</x:f>
        <x:v>upside-down</x:v>
      </x:c>
      <x:c r="K109" s="8" t="n">
        <x:f>'Evaluation Plan'!K109</x:f>
        <x:v>4</x:v>
      </x:c>
      <x:c r="L109" s="8" t="str">
        <x:f>'Evaluation Plan'!L109</x:f>
        <x:v>Additional transfer — Cross-task object transfer — can orientation</x:v>
      </x:c>
      <x:c r="M109" s="8" t="n">
        <x:f>'Evaluation Plan'!M109</x:f>
        <x:v>48</x:v>
      </x:c>
      <x:c r="N109" s="7" t="str">
        <x:f>'Evaluation Plan'!N109</x:f>
        <x:v>Use both crushed cans. One must be upright and the other upside-down; the state word, not brand, selects the target.</x:v>
      </x:c>
      <x:c r="O109" s="7" t="str">
        <x:f>'Evaluation Plan'!O109</x:f>
        <x:v>Cans were seen elsewhere in training, so these test cross-task composition rather than global visual novelty. Never assign open/closed to cans.</x:v>
      </x:c>
      <x:c r="P109" s="7" t="str">
        <x:f>IF('Evaluation Plan'!P109=0,"",'Evaluation Plan'!P109)</x:f>
      </x:c>
    </x:row>
    <x:row r="110" ht="58" customHeight="1">
      <x:c r="A110" s="8" t="str">
        <x:v>Not collected</x:v>
      </x:c>
      <x:c r="B110" s="8" t="n">
        <x:f>'Evaluation Plan'!B110</x:f>
        <x:v>108</x:v>
      </x:c>
      <x:c r="C110" s="7" t="str">
        <x:f>'Evaluation Plan'!C110</x:f>
        <x:v>Put the upside-down can in the bowl.</x:v>
      </x:c>
      <x:c r="D110" s="7" t="str">
        <x:f>'Evaluation Plan'!D110</x:f>
        <x:v>P1 brown cup A (O, UR); P2 glass spice container B (C, UR); P3 crushed Coke can (UD) [TARGET]; P4 crushed Pepsi can (UR) [STATE COMPETITOR]</x:v>
      </x:c>
      <x:c r="E110" s="8" t="str">
        <x:f>IF('Evaluation Plan'!H110="Exact-scene opposite-state contrast",'Evaluation Plan'!E110,IF('Evaluation Plan'!H110="Language robustness",'Evaluation Plan'!E110,IF('Evaluation Plan'!H110="Matched manipulation control",'Evaluation Plan'!E110,IF('Evaluation Plan'!H110="Black-cup held-out-state composition",'Evaluation Plan'!E110,""))))</x:f>
      </x:c>
      <x:c r="F110" s="8" t="str">
        <x:f>'Evaluation Plan'!F110</x:f>
        <x:v>crushed Coke can</x:v>
      </x:c>
      <x:c r="G110" s="7"/>
      <x:c r="H110" s="8" t="str">
        <x:f>'Evaluation Plan'!H110</x:f>
        <x:v>Concept/compositional transfer</x:v>
      </x:c>
      <x:c r="I110" s="8" t="str">
        <x:f>'Evaluation Plan'!I110</x:f>
        <x:v>SR-CAN07</x:v>
      </x:c>
      <x:c r="J110" s="8" t="str">
        <x:f>'Evaluation Plan'!J110</x:f>
        <x:v>upside-down</x:v>
      </x:c>
      <x:c r="K110" s="8" t="n">
        <x:f>'Evaluation Plan'!K110</x:f>
        <x:v>4</x:v>
      </x:c>
      <x:c r="L110" s="8" t="str">
        <x:f>'Evaluation Plan'!L110</x:f>
        <x:v>Additional transfer — Cross-task object transfer — can orientation</x:v>
      </x:c>
      <x:c r="M110" s="8" t="n">
        <x:f>'Evaluation Plan'!M110</x:f>
        <x:v>49</x:v>
      </x:c>
      <x:c r="N110" s="7" t="str">
        <x:f>'Evaluation Plan'!N110</x:f>
        <x:v>Use both crushed cans. One must be upright and the other upside-down; the state word, not brand, selects the target.</x:v>
      </x:c>
      <x:c r="O110" s="7" t="str">
        <x:f>'Evaluation Plan'!O110</x:f>
        <x:v>Cans were seen elsewhere in training, so these test cross-task composition rather than global visual novelty. Never assign open/closed to cans.</x:v>
      </x:c>
      <x:c r="P110" s="7" t="str">
        <x:f>IF('Evaluation Plan'!P110=0,"",'Evaluation Plan'!P110)</x:f>
      </x:c>
    </x:row>
    <x:row r="111" ht="58" customHeight="1">
      <x:c r="A111" s="8" t="str">
        <x:v>Not collected</x:v>
      </x:c>
      <x:c r="B111" s="8" t="n">
        <x:f>'Evaluation Plan'!B111</x:f>
        <x:v>109</x:v>
      </x:c>
      <x:c r="C111" s="7" t="str">
        <x:f>'Evaluation Plan'!C111</x:f>
        <x:v>Move the upside-down can into the bowl.</x:v>
      </x:c>
      <x:c r="D111" s="7" t="str">
        <x:f>'Evaluation Plan'!D111</x:f>
        <x:v>P1 crushed Coke can (UR) [STATE COMPETITOR]; P2 glass spice container A (O, UR); P3 white cup B (C, UR); P4 crushed Pepsi can (UD) [TARGET]</x:v>
      </x:c>
      <x:c r="E111" s="8" t="str">
        <x:f>IF('Evaluation Plan'!H111="Exact-scene opposite-state contrast",'Evaluation Plan'!E111,IF('Evaluation Plan'!H111="Language robustness",'Evaluation Plan'!E111,IF('Evaluation Plan'!H111="Matched manipulation control",'Evaluation Plan'!E111,IF('Evaluation Plan'!H111="Black-cup held-out-state composition",'Evaluation Plan'!E111,""))))</x:f>
      </x:c>
      <x:c r="F111" s="8" t="str">
        <x:f>'Evaluation Plan'!F111</x:f>
        <x:v>crushed Pepsi can</x:v>
      </x:c>
      <x:c r="G111" s="7"/>
      <x:c r="H111" s="8" t="str">
        <x:f>'Evaluation Plan'!H111</x:f>
        <x:v>Concept/compositional transfer</x:v>
      </x:c>
      <x:c r="I111" s="8" t="str">
        <x:f>'Evaluation Plan'!I111</x:f>
        <x:v>SR-CAN08</x:v>
      </x:c>
      <x:c r="J111" s="8" t="str">
        <x:f>'Evaluation Plan'!J111</x:f>
        <x:v>upside-down</x:v>
      </x:c>
      <x:c r="K111" s="8" t="n">
        <x:f>'Evaluation Plan'!K111</x:f>
        <x:v>4</x:v>
      </x:c>
      <x:c r="L111" s="8" t="str">
        <x:f>'Evaluation Plan'!L111</x:f>
        <x:v>Additional transfer — Cross-task object transfer — can orientation</x:v>
      </x:c>
      <x:c r="M111" s="8" t="n">
        <x:f>'Evaluation Plan'!M111</x:f>
        <x:v>50</x:v>
      </x:c>
      <x:c r="N111" s="7" t="str">
        <x:f>'Evaluation Plan'!N111</x:f>
        <x:v>Use both crushed cans. One must be upright and the other upside-down; the state word, not brand, selects the target.</x:v>
      </x:c>
      <x:c r="O111" s="7" t="str">
        <x:f>'Evaluation Plan'!O111</x:f>
        <x:v>Cans were seen elsewhere in training, so these test cross-task composition rather than global visual novelty. Never assign open/closed to cans.</x:v>
      </x:c>
      <x:c r="P111" s="7" t="str">
        <x:f>IF('Evaluation Plan'!P111=0,"",'Evaluation Plan'!P111)</x:f>
      </x:c>
    </x:row>
    <x:row r="112" ht="58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Place the open black cup in the bowl.</x:v>
      </x:c>
      <x:c r="D112" s="10" t="str">
        <x:f>'Evaluation Plan'!D112</x:f>
        <x:v>P1 black cup A (O, UR) [TARGET]; P2 black cup B (C, UR) [STATE COMPETITOR]; P3 brown cup A (O, UR)</x:v>
      </x:c>
      <x:c r="E112" s="9" t="str">
        <x:f>IF('Evaluation Plan'!H112="Exact-scene opposite-state contrast",'Evaluation Plan'!E112,IF('Evaluation Plan'!H112="Language robustness",'Evaluation Plan'!E112,IF('Evaluation Plan'!H112="Matched manipulation control",'Evaluation Plan'!E112,IF('Evaluation Plan'!H112="Black-cup held-out-state composition",'Evaluation Plan'!E112,""))))</x:f>
      </x:c>
      <x:c r="F112" s="9" t="str">
        <x:f>'Evaluation Plan'!F112</x:f>
        <x:v>black cup A</x:v>
      </x:c>
      <x:c r="G112" s="10"/>
      <x:c r="H112" s="9" t="str">
        <x:f>'Evaluation Plan'!H112</x:f>
        <x:v>Black-cup seen-state baseline</x:v>
      </x:c>
      <x:c r="I112" s="9" t="str">
        <x:f>'Evaluation Plan'!I112</x:f>
        <x:v>SR-BLK01</x:v>
      </x:c>
      <x:c r="J112" s="9" t="str">
        <x:f>'Evaluation Plan'!J112</x:f>
        <x:v>open</x:v>
      </x:c>
      <x:c r="K112" s="9" t="n">
        <x:f>'Evaluation Plan'!K112</x:f>
        <x:v>3</x:v>
      </x:c>
      <x:c r="L112" s="9" t="str">
        <x:f>'Evaluation Plan'!L112</x:f>
        <x:v>1 — Seen-state black-cup baseline — Globally unseen category + seen state word (open)</x:v>
      </x:c>
      <x:c r="M112" s="9" t="n">
        <x:f>'Evaluation Plan'!M112</x:f>
        <x:v>51</x:v>
      </x:c>
      <x:c r="N112" s="10" t="str">
        <x:f>'Evaluation Plan'!N112</x:f>
        <x:v>Build the listed scene with black cups A and B in opposite states on the queried axis.</x:v>
      </x:c>
      <x:c r="O112" s="10" t="str">
        <x:f>'Evaluation Plan'!O112</x:f>
        <x:v>The black category is novel, but the state word was explicitly seen during fine-tuning. Two black cups force state-based selection.</x:v>
      </x:c>
      <x:c r="P112" s="10" t="str">
        <x:f>IF('Evaluation Plan'!P112=0,"",'Evaluation Plan'!P112)</x:f>
      </x:c>
    </x:row>
    <x:row r="113" ht="58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Place the closed black cup in the bowl.</x:v>
      </x:c>
      <x:c r="D113" s="7" t="str">
        <x:f>'Evaluation Plan'!D113</x:f>
        <x:v>P1 black cup A (O, UR) [STATE COMPETITOR]; P2 black cup B (C, UR) [TARGET]; P3 brown cup A (O, UR)</x:v>
      </x:c>
      <x:c r="E113" s="8" t="n">
        <x:f>IF('Evaluation Plan'!H113="Exact-scene opposite-state contrast",'Evaluation Plan'!E113,IF('Evaluation Plan'!H113="Language robustness",'Evaluation Plan'!E113,IF('Evaluation Plan'!H113="Matched manipulation control",'Evaluation Plan'!E113,IF('Evaluation Plan'!H113="Black-cup held-out-state composition",'Evaluation Plan'!E113,""))))</x:f>
        <x:v>110</x:v>
      </x:c>
      <x:c r="F113" s="8" t="str">
        <x:f>'Evaluation Plan'!F113</x:f>
        <x:v>black cup B</x:v>
      </x:c>
      <x:c r="G113" s="7"/>
      <x:c r="H113" s="8" t="str">
        <x:f>'Evaluation Plan'!H113</x:f>
        <x:v>Black-cup held-out-state composition</x:v>
      </x:c>
      <x:c r="I113" s="8" t="str">
        <x:f>'Evaluation Plan'!I113</x:f>
        <x:v>SR-BLK01</x:v>
      </x:c>
      <x:c r="J113" s="8" t="str">
        <x:f>'Evaluation Plan'!J113</x:f>
        <x:v>closed</x:v>
      </x:c>
      <x:c r="K113" s="8" t="n">
        <x:f>'Evaluation Plan'!K113</x:f>
        <x:v>3</x:v>
      </x:c>
      <x:c r="L113" s="8" t="str">
        <x:f>'Evaluation Plan'!L113</x:f>
        <x:v>2 — Held-out-state black-cup composition — Globally unseen category + held-out state word (closed)</x:v>
      </x:c>
      <x:c r="M113" s="8" t="n">
        <x:f>'Evaluation Plan'!M113</x:f>
        <x:v>51</x:v>
      </x:c>
      <x:c r="N113" s="7" t="str">
        <x:f>'Evaluation Plan'!N113</x:f>
        <x:v>Reset black cup A to its marked position. Do not alter any object or state; only change the prompt and expected target.</x:v>
      </x:c>
      <x:c r="O113" s="7" t="str">
        <x:f>'Evaluation Plan'!O113</x:f>
        <x:v>Exact-scene comparison against the preceding seen-state baseline. The target switches to the other matched black cup.</x:v>
      </x:c>
      <x:c r="P113" s="7" t="str">
        <x:f>IF('Evaluation Plan'!P113=0,"",'Evaluation Plan'!P113)</x:f>
      </x:c>
    </x:row>
    <x:row r="114" ht="58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Put the open black cup in the bowl.</x:v>
      </x:c>
      <x:c r="D114" s="10" t="str">
        <x:f>'Evaluation Plan'!D114</x:f>
        <x:v>P1 glass spice container B (C, UD); P2 black cup A (O, UD) [TARGET]; P3 black cup B (C, UD) [STATE COMPETITOR]; P4 white cup A (O, UR)</x:v>
      </x:c>
      <x:c r="E114" s="9" t="str">
        <x:f>IF('Evaluation Plan'!H114="Exact-scene opposite-state contrast",'Evaluation Plan'!E114,IF('Evaluation Plan'!H114="Language robustness",'Evaluation Plan'!E114,IF('Evaluation Plan'!H114="Matched manipulation control",'Evaluation Plan'!E114,IF('Evaluation Plan'!H114="Black-cup held-out-state composition",'Evaluation Plan'!E114,""))))</x:f>
      </x:c>
      <x:c r="F114" s="9" t="str">
        <x:f>'Evaluation Plan'!F114</x:f>
        <x:v>black cup A</x:v>
      </x:c>
      <x:c r="G114" s="10"/>
      <x:c r="H114" s="9" t="str">
        <x:f>'Evaluation Plan'!H114</x:f>
        <x:v>Black-cup seen-state baseline</x:v>
      </x:c>
      <x:c r="I114" s="9" t="str">
        <x:f>'Evaluation Plan'!I114</x:f>
        <x:v>SR-BLK02</x:v>
      </x:c>
      <x:c r="J114" s="9" t="str">
        <x:f>'Evaluation Plan'!J114</x:f>
        <x:v>open</x:v>
      </x:c>
      <x:c r="K114" s="9" t="n">
        <x:f>'Evaluation Plan'!K114</x:f>
        <x:v>4</x:v>
      </x:c>
      <x:c r="L114" s="9" t="str">
        <x:f>'Evaluation Plan'!L114</x:f>
        <x:v>1 — Seen-state black-cup baseline — Globally unseen category + seen state word (open)</x:v>
      </x:c>
      <x:c r="M114" s="9" t="n">
        <x:f>'Evaluation Plan'!M114</x:f>
        <x:v>52</x:v>
      </x:c>
      <x:c r="N114" s="10" t="str">
        <x:f>'Evaluation Plan'!N114</x:f>
        <x:v>Build the listed scene with black cups A and B in opposite states on the queried axis.</x:v>
      </x:c>
      <x:c r="O114" s="10" t="str">
        <x:f>'Evaluation Plan'!O114</x:f>
        <x:v>The black category is novel, but the state word was explicitly seen during fine-tuning. Two black cups force state-based selection.</x:v>
      </x:c>
      <x:c r="P114" s="10" t="str">
        <x:f>IF('Evaluation Plan'!P114=0,"",'Evaluation Plan'!P114)</x:f>
      </x:c>
    </x:row>
    <x:row r="115" ht="58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Put the closed black cup in the bowl.</x:v>
      </x:c>
      <x:c r="D115" s="7" t="str">
        <x:f>'Evaluation Plan'!D115</x:f>
        <x:v>P1 glass spice container B (C, UD); P2 black cup A (O, UD) [STATE COMPETITOR]; P3 black cup B (C, UD) [TARGET]; P4 white cup A (O, UR)</x:v>
      </x:c>
      <x:c r="E115" s="8" t="n">
        <x:f>IF('Evaluation Plan'!H115="Exact-scene opposite-state contrast",'Evaluation Plan'!E115,IF('Evaluation Plan'!H115="Language robustness",'Evaluation Plan'!E115,IF('Evaluation Plan'!H115="Matched manipulation control",'Evaluation Plan'!E115,IF('Evaluation Plan'!H115="Black-cup held-out-state composition",'Evaluation Plan'!E115,""))))</x:f>
        <x:v>112</x:v>
      </x:c>
      <x:c r="F115" s="8" t="str">
        <x:f>'Evaluation Plan'!F115</x:f>
        <x:v>black cup B</x:v>
      </x:c>
      <x:c r="G115" s="7"/>
      <x:c r="H115" s="8" t="str">
        <x:f>'Evaluation Plan'!H115</x:f>
        <x:v>Black-cup held-out-state composition</x:v>
      </x:c>
      <x:c r="I115" s="8" t="str">
        <x:f>'Evaluation Plan'!I115</x:f>
        <x:v>SR-BLK02</x:v>
      </x:c>
      <x:c r="J115" s="8" t="str">
        <x:f>'Evaluation Plan'!J115</x:f>
        <x:v>closed</x:v>
      </x:c>
      <x:c r="K115" s="8" t="n">
        <x:f>'Evaluation Plan'!K115</x:f>
        <x:v>4</x:v>
      </x:c>
      <x:c r="L115" s="8" t="str">
        <x:f>'Evaluation Plan'!L115</x:f>
        <x:v>2 — Held-out-state black-cup composition — Globally unseen category + held-out state word (closed)</x:v>
      </x:c>
      <x:c r="M115" s="8" t="n">
        <x:f>'Evaluation Plan'!M115</x:f>
        <x:v>52</x:v>
      </x:c>
      <x:c r="N115" s="7" t="str">
        <x:f>'Evaluation Plan'!N115</x:f>
        <x:v>Reset black cup A to its marked position. Do not alter any object or state; only change the prompt and expected target.</x:v>
      </x:c>
      <x:c r="O115" s="7" t="str">
        <x:f>'Evaluation Plan'!O115</x:f>
        <x:v>Exact-scene comparison against the preceding seen-state baseline. The target switches to the other matched black cup.</x:v>
      </x:c>
      <x:c r="P115" s="7" t="str">
        <x:f>IF('Evaluation Plan'!P115=0,"",'Evaluation Plan'!P115)</x:f>
      </x:c>
    </x:row>
    <x:row r="116" ht="58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Move the open black cup into the bowl.</x:v>
      </x:c>
      <x:c r="D116" s="10" t="str">
        <x:f>'Evaluation Plan'!D116</x:f>
        <x:v>P1 black cup B (C, UR) [STATE COMPETITOR]; P2 white cup B (C, UD); P3 black cup A (O, UR) [TARGET]</x:v>
      </x:c>
      <x:c r="E116" s="9" t="str">
        <x:f>IF('Evaluation Plan'!H116="Exact-scene opposite-state contrast",'Evaluation Plan'!E116,IF('Evaluation Plan'!H116="Language robustness",'Evaluation Plan'!E116,IF('Evaluation Plan'!H116="Matched manipulation control",'Evaluation Plan'!E116,IF('Evaluation Plan'!H116="Black-cup held-out-state composition",'Evaluation Plan'!E116,""))))</x:f>
      </x:c>
      <x:c r="F116" s="9" t="str">
        <x:f>'Evaluation Plan'!F116</x:f>
        <x:v>black cup A</x:v>
      </x:c>
      <x:c r="G116" s="10"/>
      <x:c r="H116" s="9" t="str">
        <x:f>'Evaluation Plan'!H116</x:f>
        <x:v>Black-cup seen-state baseline</x:v>
      </x:c>
      <x:c r="I116" s="9" t="str">
        <x:f>'Evaluation Plan'!I116</x:f>
        <x:v>SR-BLK03</x:v>
      </x:c>
      <x:c r="J116" s="9" t="str">
        <x:f>'Evaluation Plan'!J116</x:f>
        <x:v>open</x:v>
      </x:c>
      <x:c r="K116" s="9" t="n">
        <x:f>'Evaluation Plan'!K116</x:f>
        <x:v>3</x:v>
      </x:c>
      <x:c r="L116" s="9" t="str">
        <x:f>'Evaluation Plan'!L116</x:f>
        <x:v>1 — Seen-state black-cup baseline — Globally unseen category + seen state word (open)</x:v>
      </x:c>
      <x:c r="M116" s="9" t="n">
        <x:f>'Evaluation Plan'!M116</x:f>
        <x:v>53</x:v>
      </x:c>
      <x:c r="N116" s="10" t="str">
        <x:f>'Evaluation Plan'!N116</x:f>
        <x:v>Build the listed scene with black cups A and B in opposite states on the queried axis.</x:v>
      </x:c>
      <x:c r="O116" s="10" t="str">
        <x:f>'Evaluation Plan'!O116</x:f>
        <x:v>The black category is novel, but the state word was explicitly seen during fine-tuning. Two black cups force state-based selection.</x:v>
      </x:c>
      <x:c r="P116" s="10" t="str">
        <x:f>IF('Evaluation Plan'!P116=0,"",'Evaluation Plan'!P116)</x:f>
      </x:c>
    </x:row>
    <x:row r="117" ht="58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Move the closed black cup into the bowl.</x:v>
      </x:c>
      <x:c r="D117" s="7" t="str">
        <x:f>'Evaluation Plan'!D117</x:f>
        <x:v>P1 black cup B (C, UR) [TARGET]; P2 white cup B (C, UD); P3 black cup A (O, UR) [STATE COMPETITOR]</x:v>
      </x:c>
      <x:c r="E117" s="8" t="n">
        <x:f>IF('Evaluation Plan'!H117="Exact-scene opposite-state contrast",'Evaluation Plan'!E117,IF('Evaluation Plan'!H117="Language robustness",'Evaluation Plan'!E117,IF('Evaluation Plan'!H117="Matched manipulation control",'Evaluation Plan'!E117,IF('Evaluation Plan'!H117="Black-cup held-out-state composition",'Evaluation Plan'!E117,""))))</x:f>
        <x:v>114</x:v>
      </x:c>
      <x:c r="F117" s="8" t="str">
        <x:f>'Evaluation Plan'!F117</x:f>
        <x:v>black cup B</x:v>
      </x:c>
      <x:c r="G117" s="7"/>
      <x:c r="H117" s="8" t="str">
        <x:f>'Evaluation Plan'!H117</x:f>
        <x:v>Black-cup held-out-state composition</x:v>
      </x:c>
      <x:c r="I117" s="8" t="str">
        <x:f>'Evaluation Plan'!I117</x:f>
        <x:v>SR-BLK03</x:v>
      </x:c>
      <x:c r="J117" s="8" t="str">
        <x:f>'Evaluation Plan'!J117</x:f>
        <x:v>closed</x:v>
      </x:c>
      <x:c r="K117" s="8" t="n">
        <x:f>'Evaluation Plan'!K117</x:f>
        <x:v>3</x:v>
      </x:c>
      <x:c r="L117" s="8" t="str">
        <x:f>'Evaluation Plan'!L117</x:f>
        <x:v>2 — Held-out-state black-cup composition — Globally unseen category + held-out state word (closed)</x:v>
      </x:c>
      <x:c r="M117" s="8" t="n">
        <x:f>'Evaluation Plan'!M117</x:f>
        <x:v>53</x:v>
      </x:c>
      <x:c r="N117" s="7" t="str">
        <x:f>'Evaluation Plan'!N117</x:f>
        <x:v>Reset black cup A to its marked position. Do not alter any object or state; only change the prompt and expected target.</x:v>
      </x:c>
      <x:c r="O117" s="7" t="str">
        <x:f>'Evaluation Plan'!O117</x:f>
        <x:v>Exact-scene comparison against the preceding seen-state baseline. The target switches to the other matched black cup.</x:v>
      </x:c>
      <x:c r="P117" s="7" t="str">
        <x:f>IF('Evaluation Plan'!P117=0,"",'Evaluation Plan'!P117)</x:f>
      </x:c>
    </x:row>
    <x:row r="118" ht="58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Place the open black cup in the bowl.</x:v>
      </x:c>
      <x:c r="D118" s="10" t="str">
        <x:f>'Evaluation Plan'!D118</x:f>
        <x:v>P1 black cup B (C, UD) [STATE COMPETITOR]; P2 yellow-white striped cup A (O, UR); P3 brown cup B (C, UD); P4 black cup A (O, UD) [TARGET]</x:v>
      </x:c>
      <x:c r="E118" s="9" t="str">
        <x:f>IF('Evaluation Plan'!H118="Exact-scene opposite-state contrast",'Evaluation Plan'!E118,IF('Evaluation Plan'!H118="Language robustness",'Evaluation Plan'!E118,IF('Evaluation Plan'!H118="Matched manipulation control",'Evaluation Plan'!E118,IF('Evaluation Plan'!H118="Black-cup held-out-state composition",'Evaluation Plan'!E118,""))))</x:f>
      </x:c>
      <x:c r="F118" s="9" t="str">
        <x:f>'Evaluation Plan'!F118</x:f>
        <x:v>black cup A</x:v>
      </x:c>
      <x:c r="G118" s="10"/>
      <x:c r="H118" s="9" t="str">
        <x:f>'Evaluation Plan'!H118</x:f>
        <x:v>Black-cup seen-state baseline</x:v>
      </x:c>
      <x:c r="I118" s="9" t="str">
        <x:f>'Evaluation Plan'!I118</x:f>
        <x:v>SR-BLK04</x:v>
      </x:c>
      <x:c r="J118" s="9" t="str">
        <x:f>'Evaluation Plan'!J118</x:f>
        <x:v>open</x:v>
      </x:c>
      <x:c r="K118" s="9" t="n">
        <x:f>'Evaluation Plan'!K118</x:f>
        <x:v>4</x:v>
      </x:c>
      <x:c r="L118" s="9" t="str">
        <x:f>'Evaluation Plan'!L118</x:f>
        <x:v>1 — Seen-state black-cup baseline — Globally unseen category + seen state word (open)</x:v>
      </x:c>
      <x:c r="M118" s="9" t="n">
        <x:f>'Evaluation Plan'!M118</x:f>
        <x:v>54</x:v>
      </x:c>
      <x:c r="N118" s="10" t="str">
        <x:f>'Evaluation Plan'!N118</x:f>
        <x:v>Build the listed scene with black cups A and B in opposite states on the queried axis.</x:v>
      </x:c>
      <x:c r="O118" s="10" t="str">
        <x:f>'Evaluation Plan'!O118</x:f>
        <x:v>The black category is novel, but the state word was explicitly seen during fine-tuning. Two black cups force state-based selection.</x:v>
      </x:c>
      <x:c r="P118" s="10" t="str">
        <x:f>IF('Evaluation Plan'!P118=0,"",'Evaluation Plan'!P118)</x:f>
      </x:c>
    </x:row>
    <x:row r="119" ht="58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Place the closed black cup in the bowl.</x:v>
      </x:c>
      <x:c r="D119" s="7" t="str">
        <x:f>'Evaluation Plan'!D119</x:f>
        <x:v>P1 black cup B (C, UD) [TARGET]; P2 yellow-white striped cup A (O, UR); P3 brown cup B (C, UD); P4 black cup A (O, UD) [STATE COMPETITOR]</x:v>
      </x:c>
      <x:c r="E119" s="8" t="n">
        <x:f>IF('Evaluation Plan'!H119="Exact-scene opposite-state contrast",'Evaluation Plan'!E119,IF('Evaluation Plan'!H119="Language robustness",'Evaluation Plan'!E119,IF('Evaluation Plan'!H119="Matched manipulation control",'Evaluation Plan'!E119,IF('Evaluation Plan'!H119="Black-cup held-out-state composition",'Evaluation Plan'!E119,""))))</x:f>
        <x:v>116</x:v>
      </x:c>
      <x:c r="F119" s="8" t="str">
        <x:f>'Evaluation Plan'!F119</x:f>
        <x:v>black cup B</x:v>
      </x:c>
      <x:c r="G119" s="7"/>
      <x:c r="H119" s="8" t="str">
        <x:f>'Evaluation Plan'!H119</x:f>
        <x:v>Black-cup held-out-state composition</x:v>
      </x:c>
      <x:c r="I119" s="8" t="str">
        <x:f>'Evaluation Plan'!I119</x:f>
        <x:v>SR-BLK04</x:v>
      </x:c>
      <x:c r="J119" s="8" t="str">
        <x:f>'Evaluation Plan'!J119</x:f>
        <x:v>closed</x:v>
      </x:c>
      <x:c r="K119" s="8" t="n">
        <x:f>'Evaluation Plan'!K119</x:f>
        <x:v>4</x:v>
      </x:c>
      <x:c r="L119" s="8" t="str">
        <x:f>'Evaluation Plan'!L119</x:f>
        <x:v>2 — Held-out-state black-cup composition — Globally unseen category + held-out state word (closed)</x:v>
      </x:c>
      <x:c r="M119" s="8" t="n">
        <x:f>'Evaluation Plan'!M119</x:f>
        <x:v>54</x:v>
      </x:c>
      <x:c r="N119" s="7" t="str">
        <x:f>'Evaluation Plan'!N119</x:f>
        <x:v>Reset black cup A to its marked position. Do not alter any object or state; only change the prompt and expected target.</x:v>
      </x:c>
      <x:c r="O119" s="7" t="str">
        <x:f>'Evaluation Plan'!O119</x:f>
        <x:v>Exact-scene comparison against the preceding seen-state baseline. The target switches to the other matched black cup.</x:v>
      </x:c>
      <x:c r="P119" s="7" t="str">
        <x:f>IF('Evaluation Plan'!P119=0,"",'Evaluation Plan'!P119)</x:f>
      </x:c>
    </x:row>
    <x:row r="120" ht="58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Put the open black cup in the bowl.</x:v>
      </x:c>
      <x:c r="D120" s="10" t="str">
        <x:f>'Evaluation Plan'!D120</x:f>
        <x:v>P1 brown cup A (O, UR); P2 black cup A (O, UR) [TARGET]; P3 black cup B (C, UR) [STATE COMPETITOR]</x:v>
      </x:c>
      <x:c r="E120" s="9" t="str">
        <x:f>IF('Evaluation Plan'!H120="Exact-scene opposite-state contrast",'Evaluation Plan'!E120,IF('Evaluation Plan'!H120="Language robustness",'Evaluation Plan'!E120,IF('Evaluation Plan'!H120="Matched manipulation control",'Evaluation Plan'!E120,IF('Evaluation Plan'!H120="Black-cup held-out-state composition",'Evaluation Plan'!E120,""))))</x:f>
      </x:c>
      <x:c r="F120" s="9" t="str">
        <x:f>'Evaluation Plan'!F120</x:f>
        <x:v>black cup A</x:v>
      </x:c>
      <x:c r="G120" s="10"/>
      <x:c r="H120" s="9" t="str">
        <x:f>'Evaluation Plan'!H120</x:f>
        <x:v>Black-cup seen-state baseline</x:v>
      </x:c>
      <x:c r="I120" s="9" t="str">
        <x:f>'Evaluation Plan'!I120</x:f>
        <x:v>SR-BLK05</x:v>
      </x:c>
      <x:c r="J120" s="9" t="str">
        <x:f>'Evaluation Plan'!J120</x:f>
        <x:v>open</x:v>
      </x:c>
      <x:c r="K120" s="9" t="n">
        <x:f>'Evaluation Plan'!K120</x:f>
        <x:v>3</x:v>
      </x:c>
      <x:c r="L120" s="9" t="str">
        <x:f>'Evaluation Plan'!L120</x:f>
        <x:v>1 — Seen-state black-cup baseline — Globally unseen category + seen state word (open)</x:v>
      </x:c>
      <x:c r="M120" s="9" t="n">
        <x:f>'Evaluation Plan'!M120</x:f>
        <x:v>55</x:v>
      </x:c>
      <x:c r="N120" s="10" t="str">
        <x:f>'Evaluation Plan'!N120</x:f>
        <x:v>Build the listed scene with black cups A and B in opposite states on the queried axis.</x:v>
      </x:c>
      <x:c r="O120" s="10" t="str">
        <x:f>'Evaluation Plan'!O120</x:f>
        <x:v>The black category is novel, but the state word was explicitly seen during fine-tuning. Two black cups force state-based selection.</x:v>
      </x:c>
      <x:c r="P120" s="10" t="str">
        <x:f>IF('Evaluation Plan'!P120=0,"",'Evaluation Plan'!P120)</x:f>
      </x:c>
    </x:row>
    <x:row r="121" ht="58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Put the closed black cup in the bowl.</x:v>
      </x:c>
      <x:c r="D121" s="7" t="str">
        <x:f>'Evaluation Plan'!D121</x:f>
        <x:v>P1 brown cup A (O, UR); P2 black cup A (O, UR) [STATE COMPETITOR]; P3 black cup B (C, UR) [TARGET]</x:v>
      </x:c>
      <x:c r="E121" s="8" t="n">
        <x:f>IF('Evaluation Plan'!H121="Exact-scene opposite-state contrast",'Evaluation Plan'!E121,IF('Evaluation Plan'!H121="Language robustness",'Evaluation Plan'!E121,IF('Evaluation Plan'!H121="Matched manipulation control",'Evaluation Plan'!E121,IF('Evaluation Plan'!H121="Black-cup held-out-state composition",'Evaluation Plan'!E121,""))))</x:f>
        <x:v>118</x:v>
      </x:c>
      <x:c r="F121" s="8" t="str">
        <x:f>'Evaluation Plan'!F121</x:f>
        <x:v>black cup B</x:v>
      </x:c>
      <x:c r="G121" s="7"/>
      <x:c r="H121" s="8" t="str">
        <x:f>'Evaluation Plan'!H121</x:f>
        <x:v>Black-cup held-out-state composition</x:v>
      </x:c>
      <x:c r="I121" s="8" t="str">
        <x:f>'Evaluation Plan'!I121</x:f>
        <x:v>SR-BLK05</x:v>
      </x:c>
      <x:c r="J121" s="8" t="str">
        <x:f>'Evaluation Plan'!J121</x:f>
        <x:v>closed</x:v>
      </x:c>
      <x:c r="K121" s="8" t="n">
        <x:f>'Evaluation Plan'!K121</x:f>
        <x:v>3</x:v>
      </x:c>
      <x:c r="L121" s="8" t="str">
        <x:f>'Evaluation Plan'!L121</x:f>
        <x:v>2 — Held-out-state black-cup composition — Globally unseen category + held-out state word (closed)</x:v>
      </x:c>
      <x:c r="M121" s="8" t="n">
        <x:f>'Evaluation Plan'!M121</x:f>
        <x:v>55</x:v>
      </x:c>
      <x:c r="N121" s="7" t="str">
        <x:f>'Evaluation Plan'!N121</x:f>
        <x:v>Reset black cup A to its marked position. Do not alter any object or state; only change the prompt and expected target.</x:v>
      </x:c>
      <x:c r="O121" s="7" t="str">
        <x:f>'Evaluation Plan'!O121</x:f>
        <x:v>Exact-scene comparison against the preceding seen-state baseline. The target switches to the other matched black cup.</x:v>
      </x:c>
      <x:c r="P121" s="7" t="str">
        <x:f>IF('Evaluation Plan'!P121=0,"",'Evaluation Plan'!P121)</x:f>
      </x:c>
    </x:row>
    <x:row r="122" ht="58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Move the upside-down black cup into the bowl.</x:v>
      </x:c>
      <x:c r="D122" s="10" t="str">
        <x:f>'Evaluation Plan'!D122</x:f>
        <x:v>P1 glass spice container B (C, UD); P2 black cup A (C, UD) [TARGET]; P3 black cup B (C, UR) [STATE COMPETITOR]; P4 white cup A (O, UR)</x:v>
      </x:c>
      <x:c r="E122" s="9" t="str">
        <x:f>IF('Evaluation Plan'!H122="Exact-scene opposite-state contrast",'Evaluation Plan'!E122,IF('Evaluation Plan'!H122="Language robustness",'Evaluation Plan'!E122,IF('Evaluation Plan'!H122="Matched manipulation control",'Evaluation Plan'!E122,IF('Evaluation Plan'!H122="Black-cup held-out-state composition",'Evaluation Plan'!E122,""))))</x:f>
      </x:c>
      <x:c r="F122" s="9" t="str">
        <x:f>'Evaluation Plan'!F122</x:f>
        <x:v>black cup A</x:v>
      </x:c>
      <x:c r="G122" s="10"/>
      <x:c r="H122" s="9" t="str">
        <x:f>'Evaluation Plan'!H122</x:f>
        <x:v>Black-cup seen-state baseline</x:v>
      </x:c>
      <x:c r="I122" s="9" t="str">
        <x:f>'Evaluation Plan'!I122</x:f>
        <x:v>SR-BLK06</x:v>
      </x:c>
      <x:c r="J122" s="9" t="str">
        <x:f>'Evaluation Plan'!J122</x:f>
        <x:v>upside-down</x:v>
      </x:c>
      <x:c r="K122" s="9" t="n">
        <x:f>'Evaluation Plan'!K122</x:f>
        <x:v>4</x:v>
      </x:c>
      <x:c r="L122" s="9" t="str">
        <x:f>'Evaluation Plan'!L122</x:f>
        <x:v>1 — Seen-state black-cup baseline — Globally unseen category + seen state word (upside-down)</x:v>
      </x:c>
      <x:c r="M122" s="9" t="n">
        <x:f>'Evaluation Plan'!M122</x:f>
        <x:v>56</x:v>
      </x:c>
      <x:c r="N122" s="10" t="str">
        <x:f>'Evaluation Plan'!N122</x:f>
        <x:v>Build the listed scene with black cups A and B in opposite states on the queried axis.</x:v>
      </x:c>
      <x:c r="O122" s="10" t="str">
        <x:f>'Evaluation Plan'!O122</x:f>
        <x:v>The black category is novel, but the state word was explicitly seen during fine-tuning. Two black cups force state-based selection.</x:v>
      </x:c>
      <x:c r="P122" s="10" t="str">
        <x:f>IF('Evaluation Plan'!P122=0,"",'Evaluation Plan'!P122)</x:f>
      </x:c>
    </x:row>
    <x:row r="123" ht="58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Move the upright black cup into the bowl.</x:v>
      </x:c>
      <x:c r="D123" s="7" t="str">
        <x:f>'Evaluation Plan'!D123</x:f>
        <x:v>P1 glass spice container B (C, UD); P2 black cup A (C, UD) [STATE COMPETITOR]; P3 black cup B (C, UR) [TARGET]; P4 white cup A (O, UR)</x:v>
      </x:c>
      <x:c r="E123" s="8" t="n">
        <x:f>IF('Evaluation Plan'!H123="Exact-scene opposite-state contrast",'Evaluation Plan'!E123,IF('Evaluation Plan'!H123="Language robustness",'Evaluation Plan'!E123,IF('Evaluation Plan'!H123="Matched manipulation control",'Evaluation Plan'!E123,IF('Evaluation Plan'!H123="Black-cup held-out-state composition",'Evaluation Plan'!E123,""))))</x:f>
        <x:v>120</x:v>
      </x:c>
      <x:c r="F123" s="8" t="str">
        <x:f>'Evaluation Plan'!F123</x:f>
        <x:v>black cup B</x:v>
      </x:c>
      <x:c r="G123" s="7"/>
      <x:c r="H123" s="8" t="str">
        <x:f>'Evaluation Plan'!H123</x:f>
        <x:v>Black-cup held-out-state composition</x:v>
      </x:c>
      <x:c r="I123" s="8" t="str">
        <x:f>'Evaluation Plan'!I123</x:f>
        <x:v>SR-BLK06</x:v>
      </x:c>
      <x:c r="J123" s="8" t="str">
        <x:f>'Evaluation Plan'!J123</x:f>
        <x:v>upright</x:v>
      </x:c>
      <x:c r="K123" s="8" t="n">
        <x:f>'Evaluation Plan'!K123</x:f>
        <x:v>4</x:v>
      </x:c>
      <x:c r="L123" s="8" t="str">
        <x:f>'Evaluation Plan'!L123</x:f>
        <x:v>2 — Held-out-state black-cup composition — Globally unseen category + held-out state word (upright)</x:v>
      </x:c>
      <x:c r="M123" s="8" t="n">
        <x:f>'Evaluation Plan'!M123</x:f>
        <x:v>56</x:v>
      </x:c>
      <x:c r="N123" s="7" t="str">
        <x:f>'Evaluation Plan'!N123</x:f>
        <x:v>Reset black cup A to its marked position. Do not alter any object or state; only change the prompt and expected target.</x:v>
      </x:c>
      <x:c r="O123" s="7" t="str">
        <x:f>'Evaluation Plan'!O123</x:f>
        <x:v>Exact-scene comparison against the preceding seen-state baseline. The target switches to the other matched black cup.</x:v>
      </x:c>
      <x:c r="P123" s="7" t="str">
        <x:f>IF('Evaluation Plan'!P123=0,"",'Evaluation Plan'!P123)</x:f>
      </x:c>
    </x:row>
    <x:row r="124" ht="58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Place the upside-down black cup in the bowl.</x:v>
      </x:c>
      <x:c r="D124" s="10" t="str">
        <x:f>'Evaluation Plan'!D124</x:f>
        <x:v>P1 black cup A (O, UD) [TARGET]; P2 black cup B (O, UR) [STATE COMPETITOR]; P3 white cup A (O, UR)</x:v>
      </x:c>
      <x:c r="E124" s="9" t="str">
        <x:f>IF('Evaluation Plan'!H124="Exact-scene opposite-state contrast",'Evaluation Plan'!E124,IF('Evaluation Plan'!H124="Language robustness",'Evaluation Plan'!E124,IF('Evaluation Plan'!H124="Matched manipulation control",'Evaluation Plan'!E124,IF('Evaluation Plan'!H124="Black-cup held-out-state composition",'Evaluation Plan'!E124,""))))</x:f>
      </x:c>
      <x:c r="F124" s="9" t="str">
        <x:f>'Evaluation Plan'!F124</x:f>
        <x:v>black cup A</x:v>
      </x:c>
      <x:c r="G124" s="10"/>
      <x:c r="H124" s="9" t="str">
        <x:f>'Evaluation Plan'!H124</x:f>
        <x:v>Black-cup seen-state baseline</x:v>
      </x:c>
      <x:c r="I124" s="9" t="str">
        <x:f>'Evaluation Plan'!I124</x:f>
        <x:v>SR-BLK07</x:v>
      </x:c>
      <x:c r="J124" s="9" t="str">
        <x:f>'Evaluation Plan'!J124</x:f>
        <x:v>upside-down</x:v>
      </x:c>
      <x:c r="K124" s="9" t="n">
        <x:f>'Evaluation Plan'!K124</x:f>
        <x:v>3</x:v>
      </x:c>
      <x:c r="L124" s="9" t="str">
        <x:f>'Evaluation Plan'!L124</x:f>
        <x:v>1 — Seen-state black-cup baseline — Globally unseen category + seen state word (upside-down)</x:v>
      </x:c>
      <x:c r="M124" s="9" t="n">
        <x:f>'Evaluation Plan'!M124</x:f>
        <x:v>57</x:v>
      </x:c>
      <x:c r="N124" s="10" t="str">
        <x:f>'Evaluation Plan'!N124</x:f>
        <x:v>Build the listed scene with black cups A and B in opposite states on the queried axis.</x:v>
      </x:c>
      <x:c r="O124" s="10" t="str">
        <x:f>'Evaluation Plan'!O124</x:f>
        <x:v>The black category is novel, but the state word was explicitly seen during fine-tuning. Two black cups force state-based selection.</x:v>
      </x:c>
      <x:c r="P124" s="10" t="str">
        <x:f>IF('Evaluation Plan'!P124=0,"",'Evaluation Plan'!P124)</x:f>
      </x:c>
    </x:row>
    <x:row r="125" ht="58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Place the upright black cup in the bowl.</x:v>
      </x:c>
      <x:c r="D125" s="7" t="str">
        <x:f>'Evaluation Plan'!D125</x:f>
        <x:v>P1 black cup A (O, UD) [STATE COMPETITOR]; P2 black cup B (O, UR) [TARGET]; P3 white cup A (O, UR)</x:v>
      </x:c>
      <x:c r="E125" s="8" t="n">
        <x:f>IF('Evaluation Plan'!H125="Exact-scene opposite-state contrast",'Evaluation Plan'!E125,IF('Evaluation Plan'!H125="Language robustness",'Evaluation Plan'!E125,IF('Evaluation Plan'!H125="Matched manipulation control",'Evaluation Plan'!E125,IF('Evaluation Plan'!H125="Black-cup held-out-state composition",'Evaluation Plan'!E125,""))))</x:f>
        <x:v>122</x:v>
      </x:c>
      <x:c r="F125" s="8" t="str">
        <x:f>'Evaluation Plan'!F125</x:f>
        <x:v>black cup B</x:v>
      </x:c>
      <x:c r="G125" s="7"/>
      <x:c r="H125" s="8" t="str">
        <x:f>'Evaluation Plan'!H125</x:f>
        <x:v>Black-cup held-out-state composition</x:v>
      </x:c>
      <x:c r="I125" s="8" t="str">
        <x:f>'Evaluation Plan'!I125</x:f>
        <x:v>SR-BLK07</x:v>
      </x:c>
      <x:c r="J125" s="8" t="str">
        <x:f>'Evaluation Plan'!J125</x:f>
        <x:v>upright</x:v>
      </x:c>
      <x:c r="K125" s="8" t="n">
        <x:f>'Evaluation Plan'!K125</x:f>
        <x:v>3</x:v>
      </x:c>
      <x:c r="L125" s="8" t="str">
        <x:f>'Evaluation Plan'!L125</x:f>
        <x:v>2 — Held-out-state black-cup composition — Globally unseen category + held-out state word (upright)</x:v>
      </x:c>
      <x:c r="M125" s="8" t="n">
        <x:f>'Evaluation Plan'!M125</x:f>
        <x:v>57</x:v>
      </x:c>
      <x:c r="N125" s="7" t="str">
        <x:f>'Evaluation Plan'!N125</x:f>
        <x:v>Reset black cup A to its marked position. Do not alter any object or state; only change the prompt and expected target.</x:v>
      </x:c>
      <x:c r="O125" s="7" t="str">
        <x:f>'Evaluation Plan'!O125</x:f>
        <x:v>Exact-scene comparison against the preceding seen-state baseline. The target switches to the other matched black cup.</x:v>
      </x:c>
      <x:c r="P125" s="7" t="str">
        <x:f>IF('Evaluation Plan'!P125=0,"",'Evaluation Plan'!P125)</x:f>
      </x:c>
    </x:row>
    <x:row r="126" ht="58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Put the upside-down black cup in the bowl.</x:v>
      </x:c>
      <x:c r="D126" s="10" t="str">
        <x:f>'Evaluation Plan'!D126</x:f>
        <x:v>P1 black cup B (C, UR) [STATE COMPETITOR]; P2 yellow-white striped cup A (O, UR); P3 brown cup B (C, UD); P4 black cup A (C, UD) [TARGET]</x:v>
      </x:c>
      <x:c r="E126" s="9" t="str">
        <x:f>IF('Evaluation Plan'!H126="Exact-scene opposite-state contrast",'Evaluation Plan'!E126,IF('Evaluation Plan'!H126="Language robustness",'Evaluation Plan'!E126,IF('Evaluation Plan'!H126="Matched manipulation control",'Evaluation Plan'!E126,IF('Evaluation Plan'!H126="Black-cup held-out-state composition",'Evaluation Plan'!E126,""))))</x:f>
      </x:c>
      <x:c r="F126" s="9" t="str">
        <x:f>'Evaluation Plan'!F126</x:f>
        <x:v>black cup A</x:v>
      </x:c>
      <x:c r="G126" s="10"/>
      <x:c r="H126" s="9" t="str">
        <x:f>'Evaluation Plan'!H126</x:f>
        <x:v>Black-cup seen-state baseline</x:v>
      </x:c>
      <x:c r="I126" s="9" t="str">
        <x:f>'Evaluation Plan'!I126</x:f>
        <x:v>SR-BLK08</x:v>
      </x:c>
      <x:c r="J126" s="9" t="str">
        <x:f>'Evaluation Plan'!J126</x:f>
        <x:v>upside-down</x:v>
      </x:c>
      <x:c r="K126" s="9" t="n">
        <x:f>'Evaluation Plan'!K126</x:f>
        <x:v>4</x:v>
      </x:c>
      <x:c r="L126" s="9" t="str">
        <x:f>'Evaluation Plan'!L126</x:f>
        <x:v>1 — Seen-state black-cup baseline — Globally unseen category + seen state word (upside-down)</x:v>
      </x:c>
      <x:c r="M126" s="9" t="n">
        <x:f>'Evaluation Plan'!M126</x:f>
        <x:v>58</x:v>
      </x:c>
      <x:c r="N126" s="10" t="str">
        <x:f>'Evaluation Plan'!N126</x:f>
        <x:v>Build the listed scene with black cups A and B in opposite states on the queried axis.</x:v>
      </x:c>
      <x:c r="O126" s="10" t="str">
        <x:f>'Evaluation Plan'!O126</x:f>
        <x:v>The black category is novel, but the state word was explicitly seen during fine-tuning. Two black cups force state-based selection.</x:v>
      </x:c>
      <x:c r="P126" s="10" t="str">
        <x:f>IF('Evaluation Plan'!P126=0,"",'Evaluation Plan'!P126)</x:f>
      </x:c>
    </x:row>
    <x:row r="127" ht="58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Put the upright black cup in the bowl.</x:v>
      </x:c>
      <x:c r="D127" s="7" t="str">
        <x:f>'Evaluation Plan'!D127</x:f>
        <x:v>P1 black cup B (C, UR) [TARGET]; P2 yellow-white striped cup A (O, UR); P3 brown cup B (C, UD); P4 black cup A (C, UD) [STATE COMPETITOR]</x:v>
      </x:c>
      <x:c r="E127" s="8" t="n">
        <x:f>IF('Evaluation Plan'!H127="Exact-scene opposite-state contrast",'Evaluation Plan'!E127,IF('Evaluation Plan'!H127="Language robustness",'Evaluation Plan'!E127,IF('Evaluation Plan'!H127="Matched manipulation control",'Evaluation Plan'!E127,IF('Evaluation Plan'!H127="Black-cup held-out-state composition",'Evaluation Plan'!E127,""))))</x:f>
        <x:v>124</x:v>
      </x:c>
      <x:c r="F127" s="8" t="str">
        <x:f>'Evaluation Plan'!F127</x:f>
        <x:v>black cup B</x:v>
      </x:c>
      <x:c r="G127" s="7"/>
      <x:c r="H127" s="8" t="str">
        <x:f>'Evaluation Plan'!H127</x:f>
        <x:v>Black-cup held-out-state composition</x:v>
      </x:c>
      <x:c r="I127" s="8" t="str">
        <x:f>'Evaluation Plan'!I127</x:f>
        <x:v>SR-BLK08</x:v>
      </x:c>
      <x:c r="J127" s="8" t="str">
        <x:f>'Evaluation Plan'!J127</x:f>
        <x:v>upright</x:v>
      </x:c>
      <x:c r="K127" s="8" t="n">
        <x:f>'Evaluation Plan'!K127</x:f>
        <x:v>4</x:v>
      </x:c>
      <x:c r="L127" s="8" t="str">
        <x:f>'Evaluation Plan'!L127</x:f>
        <x:v>2 — Held-out-state black-cup composition — Globally unseen category + held-out state word (upright)</x:v>
      </x:c>
      <x:c r="M127" s="8" t="n">
        <x:f>'Evaluation Plan'!M127</x:f>
        <x:v>58</x:v>
      </x:c>
      <x:c r="N127" s="7" t="str">
        <x:f>'Evaluation Plan'!N127</x:f>
        <x:v>Reset black cup A to its marked position. Do not alter any object or state; only change the prompt and expected target.</x:v>
      </x:c>
      <x:c r="O127" s="7" t="str">
        <x:f>'Evaluation Plan'!O127</x:f>
        <x:v>Exact-scene comparison against the preceding seen-state baseline. The target switches to the other matched black cup.</x:v>
      </x:c>
      <x:c r="P127" s="7" t="str">
        <x:f>IF('Evaluation Plan'!P127=0,"",'Evaluation Plan'!P127)</x:f>
      </x:c>
    </x:row>
    <x:row r="128" ht="58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Move the upside-down black cup into the bowl.</x:v>
      </x:c>
      <x:c r="D128" s="10" t="str">
        <x:f>'Evaluation Plan'!D128</x:f>
        <x:v>P1 black cup B (O, UR) [STATE COMPETITOR]; P2 brown cup B (C, UD); P3 black cup A (O, UD) [TARGET]</x:v>
      </x:c>
      <x:c r="E128" s="9" t="str">
        <x:f>IF('Evaluation Plan'!H128="Exact-scene opposite-state contrast",'Evaluation Plan'!E128,IF('Evaluation Plan'!H128="Language robustness",'Evaluation Plan'!E128,IF('Evaluation Plan'!H128="Matched manipulation control",'Evaluation Plan'!E128,IF('Evaluation Plan'!H128="Black-cup held-out-state composition",'Evaluation Plan'!E128,""))))</x:f>
      </x:c>
      <x:c r="F128" s="9" t="str">
        <x:f>'Evaluation Plan'!F128</x:f>
        <x:v>black cup A</x:v>
      </x:c>
      <x:c r="G128" s="10"/>
      <x:c r="H128" s="9" t="str">
        <x:f>'Evaluation Plan'!H128</x:f>
        <x:v>Black-cup seen-state baseline</x:v>
      </x:c>
      <x:c r="I128" s="9" t="str">
        <x:f>'Evaluation Plan'!I128</x:f>
        <x:v>SR-BLK09</x:v>
      </x:c>
      <x:c r="J128" s="9" t="str">
        <x:f>'Evaluation Plan'!J128</x:f>
        <x:v>upside-down</x:v>
      </x:c>
      <x:c r="K128" s="9" t="n">
        <x:f>'Evaluation Plan'!K128</x:f>
        <x:v>3</x:v>
      </x:c>
      <x:c r="L128" s="9" t="str">
        <x:f>'Evaluation Plan'!L128</x:f>
        <x:v>1 — Seen-state black-cup baseline — Globally unseen category + seen state word (upside-down)</x:v>
      </x:c>
      <x:c r="M128" s="9" t="n">
        <x:f>'Evaluation Plan'!M128</x:f>
        <x:v>59</x:v>
      </x:c>
      <x:c r="N128" s="10" t="str">
        <x:f>'Evaluation Plan'!N128</x:f>
        <x:v>Build the listed scene with black cups A and B in opposite states on the queried axis.</x:v>
      </x:c>
      <x:c r="O128" s="10" t="str">
        <x:f>'Evaluation Plan'!O128</x:f>
        <x:v>The black category is novel, but the state word was explicitly seen during fine-tuning. Two black cups force state-based selection.</x:v>
      </x:c>
      <x:c r="P128" s="10" t="str">
        <x:f>IF('Evaluation Plan'!P128=0,"",'Evaluation Plan'!P128)</x:f>
      </x:c>
    </x:row>
    <x:row r="129" ht="58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Move the upright black cup into the bowl.</x:v>
      </x:c>
      <x:c r="D129" s="7" t="str">
        <x:f>'Evaluation Plan'!D129</x:f>
        <x:v>P1 black cup B (O, UR) [TARGET]; P2 brown cup B (C, UD); P3 black cup A (O, UD) [STATE COMPETITOR]</x:v>
      </x:c>
      <x:c r="E129" s="8" t="n">
        <x:f>IF('Evaluation Plan'!H129="Exact-scene opposite-state contrast",'Evaluation Plan'!E129,IF('Evaluation Plan'!H129="Language robustness",'Evaluation Plan'!E129,IF('Evaluation Plan'!H129="Matched manipulation control",'Evaluation Plan'!E129,IF('Evaluation Plan'!H129="Black-cup held-out-state composition",'Evaluation Plan'!E129,""))))</x:f>
        <x:v>126</x:v>
      </x:c>
      <x:c r="F129" s="8" t="str">
        <x:f>'Evaluation Plan'!F129</x:f>
        <x:v>black cup B</x:v>
      </x:c>
      <x:c r="G129" s="7"/>
      <x:c r="H129" s="8" t="str">
        <x:f>'Evaluation Plan'!H129</x:f>
        <x:v>Black-cup held-out-state composition</x:v>
      </x:c>
      <x:c r="I129" s="8" t="str">
        <x:f>'Evaluation Plan'!I129</x:f>
        <x:v>SR-BLK09</x:v>
      </x:c>
      <x:c r="J129" s="8" t="str">
        <x:f>'Evaluation Plan'!J129</x:f>
        <x:v>upright</x:v>
      </x:c>
      <x:c r="K129" s="8" t="n">
        <x:f>'Evaluation Plan'!K129</x:f>
        <x:v>3</x:v>
      </x:c>
      <x:c r="L129" s="8" t="str">
        <x:f>'Evaluation Plan'!L129</x:f>
        <x:v>2 — Held-out-state black-cup composition — Globally unseen category + held-out state word (upright)</x:v>
      </x:c>
      <x:c r="M129" s="8" t="n">
        <x:f>'Evaluation Plan'!M129</x:f>
        <x:v>59</x:v>
      </x:c>
      <x:c r="N129" s="7" t="str">
        <x:f>'Evaluation Plan'!N129</x:f>
        <x:v>Reset black cup A to its marked position. Do not alter any object or state; only change the prompt and expected target.</x:v>
      </x:c>
      <x:c r="O129" s="7" t="str">
        <x:f>'Evaluation Plan'!O129</x:f>
        <x:v>Exact-scene comparison against the preceding seen-state baseline. The target switches to the other matched black cup.</x:v>
      </x:c>
      <x:c r="P129" s="7" t="str">
        <x:f>IF('Evaluation Plan'!P129=0,"",'Evaluation Plan'!P129)</x:f>
      </x:c>
    </x:row>
    <x:row r="130" ht="58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Place the upside-down black cup in the bowl.</x:v>
      </x:c>
      <x:c r="D130" s="10" t="str">
        <x:f>'Evaluation Plan'!D130</x:f>
        <x:v>P1 glass spice container B (C, UD); P2 black cup A (C, UD) [TARGET]; P3 black cup B (C, UR) [STATE COMPETITOR]; P4 white cup A (O, UR)</x:v>
      </x:c>
      <x:c r="E130" s="9" t="str">
        <x:f>IF('Evaluation Plan'!H130="Exact-scene opposite-state contrast",'Evaluation Plan'!E130,IF('Evaluation Plan'!H130="Language robustness",'Evaluation Plan'!E130,IF('Evaluation Plan'!H130="Matched manipulation control",'Evaluation Plan'!E130,IF('Evaluation Plan'!H130="Black-cup held-out-state composition",'Evaluation Plan'!E130,""))))</x:f>
      </x:c>
      <x:c r="F130" s="9" t="str">
        <x:f>'Evaluation Plan'!F130</x:f>
        <x:v>black cup A</x:v>
      </x:c>
      <x:c r="G130" s="10"/>
      <x:c r="H130" s="9" t="str">
        <x:f>'Evaluation Plan'!H130</x:f>
        <x:v>Black-cup seen-state baseline</x:v>
      </x:c>
      <x:c r="I130" s="9" t="str">
        <x:f>'Evaluation Plan'!I130</x:f>
        <x:v>SR-BLK10</x:v>
      </x:c>
      <x:c r="J130" s="9" t="str">
        <x:f>'Evaluation Plan'!J130</x:f>
        <x:v>upside-down</x:v>
      </x:c>
      <x:c r="K130" s="9" t="n">
        <x:f>'Evaluation Plan'!K130</x:f>
        <x:v>4</x:v>
      </x:c>
      <x:c r="L130" s="9" t="str">
        <x:f>'Evaluation Plan'!L130</x:f>
        <x:v>1 — Seen-state black-cup baseline — Globally unseen category + seen state word (upside-down)</x:v>
      </x:c>
      <x:c r="M130" s="9" t="n">
        <x:f>'Evaluation Plan'!M130</x:f>
        <x:v>60</x:v>
      </x:c>
      <x:c r="N130" s="10" t="str">
        <x:f>'Evaluation Plan'!N130</x:f>
        <x:v>Build the listed scene with black cups A and B in opposite states on the queried axis.</x:v>
      </x:c>
      <x:c r="O130" s="10" t="str">
        <x:f>'Evaluation Plan'!O130</x:f>
        <x:v>The black category is novel, but the state word was explicitly seen during fine-tuning. Two black cups force state-based selection.</x:v>
      </x:c>
      <x:c r="P130" s="10" t="str">
        <x:f>IF('Evaluation Plan'!P130=0,"",'Evaluation Plan'!P130)</x:f>
      </x:c>
    </x:row>
    <x:row r="131" ht="58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Place the upright black cup in the bowl.</x:v>
      </x:c>
      <x:c r="D131" s="7" t="str">
        <x:f>'Evaluation Plan'!D131</x:f>
        <x:v>P1 glass spice container B (C, UD); P2 black cup A (C, UD) [STATE COMPETITOR]; P3 black cup B (C, UR) [TARGET]; P4 white cup A (O, UR)</x:v>
      </x:c>
      <x:c r="E131" s="8" t="n">
        <x:f>IF('Evaluation Plan'!H131="Exact-scene opposite-state contrast",'Evaluation Plan'!E131,IF('Evaluation Plan'!H131="Language robustness",'Evaluation Plan'!E131,IF('Evaluation Plan'!H131="Matched manipulation control",'Evaluation Plan'!E131,IF('Evaluation Plan'!H131="Black-cup held-out-state composition",'Evaluation Plan'!E131,""))))</x:f>
        <x:v>128</x:v>
      </x:c>
      <x:c r="F131" s="8" t="str">
        <x:f>'Evaluation Plan'!F131</x:f>
        <x:v>black cup B</x:v>
      </x:c>
      <x:c r="G131" s="7"/>
      <x:c r="H131" s="8" t="str">
        <x:f>'Evaluation Plan'!H131</x:f>
        <x:v>Black-cup held-out-state composition</x:v>
      </x:c>
      <x:c r="I131" s="8" t="str">
        <x:f>'Evaluation Plan'!I131</x:f>
        <x:v>SR-BLK10</x:v>
      </x:c>
      <x:c r="J131" s="8" t="str">
        <x:f>'Evaluation Plan'!J131</x:f>
        <x:v>upright</x:v>
      </x:c>
      <x:c r="K131" s="8" t="n">
        <x:f>'Evaluation Plan'!K131</x:f>
        <x:v>4</x:v>
      </x:c>
      <x:c r="L131" s="8" t="str">
        <x:f>'Evaluation Plan'!L131</x:f>
        <x:v>2 — Held-out-state black-cup composition — Globally unseen category + held-out state word (upright)</x:v>
      </x:c>
      <x:c r="M131" s="8" t="n">
        <x:f>'Evaluation Plan'!M131</x:f>
        <x:v>60</x:v>
      </x:c>
      <x:c r="N131" s="7" t="str">
        <x:f>'Evaluation Plan'!N131</x:f>
        <x:v>Reset black cup A to its marked position. Do not alter any object or state; only change the prompt and expected target.</x:v>
      </x:c>
      <x:c r="O131" s="7" t="str">
        <x:f>'Evaluation Plan'!O131</x:f>
        <x:v>Exact-scene comparison against the preceding seen-state baseline. The target switches to the other matched black cup.</x:v>
      </x:c>
      <x:c r="P131" s="7" t="str">
        <x:f>IF('Evaluation Plan'!P131=0,"",'Evaluation Plan'!P131)</x:f>
      </x:c>
    </x:row>
  </x:sheetData>
  <x:conditionalFormatting sqref="A2:P131">
    <x:cfRule type="expression" dxfId="9" priority="1">
      <x:formula>$A2="Success"</x:formula>
    </x:cfRule>
    <x:cfRule type="expression" dxfId="10" priority="2">
      <x:formula>$A2="Failure"</x:formula>
    </x:cfRule>
  </x:conditionalFormatting>
  <x:conditionalFormatting sqref="H2:H131">
    <x:cfRule type="containsText" dxfId="11" priority="3" operator="containsText" text="Exact-scene opposite-state contrast"/>
  </x:conditionalFormatting>
  <x:dataValidations count="1">
    <x:dataValidation type="list" sqref="A2:A13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0c8d7b2f6a44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42" hidden="0" customWidth="1"/>
    <x:col min="4" max="4" width="82" hidden="0" customWidth="1"/>
    <x:col min="5" max="5" width="13" hidden="0" customWidth="1"/>
    <x:col min="6" max="6" width="25" hidden="0" customWidth="1"/>
    <x:col min="7" max="7" width="42" hidden="0" customWidth="1"/>
    <x:col min="8" max="8" width="31" hidden="0" customWidth="1"/>
    <x:col min="9" max="9" width="13" hidden="0" customWidth="1"/>
    <x:col min="10" max="10" width="14" hidden="0" customWidth="1"/>
    <x:col min="11" max="11" width="12" hidden="0" customWidth="1"/>
    <x:col min="12" max="12" width="46" hidden="0" customWidth="1"/>
    <x:col min="13" max="13" width="12" hidden="0" customWidth="1"/>
    <x:col min="14" max="14" width="64" hidden="0" customWidth="1"/>
    <x:col min="15" max="15" width="66" hidden="0" customWidth="1"/>
    <x:col min="16" max="16" width="28" hidden="0" customWidth="1"/>
  </x:cols>
  <x:sheetData>
    <x:row r="1" ht="36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(P1-P4)</x:v>
      </x:c>
      <x:c r="E1" s="5" t="str">
        <x:v>Reference Episode</x:v>
      </x:c>
      <x:c r="F1" s="5" t="str">
        <x:v>Expected Target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Queried State</x:v>
      </x:c>
      <x:c r="K1" s="5" t="str">
        <x:v>Object Count</x:v>
      </x:c>
      <x:c r="L1" s="5" t="str">
        <x:v>Comparison / Subtype</x:v>
      </x:c>
      <x:c r="M1" s="5" t="str">
        <x:v>Collection Block</x:v>
      </x:c>
      <x:c r="N1" s="5" t="str">
        <x:v>Setup Change from Previous</x:v>
      </x:c>
      <x:c r="O1" s="5" t="str">
        <x:v>Design Note</x:v>
      </x:c>
      <x:c r="P1" s="5" t="str">
        <x:v>Reference Media Filename</x:v>
      </x:c>
    </x:row>
    <x:row r="2" ht="58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Place the closed white cup in the bowl.</x:v>
      </x:c>
      <x:c r="D2" s="10" t="str">
        <x:f>'Evaluation Plan'!D2</x:f>
        <x:v>P1 white cup A (C, UR) [TARGET]; P2 white cup B (O, UR) [STATE COMPETITOR]; P3 yellow-white striped cup A (O, UR)</x:v>
      </x:c>
      <x:c r="E2" s="9" t="str">
        <x:f>IF('Evaluation Plan'!H2="Exact-scene opposite-state contrast",'Evaluation Plan'!E2,IF('Evaluation Plan'!H2="Language robustness",'Evaluation Plan'!E2,IF('Evaluation Plan'!H2="Matched manipulation control",'Evaluation Plan'!E2,IF('Evaluation Plan'!H2="Black-cup held-out-state composition",'Evaluation Plan'!E2,""))))</x:f>
      </x:c>
      <x:c r="F2" s="9" t="str">
        <x:f>'Evaluation Plan'!F2</x:f>
        <x:v>white cup A</x:v>
      </x:c>
      <x:c r="G2" s="10"/>
      <x:c r="H2" s="9" t="str">
        <x:f>'Evaluation Plan'!H2</x:f>
        <x:v>Concept/compositional transfer</x:v>
      </x:c>
      <x:c r="I2" s="9" t="str">
        <x:f>'Evaluation Plan'!I2</x:f>
        <x:v>SR-F01</x:v>
      </x:c>
      <x:c r="J2" s="9" t="str">
        <x:f>'Evaluation Plan'!J2</x:f>
        <x:v>closed</x:v>
      </x:c>
      <x:c r="K2" s="9" t="n">
        <x:f>'Evaluation Plan'!K2</x:f>
        <x:v>3</x:v>
      </x:c>
      <x:c r="L2" s="9" t="str">
        <x:f>'Evaluation Plan'!L2</x:f>
        <x:v>1 — Canonical transfer — Held-out state word + known category (closed)</x:v>
      </x:c>
      <x:c r="M2" s="9" t="n">
        <x:f>'Evaluation Plan'!M2</x:f>
        <x:v>1</x:v>
      </x:c>
      <x:c r="N2" s="10" t="str">
        <x:f>'Evaluation Plan'!N2</x:f>
        <x:v>Build the marked same-category discrimination scene. Save a first-frame image or filename.</x:v>
      </x:c>
      <x:c r="O2" s="10" t="str">
        <x:f>'Evaluation Plan'!O2</x:f>
        <x:v>Two objects match the named category; only the state word selects the target. Target and competitor differ only on the queried state axis.</x:v>
      </x:c>
      <x:c r="P2" s="10" t="str">
        <x:f>IF('Evaluation Plan'!P2=0,"",'Evaluation Plan'!P2)</x:f>
      </x:c>
    </x:row>
    <x:row r="3" ht="58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Put the open white cup in the bowl.</x:v>
      </x:c>
      <x:c r="D3" s="7" t="str">
        <x:f>'Evaluation Plan'!D3</x:f>
        <x:v>P1 white cup A (C, UR) [STATE COMPETITOR]; P2 white cup B (O, UR) [TARGET]; P3 yellow-white striped cup A (O, UR)</x:v>
      </x:c>
      <x:c r="E3" s="8" t="n">
        <x:f>IF('Evaluation Plan'!H3="Exact-scene opposite-state contrast",'Evaluation Plan'!E3,IF('Evaluation Plan'!H3="Language robustness",'Evaluation Plan'!E3,IF('Evaluation Plan'!H3="Matched manipulation control",'Evaluation Plan'!E3,IF('Evaluation Plan'!H3="Black-cup held-out-state composition",'Evaluation Plan'!E3,""))))</x:f>
        <x:v>0</x:v>
      </x:c>
      <x:c r="F3" s="8" t="str">
        <x:f>'Evaluation Plan'!F3</x:f>
        <x:v>white cup B</x:v>
      </x:c>
      <x:c r="G3" s="7"/>
      <x:c r="H3" s="8" t="str">
        <x:f>'Evaluation Plan'!H3</x:f>
        <x:v>Exact-scene opposite-state contrast</x:v>
      </x:c>
      <x:c r="I3" s="8" t="str">
        <x:f>'Evaluation Plan'!I3</x:f>
        <x:v>SR-F01</x:v>
      </x:c>
      <x:c r="J3" s="8" t="str">
        <x:f>'Evaluation Plan'!J3</x:f>
        <x:v>open</x:v>
      </x:c>
      <x:c r="K3" s="8" t="n">
        <x:f>'Evaluation Plan'!K3</x:f>
        <x:v>3</x:v>
      </x:c>
      <x:c r="L3" s="8" t="str">
        <x:f>'Evaluation Plan'!L3</x:f>
        <x:v>2 — Exact-scene opposite-state contrast — State-word counterfactual (closed→open)</x:v>
      </x:c>
      <x:c r="M3" s="8" t="n">
        <x:f>'Evaluation Plan'!M3</x:f>
        <x:v>1</x:v>
      </x:c>
      <x:c r="N3" s="7" t="str">
        <x:f>'Evaluation Plan'!N3</x:f>
        <x:v>Reset the canonical target to its marked position. Preserve every object and state; change only the queried state word and expected target.</x:v>
      </x:c>
      <x:c r="O3" s="7" t="str">
        <x:f>'Evaluation Plan'!O3</x:f>
        <x:v>Exact-scene semantic counterfactual. The state word switches to the opposite state and the correct target switches to the other same-category instance.</x:v>
      </x:c>
      <x:c r="P3" s="7" t="str">
        <x:f>IF('Evaluation Plan'!P3=0,"",'Evaluation Plan'!P3)</x:f>
      </x:c>
    </x:row>
    <x:row r="4" ht="58" customHeight="1">
      <x:c r="A4" s="8" t="str">
        <x:v>Not collected</x:v>
      </x:c>
      <x:c r="B4" s="8" t="n">
        <x:f>'Evaluation Plan'!B4</x:f>
        <x:v>2</x:v>
      </x:c>
      <x:c r="C4" s="7" t="str">
        <x:f>'Evaluation Plan'!C4</x:f>
        <x:v>Move the white cup that is closed into the bowl.</x:v>
      </x:c>
      <x:c r="D4" s="7" t="str">
        <x:f>'Evaluation Plan'!D4</x:f>
        <x:v>P1 white cup A (C, UR) [TARGET]; P2 white cup B (O, UR) [STATE COMPETITOR]; P3 yellow-white striped cup A (O, UR)</x:v>
      </x:c>
      <x:c r="E4" s="8" t="n">
        <x:f>IF('Evaluation Plan'!H4="Exact-scene opposite-state contrast",'Evaluation Plan'!E4,IF('Evaluation Plan'!H4="Language robustness",'Evaluation Plan'!E4,IF('Evaluation Plan'!H4="Matched manipulation control",'Evaluation Plan'!E4,IF('Evaluation Plan'!H4="Black-cup held-out-state composition",'Evaluation Plan'!E4,""))))</x:f>
        <x:v>0</x:v>
      </x:c>
      <x:c r="F4" s="8" t="str">
        <x:f>'Evaluation Plan'!F4</x:f>
        <x:v>white cup A</x:v>
      </x:c>
      <x:c r="G4" s="7"/>
      <x:c r="H4" s="8" t="str">
        <x:f>'Evaluation Plan'!H4</x:f>
        <x:v>Language robustness</x:v>
      </x:c>
      <x:c r="I4" s="8" t="str">
        <x:f>'Evaluation Plan'!I4</x:f>
        <x:v>SR-F01</x:v>
      </x:c>
      <x:c r="J4" s="8" t="str">
        <x:f>'Evaluation Plan'!J4</x:f>
        <x:v>closed</x:v>
      </x:c>
      <x:c r="K4" s="8" t="n">
        <x:f>'Evaluation Plan'!K4</x:f>
        <x:v>3</x:v>
      </x:c>
      <x:c r="L4" s="8" t="str">
        <x:f>'Evaluation Plan'!L4</x:f>
        <x:v>3 — Exact-scene transfer paraphrase — Paraphrase of concept/compositional-transfer prompt</x:v>
      </x:c>
      <x:c r="M4" s="8" t="n">
        <x:f>'Evaluation Plan'!M4</x:f>
        <x:v>1</x:v>
      </x:c>
      <x:c r="N4" s="7" t="str">
        <x:f>'Evaluation Plan'!N4</x:f>
        <x:v>Reset only the moved target; change only the prompt wording.</x:v>
      </x:c>
      <x:c r="O4" s="7" t="str">
        <x:f>'Evaluation Plan'!O4</x:f>
        <x:v>Exact-scene language pair for the state-bearing transfer prompt.</x:v>
      </x:c>
      <x:c r="P4" s="7" t="str">
        <x:f>IF('Evaluation Plan'!P4=0,"",'Evaluation Plan'!P4)</x:f>
      </x:c>
    </x:row>
    <x:row r="5" ht="58" customHeight="1">
      <x:c r="A5" s="8" t="str">
        <x:v>Not collected</x:v>
      </x:c>
      <x:c r="B5" s="8" t="n">
        <x:f>'Evaluation Plan'!B5</x:f>
        <x:v>3</x:v>
      </x:c>
      <x:c r="C5" s="7" t="str">
        <x:f>'Evaluation Plan'!C5</x:f>
        <x:v>Place the white cup in the bowl.</x:v>
      </x:c>
      <x:c r="D5" s="7" t="str">
        <x:f>'Evaluation Plan'!D5</x:f>
        <x:v>P1 white cup A (C, UR) [TARGET]; P2 brown cup B (O, UR) [NEUTRAL REPLACEMENT]; P3 yellow-white striped cup A (O, UR)</x:v>
      </x:c>
      <x:c r="E5" s="8" t="n">
        <x:f>IF('Evaluation Plan'!H5="Exact-scene opposite-state contrast",'Evaluation Plan'!E5,IF('Evaluation Plan'!H5="Language robustness",'Evaluation Plan'!E5,IF('Evaluation Plan'!H5="Matched manipulation control",'Evaluation Plan'!E5,IF('Evaluation Plan'!H5="Black-cup held-out-state composition",'Evaluation Plan'!E5,""))))</x:f>
        <x:v>0</x:v>
      </x:c>
      <x:c r="F5" s="8" t="str">
        <x:f>'Evaluation Plan'!F5</x:f>
        <x:v>white cup A</x:v>
      </x:c>
      <x:c r="G5" s="7"/>
      <x:c r="H5" s="8" t="str">
        <x:f>'Evaluation Plan'!H5</x:f>
        <x:v>Matched manipulation control</x:v>
      </x:c>
      <x:c r="I5" s="8" t="str">
        <x:f>'Evaluation Plan'!I5</x:f>
        <x:v>SR-F01</x:v>
      </x:c>
      <x:c r="J5" s="8" t="str">
        <x:f>'Evaluation Plan'!J5</x:f>
        <x:v>closed</x:v>
      </x:c>
      <x:c r="K5" s="8" t="n">
        <x:f>'Evaluation Plan'!K5</x:f>
        <x:v>3</x:v>
      </x:c>
      <x:c r="L5" s="8" t="str">
        <x:f>'Evaluation Plan'!L5</x:f>
        <x:v>4 — Matched control — Category-only control with 3 objects</x:v>
      </x:c>
      <x:c r="M5" s="8" t="n">
        <x:f>'Evaluation Plan'!M5</x:f>
        <x:v>1</x:v>
      </x:c>
      <x:c r="N5" s="7" t="str">
        <x:f>'Evaluation Plan'!N5</x:f>
        <x:v>Reset the target; replace the same-category state competitor with brown cup B at the same position. Keep object count, other objects, camera, and bowl fixed.</x:v>
      </x:c>
      <x:c r="O5" s="7" t="str">
        <x:f>'Evaluation Plan'!O5</x:f>
        <x:v>The neutral replacement removes category ambiguity without changing the three- or four-object set size.</x:v>
      </x:c>
      <x:c r="P5" s="7" t="str">
        <x:f>IF('Evaluation Plan'!P5=0,"",'Evaluation Plan'!P5)</x:f>
      </x:c>
    </x:row>
    <x:row r="6" ht="58" customHeight="1">
      <x:c r="A6" s="9" t="str">
        <x:v>Not collected</x:v>
      </x:c>
      <x:c r="B6" s="9" t="n">
        <x:f>'Evaluation Plan'!B6</x:f>
        <x:v>4</x:v>
      </x:c>
      <x:c r="C6" s="10" t="str">
        <x:f>'Evaluation Plan'!C6</x:f>
        <x:v>Put the open yellow-white striped cup in the bowl.</x:v>
      </x:c>
      <x:c r="D6" s="10" t="str">
        <x:f>'Evaluation Plan'!D6</x:f>
        <x:v>P1 white cup B (C, UD); P2 yellow-white striped cup B (O, UD) [TARGET]; P3 yellow-white striped cup A (C, UD) [STATE COMPETITOR]</x:v>
      </x:c>
      <x:c r="E6" s="9" t="str">
        <x:f>IF('Evaluation Plan'!H6="Exact-scene opposite-state contrast",'Evaluation Plan'!E6,IF('Evaluation Plan'!H6="Language robustness",'Evaluation Plan'!E6,IF('Evaluation Plan'!H6="Matched manipulation control",'Evaluation Plan'!E6,IF('Evaluation Plan'!H6="Black-cup held-out-state composition",'Evaluation Plan'!E6,""))))</x:f>
      </x:c>
      <x:c r="F6" s="9" t="str">
        <x:f>'Evaluation Plan'!F6</x:f>
        <x:v>yellow-white striped cup B</x:v>
      </x:c>
      <x:c r="G6" s="10"/>
      <x:c r="H6" s="9" t="str">
        <x:f>'Evaluation Plan'!H6</x:f>
        <x:v>Concept/compositional transfer</x:v>
      </x:c>
      <x:c r="I6" s="9" t="str">
        <x:f>'Evaluation Plan'!I6</x:f>
        <x:v>SR-F02</x:v>
      </x:c>
      <x:c r="J6" s="9" t="str">
        <x:f>'Evaluation Plan'!J6</x:f>
        <x:v>open</x:v>
      </x:c>
      <x:c r="K6" s="9" t="n">
        <x:f>'Evaluation Plan'!K6</x:f>
        <x:v>3</x:v>
      </x:c>
      <x:c r="L6" s="9" t="str">
        <x:f>'Evaluation Plan'!L6</x:f>
        <x:v>1 — Canonical transfer — Seen state word in a new scene (open)</x:v>
      </x:c>
      <x:c r="M6" s="9" t="n">
        <x:f>'Evaluation Plan'!M6</x:f>
        <x:v>2</x:v>
      </x:c>
      <x:c r="N6" s="10" t="str">
        <x:f>'Evaluation Plan'!N6</x:f>
        <x:v>Build the marked same-category discrimination scene. Save a first-frame image or filename.</x:v>
      </x:c>
      <x:c r="O6" s="10" t="str">
        <x:f>'Evaluation Plan'!O6</x:f>
        <x:v>Two objects match the named category; only the state word selects the target. Target and competitor differ only on the queried state axis.</x:v>
      </x:c>
      <x:c r="P6" s="10" t="str">
        <x:f>IF('Evaluation Plan'!P6=0,"",'Evaluation Plan'!P6)</x:f>
      </x:c>
    </x:row>
    <x:row r="7" ht="58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Move the closed yellow-white striped cup into the bowl.</x:v>
      </x:c>
      <x:c r="D7" s="7" t="str">
        <x:f>'Evaluation Plan'!D7</x:f>
        <x:v>P1 white cup B (C, UD); P2 yellow-white striped cup B (O, UD) [STATE COMPETITOR]; P3 yellow-white striped cup A (C, UD) [TARGET]</x:v>
      </x:c>
      <x:c r="E7" s="8" t="n">
        <x:f>IF('Evaluation Plan'!H7="Exact-scene opposite-state contrast",'Evaluation Plan'!E7,IF('Evaluation Plan'!H7="Language robustness",'Evaluation Plan'!E7,IF('Evaluation Plan'!H7="Matched manipulation control",'Evaluation Plan'!E7,IF('Evaluation Plan'!H7="Black-cup held-out-state composition",'Evaluation Plan'!E7,""))))</x:f>
        <x:v>4</x:v>
      </x:c>
      <x:c r="F7" s="8" t="str">
        <x:f>'Evaluation Plan'!F7</x:f>
        <x:v>yellow-white striped cup A</x:v>
      </x:c>
      <x:c r="G7" s="7"/>
      <x:c r="H7" s="8" t="str">
        <x:f>'Evaluation Plan'!H7</x:f>
        <x:v>Exact-scene opposite-state contrast</x:v>
      </x:c>
      <x:c r="I7" s="8" t="str">
        <x:f>'Evaluation Plan'!I7</x:f>
        <x:v>SR-F02</x:v>
      </x:c>
      <x:c r="J7" s="8" t="str">
        <x:f>'Evaluation Plan'!J7</x:f>
        <x:v>closed</x:v>
      </x:c>
      <x:c r="K7" s="8" t="n">
        <x:f>'Evaluation Plan'!K7</x:f>
        <x:v>3</x:v>
      </x:c>
      <x:c r="L7" s="8" t="str">
        <x:f>'Evaluation Plan'!L7</x:f>
        <x:v>2 — Exact-scene opposite-state contrast — State-word counterfactual (open→closed)</x:v>
      </x:c>
      <x:c r="M7" s="8" t="n">
        <x:f>'Evaluation Plan'!M7</x:f>
        <x:v>2</x:v>
      </x:c>
      <x:c r="N7" s="7" t="str">
        <x:f>'Evaluation Plan'!N7</x:f>
        <x:v>Reset the canonical target to its marked position. Preserve every object and state; change only the queried state word and expected target.</x:v>
      </x:c>
      <x:c r="O7" s="7" t="str">
        <x:f>'Evaluation Plan'!O7</x:f>
        <x:v>Exact-scene semantic counterfactual. The state word switches to the opposite state and the correct target switches to the other same-category instance.</x:v>
      </x:c>
      <x:c r="P7" s="7" t="str">
        <x:f>IF('Evaluation Plan'!P7=0,"",'Evaluation Plan'!P7)</x:f>
      </x:c>
    </x:row>
    <x:row r="8" ht="58" customHeight="1">
      <x:c r="A8" s="8" t="str">
        <x:v>Not collected</x:v>
      </x:c>
      <x:c r="B8" s="8" t="n">
        <x:f>'Evaluation Plan'!B8</x:f>
        <x:v>6</x:v>
      </x:c>
      <x:c r="C8" s="7" t="str">
        <x:f>'Evaluation Plan'!C8</x:f>
        <x:v>Put the yellow-white striped cup with its opening uncovered in the bowl.</x:v>
      </x:c>
      <x:c r="D8" s="7" t="str">
        <x:f>'Evaluation Plan'!D8</x:f>
        <x:v>P1 white cup B (C, UD); P2 yellow-white striped cup B (O, UD) [TARGET]; P3 yellow-white striped cup A (C, UD) [STATE COMPETITOR]</x:v>
      </x:c>
      <x:c r="E8" s="8" t="n">
        <x:f>IF('Evaluation Plan'!H8="Exact-scene opposite-state contrast",'Evaluation Plan'!E8,IF('Evaluation Plan'!H8="Language robustness",'Evaluation Plan'!E8,IF('Evaluation Plan'!H8="Matched manipulation control",'Evaluation Plan'!E8,IF('Evaluation Plan'!H8="Black-cup held-out-state composition",'Evaluation Plan'!E8,""))))</x:f>
        <x:v>4</x:v>
      </x:c>
      <x:c r="F8" s="8" t="str">
        <x:f>'Evaluation Plan'!F8</x:f>
        <x:v>yellow-white striped cup B</x:v>
      </x:c>
      <x:c r="G8" s="7"/>
      <x:c r="H8" s="8" t="str">
        <x:f>'Evaluation Plan'!H8</x:f>
        <x:v>Language robustness</x:v>
      </x:c>
      <x:c r="I8" s="8" t="str">
        <x:f>'Evaluation Plan'!I8</x:f>
        <x:v>SR-F02</x:v>
      </x:c>
      <x:c r="J8" s="8" t="str">
        <x:f>'Evaluation Plan'!J8</x:f>
        <x:v>open</x:v>
      </x:c>
      <x:c r="K8" s="8" t="n">
        <x:f>'Evaluation Plan'!K8</x:f>
        <x:v>3</x:v>
      </x:c>
      <x:c r="L8" s="8" t="str">
        <x:f>'Evaluation Plan'!L8</x:f>
        <x:v>3 — Exact-scene transfer paraphrase — Paraphrase of concept/compositional-transfer prompt</x:v>
      </x:c>
      <x:c r="M8" s="8" t="n">
        <x:f>'Evaluation Plan'!M8</x:f>
        <x:v>2</x:v>
      </x:c>
      <x:c r="N8" s="7" t="str">
        <x:f>'Evaluation Plan'!N8</x:f>
        <x:v>Reset only the moved target; change only the prompt wording.</x:v>
      </x:c>
      <x:c r="O8" s="7" t="str">
        <x:f>'Evaluation Plan'!O8</x:f>
        <x:v>Exact-scene language pair for the state-bearing transfer prompt.</x:v>
      </x:c>
      <x:c r="P8" s="7" t="str">
        <x:f>IF('Evaluation Plan'!P8=0,"",'Evaluation Plan'!P8)</x:f>
      </x:c>
    </x:row>
    <x:row r="9" ht="58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Put the yellow-white striped cup in the bowl.</x:v>
      </x:c>
      <x:c r="D9" s="7" t="str">
        <x:f>'Evaluation Plan'!D9</x:f>
        <x:v>P1 white cup B (C, UD); P2 yellow-white striped cup B (O, UD) [TARGET]; P3 glass spice container A (C, UD) [NEUTRAL REPLACEMENT]</x:v>
      </x:c>
      <x:c r="E9" s="8" t="n">
        <x:f>IF('Evaluation Plan'!H9="Exact-scene opposite-state contrast",'Evaluation Plan'!E9,IF('Evaluation Plan'!H9="Language robustness",'Evaluation Plan'!E9,IF('Evaluation Plan'!H9="Matched manipulation control",'Evaluation Plan'!E9,IF('Evaluation Plan'!H9="Black-cup held-out-state composition",'Evaluation Plan'!E9,""))))</x:f>
        <x:v>4</x:v>
      </x:c>
      <x:c r="F9" s="8" t="str">
        <x:f>'Evaluation Plan'!F9</x:f>
        <x:v>yellow-white striped cup B</x:v>
      </x:c>
      <x:c r="G9" s="7"/>
      <x:c r="H9" s="8" t="str">
        <x:f>'Evaluation Plan'!H9</x:f>
        <x:v>Matched manipulation control</x:v>
      </x:c>
      <x:c r="I9" s="8" t="str">
        <x:f>'Evaluation Plan'!I9</x:f>
        <x:v>SR-F02</x:v>
      </x:c>
      <x:c r="J9" s="8" t="str">
        <x:f>'Evaluation Plan'!J9</x:f>
        <x:v>open</x:v>
      </x:c>
      <x:c r="K9" s="8" t="n">
        <x:f>'Evaluation Plan'!K9</x:f>
        <x:v>3</x:v>
      </x:c>
      <x:c r="L9" s="8" t="str">
        <x:f>'Evaluation Plan'!L9</x:f>
        <x:v>4 — Matched control — Category-only control with 3 objects</x:v>
      </x:c>
      <x:c r="M9" s="8" t="n">
        <x:f>'Evaluation Plan'!M9</x:f>
        <x:v>2</x:v>
      </x:c>
      <x:c r="N9" s="7" t="str">
        <x:f>'Evaluation Plan'!N9</x:f>
        <x:v>Reset the target; replace the same-category state competitor with glass spice container A at the same position. Keep object count, other objects, camera, and bowl fixed.</x:v>
      </x:c>
      <x:c r="O9" s="7" t="str">
        <x:f>'Evaluation Plan'!O9</x:f>
        <x:v>The neutral replacement removes category ambiguity without changing the three- or four-object set size.</x:v>
      </x:c>
      <x:c r="P9" s="7" t="str">
        <x:f>IF('Evaluation Plan'!P9=0,"",'Evaluation Plan'!P9)</x:f>
      </x:c>
    </x:row>
    <x:row r="10" ht="58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Move the upright brown cup into the bowl.</x:v>
      </x:c>
      <x:c r="D10" s="10" t="str">
        <x:f>'Evaluation Plan'!D10</x:f>
        <x:v>P1 brown cup B (O, UD) [STATE COMPETITOR]; P2 white cup B (C, UD); P3 brown cup A (O, UR) [TARGET]</x:v>
      </x:c>
      <x:c r="E10" s="9" t="str">
        <x:f>IF('Evaluation Plan'!H10="Exact-scene opposite-state contrast",'Evaluation Plan'!E10,IF('Evaluation Plan'!H10="Language robustness",'Evaluation Plan'!E10,IF('Evaluation Plan'!H10="Matched manipulation control",'Evaluation Plan'!E10,IF('Evaluation Plan'!H10="Black-cup held-out-state composition",'Evaluation Plan'!E10,""))))</x:f>
      </x:c>
      <x:c r="F10" s="9" t="str">
        <x:f>'Evaluation Plan'!F10</x:f>
        <x:v>brown cup A</x:v>
      </x:c>
      <x:c r="G10" s="10"/>
      <x:c r="H10" s="9" t="str">
        <x:f>'Evaluation Plan'!H10</x:f>
        <x:v>Concept/compositional transfer</x:v>
      </x:c>
      <x:c r="I10" s="9" t="str">
        <x:f>'Evaluation Plan'!I10</x:f>
        <x:v>SR-F03</x:v>
      </x:c>
      <x:c r="J10" s="9" t="str">
        <x:f>'Evaluation Plan'!J10</x:f>
        <x:v>upright</x:v>
      </x:c>
      <x:c r="K10" s="9" t="n">
        <x:f>'Evaluation Plan'!K10</x:f>
        <x:v>3</x:v>
      </x:c>
      <x:c r="L10" s="9" t="str">
        <x:f>'Evaluation Plan'!L10</x:f>
        <x:v>1 — Canonical transfer — Held-out state word + known category (upright)</x:v>
      </x:c>
      <x:c r="M10" s="9" t="n">
        <x:f>'Evaluation Plan'!M10</x:f>
        <x:v>3</x:v>
      </x:c>
      <x:c r="N10" s="10" t="str">
        <x:f>'Evaluation Plan'!N10</x:f>
        <x:v>Build the marked same-category discrimination scene. Save a first-frame image or filename.</x:v>
      </x:c>
      <x:c r="O10" s="10" t="str">
        <x:f>'Evaluation Plan'!O10</x:f>
        <x:v>Two objects match the named category; only the state word selects the target. Target and competitor differ only on the queried state axis.</x:v>
      </x:c>
      <x:c r="P10" s="10" t="str">
        <x:f>IF('Evaluation Plan'!P10=0,"",'Evaluation Plan'!P10)</x:f>
      </x:c>
    </x:row>
    <x:row r="11" ht="58" customHeight="1">
      <x:c r="A11" s="8" t="str">
        <x:v>Not collected</x:v>
      </x:c>
      <x:c r="B11" s="8" t="n">
        <x:f>'Evaluation Plan'!B11</x:f>
        <x:v>9</x:v>
      </x:c>
      <x:c r="C11" s="7" t="str">
        <x:f>'Evaluation Plan'!C11</x:f>
        <x:v>Place the upside-down brown cup in the bowl.</x:v>
      </x:c>
      <x:c r="D11" s="7" t="str">
        <x:f>'Evaluation Plan'!D11</x:f>
        <x:v>P1 brown cup B (O, UD) [TARGET]; P2 white cup B (C, UD); P3 brown cup A (O, UR) [STATE COMPETITOR]</x:v>
      </x:c>
      <x:c r="E11" s="8" t="n">
        <x:f>IF('Evaluation Plan'!H11="Exact-scene opposite-state contrast",'Evaluation Plan'!E11,IF('Evaluation Plan'!H11="Language robustness",'Evaluation Plan'!E11,IF('Evaluation Plan'!H11="Matched manipulation control",'Evaluation Plan'!E11,IF('Evaluation Plan'!H11="Black-cup held-out-state composition",'Evaluation Plan'!E11,""))))</x:f>
        <x:v>8</x:v>
      </x:c>
      <x:c r="F11" s="8" t="str">
        <x:f>'Evaluation Plan'!F11</x:f>
        <x:v>brown cup B</x:v>
      </x:c>
      <x:c r="G11" s="7"/>
      <x:c r="H11" s="8" t="str">
        <x:f>'Evaluation Plan'!H11</x:f>
        <x:v>Exact-scene opposite-state contrast</x:v>
      </x:c>
      <x:c r="I11" s="8" t="str">
        <x:f>'Evaluation Plan'!I11</x:f>
        <x:v>SR-F03</x:v>
      </x:c>
      <x:c r="J11" s="8" t="str">
        <x:f>'Evaluation Plan'!J11</x:f>
        <x:v>upside-down</x:v>
      </x:c>
      <x:c r="K11" s="8" t="n">
        <x:f>'Evaluation Plan'!K11</x:f>
        <x:v>3</x:v>
      </x:c>
      <x:c r="L11" s="8" t="str">
        <x:f>'Evaluation Plan'!L11</x:f>
        <x:v>2 — Exact-scene opposite-state contrast — State-word counterfactual (upright→upside-down)</x:v>
      </x:c>
      <x:c r="M11" s="8" t="n">
        <x:f>'Evaluation Plan'!M11</x:f>
        <x:v>3</x:v>
      </x:c>
      <x:c r="N11" s="7" t="str">
        <x:f>'Evaluation Plan'!N11</x:f>
        <x:v>Reset the canonical target to its marked position. Preserve every object and state; change only the queried state word and expected target.</x:v>
      </x:c>
      <x:c r="O11" s="7" t="str">
        <x:f>'Evaluation Plan'!O11</x:f>
        <x:v>Exact-scene semantic counterfactual. The state word switches to the opposite state and the correct target switches to the other same-category instance.</x:v>
      </x:c>
      <x:c r="P11" s="7" t="str">
        <x:f>IF('Evaluation Plan'!P11=0,"",'Evaluation Plan'!P11)</x:f>
      </x:c>
    </x:row>
    <x:row r="12" ht="58" customHeight="1">
      <x:c r="A12" s="8" t="str">
        <x:v>Not collected</x:v>
      </x:c>
      <x:c r="B12" s="8" t="n">
        <x:f>'Evaluation Plan'!B12</x:f>
        <x:v>10</x:v>
      </x:c>
      <x:c r="C12" s="7" t="str">
        <x:f>'Evaluation Plan'!C12</x:f>
        <x:v>Find the upright brown cup and place it in the bowl.</x:v>
      </x:c>
      <x:c r="D12" s="7" t="str">
        <x:f>'Evaluation Plan'!D12</x:f>
        <x:v>P1 brown cup B (O, UD) [STATE COMPETITOR]; P2 white cup B (C, UD); P3 brown cup A (O, UR) [TARGET]</x:v>
      </x:c>
      <x:c r="E12" s="8" t="n">
        <x:f>IF('Evaluation Plan'!H12="Exact-scene opposite-state contrast",'Evaluation Plan'!E12,IF('Evaluation Plan'!H12="Language robustness",'Evaluation Plan'!E12,IF('Evaluation Plan'!H12="Matched manipulation control",'Evaluation Plan'!E12,IF('Evaluation Plan'!H12="Black-cup held-out-state composition",'Evaluation Plan'!E12,""))))</x:f>
        <x:v>8</x:v>
      </x:c>
      <x:c r="F12" s="8" t="str">
        <x:f>'Evaluation Plan'!F12</x:f>
        <x:v>brown cup A</x:v>
      </x:c>
      <x:c r="G12" s="7"/>
      <x:c r="H12" s="8" t="str">
        <x:f>'Evaluation Plan'!H12</x:f>
        <x:v>Language robustness</x:v>
      </x:c>
      <x:c r="I12" s="8" t="str">
        <x:f>'Evaluation Plan'!I12</x:f>
        <x:v>SR-F03</x:v>
      </x:c>
      <x:c r="J12" s="8" t="str">
        <x:f>'Evaluation Plan'!J12</x:f>
        <x:v>upright</x:v>
      </x:c>
      <x:c r="K12" s="8" t="n">
        <x:f>'Evaluation Plan'!K12</x:f>
        <x:v>3</x:v>
      </x:c>
      <x:c r="L12" s="8" t="str">
        <x:f>'Evaluation Plan'!L12</x:f>
        <x:v>3 — Exact-scene transfer paraphrase — Paraphrase of concept/compositional-transfer prompt</x:v>
      </x:c>
      <x:c r="M12" s="8" t="n">
        <x:f>'Evaluation Plan'!M12</x:f>
        <x:v>3</x:v>
      </x:c>
      <x:c r="N12" s="7" t="str">
        <x:f>'Evaluation Plan'!N12</x:f>
        <x:v>Reset only the moved target; change only the prompt wording.</x:v>
      </x:c>
      <x:c r="O12" s="7" t="str">
        <x:f>'Evaluation Plan'!O12</x:f>
        <x:v>Exact-scene language pair for the state-bearing transfer prompt.</x:v>
      </x:c>
      <x:c r="P12" s="7" t="str">
        <x:f>IF('Evaluation Plan'!P12=0,"",'Evaluation Plan'!P12)</x:f>
      </x:c>
    </x:row>
    <x:row r="13" ht="58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Move the brown cup into the bowl.</x:v>
      </x:c>
      <x:c r="D13" s="7" t="str">
        <x:f>'Evaluation Plan'!D13</x:f>
        <x:v>P1 yellow-white striped cup B (O, UD) [NEUTRAL REPLACEMENT]; P2 white cup B (C, UD); P3 brown cup A (O, UR) [TARGET]</x:v>
      </x:c>
      <x:c r="E13" s="8" t="n">
        <x:f>IF('Evaluation Plan'!H13="Exact-scene opposite-state contrast",'Evaluation Plan'!E13,IF('Evaluation Plan'!H13="Language robustness",'Evaluation Plan'!E13,IF('Evaluation Plan'!H13="Matched manipulation control",'Evaluation Plan'!E13,IF('Evaluation Plan'!H13="Black-cup held-out-state composition",'Evaluation Plan'!E13,""))))</x:f>
        <x:v>8</x:v>
      </x:c>
      <x:c r="F13" s="8" t="str">
        <x:f>'Evaluation Plan'!F13</x:f>
        <x:v>brown cup A</x:v>
      </x:c>
      <x:c r="G13" s="7"/>
      <x:c r="H13" s="8" t="str">
        <x:f>'Evaluation Plan'!H13</x:f>
        <x:v>Matched manipulation control</x:v>
      </x:c>
      <x:c r="I13" s="8" t="str">
        <x:f>'Evaluation Plan'!I13</x:f>
        <x:v>SR-F03</x:v>
      </x:c>
      <x:c r="J13" s="8" t="str">
        <x:f>'Evaluation Plan'!J13</x:f>
        <x:v>upright</x:v>
      </x:c>
      <x:c r="K13" s="8" t="n">
        <x:f>'Evaluation Plan'!K13</x:f>
        <x:v>3</x:v>
      </x:c>
      <x:c r="L13" s="8" t="str">
        <x:f>'Evaluation Plan'!L13</x:f>
        <x:v>4 — Matched control — Category-only control with 3 objects</x:v>
      </x:c>
      <x:c r="M13" s="8" t="n">
        <x:f>'Evaluation Plan'!M13</x:f>
        <x:v>3</x:v>
      </x:c>
      <x:c r="N13" s="7" t="str">
        <x:f>'Evaluation Plan'!N13</x:f>
        <x:v>Reset the target; replace the same-category state competitor with yellow-white striped cup B at the same position. Keep object count, other objects, camera, and bowl fixed.</x:v>
      </x:c>
      <x:c r="O13" s="7" t="str">
        <x:f>'Evaluation Plan'!O13</x:f>
        <x:v>The neutral replacement removes category ambiguity without changing the three- or four-object set size.</x:v>
      </x:c>
      <x:c r="P13" s="7" t="str">
        <x:f>IF('Evaluation Plan'!P13=0,"",'Evaluation Plan'!P13)</x:f>
      </x:c>
    </x:row>
    <x:row r="14" ht="58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Place the upside-down glass spice container in the bowl.</x:v>
      </x:c>
      <x:c r="D14" s="10" t="str">
        <x:f>'Evaluation Plan'!D14</x:f>
        <x:v>P1 glass spice container B (C, UD) [TARGET]; P2 glass spice container A (C, UR) [STATE COMPETITOR]; P3 white cup B (C, UD)</x:v>
      </x:c>
      <x:c r="E14" s="9" t="str">
        <x:f>IF('Evaluation Plan'!H14="Exact-scene opposite-state contrast",'Evaluation Plan'!E14,IF('Evaluation Plan'!H14="Language robustness",'Evaluation Plan'!E14,IF('Evaluation Plan'!H14="Matched manipulation control",'Evaluation Plan'!E14,IF('Evaluation Plan'!H14="Black-cup held-out-state composition",'Evaluation Plan'!E14,""))))</x:f>
      </x:c>
      <x:c r="F14" s="9" t="str">
        <x:f>'Evaluation Plan'!F14</x:f>
        <x:v>glass spice container B</x:v>
      </x:c>
      <x:c r="G14" s="10"/>
      <x:c r="H14" s="9" t="str">
        <x:f>'Evaluation Plan'!H14</x:f>
        <x:v>Concept/compositional transfer</x:v>
      </x:c>
      <x:c r="I14" s="9" t="str">
        <x:f>'Evaluation Plan'!I14</x:f>
        <x:v>SR-F04</x:v>
      </x:c>
      <x:c r="J14" s="9" t="str">
        <x:f>'Evaluation Plan'!J14</x:f>
        <x:v>upside-down</x:v>
      </x:c>
      <x:c r="K14" s="9" t="n">
        <x:f>'Evaluation Plan'!K14</x:f>
        <x:v>3</x:v>
      </x:c>
      <x:c r="L14" s="9" t="str">
        <x:f>'Evaluation Plan'!L14</x:f>
        <x:v>1 — Canonical transfer — Seen state word in a new scene (upside-down)</x:v>
      </x:c>
      <x:c r="M14" s="9" t="n">
        <x:f>'Evaluation Plan'!M14</x:f>
        <x:v>4</x:v>
      </x:c>
      <x:c r="N14" s="10" t="str">
        <x:f>'Evaluation Plan'!N14</x:f>
        <x:v>Build the marked same-category discrimination scene. Save a first-frame image or filename.</x:v>
      </x:c>
      <x:c r="O14" s="10" t="str">
        <x:f>'Evaluation Plan'!O14</x:f>
        <x:v>Two objects match the named category; only the state word selects the target. Target and competitor differ only on the queried state axis.</x:v>
      </x:c>
      <x:c r="P14" s="10" t="str">
        <x:f>IF('Evaluation Plan'!P14=0,"",'Evaluation Plan'!P14)</x:f>
      </x:c>
    </x:row>
    <x:row r="15" ht="58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Put the upright glass spice container in the bowl.</x:v>
      </x:c>
      <x:c r="D15" s="7" t="str">
        <x:f>'Evaluation Plan'!D15</x:f>
        <x:v>P1 glass spice container B (C, UD) [STATE COMPETITOR]; P2 glass spice container A (C, UR) [TARGET]; P3 white cup B (C, UD)</x:v>
      </x:c>
      <x:c r="E15" s="8" t="n">
        <x:f>IF('Evaluation Plan'!H15="Exact-scene opposite-state contrast",'Evaluation Plan'!E15,IF('Evaluation Plan'!H15="Language robustness",'Evaluation Plan'!E15,IF('Evaluation Plan'!H15="Matched manipulation control",'Evaluation Plan'!E15,IF('Evaluation Plan'!H15="Black-cup held-out-state composition",'Evaluation Plan'!E15,""))))</x:f>
        <x:v>12</x:v>
      </x:c>
      <x:c r="F15" s="8" t="str">
        <x:f>'Evaluation Plan'!F15</x:f>
        <x:v>glass spice container A</x:v>
      </x:c>
      <x:c r="G15" s="7"/>
      <x:c r="H15" s="8" t="str">
        <x:f>'Evaluation Plan'!H15</x:f>
        <x:v>Exact-scene opposite-state contrast</x:v>
      </x:c>
      <x:c r="I15" s="8" t="str">
        <x:f>'Evaluation Plan'!I15</x:f>
        <x:v>SR-F04</x:v>
      </x:c>
      <x:c r="J15" s="8" t="str">
        <x:f>'Evaluation Plan'!J15</x:f>
        <x:v>upright</x:v>
      </x:c>
      <x:c r="K15" s="8" t="n">
        <x:f>'Evaluation Plan'!K15</x:f>
        <x:v>3</x:v>
      </x:c>
      <x:c r="L15" s="8" t="str">
        <x:f>'Evaluation Plan'!L15</x:f>
        <x:v>2 — Exact-scene opposite-state contrast — State-word counterfactual (upside-down→upright)</x:v>
      </x:c>
      <x:c r="M15" s="8" t="n">
        <x:f>'Evaluation Plan'!M15</x:f>
        <x:v>4</x:v>
      </x:c>
      <x:c r="N15" s="7" t="str">
        <x:f>'Evaluation Plan'!N15</x:f>
        <x:v>Reset the canonical target to its marked position. Preserve every object and state; change only the queried state word and expected target.</x:v>
      </x:c>
      <x:c r="O15" s="7" t="str">
        <x:f>'Evaluation Plan'!O15</x:f>
        <x:v>Exact-scene semantic counterfactual. The state word switches to the opposite state and the correct target switches to the other same-category instance.</x:v>
      </x:c>
      <x:c r="P15" s="7" t="str">
        <x:f>IF('Evaluation Plan'!P15=0,"",'Evaluation Plan'!P15)</x:f>
      </x:c>
    </x:row>
    <x:row r="16" ht="58" customHeight="1">
      <x:c r="A16" s="8" t="str">
        <x:v>Not collected</x:v>
      </x:c>
      <x:c r="B16" s="8" t="n">
        <x:f>'Evaluation Plan'!B16</x:f>
        <x:v>14</x:v>
      </x:c>
      <x:c r="C16" s="7" t="str">
        <x:f>'Evaluation Plan'!C16</x:f>
        <x:v>Place the overturned glass spice container in the bowl.</x:v>
      </x:c>
      <x:c r="D16" s="7" t="str">
        <x:f>'Evaluation Plan'!D16</x:f>
        <x:v>P1 glass spice container B (C, UD) [TARGET]; P2 glass spice container A (C, UR) [STATE COMPETITOR]; P3 white cup B (C, UD)</x:v>
      </x:c>
      <x:c r="E16" s="8" t="n">
        <x:f>IF('Evaluation Plan'!H16="Exact-scene opposite-state contrast",'Evaluation Plan'!E16,IF('Evaluation Plan'!H16="Language robustness",'Evaluation Plan'!E16,IF('Evaluation Plan'!H16="Matched manipulation control",'Evaluation Plan'!E16,IF('Evaluation Plan'!H16="Black-cup held-out-state composition",'Evaluation Plan'!E16,""))))</x:f>
        <x:v>12</x:v>
      </x:c>
      <x:c r="F16" s="8" t="str">
        <x:f>'Evaluation Plan'!F16</x:f>
        <x:v>glass spice container B</x:v>
      </x:c>
      <x:c r="G16" s="7"/>
      <x:c r="H16" s="8" t="str">
        <x:f>'Evaluation Plan'!H16</x:f>
        <x:v>Language robustness</x:v>
      </x:c>
      <x:c r="I16" s="8" t="str">
        <x:f>'Evaluation Plan'!I16</x:f>
        <x:v>SR-F04</x:v>
      </x:c>
      <x:c r="J16" s="8" t="str">
        <x:f>'Evaluation Plan'!J16</x:f>
        <x:v>upside-down</x:v>
      </x:c>
      <x:c r="K16" s="8" t="n">
        <x:f>'Evaluation Plan'!K16</x:f>
        <x:v>3</x:v>
      </x:c>
      <x:c r="L16" s="8" t="str">
        <x:f>'Evaluation Plan'!L16</x:f>
        <x:v>3 — Exact-scene transfer paraphrase — Paraphrase of concept/compositional-transfer prompt</x:v>
      </x:c>
      <x:c r="M16" s="8" t="n">
        <x:f>'Evaluation Plan'!M16</x:f>
        <x:v>4</x:v>
      </x:c>
      <x:c r="N16" s="7" t="str">
        <x:f>'Evaluation Plan'!N16</x:f>
        <x:v>Reset only the moved target; change only the prompt wording.</x:v>
      </x:c>
      <x:c r="O16" s="7" t="str">
        <x:f>'Evaluation Plan'!O16</x:f>
        <x:v>Exact-scene language pair for the state-bearing transfer prompt.</x:v>
      </x:c>
      <x:c r="P16" s="7" t="str">
        <x:f>IF('Evaluation Plan'!P16=0,"",'Evaluation Plan'!P16)</x:f>
      </x:c>
    </x:row>
    <x:row r="17" ht="58" customHeight="1">
      <x:c r="A17" s="8" t="str">
        <x:v>Not collected</x:v>
      </x:c>
      <x:c r="B17" s="8" t="n">
        <x:f>'Evaluation Plan'!B17</x:f>
        <x:v>15</x:v>
      </x:c>
      <x:c r="C17" s="7" t="str">
        <x:f>'Evaluation Plan'!C17</x:f>
        <x:v>Place the glass spice container in the bowl.</x:v>
      </x:c>
      <x:c r="D17" s="7" t="str">
        <x:f>'Evaluation Plan'!D17</x:f>
        <x:v>P1 glass spice container B (C, UD) [TARGET]; P2 brown cup A (C, UR) [NEUTRAL REPLACEMENT]; P3 white cup B (C, UD)</x:v>
      </x:c>
      <x:c r="E17" s="8" t="n">
        <x:f>IF('Evaluation Plan'!H17="Exact-scene opposite-state contrast",'Evaluation Plan'!E17,IF('Evaluation Plan'!H17="Language robustness",'Evaluation Plan'!E17,IF('Evaluation Plan'!H17="Matched manipulation control",'Evaluation Plan'!E17,IF('Evaluation Plan'!H17="Black-cup held-out-state composition",'Evaluation Plan'!E17,""))))</x:f>
        <x:v>12</x:v>
      </x:c>
      <x:c r="F17" s="8" t="str">
        <x:f>'Evaluation Plan'!F17</x:f>
        <x:v>glass spice container B</x:v>
      </x:c>
      <x:c r="G17" s="7"/>
      <x:c r="H17" s="8" t="str">
        <x:f>'Evaluation Plan'!H17</x:f>
        <x:v>Matched manipulation control</x:v>
      </x:c>
      <x:c r="I17" s="8" t="str">
        <x:f>'Evaluation Plan'!I17</x:f>
        <x:v>SR-F04</x:v>
      </x:c>
      <x:c r="J17" s="8" t="str">
        <x:f>'Evaluation Plan'!J17</x:f>
        <x:v>upside-down</x:v>
      </x:c>
      <x:c r="K17" s="8" t="n">
        <x:f>'Evaluation Plan'!K17</x:f>
        <x:v>3</x:v>
      </x:c>
      <x:c r="L17" s="8" t="str">
        <x:f>'Evaluation Plan'!L17</x:f>
        <x:v>4 — Matched control — Category-only control with 3 objects</x:v>
      </x:c>
      <x:c r="M17" s="8" t="n">
        <x:f>'Evaluation Plan'!M17</x:f>
        <x:v>4</x:v>
      </x:c>
      <x:c r="N17" s="7" t="str">
        <x:f>'Evaluation Plan'!N17</x:f>
        <x:v>Reset the target; replace the same-category state competitor with brown cup A at the same position. Keep object count, other objects, camera, and bowl fixed.</x:v>
      </x:c>
      <x:c r="O17" s="7" t="str">
        <x:f>'Evaluation Plan'!O17</x:f>
        <x:v>The neutral replacement removes category ambiguity without changing the three- or four-object set size.</x:v>
      </x:c>
      <x:c r="P17" s="7" t="str">
        <x:f>IF('Evaluation Plan'!P17=0,"",'Evaluation Plan'!P17)</x:f>
      </x:c>
    </x:row>
    <x:row r="18" ht="58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Put the closed yellow-white striped cup in the bowl.</x:v>
      </x:c>
      <x:c r="D18" s="10" t="str">
        <x:f>'Evaluation Plan'!D18</x:f>
        <x:v>P1 white cup A (O, UR); P2 yellow-white striped cup A (C, UR) [TARGET]; P3 yellow-white striped cup B (O, UR) [STATE COMPETITOR]</x:v>
      </x:c>
      <x:c r="E18" s="9" t="str">
        <x:f>IF('Evaluation Plan'!H18="Exact-scene opposite-state contrast",'Evaluation Plan'!E18,IF('Evaluation Plan'!H18="Language robustness",'Evaluation Plan'!E18,IF('Evaluation Plan'!H18="Matched manipulation control",'Evaluation Plan'!E18,IF('Evaluation Plan'!H18="Black-cup held-out-state composition",'Evaluation Plan'!E18,""))))</x:f>
      </x:c>
      <x:c r="F18" s="9" t="str">
        <x:f>'Evaluation Plan'!F18</x:f>
        <x:v>yellow-white striped cup A</x:v>
      </x:c>
      <x:c r="G18" s="10"/>
      <x:c r="H18" s="9" t="str">
        <x:f>'Evaluation Plan'!H18</x:f>
        <x:v>Concept/compositional transfer</x:v>
      </x:c>
      <x:c r="I18" s="9" t="str">
        <x:f>'Evaluation Plan'!I18</x:f>
        <x:v>SR-F05</x:v>
      </x:c>
      <x:c r="J18" s="9" t="str">
        <x:f>'Evaluation Plan'!J18</x:f>
        <x:v>closed</x:v>
      </x:c>
      <x:c r="K18" s="9" t="n">
        <x:f>'Evaluation Plan'!K18</x:f>
        <x:v>3</x:v>
      </x:c>
      <x:c r="L18" s="9" t="str">
        <x:f>'Evaluation Plan'!L18</x:f>
        <x:v>1 — Canonical transfer — Held-out state word + known category (closed)</x:v>
      </x:c>
      <x:c r="M18" s="9" t="n">
        <x:f>'Evaluation Plan'!M18</x:f>
        <x:v>5</x:v>
      </x:c>
      <x:c r="N18" s="10" t="str">
        <x:f>'Evaluation Plan'!N18</x:f>
        <x:v>Build the marked same-category discrimination scene. Save a first-frame image or filename.</x:v>
      </x:c>
      <x:c r="O18" s="10" t="str">
        <x:f>'Evaluation Plan'!O18</x:f>
        <x:v>Two objects match the named category; only the state word selects the target. Target and competitor differ only on the queried state axis.</x:v>
      </x:c>
      <x:c r="P18" s="10" t="str">
        <x:f>IF('Evaluation Plan'!P18=0,"",'Evaluation Plan'!P18)</x:f>
      </x:c>
    </x:row>
    <x:row r="19" ht="58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Move the open yellow-white striped cup into the bowl.</x:v>
      </x:c>
      <x:c r="D19" s="7" t="str">
        <x:f>'Evaluation Plan'!D19</x:f>
        <x:v>P1 white cup A (O, UR); P2 yellow-white striped cup A (C, UR) [STATE COMPETITOR]; P3 yellow-white striped cup B (O, UR) [TARGET]</x:v>
      </x:c>
      <x:c r="E19" s="8" t="n">
        <x:f>IF('Evaluation Plan'!H19="Exact-scene opposite-state contrast",'Evaluation Plan'!E19,IF('Evaluation Plan'!H19="Language robustness",'Evaluation Plan'!E19,IF('Evaluation Plan'!H19="Matched manipulation control",'Evaluation Plan'!E19,IF('Evaluation Plan'!H19="Black-cup held-out-state composition",'Evaluation Plan'!E19,""))))</x:f>
        <x:v>16</x:v>
      </x:c>
      <x:c r="F19" s="8" t="str">
        <x:f>'Evaluation Plan'!F19</x:f>
        <x:v>yellow-white striped cup B</x:v>
      </x:c>
      <x:c r="G19" s="7"/>
      <x:c r="H19" s="8" t="str">
        <x:f>'Evaluation Plan'!H19</x:f>
        <x:v>Exact-scene opposite-state contrast</x:v>
      </x:c>
      <x:c r="I19" s="8" t="str">
        <x:f>'Evaluation Plan'!I19</x:f>
        <x:v>SR-F05</x:v>
      </x:c>
      <x:c r="J19" s="8" t="str">
        <x:f>'Evaluation Plan'!J19</x:f>
        <x:v>open</x:v>
      </x:c>
      <x:c r="K19" s="8" t="n">
        <x:f>'Evaluation Plan'!K19</x:f>
        <x:v>3</x:v>
      </x:c>
      <x:c r="L19" s="8" t="str">
        <x:f>'Evaluation Plan'!L19</x:f>
        <x:v>2 — Exact-scene opposite-state contrast — State-word counterfactual (closed→open)</x:v>
      </x:c>
      <x:c r="M19" s="8" t="n">
        <x:f>'Evaluation Plan'!M19</x:f>
        <x:v>5</x:v>
      </x:c>
      <x:c r="N19" s="7" t="str">
        <x:f>'Evaluation Plan'!N19</x:f>
        <x:v>Reset the canonical target to its marked position. Preserve every object and state; change only the queried state word and expected target.</x:v>
      </x:c>
      <x:c r="O19" s="7" t="str">
        <x:f>'Evaluation Plan'!O19</x:f>
        <x:v>Exact-scene semantic counterfactual. The state word switches to the opposite state and the correct target switches to the other same-category instance.</x:v>
      </x:c>
      <x:c r="P19" s="7" t="str">
        <x:f>IF('Evaluation Plan'!P19=0,"",'Evaluation Plan'!P19)</x:f>
      </x:c>
    </x:row>
    <x:row r="20" ht="58" customHeight="1">
      <x:c r="A20" s="8" t="str">
        <x:v>Not collected</x:v>
      </x:c>
      <x:c r="B20" s="8" t="n">
        <x:f>'Evaluation Plan'!B20</x:f>
        <x:v>18</x:v>
      </x:c>
      <x:c r="C20" s="7" t="str">
        <x:f>'Evaluation Plan'!C20</x:f>
        <x:v>Move the closed yellow-white striped cup into the bowl.</x:v>
      </x:c>
      <x:c r="D20" s="7" t="str">
        <x:f>'Evaluation Plan'!D20</x:f>
        <x:v>P1 white cup A (O, UR); P2 yellow-white striped cup A (C, UR) [TARGET]; P3 yellow-white striped cup B (O, UR) [STATE COMPETITOR]</x:v>
      </x:c>
      <x:c r="E20" s="8" t="n">
        <x:f>IF('Evaluation Plan'!H20="Exact-scene opposite-state contrast",'Evaluation Plan'!E20,IF('Evaluation Plan'!H20="Language robustness",'Evaluation Plan'!E20,IF('Evaluation Plan'!H20="Matched manipulation control",'Evaluation Plan'!E20,IF('Evaluation Plan'!H20="Black-cup held-out-state composition",'Evaluation Plan'!E20,""))))</x:f>
        <x:v>16</x:v>
      </x:c>
      <x:c r="F20" s="8" t="str">
        <x:f>'Evaluation Plan'!F20</x:f>
        <x:v>yellow-white striped cup A</x:v>
      </x:c>
      <x:c r="G20" s="7"/>
      <x:c r="H20" s="8" t="str">
        <x:f>'Evaluation Plan'!H20</x:f>
        <x:v>Language robustness</x:v>
      </x:c>
      <x:c r="I20" s="8" t="str">
        <x:f>'Evaluation Plan'!I20</x:f>
        <x:v>SR-F05</x:v>
      </x:c>
      <x:c r="J20" s="8" t="str">
        <x:f>'Evaluation Plan'!J20</x:f>
        <x:v>closed</x:v>
      </x:c>
      <x:c r="K20" s="8" t="n">
        <x:f>'Evaluation Plan'!K20</x:f>
        <x:v>3</x:v>
      </x:c>
      <x:c r="L20" s="8" t="str">
        <x:f>'Evaluation Plan'!L20</x:f>
        <x:v>3 — Exact-scene transfer paraphrase — Paraphrase of concept/compositional-transfer prompt</x:v>
      </x:c>
      <x:c r="M20" s="8" t="n">
        <x:f>'Evaluation Plan'!M20</x:f>
        <x:v>5</x:v>
      </x:c>
      <x:c r="N20" s="7" t="str">
        <x:f>'Evaluation Plan'!N20</x:f>
        <x:v>Reset only the moved target; change only the prompt wording.</x:v>
      </x:c>
      <x:c r="O20" s="7" t="str">
        <x:f>'Evaluation Plan'!O20</x:f>
        <x:v>Exact-scene language pair for the state-bearing transfer prompt.</x:v>
      </x:c>
      <x:c r="P20" s="7" t="str">
        <x:f>IF('Evaluation Plan'!P20=0,"",'Evaluation Plan'!P20)</x:f>
      </x:c>
    </x:row>
    <x:row r="21" ht="58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Put the yellow-white striped cup in the bowl.</x:v>
      </x:c>
      <x:c r="D21" s="7" t="str">
        <x:f>'Evaluation Plan'!D21</x:f>
        <x:v>P1 white cup A (O, UR); P2 yellow-white striped cup A (C, UR) [TARGET]; P3 brown cup B (O, UR) [NEUTRAL REPLACEMENT]</x:v>
      </x:c>
      <x:c r="E21" s="8" t="n">
        <x:f>IF('Evaluation Plan'!H21="Exact-scene opposite-state contrast",'Evaluation Plan'!E21,IF('Evaluation Plan'!H21="Language robustness",'Evaluation Plan'!E21,IF('Evaluation Plan'!H21="Matched manipulation control",'Evaluation Plan'!E21,IF('Evaluation Plan'!H21="Black-cup held-out-state composition",'Evaluation Plan'!E21,""))))</x:f>
        <x:v>16</x:v>
      </x:c>
      <x:c r="F21" s="8" t="str">
        <x:f>'Evaluation Plan'!F21</x:f>
        <x:v>yellow-white striped cup A</x:v>
      </x:c>
      <x:c r="G21" s="7"/>
      <x:c r="H21" s="8" t="str">
        <x:f>'Evaluation Plan'!H21</x:f>
        <x:v>Matched manipulation control</x:v>
      </x:c>
      <x:c r="I21" s="8" t="str">
        <x:f>'Evaluation Plan'!I21</x:f>
        <x:v>SR-F05</x:v>
      </x:c>
      <x:c r="J21" s="8" t="str">
        <x:f>'Evaluation Plan'!J21</x:f>
        <x:v>closed</x:v>
      </x:c>
      <x:c r="K21" s="8" t="n">
        <x:f>'Evaluation Plan'!K21</x:f>
        <x:v>3</x:v>
      </x:c>
      <x:c r="L21" s="8" t="str">
        <x:f>'Evaluation Plan'!L21</x:f>
        <x:v>4 — Matched control — Category-only control with 3 objects</x:v>
      </x:c>
      <x:c r="M21" s="8" t="n">
        <x:f>'Evaluation Plan'!M21</x:f>
        <x:v>5</x:v>
      </x:c>
      <x:c r="N21" s="7" t="str">
        <x:f>'Evaluation Plan'!N21</x:f>
        <x:v>Reset the target; replace the same-category state competitor with brown cup B at the same position. Keep object count, other objects, camera, and bowl fixed.</x:v>
      </x:c>
      <x:c r="O21" s="7" t="str">
        <x:f>'Evaluation Plan'!O21</x:f>
        <x:v>The neutral replacement removes category ambiguity without changing the three- or four-object set size.</x:v>
      </x:c>
      <x:c r="P21" s="7" t="str">
        <x:f>IF('Evaluation Plan'!P21=0,"",'Evaluation Plan'!P21)</x:f>
      </x:c>
    </x:row>
    <x:row r="22" ht="58" customHeight="1">
      <x:c r="A22" s="9" t="str">
        <x:v>Not collected</x:v>
      </x:c>
      <x:c r="B22" s="9" t="n">
        <x:f>'Evaluation Plan'!B22</x:f>
        <x:v>20</x:v>
      </x:c>
      <x:c r="C22" s="10" t="str">
        <x:f>'Evaluation Plan'!C22</x:f>
        <x:v>Move the open brown cup into the bowl.</x:v>
      </x:c>
      <x:c r="D22" s="10" t="str">
        <x:f>'Evaluation Plan'!D22</x:f>
        <x:v>P1 brown cup A (C, UD) [STATE COMPETITOR]; P2 white cup A (O, UR); P3 brown cup B (O, UD) [TARGET]</x:v>
      </x:c>
      <x:c r="E22" s="9" t="str">
        <x:f>IF('Evaluation Plan'!H22="Exact-scene opposite-state contrast",'Evaluation Plan'!E22,IF('Evaluation Plan'!H22="Language robustness",'Evaluation Plan'!E22,IF('Evaluation Plan'!H22="Matched manipulation control",'Evaluation Plan'!E22,IF('Evaluation Plan'!H22="Black-cup held-out-state composition",'Evaluation Plan'!E22,""))))</x:f>
      </x:c>
      <x:c r="F22" s="9" t="str">
        <x:f>'Evaluation Plan'!F22</x:f>
        <x:v>brown cup B</x:v>
      </x:c>
      <x:c r="G22" s="10"/>
      <x:c r="H22" s="9" t="str">
        <x:f>'Evaluation Plan'!H22</x:f>
        <x:v>Concept/compositional transfer</x:v>
      </x:c>
      <x:c r="I22" s="9" t="str">
        <x:f>'Evaluation Plan'!I22</x:f>
        <x:v>SR-F06</x:v>
      </x:c>
      <x:c r="J22" s="9" t="str">
        <x:f>'Evaluation Plan'!J22</x:f>
        <x:v>open</x:v>
      </x:c>
      <x:c r="K22" s="9" t="n">
        <x:f>'Evaluation Plan'!K22</x:f>
        <x:v>3</x:v>
      </x:c>
      <x:c r="L22" s="9" t="str">
        <x:f>'Evaluation Plan'!L22</x:f>
        <x:v>1 — Canonical transfer — Seen state word in a new scene (open)</x:v>
      </x:c>
      <x:c r="M22" s="9" t="n">
        <x:f>'Evaluation Plan'!M22</x:f>
        <x:v>6</x:v>
      </x:c>
      <x:c r="N22" s="10" t="str">
        <x:f>'Evaluation Plan'!N22</x:f>
        <x:v>Build the marked same-category discrimination scene. Save a first-frame image or filename.</x:v>
      </x:c>
      <x:c r="O22" s="10" t="str">
        <x:f>'Evaluation Plan'!O22</x:f>
        <x:v>Two objects match the named category; only the state word selects the target. Target and competitor differ only on the queried state axis.</x:v>
      </x:c>
      <x:c r="P22" s="10" t="str">
        <x:f>IF('Evaluation Plan'!P22=0,"",'Evaluation Plan'!P22)</x:f>
      </x:c>
    </x:row>
    <x:row r="23" ht="58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Place the closed brown cup in the bowl.</x:v>
      </x:c>
      <x:c r="D23" s="7" t="str">
        <x:f>'Evaluation Plan'!D23</x:f>
        <x:v>P1 brown cup A (C, UD) [TARGET]; P2 white cup A (O, UR); P3 brown cup B (O, UD) [STATE COMPETITOR]</x:v>
      </x:c>
      <x:c r="E23" s="8" t="n">
        <x:f>IF('Evaluation Plan'!H23="Exact-scene opposite-state contrast",'Evaluation Plan'!E23,IF('Evaluation Plan'!H23="Language robustness",'Evaluation Plan'!E23,IF('Evaluation Plan'!H23="Matched manipulation control",'Evaluation Plan'!E23,IF('Evaluation Plan'!H23="Black-cup held-out-state composition",'Evaluation Plan'!E23,""))))</x:f>
        <x:v>20</x:v>
      </x:c>
      <x:c r="F23" s="8" t="str">
        <x:f>'Evaluation Plan'!F23</x:f>
        <x:v>brown cup A</x:v>
      </x:c>
      <x:c r="G23" s="7"/>
      <x:c r="H23" s="8" t="str">
        <x:f>'Evaluation Plan'!H23</x:f>
        <x:v>Exact-scene opposite-state contrast</x:v>
      </x:c>
      <x:c r="I23" s="8" t="str">
        <x:f>'Evaluation Plan'!I23</x:f>
        <x:v>SR-F06</x:v>
      </x:c>
      <x:c r="J23" s="8" t="str">
        <x:f>'Evaluation Plan'!J23</x:f>
        <x:v>closed</x:v>
      </x:c>
      <x:c r="K23" s="8" t="n">
        <x:f>'Evaluation Plan'!K23</x:f>
        <x:v>3</x:v>
      </x:c>
      <x:c r="L23" s="8" t="str">
        <x:f>'Evaluation Plan'!L23</x:f>
        <x:v>2 — Exact-scene opposite-state contrast — State-word counterfactual (open→closed)</x:v>
      </x:c>
      <x:c r="M23" s="8" t="n">
        <x:f>'Evaluation Plan'!M23</x:f>
        <x:v>6</x:v>
      </x:c>
      <x:c r="N23" s="7" t="str">
        <x:f>'Evaluation Plan'!N23</x:f>
        <x:v>Reset the canonical target to its marked position. Preserve every object and state; change only the queried state word and expected target.</x:v>
      </x:c>
      <x:c r="O23" s="7" t="str">
        <x:f>'Evaluation Plan'!O23</x:f>
        <x:v>Exact-scene semantic counterfactual. The state word switches to the opposite state and the correct target switches to the other same-category instance.</x:v>
      </x:c>
      <x:c r="P23" s="7" t="str">
        <x:f>IF('Evaluation Plan'!P23=0,"",'Evaluation Plan'!P23)</x:f>
      </x:c>
    </x:row>
    <x:row r="24" ht="58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Move the brown cup that is open into the bowl.</x:v>
      </x:c>
      <x:c r="D24" s="7" t="str">
        <x:f>'Evaluation Plan'!D24</x:f>
        <x:v>P1 brown cup A (C, UD) [STATE COMPETITOR]; P2 white cup A (O, UR); P3 brown cup B (O, UD) [TARGET]</x:v>
      </x:c>
      <x:c r="E24" s="8" t="n">
        <x:f>IF('Evaluation Plan'!H24="Exact-scene opposite-state contrast",'Evaluation Plan'!E24,IF('Evaluation Plan'!H24="Language robustness",'Evaluation Plan'!E24,IF('Evaluation Plan'!H24="Matched manipulation control",'Evaluation Plan'!E24,IF('Evaluation Plan'!H24="Black-cup held-out-state composition",'Evaluation Plan'!E24,""))))</x:f>
        <x:v>20</x:v>
      </x:c>
      <x:c r="F24" s="8" t="str">
        <x:f>'Evaluation Plan'!F24</x:f>
        <x:v>brown cup B</x:v>
      </x:c>
      <x:c r="G24" s="7"/>
      <x:c r="H24" s="8" t="str">
        <x:f>'Evaluation Plan'!H24</x:f>
        <x:v>Language robustness</x:v>
      </x:c>
      <x:c r="I24" s="8" t="str">
        <x:f>'Evaluation Plan'!I24</x:f>
        <x:v>SR-F06</x:v>
      </x:c>
      <x:c r="J24" s="8" t="str">
        <x:f>'Evaluation Plan'!J24</x:f>
        <x:v>open</x:v>
      </x:c>
      <x:c r="K24" s="8" t="n">
        <x:f>'Evaluation Plan'!K24</x:f>
        <x:v>3</x:v>
      </x:c>
      <x:c r="L24" s="8" t="str">
        <x:f>'Evaluation Plan'!L24</x:f>
        <x:v>3 — Exact-scene transfer paraphrase — Paraphrase of concept/compositional-transfer prompt</x:v>
      </x:c>
      <x:c r="M24" s="8" t="n">
        <x:f>'Evaluation Plan'!M24</x:f>
        <x:v>6</x:v>
      </x:c>
      <x:c r="N24" s="7" t="str">
        <x:f>'Evaluation Plan'!N24</x:f>
        <x:v>Reset only the moved target; change only the prompt wording.</x:v>
      </x:c>
      <x:c r="O24" s="7" t="str">
        <x:f>'Evaluation Plan'!O24</x:f>
        <x:v>Exact-scene language pair for the state-bearing transfer prompt.</x:v>
      </x:c>
      <x:c r="P24" s="7" t="str">
        <x:f>IF('Evaluation Plan'!P24=0,"",'Evaluation Plan'!P24)</x:f>
      </x:c>
    </x:row>
    <x:row r="25" ht="58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Move the brown cup into the bowl.</x:v>
      </x:c>
      <x:c r="D25" s="7" t="str">
        <x:f>'Evaluation Plan'!D25</x:f>
        <x:v>P1 glass spice container A (C, UD) [NEUTRAL REPLACEMENT]; P2 white cup A (O, UR); P3 brown cup B (O, UD) [TARGET]</x:v>
      </x:c>
      <x:c r="E25" s="8" t="n">
        <x:f>IF('Evaluation Plan'!H25="Exact-scene opposite-state contrast",'Evaluation Plan'!E25,IF('Evaluation Plan'!H25="Language robustness",'Evaluation Plan'!E25,IF('Evaluation Plan'!H25="Matched manipulation control",'Evaluation Plan'!E25,IF('Evaluation Plan'!H25="Black-cup held-out-state composition",'Evaluation Plan'!E25,""))))</x:f>
        <x:v>20</x:v>
      </x:c>
      <x:c r="F25" s="8" t="str">
        <x:f>'Evaluation Plan'!F25</x:f>
        <x:v>brown cup B</x:v>
      </x:c>
      <x:c r="G25" s="7"/>
      <x:c r="H25" s="8" t="str">
        <x:f>'Evaluation Plan'!H25</x:f>
        <x:v>Matched manipulation control</x:v>
      </x:c>
      <x:c r="I25" s="8" t="str">
        <x:f>'Evaluation Plan'!I25</x:f>
        <x:v>SR-F06</x:v>
      </x:c>
      <x:c r="J25" s="8" t="str">
        <x:f>'Evaluation Plan'!J25</x:f>
        <x:v>open</x:v>
      </x:c>
      <x:c r="K25" s="8" t="n">
        <x:f>'Evaluation Plan'!K25</x:f>
        <x:v>3</x:v>
      </x:c>
      <x:c r="L25" s="8" t="str">
        <x:f>'Evaluation Plan'!L25</x:f>
        <x:v>4 — Matched control — Category-only control with 3 objects</x:v>
      </x:c>
      <x:c r="M25" s="8" t="n">
        <x:f>'Evaluation Plan'!M25</x:f>
        <x:v>6</x:v>
      </x:c>
      <x:c r="N25" s="7" t="str">
        <x:f>'Evaluation Plan'!N25</x:f>
        <x:v>Reset the target; replace the same-category state competitor with glass spice container A at the same position. Keep object count, other objects, camera, and bowl fixed.</x:v>
      </x:c>
      <x:c r="O25" s="7" t="str">
        <x:f>'Evaluation Plan'!O25</x:f>
        <x:v>The neutral replacement removes category ambiguity without changing the three- or four-object set size.</x:v>
      </x:c>
      <x:c r="P25" s="7" t="str">
        <x:f>IF('Evaluation Plan'!P25=0,"",'Evaluation Plan'!P25)</x:f>
      </x:c>
    </x:row>
    <x:row r="26" ht="58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Place the upright glass spice container in the bowl.</x:v>
      </x:c>
      <x:c r="D26" s="10" t="str">
        <x:f>'Evaluation Plan'!D26</x:f>
        <x:v>P1 glass spice container A (O, UR) [TARGET]; P2 glass spice container B (O, UD) [STATE COMPETITOR]; P3 white cup A (O, UR)</x:v>
      </x:c>
      <x:c r="E26" s="9" t="str">
        <x:f>IF('Evaluation Plan'!H26="Exact-scene opposite-state contrast",'Evaluation Plan'!E26,IF('Evaluation Plan'!H26="Language robustness",'Evaluation Plan'!E26,IF('Evaluation Plan'!H26="Matched manipulation control",'Evaluation Plan'!E26,IF('Evaluation Plan'!H26="Black-cup held-out-state composition",'Evaluation Plan'!E26,""))))</x:f>
      </x:c>
      <x:c r="F26" s="9" t="str">
        <x:f>'Evaluation Plan'!F26</x:f>
        <x:v>glass spice container A</x:v>
      </x:c>
      <x:c r="G26" s="10"/>
      <x:c r="H26" s="9" t="str">
        <x:f>'Evaluation Plan'!H26</x:f>
        <x:v>Concept/compositional transfer</x:v>
      </x:c>
      <x:c r="I26" s="9" t="str">
        <x:f>'Evaluation Plan'!I26</x:f>
        <x:v>SR-F07</x:v>
      </x:c>
      <x:c r="J26" s="9" t="str">
        <x:f>'Evaluation Plan'!J26</x:f>
        <x:v>upright</x:v>
      </x:c>
      <x:c r="K26" s="9" t="n">
        <x:f>'Evaluation Plan'!K26</x:f>
        <x:v>3</x:v>
      </x:c>
      <x:c r="L26" s="9" t="str">
        <x:f>'Evaluation Plan'!L26</x:f>
        <x:v>1 — Canonical transfer — Held-out state word + known category (upright)</x:v>
      </x:c>
      <x:c r="M26" s="9" t="n">
        <x:f>'Evaluation Plan'!M26</x:f>
        <x:v>7</x:v>
      </x:c>
      <x:c r="N26" s="10" t="str">
        <x:f>'Evaluation Plan'!N26</x:f>
        <x:v>Build the marked same-category discrimination scene. Save a first-frame image or filename.</x:v>
      </x:c>
      <x:c r="O26" s="10" t="str">
        <x:f>'Evaluation Plan'!O26</x:f>
        <x:v>Two objects match the named category; only the state word selects the target. Target and competitor differ only on the queried state axis.</x:v>
      </x:c>
      <x:c r="P26" s="10" t="str">
        <x:f>IF('Evaluation Plan'!P26=0,"",'Evaluation Plan'!P26)</x:f>
      </x:c>
    </x:row>
    <x:row r="27" ht="58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Put the upside-down glass spice container in the bowl.</x:v>
      </x:c>
      <x:c r="D27" s="7" t="str">
        <x:f>'Evaluation Plan'!D27</x:f>
        <x:v>P1 glass spice container A (O, UR) [STATE COMPETITOR]; P2 glass spice container B (O, UD) [TARGET]; P3 white cup A (O, UR)</x:v>
      </x:c>
      <x:c r="E27" s="8" t="n">
        <x:f>IF('Evaluation Plan'!H27="Exact-scene opposite-state contrast",'Evaluation Plan'!E27,IF('Evaluation Plan'!H27="Language robustness",'Evaluation Plan'!E27,IF('Evaluation Plan'!H27="Matched manipulation control",'Evaluation Plan'!E27,IF('Evaluation Plan'!H27="Black-cup held-out-state composition",'Evaluation Plan'!E27,""))))</x:f>
        <x:v>24</x:v>
      </x:c>
      <x:c r="F27" s="8" t="str">
        <x:f>'Evaluation Plan'!F27</x:f>
        <x:v>glass spice container B</x:v>
      </x:c>
      <x:c r="G27" s="7"/>
      <x:c r="H27" s="8" t="str">
        <x:f>'Evaluation Plan'!H27</x:f>
        <x:v>Exact-scene opposite-state contrast</x:v>
      </x:c>
      <x:c r="I27" s="8" t="str">
        <x:f>'Evaluation Plan'!I27</x:f>
        <x:v>SR-F07</x:v>
      </x:c>
      <x:c r="J27" s="8" t="str">
        <x:f>'Evaluation Plan'!J27</x:f>
        <x:v>upside-down</x:v>
      </x:c>
      <x:c r="K27" s="8" t="n">
        <x:f>'Evaluation Plan'!K27</x:f>
        <x:v>3</x:v>
      </x:c>
      <x:c r="L27" s="8" t="str">
        <x:f>'Evaluation Plan'!L27</x:f>
        <x:v>2 — Exact-scene opposite-state contrast — State-word counterfactual (upright→upside-down)</x:v>
      </x:c>
      <x:c r="M27" s="8" t="n">
        <x:f>'Evaluation Plan'!M27</x:f>
        <x:v>7</x:v>
      </x:c>
      <x:c r="N27" s="7" t="str">
        <x:f>'Evaluation Plan'!N27</x:f>
        <x:v>Reset the canonical target to its marked position. Preserve every object and state; change only the queried state word and expected target.</x:v>
      </x:c>
      <x:c r="O27" s="7" t="str">
        <x:f>'Evaluation Plan'!O27</x:f>
        <x:v>Exact-scene semantic counterfactual. The state word switches to the opposite state and the correct target switches to the other same-category instance.</x:v>
      </x:c>
      <x:c r="P27" s="7" t="str">
        <x:f>IF('Evaluation Plan'!P27=0,"",'Evaluation Plan'!P27)</x:f>
      </x:c>
    </x:row>
    <x:row r="28" ht="58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Put the right-side-up glass spice container in the bowl.</x:v>
      </x:c>
      <x:c r="D28" s="7" t="str">
        <x:f>'Evaluation Plan'!D28</x:f>
        <x:v>P1 glass spice container A (O, UR) [TARGET]; P2 glass spice container B (O, UD) [STATE COMPETITOR]; P3 white cup A (O, UR)</x:v>
      </x:c>
      <x:c r="E28" s="8" t="n">
        <x:f>IF('Evaluation Plan'!H28="Exact-scene opposite-state contrast",'Evaluation Plan'!E28,IF('Evaluation Plan'!H28="Language robustness",'Evaluation Plan'!E28,IF('Evaluation Plan'!H28="Matched manipulation control",'Evaluation Plan'!E28,IF('Evaluation Plan'!H28="Black-cup held-out-state composition",'Evaluation Plan'!E28,""))))</x:f>
        <x:v>24</x:v>
      </x:c>
      <x:c r="F28" s="8" t="str">
        <x:f>'Evaluation Plan'!F28</x:f>
        <x:v>glass spice container A</x:v>
      </x:c>
      <x:c r="G28" s="7"/>
      <x:c r="H28" s="8" t="str">
        <x:f>'Evaluation Plan'!H28</x:f>
        <x:v>Language robustness</x:v>
      </x:c>
      <x:c r="I28" s="8" t="str">
        <x:f>'Evaluation Plan'!I28</x:f>
        <x:v>SR-F07</x:v>
      </x:c>
      <x:c r="J28" s="8" t="str">
        <x:f>'Evaluation Plan'!J28</x:f>
        <x:v>upright</x:v>
      </x:c>
      <x:c r="K28" s="8" t="n">
        <x:f>'Evaluation Plan'!K28</x:f>
        <x:v>3</x:v>
      </x:c>
      <x:c r="L28" s="8" t="str">
        <x:f>'Evaluation Plan'!L28</x:f>
        <x:v>3 — Exact-scene transfer paraphrase — Paraphrase of concept/compositional-transfer prompt</x:v>
      </x:c>
      <x:c r="M28" s="8" t="n">
        <x:f>'Evaluation Plan'!M28</x:f>
        <x:v>7</x:v>
      </x:c>
      <x:c r="N28" s="7" t="str">
        <x:f>'Evaluation Plan'!N28</x:f>
        <x:v>Reset only the moved target; change only the prompt wording.</x:v>
      </x:c>
      <x:c r="O28" s="7" t="str">
        <x:f>'Evaluation Plan'!O28</x:f>
        <x:v>Exact-scene language pair for the state-bearing transfer prompt.</x:v>
      </x:c>
      <x:c r="P28" s="7" t="str">
        <x:f>IF('Evaluation Plan'!P28=0,"",'Evaluation Plan'!P28)</x:f>
      </x:c>
    </x:row>
    <x:row r="29" ht="58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Place the glass spice container in the bowl.</x:v>
      </x:c>
      <x:c r="D29" s="7" t="str">
        <x:f>'Evaluation Plan'!D29</x:f>
        <x:v>P1 glass spice container A (O, UR) [TARGET]; P2 yellow-white striped cup B (O, UD) [NEUTRAL REPLACEMENT]; P3 white cup A (O, UR)</x:v>
      </x:c>
      <x:c r="E29" s="8" t="n">
        <x:f>IF('Evaluation Plan'!H29="Exact-scene opposite-state contrast",'Evaluation Plan'!E29,IF('Evaluation Plan'!H29="Language robustness",'Evaluation Plan'!E29,IF('Evaluation Plan'!H29="Matched manipulation control",'Evaluation Plan'!E29,IF('Evaluation Plan'!H29="Black-cup held-out-state composition",'Evaluation Plan'!E29,""))))</x:f>
        <x:v>24</x:v>
      </x:c>
      <x:c r="F29" s="8" t="str">
        <x:f>'Evaluation Plan'!F29</x:f>
        <x:v>glass spice container A</x:v>
      </x:c>
      <x:c r="G29" s="7"/>
      <x:c r="H29" s="8" t="str">
        <x:f>'Evaluation Plan'!H29</x:f>
        <x:v>Matched manipulation control</x:v>
      </x:c>
      <x:c r="I29" s="8" t="str">
        <x:f>'Evaluation Plan'!I29</x:f>
        <x:v>SR-F07</x:v>
      </x:c>
      <x:c r="J29" s="8" t="str">
        <x:f>'Evaluation Plan'!J29</x:f>
        <x:v>upright</x:v>
      </x:c>
      <x:c r="K29" s="8" t="n">
        <x:f>'Evaluation Plan'!K29</x:f>
        <x:v>3</x:v>
      </x:c>
      <x:c r="L29" s="8" t="str">
        <x:f>'Evaluation Plan'!L29</x:f>
        <x:v>4 — Matched control — Category-only control with 3 objects</x:v>
      </x:c>
      <x:c r="M29" s="8" t="n">
        <x:f>'Evaluation Plan'!M29</x:f>
        <x:v>7</x:v>
      </x:c>
      <x:c r="N29" s="7" t="str">
        <x:f>'Evaluation Plan'!N29</x:f>
        <x:v>Reset the target; replace the same-category state competitor with yellow-white striped cup B at the same position. Keep object count, other objects, camera, and bowl fixed.</x:v>
      </x:c>
      <x:c r="O29" s="7" t="str">
        <x:f>'Evaluation Plan'!O29</x:f>
        <x:v>The neutral replacement removes category ambiguity without changing the three- or four-object set size.</x:v>
      </x:c>
      <x:c r="P29" s="7" t="str">
        <x:f>IF('Evaluation Plan'!P29=0,"",'Evaluation Plan'!P29)</x:f>
      </x:c>
    </x:row>
    <x:row r="30" ht="58" customHeight="1">
      <x:c r="A30" s="9" t="str">
        <x:v>Not collected</x:v>
      </x:c>
      <x:c r="B30" s="9" t="n">
        <x:f>'Evaluation Plan'!B30</x:f>
        <x:v>28</x:v>
      </x:c>
      <x:c r="C30" s="10" t="str">
        <x:f>'Evaluation Plan'!C30</x:f>
        <x:v>Put the upside-down white cup in the bowl.</x:v>
      </x:c>
      <x:c r="D30" s="10" t="str">
        <x:f>'Evaluation Plan'!D30</x:f>
        <x:v>P1 yellow-white striped cup B (C, UD); P2 white cup B (C, UD) [TARGET]; P3 white cup A (C, UR) [STATE COMPETITOR]</x:v>
      </x:c>
      <x:c r="E30" s="9" t="str">
        <x:f>IF('Evaluation Plan'!H30="Exact-scene opposite-state contrast",'Evaluation Plan'!E30,IF('Evaluation Plan'!H30="Language robustness",'Evaluation Plan'!E30,IF('Evaluation Plan'!H30="Matched manipulation control",'Evaluation Plan'!E30,IF('Evaluation Plan'!H30="Black-cup held-out-state composition",'Evaluation Plan'!E30,""))))</x:f>
      </x:c>
      <x:c r="F30" s="9" t="str">
        <x:f>'Evaluation Plan'!F30</x:f>
        <x:v>white cup B</x:v>
      </x:c>
      <x:c r="G30" s="10"/>
      <x:c r="H30" s="9" t="str">
        <x:f>'Evaluation Plan'!H30</x:f>
        <x:v>Concept/compositional transfer</x:v>
      </x:c>
      <x:c r="I30" s="9" t="str">
        <x:f>'Evaluation Plan'!I30</x:f>
        <x:v>SR-F08</x:v>
      </x:c>
      <x:c r="J30" s="9" t="str">
        <x:f>'Evaluation Plan'!J30</x:f>
        <x:v>upside-down</x:v>
      </x:c>
      <x:c r="K30" s="9" t="n">
        <x:f>'Evaluation Plan'!K30</x:f>
        <x:v>3</x:v>
      </x:c>
      <x:c r="L30" s="9" t="str">
        <x:f>'Evaluation Plan'!L30</x:f>
        <x:v>1 — Canonical transfer — Seen state word in a new scene (upside-down)</x:v>
      </x:c>
      <x:c r="M30" s="9" t="n">
        <x:f>'Evaluation Plan'!M30</x:f>
        <x:v>8</x:v>
      </x:c>
      <x:c r="N30" s="10" t="str">
        <x:f>'Evaluation Plan'!N30</x:f>
        <x:v>Build the marked same-category discrimination scene. Save a first-frame image or filename.</x:v>
      </x:c>
      <x:c r="O30" s="10" t="str">
        <x:f>'Evaluation Plan'!O30</x:f>
        <x:v>Two objects match the named category; only the state word selects the target. Target and competitor differ only on the queried state axis.</x:v>
      </x:c>
      <x:c r="P30" s="10" t="str">
        <x:f>IF('Evaluation Plan'!P30=0,"",'Evaluation Plan'!P30)</x:f>
      </x:c>
    </x:row>
    <x:row r="31" ht="58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Move the upright white cup into the bowl.</x:v>
      </x:c>
      <x:c r="D31" s="7" t="str">
        <x:f>'Evaluation Plan'!D31</x:f>
        <x:v>P1 yellow-white striped cup B (C, UD); P2 white cup B (C, UD) [STATE COMPETITOR]; P3 white cup A (C, UR) [TARGET]</x:v>
      </x:c>
      <x:c r="E31" s="8" t="n">
        <x:f>IF('Evaluation Plan'!H31="Exact-scene opposite-state contrast",'Evaluation Plan'!E31,IF('Evaluation Plan'!H31="Language robustness",'Evaluation Plan'!E31,IF('Evaluation Plan'!H31="Matched manipulation control",'Evaluation Plan'!E31,IF('Evaluation Plan'!H31="Black-cup held-out-state composition",'Evaluation Plan'!E31,""))))</x:f>
        <x:v>28</x:v>
      </x:c>
      <x:c r="F31" s="8" t="str">
        <x:f>'Evaluation Plan'!F31</x:f>
        <x:v>white cup A</x:v>
      </x:c>
      <x:c r="G31" s="7"/>
      <x:c r="H31" s="8" t="str">
        <x:f>'Evaluation Plan'!H31</x:f>
        <x:v>Exact-scene opposite-state contrast</x:v>
      </x:c>
      <x:c r="I31" s="8" t="str">
        <x:f>'Evaluation Plan'!I31</x:f>
        <x:v>SR-F08</x:v>
      </x:c>
      <x:c r="J31" s="8" t="str">
        <x:f>'Evaluation Plan'!J31</x:f>
        <x:v>upright</x:v>
      </x:c>
      <x:c r="K31" s="8" t="n">
        <x:f>'Evaluation Plan'!K31</x:f>
        <x:v>3</x:v>
      </x:c>
      <x:c r="L31" s="8" t="str">
        <x:f>'Evaluation Plan'!L31</x:f>
        <x:v>2 — Exact-scene opposite-state contrast — State-word counterfactual (upside-down→upright)</x:v>
      </x:c>
      <x:c r="M31" s="8" t="n">
        <x:f>'Evaluation Plan'!M31</x:f>
        <x:v>8</x:v>
      </x:c>
      <x:c r="N31" s="7" t="str">
        <x:f>'Evaluation Plan'!N31</x:f>
        <x:v>Reset the canonical target to its marked position. Preserve every object and state; change only the queried state word and expected target.</x:v>
      </x:c>
      <x:c r="O31" s="7" t="str">
        <x:f>'Evaluation Plan'!O31</x:f>
        <x:v>Exact-scene semantic counterfactual. The state word switches to the opposite state and the correct target switches to the other same-category instance.</x:v>
      </x:c>
      <x:c r="P31" s="7" t="str">
        <x:f>IF('Evaluation Plan'!P31=0,"",'Evaluation Plan'!P31)</x:f>
      </x:c>
    </x:row>
    <x:row r="32" ht="58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Find the upside-down white cup and place it in the bowl.</x:v>
      </x:c>
      <x:c r="D32" s="7" t="str">
        <x:f>'Evaluation Plan'!D32</x:f>
        <x:v>P1 yellow-white striped cup B (C, UD); P2 white cup B (C, UD) [TARGET]; P3 white cup A (C, UR) [STATE COMPETITOR]</x:v>
      </x:c>
      <x:c r="E32" s="8" t="n">
        <x:f>IF('Evaluation Plan'!H32="Exact-scene opposite-state contrast",'Evaluation Plan'!E32,IF('Evaluation Plan'!H32="Language robustness",'Evaluation Plan'!E32,IF('Evaluation Plan'!H32="Matched manipulation control",'Evaluation Plan'!E32,IF('Evaluation Plan'!H32="Black-cup held-out-state composition",'Evaluation Plan'!E32,""))))</x:f>
        <x:v>28</x:v>
      </x:c>
      <x:c r="F32" s="8" t="str">
        <x:f>'Evaluation Plan'!F32</x:f>
        <x:v>white cup B</x:v>
      </x:c>
      <x:c r="G32" s="7"/>
      <x:c r="H32" s="8" t="str">
        <x:f>'Evaluation Plan'!H32</x:f>
        <x:v>Language robustness</x:v>
      </x:c>
      <x:c r="I32" s="8" t="str">
        <x:f>'Evaluation Plan'!I32</x:f>
        <x:v>SR-F08</x:v>
      </x:c>
      <x:c r="J32" s="8" t="str">
        <x:f>'Evaluation Plan'!J32</x:f>
        <x:v>upside-down</x:v>
      </x:c>
      <x:c r="K32" s="8" t="n">
        <x:f>'Evaluation Plan'!K32</x:f>
        <x:v>3</x:v>
      </x:c>
      <x:c r="L32" s="8" t="str">
        <x:f>'Evaluation Plan'!L32</x:f>
        <x:v>3 — Exact-scene transfer paraphrase — Paraphrase of concept/compositional-transfer prompt</x:v>
      </x:c>
      <x:c r="M32" s="8" t="n">
        <x:f>'Evaluation Plan'!M32</x:f>
        <x:v>8</x:v>
      </x:c>
      <x:c r="N32" s="7" t="str">
        <x:f>'Evaluation Plan'!N32</x:f>
        <x:v>Reset only the moved target; change only the prompt wording.</x:v>
      </x:c>
      <x:c r="O32" s="7" t="str">
        <x:f>'Evaluation Plan'!O32</x:f>
        <x:v>Exact-scene language pair for the state-bearing transfer prompt.</x:v>
      </x:c>
      <x:c r="P32" s="7" t="str">
        <x:f>IF('Evaluation Plan'!P32=0,"",'Evaluation Plan'!P32)</x:f>
      </x:c>
    </x:row>
    <x:row r="33" ht="58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Put the white cup in the bowl.</x:v>
      </x:c>
      <x:c r="D33" s="7" t="str">
        <x:f>'Evaluation Plan'!D33</x:f>
        <x:v>P1 yellow-white striped cup B (C, UD); P2 white cup B (C, UD) [TARGET]; P3 glass spice container A (C, UR) [NEUTRAL REPLACEMENT]</x:v>
      </x:c>
      <x:c r="E33" s="8" t="n">
        <x:f>IF('Evaluation Plan'!H33="Exact-scene opposite-state contrast",'Evaluation Plan'!E33,IF('Evaluation Plan'!H33="Language robustness",'Evaluation Plan'!E33,IF('Evaluation Plan'!H33="Matched manipulation control",'Evaluation Plan'!E33,IF('Evaluation Plan'!H33="Black-cup held-out-state composition",'Evaluation Plan'!E33,""))))</x:f>
        <x:v>28</x:v>
      </x:c>
      <x:c r="F33" s="8" t="str">
        <x:f>'Evaluation Plan'!F33</x:f>
        <x:v>white cup B</x:v>
      </x:c>
      <x:c r="G33" s="7"/>
      <x:c r="H33" s="8" t="str">
        <x:f>'Evaluation Plan'!H33</x:f>
        <x:v>Matched manipulation control</x:v>
      </x:c>
      <x:c r="I33" s="8" t="str">
        <x:f>'Evaluation Plan'!I33</x:f>
        <x:v>SR-F08</x:v>
      </x:c>
      <x:c r="J33" s="8" t="str">
        <x:f>'Evaluation Plan'!J33</x:f>
        <x:v>upside-down</x:v>
      </x:c>
      <x:c r="K33" s="8" t="n">
        <x:f>'Evaluation Plan'!K33</x:f>
        <x:v>3</x:v>
      </x:c>
      <x:c r="L33" s="8" t="str">
        <x:f>'Evaluation Plan'!L33</x:f>
        <x:v>4 — Matched control — Category-only control with 3 objects</x:v>
      </x:c>
      <x:c r="M33" s="8" t="n">
        <x:f>'Evaluation Plan'!M33</x:f>
        <x:v>8</x:v>
      </x:c>
      <x:c r="N33" s="7" t="str">
        <x:f>'Evaluation Plan'!N33</x:f>
        <x:v>Reset the target; replace the same-category state competitor with glass spice container A at the same position. Keep object count, other objects, camera, and bowl fixed.</x:v>
      </x:c>
      <x:c r="O33" s="7" t="str">
        <x:f>'Evaluation Plan'!O33</x:f>
        <x:v>The neutral replacement removes category ambiguity without changing the three- or four-object set size.</x:v>
      </x:c>
      <x:c r="P33" s="7" t="str">
        <x:f>IF('Evaluation Plan'!P33=0,"",'Evaluation Plan'!P33)</x:f>
      </x:c>
    </x:row>
    <x:row r="34" ht="58" customHeight="1">
      <x:c r="A34" s="9" t="str">
        <x:v>Not collected</x:v>
      </x:c>
      <x:c r="B34" s="9" t="n">
        <x:f>'Evaluation Plan'!B34</x:f>
        <x:v>32</x:v>
      </x:c>
      <x:c r="C34" s="10" t="str">
        <x:f>'Evaluation Plan'!C34</x:f>
        <x:v>Move the closed brown cup into the bowl.</x:v>
      </x:c>
      <x:c r="D34" s="10" t="str">
        <x:f>'Evaluation Plan'!D34</x:f>
        <x:v>P1 brown cup B (O, UR) [STATE COMPETITOR]; P2 white cup B (C, UD); P3 brown cup A (C, UR) [TARGET]</x:v>
      </x:c>
      <x:c r="E34" s="9" t="str">
        <x:f>IF('Evaluation Plan'!H34="Exact-scene opposite-state contrast",'Evaluation Plan'!E34,IF('Evaluation Plan'!H34="Language robustness",'Evaluation Plan'!E34,IF('Evaluation Plan'!H34="Matched manipulation control",'Evaluation Plan'!E34,IF('Evaluation Plan'!H34="Black-cup held-out-state composition",'Evaluation Plan'!E34,""))))</x:f>
      </x:c>
      <x:c r="F34" s="9" t="str">
        <x:f>'Evaluation Plan'!F34</x:f>
        <x:v>brown cup A</x:v>
      </x:c>
      <x:c r="G34" s="10"/>
      <x:c r="H34" s="9" t="str">
        <x:f>'Evaluation Plan'!H34</x:f>
        <x:v>Concept/compositional transfer</x:v>
      </x:c>
      <x:c r="I34" s="9" t="str">
        <x:f>'Evaluation Plan'!I34</x:f>
        <x:v>SR-F09</x:v>
      </x:c>
      <x:c r="J34" s="9" t="str">
        <x:f>'Evaluation Plan'!J34</x:f>
        <x:v>closed</x:v>
      </x:c>
      <x:c r="K34" s="9" t="n">
        <x:f>'Evaluation Plan'!K34</x:f>
        <x:v>3</x:v>
      </x:c>
      <x:c r="L34" s="9" t="str">
        <x:f>'Evaluation Plan'!L34</x:f>
        <x:v>1 — Canonical transfer — Held-out state word + known category (closed)</x:v>
      </x:c>
      <x:c r="M34" s="9" t="n">
        <x:f>'Evaluation Plan'!M34</x:f>
        <x:v>9</x:v>
      </x:c>
      <x:c r="N34" s="10" t="str">
        <x:f>'Evaluation Plan'!N34</x:f>
        <x:v>Build the marked same-category discrimination scene. Save a first-frame image or filename.</x:v>
      </x:c>
      <x:c r="O34" s="10" t="str">
        <x:f>'Evaluation Plan'!O34</x:f>
        <x:v>Two objects match the named category; only the state word selects the target. Target and competitor differ only on the queried state axis.</x:v>
      </x:c>
      <x:c r="P34" s="10" t="str">
        <x:f>IF('Evaluation Plan'!P34=0,"",'Evaluation Plan'!P34)</x:f>
      </x:c>
    </x:row>
    <x:row r="35" ht="58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Place the open brown cup in the bowl.</x:v>
      </x:c>
      <x:c r="D35" s="7" t="str">
        <x:f>'Evaluation Plan'!D35</x:f>
        <x:v>P1 brown cup B (O, UR) [TARGET]; P2 white cup B (C, UD); P3 brown cup A (C, UR) [STATE COMPETITOR]</x:v>
      </x:c>
      <x:c r="E35" s="8" t="n">
        <x:f>IF('Evaluation Plan'!H35="Exact-scene opposite-state contrast",'Evaluation Plan'!E35,IF('Evaluation Plan'!H35="Language robustness",'Evaluation Plan'!E35,IF('Evaluation Plan'!H35="Matched manipulation control",'Evaluation Plan'!E35,IF('Evaluation Plan'!H35="Black-cup held-out-state composition",'Evaluation Plan'!E35,""))))</x:f>
        <x:v>32</x:v>
      </x:c>
      <x:c r="F35" s="8" t="str">
        <x:f>'Evaluation Plan'!F35</x:f>
        <x:v>brown cup B</x:v>
      </x:c>
      <x:c r="G35" s="7"/>
      <x:c r="H35" s="8" t="str">
        <x:f>'Evaluation Plan'!H35</x:f>
        <x:v>Exact-scene opposite-state contrast</x:v>
      </x:c>
      <x:c r="I35" s="8" t="str">
        <x:f>'Evaluation Plan'!I35</x:f>
        <x:v>SR-F09</x:v>
      </x:c>
      <x:c r="J35" s="8" t="str">
        <x:f>'Evaluation Plan'!J35</x:f>
        <x:v>open</x:v>
      </x:c>
      <x:c r="K35" s="8" t="n">
        <x:f>'Evaluation Plan'!K35</x:f>
        <x:v>3</x:v>
      </x:c>
      <x:c r="L35" s="8" t="str">
        <x:f>'Evaluation Plan'!L35</x:f>
        <x:v>2 — Exact-scene opposite-state contrast — State-word counterfactual (closed→open)</x:v>
      </x:c>
      <x:c r="M35" s="8" t="n">
        <x:f>'Evaluation Plan'!M35</x:f>
        <x:v>9</x:v>
      </x:c>
      <x:c r="N35" s="7" t="str">
        <x:f>'Evaluation Plan'!N35</x:f>
        <x:v>Reset the canonical target to its marked position. Preserve every object and state; change only the queried state word and expected target.</x:v>
      </x:c>
      <x:c r="O35" s="7" t="str">
        <x:f>'Evaluation Plan'!O35</x:f>
        <x:v>Exact-scene semantic counterfactual. The state word switches to the opposite state and the correct target switches to the other same-category instance.</x:v>
      </x:c>
      <x:c r="P35" s="7" t="str">
        <x:f>IF('Evaluation Plan'!P35=0,"",'Evaluation Plan'!P35)</x:f>
      </x:c>
    </x:row>
    <x:row r="36" ht="58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Place the brown cup that is not open in the bowl.</x:v>
      </x:c>
      <x:c r="D36" s="7" t="str">
        <x:f>'Evaluation Plan'!D36</x:f>
        <x:v>P1 brown cup B (O, UR) [STATE COMPETITOR]; P2 white cup B (C, UD); P3 brown cup A (C, UR) [TARGET]</x:v>
      </x:c>
      <x:c r="E36" s="8" t="n">
        <x:f>IF('Evaluation Plan'!H36="Exact-scene opposite-state contrast",'Evaluation Plan'!E36,IF('Evaluation Plan'!H36="Language robustness",'Evaluation Plan'!E36,IF('Evaluation Plan'!H36="Matched manipulation control",'Evaluation Plan'!E36,IF('Evaluation Plan'!H36="Black-cup held-out-state composition",'Evaluation Plan'!E36,""))))</x:f>
        <x:v>32</x:v>
      </x:c>
      <x:c r="F36" s="8" t="str">
        <x:f>'Evaluation Plan'!F36</x:f>
        <x:v>brown cup A</x:v>
      </x:c>
      <x:c r="G36" s="7"/>
      <x:c r="H36" s="8" t="str">
        <x:f>'Evaluation Plan'!H36</x:f>
        <x:v>Language robustness</x:v>
      </x:c>
      <x:c r="I36" s="8" t="str">
        <x:f>'Evaluation Plan'!I36</x:f>
        <x:v>SR-F09</x:v>
      </x:c>
      <x:c r="J36" s="8" t="str">
        <x:f>'Evaluation Plan'!J36</x:f>
        <x:v>closed</x:v>
      </x:c>
      <x:c r="K36" s="8" t="n">
        <x:f>'Evaluation Plan'!K36</x:f>
        <x:v>3</x:v>
      </x:c>
      <x:c r="L36" s="8" t="str">
        <x:f>'Evaluation Plan'!L36</x:f>
        <x:v>3 — Exact-scene transfer paraphrase — Paraphrase of concept/compositional-transfer prompt</x:v>
      </x:c>
      <x:c r="M36" s="8" t="n">
        <x:f>'Evaluation Plan'!M36</x:f>
        <x:v>9</x:v>
      </x:c>
      <x:c r="N36" s="7" t="str">
        <x:f>'Evaluation Plan'!N36</x:f>
        <x:v>Reset only the moved target; change only the prompt wording.</x:v>
      </x:c>
      <x:c r="O36" s="7" t="str">
        <x:f>'Evaluation Plan'!O36</x:f>
        <x:v>Exact-scene language pair for the state-bearing transfer prompt.</x:v>
      </x:c>
      <x:c r="P36" s="7" t="str">
        <x:f>IF('Evaluation Plan'!P36=0,"",'Evaluation Plan'!P36)</x:f>
      </x:c>
    </x:row>
    <x:row r="37" ht="58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Move the brown cup into the bowl.</x:v>
      </x:c>
      <x:c r="D37" s="7" t="str">
        <x:f>'Evaluation Plan'!D37</x:f>
        <x:v>P1 yellow-white striped cup B (O, UR) [NEUTRAL REPLACEMENT]; P2 white cup B (C, UD); P3 brown cup A (C, UR) [TARGET]</x:v>
      </x:c>
      <x:c r="E37" s="8" t="n">
        <x:f>IF('Evaluation Plan'!H37="Exact-scene opposite-state contrast",'Evaluation Plan'!E37,IF('Evaluation Plan'!H37="Language robustness",'Evaluation Plan'!E37,IF('Evaluation Plan'!H37="Matched manipulation control",'Evaluation Plan'!E37,IF('Evaluation Plan'!H37="Black-cup held-out-state composition",'Evaluation Plan'!E37,""))))</x:f>
        <x:v>32</x:v>
      </x:c>
      <x:c r="F37" s="8" t="str">
        <x:f>'Evaluation Plan'!F37</x:f>
        <x:v>brown cup A</x:v>
      </x:c>
      <x:c r="G37" s="7"/>
      <x:c r="H37" s="8" t="str">
        <x:f>'Evaluation Plan'!H37</x:f>
        <x:v>Matched manipulation control</x:v>
      </x:c>
      <x:c r="I37" s="8" t="str">
        <x:f>'Evaluation Plan'!I37</x:f>
        <x:v>SR-F09</x:v>
      </x:c>
      <x:c r="J37" s="8" t="str">
        <x:f>'Evaluation Plan'!J37</x:f>
        <x:v>closed</x:v>
      </x:c>
      <x:c r="K37" s="8" t="n">
        <x:f>'Evaluation Plan'!K37</x:f>
        <x:v>3</x:v>
      </x:c>
      <x:c r="L37" s="8" t="str">
        <x:f>'Evaluation Plan'!L37</x:f>
        <x:v>4 — Matched control — Category-only control with 3 objects</x:v>
      </x:c>
      <x:c r="M37" s="8" t="n">
        <x:f>'Evaluation Plan'!M37</x:f>
        <x:v>9</x:v>
      </x:c>
      <x:c r="N37" s="7" t="str">
        <x:f>'Evaluation Plan'!N37</x:f>
        <x:v>Reset the target; replace the same-category state competitor with yellow-white striped cup B at the same position. Keep object count, other objects, camera, and bowl fixed.</x:v>
      </x:c>
      <x:c r="O37" s="7" t="str">
        <x:f>'Evaluation Plan'!O37</x:f>
        <x:v>The neutral replacement removes category ambiguity without changing the three- or four-object set size.</x:v>
      </x:c>
      <x:c r="P37" s="7" t="str">
        <x:f>IF('Evaluation Plan'!P37=0,"",'Evaluation Plan'!P37)</x:f>
      </x:c>
    </x:row>
    <x:row r="38" ht="58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Place the open glass spice container in the bowl.</x:v>
      </x:c>
      <x:c r="D38" s="10" t="str">
        <x:f>'Evaluation Plan'!D38</x:f>
        <x:v>P1 glass spice container B (O, UD) [TARGET]; P2 glass spice container A (C, UD) [STATE COMPETITOR]; P3 white cup B (C, UD)</x:v>
      </x:c>
      <x:c r="E38" s="9" t="str">
        <x:f>IF('Evaluation Plan'!H38="Exact-scene opposite-state contrast",'Evaluation Plan'!E38,IF('Evaluation Plan'!H38="Language robustness",'Evaluation Plan'!E38,IF('Evaluation Plan'!H38="Matched manipulation control",'Evaluation Plan'!E38,IF('Evaluation Plan'!H38="Black-cup held-out-state composition",'Evaluation Plan'!E38,""))))</x:f>
      </x:c>
      <x:c r="F38" s="9" t="str">
        <x:f>'Evaluation Plan'!F38</x:f>
        <x:v>glass spice container B</x:v>
      </x:c>
      <x:c r="G38" s="10"/>
      <x:c r="H38" s="9" t="str">
        <x:f>'Evaluation Plan'!H38</x:f>
        <x:v>Concept/compositional transfer</x:v>
      </x:c>
      <x:c r="I38" s="9" t="str">
        <x:f>'Evaluation Plan'!I38</x:f>
        <x:v>SR-F10</x:v>
      </x:c>
      <x:c r="J38" s="9" t="str">
        <x:f>'Evaluation Plan'!J38</x:f>
        <x:v>open</x:v>
      </x:c>
      <x:c r="K38" s="9" t="n">
        <x:f>'Evaluation Plan'!K38</x:f>
        <x:v>3</x:v>
      </x:c>
      <x:c r="L38" s="9" t="str">
        <x:f>'Evaluation Plan'!L38</x:f>
        <x:v>1 — Canonical transfer — Seen state word in a new scene (open)</x:v>
      </x:c>
      <x:c r="M38" s="9" t="n">
        <x:f>'Evaluation Plan'!M38</x:f>
        <x:v>10</x:v>
      </x:c>
      <x:c r="N38" s="10" t="str">
        <x:f>'Evaluation Plan'!N38</x:f>
        <x:v>Build the marked same-category discrimination scene. Save a first-frame image or filename.</x:v>
      </x:c>
      <x:c r="O38" s="10" t="str">
        <x:f>'Evaluation Plan'!O38</x:f>
        <x:v>Two objects match the named category; only the state word selects the target. Target and competitor differ only on the queried state axis.</x:v>
      </x:c>
      <x:c r="P38" s="10" t="str">
        <x:f>IF('Evaluation Plan'!P38=0,"",'Evaluation Plan'!P38)</x:f>
      </x:c>
    </x:row>
    <x:row r="39" ht="58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Put the closed glass spice container in the bowl.</x:v>
      </x:c>
      <x:c r="D39" s="7" t="str">
        <x:f>'Evaluation Plan'!D39</x:f>
        <x:v>P1 glass spice container B (O, UD) [STATE COMPETITOR]; P2 glass spice container A (C, UD) [TARGET]; P3 white cup B (C, UD)</x:v>
      </x:c>
      <x:c r="E39" s="8" t="n">
        <x:f>IF('Evaluation Plan'!H39="Exact-scene opposite-state contrast",'Evaluation Plan'!E39,IF('Evaluation Plan'!H39="Language robustness",'Evaluation Plan'!E39,IF('Evaluation Plan'!H39="Matched manipulation control",'Evaluation Plan'!E39,IF('Evaluation Plan'!H39="Black-cup held-out-state composition",'Evaluation Plan'!E39,""))))</x:f>
        <x:v>36</x:v>
      </x:c>
      <x:c r="F39" s="8" t="str">
        <x:f>'Evaluation Plan'!F39</x:f>
        <x:v>glass spice container A</x:v>
      </x:c>
      <x:c r="G39" s="7"/>
      <x:c r="H39" s="8" t="str">
        <x:f>'Evaluation Plan'!H39</x:f>
        <x:v>Exact-scene opposite-state contrast</x:v>
      </x:c>
      <x:c r="I39" s="8" t="str">
        <x:f>'Evaluation Plan'!I39</x:f>
        <x:v>SR-F10</x:v>
      </x:c>
      <x:c r="J39" s="8" t="str">
        <x:f>'Evaluation Plan'!J39</x:f>
        <x:v>closed</x:v>
      </x:c>
      <x:c r="K39" s="8" t="n">
        <x:f>'Evaluation Plan'!K39</x:f>
        <x:v>3</x:v>
      </x:c>
      <x:c r="L39" s="8" t="str">
        <x:f>'Evaluation Plan'!L39</x:f>
        <x:v>2 — Exact-scene opposite-state contrast — State-word counterfactual (open→closed)</x:v>
      </x:c>
      <x:c r="M39" s="8" t="n">
        <x:f>'Evaluation Plan'!M39</x:f>
        <x:v>10</x:v>
      </x:c>
      <x:c r="N39" s="7" t="str">
        <x:f>'Evaluation Plan'!N39</x:f>
        <x:v>Reset the canonical target to its marked position. Preserve every object and state; change only the queried state word and expected target.</x:v>
      </x:c>
      <x:c r="O39" s="7" t="str">
        <x:f>'Evaluation Plan'!O39</x:f>
        <x:v>Exact-scene semantic counterfactual. The state word switches to the opposite state and the correct target switches to the other same-category instance.</x:v>
      </x:c>
      <x:c r="P39" s="7" t="str">
        <x:f>IF('Evaluation Plan'!P39=0,"",'Evaluation Plan'!P39)</x:f>
      </x:c>
    </x:row>
    <x:row r="40" ht="58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Move the open glass spice container into the bowl.</x:v>
      </x:c>
      <x:c r="D40" s="7" t="str">
        <x:f>'Evaluation Plan'!D40</x:f>
        <x:v>P1 glass spice container B (O, UD) [TARGET]; P2 glass spice container A (C, UD) [STATE COMPETITOR]; P3 white cup B (C, UD)</x:v>
      </x:c>
      <x:c r="E40" s="8" t="n">
        <x:f>IF('Evaluation Plan'!H40="Exact-scene opposite-state contrast",'Evaluation Plan'!E40,IF('Evaluation Plan'!H40="Language robustness",'Evaluation Plan'!E40,IF('Evaluation Plan'!H40="Matched manipulation control",'Evaluation Plan'!E40,IF('Evaluation Plan'!H40="Black-cup held-out-state composition",'Evaluation Plan'!E40,""))))</x:f>
        <x:v>36</x:v>
      </x:c>
      <x:c r="F40" s="8" t="str">
        <x:f>'Evaluation Plan'!F40</x:f>
        <x:v>glass spice container B</x:v>
      </x:c>
      <x:c r="G40" s="7"/>
      <x:c r="H40" s="8" t="str">
        <x:f>'Evaluation Plan'!H40</x:f>
        <x:v>Language robustness</x:v>
      </x:c>
      <x:c r="I40" s="8" t="str">
        <x:f>'Evaluation Plan'!I40</x:f>
        <x:v>SR-F10</x:v>
      </x:c>
      <x:c r="J40" s="8" t="str">
        <x:f>'Evaluation Plan'!J40</x:f>
        <x:v>open</x:v>
      </x:c>
      <x:c r="K40" s="8" t="n">
        <x:f>'Evaluation Plan'!K40</x:f>
        <x:v>3</x:v>
      </x:c>
      <x:c r="L40" s="8" t="str">
        <x:f>'Evaluation Plan'!L40</x:f>
        <x:v>3 — Exact-scene transfer paraphrase — Paraphrase of concept/compositional-transfer prompt</x:v>
      </x:c>
      <x:c r="M40" s="8" t="n">
        <x:f>'Evaluation Plan'!M40</x:f>
        <x:v>10</x:v>
      </x:c>
      <x:c r="N40" s="7" t="str">
        <x:f>'Evaluation Plan'!N40</x:f>
        <x:v>Reset only the moved target; change only the prompt wording.</x:v>
      </x:c>
      <x:c r="O40" s="7" t="str">
        <x:f>'Evaluation Plan'!O40</x:f>
        <x:v>Exact-scene language pair for the state-bearing transfer prompt.</x:v>
      </x:c>
      <x:c r="P40" s="7" t="str">
        <x:f>IF('Evaluation Plan'!P40=0,"",'Evaluation Plan'!P40)</x:f>
      </x:c>
    </x:row>
    <x:row r="41" ht="58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Place the glass spice container in the bowl.</x:v>
      </x:c>
      <x:c r="D41" s="7" t="str">
        <x:f>'Evaluation Plan'!D41</x:f>
        <x:v>P1 glass spice container B (O, UD) [TARGET]; P2 brown cup A (C, UD) [NEUTRAL REPLACEMENT]; P3 white cup B (C, UD)</x:v>
      </x:c>
      <x:c r="E41" s="8" t="n">
        <x:f>IF('Evaluation Plan'!H41="Exact-scene opposite-state contrast",'Evaluation Plan'!E41,IF('Evaluation Plan'!H41="Language robustness",'Evaluation Plan'!E41,IF('Evaluation Plan'!H41="Matched manipulation control",'Evaluation Plan'!E41,IF('Evaluation Plan'!H41="Black-cup held-out-state composition",'Evaluation Plan'!E41,""))))</x:f>
        <x:v>36</x:v>
      </x:c>
      <x:c r="F41" s="8" t="str">
        <x:f>'Evaluation Plan'!F41</x:f>
        <x:v>glass spice container B</x:v>
      </x:c>
      <x:c r="G41" s="7"/>
      <x:c r="H41" s="8" t="str">
        <x:f>'Evaluation Plan'!H41</x:f>
        <x:v>Matched manipulation control</x:v>
      </x:c>
      <x:c r="I41" s="8" t="str">
        <x:f>'Evaluation Plan'!I41</x:f>
        <x:v>SR-F10</x:v>
      </x:c>
      <x:c r="J41" s="8" t="str">
        <x:f>'Evaluation Plan'!J41</x:f>
        <x:v>open</x:v>
      </x:c>
      <x:c r="K41" s="8" t="n">
        <x:f>'Evaluation Plan'!K41</x:f>
        <x:v>3</x:v>
      </x:c>
      <x:c r="L41" s="8" t="str">
        <x:f>'Evaluation Plan'!L41</x:f>
        <x:v>4 — Matched control — Category-only control with 3 objects</x:v>
      </x:c>
      <x:c r="M41" s="8" t="n">
        <x:f>'Evaluation Plan'!M41</x:f>
        <x:v>10</x:v>
      </x:c>
      <x:c r="N41" s="7" t="str">
        <x:f>'Evaluation Plan'!N41</x:f>
        <x:v>Reset the target; replace the same-category state competitor with brown cup A at the same position. Keep object count, other objects, camera, and bowl fixed.</x:v>
      </x:c>
      <x:c r="O41" s="7" t="str">
        <x:f>'Evaluation Plan'!O41</x:f>
        <x:v>The neutral replacement removes category ambiguity without changing the three- or four-object set size.</x:v>
      </x:c>
      <x:c r="P41" s="7" t="str">
        <x:f>IF('Evaluation Plan'!P41=0,"",'Evaluation Plan'!P41)</x:f>
      </x:c>
    </x:row>
    <x:row r="42" ht="58" customHeight="1">
      <x:c r="A42" s="9" t="str">
        <x:v>Not collected</x:v>
      </x:c>
      <x:c r="B42" s="9" t="n">
        <x:f>'Evaluation Plan'!B42</x:f>
        <x:v>40</x:v>
      </x:c>
      <x:c r="C42" s="10" t="str">
        <x:f>'Evaluation Plan'!C42</x:f>
        <x:v>Put the upright white cup in the bowl.</x:v>
      </x:c>
      <x:c r="D42" s="10" t="str">
        <x:f>'Evaluation Plan'!D42</x:f>
        <x:v>P1 yellow-white striped cup A (O, UR); P2 brown cup B (C, UD); P3 white cup A (O, UR) [TARGET]; P4 white cup B (O, UD) [STATE COMPETITOR]</x:v>
      </x:c>
      <x:c r="E42" s="9" t="str">
        <x:f>IF('Evaluation Plan'!H42="Exact-scene opposite-state contrast",'Evaluation Plan'!E42,IF('Evaluation Plan'!H42="Language robustness",'Evaluation Plan'!E42,IF('Evaluation Plan'!H42="Matched manipulation control",'Evaluation Plan'!E42,IF('Evaluation Plan'!H42="Black-cup held-out-state composition",'Evaluation Plan'!E42,""))))</x:f>
      </x:c>
      <x:c r="F42" s="9" t="str">
        <x:f>'Evaluation Plan'!F42</x:f>
        <x:v>white cup A</x:v>
      </x:c>
      <x:c r="G42" s="10"/>
      <x:c r="H42" s="9" t="str">
        <x:f>'Evaluation Plan'!H42</x:f>
        <x:v>Concept/compositional transfer</x:v>
      </x:c>
      <x:c r="I42" s="9" t="str">
        <x:f>'Evaluation Plan'!I42</x:f>
        <x:v>SR-F11</x:v>
      </x:c>
      <x:c r="J42" s="9" t="str">
        <x:f>'Evaluation Plan'!J42</x:f>
        <x:v>upright</x:v>
      </x:c>
      <x:c r="K42" s="9" t="n">
        <x:f>'Evaluation Plan'!K42</x:f>
        <x:v>4</x:v>
      </x:c>
      <x:c r="L42" s="9" t="str">
        <x:f>'Evaluation Plan'!L42</x:f>
        <x:v>1 — Canonical transfer — Held-out state word + known category (upright)</x:v>
      </x:c>
      <x:c r="M42" s="9" t="n">
        <x:f>'Evaluation Plan'!M42</x:f>
        <x:v>11</x:v>
      </x:c>
      <x:c r="N42" s="10" t="str">
        <x:f>'Evaluation Plan'!N42</x:f>
        <x:v>Build the marked same-category discrimination scene. Save a first-frame image or filename.</x:v>
      </x:c>
      <x:c r="O42" s="10" t="str">
        <x:f>'Evaluation Plan'!O42</x:f>
        <x:v>Two objects match the named category; only the state word selects the target. Target and competitor differ only on the queried state axis.</x:v>
      </x:c>
      <x:c r="P42" s="10" t="str">
        <x:f>IF('Evaluation Plan'!P42=0,"",'Evaluation Plan'!P42)</x:f>
      </x:c>
    </x:row>
    <x:row r="43" ht="58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Move the upside-down white cup into the bowl.</x:v>
      </x:c>
      <x:c r="D43" s="7" t="str">
        <x:f>'Evaluation Plan'!D43</x:f>
        <x:v>P1 yellow-white striped cup A (O, UR); P2 brown cup B (C, UD); P3 white cup A (O, UR) [STATE COMPETITOR]; P4 white cup B (O, UD) [TARGET]</x:v>
      </x:c>
      <x:c r="E43" s="8" t="n">
        <x:f>IF('Evaluation Plan'!H43="Exact-scene opposite-state contrast",'Evaluation Plan'!E43,IF('Evaluation Plan'!H43="Language robustness",'Evaluation Plan'!E43,IF('Evaluation Plan'!H43="Matched manipulation control",'Evaluation Plan'!E43,IF('Evaluation Plan'!H43="Black-cup held-out-state composition",'Evaluation Plan'!E43,""))))</x:f>
        <x:v>40</x:v>
      </x:c>
      <x:c r="F43" s="8" t="str">
        <x:f>'Evaluation Plan'!F43</x:f>
        <x:v>white cup B</x:v>
      </x:c>
      <x:c r="G43" s="7"/>
      <x:c r="H43" s="8" t="str">
        <x:f>'Evaluation Plan'!H43</x:f>
        <x:v>Exact-scene opposite-state contrast</x:v>
      </x:c>
      <x:c r="I43" s="8" t="str">
        <x:f>'Evaluation Plan'!I43</x:f>
        <x:v>SR-F11</x:v>
      </x:c>
      <x:c r="J43" s="8" t="str">
        <x:f>'Evaluation Plan'!J43</x:f>
        <x:v>upside-down</x:v>
      </x:c>
      <x:c r="K43" s="8" t="n">
        <x:f>'Evaluation Plan'!K43</x:f>
        <x:v>4</x:v>
      </x:c>
      <x:c r="L43" s="8" t="str">
        <x:f>'Evaluation Plan'!L43</x:f>
        <x:v>2 — Exact-scene opposite-state contrast — State-word counterfactual (upright→upside-down)</x:v>
      </x:c>
      <x:c r="M43" s="8" t="n">
        <x:f>'Evaluation Plan'!M43</x:f>
        <x:v>11</x:v>
      </x:c>
      <x:c r="N43" s="7" t="str">
        <x:f>'Evaluation Plan'!N43</x:f>
        <x:v>Reset the canonical target to its marked position. Preserve every object and state; change only the queried state word and expected target.</x:v>
      </x:c>
      <x:c r="O43" s="7" t="str">
        <x:f>'Evaluation Plan'!O43</x:f>
        <x:v>Exact-scene semantic counterfactual. The state word switches to the opposite state and the correct target switches to the other same-category instance.</x:v>
      </x:c>
      <x:c r="P43" s="7" t="str">
        <x:f>IF('Evaluation Plan'!P43=0,"",'Evaluation Plan'!P43)</x:f>
      </x:c>
    </x:row>
    <x:row r="44" ht="58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Put the white cup in the bowl.</x:v>
      </x:c>
      <x:c r="D44" s="7" t="str">
        <x:f>'Evaluation Plan'!D44</x:f>
        <x:v>P1 yellow-white striped cup A (O, UR); P2 brown cup B (C, UD); P3 white cup A (O, UR) [TARGET]; P4 glass spice container B (O, UD) [NEUTRAL REPLACEMENT]</x:v>
      </x:c>
      <x:c r="E44" s="8" t="n">
        <x:f>IF('Evaluation Plan'!H44="Exact-scene opposite-state contrast",'Evaluation Plan'!E44,IF('Evaluation Plan'!H44="Language robustness",'Evaluation Plan'!E44,IF('Evaluation Plan'!H44="Matched manipulation control",'Evaluation Plan'!E44,IF('Evaluation Plan'!H44="Black-cup held-out-state composition",'Evaluation Plan'!E44,""))))</x:f>
        <x:v>40</x:v>
      </x:c>
      <x:c r="F44" s="8" t="str">
        <x:f>'Evaluation Plan'!F44</x:f>
        <x:v>white cup A</x:v>
      </x:c>
      <x:c r="G44" s="7"/>
      <x:c r="H44" s="8" t="str">
        <x:f>'Evaluation Plan'!H44</x:f>
        <x:v>Matched manipulation control</x:v>
      </x:c>
      <x:c r="I44" s="8" t="str">
        <x:f>'Evaluation Plan'!I44</x:f>
        <x:v>SR-F11</x:v>
      </x:c>
      <x:c r="J44" s="8" t="str">
        <x:f>'Evaluation Plan'!J44</x:f>
        <x:v>upright</x:v>
      </x:c>
      <x:c r="K44" s="8" t="n">
        <x:f>'Evaluation Plan'!K44</x:f>
        <x:v>4</x:v>
      </x:c>
      <x:c r="L44" s="8" t="str">
        <x:f>'Evaluation Plan'!L44</x:f>
        <x:v>3 — Matched control — Category-only control with 4 objects</x:v>
      </x:c>
      <x:c r="M44" s="8" t="n">
        <x:f>'Evaluation Plan'!M44</x:f>
        <x:v>11</x:v>
      </x:c>
      <x:c r="N44" s="7" t="str">
        <x:f>'Evaluation Plan'!N44</x:f>
        <x:v>Reset the target; replace the same-category state competitor with glass spice container B at the same position. Keep object count, other objects, camera, and bowl fixed.</x:v>
      </x:c>
      <x:c r="O44" s="7" t="str">
        <x:f>'Evaluation Plan'!O44</x:f>
        <x:v>The neutral replacement removes category ambiguity without changing the three- or four-object set size.</x:v>
      </x:c>
      <x:c r="P44" s="7" t="str">
        <x:f>IF('Evaluation Plan'!P44=0,"",'Evaluation Plan'!P44)</x:f>
      </x:c>
    </x:row>
    <x:row r="45" ht="58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Pick up the white cup and place it in the bowl.</x:v>
      </x:c>
      <x:c r="D45" s="7" t="str">
        <x:f>'Evaluation Plan'!D45</x:f>
        <x:v>P1 yellow-white striped cup A (O, UR); P2 brown cup B (C, UD); P3 white cup A (O, UR) [TARGET]; P4 glass spice container B (O, UD) [NEUTRAL REPLACEMENT]</x:v>
      </x:c>
      <x:c r="E45" s="8" t="n">
        <x:f>IF('Evaluation Plan'!H45="Exact-scene opposite-state contrast",'Evaluation Plan'!E45,IF('Evaluation Plan'!H45="Language robustness",'Evaluation Plan'!E45,IF('Evaluation Plan'!H45="Matched manipulation control",'Evaluation Plan'!E45,IF('Evaluation Plan'!H45="Black-cup held-out-state composition",'Evaluation Plan'!E45,""))))</x:f>
        <x:v>42</x:v>
      </x:c>
      <x:c r="F45" s="8" t="str">
        <x:f>'Evaluation Plan'!F45</x:f>
        <x:v>white cup A</x:v>
      </x:c>
      <x:c r="G45" s="7"/>
      <x:c r="H45" s="8" t="str">
        <x:f>'Evaluation Plan'!H45</x:f>
        <x:v>Language robustness</x:v>
      </x:c>
      <x:c r="I45" s="8" t="str">
        <x:f>'Evaluation Plan'!I45</x:f>
        <x:v>SR-F11</x:v>
      </x:c>
      <x:c r="J45" s="8" t="str">
        <x:f>'Evaluation Plan'!J45</x:f>
        <x:v>upright</x:v>
      </x:c>
      <x:c r="K45" s="8" t="n">
        <x:f>'Evaluation Plan'!K45</x:f>
        <x:v>4</x:v>
      </x:c>
      <x:c r="L45" s="8" t="str">
        <x:f>'Evaluation Plan'!L45</x:f>
        <x:v>4 — Exact-scene control paraphrase — Paraphrase of matched-control prompt</x:v>
      </x:c>
      <x:c r="M45" s="8" t="n">
        <x:f>'Evaluation Plan'!M45</x:f>
        <x:v>11</x:v>
      </x:c>
      <x:c r="N45" s="7" t="str">
        <x:f>'Evaluation Plan'!N45</x:f>
        <x:v>Reset only the moved target; change only the prompt wording.</x:v>
      </x:c>
      <x:c r="O45" s="7" t="str">
        <x:f>'Evaluation Plan'!O45</x:f>
        <x:v>Exact-scene language pair for the category-only matched control.</x:v>
      </x:c>
      <x:c r="P45" s="7" t="str">
        <x:f>IF('Evaluation Plan'!P45=0,"",'Evaluation Plan'!P45)</x:f>
      </x:c>
    </x:row>
    <x:row r="46" ht="58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Move the upside-down yellow-white striped cup into the bowl.</x:v>
      </x:c>
      <x:c r="D46" s="10" t="str">
        <x:f>'Evaluation Plan'!D46</x:f>
        <x:v>P1 yellow-white striped cup A (C, UR) [STATE COMPETITOR]; P2 white cup A (O, UR); P3 brown cup B (C, UD); P4 yellow-white striped cup B (C, UD) [TARGET]</x:v>
      </x:c>
      <x:c r="E46" s="9" t="str">
        <x:f>IF('Evaluation Plan'!H46="Exact-scene opposite-state contrast",'Evaluation Plan'!E46,IF('Evaluation Plan'!H46="Language robustness",'Evaluation Plan'!E46,IF('Evaluation Plan'!H46="Matched manipulation control",'Evaluation Plan'!E46,IF('Evaluation Plan'!H46="Black-cup held-out-state composition",'Evaluation Plan'!E46,""))))</x:f>
      </x:c>
      <x:c r="F46" s="9" t="str">
        <x:f>'Evaluation Plan'!F46</x:f>
        <x:v>yellow-white striped cup B</x:v>
      </x:c>
      <x:c r="G46" s="10"/>
      <x:c r="H46" s="9" t="str">
        <x:f>'Evaluation Plan'!H46</x:f>
        <x:v>Concept/compositional transfer</x:v>
      </x:c>
      <x:c r="I46" s="9" t="str">
        <x:f>'Evaluation Plan'!I46</x:f>
        <x:v>SR-F12</x:v>
      </x:c>
      <x:c r="J46" s="9" t="str">
        <x:f>'Evaluation Plan'!J46</x:f>
        <x:v>upside-down</x:v>
      </x:c>
      <x:c r="K46" s="9" t="n">
        <x:f>'Evaluation Plan'!K46</x:f>
        <x:v>4</x:v>
      </x:c>
      <x:c r="L46" s="9" t="str">
        <x:f>'Evaluation Plan'!L46</x:f>
        <x:v>1 — Canonical transfer — Seen state word in a new scene (upside-down)</x:v>
      </x:c>
      <x:c r="M46" s="9" t="n">
        <x:f>'Evaluation Plan'!M46</x:f>
        <x:v>12</x:v>
      </x:c>
      <x:c r="N46" s="10" t="str">
        <x:f>'Evaluation Plan'!N46</x:f>
        <x:v>Build the marked same-category discrimination scene. Save a first-frame image or filename.</x:v>
      </x:c>
      <x:c r="O46" s="10" t="str">
        <x:f>'Evaluation Plan'!O46</x:f>
        <x:v>Two objects match the named category; only the state word selects the target. Target and competitor differ only on the queried state axis.</x:v>
      </x:c>
      <x:c r="P46" s="10" t="str">
        <x:f>IF('Evaluation Plan'!P46=0,"",'Evaluation Plan'!P46)</x:f>
      </x:c>
    </x:row>
    <x:row r="47" ht="58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Place the upright yellow-white striped cup in the bowl.</x:v>
      </x:c>
      <x:c r="D47" s="7" t="str">
        <x:f>'Evaluation Plan'!D47</x:f>
        <x:v>P1 yellow-white striped cup A (C, UR) [TARGET]; P2 white cup A (O, UR); P3 brown cup B (C, UD); P4 yellow-white striped cup B (C, UD) [STATE COMPETITOR]</x:v>
      </x:c>
      <x:c r="E47" s="8" t="n">
        <x:f>IF('Evaluation Plan'!H47="Exact-scene opposite-state contrast",'Evaluation Plan'!E47,IF('Evaluation Plan'!H47="Language robustness",'Evaluation Plan'!E47,IF('Evaluation Plan'!H47="Matched manipulation control",'Evaluation Plan'!E47,IF('Evaluation Plan'!H47="Black-cup held-out-state composition",'Evaluation Plan'!E47,""))))</x:f>
        <x:v>44</x:v>
      </x:c>
      <x:c r="F47" s="8" t="str">
        <x:f>'Evaluation Plan'!F47</x:f>
        <x:v>yellow-white striped cup A</x:v>
      </x:c>
      <x:c r="G47" s="7"/>
      <x:c r="H47" s="8" t="str">
        <x:f>'Evaluation Plan'!H47</x:f>
        <x:v>Exact-scene opposite-state contrast</x:v>
      </x:c>
      <x:c r="I47" s="8" t="str">
        <x:f>'Evaluation Plan'!I47</x:f>
        <x:v>SR-F12</x:v>
      </x:c>
      <x:c r="J47" s="8" t="str">
        <x:f>'Evaluation Plan'!J47</x:f>
        <x:v>upright</x:v>
      </x:c>
      <x:c r="K47" s="8" t="n">
        <x:f>'Evaluation Plan'!K47</x:f>
        <x:v>4</x:v>
      </x:c>
      <x:c r="L47" s="8" t="str">
        <x:f>'Evaluation Plan'!L47</x:f>
        <x:v>2 — Exact-scene opposite-state contrast — State-word counterfactual (upside-down→upright)</x:v>
      </x:c>
      <x:c r="M47" s="8" t="n">
        <x:f>'Evaluation Plan'!M47</x:f>
        <x:v>12</x:v>
      </x:c>
      <x:c r="N47" s="7" t="str">
        <x:f>'Evaluation Plan'!N47</x:f>
        <x:v>Reset the canonical target to its marked position. Preserve every object and state; change only the queried state word and expected target.</x:v>
      </x:c>
      <x:c r="O47" s="7" t="str">
        <x:f>'Evaluation Plan'!O47</x:f>
        <x:v>Exact-scene semantic counterfactual. The state word switches to the opposite state and the correct target switches to the other same-category instance.</x:v>
      </x:c>
      <x:c r="P47" s="7" t="str">
        <x:f>IF('Evaluation Plan'!P47=0,"",'Evaluation Plan'!P47)</x:f>
      </x:c>
    </x:row>
    <x:row r="48" ht="58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Move the yellow-white striped cup into the bowl.</x:v>
      </x:c>
      <x:c r="D48" s="7" t="str">
        <x:f>'Evaluation Plan'!D48</x:f>
        <x:v>P1 glass spice container A (C, UR) [NEUTRAL REPLACEMENT]; P2 white cup A (O, UR); P3 brown cup B (C, UD); P4 yellow-white striped cup B (C, UD) [TARGET]</x:v>
      </x:c>
      <x:c r="E48" s="8" t="n">
        <x:f>IF('Evaluation Plan'!H48="Exact-scene opposite-state contrast",'Evaluation Plan'!E48,IF('Evaluation Plan'!H48="Language robustness",'Evaluation Plan'!E48,IF('Evaluation Plan'!H48="Matched manipulation control",'Evaluation Plan'!E48,IF('Evaluation Plan'!H48="Black-cup held-out-state composition",'Evaluation Plan'!E48,""))))</x:f>
        <x:v>44</x:v>
      </x:c>
      <x:c r="F48" s="8" t="str">
        <x:f>'Evaluation Plan'!F48</x:f>
        <x:v>yellow-white striped cup B</x:v>
      </x:c>
      <x:c r="G48" s="7"/>
      <x:c r="H48" s="8" t="str">
        <x:f>'Evaluation Plan'!H48</x:f>
        <x:v>Matched manipulation control</x:v>
      </x:c>
      <x:c r="I48" s="8" t="str">
        <x:f>'Evaluation Plan'!I48</x:f>
        <x:v>SR-F12</x:v>
      </x:c>
      <x:c r="J48" s="8" t="str">
        <x:f>'Evaluation Plan'!J48</x:f>
        <x:v>upside-down</x:v>
      </x:c>
      <x:c r="K48" s="8" t="n">
        <x:f>'Evaluation Plan'!K48</x:f>
        <x:v>4</x:v>
      </x:c>
      <x:c r="L48" s="8" t="str">
        <x:f>'Evaluation Plan'!L48</x:f>
        <x:v>3 — Matched control — Category-only control with 4 objects</x:v>
      </x:c>
      <x:c r="M48" s="8" t="n">
        <x:f>'Evaluation Plan'!M48</x:f>
        <x:v>12</x:v>
      </x:c>
      <x:c r="N48" s="7" t="str">
        <x:f>'Evaluation Plan'!N48</x:f>
        <x:v>Reset the target; replace the same-category state competitor with glass spice container A at the same position. Keep object count, other objects, camera, and bowl fixed.</x:v>
      </x:c>
      <x:c r="O48" s="7" t="str">
        <x:f>'Evaluation Plan'!O48</x:f>
        <x:v>The neutral replacement removes category ambiguity without changing the three- or four-object set size.</x:v>
      </x:c>
      <x:c r="P48" s="7" t="str">
        <x:f>IF('Evaluation Plan'!P48=0,"",'Evaluation Plan'!P48)</x:f>
      </x:c>
    </x:row>
    <x:row r="49" ht="58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Move the yellow-white striped cup over to the bowl.</x:v>
      </x:c>
      <x:c r="D49" s="7" t="str">
        <x:f>'Evaluation Plan'!D49</x:f>
        <x:v>P1 glass spice container A (C, UR) [NEUTRAL REPLACEMENT]; P2 white cup A (O, UR); P3 brown cup B (C, UD); P4 yellow-white striped cup B (C, UD) [TARGET]</x:v>
      </x:c>
      <x:c r="E49" s="8" t="n">
        <x:f>IF('Evaluation Plan'!H49="Exact-scene opposite-state contrast",'Evaluation Plan'!E49,IF('Evaluation Plan'!H49="Language robustness",'Evaluation Plan'!E49,IF('Evaluation Plan'!H49="Matched manipulation control",'Evaluation Plan'!E49,IF('Evaluation Plan'!H49="Black-cup held-out-state composition",'Evaluation Plan'!E49,""))))</x:f>
        <x:v>46</x:v>
      </x:c>
      <x:c r="F49" s="8" t="str">
        <x:f>'Evaluation Plan'!F49</x:f>
        <x:v>yellow-white striped cup B</x:v>
      </x:c>
      <x:c r="G49" s="7"/>
      <x:c r="H49" s="8" t="str">
        <x:f>'Evaluation Plan'!H49</x:f>
        <x:v>Language robustness</x:v>
      </x:c>
      <x:c r="I49" s="8" t="str">
        <x:f>'Evaluation Plan'!I49</x:f>
        <x:v>SR-F12</x:v>
      </x:c>
      <x:c r="J49" s="8" t="str">
        <x:f>'Evaluation Plan'!J49</x:f>
        <x:v>upside-down</x:v>
      </x:c>
      <x:c r="K49" s="8" t="n">
        <x:f>'Evaluation Plan'!K49</x:f>
        <x:v>4</x:v>
      </x:c>
      <x:c r="L49" s="8" t="str">
        <x:f>'Evaluation Plan'!L49</x:f>
        <x:v>4 — Exact-scene control paraphrase — Paraphrase of matched-control prompt</x:v>
      </x:c>
      <x:c r="M49" s="8" t="n">
        <x:f>'Evaluation Plan'!M49</x:f>
        <x:v>12</x:v>
      </x:c>
      <x:c r="N49" s="7" t="str">
        <x:f>'Evaluation Plan'!N49</x:f>
        <x:v>Reset only the moved target; change only the prompt wording.</x:v>
      </x:c>
      <x:c r="O49" s="7" t="str">
        <x:f>'Evaluation Plan'!O49</x:f>
        <x:v>Exact-scene language pair for the category-only matched control.</x:v>
      </x:c>
      <x:c r="P49" s="7" t="str">
        <x:f>IF('Evaluation Plan'!P49=0,"",'Evaluation Plan'!P49)</x:f>
      </x:c>
    </x:row>
    <x:row r="50" ht="58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Place the closed glass spice container in the bowl.</x:v>
      </x:c>
      <x:c r="D50" s="10" t="str">
        <x:f>'Evaluation Plan'!D50</x:f>
        <x:v>P1 glass spice container A (C, UR) [TARGET]; P2 glass spice container B (O, UR) [STATE COMPETITOR]; P3 white cup A (O, UR); P4 yellow-white striped cup B (C, UD)</x:v>
      </x:c>
      <x:c r="E50" s="9" t="str">
        <x:f>IF('Evaluation Plan'!H50="Exact-scene opposite-state contrast",'Evaluation Plan'!E50,IF('Evaluation Plan'!H50="Language robustness",'Evaluation Plan'!E50,IF('Evaluation Plan'!H50="Matched manipulation control",'Evaluation Plan'!E50,IF('Evaluation Plan'!H50="Black-cup held-out-state composition",'Evaluation Plan'!E50,""))))</x:f>
      </x:c>
      <x:c r="F50" s="9" t="str">
        <x:f>'Evaluation Plan'!F50</x:f>
        <x:v>glass spice container A</x:v>
      </x:c>
      <x:c r="G50" s="10"/>
      <x:c r="H50" s="9" t="str">
        <x:f>'Evaluation Plan'!H50</x:f>
        <x:v>Concept/compositional transfer</x:v>
      </x:c>
      <x:c r="I50" s="9" t="str">
        <x:f>'Evaluation Plan'!I50</x:f>
        <x:v>SR-F13</x:v>
      </x:c>
      <x:c r="J50" s="9" t="str">
        <x:f>'Evaluation Plan'!J50</x:f>
        <x:v>closed</x:v>
      </x:c>
      <x:c r="K50" s="9" t="n">
        <x:f>'Evaluation Plan'!K50</x:f>
        <x:v>4</x:v>
      </x:c>
      <x:c r="L50" s="9" t="str">
        <x:f>'Evaluation Plan'!L50</x:f>
        <x:v>1 — Canonical transfer — Held-out state word + known category (closed)</x:v>
      </x:c>
      <x:c r="M50" s="9" t="n">
        <x:f>'Evaluation Plan'!M50</x:f>
        <x:v>13</x:v>
      </x:c>
      <x:c r="N50" s="10" t="str">
        <x:f>'Evaluation Plan'!N50</x:f>
        <x:v>Build the marked same-category discrimination scene. Save a first-frame image or filename.</x:v>
      </x:c>
      <x:c r="O50" s="10" t="str">
        <x:f>'Evaluation Plan'!O50</x:f>
        <x:v>Two objects match the named category; only the state word selects the target. Target and competitor differ only on the queried state axis.</x:v>
      </x:c>
      <x:c r="P50" s="10" t="str">
        <x:f>IF('Evaluation Plan'!P50=0,"",'Evaluation Plan'!P50)</x:f>
      </x:c>
    </x:row>
    <x:row r="51" ht="58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Put the open glass spice container in the bowl.</x:v>
      </x:c>
      <x:c r="D51" s="7" t="str">
        <x:f>'Evaluation Plan'!D51</x:f>
        <x:v>P1 glass spice container A (C, UR) [STATE COMPETITOR]; P2 glass spice container B (O, UR) [TARGET]; P3 white cup A (O, UR); P4 yellow-white striped cup B (C, UD)</x:v>
      </x:c>
      <x:c r="E51" s="8" t="n">
        <x:f>IF('Evaluation Plan'!H51="Exact-scene opposite-state contrast",'Evaluation Plan'!E51,IF('Evaluation Plan'!H51="Language robustness",'Evaluation Plan'!E51,IF('Evaluation Plan'!H51="Matched manipulation control",'Evaluation Plan'!E51,IF('Evaluation Plan'!H51="Black-cup held-out-state composition",'Evaluation Plan'!E51,""))))</x:f>
        <x:v>48</x:v>
      </x:c>
      <x:c r="F51" s="8" t="str">
        <x:f>'Evaluation Plan'!F51</x:f>
        <x:v>glass spice container B</x:v>
      </x:c>
      <x:c r="G51" s="7"/>
      <x:c r="H51" s="8" t="str">
        <x:f>'Evaluation Plan'!H51</x:f>
        <x:v>Exact-scene opposite-state contrast</x:v>
      </x:c>
      <x:c r="I51" s="8" t="str">
        <x:f>'Evaluation Plan'!I51</x:f>
        <x:v>SR-F13</x:v>
      </x:c>
      <x:c r="J51" s="8" t="str">
        <x:f>'Evaluation Plan'!J51</x:f>
        <x:v>open</x:v>
      </x:c>
      <x:c r="K51" s="8" t="n">
        <x:f>'Evaluation Plan'!K51</x:f>
        <x:v>4</x:v>
      </x:c>
      <x:c r="L51" s="8" t="str">
        <x:f>'Evaluation Plan'!L51</x:f>
        <x:v>2 — Exact-scene opposite-state contrast — State-word counterfactual (closed→open)</x:v>
      </x:c>
      <x:c r="M51" s="8" t="n">
        <x:f>'Evaluation Plan'!M51</x:f>
        <x:v>13</x:v>
      </x:c>
      <x:c r="N51" s="7" t="str">
        <x:f>'Evaluation Plan'!N51</x:f>
        <x:v>Reset the canonical target to its marked position. Preserve every object and state; change only the queried state word and expected target.</x:v>
      </x:c>
      <x:c r="O51" s="7" t="str">
        <x:f>'Evaluation Plan'!O51</x:f>
        <x:v>Exact-scene semantic counterfactual. The state word switches to the opposite state and the correct target switches to the other same-category instance.</x:v>
      </x:c>
      <x:c r="P51" s="7" t="str">
        <x:f>IF('Evaluation Plan'!P51=0,"",'Evaluation Plan'!P51)</x:f>
      </x:c>
    </x:row>
    <x:row r="52" ht="58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Place the glass spice container in the bowl.</x:v>
      </x:c>
      <x:c r="D52" s="7" t="str">
        <x:f>'Evaluation Plan'!D52</x:f>
        <x:v>P1 glass spice container A (C, UR) [TARGET]; P2 brown cup B (O, UR) [NEUTRAL REPLACEMENT]; P3 white cup A (O, UR); P4 yellow-white striped cup B (C, UD)</x:v>
      </x:c>
      <x:c r="E52" s="8" t="n">
        <x:f>IF('Evaluation Plan'!H52="Exact-scene opposite-state contrast",'Evaluation Plan'!E52,IF('Evaluation Plan'!H52="Language robustness",'Evaluation Plan'!E52,IF('Evaluation Plan'!H52="Matched manipulation control",'Evaluation Plan'!E52,IF('Evaluation Plan'!H52="Black-cup held-out-state composition",'Evaluation Plan'!E52,""))))</x:f>
        <x:v>48</x:v>
      </x:c>
      <x:c r="F52" s="8" t="str">
        <x:f>'Evaluation Plan'!F52</x:f>
        <x:v>glass spice container A</x:v>
      </x:c>
      <x:c r="G52" s="7"/>
      <x:c r="H52" s="8" t="str">
        <x:f>'Evaluation Plan'!H52</x:f>
        <x:v>Matched manipulation control</x:v>
      </x:c>
      <x:c r="I52" s="8" t="str">
        <x:f>'Evaluation Plan'!I52</x:f>
        <x:v>SR-F13</x:v>
      </x:c>
      <x:c r="J52" s="8" t="str">
        <x:f>'Evaluation Plan'!J52</x:f>
        <x:v>closed</x:v>
      </x:c>
      <x:c r="K52" s="8" t="n">
        <x:f>'Evaluation Plan'!K52</x:f>
        <x:v>4</x:v>
      </x:c>
      <x:c r="L52" s="8" t="str">
        <x:f>'Evaluation Plan'!L52</x:f>
        <x:v>3 — Matched control — Category-only control with 4 objects</x:v>
      </x:c>
      <x:c r="M52" s="8" t="n">
        <x:f>'Evaluation Plan'!M52</x:f>
        <x:v>13</x:v>
      </x:c>
      <x:c r="N52" s="7" t="str">
        <x:f>'Evaluation Plan'!N52</x:f>
        <x:v>Reset the target; replace the same-category state competitor with brown cup B at the same position. Keep object count, other objects, camera, and bowl fixed.</x:v>
      </x:c>
      <x:c r="O52" s="7" t="str">
        <x:f>'Evaluation Plan'!O52</x:f>
        <x:v>The neutral replacement removes category ambiguity without changing the three- or four-object set size.</x:v>
      </x:c>
      <x:c r="P52" s="7" t="str">
        <x:f>IF('Evaluation Plan'!P52=0,"",'Evaluation Plan'!P52)</x:f>
      </x:c>
    </x:row>
    <x:row r="53" ht="58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Put the glass spice container inside the bowl.</x:v>
      </x:c>
      <x:c r="D53" s="7" t="str">
        <x:f>'Evaluation Plan'!D53</x:f>
        <x:v>P1 glass spice container A (C, UR) [TARGET]; P2 brown cup B (O, UR) [NEUTRAL REPLACEMENT]; P3 white cup A (O, UR); P4 yellow-white striped cup B (C, UD)</x:v>
      </x:c>
      <x:c r="E53" s="8" t="n">
        <x:f>IF('Evaluation Plan'!H53="Exact-scene opposite-state contrast",'Evaluation Plan'!E53,IF('Evaluation Plan'!H53="Language robustness",'Evaluation Plan'!E53,IF('Evaluation Plan'!H53="Matched manipulation control",'Evaluation Plan'!E53,IF('Evaluation Plan'!H53="Black-cup held-out-state composition",'Evaluation Plan'!E53,""))))</x:f>
        <x:v>50</x:v>
      </x:c>
      <x:c r="F53" s="8" t="str">
        <x:f>'Evaluation Plan'!F53</x:f>
        <x:v>glass spice container A</x:v>
      </x:c>
      <x:c r="G53" s="7"/>
      <x:c r="H53" s="8" t="str">
        <x:f>'Evaluation Plan'!H53</x:f>
        <x:v>Language robustness</x:v>
      </x:c>
      <x:c r="I53" s="8" t="str">
        <x:f>'Evaluation Plan'!I53</x:f>
        <x:v>SR-F13</x:v>
      </x:c>
      <x:c r="J53" s="8" t="str">
        <x:f>'Evaluation Plan'!J53</x:f>
        <x:v>closed</x:v>
      </x:c>
      <x:c r="K53" s="8" t="n">
        <x:f>'Evaluation Plan'!K53</x:f>
        <x:v>4</x:v>
      </x:c>
      <x:c r="L53" s="8" t="str">
        <x:f>'Evaluation Plan'!L53</x:f>
        <x:v>4 — Exact-scene control paraphrase — Paraphrase of matched-control prompt</x:v>
      </x:c>
      <x:c r="M53" s="8" t="n">
        <x:f>'Evaluation Plan'!M53</x:f>
        <x:v>13</x:v>
      </x:c>
      <x:c r="N53" s="7" t="str">
        <x:f>'Evaluation Plan'!N53</x:f>
        <x:v>Reset only the moved target; change only the prompt wording.</x:v>
      </x:c>
      <x:c r="O53" s="7" t="str">
        <x:f>'Evaluation Plan'!O53</x:f>
        <x:v>Exact-scene language pair for the category-only matched control.</x:v>
      </x:c>
      <x:c r="P53" s="7" t="str">
        <x:f>IF('Evaluation Plan'!P53=0,"",'Evaluation Plan'!P53)</x:f>
      </x:c>
    </x:row>
    <x:row r="54" ht="58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Put the open white cup in the bowl.</x:v>
      </x:c>
      <x:c r="D54" s="10" t="str">
        <x:f>'Evaluation Plan'!D54</x:f>
        <x:v>P1 yellow-white striped cup B (C, UD); P2 white cup B (O, UD) [TARGET]; P3 white cup A (C, UD) [STATE COMPETITOR]; P4 brown cup A (O, UR)</x:v>
      </x:c>
      <x:c r="E54" s="9" t="str">
        <x:f>IF('Evaluation Plan'!H54="Exact-scene opposite-state contrast",'Evaluation Plan'!E54,IF('Evaluation Plan'!H54="Language robustness",'Evaluation Plan'!E54,IF('Evaluation Plan'!H54="Matched manipulation control",'Evaluation Plan'!E54,IF('Evaluation Plan'!H54="Black-cup held-out-state composition",'Evaluation Plan'!E54,""))))</x:f>
      </x:c>
      <x:c r="F54" s="9" t="str">
        <x:f>'Evaluation Plan'!F54</x:f>
        <x:v>white cup B</x:v>
      </x:c>
      <x:c r="G54" s="10"/>
      <x:c r="H54" s="9" t="str">
        <x:f>'Evaluation Plan'!H54</x:f>
        <x:v>Concept/compositional transfer</x:v>
      </x:c>
      <x:c r="I54" s="9" t="str">
        <x:f>'Evaluation Plan'!I54</x:f>
        <x:v>SR-F14</x:v>
      </x:c>
      <x:c r="J54" s="9" t="str">
        <x:f>'Evaluation Plan'!J54</x:f>
        <x:v>open</x:v>
      </x:c>
      <x:c r="K54" s="9" t="n">
        <x:f>'Evaluation Plan'!K54</x:f>
        <x:v>4</x:v>
      </x:c>
      <x:c r="L54" s="9" t="str">
        <x:f>'Evaluation Plan'!L54</x:f>
        <x:v>1 — Canonical transfer — Seen state word in a new scene (open)</x:v>
      </x:c>
      <x:c r="M54" s="9" t="n">
        <x:f>'Evaluation Plan'!M54</x:f>
        <x:v>14</x:v>
      </x:c>
      <x:c r="N54" s="10" t="str">
        <x:f>'Evaluation Plan'!N54</x:f>
        <x:v>Build the marked same-category discrimination scene. Save a first-frame image or filename.</x:v>
      </x:c>
      <x:c r="O54" s="10" t="str">
        <x:f>'Evaluation Plan'!O54</x:f>
        <x:v>Two objects match the named category; only the state word selects the target. Target and competitor differ only on the queried state axis.</x:v>
      </x:c>
      <x:c r="P54" s="10" t="str">
        <x:f>IF('Evaluation Plan'!P54=0,"",'Evaluation Plan'!P54)</x:f>
      </x:c>
    </x:row>
    <x:row r="55" ht="58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Move the closed white cup into the bowl.</x:v>
      </x:c>
      <x:c r="D55" s="7" t="str">
        <x:f>'Evaluation Plan'!D55</x:f>
        <x:v>P1 yellow-white striped cup B (C, UD); P2 white cup B (O, UD) [STATE COMPETITOR]; P3 white cup A (C, UD) [TARGET]; P4 brown cup A (O, UR)</x:v>
      </x:c>
      <x:c r="E55" s="8" t="n">
        <x:f>IF('Evaluation Plan'!H55="Exact-scene opposite-state contrast",'Evaluation Plan'!E55,IF('Evaluation Plan'!H55="Language robustness",'Evaluation Plan'!E55,IF('Evaluation Plan'!H55="Matched manipulation control",'Evaluation Plan'!E55,IF('Evaluation Plan'!H55="Black-cup held-out-state composition",'Evaluation Plan'!E55,""))))</x:f>
        <x:v>52</x:v>
      </x:c>
      <x:c r="F55" s="8" t="str">
        <x:f>'Evaluation Plan'!F55</x:f>
        <x:v>white cup A</x:v>
      </x:c>
      <x:c r="G55" s="7"/>
      <x:c r="H55" s="8" t="str">
        <x:f>'Evaluation Plan'!H55</x:f>
        <x:v>Exact-scene opposite-state contrast</x:v>
      </x:c>
      <x:c r="I55" s="8" t="str">
        <x:f>'Evaluation Plan'!I55</x:f>
        <x:v>SR-F14</x:v>
      </x:c>
      <x:c r="J55" s="8" t="str">
        <x:f>'Evaluation Plan'!J55</x:f>
        <x:v>closed</x:v>
      </x:c>
      <x:c r="K55" s="8" t="n">
        <x:f>'Evaluation Plan'!K55</x:f>
        <x:v>4</x:v>
      </x:c>
      <x:c r="L55" s="8" t="str">
        <x:f>'Evaluation Plan'!L55</x:f>
        <x:v>2 — Exact-scene opposite-state contrast — State-word counterfactual (open→closed)</x:v>
      </x:c>
      <x:c r="M55" s="8" t="n">
        <x:f>'Evaluation Plan'!M55</x:f>
        <x:v>14</x:v>
      </x:c>
      <x:c r="N55" s="7" t="str">
        <x:f>'Evaluation Plan'!N55</x:f>
        <x:v>Reset the canonical target to its marked position. Preserve every object and state; change only the queried state word and expected target.</x:v>
      </x:c>
      <x:c r="O55" s="7" t="str">
        <x:f>'Evaluation Plan'!O55</x:f>
        <x:v>Exact-scene semantic counterfactual. The state word switches to the opposite state and the correct target switches to the other same-category instance.</x:v>
      </x:c>
      <x:c r="P55" s="7" t="str">
        <x:f>IF('Evaluation Plan'!P55=0,"",'Evaluation Plan'!P55)</x:f>
      </x:c>
    </x:row>
    <x:row r="56" ht="58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Put the white cup in the bowl.</x:v>
      </x:c>
      <x:c r="D56" s="7" t="str">
        <x:f>'Evaluation Plan'!D56</x:f>
        <x:v>P1 yellow-white striped cup B (C, UD); P2 white cup B (O, UD) [TARGET]; P3 glass spice container A (C, UD) [NEUTRAL REPLACEMENT]; P4 brown cup A (O, UR)</x:v>
      </x:c>
      <x:c r="E56" s="8" t="n">
        <x:f>IF('Evaluation Plan'!H56="Exact-scene opposite-state contrast",'Evaluation Plan'!E56,IF('Evaluation Plan'!H56="Language robustness",'Evaluation Plan'!E56,IF('Evaluation Plan'!H56="Matched manipulation control",'Evaluation Plan'!E56,IF('Evaluation Plan'!H56="Black-cup held-out-state composition",'Evaluation Plan'!E56,""))))</x:f>
        <x:v>52</x:v>
      </x:c>
      <x:c r="F56" s="8" t="str">
        <x:f>'Evaluation Plan'!F56</x:f>
        <x:v>white cup B</x:v>
      </x:c>
      <x:c r="G56" s="7"/>
      <x:c r="H56" s="8" t="str">
        <x:f>'Evaluation Plan'!H56</x:f>
        <x:v>Matched manipulation control</x:v>
      </x:c>
      <x:c r="I56" s="8" t="str">
        <x:f>'Evaluation Plan'!I56</x:f>
        <x:v>SR-F14</x:v>
      </x:c>
      <x:c r="J56" s="8" t="str">
        <x:f>'Evaluation Plan'!J56</x:f>
        <x:v>open</x:v>
      </x:c>
      <x:c r="K56" s="8" t="n">
        <x:f>'Evaluation Plan'!K56</x:f>
        <x:v>4</x:v>
      </x:c>
      <x:c r="L56" s="8" t="str">
        <x:f>'Evaluation Plan'!L56</x:f>
        <x:v>3 — Matched control — Category-only control with 4 objects</x:v>
      </x:c>
      <x:c r="M56" s="8" t="n">
        <x:f>'Evaluation Plan'!M56</x:f>
        <x:v>14</x:v>
      </x:c>
      <x:c r="N56" s="7" t="str">
        <x:f>'Evaluation Plan'!N56</x:f>
        <x:v>Reset the target; replace the same-category state competitor with glass spice container A at the same position. Keep object count, other objects, camera, and bowl fixed.</x:v>
      </x:c>
      <x:c r="O56" s="7" t="str">
        <x:f>'Evaluation Plan'!O56</x:f>
        <x:v>The neutral replacement removes category ambiguity without changing the three- or four-object set size.</x:v>
      </x:c>
      <x:c r="P56" s="7" t="str">
        <x:f>IF('Evaluation Plan'!P56=0,"",'Evaluation Plan'!P56)</x:f>
      </x:c>
    </x:row>
    <x:row r="57" ht="58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Take the white cup and set it in the bowl.</x:v>
      </x:c>
      <x:c r="D57" s="7" t="str">
        <x:f>'Evaluation Plan'!D57</x:f>
        <x:v>P1 yellow-white striped cup B (C, UD); P2 white cup B (O, UD) [TARGET]; P3 glass spice container A (C, UD) [NEUTRAL REPLACEMENT]; P4 brown cup A (O, UR)</x:v>
      </x:c>
      <x:c r="E57" s="8" t="n">
        <x:f>IF('Evaluation Plan'!H57="Exact-scene opposite-state contrast",'Evaluation Plan'!E57,IF('Evaluation Plan'!H57="Language robustness",'Evaluation Plan'!E57,IF('Evaluation Plan'!H57="Matched manipulation control",'Evaluation Plan'!E57,IF('Evaluation Plan'!H57="Black-cup held-out-state composition",'Evaluation Plan'!E57,""))))</x:f>
        <x:v>54</x:v>
      </x:c>
      <x:c r="F57" s="8" t="str">
        <x:f>'Evaluation Plan'!F57</x:f>
        <x:v>white cup B</x:v>
      </x:c>
      <x:c r="G57" s="7"/>
      <x:c r="H57" s="8" t="str">
        <x:f>'Evaluation Plan'!H57</x:f>
        <x:v>Language robustness</x:v>
      </x:c>
      <x:c r="I57" s="8" t="str">
        <x:f>'Evaluation Plan'!I57</x:f>
        <x:v>SR-F14</x:v>
      </x:c>
      <x:c r="J57" s="8" t="str">
        <x:f>'Evaluation Plan'!J57</x:f>
        <x:v>open</x:v>
      </x:c>
      <x:c r="K57" s="8" t="n">
        <x:f>'Evaluation Plan'!K57</x:f>
        <x:v>4</x:v>
      </x:c>
      <x:c r="L57" s="8" t="str">
        <x:f>'Evaluation Plan'!L57</x:f>
        <x:v>4 — Exact-scene control paraphrase — Paraphrase of matched-control prompt</x:v>
      </x:c>
      <x:c r="M57" s="8" t="n">
        <x:f>'Evaluation Plan'!M57</x:f>
        <x:v>14</x:v>
      </x:c>
      <x:c r="N57" s="7" t="str">
        <x:f>'Evaluation Plan'!N57</x:f>
        <x:v>Reset only the moved target; change only the prompt wording.</x:v>
      </x:c>
      <x:c r="O57" s="7" t="str">
        <x:f>'Evaluation Plan'!O57</x:f>
        <x:v>Exact-scene language pair for the category-only matched control.</x:v>
      </x:c>
      <x:c r="P57" s="7" t="str">
        <x:f>IF('Evaluation Plan'!P57=0,"",'Evaluation Plan'!P57)</x:f>
      </x:c>
    </x:row>
    <x:row r="58" ht="58" customHeight="1">
      <x:c r="A58" s="9" t="str">
        <x:v>Not collected</x:v>
      </x:c>
      <x:c r="B58" s="9" t="n">
        <x:f>'Evaluation Plan'!B58</x:f>
        <x:v>56</x:v>
      </x:c>
      <x:c r="C58" s="10" t="str">
        <x:f>'Evaluation Plan'!C58</x:f>
        <x:v>Move the upright yellow-white striped cup into the bowl.</x:v>
      </x:c>
      <x:c r="D58" s="10" t="str">
        <x:f>'Evaluation Plan'!D58</x:f>
        <x:v>P1 white cup A (O, UR); P2 brown cup B (C, UD); P3 yellow-white striped cup A (O, UR) [TARGET]; P4 yellow-white striped cup B (O, UD) [STATE COMPETITOR]</x:v>
      </x:c>
      <x:c r="E58" s="9" t="str">
        <x:f>IF('Evaluation Plan'!H58="Exact-scene opposite-state contrast",'Evaluation Plan'!E58,IF('Evaluation Plan'!H58="Language robustness",'Evaluation Plan'!E58,IF('Evaluation Plan'!H58="Matched manipulation control",'Evaluation Plan'!E58,IF('Evaluation Plan'!H58="Black-cup held-out-state composition",'Evaluation Plan'!E58,""))))</x:f>
      </x:c>
      <x:c r="F58" s="9" t="str">
        <x:f>'Evaluation Plan'!F58</x:f>
        <x:v>yellow-white striped cup A</x:v>
      </x:c>
      <x:c r="G58" s="10"/>
      <x:c r="H58" s="9" t="str">
        <x:f>'Evaluation Plan'!H58</x:f>
        <x:v>Concept/compositional transfer</x:v>
      </x:c>
      <x:c r="I58" s="9" t="str">
        <x:f>'Evaluation Plan'!I58</x:f>
        <x:v>SR-F15</x:v>
      </x:c>
      <x:c r="J58" s="9" t="str">
        <x:f>'Evaluation Plan'!J58</x:f>
        <x:v>upright</x:v>
      </x:c>
      <x:c r="K58" s="9" t="n">
        <x:f>'Evaluation Plan'!K58</x:f>
        <x:v>4</x:v>
      </x:c>
      <x:c r="L58" s="9" t="str">
        <x:f>'Evaluation Plan'!L58</x:f>
        <x:v>1 — Canonical transfer — Held-out state word + known category (upright)</x:v>
      </x:c>
      <x:c r="M58" s="9" t="n">
        <x:f>'Evaluation Plan'!M58</x:f>
        <x:v>15</x:v>
      </x:c>
      <x:c r="N58" s="10" t="str">
        <x:f>'Evaluation Plan'!N58</x:f>
        <x:v>Build the marked same-category discrimination scene. Save a first-frame image or filename.</x:v>
      </x:c>
      <x:c r="O58" s="10" t="str">
        <x:f>'Evaluation Plan'!O58</x:f>
        <x:v>Two objects match the named category; only the state word selects the target. Target and competitor differ only on the queried state axis.</x:v>
      </x:c>
      <x:c r="P58" s="10" t="str">
        <x:f>IF('Evaluation Plan'!P58=0,"",'Evaluation Plan'!P58)</x:f>
      </x:c>
    </x:row>
    <x:row r="59" ht="58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Place the upside-down yellow-white striped cup in the bowl.</x:v>
      </x:c>
      <x:c r="D59" s="7" t="str">
        <x:f>'Evaluation Plan'!D59</x:f>
        <x:v>P1 white cup A (O, UR); P2 brown cup B (C, UD); P3 yellow-white striped cup A (O, UR) [STATE COMPETITOR]; P4 yellow-white striped cup B (O, UD) [TARGET]</x:v>
      </x:c>
      <x:c r="E59" s="8" t="n">
        <x:f>IF('Evaluation Plan'!H59="Exact-scene opposite-state contrast",'Evaluation Plan'!E59,IF('Evaluation Plan'!H59="Language robustness",'Evaluation Plan'!E59,IF('Evaluation Plan'!H59="Matched manipulation control",'Evaluation Plan'!E59,IF('Evaluation Plan'!H59="Black-cup held-out-state composition",'Evaluation Plan'!E59,""))))</x:f>
        <x:v>56</x:v>
      </x:c>
      <x:c r="F59" s="8" t="str">
        <x:f>'Evaluation Plan'!F59</x:f>
        <x:v>yellow-white striped cup B</x:v>
      </x:c>
      <x:c r="G59" s="7"/>
      <x:c r="H59" s="8" t="str">
        <x:f>'Evaluation Plan'!H59</x:f>
        <x:v>Exact-scene opposite-state contrast</x:v>
      </x:c>
      <x:c r="I59" s="8" t="str">
        <x:f>'Evaluation Plan'!I59</x:f>
        <x:v>SR-F15</x:v>
      </x:c>
      <x:c r="J59" s="8" t="str">
        <x:f>'Evaluation Plan'!J59</x:f>
        <x:v>upside-down</x:v>
      </x:c>
      <x:c r="K59" s="8" t="n">
        <x:f>'Evaluation Plan'!K59</x:f>
        <x:v>4</x:v>
      </x:c>
      <x:c r="L59" s="8" t="str">
        <x:f>'Evaluation Plan'!L59</x:f>
        <x:v>2 — Exact-scene opposite-state contrast — State-word counterfactual (upright→upside-down)</x:v>
      </x:c>
      <x:c r="M59" s="8" t="n">
        <x:f>'Evaluation Plan'!M59</x:f>
        <x:v>15</x:v>
      </x:c>
      <x:c r="N59" s="7" t="str">
        <x:f>'Evaluation Plan'!N59</x:f>
        <x:v>Reset the canonical target to its marked position. Preserve every object and state; change only the queried state word and expected target.</x:v>
      </x:c>
      <x:c r="O59" s="7" t="str">
        <x:f>'Evaluation Plan'!O59</x:f>
        <x:v>Exact-scene semantic counterfactual. The state word switches to the opposite state and the correct target switches to the other same-category instance.</x:v>
      </x:c>
      <x:c r="P59" s="7" t="str">
        <x:f>IF('Evaluation Plan'!P59=0,"",'Evaluation Plan'!P59)</x:f>
      </x:c>
    </x:row>
    <x:row r="60" ht="58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Move the yellow-white striped cup into the bowl.</x:v>
      </x:c>
      <x:c r="D60" s="7" t="str">
        <x:f>'Evaluation Plan'!D60</x:f>
        <x:v>P1 white cup A (O, UR); P2 brown cup B (C, UD); P3 yellow-white striped cup A (O, UR) [TARGET]; P4 glass spice container B (O, UD) [NEUTRAL REPLACEMENT]</x:v>
      </x:c>
      <x:c r="E60" s="8" t="n">
        <x:f>IF('Evaluation Plan'!H60="Exact-scene opposite-state contrast",'Evaluation Plan'!E60,IF('Evaluation Plan'!H60="Language robustness",'Evaluation Plan'!E60,IF('Evaluation Plan'!H60="Matched manipulation control",'Evaluation Plan'!E60,IF('Evaluation Plan'!H60="Black-cup held-out-state composition",'Evaluation Plan'!E60,""))))</x:f>
        <x:v>56</x:v>
      </x:c>
      <x:c r="F60" s="8" t="str">
        <x:f>'Evaluation Plan'!F60</x:f>
        <x:v>yellow-white striped cup A</x:v>
      </x:c>
      <x:c r="G60" s="7"/>
      <x:c r="H60" s="8" t="str">
        <x:f>'Evaluation Plan'!H60</x:f>
        <x:v>Matched manipulation control</x:v>
      </x:c>
      <x:c r="I60" s="8" t="str">
        <x:f>'Evaluation Plan'!I60</x:f>
        <x:v>SR-F15</x:v>
      </x:c>
      <x:c r="J60" s="8" t="str">
        <x:f>'Evaluation Plan'!J60</x:f>
        <x:v>upright</x:v>
      </x:c>
      <x:c r="K60" s="8" t="n">
        <x:f>'Evaluation Plan'!K60</x:f>
        <x:v>4</x:v>
      </x:c>
      <x:c r="L60" s="8" t="str">
        <x:f>'Evaluation Plan'!L60</x:f>
        <x:v>3 — Matched control — Category-only control with 4 objects</x:v>
      </x:c>
      <x:c r="M60" s="8" t="n">
        <x:f>'Evaluation Plan'!M60</x:f>
        <x:v>15</x:v>
      </x:c>
      <x:c r="N60" s="7" t="str">
        <x:f>'Evaluation Plan'!N60</x:f>
        <x:v>Reset the target; replace the same-category state competitor with glass spice container B at the same position. Keep object count, other objects, camera, and bowl fixed.</x:v>
      </x:c>
      <x:c r="O60" s="7" t="str">
        <x:f>'Evaluation Plan'!O60</x:f>
        <x:v>The neutral replacement removes category ambiguity without changing the three- or four-object set size.</x:v>
      </x:c>
      <x:c r="P60" s="7" t="str">
        <x:f>IF('Evaluation Plan'!P60=0,"",'Evaluation Plan'!P60)</x:f>
      </x:c>
    </x:row>
    <x:row r="61" ht="58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Transfer the yellow-white striped cup into the bowl.</x:v>
      </x:c>
      <x:c r="D61" s="7" t="str">
        <x:f>'Evaluation Plan'!D61</x:f>
        <x:v>P1 white cup A (O, UR); P2 brown cup B (C, UD); P3 yellow-white striped cup A (O, UR) [TARGET]; P4 glass spice container B (O, UD) [NEUTRAL REPLACEMENT]</x:v>
      </x:c>
      <x:c r="E61" s="8" t="n">
        <x:f>IF('Evaluation Plan'!H61="Exact-scene opposite-state contrast",'Evaluation Plan'!E61,IF('Evaluation Plan'!H61="Language robustness",'Evaluation Plan'!E61,IF('Evaluation Plan'!H61="Matched manipulation control",'Evaluation Plan'!E61,IF('Evaluation Plan'!H61="Black-cup held-out-state composition",'Evaluation Plan'!E61,""))))</x:f>
        <x:v>58</x:v>
      </x:c>
      <x:c r="F61" s="8" t="str">
        <x:f>'Evaluation Plan'!F61</x:f>
        <x:v>yellow-white striped cup A</x:v>
      </x:c>
      <x:c r="G61" s="7"/>
      <x:c r="H61" s="8" t="str">
        <x:f>'Evaluation Plan'!H61</x:f>
        <x:v>Language robustness</x:v>
      </x:c>
      <x:c r="I61" s="8" t="str">
        <x:f>'Evaluation Plan'!I61</x:f>
        <x:v>SR-F15</x:v>
      </x:c>
      <x:c r="J61" s="8" t="str">
        <x:f>'Evaluation Plan'!J61</x:f>
        <x:v>upright</x:v>
      </x:c>
      <x:c r="K61" s="8" t="n">
        <x:f>'Evaluation Plan'!K61</x:f>
        <x:v>4</x:v>
      </x:c>
      <x:c r="L61" s="8" t="str">
        <x:f>'Evaluation Plan'!L61</x:f>
        <x:v>4 — Exact-scene control paraphrase — Paraphrase of matched-control prompt</x:v>
      </x:c>
      <x:c r="M61" s="8" t="n">
        <x:f>'Evaluation Plan'!M61</x:f>
        <x:v>15</x:v>
      </x:c>
      <x:c r="N61" s="7" t="str">
        <x:f>'Evaluation Plan'!N61</x:f>
        <x:v>Reset only the moved target; change only the prompt wording.</x:v>
      </x:c>
      <x:c r="O61" s="7" t="str">
        <x:f>'Evaluation Plan'!O61</x:f>
        <x:v>Exact-scene language pair for the category-only matched control.</x:v>
      </x:c>
      <x:c r="P61" s="7" t="str">
        <x:f>IF('Evaluation Plan'!P61=0,"",'Evaluation Plan'!P61)</x:f>
      </x:c>
    </x:row>
    <x:row r="62" ht="58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Place the upside-down brown cup in the bowl.</x:v>
      </x:c>
      <x:c r="D62" s="10" t="str">
        <x:f>'Evaluation Plan'!D62</x:f>
        <x:v>P1 brown cup A (C, UR) [STATE COMPETITOR]; P2 white cup A (O, UR); P3 yellow-white striped cup B (C, UD); P4 brown cup B (C, UD) [TARGET]</x:v>
      </x:c>
      <x:c r="E62" s="9" t="str">
        <x:f>IF('Evaluation Plan'!H62="Exact-scene opposite-state contrast",'Evaluation Plan'!E62,IF('Evaluation Plan'!H62="Language robustness",'Evaluation Plan'!E62,IF('Evaluation Plan'!H62="Matched manipulation control",'Evaluation Plan'!E62,IF('Evaluation Plan'!H62="Black-cup held-out-state composition",'Evaluation Plan'!E62,""))))</x:f>
      </x:c>
      <x:c r="F62" s="9" t="str">
        <x:f>'Evaluation Plan'!F62</x:f>
        <x:v>brown cup B</x:v>
      </x:c>
      <x:c r="G62" s="10"/>
      <x:c r="H62" s="9" t="str">
        <x:f>'Evaluation Plan'!H62</x:f>
        <x:v>Concept/compositional transfer</x:v>
      </x:c>
      <x:c r="I62" s="9" t="str">
        <x:f>'Evaluation Plan'!I62</x:f>
        <x:v>SR-F16</x:v>
      </x:c>
      <x:c r="J62" s="9" t="str">
        <x:f>'Evaluation Plan'!J62</x:f>
        <x:v>upside-down</x:v>
      </x:c>
      <x:c r="K62" s="9" t="n">
        <x:f>'Evaluation Plan'!K62</x:f>
        <x:v>4</x:v>
      </x:c>
      <x:c r="L62" s="9" t="str">
        <x:f>'Evaluation Plan'!L62</x:f>
        <x:v>1 — Canonical transfer — Seen state word in a new scene (upside-down)</x:v>
      </x:c>
      <x:c r="M62" s="9" t="n">
        <x:f>'Evaluation Plan'!M62</x:f>
        <x:v>16</x:v>
      </x:c>
      <x:c r="N62" s="10" t="str">
        <x:f>'Evaluation Plan'!N62</x:f>
        <x:v>Build the marked same-category discrimination scene. Save a first-frame image or filename.</x:v>
      </x:c>
      <x:c r="O62" s="10" t="str">
        <x:f>'Evaluation Plan'!O62</x:f>
        <x:v>Two objects match the named category; only the state word selects the target. Target and competitor differ only on the queried state axis.</x:v>
      </x:c>
      <x:c r="P62" s="10" t="str">
        <x:f>IF('Evaluation Plan'!P62=0,"",'Evaluation Plan'!P62)</x:f>
      </x:c>
    </x:row>
    <x:row r="63" ht="58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Put the upright brown cup in the bowl.</x:v>
      </x:c>
      <x:c r="D63" s="7" t="str">
        <x:f>'Evaluation Plan'!D63</x:f>
        <x:v>P1 brown cup A (C, UR) [TARGET]; P2 white cup A (O, UR); P3 yellow-white striped cup B (C, UD); P4 brown cup B (C, UD) [STATE COMPETITOR]</x:v>
      </x:c>
      <x:c r="E63" s="8" t="n">
        <x:f>IF('Evaluation Plan'!H63="Exact-scene opposite-state contrast",'Evaluation Plan'!E63,IF('Evaluation Plan'!H63="Language robustness",'Evaluation Plan'!E63,IF('Evaluation Plan'!H63="Matched manipulation control",'Evaluation Plan'!E63,IF('Evaluation Plan'!H63="Black-cup held-out-state composition",'Evaluation Plan'!E63,""))))</x:f>
        <x:v>60</x:v>
      </x:c>
      <x:c r="F63" s="8" t="str">
        <x:f>'Evaluation Plan'!F63</x:f>
        <x:v>brown cup A</x:v>
      </x:c>
      <x:c r="G63" s="7"/>
      <x:c r="H63" s="8" t="str">
        <x:f>'Evaluation Plan'!H63</x:f>
        <x:v>Exact-scene opposite-state contrast</x:v>
      </x:c>
      <x:c r="I63" s="8" t="str">
        <x:f>'Evaluation Plan'!I63</x:f>
        <x:v>SR-F16</x:v>
      </x:c>
      <x:c r="J63" s="8" t="str">
        <x:f>'Evaluation Plan'!J63</x:f>
        <x:v>upright</x:v>
      </x:c>
      <x:c r="K63" s="8" t="n">
        <x:f>'Evaluation Plan'!K63</x:f>
        <x:v>4</x:v>
      </x:c>
      <x:c r="L63" s="8" t="str">
        <x:f>'Evaluation Plan'!L63</x:f>
        <x:v>2 — Exact-scene opposite-state contrast — State-word counterfactual (upside-down→upright)</x:v>
      </x:c>
      <x:c r="M63" s="8" t="n">
        <x:f>'Evaluation Plan'!M63</x:f>
        <x:v>16</x:v>
      </x:c>
      <x:c r="N63" s="7" t="str">
        <x:f>'Evaluation Plan'!N63</x:f>
        <x:v>Reset the canonical target to its marked position. Preserve every object and state; change only the queried state word and expected target.</x:v>
      </x:c>
      <x:c r="O63" s="7" t="str">
        <x:f>'Evaluation Plan'!O63</x:f>
        <x:v>Exact-scene semantic counterfactual. The state word switches to the opposite state and the correct target switches to the other same-category instance.</x:v>
      </x:c>
      <x:c r="P63" s="7" t="str">
        <x:f>IF('Evaluation Plan'!P63=0,"",'Evaluation Plan'!P63)</x:f>
      </x:c>
    </x:row>
    <x:row r="64" ht="58" customHeight="1">
      <x:c r="A64" s="8" t="str">
        <x:v>Not collected</x:v>
      </x:c>
      <x:c r="B64" s="8" t="n">
        <x:f>'Evaluation Plan'!B64</x:f>
        <x:v>62</x:v>
      </x:c>
      <x:c r="C64" s="7" t="str">
        <x:f>'Evaluation Plan'!C64</x:f>
        <x:v>Place the brown cup in the bowl.</x:v>
      </x:c>
      <x:c r="D64" s="7" t="str">
        <x:f>'Evaluation Plan'!D64</x:f>
        <x:v>P1 glass spice container A (C, UR) [NEUTRAL REPLACEMENT]; P2 white cup A (O, UR); P3 yellow-white striped cup B (C, UD); P4 brown cup B (C, UD) [TARGET]</x:v>
      </x:c>
      <x:c r="E64" s="8" t="n">
        <x:f>IF('Evaluation Plan'!H64="Exact-scene opposite-state contrast",'Evaluation Plan'!E64,IF('Evaluation Plan'!H64="Language robustness",'Evaluation Plan'!E64,IF('Evaluation Plan'!H64="Matched manipulation control",'Evaluation Plan'!E64,IF('Evaluation Plan'!H64="Black-cup held-out-state composition",'Evaluation Plan'!E64,""))))</x:f>
        <x:v>60</x:v>
      </x:c>
      <x:c r="F64" s="8" t="str">
        <x:f>'Evaluation Plan'!F64</x:f>
        <x:v>brown cup B</x:v>
      </x:c>
      <x:c r="G64" s="7"/>
      <x:c r="H64" s="8" t="str">
        <x:f>'Evaluation Plan'!H64</x:f>
        <x:v>Matched manipulation control</x:v>
      </x:c>
      <x:c r="I64" s="8" t="str">
        <x:f>'Evaluation Plan'!I64</x:f>
        <x:v>SR-F16</x:v>
      </x:c>
      <x:c r="J64" s="8" t="str">
        <x:f>'Evaluation Plan'!J64</x:f>
        <x:v>upside-down</x:v>
      </x:c>
      <x:c r="K64" s="8" t="n">
        <x:f>'Evaluation Plan'!K64</x:f>
        <x:v>4</x:v>
      </x:c>
      <x:c r="L64" s="8" t="str">
        <x:f>'Evaluation Plan'!L64</x:f>
        <x:v>3 — Matched control — Category-only control with 4 objects</x:v>
      </x:c>
      <x:c r="M64" s="8" t="n">
        <x:f>'Evaluation Plan'!M64</x:f>
        <x:v>16</x:v>
      </x:c>
      <x:c r="N64" s="7" t="str">
        <x:f>'Evaluation Plan'!N64</x:f>
        <x:v>Reset the target; replace the same-category state competitor with glass spice container A at the same position. Keep object count, other objects, camera, and bowl fixed.</x:v>
      </x:c>
      <x:c r="O64" s="7" t="str">
        <x:f>'Evaluation Plan'!O64</x:f>
        <x:v>The neutral replacement removes category ambiguity without changing the three- or four-object set size.</x:v>
      </x:c>
      <x:c r="P64" s="7" t="str">
        <x:f>IF('Evaluation Plan'!P64=0,"",'Evaluation Plan'!P64)</x:f>
      </x:c>
    </x:row>
    <x:row r="65" ht="58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Pick up the brown cup and place it in the bowl.</x:v>
      </x:c>
      <x:c r="D65" s="7" t="str">
        <x:f>'Evaluation Plan'!D65</x:f>
        <x:v>P1 glass spice container A (C, UR) [NEUTRAL REPLACEMENT]; P2 white cup A (O, UR); P3 yellow-white striped cup B (C, UD); P4 brown cup B (C, UD) [TARGET]</x:v>
      </x:c>
      <x:c r="E65" s="8" t="n">
        <x:f>IF('Evaluation Plan'!H65="Exact-scene opposite-state contrast",'Evaluation Plan'!E65,IF('Evaluation Plan'!H65="Language robustness",'Evaluation Plan'!E65,IF('Evaluation Plan'!H65="Matched manipulation control",'Evaluation Plan'!E65,IF('Evaluation Plan'!H65="Black-cup held-out-state composition",'Evaluation Plan'!E65,""))))</x:f>
        <x:v>62</x:v>
      </x:c>
      <x:c r="F65" s="8" t="str">
        <x:f>'Evaluation Plan'!F65</x:f>
        <x:v>brown cup B</x:v>
      </x:c>
      <x:c r="G65" s="7"/>
      <x:c r="H65" s="8" t="str">
        <x:f>'Evaluation Plan'!H65</x:f>
        <x:v>Language robustness</x:v>
      </x:c>
      <x:c r="I65" s="8" t="str">
        <x:f>'Evaluation Plan'!I65</x:f>
        <x:v>SR-F16</x:v>
      </x:c>
      <x:c r="J65" s="8" t="str">
        <x:f>'Evaluation Plan'!J65</x:f>
        <x:v>upside-down</x:v>
      </x:c>
      <x:c r="K65" s="8" t="n">
        <x:f>'Evaluation Plan'!K65</x:f>
        <x:v>4</x:v>
      </x:c>
      <x:c r="L65" s="8" t="str">
        <x:f>'Evaluation Plan'!L65</x:f>
        <x:v>4 — Exact-scene control paraphrase — Paraphrase of matched-control prompt</x:v>
      </x:c>
      <x:c r="M65" s="8" t="n">
        <x:f>'Evaluation Plan'!M65</x:f>
        <x:v>16</x:v>
      </x:c>
      <x:c r="N65" s="7" t="str">
        <x:f>'Evaluation Plan'!N65</x:f>
        <x:v>Reset only the moved target; change only the prompt wording.</x:v>
      </x:c>
      <x:c r="O65" s="7" t="str">
        <x:f>'Evaluation Plan'!O65</x:f>
        <x:v>Exact-scene language pair for the category-only matched control.</x:v>
      </x:c>
      <x:c r="P65" s="7" t="str">
        <x:f>IF('Evaluation Plan'!P65=0,"",'Evaluation Plan'!P65)</x:f>
      </x:c>
    </x:row>
    <x:row r="66" ht="58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Put the closed white cup in the bowl.</x:v>
      </x:c>
      <x:c r="D66" s="10" t="str">
        <x:f>'Evaluation Plan'!D66</x:f>
        <x:v>P1 white cup A (C, UR) [TARGET]; P2 white cup B (O, UR) [STATE COMPETITOR]; P3 yellow-white striped cup A (O, UR); P4 brown cup B (C, UD)</x:v>
      </x:c>
      <x:c r="E66" s="9" t="str">
        <x:f>IF('Evaluation Plan'!H66="Exact-scene opposite-state contrast",'Evaluation Plan'!E66,IF('Evaluation Plan'!H66="Language robustness",'Evaluation Plan'!E66,IF('Evaluation Plan'!H66="Matched manipulation control",'Evaluation Plan'!E66,IF('Evaluation Plan'!H66="Black-cup held-out-state composition",'Evaluation Plan'!E66,""))))</x:f>
      </x:c>
      <x:c r="F66" s="9" t="str">
        <x:f>'Evaluation Plan'!F66</x:f>
        <x:v>white cup A</x:v>
      </x:c>
      <x:c r="G66" s="10"/>
      <x:c r="H66" s="9" t="str">
        <x:f>'Evaluation Plan'!H66</x:f>
        <x:v>Concept/compositional transfer</x:v>
      </x:c>
      <x:c r="I66" s="9" t="str">
        <x:f>'Evaluation Plan'!I66</x:f>
        <x:v>SR-F17</x:v>
      </x:c>
      <x:c r="J66" s="9" t="str">
        <x:f>'Evaluation Plan'!J66</x:f>
        <x:v>closed</x:v>
      </x:c>
      <x:c r="K66" s="9" t="n">
        <x:f>'Evaluation Plan'!K66</x:f>
        <x:v>4</x:v>
      </x:c>
      <x:c r="L66" s="9" t="str">
        <x:f>'Evaluation Plan'!L66</x:f>
        <x:v>1 — Canonical transfer — Held-out state word + known category (closed)</x:v>
      </x:c>
      <x:c r="M66" s="9" t="n">
        <x:f>'Evaluation Plan'!M66</x:f>
        <x:v>17</x:v>
      </x:c>
      <x:c r="N66" s="10" t="str">
        <x:f>'Evaluation Plan'!N66</x:f>
        <x:v>Build the marked same-category discrimination scene. Save a first-frame image or filename.</x:v>
      </x:c>
      <x:c r="O66" s="10" t="str">
        <x:f>'Evaluation Plan'!O66</x:f>
        <x:v>Two objects match the named category; only the state word selects the target. Target and competitor differ only on the queried state axis.</x:v>
      </x:c>
      <x:c r="P66" s="10" t="str">
        <x:f>IF('Evaluation Plan'!P66=0,"",'Evaluation Plan'!P66)</x:f>
      </x:c>
    </x:row>
    <x:row r="67" ht="58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Move the open white cup into the bowl.</x:v>
      </x:c>
      <x:c r="D67" s="7" t="str">
        <x:f>'Evaluation Plan'!D67</x:f>
        <x:v>P1 white cup A (C, UR) [STATE COMPETITOR]; P2 white cup B (O, UR) [TARGET]; P3 yellow-white striped cup A (O, UR); P4 brown cup B (C, UD)</x:v>
      </x:c>
      <x:c r="E67" s="8" t="n">
        <x:f>IF('Evaluation Plan'!H67="Exact-scene opposite-state contrast",'Evaluation Plan'!E67,IF('Evaluation Plan'!H67="Language robustness",'Evaluation Plan'!E67,IF('Evaluation Plan'!H67="Matched manipulation control",'Evaluation Plan'!E67,IF('Evaluation Plan'!H67="Black-cup held-out-state composition",'Evaluation Plan'!E67,""))))</x:f>
        <x:v>64</x:v>
      </x:c>
      <x:c r="F67" s="8" t="str">
        <x:f>'Evaluation Plan'!F67</x:f>
        <x:v>white cup B</x:v>
      </x:c>
      <x:c r="G67" s="7"/>
      <x:c r="H67" s="8" t="str">
        <x:f>'Evaluation Plan'!H67</x:f>
        <x:v>Exact-scene opposite-state contrast</x:v>
      </x:c>
      <x:c r="I67" s="8" t="str">
        <x:f>'Evaluation Plan'!I67</x:f>
        <x:v>SR-F17</x:v>
      </x:c>
      <x:c r="J67" s="8" t="str">
        <x:f>'Evaluation Plan'!J67</x:f>
        <x:v>open</x:v>
      </x:c>
      <x:c r="K67" s="8" t="n">
        <x:f>'Evaluation Plan'!K67</x:f>
        <x:v>4</x:v>
      </x:c>
      <x:c r="L67" s="8" t="str">
        <x:f>'Evaluation Plan'!L67</x:f>
        <x:v>2 — Exact-scene opposite-state contrast — State-word counterfactual (closed→open)</x:v>
      </x:c>
      <x:c r="M67" s="8" t="n">
        <x:f>'Evaluation Plan'!M67</x:f>
        <x:v>17</x:v>
      </x:c>
      <x:c r="N67" s="7" t="str">
        <x:f>'Evaluation Plan'!N67</x:f>
        <x:v>Reset the canonical target to its marked position. Preserve every object and state; change only the queried state word and expected target.</x:v>
      </x:c>
      <x:c r="O67" s="7" t="str">
        <x:f>'Evaluation Plan'!O67</x:f>
        <x:v>Exact-scene semantic counterfactual. The state word switches to the opposite state and the correct target switches to the other same-category instance.</x:v>
      </x:c>
      <x:c r="P67" s="7" t="str">
        <x:f>IF('Evaluation Plan'!P67=0,"",'Evaluation Plan'!P67)</x:f>
      </x:c>
    </x:row>
    <x:row r="68" ht="58" customHeight="1">
      <x:c r="A68" s="8" t="str">
        <x:v>Not collected</x:v>
      </x:c>
      <x:c r="B68" s="8" t="n">
        <x:f>'Evaluation Plan'!B68</x:f>
        <x:v>66</x:v>
      </x:c>
      <x:c r="C68" s="7" t="str">
        <x:f>'Evaluation Plan'!C68</x:f>
        <x:v>Put the white cup in the bowl.</x:v>
      </x:c>
      <x:c r="D68" s="7" t="str">
        <x:f>'Evaluation Plan'!D68</x:f>
        <x:v>P1 white cup A (C, UR) [TARGET]; P2 glass spice container B (O, UR) [NEUTRAL REPLACEMENT]; P3 yellow-white striped cup A (O, UR); P4 brown cup B (C, UD)</x:v>
      </x:c>
      <x:c r="E68" s="8" t="n">
        <x:f>IF('Evaluation Plan'!H68="Exact-scene opposite-state contrast",'Evaluation Plan'!E68,IF('Evaluation Plan'!H68="Language robustness",'Evaluation Plan'!E68,IF('Evaluation Plan'!H68="Matched manipulation control",'Evaluation Plan'!E68,IF('Evaluation Plan'!H68="Black-cup held-out-state composition",'Evaluation Plan'!E68,""))))</x:f>
        <x:v>64</x:v>
      </x:c>
      <x:c r="F68" s="8" t="str">
        <x:f>'Evaluation Plan'!F68</x:f>
        <x:v>white cup A</x:v>
      </x:c>
      <x:c r="G68" s="7"/>
      <x:c r="H68" s="8" t="str">
        <x:f>'Evaluation Plan'!H68</x:f>
        <x:v>Matched manipulation control</x:v>
      </x:c>
      <x:c r="I68" s="8" t="str">
        <x:f>'Evaluation Plan'!I68</x:f>
        <x:v>SR-F17</x:v>
      </x:c>
      <x:c r="J68" s="8" t="str">
        <x:f>'Evaluation Plan'!J68</x:f>
        <x:v>closed</x:v>
      </x:c>
      <x:c r="K68" s="8" t="n">
        <x:f>'Evaluation Plan'!K68</x:f>
        <x:v>4</x:v>
      </x:c>
      <x:c r="L68" s="8" t="str">
        <x:f>'Evaluation Plan'!L68</x:f>
        <x:v>3 — Matched control — Category-only control with 4 objects</x:v>
      </x:c>
      <x:c r="M68" s="8" t="n">
        <x:f>'Evaluation Plan'!M68</x:f>
        <x:v>17</x:v>
      </x:c>
      <x:c r="N68" s="7" t="str">
        <x:f>'Evaluation Plan'!N68</x:f>
        <x:v>Reset the target; replace the same-category state competitor with glass spice container B at the same position. Keep object count, other objects, camera, and bowl fixed.</x:v>
      </x:c>
      <x:c r="O68" s="7" t="str">
        <x:f>'Evaluation Plan'!O68</x:f>
        <x:v>The neutral replacement removes category ambiguity without changing the three- or four-object set size.</x:v>
      </x:c>
      <x:c r="P68" s="7" t="str">
        <x:f>IF('Evaluation Plan'!P68=0,"",'Evaluation Plan'!P68)</x:f>
      </x:c>
    </x:row>
    <x:row r="69" ht="58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Move the white cup over to the bowl.</x:v>
      </x:c>
      <x:c r="D69" s="7" t="str">
        <x:f>'Evaluation Plan'!D69</x:f>
        <x:v>P1 white cup A (C, UR) [TARGET]; P2 glass spice container B (O, UR) [NEUTRAL REPLACEMENT]; P3 yellow-white striped cup A (O, UR); P4 brown cup B (C, UD)</x:v>
      </x:c>
      <x:c r="E69" s="8" t="n">
        <x:f>IF('Evaluation Plan'!H69="Exact-scene opposite-state contrast",'Evaluation Plan'!E69,IF('Evaluation Plan'!H69="Language robustness",'Evaluation Plan'!E69,IF('Evaluation Plan'!H69="Matched manipulation control",'Evaluation Plan'!E69,IF('Evaluation Plan'!H69="Black-cup held-out-state composition",'Evaluation Plan'!E69,""))))</x:f>
        <x:v>66</x:v>
      </x:c>
      <x:c r="F69" s="8" t="str">
        <x:f>'Evaluation Plan'!F69</x:f>
        <x:v>white cup A</x:v>
      </x:c>
      <x:c r="G69" s="7"/>
      <x:c r="H69" s="8" t="str">
        <x:f>'Evaluation Plan'!H69</x:f>
        <x:v>Language robustness</x:v>
      </x:c>
      <x:c r="I69" s="8" t="str">
        <x:f>'Evaluation Plan'!I69</x:f>
        <x:v>SR-F17</x:v>
      </x:c>
      <x:c r="J69" s="8" t="str">
        <x:f>'Evaluation Plan'!J69</x:f>
        <x:v>closed</x:v>
      </x:c>
      <x:c r="K69" s="8" t="n">
        <x:f>'Evaluation Plan'!K69</x:f>
        <x:v>4</x:v>
      </x:c>
      <x:c r="L69" s="8" t="str">
        <x:f>'Evaluation Plan'!L69</x:f>
        <x:v>4 — Exact-scene control paraphrase — Paraphrase of matched-control prompt</x:v>
      </x:c>
      <x:c r="M69" s="8" t="n">
        <x:f>'Evaluation Plan'!M69</x:f>
        <x:v>17</x:v>
      </x:c>
      <x:c r="N69" s="7" t="str">
        <x:f>'Evaluation Plan'!N69</x:f>
        <x:v>Reset only the moved target; change only the prompt wording.</x:v>
      </x:c>
      <x:c r="O69" s="7" t="str">
        <x:f>'Evaluation Plan'!O69</x:f>
        <x:v>Exact-scene language pair for the category-only matched control.</x:v>
      </x:c>
      <x:c r="P69" s="7" t="str">
        <x:f>IF('Evaluation Plan'!P69=0,"",'Evaluation Plan'!P69)</x:f>
      </x:c>
    </x:row>
    <x:row r="70" ht="58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Move the open yellow-white striped cup into the bowl.</x:v>
      </x:c>
      <x:c r="D70" s="10" t="str">
        <x:f>'Evaluation Plan'!D70</x:f>
        <x:v>P1 white cup B (C, UD); P2 yellow-white striped cup B (O, UD) [TARGET]; P3 yellow-white striped cup A (C, UD) [STATE COMPETITOR]; P4 brown cup A (O, UR)</x:v>
      </x:c>
      <x:c r="E70" s="9" t="str">
        <x:f>IF('Evaluation Plan'!H70="Exact-scene opposite-state contrast",'Evaluation Plan'!E70,IF('Evaluation Plan'!H70="Language robustness",'Evaluation Plan'!E70,IF('Evaluation Plan'!H70="Matched manipulation control",'Evaluation Plan'!E70,IF('Evaluation Plan'!H70="Black-cup held-out-state composition",'Evaluation Plan'!E70,""))))</x:f>
      </x:c>
      <x:c r="F70" s="9" t="str">
        <x:f>'Evaluation Plan'!F70</x:f>
        <x:v>yellow-white striped cup B</x:v>
      </x:c>
      <x:c r="G70" s="10"/>
      <x:c r="H70" s="9" t="str">
        <x:f>'Evaluation Plan'!H70</x:f>
        <x:v>Concept/compositional transfer</x:v>
      </x:c>
      <x:c r="I70" s="9" t="str">
        <x:f>'Evaluation Plan'!I70</x:f>
        <x:v>SR-F18</x:v>
      </x:c>
      <x:c r="J70" s="9" t="str">
        <x:f>'Evaluation Plan'!J70</x:f>
        <x:v>open</x:v>
      </x:c>
      <x:c r="K70" s="9" t="n">
        <x:f>'Evaluation Plan'!K70</x:f>
        <x:v>4</x:v>
      </x:c>
      <x:c r="L70" s="9" t="str">
        <x:f>'Evaluation Plan'!L70</x:f>
        <x:v>1 — Canonical transfer — Seen state word in a new scene (open)</x:v>
      </x:c>
      <x:c r="M70" s="9" t="n">
        <x:f>'Evaluation Plan'!M70</x:f>
        <x:v>18</x:v>
      </x:c>
      <x:c r="N70" s="10" t="str">
        <x:f>'Evaluation Plan'!N70</x:f>
        <x:v>Build the marked same-category discrimination scene. Save a first-frame image or filename.</x:v>
      </x:c>
      <x:c r="O70" s="10" t="str">
        <x:f>'Evaluation Plan'!O70</x:f>
        <x:v>Two objects match the named category; only the state word selects the target. Target and competitor differ only on the queried state axis.</x:v>
      </x:c>
      <x:c r="P70" s="10" t="str">
        <x:f>IF('Evaluation Plan'!P70=0,"",'Evaluation Plan'!P70)</x:f>
      </x:c>
    </x:row>
    <x:row r="71" ht="58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Place the closed yellow-white striped cup in the bowl.</x:v>
      </x:c>
      <x:c r="D71" s="7" t="str">
        <x:f>'Evaluation Plan'!D71</x:f>
        <x:v>P1 white cup B (C, UD); P2 yellow-white striped cup B (O, UD) [STATE COMPETITOR]; P3 yellow-white striped cup A (C, UD) [TARGET]; P4 brown cup A (O, UR)</x:v>
      </x:c>
      <x:c r="E71" s="8" t="n">
        <x:f>IF('Evaluation Plan'!H71="Exact-scene opposite-state contrast",'Evaluation Plan'!E71,IF('Evaluation Plan'!H71="Language robustness",'Evaluation Plan'!E71,IF('Evaluation Plan'!H71="Matched manipulation control",'Evaluation Plan'!E71,IF('Evaluation Plan'!H71="Black-cup held-out-state composition",'Evaluation Plan'!E71,""))))</x:f>
        <x:v>68</x:v>
      </x:c>
      <x:c r="F71" s="8" t="str">
        <x:f>'Evaluation Plan'!F71</x:f>
        <x:v>yellow-white striped cup A</x:v>
      </x:c>
      <x:c r="G71" s="7"/>
      <x:c r="H71" s="8" t="str">
        <x:f>'Evaluation Plan'!H71</x:f>
        <x:v>Exact-scene opposite-state contrast</x:v>
      </x:c>
      <x:c r="I71" s="8" t="str">
        <x:f>'Evaluation Plan'!I71</x:f>
        <x:v>SR-F18</x:v>
      </x:c>
      <x:c r="J71" s="8" t="str">
        <x:f>'Evaluation Plan'!J71</x:f>
        <x:v>closed</x:v>
      </x:c>
      <x:c r="K71" s="8" t="n">
        <x:f>'Evaluation Plan'!K71</x:f>
        <x:v>4</x:v>
      </x:c>
      <x:c r="L71" s="8" t="str">
        <x:f>'Evaluation Plan'!L71</x:f>
        <x:v>2 — Exact-scene opposite-state contrast — State-word counterfactual (open→closed)</x:v>
      </x:c>
      <x:c r="M71" s="8" t="n">
        <x:f>'Evaluation Plan'!M71</x:f>
        <x:v>18</x:v>
      </x:c>
      <x:c r="N71" s="7" t="str">
        <x:f>'Evaluation Plan'!N71</x:f>
        <x:v>Reset the canonical target to its marked position. Preserve every object and state; change only the queried state word and expected target.</x:v>
      </x:c>
      <x:c r="O71" s="7" t="str">
        <x:f>'Evaluation Plan'!O71</x:f>
        <x:v>Exact-scene semantic counterfactual. The state word switches to the opposite state and the correct target switches to the other same-category instance.</x:v>
      </x:c>
      <x:c r="P71" s="7" t="str">
        <x:f>IF('Evaluation Plan'!P71=0,"",'Evaluation Plan'!P71)</x:f>
      </x:c>
    </x:row>
    <x:row r="72" ht="58" customHeight="1">
      <x:c r="A72" s="8" t="str">
        <x:v>Not collected</x:v>
      </x:c>
      <x:c r="B72" s="8" t="n">
        <x:f>'Evaluation Plan'!B72</x:f>
        <x:v>70</x:v>
      </x:c>
      <x:c r="C72" s="7" t="str">
        <x:f>'Evaluation Plan'!C72</x:f>
        <x:v>Move the yellow-white striped cup into the bowl.</x:v>
      </x:c>
      <x:c r="D72" s="7" t="str">
        <x:f>'Evaluation Plan'!D72</x:f>
        <x:v>P1 white cup B (C, UD); P2 yellow-white striped cup B (O, UD) [TARGET]; P3 glass spice container A (C, UD) [NEUTRAL REPLACEMENT]; P4 brown cup A (O, UR)</x:v>
      </x:c>
      <x:c r="E72" s="8" t="n">
        <x:f>IF('Evaluation Plan'!H72="Exact-scene opposite-state contrast",'Evaluation Plan'!E72,IF('Evaluation Plan'!H72="Language robustness",'Evaluation Plan'!E72,IF('Evaluation Plan'!H72="Matched manipulation control",'Evaluation Plan'!E72,IF('Evaluation Plan'!H72="Black-cup held-out-state composition",'Evaluation Plan'!E72,""))))</x:f>
        <x:v>68</x:v>
      </x:c>
      <x:c r="F72" s="8" t="str">
        <x:f>'Evaluation Plan'!F72</x:f>
        <x:v>yellow-white striped cup B</x:v>
      </x:c>
      <x:c r="G72" s="7"/>
      <x:c r="H72" s="8" t="str">
        <x:f>'Evaluation Plan'!H72</x:f>
        <x:v>Matched manipulation control</x:v>
      </x:c>
      <x:c r="I72" s="8" t="str">
        <x:f>'Evaluation Plan'!I72</x:f>
        <x:v>SR-F18</x:v>
      </x:c>
      <x:c r="J72" s="8" t="str">
        <x:f>'Evaluation Plan'!J72</x:f>
        <x:v>open</x:v>
      </x:c>
      <x:c r="K72" s="8" t="n">
        <x:f>'Evaluation Plan'!K72</x:f>
        <x:v>4</x:v>
      </x:c>
      <x:c r="L72" s="8" t="str">
        <x:f>'Evaluation Plan'!L72</x:f>
        <x:v>3 — Matched control — Category-only control with 4 objects</x:v>
      </x:c>
      <x:c r="M72" s="8" t="n">
        <x:f>'Evaluation Plan'!M72</x:f>
        <x:v>18</x:v>
      </x:c>
      <x:c r="N72" s="7" t="str">
        <x:f>'Evaluation Plan'!N72</x:f>
        <x:v>Reset the target; replace the same-category state competitor with glass spice container A at the same position. Keep object count, other objects, camera, and bowl fixed.</x:v>
      </x:c>
      <x:c r="O72" s="7" t="str">
        <x:f>'Evaluation Plan'!O72</x:f>
        <x:v>The neutral replacement removes category ambiguity without changing the three- or four-object set size.</x:v>
      </x:c>
      <x:c r="P72" s="7" t="str">
        <x:f>IF('Evaluation Plan'!P72=0,"",'Evaluation Plan'!P72)</x:f>
      </x:c>
    </x:row>
    <x:row r="73" ht="58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Put the yellow-white striped cup inside the bowl.</x:v>
      </x:c>
      <x:c r="D73" s="7" t="str">
        <x:f>'Evaluation Plan'!D73</x:f>
        <x:v>P1 white cup B (C, UD); P2 yellow-white striped cup B (O, UD) [TARGET]; P3 glass spice container A (C, UD) [NEUTRAL REPLACEMENT]; P4 brown cup A (O, UR)</x:v>
      </x:c>
      <x:c r="E73" s="8" t="n">
        <x:f>IF('Evaluation Plan'!H73="Exact-scene opposite-state contrast",'Evaluation Plan'!E73,IF('Evaluation Plan'!H73="Language robustness",'Evaluation Plan'!E73,IF('Evaluation Plan'!H73="Matched manipulation control",'Evaluation Plan'!E73,IF('Evaluation Plan'!H73="Black-cup held-out-state composition",'Evaluation Plan'!E73,""))))</x:f>
        <x:v>70</x:v>
      </x:c>
      <x:c r="F73" s="8" t="str">
        <x:f>'Evaluation Plan'!F73</x:f>
        <x:v>yellow-white striped cup B</x:v>
      </x:c>
      <x:c r="G73" s="7"/>
      <x:c r="H73" s="8" t="str">
        <x:f>'Evaluation Plan'!H73</x:f>
        <x:v>Language robustness</x:v>
      </x:c>
      <x:c r="I73" s="8" t="str">
        <x:f>'Evaluation Plan'!I73</x:f>
        <x:v>SR-F18</x:v>
      </x:c>
      <x:c r="J73" s="8" t="str">
        <x:f>'Evaluation Plan'!J73</x:f>
        <x:v>open</x:v>
      </x:c>
      <x:c r="K73" s="8" t="n">
        <x:f>'Evaluation Plan'!K73</x:f>
        <x:v>4</x:v>
      </x:c>
      <x:c r="L73" s="8" t="str">
        <x:f>'Evaluation Plan'!L73</x:f>
        <x:v>4 — Exact-scene control paraphrase — Paraphrase of matched-control prompt</x:v>
      </x:c>
      <x:c r="M73" s="8" t="n">
        <x:f>'Evaluation Plan'!M73</x:f>
        <x:v>18</x:v>
      </x:c>
      <x:c r="N73" s="7" t="str">
        <x:f>'Evaluation Plan'!N73</x:f>
        <x:v>Reset only the moved target; change only the prompt wording.</x:v>
      </x:c>
      <x:c r="O73" s="7" t="str">
        <x:f>'Evaluation Plan'!O73</x:f>
        <x:v>Exact-scene language pair for the category-only matched control.</x:v>
      </x:c>
      <x:c r="P73" s="7" t="str">
        <x:f>IF('Evaluation Plan'!P73=0,"",'Evaluation Plan'!P73)</x:f>
      </x:c>
    </x:row>
    <x:row r="74" ht="58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Place the upright brown cup in the bowl.</x:v>
      </x:c>
      <x:c r="D74" s="10" t="str">
        <x:f>'Evaluation Plan'!D74</x:f>
        <x:v>P1 white cup A (O, UR); P2 yellow-white striped cup B (C, UD); P3 brown cup A (O, UR) [TARGET]; P4 brown cup B (O, UD) [STATE COMPETITOR]</x:v>
      </x:c>
      <x:c r="E74" s="9" t="str">
        <x:f>IF('Evaluation Plan'!H74="Exact-scene opposite-state contrast",'Evaluation Plan'!E74,IF('Evaluation Plan'!H74="Language robustness",'Evaluation Plan'!E74,IF('Evaluation Plan'!H74="Matched manipulation control",'Evaluation Plan'!E74,IF('Evaluation Plan'!H74="Black-cup held-out-state composition",'Evaluation Plan'!E74,""))))</x:f>
      </x:c>
      <x:c r="F74" s="9" t="str">
        <x:f>'Evaluation Plan'!F74</x:f>
        <x:v>brown cup A</x:v>
      </x:c>
      <x:c r="G74" s="10"/>
      <x:c r="H74" s="9" t="str">
        <x:f>'Evaluation Plan'!H74</x:f>
        <x:v>Concept/compositional transfer</x:v>
      </x:c>
      <x:c r="I74" s="9" t="str">
        <x:f>'Evaluation Plan'!I74</x:f>
        <x:v>SR-F19</x:v>
      </x:c>
      <x:c r="J74" s="9" t="str">
        <x:f>'Evaluation Plan'!J74</x:f>
        <x:v>upright</x:v>
      </x:c>
      <x:c r="K74" s="9" t="n">
        <x:f>'Evaluation Plan'!K74</x:f>
        <x:v>4</x:v>
      </x:c>
      <x:c r="L74" s="9" t="str">
        <x:f>'Evaluation Plan'!L74</x:f>
        <x:v>1 — Canonical transfer — Held-out state word + known category (upright)</x:v>
      </x:c>
      <x:c r="M74" s="9" t="n">
        <x:f>'Evaluation Plan'!M74</x:f>
        <x:v>19</x:v>
      </x:c>
      <x:c r="N74" s="10" t="str">
        <x:f>'Evaluation Plan'!N74</x:f>
        <x:v>Build the marked same-category discrimination scene. Save a first-frame image or filename.</x:v>
      </x:c>
      <x:c r="O74" s="10" t="str">
        <x:f>'Evaluation Plan'!O74</x:f>
        <x:v>Two objects match the named category; only the state word selects the target. Target and competitor differ only on the queried state axis.</x:v>
      </x:c>
      <x:c r="P74" s="10" t="str">
        <x:f>IF('Evaluation Plan'!P74=0,"",'Evaluation Plan'!P74)</x:f>
      </x:c>
    </x:row>
    <x:row r="75" ht="58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Put the upside-down brown cup in the bowl.</x:v>
      </x:c>
      <x:c r="D75" s="7" t="str">
        <x:f>'Evaluation Plan'!D75</x:f>
        <x:v>P1 white cup A (O, UR); P2 yellow-white striped cup B (C, UD); P3 brown cup A (O, UR) [STATE COMPETITOR]; P4 brown cup B (O, UD) [TARGET]</x:v>
      </x:c>
      <x:c r="E75" s="8" t="n">
        <x:f>IF('Evaluation Plan'!H75="Exact-scene opposite-state contrast",'Evaluation Plan'!E75,IF('Evaluation Plan'!H75="Language robustness",'Evaluation Plan'!E75,IF('Evaluation Plan'!H75="Matched manipulation control",'Evaluation Plan'!E75,IF('Evaluation Plan'!H75="Black-cup held-out-state composition",'Evaluation Plan'!E75,""))))</x:f>
        <x:v>72</x:v>
      </x:c>
      <x:c r="F75" s="8" t="str">
        <x:f>'Evaluation Plan'!F75</x:f>
        <x:v>brown cup B</x:v>
      </x:c>
      <x:c r="G75" s="7"/>
      <x:c r="H75" s="8" t="str">
        <x:f>'Evaluation Plan'!H75</x:f>
        <x:v>Exact-scene opposite-state contrast</x:v>
      </x:c>
      <x:c r="I75" s="8" t="str">
        <x:f>'Evaluation Plan'!I75</x:f>
        <x:v>SR-F19</x:v>
      </x:c>
      <x:c r="J75" s="8" t="str">
        <x:f>'Evaluation Plan'!J75</x:f>
        <x:v>upside-down</x:v>
      </x:c>
      <x:c r="K75" s="8" t="n">
        <x:f>'Evaluation Plan'!K75</x:f>
        <x:v>4</x:v>
      </x:c>
      <x:c r="L75" s="8" t="str">
        <x:f>'Evaluation Plan'!L75</x:f>
        <x:v>2 — Exact-scene opposite-state contrast — State-word counterfactual (upright→upside-down)</x:v>
      </x:c>
      <x:c r="M75" s="8" t="n">
        <x:f>'Evaluation Plan'!M75</x:f>
        <x:v>19</x:v>
      </x:c>
      <x:c r="N75" s="7" t="str">
        <x:f>'Evaluation Plan'!N75</x:f>
        <x:v>Reset the canonical target to its marked position. Preserve every object and state; change only the queried state word and expected target.</x:v>
      </x:c>
      <x:c r="O75" s="7" t="str">
        <x:f>'Evaluation Plan'!O75</x:f>
        <x:v>Exact-scene semantic counterfactual. The state word switches to the opposite state and the correct target switches to the other same-category instance.</x:v>
      </x:c>
      <x:c r="P75" s="7" t="str">
        <x:f>IF('Evaluation Plan'!P75=0,"",'Evaluation Plan'!P75)</x:f>
      </x:c>
    </x:row>
    <x:row r="76" ht="58" customHeight="1">
      <x:c r="A76" s="8" t="str">
        <x:v>Not collected</x:v>
      </x:c>
      <x:c r="B76" s="8" t="n">
        <x:f>'Evaluation Plan'!B76</x:f>
        <x:v>74</x:v>
      </x:c>
      <x:c r="C76" s="7" t="str">
        <x:f>'Evaluation Plan'!C76</x:f>
        <x:v>Place the brown cup in the bowl.</x:v>
      </x:c>
      <x:c r="D76" s="7" t="str">
        <x:f>'Evaluation Plan'!D76</x:f>
        <x:v>P1 white cup A (O, UR); P2 yellow-white striped cup B (C, UD); P3 brown cup A (O, UR) [TARGET]; P4 glass spice container B (O, UD) [NEUTRAL REPLACEMENT]</x:v>
      </x:c>
      <x:c r="E76" s="8" t="n">
        <x:f>IF('Evaluation Plan'!H76="Exact-scene opposite-state contrast",'Evaluation Plan'!E76,IF('Evaluation Plan'!H76="Language robustness",'Evaluation Plan'!E76,IF('Evaluation Plan'!H76="Matched manipulation control",'Evaluation Plan'!E76,IF('Evaluation Plan'!H76="Black-cup held-out-state composition",'Evaluation Plan'!E76,""))))</x:f>
        <x:v>72</x:v>
      </x:c>
      <x:c r="F76" s="8" t="str">
        <x:f>'Evaluation Plan'!F76</x:f>
        <x:v>brown cup A</x:v>
      </x:c>
      <x:c r="G76" s="7"/>
      <x:c r="H76" s="8" t="str">
        <x:f>'Evaluation Plan'!H76</x:f>
        <x:v>Matched manipulation control</x:v>
      </x:c>
      <x:c r="I76" s="8" t="str">
        <x:f>'Evaluation Plan'!I76</x:f>
        <x:v>SR-F19</x:v>
      </x:c>
      <x:c r="J76" s="8" t="str">
        <x:f>'Evaluation Plan'!J76</x:f>
        <x:v>upright</x:v>
      </x:c>
      <x:c r="K76" s="8" t="n">
        <x:f>'Evaluation Plan'!K76</x:f>
        <x:v>4</x:v>
      </x:c>
      <x:c r="L76" s="8" t="str">
        <x:f>'Evaluation Plan'!L76</x:f>
        <x:v>3 — Matched control — Category-only control with 4 objects</x:v>
      </x:c>
      <x:c r="M76" s="8" t="n">
        <x:f>'Evaluation Plan'!M76</x:f>
        <x:v>19</x:v>
      </x:c>
      <x:c r="N76" s="7" t="str">
        <x:f>'Evaluation Plan'!N76</x:f>
        <x:v>Reset the target; replace the same-category state competitor with glass spice container B at the same position. Keep object count, other objects, camera, and bowl fixed.</x:v>
      </x:c>
      <x:c r="O76" s="7" t="str">
        <x:f>'Evaluation Plan'!O76</x:f>
        <x:v>The neutral replacement removes category ambiguity without changing the three- or four-object set size.</x:v>
      </x:c>
      <x:c r="P76" s="7" t="str">
        <x:f>IF('Evaluation Plan'!P76=0,"",'Evaluation Plan'!P76)</x:f>
      </x:c>
    </x:row>
    <x:row r="77" ht="58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Take the brown cup and set it in the bowl.</x:v>
      </x:c>
      <x:c r="D77" s="7" t="str">
        <x:f>'Evaluation Plan'!D77</x:f>
        <x:v>P1 white cup A (O, UR); P2 yellow-white striped cup B (C, UD); P3 brown cup A (O, UR) [TARGET]; P4 glass spice container B (O, UD) [NEUTRAL REPLACEMENT]</x:v>
      </x:c>
      <x:c r="E77" s="8" t="n">
        <x:f>IF('Evaluation Plan'!H77="Exact-scene opposite-state contrast",'Evaluation Plan'!E77,IF('Evaluation Plan'!H77="Language robustness",'Evaluation Plan'!E77,IF('Evaluation Plan'!H77="Matched manipulation control",'Evaluation Plan'!E77,IF('Evaluation Plan'!H77="Black-cup held-out-state composition",'Evaluation Plan'!E77,""))))</x:f>
        <x:v>74</x:v>
      </x:c>
      <x:c r="F77" s="8" t="str">
        <x:f>'Evaluation Plan'!F77</x:f>
        <x:v>brown cup A</x:v>
      </x:c>
      <x:c r="G77" s="7"/>
      <x:c r="H77" s="8" t="str">
        <x:f>'Evaluation Plan'!H77</x:f>
        <x:v>Language robustness</x:v>
      </x:c>
      <x:c r="I77" s="8" t="str">
        <x:f>'Evaluation Plan'!I77</x:f>
        <x:v>SR-F19</x:v>
      </x:c>
      <x:c r="J77" s="8" t="str">
        <x:f>'Evaluation Plan'!J77</x:f>
        <x:v>upright</x:v>
      </x:c>
      <x:c r="K77" s="8" t="n">
        <x:f>'Evaluation Plan'!K77</x:f>
        <x:v>4</x:v>
      </x:c>
      <x:c r="L77" s="8" t="str">
        <x:f>'Evaluation Plan'!L77</x:f>
        <x:v>4 — Exact-scene control paraphrase — Paraphrase of matched-control prompt</x:v>
      </x:c>
      <x:c r="M77" s="8" t="n">
        <x:f>'Evaluation Plan'!M77</x:f>
        <x:v>19</x:v>
      </x:c>
      <x:c r="N77" s="7" t="str">
        <x:f>'Evaluation Plan'!N77</x:f>
        <x:v>Reset only the moved target; change only the prompt wording.</x:v>
      </x:c>
      <x:c r="O77" s="7" t="str">
        <x:f>'Evaluation Plan'!O77</x:f>
        <x:v>Exact-scene language pair for the category-only matched control.</x:v>
      </x:c>
      <x:c r="P77" s="7" t="str">
        <x:f>IF('Evaluation Plan'!P77=0,"",'Evaluation Plan'!P77)</x:f>
      </x:c>
    </x:row>
    <x:row r="78" ht="58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Put the upside-down glass spice container in the bowl.</x:v>
      </x:c>
      <x:c r="D78" s="10" t="str">
        <x:f>'Evaluation Plan'!D78</x:f>
        <x:v>P1 glass spice container A (C, UR) [STATE COMPETITOR]; P2 white cup A (O, UR); P3 yellow-white striped cup B (C, UD); P4 glass spice container B (C, UD) [TARGET]</x:v>
      </x:c>
      <x:c r="E78" s="9" t="str">
        <x:f>IF('Evaluation Plan'!H78="Exact-scene opposite-state contrast",'Evaluation Plan'!E78,IF('Evaluation Plan'!H78="Language robustness",'Evaluation Plan'!E78,IF('Evaluation Plan'!H78="Matched manipulation control",'Evaluation Plan'!E78,IF('Evaluation Plan'!H78="Black-cup held-out-state composition",'Evaluation Plan'!E78,""))))</x:f>
      </x:c>
      <x:c r="F78" s="9" t="str">
        <x:f>'Evaluation Plan'!F78</x:f>
        <x:v>glass spice container B</x:v>
      </x:c>
      <x:c r="G78" s="10"/>
      <x:c r="H78" s="9" t="str">
        <x:f>'Evaluation Plan'!H78</x:f>
        <x:v>Concept/compositional transfer</x:v>
      </x:c>
      <x:c r="I78" s="9" t="str">
        <x:f>'Evaluation Plan'!I78</x:f>
        <x:v>SR-F20</x:v>
      </x:c>
      <x:c r="J78" s="9" t="str">
        <x:f>'Evaluation Plan'!J78</x:f>
        <x:v>upside-down</x:v>
      </x:c>
      <x:c r="K78" s="9" t="n">
        <x:f>'Evaluation Plan'!K78</x:f>
        <x:v>4</x:v>
      </x:c>
      <x:c r="L78" s="9" t="str">
        <x:f>'Evaluation Plan'!L78</x:f>
        <x:v>1 — Canonical transfer — Seen state word in a new scene (upside-down)</x:v>
      </x:c>
      <x:c r="M78" s="9" t="n">
        <x:f>'Evaluation Plan'!M78</x:f>
        <x:v>20</x:v>
      </x:c>
      <x:c r="N78" s="10" t="str">
        <x:f>'Evaluation Plan'!N78</x:f>
        <x:v>Build the marked same-category discrimination scene. Save a first-frame image or filename.</x:v>
      </x:c>
      <x:c r="O78" s="10" t="str">
        <x:f>'Evaluation Plan'!O78</x:f>
        <x:v>Two objects match the named category; only the state word selects the target. Target and competitor differ only on the queried state axis.</x:v>
      </x:c>
      <x:c r="P78" s="10" t="str">
        <x:f>IF('Evaluation Plan'!P78=0,"",'Evaluation Plan'!P78)</x:f>
      </x:c>
    </x:row>
    <x:row r="79" ht="58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Move the upright glass spice container into the bowl.</x:v>
      </x:c>
      <x:c r="D79" s="7" t="str">
        <x:f>'Evaluation Plan'!D79</x:f>
        <x:v>P1 glass spice container A (C, UR) [TARGET]; P2 white cup A (O, UR); P3 yellow-white striped cup B (C, UD); P4 glass spice container B (C, UD) [STATE COMPETITOR]</x:v>
      </x:c>
      <x:c r="E79" s="8" t="n">
        <x:f>IF('Evaluation Plan'!H79="Exact-scene opposite-state contrast",'Evaluation Plan'!E79,IF('Evaluation Plan'!H79="Language robustness",'Evaluation Plan'!E79,IF('Evaluation Plan'!H79="Matched manipulation control",'Evaluation Plan'!E79,IF('Evaluation Plan'!H79="Black-cup held-out-state composition",'Evaluation Plan'!E79,""))))</x:f>
        <x:v>76</x:v>
      </x:c>
      <x:c r="F79" s="8" t="str">
        <x:f>'Evaluation Plan'!F79</x:f>
        <x:v>glass spice container A</x:v>
      </x:c>
      <x:c r="G79" s="7"/>
      <x:c r="H79" s="8" t="str">
        <x:f>'Evaluation Plan'!H79</x:f>
        <x:v>Exact-scene opposite-state contrast</x:v>
      </x:c>
      <x:c r="I79" s="8" t="str">
        <x:f>'Evaluation Plan'!I79</x:f>
        <x:v>SR-F20</x:v>
      </x:c>
      <x:c r="J79" s="8" t="str">
        <x:f>'Evaluation Plan'!J79</x:f>
        <x:v>upright</x:v>
      </x:c>
      <x:c r="K79" s="8" t="n">
        <x:f>'Evaluation Plan'!K79</x:f>
        <x:v>4</x:v>
      </x:c>
      <x:c r="L79" s="8" t="str">
        <x:f>'Evaluation Plan'!L79</x:f>
        <x:v>2 — Exact-scene opposite-state contrast — State-word counterfactual (upside-down→upright)</x:v>
      </x:c>
      <x:c r="M79" s="8" t="n">
        <x:f>'Evaluation Plan'!M79</x:f>
        <x:v>20</x:v>
      </x:c>
      <x:c r="N79" s="7" t="str">
        <x:f>'Evaluation Plan'!N79</x:f>
        <x:v>Reset the canonical target to its marked position. Preserve every object and state; change only the queried state word and expected target.</x:v>
      </x:c>
      <x:c r="O79" s="7" t="str">
        <x:f>'Evaluation Plan'!O79</x:f>
        <x:v>Exact-scene semantic counterfactual. The state word switches to the opposite state and the correct target switches to the other same-category instance.</x:v>
      </x:c>
      <x:c r="P79" s="7" t="str">
        <x:f>IF('Evaluation Plan'!P79=0,"",'Evaluation Plan'!P79)</x:f>
      </x:c>
    </x:row>
    <x:row r="80" ht="58" customHeight="1">
      <x:c r="A80" s="8" t="str">
        <x:v>Not collected</x:v>
      </x:c>
      <x:c r="B80" s="8" t="n">
        <x:f>'Evaluation Plan'!B80</x:f>
        <x:v>78</x:v>
      </x:c>
      <x:c r="C80" s="7" t="str">
        <x:f>'Evaluation Plan'!C80</x:f>
        <x:v>Put the glass spice container in the bowl.</x:v>
      </x:c>
      <x:c r="D80" s="7" t="str">
        <x:f>'Evaluation Plan'!D80</x:f>
        <x:v>P1 brown cup A (C, UR) [NEUTRAL REPLACEMENT]; P2 white cup A (O, UR); P3 yellow-white striped cup B (C, UD); P4 glass spice container B (C, UD) [TARGET]</x:v>
      </x:c>
      <x:c r="E80" s="8" t="n">
        <x:f>IF('Evaluation Plan'!H80="Exact-scene opposite-state contrast",'Evaluation Plan'!E80,IF('Evaluation Plan'!H80="Language robustness",'Evaluation Plan'!E80,IF('Evaluation Plan'!H80="Matched manipulation control",'Evaluation Plan'!E80,IF('Evaluation Plan'!H80="Black-cup held-out-state composition",'Evaluation Plan'!E80,""))))</x:f>
        <x:v>76</x:v>
      </x:c>
      <x:c r="F80" s="8" t="str">
        <x:f>'Evaluation Plan'!F80</x:f>
        <x:v>glass spice container B</x:v>
      </x:c>
      <x:c r="G80" s="7"/>
      <x:c r="H80" s="8" t="str">
        <x:f>'Evaluation Plan'!H80</x:f>
        <x:v>Matched manipulation control</x:v>
      </x:c>
      <x:c r="I80" s="8" t="str">
        <x:f>'Evaluation Plan'!I80</x:f>
        <x:v>SR-F20</x:v>
      </x:c>
      <x:c r="J80" s="8" t="str">
        <x:f>'Evaluation Plan'!J80</x:f>
        <x:v>upside-down</x:v>
      </x:c>
      <x:c r="K80" s="8" t="n">
        <x:f>'Evaluation Plan'!K80</x:f>
        <x:v>4</x:v>
      </x:c>
      <x:c r="L80" s="8" t="str">
        <x:f>'Evaluation Plan'!L80</x:f>
        <x:v>3 — Matched control — Category-only control with 4 objects</x:v>
      </x:c>
      <x:c r="M80" s="8" t="n">
        <x:f>'Evaluation Plan'!M80</x:f>
        <x:v>20</x:v>
      </x:c>
      <x:c r="N80" s="7" t="str">
        <x:f>'Evaluation Plan'!N80</x:f>
        <x:v>Reset the target; replace the same-category state competitor with brown cup A at the same position. Keep object count, other objects, camera, and bowl fixed.</x:v>
      </x:c>
      <x:c r="O80" s="7" t="str">
        <x:f>'Evaluation Plan'!O80</x:f>
        <x:v>The neutral replacement removes category ambiguity without changing the three- or four-object set size.</x:v>
      </x:c>
      <x:c r="P80" s="7" t="str">
        <x:f>IF('Evaluation Plan'!P80=0,"",'Evaluation Plan'!P80)</x:f>
      </x:c>
    </x:row>
    <x:row r="81" ht="58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Transfer the glass spice container into the bowl.</x:v>
      </x:c>
      <x:c r="D81" s="7" t="str">
        <x:f>'Evaluation Plan'!D81</x:f>
        <x:v>P1 brown cup A (C, UR) [NEUTRAL REPLACEMENT]; P2 white cup A (O, UR); P3 yellow-white striped cup B (C, UD); P4 glass spice container B (C, UD) [TARGET]</x:v>
      </x:c>
      <x:c r="E81" s="8" t="n">
        <x:f>IF('Evaluation Plan'!H81="Exact-scene opposite-state contrast",'Evaluation Plan'!E81,IF('Evaluation Plan'!H81="Language robustness",'Evaluation Plan'!E81,IF('Evaluation Plan'!H81="Matched manipulation control",'Evaluation Plan'!E81,IF('Evaluation Plan'!H81="Black-cup held-out-state composition",'Evaluation Plan'!E81,""))))</x:f>
        <x:v>78</x:v>
      </x:c>
      <x:c r="F81" s="8" t="str">
        <x:f>'Evaluation Plan'!F81</x:f>
        <x:v>glass spice container B</x:v>
      </x:c>
      <x:c r="G81" s="7"/>
      <x:c r="H81" s="8" t="str">
        <x:f>'Evaluation Plan'!H81</x:f>
        <x:v>Language robustness</x:v>
      </x:c>
      <x:c r="I81" s="8" t="str">
        <x:f>'Evaluation Plan'!I81</x:f>
        <x:v>SR-F20</x:v>
      </x:c>
      <x:c r="J81" s="8" t="str">
        <x:f>'Evaluation Plan'!J81</x:f>
        <x:v>upside-down</x:v>
      </x:c>
      <x:c r="K81" s="8" t="n">
        <x:f>'Evaluation Plan'!K81</x:f>
        <x:v>4</x:v>
      </x:c>
      <x:c r="L81" s="8" t="str">
        <x:f>'Evaluation Plan'!L81</x:f>
        <x:v>4 — Exact-scene control paraphrase — Paraphrase of matched-control prompt</x:v>
      </x:c>
      <x:c r="M81" s="8" t="n">
        <x:f>'Evaluation Plan'!M81</x:f>
        <x:v>20</x:v>
      </x:c>
      <x:c r="N81" s="7" t="str">
        <x:f>'Evaluation Plan'!N81</x:f>
        <x:v>Reset only the moved target; change only the prompt wording.</x:v>
      </x:c>
      <x:c r="O81" s="7" t="str">
        <x:f>'Evaluation Plan'!O81</x:f>
        <x:v>Exact-scene language pair for the category-only matched control.</x:v>
      </x:c>
      <x:c r="P81" s="7" t="str">
        <x:f>IF('Evaluation Plan'!P81=0,"",'Evaluation Plan'!P81)</x:f>
      </x:c>
    </x:row>
    <x:row r="82" ht="58" customHeight="1">
      <x:c r="A82" s="8" t="str">
        <x:v>Not collected</x:v>
      </x:c>
      <x:c r="B82" s="8" t="n">
        <x:f>'Evaluation Plan'!B82</x:f>
        <x:v>80</x:v>
      </x:c>
      <x:c r="C82" s="7" t="str">
        <x:f>'Evaluation Plan'!C82</x:f>
        <x:v>Move the closed yellow-white striped cup into the bowl.</x:v>
      </x:c>
      <x:c r="D82" s="7" t="str">
        <x:f>'Evaluation Plan'!D82</x:f>
        <x:v>P1 yellow-white striped cup A (C, UR) [TARGET]; P2 yellow-white striped cup B (O, UR) [STATE COMPETITOR]; P3 white cup A (O, UR)</x:v>
      </x:c>
      <x:c r="E82" s="8" t="str">
        <x:f>IF('Evaluation Plan'!H82="Exact-scene opposite-state contrast",'Evaluation Plan'!E82,IF('Evaluation Plan'!H82="Language robustness",'Evaluation Plan'!E82,IF('Evaluation Plan'!H82="Matched manipulation control",'Evaluation Plan'!E82,IF('Evaluation Plan'!H82="Black-cup held-out-state composition",'Evaluation Plan'!E82,""))))</x:f>
      </x:c>
      <x:c r="F82" s="8" t="str">
        <x:f>'Evaluation Plan'!F82</x:f>
        <x:v>yellow-white striped cup A</x:v>
      </x:c>
      <x:c r="G82" s="7"/>
      <x:c r="H82" s="8" t="str">
        <x:f>'Evaluation Plan'!H82</x:f>
        <x:v>Concept/compositional transfer</x:v>
      </x:c>
      <x:c r="I82" s="8" t="str">
        <x:f>'Evaluation Plan'!I82</x:f>
        <x:v>SR-X01</x:v>
      </x:c>
      <x:c r="J82" s="8" t="str">
        <x:f>'Evaluation Plan'!J82</x:f>
        <x:v>closed</x:v>
      </x:c>
      <x:c r="K82" s="8" t="n">
        <x:f>'Evaluation Plan'!K82</x:f>
        <x:v>3</x:v>
      </x:c>
      <x:c r="L82" s="8" t="str">
        <x:f>'Evaluation Plan'!L82</x:f>
        <x:v>Additional transfer — Additional held-out state + category (closed)</x:v>
      </x:c>
      <x:c r="M82" s="8" t="n">
        <x:f>'Evaluation Plan'!M82</x:f>
        <x:v>21</x:v>
      </x:c>
      <x:c r="N82" s="7" t="str">
        <x:f>'Evaluation Plan'!N82</x:f>
        <x:v>Build the listed same-category discrimination scene; both category instances must remain present.</x:v>
      </x:c>
      <x:c r="O82" s="7" t="str">
        <x:f>'Evaluation Plan'!O82</x:f>
        <x:v>Unpaired primary-transfer coverage. Category and state are both present in the prompt, matching the training prompt structure.</x:v>
      </x:c>
      <x:c r="P82" s="7" t="str">
        <x:f>IF('Evaluation Plan'!P82=0,"",'Evaluation Plan'!P82)</x:f>
      </x:c>
    </x:row>
    <x:row r="83" ht="58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Place the closed brown cup in the bowl.</x:v>
      </x:c>
      <x:c r="D83" s="7" t="str">
        <x:f>'Evaluation Plan'!D83</x:f>
        <x:v>P1 white cup B (C, UD); P2 brown cup B (C, UD) [TARGET]; P3 brown cup A (O, UD) [STATE COMPETITOR]</x:v>
      </x:c>
      <x:c r="E83" s="8" t="str">
        <x:f>IF('Evaluation Plan'!H83="Exact-scene opposite-state contrast",'Evaluation Plan'!E83,IF('Evaluation Plan'!H83="Language robustness",'Evaluation Plan'!E83,IF('Evaluation Plan'!H83="Matched manipulation control",'Evaluation Plan'!E83,IF('Evaluation Plan'!H83="Black-cup held-out-state composition",'Evaluation Plan'!E83,""))))</x:f>
      </x:c>
      <x:c r="F83" s="8" t="str">
        <x:f>'Evaluation Plan'!F83</x:f>
        <x:v>brown cup B</x:v>
      </x:c>
      <x:c r="G83" s="7"/>
      <x:c r="H83" s="8" t="str">
        <x:f>'Evaluation Plan'!H83</x:f>
        <x:v>Concept/compositional transfer</x:v>
      </x:c>
      <x:c r="I83" s="8" t="str">
        <x:f>'Evaluation Plan'!I83</x:f>
        <x:v>SR-X02</x:v>
      </x:c>
      <x:c r="J83" s="8" t="str">
        <x:f>'Evaluation Plan'!J83</x:f>
        <x:v>closed</x:v>
      </x:c>
      <x:c r="K83" s="8" t="n">
        <x:f>'Evaluation Plan'!K83</x:f>
        <x:v>3</x:v>
      </x:c>
      <x:c r="L83" s="8" t="str">
        <x:f>'Evaluation Plan'!L83</x:f>
        <x:v>Additional transfer — Additional held-out state + category (closed)</x:v>
      </x:c>
      <x:c r="M83" s="8" t="n">
        <x:f>'Evaluation Plan'!M83</x:f>
        <x:v>22</x:v>
      </x:c>
      <x:c r="N83" s="7" t="str">
        <x:f>'Evaluation Plan'!N83</x:f>
        <x:v>Build the listed same-category discrimination scene; both category instances must remain present.</x:v>
      </x:c>
      <x:c r="O83" s="7" t="str">
        <x:f>'Evaluation Plan'!O83</x:f>
        <x:v>Unpaired primary-transfer coverage. Category and state are both present in the prompt, matching the training prompt structure.</x:v>
      </x:c>
      <x:c r="P83" s="7" t="str">
        <x:f>IF('Evaluation Plan'!P83=0,"",'Evaluation Plan'!P83)</x:f>
      </x:c>
    </x:row>
    <x:row r="84" ht="58" customHeight="1">
      <x:c r="A84" s="8" t="str">
        <x:v>Not collected</x:v>
      </x:c>
      <x:c r="B84" s="8" t="n">
        <x:f>'Evaluation Plan'!B84</x:f>
        <x:v>82</x:v>
      </x:c>
      <x:c r="C84" s="7" t="str">
        <x:f>'Evaluation Plan'!C84</x:f>
        <x:v>Put the closed glass spice container in the bowl.</x:v>
      </x:c>
      <x:c r="D84" s="7" t="str">
        <x:f>'Evaluation Plan'!D84</x:f>
        <x:v>P1 glass spice container B (O, UR) [STATE COMPETITOR]; P2 white cup B (C, UD); P3 glass spice container A (C, UR) [TARGET]</x:v>
      </x:c>
      <x:c r="E84" s="8" t="str">
        <x:f>IF('Evaluation Plan'!H84="Exact-scene opposite-state contrast",'Evaluation Plan'!E84,IF('Evaluation Plan'!H84="Language robustness",'Evaluation Plan'!E84,IF('Evaluation Plan'!H84="Matched manipulation control",'Evaluation Plan'!E84,IF('Evaluation Plan'!H84="Black-cup held-out-state composition",'Evaluation Plan'!E84,""))))</x:f>
      </x:c>
      <x:c r="F84" s="8" t="str">
        <x:f>'Evaluation Plan'!F84</x:f>
        <x:v>glass spice container A</x:v>
      </x:c>
      <x:c r="G84" s="7"/>
      <x:c r="H84" s="8" t="str">
        <x:f>'Evaluation Plan'!H84</x:f>
        <x:v>Concept/compositional transfer</x:v>
      </x:c>
      <x:c r="I84" s="8" t="str">
        <x:f>'Evaluation Plan'!I84</x:f>
        <x:v>SR-X03</x:v>
      </x:c>
      <x:c r="J84" s="8" t="str">
        <x:f>'Evaluation Plan'!J84</x:f>
        <x:v>closed</x:v>
      </x:c>
      <x:c r="K84" s="8" t="n">
        <x:f>'Evaluation Plan'!K84</x:f>
        <x:v>3</x:v>
      </x:c>
      <x:c r="L84" s="8" t="str">
        <x:f>'Evaluation Plan'!L84</x:f>
        <x:v>Additional transfer — Additional held-out state + category (closed)</x:v>
      </x:c>
      <x:c r="M84" s="8" t="n">
        <x:f>'Evaluation Plan'!M84</x:f>
        <x:v>23</x:v>
      </x:c>
      <x:c r="N84" s="7" t="str">
        <x:f>'Evaluation Plan'!N84</x:f>
        <x:v>Build the listed same-category discrimination scene; both category instances must remain present.</x:v>
      </x:c>
      <x:c r="O84" s="7" t="str">
        <x:f>'Evaluation Plan'!O84</x:f>
        <x:v>Unpaired primary-transfer coverage. Category and state are both present in the prompt, matching the training prompt structure.</x:v>
      </x:c>
      <x:c r="P84" s="7" t="str">
        <x:f>IF('Evaluation Plan'!P84=0,"",'Evaluation Plan'!P84)</x:f>
      </x:c>
    </x:row>
    <x:row r="85" ht="58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Move the closed white cup into the bowl.</x:v>
      </x:c>
      <x:c r="D85" s="7" t="str">
        <x:f>'Evaluation Plan'!D85</x:f>
        <x:v>P1 white cup B (C, UD) [TARGET]; P2 white cup A (O, UD) [STATE COMPETITOR]; P3 yellow-white striped cup B (C, UD)</x:v>
      </x:c>
      <x:c r="E85" s="8" t="str">
        <x:f>IF('Evaluation Plan'!H85="Exact-scene opposite-state contrast",'Evaluation Plan'!E85,IF('Evaluation Plan'!H85="Language robustness",'Evaluation Plan'!E85,IF('Evaluation Plan'!H85="Matched manipulation control",'Evaluation Plan'!E85,IF('Evaluation Plan'!H85="Black-cup held-out-state composition",'Evaluation Plan'!E85,""))))</x:f>
      </x:c>
      <x:c r="F85" s="8" t="str">
        <x:f>'Evaluation Plan'!F85</x:f>
        <x:v>white cup B</x:v>
      </x:c>
      <x:c r="G85" s="7"/>
      <x:c r="H85" s="8" t="str">
        <x:f>'Evaluation Plan'!H85</x:f>
        <x:v>Concept/compositional transfer</x:v>
      </x:c>
      <x:c r="I85" s="8" t="str">
        <x:f>'Evaluation Plan'!I85</x:f>
        <x:v>SR-X04</x:v>
      </x:c>
      <x:c r="J85" s="8" t="str">
        <x:f>'Evaluation Plan'!J85</x:f>
        <x:v>closed</x:v>
      </x:c>
      <x:c r="K85" s="8" t="n">
        <x:f>'Evaluation Plan'!K85</x:f>
        <x:v>3</x:v>
      </x:c>
      <x:c r="L85" s="8" t="str">
        <x:f>'Evaluation Plan'!L85</x:f>
        <x:v>Additional transfer — Additional held-out state + category (closed)</x:v>
      </x:c>
      <x:c r="M85" s="8" t="n">
        <x:f>'Evaluation Plan'!M85</x:f>
        <x:v>24</x:v>
      </x:c>
      <x:c r="N85" s="7" t="str">
        <x:f>'Evaluation Plan'!N85</x:f>
        <x:v>Build the listed same-category discrimination scene; both category instances must remain present.</x:v>
      </x:c>
      <x:c r="O85" s="7" t="str">
        <x:f>'Evaluation Plan'!O85</x:f>
        <x:v>Unpaired primary-transfer coverage. Category and state are both present in the prompt, matching the training prompt structure.</x:v>
      </x:c>
      <x:c r="P85" s="7" t="str">
        <x:f>IF('Evaluation Plan'!P85=0,"",'Evaluation Plan'!P85)</x:f>
      </x:c>
    </x:row>
    <x:row r="86" ht="58" customHeight="1">
      <x:c r="A86" s="8" t="str">
        <x:v>Not collected</x:v>
      </x:c>
      <x:c r="B86" s="8" t="n">
        <x:f>'Evaluation Plan'!B86</x:f>
        <x:v>84</x:v>
      </x:c>
      <x:c r="C86" s="7" t="str">
        <x:f>'Evaluation Plan'!C86</x:f>
        <x:v>Place the closed yellow-white striped cup in the bowl.</x:v>
      </x:c>
      <x:c r="D86" s="7" t="str">
        <x:f>'Evaluation Plan'!D86</x:f>
        <x:v>P1 white cup A (O, UR); P2 yellow-white striped cup A (C, UR) [TARGET]; P3 yellow-white striped cup B (O, UR) [STATE COMPETITOR]</x:v>
      </x:c>
      <x:c r="E86" s="8" t="str">
        <x:f>IF('Evaluation Plan'!H86="Exact-scene opposite-state contrast",'Evaluation Plan'!E86,IF('Evaluation Plan'!H86="Language robustness",'Evaluation Plan'!E86,IF('Evaluation Plan'!H86="Matched manipulation control",'Evaluation Plan'!E86,IF('Evaluation Plan'!H86="Black-cup held-out-state composition",'Evaluation Plan'!E86,""))))</x:f>
      </x:c>
      <x:c r="F86" s="8" t="str">
        <x:f>'Evaluation Plan'!F86</x:f>
        <x:v>yellow-white striped cup A</x:v>
      </x:c>
      <x:c r="G86" s="7"/>
      <x:c r="H86" s="8" t="str">
        <x:f>'Evaluation Plan'!H86</x:f>
        <x:v>Concept/compositional transfer</x:v>
      </x:c>
      <x:c r="I86" s="8" t="str">
        <x:f>'Evaluation Plan'!I86</x:f>
        <x:v>SR-X05</x:v>
      </x:c>
      <x:c r="J86" s="8" t="str">
        <x:f>'Evaluation Plan'!J86</x:f>
        <x:v>closed</x:v>
      </x:c>
      <x:c r="K86" s="8" t="n">
        <x:f>'Evaluation Plan'!K86</x:f>
        <x:v>3</x:v>
      </x:c>
      <x:c r="L86" s="8" t="str">
        <x:f>'Evaluation Plan'!L86</x:f>
        <x:v>Additional transfer — Additional held-out state + category (closed)</x:v>
      </x:c>
      <x:c r="M86" s="8" t="n">
        <x:f>'Evaluation Plan'!M86</x:f>
        <x:v>25</x:v>
      </x:c>
      <x:c r="N86" s="7" t="str">
        <x:f>'Evaluation Plan'!N86</x:f>
        <x:v>Build the listed same-category discrimination scene; both category instances must remain present.</x:v>
      </x:c>
      <x:c r="O86" s="7" t="str">
        <x:f>'Evaluation Plan'!O86</x:f>
        <x:v>Unpaired primary-transfer coverage. Category and state are both present in the prompt, matching the training prompt structure.</x:v>
      </x:c>
      <x:c r="P86" s="7" t="str">
        <x:f>IF('Evaluation Plan'!P86=0,"",'Evaluation Plan'!P86)</x:f>
      </x:c>
    </x:row>
    <x:row r="87" ht="58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Put the closed brown cup in the bowl.</x:v>
      </x:c>
      <x:c r="D87" s="7" t="str">
        <x:f>'Evaluation Plan'!D87</x:f>
        <x:v>P1 brown cup A (O, UD) [STATE COMPETITOR]; P2 white cup A (O, UR); P3 brown cup B (C, UD) [TARGET]</x:v>
      </x:c>
      <x:c r="E87" s="8" t="str">
        <x:f>IF('Evaluation Plan'!H87="Exact-scene opposite-state contrast",'Evaluation Plan'!E87,IF('Evaluation Plan'!H87="Language robustness",'Evaluation Plan'!E87,IF('Evaluation Plan'!H87="Matched manipulation control",'Evaluation Plan'!E87,IF('Evaluation Plan'!H87="Black-cup held-out-state composition",'Evaluation Plan'!E87,""))))</x:f>
      </x:c>
      <x:c r="F87" s="8" t="str">
        <x:f>'Evaluation Plan'!F87</x:f>
        <x:v>brown cup B</x:v>
      </x:c>
      <x:c r="G87" s="7"/>
      <x:c r="H87" s="8" t="str">
        <x:f>'Evaluation Plan'!H87</x:f>
        <x:v>Concept/compositional transfer</x:v>
      </x:c>
      <x:c r="I87" s="8" t="str">
        <x:f>'Evaluation Plan'!I87</x:f>
        <x:v>SR-X06</x:v>
      </x:c>
      <x:c r="J87" s="8" t="str">
        <x:f>'Evaluation Plan'!J87</x:f>
        <x:v>closed</x:v>
      </x:c>
      <x:c r="K87" s="8" t="n">
        <x:f>'Evaluation Plan'!K87</x:f>
        <x:v>3</x:v>
      </x:c>
      <x:c r="L87" s="8" t="str">
        <x:f>'Evaluation Plan'!L87</x:f>
        <x:v>Additional transfer — Additional held-out state + category (closed)</x:v>
      </x:c>
      <x:c r="M87" s="8" t="n">
        <x:f>'Evaluation Plan'!M87</x:f>
        <x:v>26</x:v>
      </x:c>
      <x:c r="N87" s="7" t="str">
        <x:f>'Evaluation Plan'!N87</x:f>
        <x:v>Build the listed same-category discrimination scene; both category instances must remain present.</x:v>
      </x:c>
      <x:c r="O87" s="7" t="str">
        <x:f>'Evaluation Plan'!O87</x:f>
        <x:v>Unpaired primary-transfer coverage. Category and state are both present in the prompt, matching the training prompt structure.</x:v>
      </x:c>
      <x:c r="P87" s="7" t="str">
        <x:f>IF('Evaluation Plan'!P87=0,"",'Evaluation Plan'!P87)</x:f>
      </x:c>
    </x:row>
    <x:row r="88" ht="58" customHeight="1">
      <x:c r="A88" s="8" t="str">
        <x:v>Not collected</x:v>
      </x:c>
      <x:c r="B88" s="8" t="n">
        <x:f>'Evaluation Plan'!B88</x:f>
        <x:v>86</x:v>
      </x:c>
      <x:c r="C88" s="7" t="str">
        <x:f>'Evaluation Plan'!C88</x:f>
        <x:v>Move the closed glass spice container into the bowl.</x:v>
      </x:c>
      <x:c r="D88" s="7" t="str">
        <x:f>'Evaluation Plan'!D88</x:f>
        <x:v>P1 glass spice container A (C, UR) [TARGET]; P2 glass spice container B (O, UR) [STATE COMPETITOR]; P3 white cup A (O, UR)</x:v>
      </x:c>
      <x:c r="E88" s="8" t="str">
        <x:f>IF('Evaluation Plan'!H88="Exact-scene opposite-state contrast",'Evaluation Plan'!E88,IF('Evaluation Plan'!H88="Language robustness",'Evaluation Plan'!E88,IF('Evaluation Plan'!H88="Matched manipulation control",'Evaluation Plan'!E88,IF('Evaluation Plan'!H88="Black-cup held-out-state composition",'Evaluation Plan'!E88,""))))</x:f>
      </x:c>
      <x:c r="F88" s="8" t="str">
        <x:f>'Evaluation Plan'!F88</x:f>
        <x:v>glass spice container A</x:v>
      </x:c>
      <x:c r="G88" s="7"/>
      <x:c r="H88" s="8" t="str">
        <x:f>'Evaluation Plan'!H88</x:f>
        <x:v>Concept/compositional transfer</x:v>
      </x:c>
      <x:c r="I88" s="8" t="str">
        <x:f>'Evaluation Plan'!I88</x:f>
        <x:v>SR-X07</x:v>
      </x:c>
      <x:c r="J88" s="8" t="str">
        <x:f>'Evaluation Plan'!J88</x:f>
        <x:v>closed</x:v>
      </x:c>
      <x:c r="K88" s="8" t="n">
        <x:f>'Evaluation Plan'!K88</x:f>
        <x:v>3</x:v>
      </x:c>
      <x:c r="L88" s="8" t="str">
        <x:f>'Evaluation Plan'!L88</x:f>
        <x:v>Additional transfer — Additional held-out state + category (closed)</x:v>
      </x:c>
      <x:c r="M88" s="8" t="n">
        <x:f>'Evaluation Plan'!M88</x:f>
        <x:v>27</x:v>
      </x:c>
      <x:c r="N88" s="7" t="str">
        <x:f>'Evaluation Plan'!N88</x:f>
        <x:v>Build the listed same-category discrimination scene; both category instances must remain present.</x:v>
      </x:c>
      <x:c r="O88" s="7" t="str">
        <x:f>'Evaluation Plan'!O88</x:f>
        <x:v>Unpaired primary-transfer coverage. Category and state are both present in the prompt, matching the training prompt structure.</x:v>
      </x:c>
      <x:c r="P88" s="7" t="str">
        <x:f>IF('Evaluation Plan'!P88=0,"",'Evaluation Plan'!P88)</x:f>
      </x:c>
    </x:row>
    <x:row r="89" ht="58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Place the closed white cup in the bowl.</x:v>
      </x:c>
      <x:c r="D89" s="7" t="str">
        <x:f>'Evaluation Plan'!D89</x:f>
        <x:v>P1 yellow-white striped cup B (C, UD); P2 white cup B (C, UD) [TARGET]; P3 white cup A (O, UD) [STATE COMPETITOR]</x:v>
      </x:c>
      <x:c r="E89" s="8" t="str">
        <x:f>IF('Evaluation Plan'!H89="Exact-scene opposite-state contrast",'Evaluation Plan'!E89,IF('Evaluation Plan'!H89="Language robustness",'Evaluation Plan'!E89,IF('Evaluation Plan'!H89="Matched manipulation control",'Evaluation Plan'!E89,IF('Evaluation Plan'!H89="Black-cup held-out-state composition",'Evaluation Plan'!E89,""))))</x:f>
      </x:c>
      <x:c r="F89" s="8" t="str">
        <x:f>'Evaluation Plan'!F89</x:f>
        <x:v>white cup B</x:v>
      </x:c>
      <x:c r="G89" s="7"/>
      <x:c r="H89" s="8" t="str">
        <x:f>'Evaluation Plan'!H89</x:f>
        <x:v>Concept/compositional transfer</x:v>
      </x:c>
      <x:c r="I89" s="8" t="str">
        <x:f>'Evaluation Plan'!I89</x:f>
        <x:v>SR-X08</x:v>
      </x:c>
      <x:c r="J89" s="8" t="str">
        <x:f>'Evaluation Plan'!J89</x:f>
        <x:v>closed</x:v>
      </x:c>
      <x:c r="K89" s="8" t="n">
        <x:f>'Evaluation Plan'!K89</x:f>
        <x:v>3</x:v>
      </x:c>
      <x:c r="L89" s="8" t="str">
        <x:f>'Evaluation Plan'!L89</x:f>
        <x:v>Additional transfer — Additional held-out state + category (closed)</x:v>
      </x:c>
      <x:c r="M89" s="8" t="n">
        <x:f>'Evaluation Plan'!M89</x:f>
        <x:v>28</x:v>
      </x:c>
      <x:c r="N89" s="7" t="str">
        <x:f>'Evaluation Plan'!N89</x:f>
        <x:v>Build the listed same-category discrimination scene; both category instances must remain present.</x:v>
      </x:c>
      <x:c r="O89" s="7" t="str">
        <x:f>'Evaluation Plan'!O89</x:f>
        <x:v>Unpaired primary-transfer coverage. Category and state are both present in the prompt, matching the training prompt structure.</x:v>
      </x:c>
      <x:c r="P89" s="7" t="str">
        <x:f>IF('Evaluation Plan'!P89=0,"",'Evaluation Plan'!P89)</x:f>
      </x:c>
    </x:row>
    <x:row r="90" ht="58" customHeight="1">
      <x:c r="A90" s="8" t="str">
        <x:v>Not collected</x:v>
      </x:c>
      <x:c r="B90" s="8" t="n">
        <x:f>'Evaluation Plan'!B90</x:f>
        <x:v>88</x:v>
      </x:c>
      <x:c r="C90" s="7" t="str">
        <x:f>'Evaluation Plan'!C90</x:f>
        <x:v>Put the closed yellow-white striped cup in the bowl.</x:v>
      </x:c>
      <x:c r="D90" s="7" t="str">
        <x:f>'Evaluation Plan'!D90</x:f>
        <x:v>P1 yellow-white striped cup B (O, UR) [STATE COMPETITOR]; P2 white cup B (C, UD); P3 yellow-white striped cup A (C, UR) [TARGET]</x:v>
      </x:c>
      <x:c r="E90" s="8" t="str">
        <x:f>IF('Evaluation Plan'!H90="Exact-scene opposite-state contrast",'Evaluation Plan'!E90,IF('Evaluation Plan'!H90="Language robustness",'Evaluation Plan'!E90,IF('Evaluation Plan'!H90="Matched manipulation control",'Evaluation Plan'!E90,IF('Evaluation Plan'!H90="Black-cup held-out-state composition",'Evaluation Plan'!E90,""))))</x:f>
      </x:c>
      <x:c r="F90" s="8" t="str">
        <x:f>'Evaluation Plan'!F90</x:f>
        <x:v>yellow-white striped cup A</x:v>
      </x:c>
      <x:c r="G90" s="7"/>
      <x:c r="H90" s="8" t="str">
        <x:f>'Evaluation Plan'!H90</x:f>
        <x:v>Concept/compositional transfer</x:v>
      </x:c>
      <x:c r="I90" s="8" t="str">
        <x:f>'Evaluation Plan'!I90</x:f>
        <x:v>SR-X09</x:v>
      </x:c>
      <x:c r="J90" s="8" t="str">
        <x:f>'Evaluation Plan'!J90</x:f>
        <x:v>closed</x:v>
      </x:c>
      <x:c r="K90" s="8" t="n">
        <x:f>'Evaluation Plan'!K90</x:f>
        <x:v>3</x:v>
      </x:c>
      <x:c r="L90" s="8" t="str">
        <x:f>'Evaluation Plan'!L90</x:f>
        <x:v>Additional transfer — Additional held-out state + category (closed)</x:v>
      </x:c>
      <x:c r="M90" s="8" t="n">
        <x:f>'Evaluation Plan'!M90</x:f>
        <x:v>29</x:v>
      </x:c>
      <x:c r="N90" s="7" t="str">
        <x:f>'Evaluation Plan'!N90</x:f>
        <x:v>Build the listed same-category discrimination scene; both category instances must remain present.</x:v>
      </x:c>
      <x:c r="O90" s="7" t="str">
        <x:f>'Evaluation Plan'!O90</x:f>
        <x:v>Unpaired primary-transfer coverage. Category and state are both present in the prompt, matching the training prompt structure.</x:v>
      </x:c>
      <x:c r="P90" s="7" t="str">
        <x:f>IF('Evaluation Plan'!P90=0,"",'Evaluation Plan'!P90)</x:f>
      </x:c>
    </x:row>
    <x:row r="91" ht="58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Move the closed brown cup into the bowl.</x:v>
      </x:c>
      <x:c r="D91" s="7" t="str">
        <x:f>'Evaluation Plan'!D91</x:f>
        <x:v>P1 brown cup B (C, UD) [TARGET]; P2 brown cup A (O, UD) [STATE COMPETITOR]; P3 white cup B (C, UD)</x:v>
      </x:c>
      <x:c r="E91" s="8" t="str">
        <x:f>IF('Evaluation Plan'!H91="Exact-scene opposite-state contrast",'Evaluation Plan'!E91,IF('Evaluation Plan'!H91="Language robustness",'Evaluation Plan'!E91,IF('Evaluation Plan'!H91="Matched manipulation control",'Evaluation Plan'!E91,IF('Evaluation Plan'!H91="Black-cup held-out-state composition",'Evaluation Plan'!E91,""))))</x:f>
      </x:c>
      <x:c r="F91" s="8" t="str">
        <x:f>'Evaluation Plan'!F91</x:f>
        <x:v>brown cup B</x:v>
      </x:c>
      <x:c r="G91" s="7"/>
      <x:c r="H91" s="8" t="str">
        <x:f>'Evaluation Plan'!H91</x:f>
        <x:v>Concept/compositional transfer</x:v>
      </x:c>
      <x:c r="I91" s="8" t="str">
        <x:f>'Evaluation Plan'!I91</x:f>
        <x:v>SR-X10</x:v>
      </x:c>
      <x:c r="J91" s="8" t="str">
        <x:f>'Evaluation Plan'!J91</x:f>
        <x:v>closed</x:v>
      </x:c>
      <x:c r="K91" s="8" t="n">
        <x:f>'Evaluation Plan'!K91</x:f>
        <x:v>3</x:v>
      </x:c>
      <x:c r="L91" s="8" t="str">
        <x:f>'Evaluation Plan'!L91</x:f>
        <x:v>Additional transfer — Additional held-out state + category (closed)</x:v>
      </x:c>
      <x:c r="M91" s="8" t="n">
        <x:f>'Evaluation Plan'!M91</x:f>
        <x:v>30</x:v>
      </x:c>
      <x:c r="N91" s="7" t="str">
        <x:f>'Evaluation Plan'!N91</x:f>
        <x:v>Build the listed same-category discrimination scene; both category instances must remain present.</x:v>
      </x:c>
      <x:c r="O91" s="7" t="str">
        <x:f>'Evaluation Plan'!O91</x:f>
        <x:v>Unpaired primary-transfer coverage. Category and state are both present in the prompt, matching the training prompt structure.</x:v>
      </x:c>
      <x:c r="P91" s="7" t="str">
        <x:f>IF('Evaluation Plan'!P91=0,"",'Evaluation Plan'!P91)</x:f>
      </x:c>
    </x:row>
    <x:row r="92" ht="58" customHeight="1">
      <x:c r="A92" s="8" t="str">
        <x:v>Not collected</x:v>
      </x:c>
      <x:c r="B92" s="8" t="n">
        <x:f>'Evaluation Plan'!B92</x:f>
        <x:v>90</x:v>
      </x:c>
      <x:c r="C92" s="7" t="str">
        <x:f>'Evaluation Plan'!C92</x:f>
        <x:v>Place the open glass spice container in the bowl.</x:v>
      </x:c>
      <x:c r="D92" s="7" t="str">
        <x:f>'Evaluation Plan'!D92</x:f>
        <x:v>P1 white cup A (O, UR); P2 glass spice container A (O, UR) [TARGET]; P3 glass spice container B (C, UR) [STATE COMPETITOR]</x:v>
      </x:c>
      <x:c r="E92" s="8" t="str">
        <x:f>IF('Evaluation Plan'!H92="Exact-scene opposite-state contrast",'Evaluation Plan'!E92,IF('Evaluation Plan'!H92="Language robustness",'Evaluation Plan'!E92,IF('Evaluation Plan'!H92="Matched manipulation control",'Evaluation Plan'!E92,IF('Evaluation Plan'!H92="Black-cup held-out-state composition",'Evaluation Plan'!E92,""))))</x:f>
      </x:c>
      <x:c r="F92" s="8" t="str">
        <x:f>'Evaluation Plan'!F92</x:f>
        <x:v>glass spice container A</x:v>
      </x:c>
      <x:c r="G92" s="7"/>
      <x:c r="H92" s="8" t="str">
        <x:f>'Evaluation Plan'!H92</x:f>
        <x:v>Concept/compositional transfer</x:v>
      </x:c>
      <x:c r="I92" s="8" t="str">
        <x:f>'Evaluation Plan'!I92</x:f>
        <x:v>SR-X11</x:v>
      </x:c>
      <x:c r="J92" s="8" t="str">
        <x:f>'Evaluation Plan'!J92</x:f>
        <x:v>open</x:v>
      </x:c>
      <x:c r="K92" s="8" t="n">
        <x:f>'Evaluation Plan'!K92</x:f>
        <x:v>3</x:v>
      </x:c>
      <x:c r="L92" s="8" t="str">
        <x:f>'Evaluation Plan'!L92</x:f>
        <x:v>Additional transfer — Additional seen-state scene transfer (open)</x:v>
      </x:c>
      <x:c r="M92" s="8" t="n">
        <x:f>'Evaluation Plan'!M92</x:f>
        <x:v>31</x:v>
      </x:c>
      <x:c r="N92" s="7" t="str">
        <x:f>'Evaluation Plan'!N92</x:f>
        <x:v>Build the listed same-category discrimination scene; both category instances must remain present.</x:v>
      </x:c>
      <x:c r="O92" s="7" t="str">
        <x:f>'Evaluation Plan'!O92</x:f>
        <x:v>Unpaired primary-transfer coverage. Category and state are both present in the prompt, matching the training prompt structure.</x:v>
      </x:c>
      <x:c r="P92" s="7" t="str">
        <x:f>IF('Evaluation Plan'!P92=0,"",'Evaluation Plan'!P92)</x:f>
      </x:c>
    </x:row>
    <x:row r="93" ht="58" customHeight="1">
      <x:c r="A93" s="8" t="str">
        <x:v>Not collected</x:v>
      </x:c>
      <x:c r="B93" s="8" t="n">
        <x:f>'Evaluation Plan'!B93</x:f>
        <x:v>91</x:v>
      </x:c>
      <x:c r="C93" s="7" t="str">
        <x:f>'Evaluation Plan'!C93</x:f>
        <x:v>Put the open white cup in the bowl.</x:v>
      </x:c>
      <x:c r="D93" s="7" t="str">
        <x:f>'Evaluation Plan'!D93</x:f>
        <x:v>P1 white cup A (C, UD) [STATE COMPETITOR]; P2 yellow-white striped cup A (O, UR); P3 brown cup B (C, UD); P4 white cup B (O, UD) [TARGET]</x:v>
      </x:c>
      <x:c r="E93" s="8" t="str">
        <x:f>IF('Evaluation Plan'!H93="Exact-scene opposite-state contrast",'Evaluation Plan'!E93,IF('Evaluation Plan'!H93="Language robustness",'Evaluation Plan'!E93,IF('Evaluation Plan'!H93="Matched manipulation control",'Evaluation Plan'!E93,IF('Evaluation Plan'!H93="Black-cup held-out-state composition",'Evaluation Plan'!E93,""))))</x:f>
      </x:c>
      <x:c r="F93" s="8" t="str">
        <x:f>'Evaluation Plan'!F93</x:f>
        <x:v>white cup B</x:v>
      </x:c>
      <x:c r="G93" s="7"/>
      <x:c r="H93" s="8" t="str">
        <x:f>'Evaluation Plan'!H93</x:f>
        <x:v>Concept/compositional transfer</x:v>
      </x:c>
      <x:c r="I93" s="8" t="str">
        <x:f>'Evaluation Plan'!I93</x:f>
        <x:v>SR-X12</x:v>
      </x:c>
      <x:c r="J93" s="8" t="str">
        <x:f>'Evaluation Plan'!J93</x:f>
        <x:v>open</x:v>
      </x:c>
      <x:c r="K93" s="8" t="n">
        <x:f>'Evaluation Plan'!K93</x:f>
        <x:v>4</x:v>
      </x:c>
      <x:c r="L93" s="8" t="str">
        <x:f>'Evaluation Plan'!L93</x:f>
        <x:v>Additional transfer — Additional seen-state scene transfer (open)</x:v>
      </x:c>
      <x:c r="M93" s="8" t="n">
        <x:f>'Evaluation Plan'!M93</x:f>
        <x:v>32</x:v>
      </x:c>
      <x:c r="N93" s="7" t="str">
        <x:f>'Evaluation Plan'!N93</x:f>
        <x:v>Build the listed same-category discrimination scene; both category instances must remain present.</x:v>
      </x:c>
      <x:c r="O93" s="7" t="str">
        <x:f>'Evaluation Plan'!O93</x:f>
        <x:v>Unpaired primary-transfer coverage. Category and state are both present in the prompt, matching the training prompt structure.</x:v>
      </x:c>
      <x:c r="P93" s="7" t="str">
        <x:f>IF('Evaluation Plan'!P93=0,"",'Evaluation Plan'!P93)</x:f>
      </x:c>
    </x:row>
    <x:row r="94" ht="58" customHeight="1">
      <x:c r="A94" s="8" t="str">
        <x:v>Not collected</x:v>
      </x:c>
      <x:c r="B94" s="8" t="n">
        <x:f>'Evaluation Plan'!B94</x:f>
        <x:v>92</x:v>
      </x:c>
      <x:c r="C94" s="7" t="str">
        <x:f>'Evaluation Plan'!C94</x:f>
        <x:v>Move the open yellow-white striped cup into the bowl.</x:v>
      </x:c>
      <x:c r="D94" s="7" t="str">
        <x:f>'Evaluation Plan'!D94</x:f>
        <x:v>P1 yellow-white striped cup A (O, UR) [TARGET]; P2 yellow-white striped cup B (C, UR) [STATE COMPETITOR]; P3 white cup A (O, UR); P4 brown cup B (C, UD)</x:v>
      </x:c>
      <x:c r="E94" s="8" t="str">
        <x:f>IF('Evaluation Plan'!H94="Exact-scene opposite-state contrast",'Evaluation Plan'!E94,IF('Evaluation Plan'!H94="Language robustness",'Evaluation Plan'!E94,IF('Evaluation Plan'!H94="Matched manipulation control",'Evaluation Plan'!E94,IF('Evaluation Plan'!H94="Black-cup held-out-state composition",'Evaluation Plan'!E94,""))))</x:f>
      </x:c>
      <x:c r="F94" s="8" t="str">
        <x:f>'Evaluation Plan'!F94</x:f>
        <x:v>yellow-white striped cup A</x:v>
      </x:c>
      <x:c r="G94" s="7"/>
      <x:c r="H94" s="8" t="str">
        <x:f>'Evaluation Plan'!H94</x:f>
        <x:v>Concept/compositional transfer</x:v>
      </x:c>
      <x:c r="I94" s="8" t="str">
        <x:f>'Evaluation Plan'!I94</x:f>
        <x:v>SR-X13</x:v>
      </x:c>
      <x:c r="J94" s="8" t="str">
        <x:f>'Evaluation Plan'!J94</x:f>
        <x:v>open</x:v>
      </x:c>
      <x:c r="K94" s="8" t="n">
        <x:f>'Evaluation Plan'!K94</x:f>
        <x:v>4</x:v>
      </x:c>
      <x:c r="L94" s="8" t="str">
        <x:f>'Evaluation Plan'!L94</x:f>
        <x:v>Additional transfer — Additional seen-state scene transfer (open)</x:v>
      </x:c>
      <x:c r="M94" s="8" t="n">
        <x:f>'Evaluation Plan'!M94</x:f>
        <x:v>33</x:v>
      </x:c>
      <x:c r="N94" s="7" t="str">
        <x:f>'Evaluation Plan'!N94</x:f>
        <x:v>Build the listed same-category discrimination scene; both category instances must remain present.</x:v>
      </x:c>
      <x:c r="O94" s="7" t="str">
        <x:f>'Evaluation Plan'!O94</x:f>
        <x:v>Unpaired primary-transfer coverage. Category and state are both present in the prompt, matching the training prompt structure.</x:v>
      </x:c>
      <x:c r="P94" s="7" t="str">
        <x:f>IF('Evaluation Plan'!P94=0,"",'Evaluation Plan'!P94)</x:f>
      </x:c>
    </x:row>
    <x:row r="95" ht="58" customHeight="1">
      <x:c r="A95" s="8" t="str">
        <x:v>Not collected</x:v>
      </x:c>
      <x:c r="B95" s="8" t="n">
        <x:f>'Evaluation Plan'!B95</x:f>
        <x:v>93</x:v>
      </x:c>
      <x:c r="C95" s="7" t="str">
        <x:f>'Evaluation Plan'!C95</x:f>
        <x:v>Place the open brown cup in the bowl.</x:v>
      </x:c>
      <x:c r="D95" s="7" t="str">
        <x:f>'Evaluation Plan'!D95</x:f>
        <x:v>P1 white cup B (C, UD); P2 brown cup B (O, UD) [TARGET]; P3 brown cup A (C, UD) [STATE COMPETITOR]; P4 yellow-white striped cup A (O, UR)</x:v>
      </x:c>
      <x:c r="E95" s="8" t="str">
        <x:f>IF('Evaluation Plan'!H95="Exact-scene opposite-state contrast",'Evaluation Plan'!E95,IF('Evaluation Plan'!H95="Language robustness",'Evaluation Plan'!E95,IF('Evaluation Plan'!H95="Matched manipulation control",'Evaluation Plan'!E95,IF('Evaluation Plan'!H95="Black-cup held-out-state composition",'Evaluation Plan'!E95,""))))</x:f>
      </x:c>
      <x:c r="F95" s="8" t="str">
        <x:f>'Evaluation Plan'!F95</x:f>
        <x:v>brown cup B</x:v>
      </x:c>
      <x:c r="G95" s="7"/>
      <x:c r="H95" s="8" t="str">
        <x:f>'Evaluation Plan'!H95</x:f>
        <x:v>Concept/compositional transfer</x:v>
      </x:c>
      <x:c r="I95" s="8" t="str">
        <x:f>'Evaluation Plan'!I95</x:f>
        <x:v>SR-X14</x:v>
      </x:c>
      <x:c r="J95" s="8" t="str">
        <x:f>'Evaluation Plan'!J95</x:f>
        <x:v>open</x:v>
      </x:c>
      <x:c r="K95" s="8" t="n">
        <x:f>'Evaluation Plan'!K95</x:f>
        <x:v>4</x:v>
      </x:c>
      <x:c r="L95" s="8" t="str">
        <x:f>'Evaluation Plan'!L95</x:f>
        <x:v>Additional transfer — Additional seen-state scene transfer (open)</x:v>
      </x:c>
      <x:c r="M95" s="8" t="n">
        <x:f>'Evaluation Plan'!M95</x:f>
        <x:v>34</x:v>
      </x:c>
      <x:c r="N95" s="7" t="str">
        <x:f>'Evaluation Plan'!N95</x:f>
        <x:v>Build the listed same-category discrimination scene; both category instances must remain present.</x:v>
      </x:c>
      <x:c r="O95" s="7" t="str">
        <x:f>'Evaluation Plan'!O95</x:f>
        <x:v>Unpaired primary-transfer coverage. Category and state are both present in the prompt, matching the training prompt structure.</x:v>
      </x:c>
      <x:c r="P95" s="7" t="str">
        <x:f>IF('Evaluation Plan'!P95=0,"",'Evaluation Plan'!P95)</x:f>
      </x:c>
    </x:row>
    <x:row r="96" ht="58" customHeight="1">
      <x:c r="A96" s="8" t="str">
        <x:v>Not collected</x:v>
      </x:c>
      <x:c r="B96" s="8" t="n">
        <x:f>'Evaluation Plan'!B96</x:f>
        <x:v>94</x:v>
      </x:c>
      <x:c r="C96" s="7" t="str">
        <x:f>'Evaluation Plan'!C96</x:f>
        <x:v>Put the open glass spice container in the bowl.</x:v>
      </x:c>
      <x:c r="D96" s="7" t="str">
        <x:f>'Evaluation Plan'!D96</x:f>
        <x:v>P1 white cup A (O, UR); P2 yellow-white striped cup B (C, UD); P3 glass spice container A (O, UR) [TARGET]; P4 glass spice container B (C, UR) [STATE COMPETITOR]</x:v>
      </x:c>
      <x:c r="E96" s="8" t="str">
        <x:f>IF('Evaluation Plan'!H96="Exact-scene opposite-state contrast",'Evaluation Plan'!E96,IF('Evaluation Plan'!H96="Language robustness",'Evaluation Plan'!E96,IF('Evaluation Plan'!H96="Matched manipulation control",'Evaluation Plan'!E96,IF('Evaluation Plan'!H96="Black-cup held-out-state composition",'Evaluation Plan'!E96,""))))</x:f>
      </x:c>
      <x:c r="F96" s="8" t="str">
        <x:f>'Evaluation Plan'!F96</x:f>
        <x:v>glass spice container A</x:v>
      </x:c>
      <x:c r="G96" s="7"/>
      <x:c r="H96" s="8" t="str">
        <x:f>'Evaluation Plan'!H96</x:f>
        <x:v>Concept/compositional transfer</x:v>
      </x:c>
      <x:c r="I96" s="8" t="str">
        <x:f>'Evaluation Plan'!I96</x:f>
        <x:v>SR-X15</x:v>
      </x:c>
      <x:c r="J96" s="8" t="str">
        <x:f>'Evaluation Plan'!J96</x:f>
        <x:v>open</x:v>
      </x:c>
      <x:c r="K96" s="8" t="n">
        <x:f>'Evaluation Plan'!K96</x:f>
        <x:v>4</x:v>
      </x:c>
      <x:c r="L96" s="8" t="str">
        <x:f>'Evaluation Plan'!L96</x:f>
        <x:v>Additional transfer — Additional seen-state scene transfer (open)</x:v>
      </x:c>
      <x:c r="M96" s="8" t="n">
        <x:f>'Evaluation Plan'!M96</x:f>
        <x:v>35</x:v>
      </x:c>
      <x:c r="N96" s="7" t="str">
        <x:f>'Evaluation Plan'!N96</x:f>
        <x:v>Build the listed same-category discrimination scene; both category instances must remain present.</x:v>
      </x:c>
      <x:c r="O96" s="7" t="str">
        <x:f>'Evaluation Plan'!O96</x:f>
        <x:v>Unpaired primary-transfer coverage. Category and state are both present in the prompt, matching the training prompt structure.</x:v>
      </x:c>
      <x:c r="P96" s="7" t="str">
        <x:f>IF('Evaluation Plan'!P96=0,"",'Evaluation Plan'!P96)</x:f>
      </x:c>
    </x:row>
    <x:row r="97" ht="58" customHeight="1">
      <x:c r="A97" s="8" t="str">
        <x:v>Not collected</x:v>
      </x:c>
      <x:c r="B97" s="8" t="n">
        <x:f>'Evaluation Plan'!B97</x:f>
        <x:v>95</x:v>
      </x:c>
      <x:c r="C97" s="7" t="str">
        <x:f>'Evaluation Plan'!C97</x:f>
        <x:v>Move the upright white cup into the bowl.</x:v>
      </x:c>
      <x:c r="D97" s="7" t="str">
        <x:f>'Evaluation Plan'!D97</x:f>
        <x:v>P1 white cup A (C, UD) [STATE COMPETITOR]; P2 yellow-white striped cup A (O, UR); P3 brown cup B (C, UD); P4 white cup B (C, UR) [TARGET]</x:v>
      </x:c>
      <x:c r="E97" s="8" t="str">
        <x:f>IF('Evaluation Plan'!H97="Exact-scene opposite-state contrast",'Evaluation Plan'!E97,IF('Evaluation Plan'!H97="Language robustness",'Evaluation Plan'!E97,IF('Evaluation Plan'!H97="Matched manipulation control",'Evaluation Plan'!E97,IF('Evaluation Plan'!H97="Black-cup held-out-state composition",'Evaluation Plan'!E97,""))))</x:f>
      </x:c>
      <x:c r="F97" s="8" t="str">
        <x:f>'Evaluation Plan'!F97</x:f>
        <x:v>white cup B</x:v>
      </x:c>
      <x:c r="G97" s="7"/>
      <x:c r="H97" s="8" t="str">
        <x:f>'Evaluation Plan'!H97</x:f>
        <x:v>Concept/compositional transfer</x:v>
      </x:c>
      <x:c r="I97" s="8" t="str">
        <x:f>'Evaluation Plan'!I97</x:f>
        <x:v>SR-X16</x:v>
      </x:c>
      <x:c r="J97" s="8" t="str">
        <x:f>'Evaluation Plan'!J97</x:f>
        <x:v>upright</x:v>
      </x:c>
      <x:c r="K97" s="8" t="n">
        <x:f>'Evaluation Plan'!K97</x:f>
        <x:v>4</x:v>
      </x:c>
      <x:c r="L97" s="8" t="str">
        <x:f>'Evaluation Plan'!L97</x:f>
        <x:v>Additional transfer — Additional held-out state + category (upright)</x:v>
      </x:c>
      <x:c r="M97" s="8" t="n">
        <x:f>'Evaluation Plan'!M97</x:f>
        <x:v>36</x:v>
      </x:c>
      <x:c r="N97" s="7" t="str">
        <x:f>'Evaluation Plan'!N97</x:f>
        <x:v>Build the listed same-category discrimination scene; both category instances must remain present.</x:v>
      </x:c>
      <x:c r="O97" s="7" t="str">
        <x:f>'Evaluation Plan'!O97</x:f>
        <x:v>Unpaired primary-transfer coverage. Category and state are both present in the prompt, matching the training prompt structure.</x:v>
      </x:c>
      <x:c r="P97" s="7" t="str">
        <x:f>IF('Evaluation Plan'!P97=0,"",'Evaluation Plan'!P97)</x:f>
      </x:c>
    </x:row>
    <x:row r="98" ht="58" customHeight="1">
      <x:c r="A98" s="8" t="str">
        <x:v>Not collected</x:v>
      </x:c>
      <x:c r="B98" s="8" t="n">
        <x:f>'Evaluation Plan'!B98</x:f>
        <x:v>96</x:v>
      </x:c>
      <x:c r="C98" s="7" t="str">
        <x:f>'Evaluation Plan'!C98</x:f>
        <x:v>Place the upright yellow-white striped cup in the bowl.</x:v>
      </x:c>
      <x:c r="D98" s="7" t="str">
        <x:f>'Evaluation Plan'!D98</x:f>
        <x:v>P1 yellow-white striped cup A (O, UR) [TARGET]; P2 yellow-white striped cup B (O, UD) [STATE COMPETITOR]; P3 white cup A (O, UR); P4 brown cup B (C, UD)</x:v>
      </x:c>
      <x:c r="E98" s="8" t="str">
        <x:f>IF('Evaluation Plan'!H98="Exact-scene opposite-state contrast",'Evaluation Plan'!E98,IF('Evaluation Plan'!H98="Language robustness",'Evaluation Plan'!E98,IF('Evaluation Plan'!H98="Matched manipulation control",'Evaluation Plan'!E98,IF('Evaluation Plan'!H98="Black-cup held-out-state composition",'Evaluation Plan'!E98,""))))</x:f>
      </x:c>
      <x:c r="F98" s="8" t="str">
        <x:f>'Evaluation Plan'!F98</x:f>
        <x:v>yellow-white striped cup A</x:v>
      </x:c>
      <x:c r="G98" s="7"/>
      <x:c r="H98" s="8" t="str">
        <x:f>'Evaluation Plan'!H98</x:f>
        <x:v>Concept/compositional transfer</x:v>
      </x:c>
      <x:c r="I98" s="8" t="str">
        <x:f>'Evaluation Plan'!I98</x:f>
        <x:v>SR-X17</x:v>
      </x:c>
      <x:c r="J98" s="8" t="str">
        <x:f>'Evaluation Plan'!J98</x:f>
        <x:v>upright</x:v>
      </x:c>
      <x:c r="K98" s="8" t="n">
        <x:f>'Evaluation Plan'!K98</x:f>
        <x:v>4</x:v>
      </x:c>
      <x:c r="L98" s="8" t="str">
        <x:f>'Evaluation Plan'!L98</x:f>
        <x:v>Additional transfer — Additional held-out state + category (upright)</x:v>
      </x:c>
      <x:c r="M98" s="8" t="n">
        <x:f>'Evaluation Plan'!M98</x:f>
        <x:v>37</x:v>
      </x:c>
      <x:c r="N98" s="7" t="str">
        <x:f>'Evaluation Plan'!N98</x:f>
        <x:v>Build the listed same-category discrimination scene; both category instances must remain present.</x:v>
      </x:c>
      <x:c r="O98" s="7" t="str">
        <x:f>'Evaluation Plan'!O98</x:f>
        <x:v>Unpaired primary-transfer coverage. Category and state are both present in the prompt, matching the training prompt structure.</x:v>
      </x:c>
      <x:c r="P98" s="7" t="str">
        <x:f>IF('Evaluation Plan'!P98=0,"",'Evaluation Plan'!P98)</x:f>
      </x:c>
    </x:row>
    <x:row r="99" ht="58" customHeight="1">
      <x:c r="A99" s="8" t="str">
        <x:v>Not collected</x:v>
      </x:c>
      <x:c r="B99" s="8" t="n">
        <x:f>'Evaluation Plan'!B99</x:f>
        <x:v>97</x:v>
      </x:c>
      <x:c r="C99" s="7" t="str">
        <x:f>'Evaluation Plan'!C99</x:f>
        <x:v>Put the upright brown cup in the bowl.</x:v>
      </x:c>
      <x:c r="D99" s="7" t="str">
        <x:f>'Evaluation Plan'!D99</x:f>
        <x:v>P1 white cup B (C, UD); P2 brown cup B (C, UR) [TARGET]; P3 brown cup A (C, UD) [STATE COMPETITOR]; P4 yellow-white striped cup A (O, UR)</x:v>
      </x:c>
      <x:c r="E99" s="8" t="str">
        <x:f>IF('Evaluation Plan'!H99="Exact-scene opposite-state contrast",'Evaluation Plan'!E99,IF('Evaluation Plan'!H99="Language robustness",'Evaluation Plan'!E99,IF('Evaluation Plan'!H99="Matched manipulation control",'Evaluation Plan'!E99,IF('Evaluation Plan'!H99="Black-cup held-out-state composition",'Evaluation Plan'!E99,""))))</x:f>
      </x:c>
      <x:c r="F99" s="8" t="str">
        <x:f>'Evaluation Plan'!F99</x:f>
        <x:v>brown cup B</x:v>
      </x:c>
      <x:c r="G99" s="7"/>
      <x:c r="H99" s="8" t="str">
        <x:f>'Evaluation Plan'!H99</x:f>
        <x:v>Concept/compositional transfer</x:v>
      </x:c>
      <x:c r="I99" s="8" t="str">
        <x:f>'Evaluation Plan'!I99</x:f>
        <x:v>SR-X18</x:v>
      </x:c>
      <x:c r="J99" s="8" t="str">
        <x:f>'Evaluation Plan'!J99</x:f>
        <x:v>upright</x:v>
      </x:c>
      <x:c r="K99" s="8" t="n">
        <x:f>'Evaluation Plan'!K99</x:f>
        <x:v>4</x:v>
      </x:c>
      <x:c r="L99" s="8" t="str">
        <x:f>'Evaluation Plan'!L99</x:f>
        <x:v>Additional transfer — Additional held-out state + category (upright)</x:v>
      </x:c>
      <x:c r="M99" s="8" t="n">
        <x:f>'Evaluation Plan'!M99</x:f>
        <x:v>38</x:v>
      </x:c>
      <x:c r="N99" s="7" t="str">
        <x:f>'Evaluation Plan'!N99</x:f>
        <x:v>Build the listed same-category discrimination scene; both category instances must remain present.</x:v>
      </x:c>
      <x:c r="O99" s="7" t="str">
        <x:f>'Evaluation Plan'!O99</x:f>
        <x:v>Unpaired primary-transfer coverage. Category and state are both present in the prompt, matching the training prompt structure.</x:v>
      </x:c>
      <x:c r="P99" s="7" t="str">
        <x:f>IF('Evaluation Plan'!P99=0,"",'Evaluation Plan'!P99)</x:f>
      </x:c>
    </x:row>
    <x:row r="100" ht="58" customHeight="1">
      <x:c r="A100" s="8" t="str">
        <x:v>Not collected</x:v>
      </x:c>
      <x:c r="B100" s="8" t="n">
        <x:f>'Evaluation Plan'!B100</x:f>
        <x:v>98</x:v>
      </x:c>
      <x:c r="C100" s="7" t="str">
        <x:f>'Evaluation Plan'!C100</x:f>
        <x:v>Move the upright glass spice container into the bowl.</x:v>
      </x:c>
      <x:c r="D100" s="7" t="str">
        <x:f>'Evaluation Plan'!D100</x:f>
        <x:v>P1 white cup A (O, UR); P2 yellow-white striped cup B (C, UD); P3 glass spice container A (O, UR) [TARGET]; P4 glass spice container B (O, UD) [STATE COMPETITOR]</x:v>
      </x:c>
      <x:c r="E100" s="8" t="str">
        <x:f>IF('Evaluation Plan'!H100="Exact-scene opposite-state contrast",'Evaluation Plan'!E100,IF('Evaluation Plan'!H100="Language robustness",'Evaluation Plan'!E100,IF('Evaluation Plan'!H100="Matched manipulation control",'Evaluation Plan'!E100,IF('Evaluation Plan'!H100="Black-cup held-out-state composition",'Evaluation Plan'!E100,""))))</x:f>
      </x:c>
      <x:c r="F100" s="8" t="str">
        <x:f>'Evaluation Plan'!F100</x:f>
        <x:v>glass spice container A</x:v>
      </x:c>
      <x:c r="G100" s="7"/>
      <x:c r="H100" s="8" t="str">
        <x:f>'Evaluation Plan'!H100</x:f>
        <x:v>Concept/compositional transfer</x:v>
      </x:c>
      <x:c r="I100" s="8" t="str">
        <x:f>'Evaluation Plan'!I100</x:f>
        <x:v>SR-X19</x:v>
      </x:c>
      <x:c r="J100" s="8" t="str">
        <x:f>'Evaluation Plan'!J100</x:f>
        <x:v>upright</x:v>
      </x:c>
      <x:c r="K100" s="8" t="n">
        <x:f>'Evaluation Plan'!K100</x:f>
        <x:v>4</x:v>
      </x:c>
      <x:c r="L100" s="8" t="str">
        <x:f>'Evaluation Plan'!L100</x:f>
        <x:v>Additional transfer — Additional held-out state + category (upright)</x:v>
      </x:c>
      <x:c r="M100" s="8" t="n">
        <x:f>'Evaluation Plan'!M100</x:f>
        <x:v>39</x:v>
      </x:c>
      <x:c r="N100" s="7" t="str">
        <x:f>'Evaluation Plan'!N100</x:f>
        <x:v>Build the listed same-category discrimination scene; both category instances must remain present.</x:v>
      </x:c>
      <x:c r="O100" s="7" t="str">
        <x:f>'Evaluation Plan'!O100</x:f>
        <x:v>Unpaired primary-transfer coverage. Category and state are both present in the prompt, matching the training prompt structure.</x:v>
      </x:c>
      <x:c r="P100" s="7" t="str">
        <x:f>IF('Evaluation Plan'!P100=0,"",'Evaluation Plan'!P100)</x:f>
      </x:c>
    </x:row>
    <x:row r="101" ht="58" customHeight="1">
      <x:c r="A101" s="8" t="str">
        <x:v>Not collected</x:v>
      </x:c>
      <x:c r="B101" s="8" t="n">
        <x:f>'Evaluation Plan'!B101</x:f>
        <x:v>99</x:v>
      </x:c>
      <x:c r="C101" s="7" t="str">
        <x:f>'Evaluation Plan'!C101</x:f>
        <x:v>Place the upright white cup in the bowl.</x:v>
      </x:c>
      <x:c r="D101" s="7" t="str">
        <x:f>'Evaluation Plan'!D101</x:f>
        <x:v>P1 white cup A (C, UD) [STATE COMPETITOR]; P2 yellow-white striped cup A (O, UR); P3 brown cup B (C, UD); P4 white cup B (C, UR) [TARGET]</x:v>
      </x:c>
      <x:c r="E101" s="8" t="str">
        <x:f>IF('Evaluation Plan'!H101="Exact-scene opposite-state contrast",'Evaluation Plan'!E101,IF('Evaluation Plan'!H101="Language robustness",'Evaluation Plan'!E101,IF('Evaluation Plan'!H101="Matched manipulation control",'Evaluation Plan'!E101,IF('Evaluation Plan'!H101="Black-cup held-out-state composition",'Evaluation Plan'!E101,""))))</x:f>
      </x:c>
      <x:c r="F101" s="8" t="str">
        <x:f>'Evaluation Plan'!F101</x:f>
        <x:v>white cup B</x:v>
      </x:c>
      <x:c r="G101" s="7"/>
      <x:c r="H101" s="8" t="str">
        <x:f>'Evaluation Plan'!H101</x:f>
        <x:v>Concept/compositional transfer</x:v>
      </x:c>
      <x:c r="I101" s="8" t="str">
        <x:f>'Evaluation Plan'!I101</x:f>
        <x:v>SR-X20</x:v>
      </x:c>
      <x:c r="J101" s="8" t="str">
        <x:f>'Evaluation Plan'!J101</x:f>
        <x:v>upright</x:v>
      </x:c>
      <x:c r="K101" s="8" t="n">
        <x:f>'Evaluation Plan'!K101</x:f>
        <x:v>4</x:v>
      </x:c>
      <x:c r="L101" s="8" t="str">
        <x:f>'Evaluation Plan'!L101</x:f>
        <x:v>Additional transfer — Additional held-out state + category (upright)</x:v>
      </x:c>
      <x:c r="M101" s="8" t="n">
        <x:f>'Evaluation Plan'!M101</x:f>
        <x:v>40</x:v>
      </x:c>
      <x:c r="N101" s="7" t="str">
        <x:f>'Evaluation Plan'!N101</x:f>
        <x:v>Build the listed same-category discrimination scene; both category instances must remain present.</x:v>
      </x:c>
      <x:c r="O101" s="7" t="str">
        <x:f>'Evaluation Plan'!O101</x:f>
        <x:v>Unpaired primary-transfer coverage. Category and state are both present in the prompt, matching the training prompt structure.</x:v>
      </x:c>
      <x:c r="P101" s="7" t="str">
        <x:f>IF('Evaluation Plan'!P101=0,"",'Evaluation Plan'!P101)</x:f>
      </x:c>
    </x:row>
    <x:row r="102" ht="58" customHeight="1">
      <x:c r="A102" s="8" t="str">
        <x:v>Not collected</x:v>
      </x:c>
      <x:c r="B102" s="8" t="n">
        <x:f>'Evaluation Plan'!B102</x:f>
        <x:v>100</x:v>
      </x:c>
      <x:c r="C102" s="7" t="str">
        <x:f>'Evaluation Plan'!C102</x:f>
        <x:v>Put the upside-down yellow-white striped cup in the bowl.</x:v>
      </x:c>
      <x:c r="D102" s="7" t="str">
        <x:f>'Evaluation Plan'!D102</x:f>
        <x:v>P1 yellow-white striped cup A (O, UD) [TARGET]; P2 yellow-white striped cup B (O, UR) [STATE COMPETITOR]; P3 white cup A (O, UR); P4 brown cup B (C, UD)</x:v>
      </x:c>
      <x:c r="E102" s="8" t="str">
        <x:f>IF('Evaluation Plan'!H102="Exact-scene opposite-state contrast",'Evaluation Plan'!E102,IF('Evaluation Plan'!H102="Language robustness",'Evaluation Plan'!E102,IF('Evaluation Plan'!H102="Matched manipulation control",'Evaluation Plan'!E102,IF('Evaluation Plan'!H102="Black-cup held-out-state composition",'Evaluation Plan'!E102,""))))</x:f>
      </x:c>
      <x:c r="F102" s="8" t="str">
        <x:f>'Evaluation Plan'!F102</x:f>
        <x:v>yellow-white striped cup A</x:v>
      </x:c>
      <x:c r="G102" s="7"/>
      <x:c r="H102" s="8" t="str">
        <x:f>'Evaluation Plan'!H102</x:f>
        <x:v>Concept/compositional transfer</x:v>
      </x:c>
      <x:c r="I102" s="8" t="str">
        <x:f>'Evaluation Plan'!I102</x:f>
        <x:v>SR-X21</x:v>
      </x:c>
      <x:c r="J102" s="8" t="str">
        <x:f>'Evaluation Plan'!J102</x:f>
        <x:v>upside-down</x:v>
      </x:c>
      <x:c r="K102" s="8" t="n">
        <x:f>'Evaluation Plan'!K102</x:f>
        <x:v>4</x:v>
      </x:c>
      <x:c r="L102" s="8" t="str">
        <x:f>'Evaluation Plan'!L102</x:f>
        <x:v>Additional transfer — Additional seen-state scene transfer (upside-down)</x:v>
      </x:c>
      <x:c r="M102" s="8" t="n">
        <x:f>'Evaluation Plan'!M102</x:f>
        <x:v>41</x:v>
      </x:c>
      <x:c r="N102" s="7" t="str">
        <x:f>'Evaluation Plan'!N102</x:f>
        <x:v>Build the listed same-category discrimination scene; both category instances must remain present.</x:v>
      </x:c>
      <x:c r="O102" s="7" t="str">
        <x:f>'Evaluation Plan'!O102</x:f>
        <x:v>Unpaired primary-transfer coverage. Category and state are both present in the prompt, matching the training prompt structure.</x:v>
      </x:c>
      <x:c r="P102" s="7" t="str">
        <x:f>IF('Evaluation Plan'!P102=0,"",'Evaluation Plan'!P102)</x:f>
      </x:c>
    </x:row>
    <x:row r="103" ht="58" customHeight="1">
      <x:c r="A103" s="8" t="str">
        <x:v>Not collected</x:v>
      </x:c>
      <x:c r="B103" s="8" t="n">
        <x:f>'Evaluation Plan'!B103</x:f>
        <x:v>101</x:v>
      </x:c>
      <x:c r="C103" s="7" t="str">
        <x:f>'Evaluation Plan'!C103</x:f>
        <x:v>Move the upside-down brown cup into the bowl.</x:v>
      </x:c>
      <x:c r="D103" s="7" t="str">
        <x:f>'Evaluation Plan'!D103</x:f>
        <x:v>P1 white cup B (C, UD); P2 brown cup B (C, UD) [TARGET]; P3 brown cup A (C, UR) [STATE COMPETITOR]; P4 yellow-white striped cup A (O, UR)</x:v>
      </x:c>
      <x:c r="E103" s="8" t="str">
        <x:f>IF('Evaluation Plan'!H103="Exact-scene opposite-state contrast",'Evaluation Plan'!E103,IF('Evaluation Plan'!H103="Language robustness",'Evaluation Plan'!E103,IF('Evaluation Plan'!H103="Matched manipulation control",'Evaluation Plan'!E103,IF('Evaluation Plan'!H103="Black-cup held-out-state composition",'Evaluation Plan'!E103,""))))</x:f>
      </x:c>
      <x:c r="F103" s="8" t="str">
        <x:f>'Evaluation Plan'!F103</x:f>
        <x:v>brown cup B</x:v>
      </x:c>
      <x:c r="G103" s="7"/>
      <x:c r="H103" s="8" t="str">
        <x:f>'Evaluation Plan'!H103</x:f>
        <x:v>Concept/compositional transfer</x:v>
      </x:c>
      <x:c r="I103" s="8" t="str">
        <x:f>'Evaluation Plan'!I103</x:f>
        <x:v>SR-X22</x:v>
      </x:c>
      <x:c r="J103" s="8" t="str">
        <x:f>'Evaluation Plan'!J103</x:f>
        <x:v>upside-down</x:v>
      </x:c>
      <x:c r="K103" s="8" t="n">
        <x:f>'Evaluation Plan'!K103</x:f>
        <x:v>4</x:v>
      </x:c>
      <x:c r="L103" s="8" t="str">
        <x:f>'Evaluation Plan'!L103</x:f>
        <x:v>Additional transfer — Additional seen-state scene transfer (upside-down)</x:v>
      </x:c>
      <x:c r="M103" s="8" t="n">
        <x:f>'Evaluation Plan'!M103</x:f>
        <x:v>42</x:v>
      </x:c>
      <x:c r="N103" s="7" t="str">
        <x:f>'Evaluation Plan'!N103</x:f>
        <x:v>Build the listed same-category discrimination scene; both category instances must remain present.</x:v>
      </x:c>
      <x:c r="O103" s="7" t="str">
        <x:f>'Evaluation Plan'!O103</x:f>
        <x:v>Unpaired primary-transfer coverage. Category and state are both present in the prompt, matching the training prompt structure.</x:v>
      </x:c>
      <x:c r="P103" s="7" t="str">
        <x:f>IF('Evaluation Plan'!P103=0,"",'Evaluation Plan'!P103)</x:f>
      </x:c>
    </x:row>
    <x:row r="104" ht="58" customHeight="1">
      <x:c r="A104" s="8" t="str">
        <x:v>Not collected</x:v>
      </x:c>
      <x:c r="B104" s="8" t="n">
        <x:f>'Evaluation Plan'!B104</x:f>
        <x:v>102</x:v>
      </x:c>
      <x:c r="C104" s="7" t="str">
        <x:f>'Evaluation Plan'!C104</x:f>
        <x:v>Put the upright can in the bowl.</x:v>
      </x:c>
      <x:c r="D104" s="7" t="str">
        <x:f>'Evaluation Plan'!D104</x:f>
        <x:v>P1 crushed Coke can (UR) [TARGET]; P2 crushed Pepsi can (UD) [STATE COMPETITOR]; P3 white cup A (O, UD); P4 yellow-white striped cup B (C, UD)</x:v>
      </x:c>
      <x:c r="E104" s="8" t="str">
        <x:f>IF('Evaluation Plan'!H104="Exact-scene opposite-state contrast",'Evaluation Plan'!E104,IF('Evaluation Plan'!H104="Language robustness",'Evaluation Plan'!E104,IF('Evaluation Plan'!H104="Matched manipulation control",'Evaluation Plan'!E104,IF('Evaluation Plan'!H104="Black-cup held-out-state composition",'Evaluation Plan'!E104,""))))</x:f>
      </x:c>
      <x:c r="F104" s="8" t="str">
        <x:f>'Evaluation Plan'!F104</x:f>
        <x:v>crushed Coke can</x:v>
      </x:c>
      <x:c r="G104" s="7"/>
      <x:c r="H104" s="8" t="str">
        <x:f>'Evaluation Plan'!H104</x:f>
        <x:v>Concept/compositional transfer</x:v>
      </x:c>
      <x:c r="I104" s="8" t="str">
        <x:f>'Evaluation Plan'!I104</x:f>
        <x:v>SR-CAN01</x:v>
      </x:c>
      <x:c r="J104" s="8" t="str">
        <x:f>'Evaluation Plan'!J104</x:f>
        <x:v>upright</x:v>
      </x:c>
      <x:c r="K104" s="8" t="n">
        <x:f>'Evaluation Plan'!K104</x:f>
        <x:v>4</x:v>
      </x:c>
      <x:c r="L104" s="8" t="str">
        <x:f>'Evaluation Plan'!L104</x:f>
        <x:v>Additional transfer — Cross-task object transfer — can orientation</x:v>
      </x:c>
      <x:c r="M104" s="8" t="n">
        <x:f>'Evaluation Plan'!M104</x:f>
        <x:v>43</x:v>
      </x:c>
      <x:c r="N104" s="7" t="str">
        <x:f>'Evaluation Plan'!N104</x:f>
        <x:v>Use both crushed cans. One must be upright and the other upside-down; the state word, not brand, selects the target.</x:v>
      </x:c>
      <x:c r="O104" s="7" t="str">
        <x:f>'Evaluation Plan'!O104</x:f>
        <x:v>Cans were seen elsewhere in training, so these test cross-task composition rather than global visual novelty. Never assign open/closed to cans.</x:v>
      </x:c>
      <x:c r="P104" s="7" t="str">
        <x:f>IF('Evaluation Plan'!P104=0,"",'Evaluation Plan'!P104)</x:f>
      </x:c>
    </x:row>
    <x:row r="105" ht="58" customHeight="1">
      <x:c r="A105" s="8" t="str">
        <x:v>Not collected</x:v>
      </x:c>
      <x:c r="B105" s="8" t="n">
        <x:f>'Evaluation Plan'!B105</x:f>
        <x:v>103</x:v>
      </x:c>
      <x:c r="C105" s="7" t="str">
        <x:f>'Evaluation Plan'!C105</x:f>
        <x:v>Move the upright can into the bowl.</x:v>
      </x:c>
      <x:c r="D105" s="7" t="str">
        <x:f>'Evaluation Plan'!D105</x:f>
        <x:v>P1 yellow-white striped cup B (C, UD); P2 crushed Pepsi can (UR) [TARGET]; P3 crushed Coke can (UD) [STATE COMPETITOR]; P4 brown cup A (O, UD)</x:v>
      </x:c>
      <x:c r="E105" s="8" t="str">
        <x:f>IF('Evaluation Plan'!H105="Exact-scene opposite-state contrast",'Evaluation Plan'!E105,IF('Evaluation Plan'!H105="Language robustness",'Evaluation Plan'!E105,IF('Evaluation Plan'!H105="Matched manipulation control",'Evaluation Plan'!E105,IF('Evaluation Plan'!H105="Black-cup held-out-state composition",'Evaluation Plan'!E105,""))))</x:f>
      </x:c>
      <x:c r="F105" s="8" t="str">
        <x:f>'Evaluation Plan'!F105</x:f>
        <x:v>crushed Pepsi can</x:v>
      </x:c>
      <x:c r="G105" s="7"/>
      <x:c r="H105" s="8" t="str">
        <x:f>'Evaluation Plan'!H105</x:f>
        <x:v>Concept/compositional transfer</x:v>
      </x:c>
      <x:c r="I105" s="8" t="str">
        <x:f>'Evaluation Plan'!I105</x:f>
        <x:v>SR-CAN02</x:v>
      </x:c>
      <x:c r="J105" s="8" t="str">
        <x:f>'Evaluation Plan'!J105</x:f>
        <x:v>upright</x:v>
      </x:c>
      <x:c r="K105" s="8" t="n">
        <x:f>'Evaluation Plan'!K105</x:f>
        <x:v>4</x:v>
      </x:c>
      <x:c r="L105" s="8" t="str">
        <x:f>'Evaluation Plan'!L105</x:f>
        <x:v>Additional transfer — Cross-task object transfer — can orientation</x:v>
      </x:c>
      <x:c r="M105" s="8" t="n">
        <x:f>'Evaluation Plan'!M105</x:f>
        <x:v>44</x:v>
      </x:c>
      <x:c r="N105" s="7" t="str">
        <x:f>'Evaluation Plan'!N105</x:f>
        <x:v>Use both crushed cans. One must be upright and the other upside-down; the state word, not brand, selects the target.</x:v>
      </x:c>
      <x:c r="O105" s="7" t="str">
        <x:f>'Evaluation Plan'!O105</x:f>
        <x:v>Cans were seen elsewhere in training, so these test cross-task composition rather than global visual novelty. Never assign open/closed to cans.</x:v>
      </x:c>
      <x:c r="P105" s="7" t="str">
        <x:f>IF('Evaluation Plan'!P105=0,"",'Evaluation Plan'!P105)</x:f>
      </x:c>
    </x:row>
    <x:row r="106" ht="58" customHeight="1">
      <x:c r="A106" s="8" t="str">
        <x:v>Not collected</x:v>
      </x:c>
      <x:c r="B106" s="8" t="n">
        <x:f>'Evaluation Plan'!B106</x:f>
        <x:v>104</x:v>
      </x:c>
      <x:c r="C106" s="7" t="str">
        <x:f>'Evaluation Plan'!C106</x:f>
        <x:v>Place the upright can in the bowl.</x:v>
      </x:c>
      <x:c r="D106" s="7" t="str">
        <x:f>'Evaluation Plan'!D106</x:f>
        <x:v>P1 brown cup A (O, UD); P2 glass spice container B (C, UD); P3 crushed Coke can (UR) [TARGET]; P4 crushed Pepsi can (UD) [STATE COMPETITOR]</x:v>
      </x:c>
      <x:c r="E106" s="8" t="str">
        <x:f>IF('Evaluation Plan'!H106="Exact-scene opposite-state contrast",'Evaluation Plan'!E106,IF('Evaluation Plan'!H106="Language robustness",'Evaluation Plan'!E106,IF('Evaluation Plan'!H106="Matched manipulation control",'Evaluation Plan'!E106,IF('Evaluation Plan'!H106="Black-cup held-out-state composition",'Evaluation Plan'!E106,""))))</x:f>
      </x:c>
      <x:c r="F106" s="8" t="str">
        <x:f>'Evaluation Plan'!F106</x:f>
        <x:v>crushed Coke can</x:v>
      </x:c>
      <x:c r="G106" s="7"/>
      <x:c r="H106" s="8" t="str">
        <x:f>'Evaluation Plan'!H106</x:f>
        <x:v>Concept/compositional transfer</x:v>
      </x:c>
      <x:c r="I106" s="8" t="str">
        <x:f>'Evaluation Plan'!I106</x:f>
        <x:v>SR-CAN03</x:v>
      </x:c>
      <x:c r="J106" s="8" t="str">
        <x:f>'Evaluation Plan'!J106</x:f>
        <x:v>upright</x:v>
      </x:c>
      <x:c r="K106" s="8" t="n">
        <x:f>'Evaluation Plan'!K106</x:f>
        <x:v>4</x:v>
      </x:c>
      <x:c r="L106" s="8" t="str">
        <x:f>'Evaluation Plan'!L106</x:f>
        <x:v>Additional transfer — Cross-task object transfer — can orientation</x:v>
      </x:c>
      <x:c r="M106" s="8" t="n">
        <x:f>'Evaluation Plan'!M106</x:f>
        <x:v>45</x:v>
      </x:c>
      <x:c r="N106" s="7" t="str">
        <x:f>'Evaluation Plan'!N106</x:f>
        <x:v>Use both crushed cans. One must be upright and the other upside-down; the state word, not brand, selects the target.</x:v>
      </x:c>
      <x:c r="O106" s="7" t="str">
        <x:f>'Evaluation Plan'!O106</x:f>
        <x:v>Cans were seen elsewhere in training, so these test cross-task composition rather than global visual novelty. Never assign open/closed to cans.</x:v>
      </x:c>
      <x:c r="P106" s="7" t="str">
        <x:f>IF('Evaluation Plan'!P106=0,"",'Evaluation Plan'!P106)</x:f>
      </x:c>
    </x:row>
    <x:row r="107" ht="58" customHeight="1">
      <x:c r="A107" s="8" t="str">
        <x:v>Not collected</x:v>
      </x:c>
      <x:c r="B107" s="8" t="n">
        <x:f>'Evaluation Plan'!B107</x:f>
        <x:v>105</x:v>
      </x:c>
      <x:c r="C107" s="7" t="str">
        <x:f>'Evaluation Plan'!C107</x:f>
        <x:v>Put the upright can in the bowl.</x:v>
      </x:c>
      <x:c r="D107" s="7" t="str">
        <x:f>'Evaluation Plan'!D107</x:f>
        <x:v>P1 crushed Coke can (UD) [STATE COMPETITOR]; P2 glass spice container A (O, UD); P3 white cup B (C, UD); P4 crushed Pepsi can (UR) [TARGET]</x:v>
      </x:c>
      <x:c r="E107" s="8" t="str">
        <x:f>IF('Evaluation Plan'!H107="Exact-scene opposite-state contrast",'Evaluation Plan'!E107,IF('Evaluation Plan'!H107="Language robustness",'Evaluation Plan'!E107,IF('Evaluation Plan'!H107="Matched manipulation control",'Evaluation Plan'!E107,IF('Evaluation Plan'!H107="Black-cup held-out-state composition",'Evaluation Plan'!E107,""))))</x:f>
      </x:c>
      <x:c r="F107" s="8" t="str">
        <x:f>'Evaluation Plan'!F107</x:f>
        <x:v>crushed Pepsi can</x:v>
      </x:c>
      <x:c r="G107" s="7"/>
      <x:c r="H107" s="8" t="str">
        <x:f>'Evaluation Plan'!H107</x:f>
        <x:v>Concept/compositional transfer</x:v>
      </x:c>
      <x:c r="I107" s="8" t="str">
        <x:f>'Evaluation Plan'!I107</x:f>
        <x:v>SR-CAN04</x:v>
      </x:c>
      <x:c r="J107" s="8" t="str">
        <x:f>'Evaluation Plan'!J107</x:f>
        <x:v>upright</x:v>
      </x:c>
      <x:c r="K107" s="8" t="n">
        <x:f>'Evaluation Plan'!K107</x:f>
        <x:v>4</x:v>
      </x:c>
      <x:c r="L107" s="8" t="str">
        <x:f>'Evaluation Plan'!L107</x:f>
        <x:v>Additional transfer — Cross-task object transfer — can orientation</x:v>
      </x:c>
      <x:c r="M107" s="8" t="n">
        <x:f>'Evaluation Plan'!M107</x:f>
        <x:v>46</x:v>
      </x:c>
      <x:c r="N107" s="7" t="str">
        <x:f>'Evaluation Plan'!N107</x:f>
        <x:v>Use both crushed cans. One must be upright and the other upside-down; the state word, not brand, selects the target.</x:v>
      </x:c>
      <x:c r="O107" s="7" t="str">
        <x:f>'Evaluation Plan'!O107</x:f>
        <x:v>Cans were seen elsewhere in training, so these test cross-task composition rather than global visual novelty. Never assign open/closed to cans.</x:v>
      </x:c>
      <x:c r="P107" s="7" t="str">
        <x:f>IF('Evaluation Plan'!P107=0,"",'Evaluation Plan'!P107)</x:f>
      </x:c>
    </x:row>
    <x:row r="108" ht="58" customHeight="1">
      <x:c r="A108" s="8" t="str">
        <x:v>Not collected</x:v>
      </x:c>
      <x:c r="B108" s="8" t="n">
        <x:f>'Evaluation Plan'!B108</x:f>
        <x:v>106</x:v>
      </x:c>
      <x:c r="C108" s="7" t="str">
        <x:f>'Evaluation Plan'!C108</x:f>
        <x:v>Move the upright can into the bowl.</x:v>
      </x:c>
      <x:c r="D108" s="7" t="str">
        <x:f>'Evaluation Plan'!D108</x:f>
        <x:v>P1 crushed Coke can (UR) [TARGET]; P2 crushed Pepsi can (UD) [STATE COMPETITOR]; P3 white cup A (O, UD); P4 yellow-white striped cup B (C, UD)</x:v>
      </x:c>
      <x:c r="E108" s="8" t="str">
        <x:f>IF('Evaluation Plan'!H108="Exact-scene opposite-state contrast",'Evaluation Plan'!E108,IF('Evaluation Plan'!H108="Language robustness",'Evaluation Plan'!E108,IF('Evaluation Plan'!H108="Matched manipulation control",'Evaluation Plan'!E108,IF('Evaluation Plan'!H108="Black-cup held-out-state composition",'Evaluation Plan'!E108,""))))</x:f>
      </x:c>
      <x:c r="F108" s="8" t="str">
        <x:f>'Evaluation Plan'!F108</x:f>
        <x:v>crushed Coke can</x:v>
      </x:c>
      <x:c r="G108" s="7"/>
      <x:c r="H108" s="8" t="str">
        <x:f>'Evaluation Plan'!H108</x:f>
        <x:v>Concept/compositional transfer</x:v>
      </x:c>
      <x:c r="I108" s="8" t="str">
        <x:f>'Evaluation Plan'!I108</x:f>
        <x:v>SR-CAN05</x:v>
      </x:c>
      <x:c r="J108" s="8" t="str">
        <x:f>'Evaluation Plan'!J108</x:f>
        <x:v>upright</x:v>
      </x:c>
      <x:c r="K108" s="8" t="n">
        <x:f>'Evaluation Plan'!K108</x:f>
        <x:v>4</x:v>
      </x:c>
      <x:c r="L108" s="8" t="str">
        <x:f>'Evaluation Plan'!L108</x:f>
        <x:v>Additional transfer — Cross-task object transfer — can orientation</x:v>
      </x:c>
      <x:c r="M108" s="8" t="n">
        <x:f>'Evaluation Plan'!M108</x:f>
        <x:v>47</x:v>
      </x:c>
      <x:c r="N108" s="7" t="str">
        <x:f>'Evaluation Plan'!N108</x:f>
        <x:v>Use both crushed cans. One must be upright and the other upside-down; the state word, not brand, selects the target.</x:v>
      </x:c>
      <x:c r="O108" s="7" t="str">
        <x:f>'Evaluation Plan'!O108</x:f>
        <x:v>Cans were seen elsewhere in training, so these test cross-task composition rather than global visual novelty. Never assign open/closed to cans.</x:v>
      </x:c>
      <x:c r="P108" s="7" t="str">
        <x:f>IF('Evaluation Plan'!P108=0,"",'Evaluation Plan'!P108)</x:f>
      </x:c>
    </x:row>
    <x:row r="109" ht="58" customHeight="1">
      <x:c r="A109" s="8" t="str">
        <x:v>Not collected</x:v>
      </x:c>
      <x:c r="B109" s="8" t="n">
        <x:f>'Evaluation Plan'!B109</x:f>
        <x:v>107</x:v>
      </x:c>
      <x:c r="C109" s="7" t="str">
        <x:f>'Evaluation Plan'!C109</x:f>
        <x:v>Place the upside-down can in the bowl.</x:v>
      </x:c>
      <x:c r="D109" s="7" t="str">
        <x:f>'Evaluation Plan'!D109</x:f>
        <x:v>P1 yellow-white striped cup B (C, UR); P2 crushed Pepsi can (UD) [TARGET]; P3 crushed Coke can (UR) [STATE COMPETITOR]; P4 brown cup A (O, UR)</x:v>
      </x:c>
      <x:c r="E109" s="8" t="str">
        <x:f>IF('Evaluation Plan'!H109="Exact-scene opposite-state contrast",'Evaluation Plan'!E109,IF('Evaluation Plan'!H109="Language robustness",'Evaluation Plan'!E109,IF('Evaluation Plan'!H109="Matched manipulation control",'Evaluation Plan'!E109,IF('Evaluation Plan'!H109="Black-cup held-out-state composition",'Evaluation Plan'!E109,""))))</x:f>
      </x:c>
      <x:c r="F109" s="8" t="str">
        <x:f>'Evaluation Plan'!F109</x:f>
        <x:v>crushed Pepsi can</x:v>
      </x:c>
      <x:c r="G109" s="7"/>
      <x:c r="H109" s="8" t="str">
        <x:f>'Evaluation Plan'!H109</x:f>
        <x:v>Concept/compositional transfer</x:v>
      </x:c>
      <x:c r="I109" s="8" t="str">
        <x:f>'Evaluation Plan'!I109</x:f>
        <x:v>SR-CAN06</x:v>
      </x:c>
      <x:c r="J109" s="8" t="str">
        <x:f>'Evaluation Plan'!J109</x:f>
        <x:v>upside-down</x:v>
      </x:c>
      <x:c r="K109" s="8" t="n">
        <x:f>'Evaluation Plan'!K109</x:f>
        <x:v>4</x:v>
      </x:c>
      <x:c r="L109" s="8" t="str">
        <x:f>'Evaluation Plan'!L109</x:f>
        <x:v>Additional transfer — Cross-task object transfer — can orientation</x:v>
      </x:c>
      <x:c r="M109" s="8" t="n">
        <x:f>'Evaluation Plan'!M109</x:f>
        <x:v>48</x:v>
      </x:c>
      <x:c r="N109" s="7" t="str">
        <x:f>'Evaluation Plan'!N109</x:f>
        <x:v>Use both crushed cans. One must be upright and the other upside-down; the state word, not brand, selects the target.</x:v>
      </x:c>
      <x:c r="O109" s="7" t="str">
        <x:f>'Evaluation Plan'!O109</x:f>
        <x:v>Cans were seen elsewhere in training, so these test cross-task composition rather than global visual novelty. Never assign open/closed to cans.</x:v>
      </x:c>
      <x:c r="P109" s="7" t="str">
        <x:f>IF('Evaluation Plan'!P109=0,"",'Evaluation Plan'!P109)</x:f>
      </x:c>
    </x:row>
    <x:row r="110" ht="58" customHeight="1">
      <x:c r="A110" s="8" t="str">
        <x:v>Not collected</x:v>
      </x:c>
      <x:c r="B110" s="8" t="n">
        <x:f>'Evaluation Plan'!B110</x:f>
        <x:v>108</x:v>
      </x:c>
      <x:c r="C110" s="7" t="str">
        <x:f>'Evaluation Plan'!C110</x:f>
        <x:v>Put the upside-down can in the bowl.</x:v>
      </x:c>
      <x:c r="D110" s="7" t="str">
        <x:f>'Evaluation Plan'!D110</x:f>
        <x:v>P1 brown cup A (O, UR); P2 glass spice container B (C, UR); P3 crushed Coke can (UD) [TARGET]; P4 crushed Pepsi can (UR) [STATE COMPETITOR]</x:v>
      </x:c>
      <x:c r="E110" s="8" t="str">
        <x:f>IF('Evaluation Plan'!H110="Exact-scene opposite-state contrast",'Evaluation Plan'!E110,IF('Evaluation Plan'!H110="Language robustness",'Evaluation Plan'!E110,IF('Evaluation Plan'!H110="Matched manipulation control",'Evaluation Plan'!E110,IF('Evaluation Plan'!H110="Black-cup held-out-state composition",'Evaluation Plan'!E110,""))))</x:f>
      </x:c>
      <x:c r="F110" s="8" t="str">
        <x:f>'Evaluation Plan'!F110</x:f>
        <x:v>crushed Coke can</x:v>
      </x:c>
      <x:c r="G110" s="7"/>
      <x:c r="H110" s="8" t="str">
        <x:f>'Evaluation Plan'!H110</x:f>
        <x:v>Concept/compositional transfer</x:v>
      </x:c>
      <x:c r="I110" s="8" t="str">
        <x:f>'Evaluation Plan'!I110</x:f>
        <x:v>SR-CAN07</x:v>
      </x:c>
      <x:c r="J110" s="8" t="str">
        <x:f>'Evaluation Plan'!J110</x:f>
        <x:v>upside-down</x:v>
      </x:c>
      <x:c r="K110" s="8" t="n">
        <x:f>'Evaluation Plan'!K110</x:f>
        <x:v>4</x:v>
      </x:c>
      <x:c r="L110" s="8" t="str">
        <x:f>'Evaluation Plan'!L110</x:f>
        <x:v>Additional transfer — Cross-task object transfer — can orientation</x:v>
      </x:c>
      <x:c r="M110" s="8" t="n">
        <x:f>'Evaluation Plan'!M110</x:f>
        <x:v>49</x:v>
      </x:c>
      <x:c r="N110" s="7" t="str">
        <x:f>'Evaluation Plan'!N110</x:f>
        <x:v>Use both crushed cans. One must be upright and the other upside-down; the state word, not brand, selects the target.</x:v>
      </x:c>
      <x:c r="O110" s="7" t="str">
        <x:f>'Evaluation Plan'!O110</x:f>
        <x:v>Cans were seen elsewhere in training, so these test cross-task composition rather than global visual novelty. Never assign open/closed to cans.</x:v>
      </x:c>
      <x:c r="P110" s="7" t="str">
        <x:f>IF('Evaluation Plan'!P110=0,"",'Evaluation Plan'!P110)</x:f>
      </x:c>
    </x:row>
    <x:row r="111" ht="58" customHeight="1">
      <x:c r="A111" s="8" t="str">
        <x:v>Not collected</x:v>
      </x:c>
      <x:c r="B111" s="8" t="n">
        <x:f>'Evaluation Plan'!B111</x:f>
        <x:v>109</x:v>
      </x:c>
      <x:c r="C111" s="7" t="str">
        <x:f>'Evaluation Plan'!C111</x:f>
        <x:v>Move the upside-down can into the bowl.</x:v>
      </x:c>
      <x:c r="D111" s="7" t="str">
        <x:f>'Evaluation Plan'!D111</x:f>
        <x:v>P1 crushed Coke can (UR) [STATE COMPETITOR]; P2 glass spice container A (O, UR); P3 white cup B (C, UR); P4 crushed Pepsi can (UD) [TARGET]</x:v>
      </x:c>
      <x:c r="E111" s="8" t="str">
        <x:f>IF('Evaluation Plan'!H111="Exact-scene opposite-state contrast",'Evaluation Plan'!E111,IF('Evaluation Plan'!H111="Language robustness",'Evaluation Plan'!E111,IF('Evaluation Plan'!H111="Matched manipulation control",'Evaluation Plan'!E111,IF('Evaluation Plan'!H111="Black-cup held-out-state composition",'Evaluation Plan'!E111,""))))</x:f>
      </x:c>
      <x:c r="F111" s="8" t="str">
        <x:f>'Evaluation Plan'!F111</x:f>
        <x:v>crushed Pepsi can</x:v>
      </x:c>
      <x:c r="G111" s="7"/>
      <x:c r="H111" s="8" t="str">
        <x:f>'Evaluation Plan'!H111</x:f>
        <x:v>Concept/compositional transfer</x:v>
      </x:c>
      <x:c r="I111" s="8" t="str">
        <x:f>'Evaluation Plan'!I111</x:f>
        <x:v>SR-CAN08</x:v>
      </x:c>
      <x:c r="J111" s="8" t="str">
        <x:f>'Evaluation Plan'!J111</x:f>
        <x:v>upside-down</x:v>
      </x:c>
      <x:c r="K111" s="8" t="n">
        <x:f>'Evaluation Plan'!K111</x:f>
        <x:v>4</x:v>
      </x:c>
      <x:c r="L111" s="8" t="str">
        <x:f>'Evaluation Plan'!L111</x:f>
        <x:v>Additional transfer — Cross-task object transfer — can orientation</x:v>
      </x:c>
      <x:c r="M111" s="8" t="n">
        <x:f>'Evaluation Plan'!M111</x:f>
        <x:v>50</x:v>
      </x:c>
      <x:c r="N111" s="7" t="str">
        <x:f>'Evaluation Plan'!N111</x:f>
        <x:v>Use both crushed cans. One must be upright and the other upside-down; the state word, not brand, selects the target.</x:v>
      </x:c>
      <x:c r="O111" s="7" t="str">
        <x:f>'Evaluation Plan'!O111</x:f>
        <x:v>Cans were seen elsewhere in training, so these test cross-task composition rather than global visual novelty. Never assign open/closed to cans.</x:v>
      </x:c>
      <x:c r="P111" s="7" t="str">
        <x:f>IF('Evaluation Plan'!P111=0,"",'Evaluation Plan'!P111)</x:f>
      </x:c>
    </x:row>
    <x:row r="112" ht="58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Place the open black cup in the bowl.</x:v>
      </x:c>
      <x:c r="D112" s="10" t="str">
        <x:f>'Evaluation Plan'!D112</x:f>
        <x:v>P1 black cup A (O, UR) [TARGET]; P2 black cup B (C, UR) [STATE COMPETITOR]; P3 brown cup A (O, UR)</x:v>
      </x:c>
      <x:c r="E112" s="9" t="str">
        <x:f>IF('Evaluation Plan'!H112="Exact-scene opposite-state contrast",'Evaluation Plan'!E112,IF('Evaluation Plan'!H112="Language robustness",'Evaluation Plan'!E112,IF('Evaluation Plan'!H112="Matched manipulation control",'Evaluation Plan'!E112,IF('Evaluation Plan'!H112="Black-cup held-out-state composition",'Evaluation Plan'!E112,""))))</x:f>
      </x:c>
      <x:c r="F112" s="9" t="str">
        <x:f>'Evaluation Plan'!F112</x:f>
        <x:v>black cup A</x:v>
      </x:c>
      <x:c r="G112" s="10"/>
      <x:c r="H112" s="9" t="str">
        <x:f>'Evaluation Plan'!H112</x:f>
        <x:v>Black-cup seen-state baseline</x:v>
      </x:c>
      <x:c r="I112" s="9" t="str">
        <x:f>'Evaluation Plan'!I112</x:f>
        <x:v>SR-BLK01</x:v>
      </x:c>
      <x:c r="J112" s="9" t="str">
        <x:f>'Evaluation Plan'!J112</x:f>
        <x:v>open</x:v>
      </x:c>
      <x:c r="K112" s="9" t="n">
        <x:f>'Evaluation Plan'!K112</x:f>
        <x:v>3</x:v>
      </x:c>
      <x:c r="L112" s="9" t="str">
        <x:f>'Evaluation Plan'!L112</x:f>
        <x:v>1 — Seen-state black-cup baseline — Globally unseen category + seen state word (open)</x:v>
      </x:c>
      <x:c r="M112" s="9" t="n">
        <x:f>'Evaluation Plan'!M112</x:f>
        <x:v>51</x:v>
      </x:c>
      <x:c r="N112" s="10" t="str">
        <x:f>'Evaluation Plan'!N112</x:f>
        <x:v>Build the listed scene with black cups A and B in opposite states on the queried axis.</x:v>
      </x:c>
      <x:c r="O112" s="10" t="str">
        <x:f>'Evaluation Plan'!O112</x:f>
        <x:v>The black category is novel, but the state word was explicitly seen during fine-tuning. Two black cups force state-based selection.</x:v>
      </x:c>
      <x:c r="P112" s="10" t="str">
        <x:f>IF('Evaluation Plan'!P112=0,"",'Evaluation Plan'!P112)</x:f>
      </x:c>
    </x:row>
    <x:row r="113" ht="58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Place the closed black cup in the bowl.</x:v>
      </x:c>
      <x:c r="D113" s="7" t="str">
        <x:f>'Evaluation Plan'!D113</x:f>
        <x:v>P1 black cup A (O, UR) [STATE COMPETITOR]; P2 black cup B (C, UR) [TARGET]; P3 brown cup A (O, UR)</x:v>
      </x:c>
      <x:c r="E113" s="8" t="n">
        <x:f>IF('Evaluation Plan'!H113="Exact-scene opposite-state contrast",'Evaluation Plan'!E113,IF('Evaluation Plan'!H113="Language robustness",'Evaluation Plan'!E113,IF('Evaluation Plan'!H113="Matched manipulation control",'Evaluation Plan'!E113,IF('Evaluation Plan'!H113="Black-cup held-out-state composition",'Evaluation Plan'!E113,""))))</x:f>
        <x:v>110</x:v>
      </x:c>
      <x:c r="F113" s="8" t="str">
        <x:f>'Evaluation Plan'!F113</x:f>
        <x:v>black cup B</x:v>
      </x:c>
      <x:c r="G113" s="7"/>
      <x:c r="H113" s="8" t="str">
        <x:f>'Evaluation Plan'!H113</x:f>
        <x:v>Black-cup held-out-state composition</x:v>
      </x:c>
      <x:c r="I113" s="8" t="str">
        <x:f>'Evaluation Plan'!I113</x:f>
        <x:v>SR-BLK01</x:v>
      </x:c>
      <x:c r="J113" s="8" t="str">
        <x:f>'Evaluation Plan'!J113</x:f>
        <x:v>closed</x:v>
      </x:c>
      <x:c r="K113" s="8" t="n">
        <x:f>'Evaluation Plan'!K113</x:f>
        <x:v>3</x:v>
      </x:c>
      <x:c r="L113" s="8" t="str">
        <x:f>'Evaluation Plan'!L113</x:f>
        <x:v>2 — Held-out-state black-cup composition — Globally unseen category + held-out state word (closed)</x:v>
      </x:c>
      <x:c r="M113" s="8" t="n">
        <x:f>'Evaluation Plan'!M113</x:f>
        <x:v>51</x:v>
      </x:c>
      <x:c r="N113" s="7" t="str">
        <x:f>'Evaluation Plan'!N113</x:f>
        <x:v>Reset black cup A to its marked position. Do not alter any object or state; only change the prompt and expected target.</x:v>
      </x:c>
      <x:c r="O113" s="7" t="str">
        <x:f>'Evaluation Plan'!O113</x:f>
        <x:v>Exact-scene comparison against the preceding seen-state baseline. The target switches to the other matched black cup.</x:v>
      </x:c>
      <x:c r="P113" s="7" t="str">
        <x:f>IF('Evaluation Plan'!P113=0,"",'Evaluation Plan'!P113)</x:f>
      </x:c>
    </x:row>
    <x:row r="114" ht="58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Put the open black cup in the bowl.</x:v>
      </x:c>
      <x:c r="D114" s="10" t="str">
        <x:f>'Evaluation Plan'!D114</x:f>
        <x:v>P1 glass spice container B (C, UD); P2 black cup A (O, UD) [TARGET]; P3 black cup B (C, UD) [STATE COMPETITOR]; P4 white cup A (O, UR)</x:v>
      </x:c>
      <x:c r="E114" s="9" t="str">
        <x:f>IF('Evaluation Plan'!H114="Exact-scene opposite-state contrast",'Evaluation Plan'!E114,IF('Evaluation Plan'!H114="Language robustness",'Evaluation Plan'!E114,IF('Evaluation Plan'!H114="Matched manipulation control",'Evaluation Plan'!E114,IF('Evaluation Plan'!H114="Black-cup held-out-state composition",'Evaluation Plan'!E114,""))))</x:f>
      </x:c>
      <x:c r="F114" s="9" t="str">
        <x:f>'Evaluation Plan'!F114</x:f>
        <x:v>black cup A</x:v>
      </x:c>
      <x:c r="G114" s="10"/>
      <x:c r="H114" s="9" t="str">
        <x:f>'Evaluation Plan'!H114</x:f>
        <x:v>Black-cup seen-state baseline</x:v>
      </x:c>
      <x:c r="I114" s="9" t="str">
        <x:f>'Evaluation Plan'!I114</x:f>
        <x:v>SR-BLK02</x:v>
      </x:c>
      <x:c r="J114" s="9" t="str">
        <x:f>'Evaluation Plan'!J114</x:f>
        <x:v>open</x:v>
      </x:c>
      <x:c r="K114" s="9" t="n">
        <x:f>'Evaluation Plan'!K114</x:f>
        <x:v>4</x:v>
      </x:c>
      <x:c r="L114" s="9" t="str">
        <x:f>'Evaluation Plan'!L114</x:f>
        <x:v>1 — Seen-state black-cup baseline — Globally unseen category + seen state word (open)</x:v>
      </x:c>
      <x:c r="M114" s="9" t="n">
        <x:f>'Evaluation Plan'!M114</x:f>
        <x:v>52</x:v>
      </x:c>
      <x:c r="N114" s="10" t="str">
        <x:f>'Evaluation Plan'!N114</x:f>
        <x:v>Build the listed scene with black cups A and B in opposite states on the queried axis.</x:v>
      </x:c>
      <x:c r="O114" s="10" t="str">
        <x:f>'Evaluation Plan'!O114</x:f>
        <x:v>The black category is novel, but the state word was explicitly seen during fine-tuning. Two black cups force state-based selection.</x:v>
      </x:c>
      <x:c r="P114" s="10" t="str">
        <x:f>IF('Evaluation Plan'!P114=0,"",'Evaluation Plan'!P114)</x:f>
      </x:c>
    </x:row>
    <x:row r="115" ht="58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Put the closed black cup in the bowl.</x:v>
      </x:c>
      <x:c r="D115" s="7" t="str">
        <x:f>'Evaluation Plan'!D115</x:f>
        <x:v>P1 glass spice container B (C, UD); P2 black cup A (O, UD) [STATE COMPETITOR]; P3 black cup B (C, UD) [TARGET]; P4 white cup A (O, UR)</x:v>
      </x:c>
      <x:c r="E115" s="8" t="n">
        <x:f>IF('Evaluation Plan'!H115="Exact-scene opposite-state contrast",'Evaluation Plan'!E115,IF('Evaluation Plan'!H115="Language robustness",'Evaluation Plan'!E115,IF('Evaluation Plan'!H115="Matched manipulation control",'Evaluation Plan'!E115,IF('Evaluation Plan'!H115="Black-cup held-out-state composition",'Evaluation Plan'!E115,""))))</x:f>
        <x:v>112</x:v>
      </x:c>
      <x:c r="F115" s="8" t="str">
        <x:f>'Evaluation Plan'!F115</x:f>
        <x:v>black cup B</x:v>
      </x:c>
      <x:c r="G115" s="7"/>
      <x:c r="H115" s="8" t="str">
        <x:f>'Evaluation Plan'!H115</x:f>
        <x:v>Black-cup held-out-state composition</x:v>
      </x:c>
      <x:c r="I115" s="8" t="str">
        <x:f>'Evaluation Plan'!I115</x:f>
        <x:v>SR-BLK02</x:v>
      </x:c>
      <x:c r="J115" s="8" t="str">
        <x:f>'Evaluation Plan'!J115</x:f>
        <x:v>closed</x:v>
      </x:c>
      <x:c r="K115" s="8" t="n">
        <x:f>'Evaluation Plan'!K115</x:f>
        <x:v>4</x:v>
      </x:c>
      <x:c r="L115" s="8" t="str">
        <x:f>'Evaluation Plan'!L115</x:f>
        <x:v>2 — Held-out-state black-cup composition — Globally unseen category + held-out state word (closed)</x:v>
      </x:c>
      <x:c r="M115" s="8" t="n">
        <x:f>'Evaluation Plan'!M115</x:f>
        <x:v>52</x:v>
      </x:c>
      <x:c r="N115" s="7" t="str">
        <x:f>'Evaluation Plan'!N115</x:f>
        <x:v>Reset black cup A to its marked position. Do not alter any object or state; only change the prompt and expected target.</x:v>
      </x:c>
      <x:c r="O115" s="7" t="str">
        <x:f>'Evaluation Plan'!O115</x:f>
        <x:v>Exact-scene comparison against the preceding seen-state baseline. The target switches to the other matched black cup.</x:v>
      </x:c>
      <x:c r="P115" s="7" t="str">
        <x:f>IF('Evaluation Plan'!P115=0,"",'Evaluation Plan'!P115)</x:f>
      </x:c>
    </x:row>
    <x:row r="116" ht="58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Move the open black cup into the bowl.</x:v>
      </x:c>
      <x:c r="D116" s="10" t="str">
        <x:f>'Evaluation Plan'!D116</x:f>
        <x:v>P1 black cup B (C, UR) [STATE COMPETITOR]; P2 white cup B (C, UD); P3 black cup A (O, UR) [TARGET]</x:v>
      </x:c>
      <x:c r="E116" s="9" t="str">
        <x:f>IF('Evaluation Plan'!H116="Exact-scene opposite-state contrast",'Evaluation Plan'!E116,IF('Evaluation Plan'!H116="Language robustness",'Evaluation Plan'!E116,IF('Evaluation Plan'!H116="Matched manipulation control",'Evaluation Plan'!E116,IF('Evaluation Plan'!H116="Black-cup held-out-state composition",'Evaluation Plan'!E116,""))))</x:f>
      </x:c>
      <x:c r="F116" s="9" t="str">
        <x:f>'Evaluation Plan'!F116</x:f>
        <x:v>black cup A</x:v>
      </x:c>
      <x:c r="G116" s="10"/>
      <x:c r="H116" s="9" t="str">
        <x:f>'Evaluation Plan'!H116</x:f>
        <x:v>Black-cup seen-state baseline</x:v>
      </x:c>
      <x:c r="I116" s="9" t="str">
        <x:f>'Evaluation Plan'!I116</x:f>
        <x:v>SR-BLK03</x:v>
      </x:c>
      <x:c r="J116" s="9" t="str">
        <x:f>'Evaluation Plan'!J116</x:f>
        <x:v>open</x:v>
      </x:c>
      <x:c r="K116" s="9" t="n">
        <x:f>'Evaluation Plan'!K116</x:f>
        <x:v>3</x:v>
      </x:c>
      <x:c r="L116" s="9" t="str">
        <x:f>'Evaluation Plan'!L116</x:f>
        <x:v>1 — Seen-state black-cup baseline — Globally unseen category + seen state word (open)</x:v>
      </x:c>
      <x:c r="M116" s="9" t="n">
        <x:f>'Evaluation Plan'!M116</x:f>
        <x:v>53</x:v>
      </x:c>
      <x:c r="N116" s="10" t="str">
        <x:f>'Evaluation Plan'!N116</x:f>
        <x:v>Build the listed scene with black cups A and B in opposite states on the queried axis.</x:v>
      </x:c>
      <x:c r="O116" s="10" t="str">
        <x:f>'Evaluation Plan'!O116</x:f>
        <x:v>The black category is novel, but the state word was explicitly seen during fine-tuning. Two black cups force state-based selection.</x:v>
      </x:c>
      <x:c r="P116" s="10" t="str">
        <x:f>IF('Evaluation Plan'!P116=0,"",'Evaluation Plan'!P116)</x:f>
      </x:c>
    </x:row>
    <x:row r="117" ht="58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Move the closed black cup into the bowl.</x:v>
      </x:c>
      <x:c r="D117" s="7" t="str">
        <x:f>'Evaluation Plan'!D117</x:f>
        <x:v>P1 black cup B (C, UR) [TARGET]; P2 white cup B (C, UD); P3 black cup A (O, UR) [STATE COMPETITOR]</x:v>
      </x:c>
      <x:c r="E117" s="8" t="n">
        <x:f>IF('Evaluation Plan'!H117="Exact-scene opposite-state contrast",'Evaluation Plan'!E117,IF('Evaluation Plan'!H117="Language robustness",'Evaluation Plan'!E117,IF('Evaluation Plan'!H117="Matched manipulation control",'Evaluation Plan'!E117,IF('Evaluation Plan'!H117="Black-cup held-out-state composition",'Evaluation Plan'!E117,""))))</x:f>
        <x:v>114</x:v>
      </x:c>
      <x:c r="F117" s="8" t="str">
        <x:f>'Evaluation Plan'!F117</x:f>
        <x:v>black cup B</x:v>
      </x:c>
      <x:c r="G117" s="7"/>
      <x:c r="H117" s="8" t="str">
        <x:f>'Evaluation Plan'!H117</x:f>
        <x:v>Black-cup held-out-state composition</x:v>
      </x:c>
      <x:c r="I117" s="8" t="str">
        <x:f>'Evaluation Plan'!I117</x:f>
        <x:v>SR-BLK03</x:v>
      </x:c>
      <x:c r="J117" s="8" t="str">
        <x:f>'Evaluation Plan'!J117</x:f>
        <x:v>closed</x:v>
      </x:c>
      <x:c r="K117" s="8" t="n">
        <x:f>'Evaluation Plan'!K117</x:f>
        <x:v>3</x:v>
      </x:c>
      <x:c r="L117" s="8" t="str">
        <x:f>'Evaluation Plan'!L117</x:f>
        <x:v>2 — Held-out-state black-cup composition — Globally unseen category + held-out state word (closed)</x:v>
      </x:c>
      <x:c r="M117" s="8" t="n">
        <x:f>'Evaluation Plan'!M117</x:f>
        <x:v>53</x:v>
      </x:c>
      <x:c r="N117" s="7" t="str">
        <x:f>'Evaluation Plan'!N117</x:f>
        <x:v>Reset black cup A to its marked position. Do not alter any object or state; only change the prompt and expected target.</x:v>
      </x:c>
      <x:c r="O117" s="7" t="str">
        <x:f>'Evaluation Plan'!O117</x:f>
        <x:v>Exact-scene comparison against the preceding seen-state baseline. The target switches to the other matched black cup.</x:v>
      </x:c>
      <x:c r="P117" s="7" t="str">
        <x:f>IF('Evaluation Plan'!P117=0,"",'Evaluation Plan'!P117)</x:f>
      </x:c>
    </x:row>
    <x:row r="118" ht="58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Place the open black cup in the bowl.</x:v>
      </x:c>
      <x:c r="D118" s="10" t="str">
        <x:f>'Evaluation Plan'!D118</x:f>
        <x:v>P1 black cup B (C, UD) [STATE COMPETITOR]; P2 yellow-white striped cup A (O, UR); P3 brown cup B (C, UD); P4 black cup A (O, UD) [TARGET]</x:v>
      </x:c>
      <x:c r="E118" s="9" t="str">
        <x:f>IF('Evaluation Plan'!H118="Exact-scene opposite-state contrast",'Evaluation Plan'!E118,IF('Evaluation Plan'!H118="Language robustness",'Evaluation Plan'!E118,IF('Evaluation Plan'!H118="Matched manipulation control",'Evaluation Plan'!E118,IF('Evaluation Plan'!H118="Black-cup held-out-state composition",'Evaluation Plan'!E118,""))))</x:f>
      </x:c>
      <x:c r="F118" s="9" t="str">
        <x:f>'Evaluation Plan'!F118</x:f>
        <x:v>black cup A</x:v>
      </x:c>
      <x:c r="G118" s="10"/>
      <x:c r="H118" s="9" t="str">
        <x:f>'Evaluation Plan'!H118</x:f>
        <x:v>Black-cup seen-state baseline</x:v>
      </x:c>
      <x:c r="I118" s="9" t="str">
        <x:f>'Evaluation Plan'!I118</x:f>
        <x:v>SR-BLK04</x:v>
      </x:c>
      <x:c r="J118" s="9" t="str">
        <x:f>'Evaluation Plan'!J118</x:f>
        <x:v>open</x:v>
      </x:c>
      <x:c r="K118" s="9" t="n">
        <x:f>'Evaluation Plan'!K118</x:f>
        <x:v>4</x:v>
      </x:c>
      <x:c r="L118" s="9" t="str">
        <x:f>'Evaluation Plan'!L118</x:f>
        <x:v>1 — Seen-state black-cup baseline — Globally unseen category + seen state word (open)</x:v>
      </x:c>
      <x:c r="M118" s="9" t="n">
        <x:f>'Evaluation Plan'!M118</x:f>
        <x:v>54</x:v>
      </x:c>
      <x:c r="N118" s="10" t="str">
        <x:f>'Evaluation Plan'!N118</x:f>
        <x:v>Build the listed scene with black cups A and B in opposite states on the queried axis.</x:v>
      </x:c>
      <x:c r="O118" s="10" t="str">
        <x:f>'Evaluation Plan'!O118</x:f>
        <x:v>The black category is novel, but the state word was explicitly seen during fine-tuning. Two black cups force state-based selection.</x:v>
      </x:c>
      <x:c r="P118" s="10" t="str">
        <x:f>IF('Evaluation Plan'!P118=0,"",'Evaluation Plan'!P118)</x:f>
      </x:c>
    </x:row>
    <x:row r="119" ht="58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Place the closed black cup in the bowl.</x:v>
      </x:c>
      <x:c r="D119" s="7" t="str">
        <x:f>'Evaluation Plan'!D119</x:f>
        <x:v>P1 black cup B (C, UD) [TARGET]; P2 yellow-white striped cup A (O, UR); P3 brown cup B (C, UD); P4 black cup A (O, UD) [STATE COMPETITOR]</x:v>
      </x:c>
      <x:c r="E119" s="8" t="n">
        <x:f>IF('Evaluation Plan'!H119="Exact-scene opposite-state contrast",'Evaluation Plan'!E119,IF('Evaluation Plan'!H119="Language robustness",'Evaluation Plan'!E119,IF('Evaluation Plan'!H119="Matched manipulation control",'Evaluation Plan'!E119,IF('Evaluation Plan'!H119="Black-cup held-out-state composition",'Evaluation Plan'!E119,""))))</x:f>
        <x:v>116</x:v>
      </x:c>
      <x:c r="F119" s="8" t="str">
        <x:f>'Evaluation Plan'!F119</x:f>
        <x:v>black cup B</x:v>
      </x:c>
      <x:c r="G119" s="7"/>
      <x:c r="H119" s="8" t="str">
        <x:f>'Evaluation Plan'!H119</x:f>
        <x:v>Black-cup held-out-state composition</x:v>
      </x:c>
      <x:c r="I119" s="8" t="str">
        <x:f>'Evaluation Plan'!I119</x:f>
        <x:v>SR-BLK04</x:v>
      </x:c>
      <x:c r="J119" s="8" t="str">
        <x:f>'Evaluation Plan'!J119</x:f>
        <x:v>closed</x:v>
      </x:c>
      <x:c r="K119" s="8" t="n">
        <x:f>'Evaluation Plan'!K119</x:f>
        <x:v>4</x:v>
      </x:c>
      <x:c r="L119" s="8" t="str">
        <x:f>'Evaluation Plan'!L119</x:f>
        <x:v>2 — Held-out-state black-cup composition — Globally unseen category + held-out state word (closed)</x:v>
      </x:c>
      <x:c r="M119" s="8" t="n">
        <x:f>'Evaluation Plan'!M119</x:f>
        <x:v>54</x:v>
      </x:c>
      <x:c r="N119" s="7" t="str">
        <x:f>'Evaluation Plan'!N119</x:f>
        <x:v>Reset black cup A to its marked position. Do not alter any object or state; only change the prompt and expected target.</x:v>
      </x:c>
      <x:c r="O119" s="7" t="str">
        <x:f>'Evaluation Plan'!O119</x:f>
        <x:v>Exact-scene comparison against the preceding seen-state baseline. The target switches to the other matched black cup.</x:v>
      </x:c>
      <x:c r="P119" s="7" t="str">
        <x:f>IF('Evaluation Plan'!P119=0,"",'Evaluation Plan'!P119)</x:f>
      </x:c>
    </x:row>
    <x:row r="120" ht="58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Put the open black cup in the bowl.</x:v>
      </x:c>
      <x:c r="D120" s="10" t="str">
        <x:f>'Evaluation Plan'!D120</x:f>
        <x:v>P1 brown cup A (O, UR); P2 black cup A (O, UR) [TARGET]; P3 black cup B (C, UR) [STATE COMPETITOR]</x:v>
      </x:c>
      <x:c r="E120" s="9" t="str">
        <x:f>IF('Evaluation Plan'!H120="Exact-scene opposite-state contrast",'Evaluation Plan'!E120,IF('Evaluation Plan'!H120="Language robustness",'Evaluation Plan'!E120,IF('Evaluation Plan'!H120="Matched manipulation control",'Evaluation Plan'!E120,IF('Evaluation Plan'!H120="Black-cup held-out-state composition",'Evaluation Plan'!E120,""))))</x:f>
      </x:c>
      <x:c r="F120" s="9" t="str">
        <x:f>'Evaluation Plan'!F120</x:f>
        <x:v>black cup A</x:v>
      </x:c>
      <x:c r="G120" s="10"/>
      <x:c r="H120" s="9" t="str">
        <x:f>'Evaluation Plan'!H120</x:f>
        <x:v>Black-cup seen-state baseline</x:v>
      </x:c>
      <x:c r="I120" s="9" t="str">
        <x:f>'Evaluation Plan'!I120</x:f>
        <x:v>SR-BLK05</x:v>
      </x:c>
      <x:c r="J120" s="9" t="str">
        <x:f>'Evaluation Plan'!J120</x:f>
        <x:v>open</x:v>
      </x:c>
      <x:c r="K120" s="9" t="n">
        <x:f>'Evaluation Plan'!K120</x:f>
        <x:v>3</x:v>
      </x:c>
      <x:c r="L120" s="9" t="str">
        <x:f>'Evaluation Plan'!L120</x:f>
        <x:v>1 — Seen-state black-cup baseline — Globally unseen category + seen state word (open)</x:v>
      </x:c>
      <x:c r="M120" s="9" t="n">
        <x:f>'Evaluation Plan'!M120</x:f>
        <x:v>55</x:v>
      </x:c>
      <x:c r="N120" s="10" t="str">
        <x:f>'Evaluation Plan'!N120</x:f>
        <x:v>Build the listed scene with black cups A and B in opposite states on the queried axis.</x:v>
      </x:c>
      <x:c r="O120" s="10" t="str">
        <x:f>'Evaluation Plan'!O120</x:f>
        <x:v>The black category is novel, but the state word was explicitly seen during fine-tuning. Two black cups force state-based selection.</x:v>
      </x:c>
      <x:c r="P120" s="10" t="str">
        <x:f>IF('Evaluation Plan'!P120=0,"",'Evaluation Plan'!P120)</x:f>
      </x:c>
    </x:row>
    <x:row r="121" ht="58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Put the closed black cup in the bowl.</x:v>
      </x:c>
      <x:c r="D121" s="7" t="str">
        <x:f>'Evaluation Plan'!D121</x:f>
        <x:v>P1 brown cup A (O, UR); P2 black cup A (O, UR) [STATE COMPETITOR]; P3 black cup B (C, UR) [TARGET]</x:v>
      </x:c>
      <x:c r="E121" s="8" t="n">
        <x:f>IF('Evaluation Plan'!H121="Exact-scene opposite-state contrast",'Evaluation Plan'!E121,IF('Evaluation Plan'!H121="Language robustness",'Evaluation Plan'!E121,IF('Evaluation Plan'!H121="Matched manipulation control",'Evaluation Plan'!E121,IF('Evaluation Plan'!H121="Black-cup held-out-state composition",'Evaluation Plan'!E121,""))))</x:f>
        <x:v>118</x:v>
      </x:c>
      <x:c r="F121" s="8" t="str">
        <x:f>'Evaluation Plan'!F121</x:f>
        <x:v>black cup B</x:v>
      </x:c>
      <x:c r="G121" s="7"/>
      <x:c r="H121" s="8" t="str">
        <x:f>'Evaluation Plan'!H121</x:f>
        <x:v>Black-cup held-out-state composition</x:v>
      </x:c>
      <x:c r="I121" s="8" t="str">
        <x:f>'Evaluation Plan'!I121</x:f>
        <x:v>SR-BLK05</x:v>
      </x:c>
      <x:c r="J121" s="8" t="str">
        <x:f>'Evaluation Plan'!J121</x:f>
        <x:v>closed</x:v>
      </x:c>
      <x:c r="K121" s="8" t="n">
        <x:f>'Evaluation Plan'!K121</x:f>
        <x:v>3</x:v>
      </x:c>
      <x:c r="L121" s="8" t="str">
        <x:f>'Evaluation Plan'!L121</x:f>
        <x:v>2 — Held-out-state black-cup composition — Globally unseen category + held-out state word (closed)</x:v>
      </x:c>
      <x:c r="M121" s="8" t="n">
        <x:f>'Evaluation Plan'!M121</x:f>
        <x:v>55</x:v>
      </x:c>
      <x:c r="N121" s="7" t="str">
        <x:f>'Evaluation Plan'!N121</x:f>
        <x:v>Reset black cup A to its marked position. Do not alter any object or state; only change the prompt and expected target.</x:v>
      </x:c>
      <x:c r="O121" s="7" t="str">
        <x:f>'Evaluation Plan'!O121</x:f>
        <x:v>Exact-scene comparison against the preceding seen-state baseline. The target switches to the other matched black cup.</x:v>
      </x:c>
      <x:c r="P121" s="7" t="str">
        <x:f>IF('Evaluation Plan'!P121=0,"",'Evaluation Plan'!P121)</x:f>
      </x:c>
    </x:row>
    <x:row r="122" ht="58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Move the upside-down black cup into the bowl.</x:v>
      </x:c>
      <x:c r="D122" s="10" t="str">
        <x:f>'Evaluation Plan'!D122</x:f>
        <x:v>P1 glass spice container B (C, UD); P2 black cup A (C, UD) [TARGET]; P3 black cup B (C, UR) [STATE COMPETITOR]; P4 white cup A (O, UR)</x:v>
      </x:c>
      <x:c r="E122" s="9" t="str">
        <x:f>IF('Evaluation Plan'!H122="Exact-scene opposite-state contrast",'Evaluation Plan'!E122,IF('Evaluation Plan'!H122="Language robustness",'Evaluation Plan'!E122,IF('Evaluation Plan'!H122="Matched manipulation control",'Evaluation Plan'!E122,IF('Evaluation Plan'!H122="Black-cup held-out-state composition",'Evaluation Plan'!E122,""))))</x:f>
      </x:c>
      <x:c r="F122" s="9" t="str">
        <x:f>'Evaluation Plan'!F122</x:f>
        <x:v>black cup A</x:v>
      </x:c>
      <x:c r="G122" s="10"/>
      <x:c r="H122" s="9" t="str">
        <x:f>'Evaluation Plan'!H122</x:f>
        <x:v>Black-cup seen-state baseline</x:v>
      </x:c>
      <x:c r="I122" s="9" t="str">
        <x:f>'Evaluation Plan'!I122</x:f>
        <x:v>SR-BLK06</x:v>
      </x:c>
      <x:c r="J122" s="9" t="str">
        <x:f>'Evaluation Plan'!J122</x:f>
        <x:v>upside-down</x:v>
      </x:c>
      <x:c r="K122" s="9" t="n">
        <x:f>'Evaluation Plan'!K122</x:f>
        <x:v>4</x:v>
      </x:c>
      <x:c r="L122" s="9" t="str">
        <x:f>'Evaluation Plan'!L122</x:f>
        <x:v>1 — Seen-state black-cup baseline — Globally unseen category + seen state word (upside-down)</x:v>
      </x:c>
      <x:c r="M122" s="9" t="n">
        <x:f>'Evaluation Plan'!M122</x:f>
        <x:v>56</x:v>
      </x:c>
      <x:c r="N122" s="10" t="str">
        <x:f>'Evaluation Plan'!N122</x:f>
        <x:v>Build the listed scene with black cups A and B in opposite states on the queried axis.</x:v>
      </x:c>
      <x:c r="O122" s="10" t="str">
        <x:f>'Evaluation Plan'!O122</x:f>
        <x:v>The black category is novel, but the state word was explicitly seen during fine-tuning. Two black cups force state-based selection.</x:v>
      </x:c>
      <x:c r="P122" s="10" t="str">
        <x:f>IF('Evaluation Plan'!P122=0,"",'Evaluation Plan'!P122)</x:f>
      </x:c>
    </x:row>
    <x:row r="123" ht="58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Move the upright black cup into the bowl.</x:v>
      </x:c>
      <x:c r="D123" s="7" t="str">
        <x:f>'Evaluation Plan'!D123</x:f>
        <x:v>P1 glass spice container B (C, UD); P2 black cup A (C, UD) [STATE COMPETITOR]; P3 black cup B (C, UR) [TARGET]; P4 white cup A (O, UR)</x:v>
      </x:c>
      <x:c r="E123" s="8" t="n">
        <x:f>IF('Evaluation Plan'!H123="Exact-scene opposite-state contrast",'Evaluation Plan'!E123,IF('Evaluation Plan'!H123="Language robustness",'Evaluation Plan'!E123,IF('Evaluation Plan'!H123="Matched manipulation control",'Evaluation Plan'!E123,IF('Evaluation Plan'!H123="Black-cup held-out-state composition",'Evaluation Plan'!E123,""))))</x:f>
        <x:v>120</x:v>
      </x:c>
      <x:c r="F123" s="8" t="str">
        <x:f>'Evaluation Plan'!F123</x:f>
        <x:v>black cup B</x:v>
      </x:c>
      <x:c r="G123" s="7"/>
      <x:c r="H123" s="8" t="str">
        <x:f>'Evaluation Plan'!H123</x:f>
        <x:v>Black-cup held-out-state composition</x:v>
      </x:c>
      <x:c r="I123" s="8" t="str">
        <x:f>'Evaluation Plan'!I123</x:f>
        <x:v>SR-BLK06</x:v>
      </x:c>
      <x:c r="J123" s="8" t="str">
        <x:f>'Evaluation Plan'!J123</x:f>
        <x:v>upright</x:v>
      </x:c>
      <x:c r="K123" s="8" t="n">
        <x:f>'Evaluation Plan'!K123</x:f>
        <x:v>4</x:v>
      </x:c>
      <x:c r="L123" s="8" t="str">
        <x:f>'Evaluation Plan'!L123</x:f>
        <x:v>2 — Held-out-state black-cup composition — Globally unseen category + held-out state word (upright)</x:v>
      </x:c>
      <x:c r="M123" s="8" t="n">
        <x:f>'Evaluation Plan'!M123</x:f>
        <x:v>56</x:v>
      </x:c>
      <x:c r="N123" s="7" t="str">
        <x:f>'Evaluation Plan'!N123</x:f>
        <x:v>Reset black cup A to its marked position. Do not alter any object or state; only change the prompt and expected target.</x:v>
      </x:c>
      <x:c r="O123" s="7" t="str">
        <x:f>'Evaluation Plan'!O123</x:f>
        <x:v>Exact-scene comparison against the preceding seen-state baseline. The target switches to the other matched black cup.</x:v>
      </x:c>
      <x:c r="P123" s="7" t="str">
        <x:f>IF('Evaluation Plan'!P123=0,"",'Evaluation Plan'!P123)</x:f>
      </x:c>
    </x:row>
    <x:row r="124" ht="58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Place the upside-down black cup in the bowl.</x:v>
      </x:c>
      <x:c r="D124" s="10" t="str">
        <x:f>'Evaluation Plan'!D124</x:f>
        <x:v>P1 black cup A (O, UD) [TARGET]; P2 black cup B (O, UR) [STATE COMPETITOR]; P3 white cup A (O, UR)</x:v>
      </x:c>
      <x:c r="E124" s="9" t="str">
        <x:f>IF('Evaluation Plan'!H124="Exact-scene opposite-state contrast",'Evaluation Plan'!E124,IF('Evaluation Plan'!H124="Language robustness",'Evaluation Plan'!E124,IF('Evaluation Plan'!H124="Matched manipulation control",'Evaluation Plan'!E124,IF('Evaluation Plan'!H124="Black-cup held-out-state composition",'Evaluation Plan'!E124,""))))</x:f>
      </x:c>
      <x:c r="F124" s="9" t="str">
        <x:f>'Evaluation Plan'!F124</x:f>
        <x:v>black cup A</x:v>
      </x:c>
      <x:c r="G124" s="10"/>
      <x:c r="H124" s="9" t="str">
        <x:f>'Evaluation Plan'!H124</x:f>
        <x:v>Black-cup seen-state baseline</x:v>
      </x:c>
      <x:c r="I124" s="9" t="str">
        <x:f>'Evaluation Plan'!I124</x:f>
        <x:v>SR-BLK07</x:v>
      </x:c>
      <x:c r="J124" s="9" t="str">
        <x:f>'Evaluation Plan'!J124</x:f>
        <x:v>upside-down</x:v>
      </x:c>
      <x:c r="K124" s="9" t="n">
        <x:f>'Evaluation Plan'!K124</x:f>
        <x:v>3</x:v>
      </x:c>
      <x:c r="L124" s="9" t="str">
        <x:f>'Evaluation Plan'!L124</x:f>
        <x:v>1 — Seen-state black-cup baseline — Globally unseen category + seen state word (upside-down)</x:v>
      </x:c>
      <x:c r="M124" s="9" t="n">
        <x:f>'Evaluation Plan'!M124</x:f>
        <x:v>57</x:v>
      </x:c>
      <x:c r="N124" s="10" t="str">
        <x:f>'Evaluation Plan'!N124</x:f>
        <x:v>Build the listed scene with black cups A and B in opposite states on the queried axis.</x:v>
      </x:c>
      <x:c r="O124" s="10" t="str">
        <x:f>'Evaluation Plan'!O124</x:f>
        <x:v>The black category is novel, but the state word was explicitly seen during fine-tuning. Two black cups force state-based selection.</x:v>
      </x:c>
      <x:c r="P124" s="10" t="str">
        <x:f>IF('Evaluation Plan'!P124=0,"",'Evaluation Plan'!P124)</x:f>
      </x:c>
    </x:row>
    <x:row r="125" ht="58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Place the upright black cup in the bowl.</x:v>
      </x:c>
      <x:c r="D125" s="7" t="str">
        <x:f>'Evaluation Plan'!D125</x:f>
        <x:v>P1 black cup A (O, UD) [STATE COMPETITOR]; P2 black cup B (O, UR) [TARGET]; P3 white cup A (O, UR)</x:v>
      </x:c>
      <x:c r="E125" s="8" t="n">
        <x:f>IF('Evaluation Plan'!H125="Exact-scene opposite-state contrast",'Evaluation Plan'!E125,IF('Evaluation Plan'!H125="Language robustness",'Evaluation Plan'!E125,IF('Evaluation Plan'!H125="Matched manipulation control",'Evaluation Plan'!E125,IF('Evaluation Plan'!H125="Black-cup held-out-state composition",'Evaluation Plan'!E125,""))))</x:f>
        <x:v>122</x:v>
      </x:c>
      <x:c r="F125" s="8" t="str">
        <x:f>'Evaluation Plan'!F125</x:f>
        <x:v>black cup B</x:v>
      </x:c>
      <x:c r="G125" s="7"/>
      <x:c r="H125" s="8" t="str">
        <x:f>'Evaluation Plan'!H125</x:f>
        <x:v>Black-cup held-out-state composition</x:v>
      </x:c>
      <x:c r="I125" s="8" t="str">
        <x:f>'Evaluation Plan'!I125</x:f>
        <x:v>SR-BLK07</x:v>
      </x:c>
      <x:c r="J125" s="8" t="str">
        <x:f>'Evaluation Plan'!J125</x:f>
        <x:v>upright</x:v>
      </x:c>
      <x:c r="K125" s="8" t="n">
        <x:f>'Evaluation Plan'!K125</x:f>
        <x:v>3</x:v>
      </x:c>
      <x:c r="L125" s="8" t="str">
        <x:f>'Evaluation Plan'!L125</x:f>
        <x:v>2 — Held-out-state black-cup composition — Globally unseen category + held-out state word (upright)</x:v>
      </x:c>
      <x:c r="M125" s="8" t="n">
        <x:f>'Evaluation Plan'!M125</x:f>
        <x:v>57</x:v>
      </x:c>
      <x:c r="N125" s="7" t="str">
        <x:f>'Evaluation Plan'!N125</x:f>
        <x:v>Reset black cup A to its marked position. Do not alter any object or state; only change the prompt and expected target.</x:v>
      </x:c>
      <x:c r="O125" s="7" t="str">
        <x:f>'Evaluation Plan'!O125</x:f>
        <x:v>Exact-scene comparison against the preceding seen-state baseline. The target switches to the other matched black cup.</x:v>
      </x:c>
      <x:c r="P125" s="7" t="str">
        <x:f>IF('Evaluation Plan'!P125=0,"",'Evaluation Plan'!P125)</x:f>
      </x:c>
    </x:row>
    <x:row r="126" ht="58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Put the upside-down black cup in the bowl.</x:v>
      </x:c>
      <x:c r="D126" s="10" t="str">
        <x:f>'Evaluation Plan'!D126</x:f>
        <x:v>P1 black cup B (C, UR) [STATE COMPETITOR]; P2 yellow-white striped cup A (O, UR); P3 brown cup B (C, UD); P4 black cup A (C, UD) [TARGET]</x:v>
      </x:c>
      <x:c r="E126" s="9" t="str">
        <x:f>IF('Evaluation Plan'!H126="Exact-scene opposite-state contrast",'Evaluation Plan'!E126,IF('Evaluation Plan'!H126="Language robustness",'Evaluation Plan'!E126,IF('Evaluation Plan'!H126="Matched manipulation control",'Evaluation Plan'!E126,IF('Evaluation Plan'!H126="Black-cup held-out-state composition",'Evaluation Plan'!E126,""))))</x:f>
      </x:c>
      <x:c r="F126" s="9" t="str">
        <x:f>'Evaluation Plan'!F126</x:f>
        <x:v>black cup A</x:v>
      </x:c>
      <x:c r="G126" s="10"/>
      <x:c r="H126" s="9" t="str">
        <x:f>'Evaluation Plan'!H126</x:f>
        <x:v>Black-cup seen-state baseline</x:v>
      </x:c>
      <x:c r="I126" s="9" t="str">
        <x:f>'Evaluation Plan'!I126</x:f>
        <x:v>SR-BLK08</x:v>
      </x:c>
      <x:c r="J126" s="9" t="str">
        <x:f>'Evaluation Plan'!J126</x:f>
        <x:v>upside-down</x:v>
      </x:c>
      <x:c r="K126" s="9" t="n">
        <x:f>'Evaluation Plan'!K126</x:f>
        <x:v>4</x:v>
      </x:c>
      <x:c r="L126" s="9" t="str">
        <x:f>'Evaluation Plan'!L126</x:f>
        <x:v>1 — Seen-state black-cup baseline — Globally unseen category + seen state word (upside-down)</x:v>
      </x:c>
      <x:c r="M126" s="9" t="n">
        <x:f>'Evaluation Plan'!M126</x:f>
        <x:v>58</x:v>
      </x:c>
      <x:c r="N126" s="10" t="str">
        <x:f>'Evaluation Plan'!N126</x:f>
        <x:v>Build the listed scene with black cups A and B in opposite states on the queried axis.</x:v>
      </x:c>
      <x:c r="O126" s="10" t="str">
        <x:f>'Evaluation Plan'!O126</x:f>
        <x:v>The black category is novel, but the state word was explicitly seen during fine-tuning. Two black cups force state-based selection.</x:v>
      </x:c>
      <x:c r="P126" s="10" t="str">
        <x:f>IF('Evaluation Plan'!P126=0,"",'Evaluation Plan'!P126)</x:f>
      </x:c>
    </x:row>
    <x:row r="127" ht="58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Put the upright black cup in the bowl.</x:v>
      </x:c>
      <x:c r="D127" s="7" t="str">
        <x:f>'Evaluation Plan'!D127</x:f>
        <x:v>P1 black cup B (C, UR) [TARGET]; P2 yellow-white striped cup A (O, UR); P3 brown cup B (C, UD); P4 black cup A (C, UD) [STATE COMPETITOR]</x:v>
      </x:c>
      <x:c r="E127" s="8" t="n">
        <x:f>IF('Evaluation Plan'!H127="Exact-scene opposite-state contrast",'Evaluation Plan'!E127,IF('Evaluation Plan'!H127="Language robustness",'Evaluation Plan'!E127,IF('Evaluation Plan'!H127="Matched manipulation control",'Evaluation Plan'!E127,IF('Evaluation Plan'!H127="Black-cup held-out-state composition",'Evaluation Plan'!E127,""))))</x:f>
        <x:v>124</x:v>
      </x:c>
      <x:c r="F127" s="8" t="str">
        <x:f>'Evaluation Plan'!F127</x:f>
        <x:v>black cup B</x:v>
      </x:c>
      <x:c r="G127" s="7"/>
      <x:c r="H127" s="8" t="str">
        <x:f>'Evaluation Plan'!H127</x:f>
        <x:v>Black-cup held-out-state composition</x:v>
      </x:c>
      <x:c r="I127" s="8" t="str">
        <x:f>'Evaluation Plan'!I127</x:f>
        <x:v>SR-BLK08</x:v>
      </x:c>
      <x:c r="J127" s="8" t="str">
        <x:f>'Evaluation Plan'!J127</x:f>
        <x:v>upright</x:v>
      </x:c>
      <x:c r="K127" s="8" t="n">
        <x:f>'Evaluation Plan'!K127</x:f>
        <x:v>4</x:v>
      </x:c>
      <x:c r="L127" s="8" t="str">
        <x:f>'Evaluation Plan'!L127</x:f>
        <x:v>2 — Held-out-state black-cup composition — Globally unseen category + held-out state word (upright)</x:v>
      </x:c>
      <x:c r="M127" s="8" t="n">
        <x:f>'Evaluation Plan'!M127</x:f>
        <x:v>58</x:v>
      </x:c>
      <x:c r="N127" s="7" t="str">
        <x:f>'Evaluation Plan'!N127</x:f>
        <x:v>Reset black cup A to its marked position. Do not alter any object or state; only change the prompt and expected target.</x:v>
      </x:c>
      <x:c r="O127" s="7" t="str">
        <x:f>'Evaluation Plan'!O127</x:f>
        <x:v>Exact-scene comparison against the preceding seen-state baseline. The target switches to the other matched black cup.</x:v>
      </x:c>
      <x:c r="P127" s="7" t="str">
        <x:f>IF('Evaluation Plan'!P127=0,"",'Evaluation Plan'!P127)</x:f>
      </x:c>
    </x:row>
    <x:row r="128" ht="58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Move the upside-down black cup into the bowl.</x:v>
      </x:c>
      <x:c r="D128" s="10" t="str">
        <x:f>'Evaluation Plan'!D128</x:f>
        <x:v>P1 black cup B (O, UR) [STATE COMPETITOR]; P2 brown cup B (C, UD); P3 black cup A (O, UD) [TARGET]</x:v>
      </x:c>
      <x:c r="E128" s="9" t="str">
        <x:f>IF('Evaluation Plan'!H128="Exact-scene opposite-state contrast",'Evaluation Plan'!E128,IF('Evaluation Plan'!H128="Language robustness",'Evaluation Plan'!E128,IF('Evaluation Plan'!H128="Matched manipulation control",'Evaluation Plan'!E128,IF('Evaluation Plan'!H128="Black-cup held-out-state composition",'Evaluation Plan'!E128,""))))</x:f>
      </x:c>
      <x:c r="F128" s="9" t="str">
        <x:f>'Evaluation Plan'!F128</x:f>
        <x:v>black cup A</x:v>
      </x:c>
      <x:c r="G128" s="10"/>
      <x:c r="H128" s="9" t="str">
        <x:f>'Evaluation Plan'!H128</x:f>
        <x:v>Black-cup seen-state baseline</x:v>
      </x:c>
      <x:c r="I128" s="9" t="str">
        <x:f>'Evaluation Plan'!I128</x:f>
        <x:v>SR-BLK09</x:v>
      </x:c>
      <x:c r="J128" s="9" t="str">
        <x:f>'Evaluation Plan'!J128</x:f>
        <x:v>upside-down</x:v>
      </x:c>
      <x:c r="K128" s="9" t="n">
        <x:f>'Evaluation Plan'!K128</x:f>
        <x:v>3</x:v>
      </x:c>
      <x:c r="L128" s="9" t="str">
        <x:f>'Evaluation Plan'!L128</x:f>
        <x:v>1 — Seen-state black-cup baseline — Globally unseen category + seen state word (upside-down)</x:v>
      </x:c>
      <x:c r="M128" s="9" t="n">
        <x:f>'Evaluation Plan'!M128</x:f>
        <x:v>59</x:v>
      </x:c>
      <x:c r="N128" s="10" t="str">
        <x:f>'Evaluation Plan'!N128</x:f>
        <x:v>Build the listed scene with black cups A and B in opposite states on the queried axis.</x:v>
      </x:c>
      <x:c r="O128" s="10" t="str">
        <x:f>'Evaluation Plan'!O128</x:f>
        <x:v>The black category is novel, but the state word was explicitly seen during fine-tuning. Two black cups force state-based selection.</x:v>
      </x:c>
      <x:c r="P128" s="10" t="str">
        <x:f>IF('Evaluation Plan'!P128=0,"",'Evaluation Plan'!P128)</x:f>
      </x:c>
    </x:row>
    <x:row r="129" ht="58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Move the upright black cup into the bowl.</x:v>
      </x:c>
      <x:c r="D129" s="7" t="str">
        <x:f>'Evaluation Plan'!D129</x:f>
        <x:v>P1 black cup B (O, UR) [TARGET]; P2 brown cup B (C, UD); P3 black cup A (O, UD) [STATE COMPETITOR]</x:v>
      </x:c>
      <x:c r="E129" s="8" t="n">
        <x:f>IF('Evaluation Plan'!H129="Exact-scene opposite-state contrast",'Evaluation Plan'!E129,IF('Evaluation Plan'!H129="Language robustness",'Evaluation Plan'!E129,IF('Evaluation Plan'!H129="Matched manipulation control",'Evaluation Plan'!E129,IF('Evaluation Plan'!H129="Black-cup held-out-state composition",'Evaluation Plan'!E129,""))))</x:f>
        <x:v>126</x:v>
      </x:c>
      <x:c r="F129" s="8" t="str">
        <x:f>'Evaluation Plan'!F129</x:f>
        <x:v>black cup B</x:v>
      </x:c>
      <x:c r="G129" s="7"/>
      <x:c r="H129" s="8" t="str">
        <x:f>'Evaluation Plan'!H129</x:f>
        <x:v>Black-cup held-out-state composition</x:v>
      </x:c>
      <x:c r="I129" s="8" t="str">
        <x:f>'Evaluation Plan'!I129</x:f>
        <x:v>SR-BLK09</x:v>
      </x:c>
      <x:c r="J129" s="8" t="str">
        <x:f>'Evaluation Plan'!J129</x:f>
        <x:v>upright</x:v>
      </x:c>
      <x:c r="K129" s="8" t="n">
        <x:f>'Evaluation Plan'!K129</x:f>
        <x:v>3</x:v>
      </x:c>
      <x:c r="L129" s="8" t="str">
        <x:f>'Evaluation Plan'!L129</x:f>
        <x:v>2 — Held-out-state black-cup composition — Globally unseen category + held-out state word (upright)</x:v>
      </x:c>
      <x:c r="M129" s="8" t="n">
        <x:f>'Evaluation Plan'!M129</x:f>
        <x:v>59</x:v>
      </x:c>
      <x:c r="N129" s="7" t="str">
        <x:f>'Evaluation Plan'!N129</x:f>
        <x:v>Reset black cup A to its marked position. Do not alter any object or state; only change the prompt and expected target.</x:v>
      </x:c>
      <x:c r="O129" s="7" t="str">
        <x:f>'Evaluation Plan'!O129</x:f>
        <x:v>Exact-scene comparison against the preceding seen-state baseline. The target switches to the other matched black cup.</x:v>
      </x:c>
      <x:c r="P129" s="7" t="str">
        <x:f>IF('Evaluation Plan'!P129=0,"",'Evaluation Plan'!P129)</x:f>
      </x:c>
    </x:row>
    <x:row r="130" ht="58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Place the upside-down black cup in the bowl.</x:v>
      </x:c>
      <x:c r="D130" s="10" t="str">
        <x:f>'Evaluation Plan'!D130</x:f>
        <x:v>P1 glass spice container B (C, UD); P2 black cup A (C, UD) [TARGET]; P3 black cup B (C, UR) [STATE COMPETITOR]; P4 white cup A (O, UR)</x:v>
      </x:c>
      <x:c r="E130" s="9" t="str">
        <x:f>IF('Evaluation Plan'!H130="Exact-scene opposite-state contrast",'Evaluation Plan'!E130,IF('Evaluation Plan'!H130="Language robustness",'Evaluation Plan'!E130,IF('Evaluation Plan'!H130="Matched manipulation control",'Evaluation Plan'!E130,IF('Evaluation Plan'!H130="Black-cup held-out-state composition",'Evaluation Plan'!E130,""))))</x:f>
      </x:c>
      <x:c r="F130" s="9" t="str">
        <x:f>'Evaluation Plan'!F130</x:f>
        <x:v>black cup A</x:v>
      </x:c>
      <x:c r="G130" s="10"/>
      <x:c r="H130" s="9" t="str">
        <x:f>'Evaluation Plan'!H130</x:f>
        <x:v>Black-cup seen-state baseline</x:v>
      </x:c>
      <x:c r="I130" s="9" t="str">
        <x:f>'Evaluation Plan'!I130</x:f>
        <x:v>SR-BLK10</x:v>
      </x:c>
      <x:c r="J130" s="9" t="str">
        <x:f>'Evaluation Plan'!J130</x:f>
        <x:v>upside-down</x:v>
      </x:c>
      <x:c r="K130" s="9" t="n">
        <x:f>'Evaluation Plan'!K130</x:f>
        <x:v>4</x:v>
      </x:c>
      <x:c r="L130" s="9" t="str">
        <x:f>'Evaluation Plan'!L130</x:f>
        <x:v>1 — Seen-state black-cup baseline — Globally unseen category + seen state word (upside-down)</x:v>
      </x:c>
      <x:c r="M130" s="9" t="n">
        <x:f>'Evaluation Plan'!M130</x:f>
        <x:v>60</x:v>
      </x:c>
      <x:c r="N130" s="10" t="str">
        <x:f>'Evaluation Plan'!N130</x:f>
        <x:v>Build the listed scene with black cups A and B in opposite states on the queried axis.</x:v>
      </x:c>
      <x:c r="O130" s="10" t="str">
        <x:f>'Evaluation Plan'!O130</x:f>
        <x:v>The black category is novel, but the state word was explicitly seen during fine-tuning. Two black cups force state-based selection.</x:v>
      </x:c>
      <x:c r="P130" s="10" t="str">
        <x:f>IF('Evaluation Plan'!P130=0,"",'Evaluation Plan'!P130)</x:f>
      </x:c>
    </x:row>
    <x:row r="131" ht="58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Place the upright black cup in the bowl.</x:v>
      </x:c>
      <x:c r="D131" s="7" t="str">
        <x:f>'Evaluation Plan'!D131</x:f>
        <x:v>P1 glass spice container B (C, UD); P2 black cup A (C, UD) [STATE COMPETITOR]; P3 black cup B (C, UR) [TARGET]; P4 white cup A (O, UR)</x:v>
      </x:c>
      <x:c r="E131" s="8" t="n">
        <x:f>IF('Evaluation Plan'!H131="Exact-scene opposite-state contrast",'Evaluation Plan'!E131,IF('Evaluation Plan'!H131="Language robustness",'Evaluation Plan'!E131,IF('Evaluation Plan'!H131="Matched manipulation control",'Evaluation Plan'!E131,IF('Evaluation Plan'!H131="Black-cup held-out-state composition",'Evaluation Plan'!E131,""))))</x:f>
        <x:v>128</x:v>
      </x:c>
      <x:c r="F131" s="8" t="str">
        <x:f>'Evaluation Plan'!F131</x:f>
        <x:v>black cup B</x:v>
      </x:c>
      <x:c r="G131" s="7"/>
      <x:c r="H131" s="8" t="str">
        <x:f>'Evaluation Plan'!H131</x:f>
        <x:v>Black-cup held-out-state composition</x:v>
      </x:c>
      <x:c r="I131" s="8" t="str">
        <x:f>'Evaluation Plan'!I131</x:f>
        <x:v>SR-BLK10</x:v>
      </x:c>
      <x:c r="J131" s="8" t="str">
        <x:f>'Evaluation Plan'!J131</x:f>
        <x:v>upright</x:v>
      </x:c>
      <x:c r="K131" s="8" t="n">
        <x:f>'Evaluation Plan'!K131</x:f>
        <x:v>4</x:v>
      </x:c>
      <x:c r="L131" s="8" t="str">
        <x:f>'Evaluation Plan'!L131</x:f>
        <x:v>2 — Held-out-state black-cup composition — Globally unseen category + held-out state word (upright)</x:v>
      </x:c>
      <x:c r="M131" s="8" t="n">
        <x:f>'Evaluation Plan'!M131</x:f>
        <x:v>60</x:v>
      </x:c>
      <x:c r="N131" s="7" t="str">
        <x:f>'Evaluation Plan'!N131</x:f>
        <x:v>Reset black cup A to its marked position. Do not alter any object or state; only change the prompt and expected target.</x:v>
      </x:c>
      <x:c r="O131" s="7" t="str">
        <x:f>'Evaluation Plan'!O131</x:f>
        <x:v>Exact-scene comparison against the preceding seen-state baseline. The target switches to the other matched black cup.</x:v>
      </x:c>
      <x:c r="P131" s="7" t="str">
        <x:f>IF('Evaluation Plan'!P131=0,"",'Evaluation Plan'!P131)</x:f>
      </x:c>
    </x:row>
  </x:sheetData>
  <x:conditionalFormatting sqref="A2:P131">
    <x:cfRule type="expression" dxfId="12" priority="1">
      <x:formula>$A2="Success"</x:formula>
    </x:cfRule>
    <x:cfRule type="expression" dxfId="13" priority="2">
      <x:formula>$A2="Failure"</x:formula>
    </x:cfRule>
  </x:conditionalFormatting>
  <x:conditionalFormatting sqref="H2:H131">
    <x:cfRule type="containsText" dxfId="14" priority="3" operator="containsText" text="Exact-scene opposite-state contrast"/>
  </x:conditionalFormatting>
  <x:dataValidations count="1">
    <x:dataValidation type="list" sqref="A2:A13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3abd21de824c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42" hidden="0" customWidth="1"/>
    <x:col min="4" max="4" width="82" hidden="0" customWidth="1"/>
    <x:col min="5" max="5" width="13" hidden="0" customWidth="1"/>
    <x:col min="6" max="6" width="25" hidden="0" customWidth="1"/>
    <x:col min="7" max="7" width="42" hidden="0" customWidth="1"/>
    <x:col min="8" max="8" width="31" hidden="0" customWidth="1"/>
    <x:col min="9" max="9" width="13" hidden="0" customWidth="1"/>
    <x:col min="10" max="10" width="14" hidden="0" customWidth="1"/>
    <x:col min="11" max="11" width="12" hidden="0" customWidth="1"/>
    <x:col min="12" max="12" width="46" hidden="0" customWidth="1"/>
    <x:col min="13" max="13" width="12" hidden="0" customWidth="1"/>
    <x:col min="14" max="14" width="64" hidden="0" customWidth="1"/>
    <x:col min="15" max="15" width="66" hidden="0" customWidth="1"/>
    <x:col min="16" max="16" width="28" hidden="0" customWidth="1"/>
  </x:cols>
  <x:sheetData>
    <x:row r="1" ht="36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(P1-P4)</x:v>
      </x:c>
      <x:c r="E1" s="5" t="str">
        <x:v>Reference Episode</x:v>
      </x:c>
      <x:c r="F1" s="5" t="str">
        <x:v>Expected Target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Queried State</x:v>
      </x:c>
      <x:c r="K1" s="5" t="str">
        <x:v>Object Count</x:v>
      </x:c>
      <x:c r="L1" s="5" t="str">
        <x:v>Comparison / Subtype</x:v>
      </x:c>
      <x:c r="M1" s="5" t="str">
        <x:v>Collection Block</x:v>
      </x:c>
      <x:c r="N1" s="5" t="str">
        <x:v>Setup Change from Previous</x:v>
      </x:c>
      <x:c r="O1" s="5" t="str">
        <x:v>Design Note</x:v>
      </x:c>
      <x:c r="P1" s="5" t="str">
        <x:v>Reference Media Filename</x:v>
      </x:c>
    </x:row>
    <x:row r="2" ht="58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Place the closed white cup in the bowl.</x:v>
      </x:c>
      <x:c r="D2" s="10" t="str">
        <x:f>'Evaluation Plan'!D2</x:f>
        <x:v>P1 white cup A (C, UR) [TARGET]; P2 white cup B (O, UR) [STATE COMPETITOR]; P3 yellow-white striped cup A (O, UR)</x:v>
      </x:c>
      <x:c r="E2" s="9" t="str">
        <x:f>IF('Evaluation Plan'!H2="Exact-scene opposite-state contrast",'Evaluation Plan'!E2,IF('Evaluation Plan'!H2="Language robustness",'Evaluation Plan'!E2,IF('Evaluation Plan'!H2="Matched manipulation control",'Evaluation Plan'!E2,IF('Evaluation Plan'!H2="Black-cup held-out-state composition",'Evaluation Plan'!E2,""))))</x:f>
      </x:c>
      <x:c r="F2" s="9" t="str">
        <x:f>'Evaluation Plan'!F2</x:f>
        <x:v>white cup A</x:v>
      </x:c>
      <x:c r="G2" s="10"/>
      <x:c r="H2" s="9" t="str">
        <x:f>'Evaluation Plan'!H2</x:f>
        <x:v>Concept/compositional transfer</x:v>
      </x:c>
      <x:c r="I2" s="9" t="str">
        <x:f>'Evaluation Plan'!I2</x:f>
        <x:v>SR-F01</x:v>
      </x:c>
      <x:c r="J2" s="9" t="str">
        <x:f>'Evaluation Plan'!J2</x:f>
        <x:v>closed</x:v>
      </x:c>
      <x:c r="K2" s="9" t="n">
        <x:f>'Evaluation Plan'!K2</x:f>
        <x:v>3</x:v>
      </x:c>
      <x:c r="L2" s="9" t="str">
        <x:f>'Evaluation Plan'!L2</x:f>
        <x:v>1 — Canonical transfer — Held-out state word + known category (closed)</x:v>
      </x:c>
      <x:c r="M2" s="9" t="n">
        <x:f>'Evaluation Plan'!M2</x:f>
        <x:v>1</x:v>
      </x:c>
      <x:c r="N2" s="10" t="str">
        <x:f>'Evaluation Plan'!N2</x:f>
        <x:v>Build the marked same-category discrimination scene. Save a first-frame image or filename.</x:v>
      </x:c>
      <x:c r="O2" s="10" t="str">
        <x:f>'Evaluation Plan'!O2</x:f>
        <x:v>Two objects match the named category; only the state word selects the target. Target and competitor differ only on the queried state axis.</x:v>
      </x:c>
      <x:c r="P2" s="10" t="str">
        <x:f>IF('Evaluation Plan'!P2=0,"",'Evaluation Plan'!P2)</x:f>
      </x:c>
    </x:row>
    <x:row r="3" ht="58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Put the open white cup in the bowl.</x:v>
      </x:c>
      <x:c r="D3" s="7" t="str">
        <x:f>'Evaluation Plan'!D3</x:f>
        <x:v>P1 white cup A (C, UR) [STATE COMPETITOR]; P2 white cup B (O, UR) [TARGET]; P3 yellow-white striped cup A (O, UR)</x:v>
      </x:c>
      <x:c r="E3" s="8" t="n">
        <x:f>IF('Evaluation Plan'!H3="Exact-scene opposite-state contrast",'Evaluation Plan'!E3,IF('Evaluation Plan'!H3="Language robustness",'Evaluation Plan'!E3,IF('Evaluation Plan'!H3="Matched manipulation control",'Evaluation Plan'!E3,IF('Evaluation Plan'!H3="Black-cup held-out-state composition",'Evaluation Plan'!E3,""))))</x:f>
        <x:v>0</x:v>
      </x:c>
      <x:c r="F3" s="8" t="str">
        <x:f>'Evaluation Plan'!F3</x:f>
        <x:v>white cup B</x:v>
      </x:c>
      <x:c r="G3" s="7"/>
      <x:c r="H3" s="8" t="str">
        <x:f>'Evaluation Plan'!H3</x:f>
        <x:v>Exact-scene opposite-state contrast</x:v>
      </x:c>
      <x:c r="I3" s="8" t="str">
        <x:f>'Evaluation Plan'!I3</x:f>
        <x:v>SR-F01</x:v>
      </x:c>
      <x:c r="J3" s="8" t="str">
        <x:f>'Evaluation Plan'!J3</x:f>
        <x:v>open</x:v>
      </x:c>
      <x:c r="K3" s="8" t="n">
        <x:f>'Evaluation Plan'!K3</x:f>
        <x:v>3</x:v>
      </x:c>
      <x:c r="L3" s="8" t="str">
        <x:f>'Evaluation Plan'!L3</x:f>
        <x:v>2 — Exact-scene opposite-state contrast — State-word counterfactual (closed→open)</x:v>
      </x:c>
      <x:c r="M3" s="8" t="n">
        <x:f>'Evaluation Plan'!M3</x:f>
        <x:v>1</x:v>
      </x:c>
      <x:c r="N3" s="7" t="str">
        <x:f>'Evaluation Plan'!N3</x:f>
        <x:v>Reset the canonical target to its marked position. Preserve every object and state; change only the queried state word and expected target.</x:v>
      </x:c>
      <x:c r="O3" s="7" t="str">
        <x:f>'Evaluation Plan'!O3</x:f>
        <x:v>Exact-scene semantic counterfactual. The state word switches to the opposite state and the correct target switches to the other same-category instance.</x:v>
      </x:c>
      <x:c r="P3" s="7" t="str">
        <x:f>IF('Evaluation Plan'!P3=0,"",'Evaluation Plan'!P3)</x:f>
      </x:c>
    </x:row>
    <x:row r="4" ht="58" customHeight="1">
      <x:c r="A4" s="8" t="str">
        <x:v>Not collected</x:v>
      </x:c>
      <x:c r="B4" s="8" t="n">
        <x:f>'Evaluation Plan'!B4</x:f>
        <x:v>2</x:v>
      </x:c>
      <x:c r="C4" s="7" t="str">
        <x:f>'Evaluation Plan'!C4</x:f>
        <x:v>Move the white cup that is closed into the bowl.</x:v>
      </x:c>
      <x:c r="D4" s="7" t="str">
        <x:f>'Evaluation Plan'!D4</x:f>
        <x:v>P1 white cup A (C, UR) [TARGET]; P2 white cup B (O, UR) [STATE COMPETITOR]; P3 yellow-white striped cup A (O, UR)</x:v>
      </x:c>
      <x:c r="E4" s="8" t="n">
        <x:f>IF('Evaluation Plan'!H4="Exact-scene opposite-state contrast",'Evaluation Plan'!E4,IF('Evaluation Plan'!H4="Language robustness",'Evaluation Plan'!E4,IF('Evaluation Plan'!H4="Matched manipulation control",'Evaluation Plan'!E4,IF('Evaluation Plan'!H4="Black-cup held-out-state composition",'Evaluation Plan'!E4,""))))</x:f>
        <x:v>0</x:v>
      </x:c>
      <x:c r="F4" s="8" t="str">
        <x:f>'Evaluation Plan'!F4</x:f>
        <x:v>white cup A</x:v>
      </x:c>
      <x:c r="G4" s="7"/>
      <x:c r="H4" s="8" t="str">
        <x:f>'Evaluation Plan'!H4</x:f>
        <x:v>Language robustness</x:v>
      </x:c>
      <x:c r="I4" s="8" t="str">
        <x:f>'Evaluation Plan'!I4</x:f>
        <x:v>SR-F01</x:v>
      </x:c>
      <x:c r="J4" s="8" t="str">
        <x:f>'Evaluation Plan'!J4</x:f>
        <x:v>closed</x:v>
      </x:c>
      <x:c r="K4" s="8" t="n">
        <x:f>'Evaluation Plan'!K4</x:f>
        <x:v>3</x:v>
      </x:c>
      <x:c r="L4" s="8" t="str">
        <x:f>'Evaluation Plan'!L4</x:f>
        <x:v>3 — Exact-scene transfer paraphrase — Paraphrase of concept/compositional-transfer prompt</x:v>
      </x:c>
      <x:c r="M4" s="8" t="n">
        <x:f>'Evaluation Plan'!M4</x:f>
        <x:v>1</x:v>
      </x:c>
      <x:c r="N4" s="7" t="str">
        <x:f>'Evaluation Plan'!N4</x:f>
        <x:v>Reset only the moved target; change only the prompt wording.</x:v>
      </x:c>
      <x:c r="O4" s="7" t="str">
        <x:f>'Evaluation Plan'!O4</x:f>
        <x:v>Exact-scene language pair for the state-bearing transfer prompt.</x:v>
      </x:c>
      <x:c r="P4" s="7" t="str">
        <x:f>IF('Evaluation Plan'!P4=0,"",'Evaluation Plan'!P4)</x:f>
      </x:c>
    </x:row>
    <x:row r="5" ht="58" customHeight="1">
      <x:c r="A5" s="8" t="str">
        <x:v>Not collected</x:v>
      </x:c>
      <x:c r="B5" s="8" t="n">
        <x:f>'Evaluation Plan'!B5</x:f>
        <x:v>3</x:v>
      </x:c>
      <x:c r="C5" s="7" t="str">
        <x:f>'Evaluation Plan'!C5</x:f>
        <x:v>Place the white cup in the bowl.</x:v>
      </x:c>
      <x:c r="D5" s="7" t="str">
        <x:f>'Evaluation Plan'!D5</x:f>
        <x:v>P1 white cup A (C, UR) [TARGET]; P2 brown cup B (O, UR) [NEUTRAL REPLACEMENT]; P3 yellow-white striped cup A (O, UR)</x:v>
      </x:c>
      <x:c r="E5" s="8" t="n">
        <x:f>IF('Evaluation Plan'!H5="Exact-scene opposite-state contrast",'Evaluation Plan'!E5,IF('Evaluation Plan'!H5="Language robustness",'Evaluation Plan'!E5,IF('Evaluation Plan'!H5="Matched manipulation control",'Evaluation Plan'!E5,IF('Evaluation Plan'!H5="Black-cup held-out-state composition",'Evaluation Plan'!E5,""))))</x:f>
        <x:v>0</x:v>
      </x:c>
      <x:c r="F5" s="8" t="str">
        <x:f>'Evaluation Plan'!F5</x:f>
        <x:v>white cup A</x:v>
      </x:c>
      <x:c r="G5" s="7"/>
      <x:c r="H5" s="8" t="str">
        <x:f>'Evaluation Plan'!H5</x:f>
        <x:v>Matched manipulation control</x:v>
      </x:c>
      <x:c r="I5" s="8" t="str">
        <x:f>'Evaluation Plan'!I5</x:f>
        <x:v>SR-F01</x:v>
      </x:c>
      <x:c r="J5" s="8" t="str">
        <x:f>'Evaluation Plan'!J5</x:f>
        <x:v>closed</x:v>
      </x:c>
      <x:c r="K5" s="8" t="n">
        <x:f>'Evaluation Plan'!K5</x:f>
        <x:v>3</x:v>
      </x:c>
      <x:c r="L5" s="8" t="str">
        <x:f>'Evaluation Plan'!L5</x:f>
        <x:v>4 — Matched control — Category-only control with 3 objects</x:v>
      </x:c>
      <x:c r="M5" s="8" t="n">
        <x:f>'Evaluation Plan'!M5</x:f>
        <x:v>1</x:v>
      </x:c>
      <x:c r="N5" s="7" t="str">
        <x:f>'Evaluation Plan'!N5</x:f>
        <x:v>Reset the target; replace the same-category state competitor with brown cup B at the same position. Keep object count, other objects, camera, and bowl fixed.</x:v>
      </x:c>
      <x:c r="O5" s="7" t="str">
        <x:f>'Evaluation Plan'!O5</x:f>
        <x:v>The neutral replacement removes category ambiguity without changing the three- or four-object set size.</x:v>
      </x:c>
      <x:c r="P5" s="7" t="str">
        <x:f>IF('Evaluation Plan'!P5=0,"",'Evaluation Plan'!P5)</x:f>
      </x:c>
    </x:row>
    <x:row r="6" ht="58" customHeight="1">
      <x:c r="A6" s="9" t="str">
        <x:v>Not collected</x:v>
      </x:c>
      <x:c r="B6" s="9" t="n">
        <x:f>'Evaluation Plan'!B6</x:f>
        <x:v>4</x:v>
      </x:c>
      <x:c r="C6" s="10" t="str">
        <x:f>'Evaluation Plan'!C6</x:f>
        <x:v>Put the open yellow-white striped cup in the bowl.</x:v>
      </x:c>
      <x:c r="D6" s="10" t="str">
        <x:f>'Evaluation Plan'!D6</x:f>
        <x:v>P1 white cup B (C, UD); P2 yellow-white striped cup B (O, UD) [TARGET]; P3 yellow-white striped cup A (C, UD) [STATE COMPETITOR]</x:v>
      </x:c>
      <x:c r="E6" s="9" t="str">
        <x:f>IF('Evaluation Plan'!H6="Exact-scene opposite-state contrast",'Evaluation Plan'!E6,IF('Evaluation Plan'!H6="Language robustness",'Evaluation Plan'!E6,IF('Evaluation Plan'!H6="Matched manipulation control",'Evaluation Plan'!E6,IF('Evaluation Plan'!H6="Black-cup held-out-state composition",'Evaluation Plan'!E6,""))))</x:f>
      </x:c>
      <x:c r="F6" s="9" t="str">
        <x:f>'Evaluation Plan'!F6</x:f>
        <x:v>yellow-white striped cup B</x:v>
      </x:c>
      <x:c r="G6" s="10"/>
      <x:c r="H6" s="9" t="str">
        <x:f>'Evaluation Plan'!H6</x:f>
        <x:v>Concept/compositional transfer</x:v>
      </x:c>
      <x:c r="I6" s="9" t="str">
        <x:f>'Evaluation Plan'!I6</x:f>
        <x:v>SR-F02</x:v>
      </x:c>
      <x:c r="J6" s="9" t="str">
        <x:f>'Evaluation Plan'!J6</x:f>
        <x:v>open</x:v>
      </x:c>
      <x:c r="K6" s="9" t="n">
        <x:f>'Evaluation Plan'!K6</x:f>
        <x:v>3</x:v>
      </x:c>
      <x:c r="L6" s="9" t="str">
        <x:f>'Evaluation Plan'!L6</x:f>
        <x:v>1 — Canonical transfer — Seen state word in a new scene (open)</x:v>
      </x:c>
      <x:c r="M6" s="9" t="n">
        <x:f>'Evaluation Plan'!M6</x:f>
        <x:v>2</x:v>
      </x:c>
      <x:c r="N6" s="10" t="str">
        <x:f>'Evaluation Plan'!N6</x:f>
        <x:v>Build the marked same-category discrimination scene. Save a first-frame image or filename.</x:v>
      </x:c>
      <x:c r="O6" s="10" t="str">
        <x:f>'Evaluation Plan'!O6</x:f>
        <x:v>Two objects match the named category; only the state word selects the target. Target and competitor differ only on the queried state axis.</x:v>
      </x:c>
      <x:c r="P6" s="10" t="str">
        <x:f>IF('Evaluation Plan'!P6=0,"",'Evaluation Plan'!P6)</x:f>
      </x:c>
    </x:row>
    <x:row r="7" ht="58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Move the closed yellow-white striped cup into the bowl.</x:v>
      </x:c>
      <x:c r="D7" s="7" t="str">
        <x:f>'Evaluation Plan'!D7</x:f>
        <x:v>P1 white cup B (C, UD); P2 yellow-white striped cup B (O, UD) [STATE COMPETITOR]; P3 yellow-white striped cup A (C, UD) [TARGET]</x:v>
      </x:c>
      <x:c r="E7" s="8" t="n">
        <x:f>IF('Evaluation Plan'!H7="Exact-scene opposite-state contrast",'Evaluation Plan'!E7,IF('Evaluation Plan'!H7="Language robustness",'Evaluation Plan'!E7,IF('Evaluation Plan'!H7="Matched manipulation control",'Evaluation Plan'!E7,IF('Evaluation Plan'!H7="Black-cup held-out-state composition",'Evaluation Plan'!E7,""))))</x:f>
        <x:v>4</x:v>
      </x:c>
      <x:c r="F7" s="8" t="str">
        <x:f>'Evaluation Plan'!F7</x:f>
        <x:v>yellow-white striped cup A</x:v>
      </x:c>
      <x:c r="G7" s="7"/>
      <x:c r="H7" s="8" t="str">
        <x:f>'Evaluation Plan'!H7</x:f>
        <x:v>Exact-scene opposite-state contrast</x:v>
      </x:c>
      <x:c r="I7" s="8" t="str">
        <x:f>'Evaluation Plan'!I7</x:f>
        <x:v>SR-F02</x:v>
      </x:c>
      <x:c r="J7" s="8" t="str">
        <x:f>'Evaluation Plan'!J7</x:f>
        <x:v>closed</x:v>
      </x:c>
      <x:c r="K7" s="8" t="n">
        <x:f>'Evaluation Plan'!K7</x:f>
        <x:v>3</x:v>
      </x:c>
      <x:c r="L7" s="8" t="str">
        <x:f>'Evaluation Plan'!L7</x:f>
        <x:v>2 — Exact-scene opposite-state contrast — State-word counterfactual (open→closed)</x:v>
      </x:c>
      <x:c r="M7" s="8" t="n">
        <x:f>'Evaluation Plan'!M7</x:f>
        <x:v>2</x:v>
      </x:c>
      <x:c r="N7" s="7" t="str">
        <x:f>'Evaluation Plan'!N7</x:f>
        <x:v>Reset the canonical target to its marked position. Preserve every object and state; change only the queried state word and expected target.</x:v>
      </x:c>
      <x:c r="O7" s="7" t="str">
        <x:f>'Evaluation Plan'!O7</x:f>
        <x:v>Exact-scene semantic counterfactual. The state word switches to the opposite state and the correct target switches to the other same-category instance.</x:v>
      </x:c>
      <x:c r="P7" s="7" t="str">
        <x:f>IF('Evaluation Plan'!P7=0,"",'Evaluation Plan'!P7)</x:f>
      </x:c>
    </x:row>
    <x:row r="8" ht="58" customHeight="1">
      <x:c r="A8" s="8" t="str">
        <x:v>Not collected</x:v>
      </x:c>
      <x:c r="B8" s="8" t="n">
        <x:f>'Evaluation Plan'!B8</x:f>
        <x:v>6</x:v>
      </x:c>
      <x:c r="C8" s="7" t="str">
        <x:f>'Evaluation Plan'!C8</x:f>
        <x:v>Put the yellow-white striped cup with its opening uncovered in the bowl.</x:v>
      </x:c>
      <x:c r="D8" s="7" t="str">
        <x:f>'Evaluation Plan'!D8</x:f>
        <x:v>P1 white cup B (C, UD); P2 yellow-white striped cup B (O, UD) [TARGET]; P3 yellow-white striped cup A (C, UD) [STATE COMPETITOR]</x:v>
      </x:c>
      <x:c r="E8" s="8" t="n">
        <x:f>IF('Evaluation Plan'!H8="Exact-scene opposite-state contrast",'Evaluation Plan'!E8,IF('Evaluation Plan'!H8="Language robustness",'Evaluation Plan'!E8,IF('Evaluation Plan'!H8="Matched manipulation control",'Evaluation Plan'!E8,IF('Evaluation Plan'!H8="Black-cup held-out-state composition",'Evaluation Plan'!E8,""))))</x:f>
        <x:v>4</x:v>
      </x:c>
      <x:c r="F8" s="8" t="str">
        <x:f>'Evaluation Plan'!F8</x:f>
        <x:v>yellow-white striped cup B</x:v>
      </x:c>
      <x:c r="G8" s="7"/>
      <x:c r="H8" s="8" t="str">
        <x:f>'Evaluation Plan'!H8</x:f>
        <x:v>Language robustness</x:v>
      </x:c>
      <x:c r="I8" s="8" t="str">
        <x:f>'Evaluation Plan'!I8</x:f>
        <x:v>SR-F02</x:v>
      </x:c>
      <x:c r="J8" s="8" t="str">
        <x:f>'Evaluation Plan'!J8</x:f>
        <x:v>open</x:v>
      </x:c>
      <x:c r="K8" s="8" t="n">
        <x:f>'Evaluation Plan'!K8</x:f>
        <x:v>3</x:v>
      </x:c>
      <x:c r="L8" s="8" t="str">
        <x:f>'Evaluation Plan'!L8</x:f>
        <x:v>3 — Exact-scene transfer paraphrase — Paraphrase of concept/compositional-transfer prompt</x:v>
      </x:c>
      <x:c r="M8" s="8" t="n">
        <x:f>'Evaluation Plan'!M8</x:f>
        <x:v>2</x:v>
      </x:c>
      <x:c r="N8" s="7" t="str">
        <x:f>'Evaluation Plan'!N8</x:f>
        <x:v>Reset only the moved target; change only the prompt wording.</x:v>
      </x:c>
      <x:c r="O8" s="7" t="str">
        <x:f>'Evaluation Plan'!O8</x:f>
        <x:v>Exact-scene language pair for the state-bearing transfer prompt.</x:v>
      </x:c>
      <x:c r="P8" s="7" t="str">
        <x:f>IF('Evaluation Plan'!P8=0,"",'Evaluation Plan'!P8)</x:f>
      </x:c>
    </x:row>
    <x:row r="9" ht="58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Put the yellow-white striped cup in the bowl.</x:v>
      </x:c>
      <x:c r="D9" s="7" t="str">
        <x:f>'Evaluation Plan'!D9</x:f>
        <x:v>P1 white cup B (C, UD); P2 yellow-white striped cup B (O, UD) [TARGET]; P3 glass spice container A (C, UD) [NEUTRAL REPLACEMENT]</x:v>
      </x:c>
      <x:c r="E9" s="8" t="n">
        <x:f>IF('Evaluation Plan'!H9="Exact-scene opposite-state contrast",'Evaluation Plan'!E9,IF('Evaluation Plan'!H9="Language robustness",'Evaluation Plan'!E9,IF('Evaluation Plan'!H9="Matched manipulation control",'Evaluation Plan'!E9,IF('Evaluation Plan'!H9="Black-cup held-out-state composition",'Evaluation Plan'!E9,""))))</x:f>
        <x:v>4</x:v>
      </x:c>
      <x:c r="F9" s="8" t="str">
        <x:f>'Evaluation Plan'!F9</x:f>
        <x:v>yellow-white striped cup B</x:v>
      </x:c>
      <x:c r="G9" s="7"/>
      <x:c r="H9" s="8" t="str">
        <x:f>'Evaluation Plan'!H9</x:f>
        <x:v>Matched manipulation control</x:v>
      </x:c>
      <x:c r="I9" s="8" t="str">
        <x:f>'Evaluation Plan'!I9</x:f>
        <x:v>SR-F02</x:v>
      </x:c>
      <x:c r="J9" s="8" t="str">
        <x:f>'Evaluation Plan'!J9</x:f>
        <x:v>open</x:v>
      </x:c>
      <x:c r="K9" s="8" t="n">
        <x:f>'Evaluation Plan'!K9</x:f>
        <x:v>3</x:v>
      </x:c>
      <x:c r="L9" s="8" t="str">
        <x:f>'Evaluation Plan'!L9</x:f>
        <x:v>4 — Matched control — Category-only control with 3 objects</x:v>
      </x:c>
      <x:c r="M9" s="8" t="n">
        <x:f>'Evaluation Plan'!M9</x:f>
        <x:v>2</x:v>
      </x:c>
      <x:c r="N9" s="7" t="str">
        <x:f>'Evaluation Plan'!N9</x:f>
        <x:v>Reset the target; replace the same-category state competitor with glass spice container A at the same position. Keep object count, other objects, camera, and bowl fixed.</x:v>
      </x:c>
      <x:c r="O9" s="7" t="str">
        <x:f>'Evaluation Plan'!O9</x:f>
        <x:v>The neutral replacement removes category ambiguity without changing the three- or four-object set size.</x:v>
      </x:c>
      <x:c r="P9" s="7" t="str">
        <x:f>IF('Evaluation Plan'!P9=0,"",'Evaluation Plan'!P9)</x:f>
      </x:c>
    </x:row>
    <x:row r="10" ht="58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Move the upright brown cup into the bowl.</x:v>
      </x:c>
      <x:c r="D10" s="10" t="str">
        <x:f>'Evaluation Plan'!D10</x:f>
        <x:v>P1 brown cup B (O, UD) [STATE COMPETITOR]; P2 white cup B (C, UD); P3 brown cup A (O, UR) [TARGET]</x:v>
      </x:c>
      <x:c r="E10" s="9" t="str">
        <x:f>IF('Evaluation Plan'!H10="Exact-scene opposite-state contrast",'Evaluation Plan'!E10,IF('Evaluation Plan'!H10="Language robustness",'Evaluation Plan'!E10,IF('Evaluation Plan'!H10="Matched manipulation control",'Evaluation Plan'!E10,IF('Evaluation Plan'!H10="Black-cup held-out-state composition",'Evaluation Plan'!E10,""))))</x:f>
      </x:c>
      <x:c r="F10" s="9" t="str">
        <x:f>'Evaluation Plan'!F10</x:f>
        <x:v>brown cup A</x:v>
      </x:c>
      <x:c r="G10" s="10"/>
      <x:c r="H10" s="9" t="str">
        <x:f>'Evaluation Plan'!H10</x:f>
        <x:v>Concept/compositional transfer</x:v>
      </x:c>
      <x:c r="I10" s="9" t="str">
        <x:f>'Evaluation Plan'!I10</x:f>
        <x:v>SR-F03</x:v>
      </x:c>
      <x:c r="J10" s="9" t="str">
        <x:f>'Evaluation Plan'!J10</x:f>
        <x:v>upright</x:v>
      </x:c>
      <x:c r="K10" s="9" t="n">
        <x:f>'Evaluation Plan'!K10</x:f>
        <x:v>3</x:v>
      </x:c>
      <x:c r="L10" s="9" t="str">
        <x:f>'Evaluation Plan'!L10</x:f>
        <x:v>1 — Canonical transfer — Held-out state word + known category (upright)</x:v>
      </x:c>
      <x:c r="M10" s="9" t="n">
        <x:f>'Evaluation Plan'!M10</x:f>
        <x:v>3</x:v>
      </x:c>
      <x:c r="N10" s="10" t="str">
        <x:f>'Evaluation Plan'!N10</x:f>
        <x:v>Build the marked same-category discrimination scene. Save a first-frame image or filename.</x:v>
      </x:c>
      <x:c r="O10" s="10" t="str">
        <x:f>'Evaluation Plan'!O10</x:f>
        <x:v>Two objects match the named category; only the state word selects the target. Target and competitor differ only on the queried state axis.</x:v>
      </x:c>
      <x:c r="P10" s="10" t="str">
        <x:f>IF('Evaluation Plan'!P10=0,"",'Evaluation Plan'!P10)</x:f>
      </x:c>
    </x:row>
    <x:row r="11" ht="58" customHeight="1">
      <x:c r="A11" s="8" t="str">
        <x:v>Not collected</x:v>
      </x:c>
      <x:c r="B11" s="8" t="n">
        <x:f>'Evaluation Plan'!B11</x:f>
        <x:v>9</x:v>
      </x:c>
      <x:c r="C11" s="7" t="str">
        <x:f>'Evaluation Plan'!C11</x:f>
        <x:v>Place the upside-down brown cup in the bowl.</x:v>
      </x:c>
      <x:c r="D11" s="7" t="str">
        <x:f>'Evaluation Plan'!D11</x:f>
        <x:v>P1 brown cup B (O, UD) [TARGET]; P2 white cup B (C, UD); P3 brown cup A (O, UR) [STATE COMPETITOR]</x:v>
      </x:c>
      <x:c r="E11" s="8" t="n">
        <x:f>IF('Evaluation Plan'!H11="Exact-scene opposite-state contrast",'Evaluation Plan'!E11,IF('Evaluation Plan'!H11="Language robustness",'Evaluation Plan'!E11,IF('Evaluation Plan'!H11="Matched manipulation control",'Evaluation Plan'!E11,IF('Evaluation Plan'!H11="Black-cup held-out-state composition",'Evaluation Plan'!E11,""))))</x:f>
        <x:v>8</x:v>
      </x:c>
      <x:c r="F11" s="8" t="str">
        <x:f>'Evaluation Plan'!F11</x:f>
        <x:v>brown cup B</x:v>
      </x:c>
      <x:c r="G11" s="7"/>
      <x:c r="H11" s="8" t="str">
        <x:f>'Evaluation Plan'!H11</x:f>
        <x:v>Exact-scene opposite-state contrast</x:v>
      </x:c>
      <x:c r="I11" s="8" t="str">
        <x:f>'Evaluation Plan'!I11</x:f>
        <x:v>SR-F03</x:v>
      </x:c>
      <x:c r="J11" s="8" t="str">
        <x:f>'Evaluation Plan'!J11</x:f>
        <x:v>upside-down</x:v>
      </x:c>
      <x:c r="K11" s="8" t="n">
        <x:f>'Evaluation Plan'!K11</x:f>
        <x:v>3</x:v>
      </x:c>
      <x:c r="L11" s="8" t="str">
        <x:f>'Evaluation Plan'!L11</x:f>
        <x:v>2 — Exact-scene opposite-state contrast — State-word counterfactual (upright→upside-down)</x:v>
      </x:c>
      <x:c r="M11" s="8" t="n">
        <x:f>'Evaluation Plan'!M11</x:f>
        <x:v>3</x:v>
      </x:c>
      <x:c r="N11" s="7" t="str">
        <x:f>'Evaluation Plan'!N11</x:f>
        <x:v>Reset the canonical target to its marked position. Preserve every object and state; change only the queried state word and expected target.</x:v>
      </x:c>
      <x:c r="O11" s="7" t="str">
        <x:f>'Evaluation Plan'!O11</x:f>
        <x:v>Exact-scene semantic counterfactual. The state word switches to the opposite state and the correct target switches to the other same-category instance.</x:v>
      </x:c>
      <x:c r="P11" s="7" t="str">
        <x:f>IF('Evaluation Plan'!P11=0,"",'Evaluation Plan'!P11)</x:f>
      </x:c>
    </x:row>
    <x:row r="12" ht="58" customHeight="1">
      <x:c r="A12" s="8" t="str">
        <x:v>Not collected</x:v>
      </x:c>
      <x:c r="B12" s="8" t="n">
        <x:f>'Evaluation Plan'!B12</x:f>
        <x:v>10</x:v>
      </x:c>
      <x:c r="C12" s="7" t="str">
        <x:f>'Evaluation Plan'!C12</x:f>
        <x:v>Find the upright brown cup and place it in the bowl.</x:v>
      </x:c>
      <x:c r="D12" s="7" t="str">
        <x:f>'Evaluation Plan'!D12</x:f>
        <x:v>P1 brown cup B (O, UD) [STATE COMPETITOR]; P2 white cup B (C, UD); P3 brown cup A (O, UR) [TARGET]</x:v>
      </x:c>
      <x:c r="E12" s="8" t="n">
        <x:f>IF('Evaluation Plan'!H12="Exact-scene opposite-state contrast",'Evaluation Plan'!E12,IF('Evaluation Plan'!H12="Language robustness",'Evaluation Plan'!E12,IF('Evaluation Plan'!H12="Matched manipulation control",'Evaluation Plan'!E12,IF('Evaluation Plan'!H12="Black-cup held-out-state composition",'Evaluation Plan'!E12,""))))</x:f>
        <x:v>8</x:v>
      </x:c>
      <x:c r="F12" s="8" t="str">
        <x:f>'Evaluation Plan'!F12</x:f>
        <x:v>brown cup A</x:v>
      </x:c>
      <x:c r="G12" s="7"/>
      <x:c r="H12" s="8" t="str">
        <x:f>'Evaluation Plan'!H12</x:f>
        <x:v>Language robustness</x:v>
      </x:c>
      <x:c r="I12" s="8" t="str">
        <x:f>'Evaluation Plan'!I12</x:f>
        <x:v>SR-F03</x:v>
      </x:c>
      <x:c r="J12" s="8" t="str">
        <x:f>'Evaluation Plan'!J12</x:f>
        <x:v>upright</x:v>
      </x:c>
      <x:c r="K12" s="8" t="n">
        <x:f>'Evaluation Plan'!K12</x:f>
        <x:v>3</x:v>
      </x:c>
      <x:c r="L12" s="8" t="str">
        <x:f>'Evaluation Plan'!L12</x:f>
        <x:v>3 — Exact-scene transfer paraphrase — Paraphrase of concept/compositional-transfer prompt</x:v>
      </x:c>
      <x:c r="M12" s="8" t="n">
        <x:f>'Evaluation Plan'!M12</x:f>
        <x:v>3</x:v>
      </x:c>
      <x:c r="N12" s="7" t="str">
        <x:f>'Evaluation Plan'!N12</x:f>
        <x:v>Reset only the moved target; change only the prompt wording.</x:v>
      </x:c>
      <x:c r="O12" s="7" t="str">
        <x:f>'Evaluation Plan'!O12</x:f>
        <x:v>Exact-scene language pair for the state-bearing transfer prompt.</x:v>
      </x:c>
      <x:c r="P12" s="7" t="str">
        <x:f>IF('Evaluation Plan'!P12=0,"",'Evaluation Plan'!P12)</x:f>
      </x:c>
    </x:row>
    <x:row r="13" ht="58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Move the brown cup into the bowl.</x:v>
      </x:c>
      <x:c r="D13" s="7" t="str">
        <x:f>'Evaluation Plan'!D13</x:f>
        <x:v>P1 yellow-white striped cup B (O, UD) [NEUTRAL REPLACEMENT]; P2 white cup B (C, UD); P3 brown cup A (O, UR) [TARGET]</x:v>
      </x:c>
      <x:c r="E13" s="8" t="n">
        <x:f>IF('Evaluation Plan'!H13="Exact-scene opposite-state contrast",'Evaluation Plan'!E13,IF('Evaluation Plan'!H13="Language robustness",'Evaluation Plan'!E13,IF('Evaluation Plan'!H13="Matched manipulation control",'Evaluation Plan'!E13,IF('Evaluation Plan'!H13="Black-cup held-out-state composition",'Evaluation Plan'!E13,""))))</x:f>
        <x:v>8</x:v>
      </x:c>
      <x:c r="F13" s="8" t="str">
        <x:f>'Evaluation Plan'!F13</x:f>
        <x:v>brown cup A</x:v>
      </x:c>
      <x:c r="G13" s="7"/>
      <x:c r="H13" s="8" t="str">
        <x:f>'Evaluation Plan'!H13</x:f>
        <x:v>Matched manipulation control</x:v>
      </x:c>
      <x:c r="I13" s="8" t="str">
        <x:f>'Evaluation Plan'!I13</x:f>
        <x:v>SR-F03</x:v>
      </x:c>
      <x:c r="J13" s="8" t="str">
        <x:f>'Evaluation Plan'!J13</x:f>
        <x:v>upright</x:v>
      </x:c>
      <x:c r="K13" s="8" t="n">
        <x:f>'Evaluation Plan'!K13</x:f>
        <x:v>3</x:v>
      </x:c>
      <x:c r="L13" s="8" t="str">
        <x:f>'Evaluation Plan'!L13</x:f>
        <x:v>4 — Matched control — Category-only control with 3 objects</x:v>
      </x:c>
      <x:c r="M13" s="8" t="n">
        <x:f>'Evaluation Plan'!M13</x:f>
        <x:v>3</x:v>
      </x:c>
      <x:c r="N13" s="7" t="str">
        <x:f>'Evaluation Plan'!N13</x:f>
        <x:v>Reset the target; replace the same-category state competitor with yellow-white striped cup B at the same position. Keep object count, other objects, camera, and bowl fixed.</x:v>
      </x:c>
      <x:c r="O13" s="7" t="str">
        <x:f>'Evaluation Plan'!O13</x:f>
        <x:v>The neutral replacement removes category ambiguity without changing the three- or four-object set size.</x:v>
      </x:c>
      <x:c r="P13" s="7" t="str">
        <x:f>IF('Evaluation Plan'!P13=0,"",'Evaluation Plan'!P13)</x:f>
      </x:c>
    </x:row>
    <x:row r="14" ht="58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Place the upside-down glass spice container in the bowl.</x:v>
      </x:c>
      <x:c r="D14" s="10" t="str">
        <x:f>'Evaluation Plan'!D14</x:f>
        <x:v>P1 glass spice container B (C, UD) [TARGET]; P2 glass spice container A (C, UR) [STATE COMPETITOR]; P3 white cup B (C, UD)</x:v>
      </x:c>
      <x:c r="E14" s="9" t="str">
        <x:f>IF('Evaluation Plan'!H14="Exact-scene opposite-state contrast",'Evaluation Plan'!E14,IF('Evaluation Plan'!H14="Language robustness",'Evaluation Plan'!E14,IF('Evaluation Plan'!H14="Matched manipulation control",'Evaluation Plan'!E14,IF('Evaluation Plan'!H14="Black-cup held-out-state composition",'Evaluation Plan'!E14,""))))</x:f>
      </x:c>
      <x:c r="F14" s="9" t="str">
        <x:f>'Evaluation Plan'!F14</x:f>
        <x:v>glass spice container B</x:v>
      </x:c>
      <x:c r="G14" s="10"/>
      <x:c r="H14" s="9" t="str">
        <x:f>'Evaluation Plan'!H14</x:f>
        <x:v>Concept/compositional transfer</x:v>
      </x:c>
      <x:c r="I14" s="9" t="str">
        <x:f>'Evaluation Plan'!I14</x:f>
        <x:v>SR-F04</x:v>
      </x:c>
      <x:c r="J14" s="9" t="str">
        <x:f>'Evaluation Plan'!J14</x:f>
        <x:v>upside-down</x:v>
      </x:c>
      <x:c r="K14" s="9" t="n">
        <x:f>'Evaluation Plan'!K14</x:f>
        <x:v>3</x:v>
      </x:c>
      <x:c r="L14" s="9" t="str">
        <x:f>'Evaluation Plan'!L14</x:f>
        <x:v>1 — Canonical transfer — Seen state word in a new scene (upside-down)</x:v>
      </x:c>
      <x:c r="M14" s="9" t="n">
        <x:f>'Evaluation Plan'!M14</x:f>
        <x:v>4</x:v>
      </x:c>
      <x:c r="N14" s="10" t="str">
        <x:f>'Evaluation Plan'!N14</x:f>
        <x:v>Build the marked same-category discrimination scene. Save a first-frame image or filename.</x:v>
      </x:c>
      <x:c r="O14" s="10" t="str">
        <x:f>'Evaluation Plan'!O14</x:f>
        <x:v>Two objects match the named category; only the state word selects the target. Target and competitor differ only on the queried state axis.</x:v>
      </x:c>
      <x:c r="P14" s="10" t="str">
        <x:f>IF('Evaluation Plan'!P14=0,"",'Evaluation Plan'!P14)</x:f>
      </x:c>
    </x:row>
    <x:row r="15" ht="58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Put the upright glass spice container in the bowl.</x:v>
      </x:c>
      <x:c r="D15" s="7" t="str">
        <x:f>'Evaluation Plan'!D15</x:f>
        <x:v>P1 glass spice container B (C, UD) [STATE COMPETITOR]; P2 glass spice container A (C, UR) [TARGET]; P3 white cup B (C, UD)</x:v>
      </x:c>
      <x:c r="E15" s="8" t="n">
        <x:f>IF('Evaluation Plan'!H15="Exact-scene opposite-state contrast",'Evaluation Plan'!E15,IF('Evaluation Plan'!H15="Language robustness",'Evaluation Plan'!E15,IF('Evaluation Plan'!H15="Matched manipulation control",'Evaluation Plan'!E15,IF('Evaluation Plan'!H15="Black-cup held-out-state composition",'Evaluation Plan'!E15,""))))</x:f>
        <x:v>12</x:v>
      </x:c>
      <x:c r="F15" s="8" t="str">
        <x:f>'Evaluation Plan'!F15</x:f>
        <x:v>glass spice container A</x:v>
      </x:c>
      <x:c r="G15" s="7"/>
      <x:c r="H15" s="8" t="str">
        <x:f>'Evaluation Plan'!H15</x:f>
        <x:v>Exact-scene opposite-state contrast</x:v>
      </x:c>
      <x:c r="I15" s="8" t="str">
        <x:f>'Evaluation Plan'!I15</x:f>
        <x:v>SR-F04</x:v>
      </x:c>
      <x:c r="J15" s="8" t="str">
        <x:f>'Evaluation Plan'!J15</x:f>
        <x:v>upright</x:v>
      </x:c>
      <x:c r="K15" s="8" t="n">
        <x:f>'Evaluation Plan'!K15</x:f>
        <x:v>3</x:v>
      </x:c>
      <x:c r="L15" s="8" t="str">
        <x:f>'Evaluation Plan'!L15</x:f>
        <x:v>2 — Exact-scene opposite-state contrast — State-word counterfactual (upside-down→upright)</x:v>
      </x:c>
      <x:c r="M15" s="8" t="n">
        <x:f>'Evaluation Plan'!M15</x:f>
        <x:v>4</x:v>
      </x:c>
      <x:c r="N15" s="7" t="str">
        <x:f>'Evaluation Plan'!N15</x:f>
        <x:v>Reset the canonical target to its marked position. Preserve every object and state; change only the queried state word and expected target.</x:v>
      </x:c>
      <x:c r="O15" s="7" t="str">
        <x:f>'Evaluation Plan'!O15</x:f>
        <x:v>Exact-scene semantic counterfactual. The state word switches to the opposite state and the correct target switches to the other same-category instance.</x:v>
      </x:c>
      <x:c r="P15" s="7" t="str">
        <x:f>IF('Evaluation Plan'!P15=0,"",'Evaluation Plan'!P15)</x:f>
      </x:c>
    </x:row>
    <x:row r="16" ht="58" customHeight="1">
      <x:c r="A16" s="8" t="str">
        <x:v>Not collected</x:v>
      </x:c>
      <x:c r="B16" s="8" t="n">
        <x:f>'Evaluation Plan'!B16</x:f>
        <x:v>14</x:v>
      </x:c>
      <x:c r="C16" s="7" t="str">
        <x:f>'Evaluation Plan'!C16</x:f>
        <x:v>Place the overturned glass spice container in the bowl.</x:v>
      </x:c>
      <x:c r="D16" s="7" t="str">
        <x:f>'Evaluation Plan'!D16</x:f>
        <x:v>P1 glass spice container B (C, UD) [TARGET]; P2 glass spice container A (C, UR) [STATE COMPETITOR]; P3 white cup B (C, UD)</x:v>
      </x:c>
      <x:c r="E16" s="8" t="n">
        <x:f>IF('Evaluation Plan'!H16="Exact-scene opposite-state contrast",'Evaluation Plan'!E16,IF('Evaluation Plan'!H16="Language robustness",'Evaluation Plan'!E16,IF('Evaluation Plan'!H16="Matched manipulation control",'Evaluation Plan'!E16,IF('Evaluation Plan'!H16="Black-cup held-out-state composition",'Evaluation Plan'!E16,""))))</x:f>
        <x:v>12</x:v>
      </x:c>
      <x:c r="F16" s="8" t="str">
        <x:f>'Evaluation Plan'!F16</x:f>
        <x:v>glass spice container B</x:v>
      </x:c>
      <x:c r="G16" s="7"/>
      <x:c r="H16" s="8" t="str">
        <x:f>'Evaluation Plan'!H16</x:f>
        <x:v>Language robustness</x:v>
      </x:c>
      <x:c r="I16" s="8" t="str">
        <x:f>'Evaluation Plan'!I16</x:f>
        <x:v>SR-F04</x:v>
      </x:c>
      <x:c r="J16" s="8" t="str">
        <x:f>'Evaluation Plan'!J16</x:f>
        <x:v>upside-down</x:v>
      </x:c>
      <x:c r="K16" s="8" t="n">
        <x:f>'Evaluation Plan'!K16</x:f>
        <x:v>3</x:v>
      </x:c>
      <x:c r="L16" s="8" t="str">
        <x:f>'Evaluation Plan'!L16</x:f>
        <x:v>3 — Exact-scene transfer paraphrase — Paraphrase of concept/compositional-transfer prompt</x:v>
      </x:c>
      <x:c r="M16" s="8" t="n">
        <x:f>'Evaluation Plan'!M16</x:f>
        <x:v>4</x:v>
      </x:c>
      <x:c r="N16" s="7" t="str">
        <x:f>'Evaluation Plan'!N16</x:f>
        <x:v>Reset only the moved target; change only the prompt wording.</x:v>
      </x:c>
      <x:c r="O16" s="7" t="str">
        <x:f>'Evaluation Plan'!O16</x:f>
        <x:v>Exact-scene language pair for the state-bearing transfer prompt.</x:v>
      </x:c>
      <x:c r="P16" s="7" t="str">
        <x:f>IF('Evaluation Plan'!P16=0,"",'Evaluation Plan'!P16)</x:f>
      </x:c>
    </x:row>
    <x:row r="17" ht="58" customHeight="1">
      <x:c r="A17" s="8" t="str">
        <x:v>Not collected</x:v>
      </x:c>
      <x:c r="B17" s="8" t="n">
        <x:f>'Evaluation Plan'!B17</x:f>
        <x:v>15</x:v>
      </x:c>
      <x:c r="C17" s="7" t="str">
        <x:f>'Evaluation Plan'!C17</x:f>
        <x:v>Place the glass spice container in the bowl.</x:v>
      </x:c>
      <x:c r="D17" s="7" t="str">
        <x:f>'Evaluation Plan'!D17</x:f>
        <x:v>P1 glass spice container B (C, UD) [TARGET]; P2 brown cup A (C, UR) [NEUTRAL REPLACEMENT]; P3 white cup B (C, UD)</x:v>
      </x:c>
      <x:c r="E17" s="8" t="n">
        <x:f>IF('Evaluation Plan'!H17="Exact-scene opposite-state contrast",'Evaluation Plan'!E17,IF('Evaluation Plan'!H17="Language robustness",'Evaluation Plan'!E17,IF('Evaluation Plan'!H17="Matched manipulation control",'Evaluation Plan'!E17,IF('Evaluation Plan'!H17="Black-cup held-out-state composition",'Evaluation Plan'!E17,""))))</x:f>
        <x:v>12</x:v>
      </x:c>
      <x:c r="F17" s="8" t="str">
        <x:f>'Evaluation Plan'!F17</x:f>
        <x:v>glass spice container B</x:v>
      </x:c>
      <x:c r="G17" s="7"/>
      <x:c r="H17" s="8" t="str">
        <x:f>'Evaluation Plan'!H17</x:f>
        <x:v>Matched manipulation control</x:v>
      </x:c>
      <x:c r="I17" s="8" t="str">
        <x:f>'Evaluation Plan'!I17</x:f>
        <x:v>SR-F04</x:v>
      </x:c>
      <x:c r="J17" s="8" t="str">
        <x:f>'Evaluation Plan'!J17</x:f>
        <x:v>upside-down</x:v>
      </x:c>
      <x:c r="K17" s="8" t="n">
        <x:f>'Evaluation Plan'!K17</x:f>
        <x:v>3</x:v>
      </x:c>
      <x:c r="L17" s="8" t="str">
        <x:f>'Evaluation Plan'!L17</x:f>
        <x:v>4 — Matched control — Category-only control with 3 objects</x:v>
      </x:c>
      <x:c r="M17" s="8" t="n">
        <x:f>'Evaluation Plan'!M17</x:f>
        <x:v>4</x:v>
      </x:c>
      <x:c r="N17" s="7" t="str">
        <x:f>'Evaluation Plan'!N17</x:f>
        <x:v>Reset the target; replace the same-category state competitor with brown cup A at the same position. Keep object count, other objects, camera, and bowl fixed.</x:v>
      </x:c>
      <x:c r="O17" s="7" t="str">
        <x:f>'Evaluation Plan'!O17</x:f>
        <x:v>The neutral replacement removes category ambiguity without changing the three- or four-object set size.</x:v>
      </x:c>
      <x:c r="P17" s="7" t="str">
        <x:f>IF('Evaluation Plan'!P17=0,"",'Evaluation Plan'!P17)</x:f>
      </x:c>
    </x:row>
    <x:row r="18" ht="58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Put the closed yellow-white striped cup in the bowl.</x:v>
      </x:c>
      <x:c r="D18" s="10" t="str">
        <x:f>'Evaluation Plan'!D18</x:f>
        <x:v>P1 white cup A (O, UR); P2 yellow-white striped cup A (C, UR) [TARGET]; P3 yellow-white striped cup B (O, UR) [STATE COMPETITOR]</x:v>
      </x:c>
      <x:c r="E18" s="9" t="str">
        <x:f>IF('Evaluation Plan'!H18="Exact-scene opposite-state contrast",'Evaluation Plan'!E18,IF('Evaluation Plan'!H18="Language robustness",'Evaluation Plan'!E18,IF('Evaluation Plan'!H18="Matched manipulation control",'Evaluation Plan'!E18,IF('Evaluation Plan'!H18="Black-cup held-out-state composition",'Evaluation Plan'!E18,""))))</x:f>
      </x:c>
      <x:c r="F18" s="9" t="str">
        <x:f>'Evaluation Plan'!F18</x:f>
        <x:v>yellow-white striped cup A</x:v>
      </x:c>
      <x:c r="G18" s="10"/>
      <x:c r="H18" s="9" t="str">
        <x:f>'Evaluation Plan'!H18</x:f>
        <x:v>Concept/compositional transfer</x:v>
      </x:c>
      <x:c r="I18" s="9" t="str">
        <x:f>'Evaluation Plan'!I18</x:f>
        <x:v>SR-F05</x:v>
      </x:c>
      <x:c r="J18" s="9" t="str">
        <x:f>'Evaluation Plan'!J18</x:f>
        <x:v>closed</x:v>
      </x:c>
      <x:c r="K18" s="9" t="n">
        <x:f>'Evaluation Plan'!K18</x:f>
        <x:v>3</x:v>
      </x:c>
      <x:c r="L18" s="9" t="str">
        <x:f>'Evaluation Plan'!L18</x:f>
        <x:v>1 — Canonical transfer — Held-out state word + known category (closed)</x:v>
      </x:c>
      <x:c r="M18" s="9" t="n">
        <x:f>'Evaluation Plan'!M18</x:f>
        <x:v>5</x:v>
      </x:c>
      <x:c r="N18" s="10" t="str">
        <x:f>'Evaluation Plan'!N18</x:f>
        <x:v>Build the marked same-category discrimination scene. Save a first-frame image or filename.</x:v>
      </x:c>
      <x:c r="O18" s="10" t="str">
        <x:f>'Evaluation Plan'!O18</x:f>
        <x:v>Two objects match the named category; only the state word selects the target. Target and competitor differ only on the queried state axis.</x:v>
      </x:c>
      <x:c r="P18" s="10" t="str">
        <x:f>IF('Evaluation Plan'!P18=0,"",'Evaluation Plan'!P18)</x:f>
      </x:c>
    </x:row>
    <x:row r="19" ht="58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Move the open yellow-white striped cup into the bowl.</x:v>
      </x:c>
      <x:c r="D19" s="7" t="str">
        <x:f>'Evaluation Plan'!D19</x:f>
        <x:v>P1 white cup A (O, UR); P2 yellow-white striped cup A (C, UR) [STATE COMPETITOR]; P3 yellow-white striped cup B (O, UR) [TARGET]</x:v>
      </x:c>
      <x:c r="E19" s="8" t="n">
        <x:f>IF('Evaluation Plan'!H19="Exact-scene opposite-state contrast",'Evaluation Plan'!E19,IF('Evaluation Plan'!H19="Language robustness",'Evaluation Plan'!E19,IF('Evaluation Plan'!H19="Matched manipulation control",'Evaluation Plan'!E19,IF('Evaluation Plan'!H19="Black-cup held-out-state composition",'Evaluation Plan'!E19,""))))</x:f>
        <x:v>16</x:v>
      </x:c>
      <x:c r="F19" s="8" t="str">
        <x:f>'Evaluation Plan'!F19</x:f>
        <x:v>yellow-white striped cup B</x:v>
      </x:c>
      <x:c r="G19" s="7"/>
      <x:c r="H19" s="8" t="str">
        <x:f>'Evaluation Plan'!H19</x:f>
        <x:v>Exact-scene opposite-state contrast</x:v>
      </x:c>
      <x:c r="I19" s="8" t="str">
        <x:f>'Evaluation Plan'!I19</x:f>
        <x:v>SR-F05</x:v>
      </x:c>
      <x:c r="J19" s="8" t="str">
        <x:f>'Evaluation Plan'!J19</x:f>
        <x:v>open</x:v>
      </x:c>
      <x:c r="K19" s="8" t="n">
        <x:f>'Evaluation Plan'!K19</x:f>
        <x:v>3</x:v>
      </x:c>
      <x:c r="L19" s="8" t="str">
        <x:f>'Evaluation Plan'!L19</x:f>
        <x:v>2 — Exact-scene opposite-state contrast — State-word counterfactual (closed→open)</x:v>
      </x:c>
      <x:c r="M19" s="8" t="n">
        <x:f>'Evaluation Plan'!M19</x:f>
        <x:v>5</x:v>
      </x:c>
      <x:c r="N19" s="7" t="str">
        <x:f>'Evaluation Plan'!N19</x:f>
        <x:v>Reset the canonical target to its marked position. Preserve every object and state; change only the queried state word and expected target.</x:v>
      </x:c>
      <x:c r="O19" s="7" t="str">
        <x:f>'Evaluation Plan'!O19</x:f>
        <x:v>Exact-scene semantic counterfactual. The state word switches to the opposite state and the correct target switches to the other same-category instance.</x:v>
      </x:c>
      <x:c r="P19" s="7" t="str">
        <x:f>IF('Evaluation Plan'!P19=0,"",'Evaluation Plan'!P19)</x:f>
      </x:c>
    </x:row>
    <x:row r="20" ht="58" customHeight="1">
      <x:c r="A20" s="8" t="str">
        <x:v>Not collected</x:v>
      </x:c>
      <x:c r="B20" s="8" t="n">
        <x:f>'Evaluation Plan'!B20</x:f>
        <x:v>18</x:v>
      </x:c>
      <x:c r="C20" s="7" t="str">
        <x:f>'Evaluation Plan'!C20</x:f>
        <x:v>Move the closed yellow-white striped cup into the bowl.</x:v>
      </x:c>
      <x:c r="D20" s="7" t="str">
        <x:f>'Evaluation Plan'!D20</x:f>
        <x:v>P1 white cup A (O, UR); P2 yellow-white striped cup A (C, UR) [TARGET]; P3 yellow-white striped cup B (O, UR) [STATE COMPETITOR]</x:v>
      </x:c>
      <x:c r="E20" s="8" t="n">
        <x:f>IF('Evaluation Plan'!H20="Exact-scene opposite-state contrast",'Evaluation Plan'!E20,IF('Evaluation Plan'!H20="Language robustness",'Evaluation Plan'!E20,IF('Evaluation Plan'!H20="Matched manipulation control",'Evaluation Plan'!E20,IF('Evaluation Plan'!H20="Black-cup held-out-state composition",'Evaluation Plan'!E20,""))))</x:f>
        <x:v>16</x:v>
      </x:c>
      <x:c r="F20" s="8" t="str">
        <x:f>'Evaluation Plan'!F20</x:f>
        <x:v>yellow-white striped cup A</x:v>
      </x:c>
      <x:c r="G20" s="7"/>
      <x:c r="H20" s="8" t="str">
        <x:f>'Evaluation Plan'!H20</x:f>
        <x:v>Language robustness</x:v>
      </x:c>
      <x:c r="I20" s="8" t="str">
        <x:f>'Evaluation Plan'!I20</x:f>
        <x:v>SR-F05</x:v>
      </x:c>
      <x:c r="J20" s="8" t="str">
        <x:f>'Evaluation Plan'!J20</x:f>
        <x:v>closed</x:v>
      </x:c>
      <x:c r="K20" s="8" t="n">
        <x:f>'Evaluation Plan'!K20</x:f>
        <x:v>3</x:v>
      </x:c>
      <x:c r="L20" s="8" t="str">
        <x:f>'Evaluation Plan'!L20</x:f>
        <x:v>3 — Exact-scene transfer paraphrase — Paraphrase of concept/compositional-transfer prompt</x:v>
      </x:c>
      <x:c r="M20" s="8" t="n">
        <x:f>'Evaluation Plan'!M20</x:f>
        <x:v>5</x:v>
      </x:c>
      <x:c r="N20" s="7" t="str">
        <x:f>'Evaluation Plan'!N20</x:f>
        <x:v>Reset only the moved target; change only the prompt wording.</x:v>
      </x:c>
      <x:c r="O20" s="7" t="str">
        <x:f>'Evaluation Plan'!O20</x:f>
        <x:v>Exact-scene language pair for the state-bearing transfer prompt.</x:v>
      </x:c>
      <x:c r="P20" s="7" t="str">
        <x:f>IF('Evaluation Plan'!P20=0,"",'Evaluation Plan'!P20)</x:f>
      </x:c>
    </x:row>
    <x:row r="21" ht="58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Put the yellow-white striped cup in the bowl.</x:v>
      </x:c>
      <x:c r="D21" s="7" t="str">
        <x:f>'Evaluation Plan'!D21</x:f>
        <x:v>P1 white cup A (O, UR); P2 yellow-white striped cup A (C, UR) [TARGET]; P3 brown cup B (O, UR) [NEUTRAL REPLACEMENT]</x:v>
      </x:c>
      <x:c r="E21" s="8" t="n">
        <x:f>IF('Evaluation Plan'!H21="Exact-scene opposite-state contrast",'Evaluation Plan'!E21,IF('Evaluation Plan'!H21="Language robustness",'Evaluation Plan'!E21,IF('Evaluation Plan'!H21="Matched manipulation control",'Evaluation Plan'!E21,IF('Evaluation Plan'!H21="Black-cup held-out-state composition",'Evaluation Plan'!E21,""))))</x:f>
        <x:v>16</x:v>
      </x:c>
      <x:c r="F21" s="8" t="str">
        <x:f>'Evaluation Plan'!F21</x:f>
        <x:v>yellow-white striped cup A</x:v>
      </x:c>
      <x:c r="G21" s="7"/>
      <x:c r="H21" s="8" t="str">
        <x:f>'Evaluation Plan'!H21</x:f>
        <x:v>Matched manipulation control</x:v>
      </x:c>
      <x:c r="I21" s="8" t="str">
        <x:f>'Evaluation Plan'!I21</x:f>
        <x:v>SR-F05</x:v>
      </x:c>
      <x:c r="J21" s="8" t="str">
        <x:f>'Evaluation Plan'!J21</x:f>
        <x:v>closed</x:v>
      </x:c>
      <x:c r="K21" s="8" t="n">
        <x:f>'Evaluation Plan'!K21</x:f>
        <x:v>3</x:v>
      </x:c>
      <x:c r="L21" s="8" t="str">
        <x:f>'Evaluation Plan'!L21</x:f>
        <x:v>4 — Matched control — Category-only control with 3 objects</x:v>
      </x:c>
      <x:c r="M21" s="8" t="n">
        <x:f>'Evaluation Plan'!M21</x:f>
        <x:v>5</x:v>
      </x:c>
      <x:c r="N21" s="7" t="str">
        <x:f>'Evaluation Plan'!N21</x:f>
        <x:v>Reset the target; replace the same-category state competitor with brown cup B at the same position. Keep object count, other objects, camera, and bowl fixed.</x:v>
      </x:c>
      <x:c r="O21" s="7" t="str">
        <x:f>'Evaluation Plan'!O21</x:f>
        <x:v>The neutral replacement removes category ambiguity without changing the three- or four-object set size.</x:v>
      </x:c>
      <x:c r="P21" s="7" t="str">
        <x:f>IF('Evaluation Plan'!P21=0,"",'Evaluation Plan'!P21)</x:f>
      </x:c>
    </x:row>
    <x:row r="22" ht="58" customHeight="1">
      <x:c r="A22" s="9" t="str">
        <x:v>Not collected</x:v>
      </x:c>
      <x:c r="B22" s="9" t="n">
        <x:f>'Evaluation Plan'!B22</x:f>
        <x:v>20</x:v>
      </x:c>
      <x:c r="C22" s="10" t="str">
        <x:f>'Evaluation Plan'!C22</x:f>
        <x:v>Move the open brown cup into the bowl.</x:v>
      </x:c>
      <x:c r="D22" s="10" t="str">
        <x:f>'Evaluation Plan'!D22</x:f>
        <x:v>P1 brown cup A (C, UD) [STATE COMPETITOR]; P2 white cup A (O, UR); P3 brown cup B (O, UD) [TARGET]</x:v>
      </x:c>
      <x:c r="E22" s="9" t="str">
        <x:f>IF('Evaluation Plan'!H22="Exact-scene opposite-state contrast",'Evaluation Plan'!E22,IF('Evaluation Plan'!H22="Language robustness",'Evaluation Plan'!E22,IF('Evaluation Plan'!H22="Matched manipulation control",'Evaluation Plan'!E22,IF('Evaluation Plan'!H22="Black-cup held-out-state composition",'Evaluation Plan'!E22,""))))</x:f>
      </x:c>
      <x:c r="F22" s="9" t="str">
        <x:f>'Evaluation Plan'!F22</x:f>
        <x:v>brown cup B</x:v>
      </x:c>
      <x:c r="G22" s="10"/>
      <x:c r="H22" s="9" t="str">
        <x:f>'Evaluation Plan'!H22</x:f>
        <x:v>Concept/compositional transfer</x:v>
      </x:c>
      <x:c r="I22" s="9" t="str">
        <x:f>'Evaluation Plan'!I22</x:f>
        <x:v>SR-F06</x:v>
      </x:c>
      <x:c r="J22" s="9" t="str">
        <x:f>'Evaluation Plan'!J22</x:f>
        <x:v>open</x:v>
      </x:c>
      <x:c r="K22" s="9" t="n">
        <x:f>'Evaluation Plan'!K22</x:f>
        <x:v>3</x:v>
      </x:c>
      <x:c r="L22" s="9" t="str">
        <x:f>'Evaluation Plan'!L22</x:f>
        <x:v>1 — Canonical transfer — Seen state word in a new scene (open)</x:v>
      </x:c>
      <x:c r="M22" s="9" t="n">
        <x:f>'Evaluation Plan'!M22</x:f>
        <x:v>6</x:v>
      </x:c>
      <x:c r="N22" s="10" t="str">
        <x:f>'Evaluation Plan'!N22</x:f>
        <x:v>Build the marked same-category discrimination scene. Save a first-frame image or filename.</x:v>
      </x:c>
      <x:c r="O22" s="10" t="str">
        <x:f>'Evaluation Plan'!O22</x:f>
        <x:v>Two objects match the named category; only the state word selects the target. Target and competitor differ only on the queried state axis.</x:v>
      </x:c>
      <x:c r="P22" s="10" t="str">
        <x:f>IF('Evaluation Plan'!P22=0,"",'Evaluation Plan'!P22)</x:f>
      </x:c>
    </x:row>
    <x:row r="23" ht="58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Place the closed brown cup in the bowl.</x:v>
      </x:c>
      <x:c r="D23" s="7" t="str">
        <x:f>'Evaluation Plan'!D23</x:f>
        <x:v>P1 brown cup A (C, UD) [TARGET]; P2 white cup A (O, UR); P3 brown cup B (O, UD) [STATE COMPETITOR]</x:v>
      </x:c>
      <x:c r="E23" s="8" t="n">
        <x:f>IF('Evaluation Plan'!H23="Exact-scene opposite-state contrast",'Evaluation Plan'!E23,IF('Evaluation Plan'!H23="Language robustness",'Evaluation Plan'!E23,IF('Evaluation Plan'!H23="Matched manipulation control",'Evaluation Plan'!E23,IF('Evaluation Plan'!H23="Black-cup held-out-state composition",'Evaluation Plan'!E23,""))))</x:f>
        <x:v>20</x:v>
      </x:c>
      <x:c r="F23" s="8" t="str">
        <x:f>'Evaluation Plan'!F23</x:f>
        <x:v>brown cup A</x:v>
      </x:c>
      <x:c r="G23" s="7"/>
      <x:c r="H23" s="8" t="str">
        <x:f>'Evaluation Plan'!H23</x:f>
        <x:v>Exact-scene opposite-state contrast</x:v>
      </x:c>
      <x:c r="I23" s="8" t="str">
        <x:f>'Evaluation Plan'!I23</x:f>
        <x:v>SR-F06</x:v>
      </x:c>
      <x:c r="J23" s="8" t="str">
        <x:f>'Evaluation Plan'!J23</x:f>
        <x:v>closed</x:v>
      </x:c>
      <x:c r="K23" s="8" t="n">
        <x:f>'Evaluation Plan'!K23</x:f>
        <x:v>3</x:v>
      </x:c>
      <x:c r="L23" s="8" t="str">
        <x:f>'Evaluation Plan'!L23</x:f>
        <x:v>2 — Exact-scene opposite-state contrast — State-word counterfactual (open→closed)</x:v>
      </x:c>
      <x:c r="M23" s="8" t="n">
        <x:f>'Evaluation Plan'!M23</x:f>
        <x:v>6</x:v>
      </x:c>
      <x:c r="N23" s="7" t="str">
        <x:f>'Evaluation Plan'!N23</x:f>
        <x:v>Reset the canonical target to its marked position. Preserve every object and state; change only the queried state word and expected target.</x:v>
      </x:c>
      <x:c r="O23" s="7" t="str">
        <x:f>'Evaluation Plan'!O23</x:f>
        <x:v>Exact-scene semantic counterfactual. The state word switches to the opposite state and the correct target switches to the other same-category instance.</x:v>
      </x:c>
      <x:c r="P23" s="7" t="str">
        <x:f>IF('Evaluation Plan'!P23=0,"",'Evaluation Plan'!P23)</x:f>
      </x:c>
    </x:row>
    <x:row r="24" ht="58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Move the brown cup that is open into the bowl.</x:v>
      </x:c>
      <x:c r="D24" s="7" t="str">
        <x:f>'Evaluation Plan'!D24</x:f>
        <x:v>P1 brown cup A (C, UD) [STATE COMPETITOR]; P2 white cup A (O, UR); P3 brown cup B (O, UD) [TARGET]</x:v>
      </x:c>
      <x:c r="E24" s="8" t="n">
        <x:f>IF('Evaluation Plan'!H24="Exact-scene opposite-state contrast",'Evaluation Plan'!E24,IF('Evaluation Plan'!H24="Language robustness",'Evaluation Plan'!E24,IF('Evaluation Plan'!H24="Matched manipulation control",'Evaluation Plan'!E24,IF('Evaluation Plan'!H24="Black-cup held-out-state composition",'Evaluation Plan'!E24,""))))</x:f>
        <x:v>20</x:v>
      </x:c>
      <x:c r="F24" s="8" t="str">
        <x:f>'Evaluation Plan'!F24</x:f>
        <x:v>brown cup B</x:v>
      </x:c>
      <x:c r="G24" s="7"/>
      <x:c r="H24" s="8" t="str">
        <x:f>'Evaluation Plan'!H24</x:f>
        <x:v>Language robustness</x:v>
      </x:c>
      <x:c r="I24" s="8" t="str">
        <x:f>'Evaluation Plan'!I24</x:f>
        <x:v>SR-F06</x:v>
      </x:c>
      <x:c r="J24" s="8" t="str">
        <x:f>'Evaluation Plan'!J24</x:f>
        <x:v>open</x:v>
      </x:c>
      <x:c r="K24" s="8" t="n">
        <x:f>'Evaluation Plan'!K24</x:f>
        <x:v>3</x:v>
      </x:c>
      <x:c r="L24" s="8" t="str">
        <x:f>'Evaluation Plan'!L24</x:f>
        <x:v>3 — Exact-scene transfer paraphrase — Paraphrase of concept/compositional-transfer prompt</x:v>
      </x:c>
      <x:c r="M24" s="8" t="n">
        <x:f>'Evaluation Plan'!M24</x:f>
        <x:v>6</x:v>
      </x:c>
      <x:c r="N24" s="7" t="str">
        <x:f>'Evaluation Plan'!N24</x:f>
        <x:v>Reset only the moved target; change only the prompt wording.</x:v>
      </x:c>
      <x:c r="O24" s="7" t="str">
        <x:f>'Evaluation Plan'!O24</x:f>
        <x:v>Exact-scene language pair for the state-bearing transfer prompt.</x:v>
      </x:c>
      <x:c r="P24" s="7" t="str">
        <x:f>IF('Evaluation Plan'!P24=0,"",'Evaluation Plan'!P24)</x:f>
      </x:c>
    </x:row>
    <x:row r="25" ht="58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Move the brown cup into the bowl.</x:v>
      </x:c>
      <x:c r="D25" s="7" t="str">
        <x:f>'Evaluation Plan'!D25</x:f>
        <x:v>P1 glass spice container A (C, UD) [NEUTRAL REPLACEMENT]; P2 white cup A (O, UR); P3 brown cup B (O, UD) [TARGET]</x:v>
      </x:c>
      <x:c r="E25" s="8" t="n">
        <x:f>IF('Evaluation Plan'!H25="Exact-scene opposite-state contrast",'Evaluation Plan'!E25,IF('Evaluation Plan'!H25="Language robustness",'Evaluation Plan'!E25,IF('Evaluation Plan'!H25="Matched manipulation control",'Evaluation Plan'!E25,IF('Evaluation Plan'!H25="Black-cup held-out-state composition",'Evaluation Plan'!E25,""))))</x:f>
        <x:v>20</x:v>
      </x:c>
      <x:c r="F25" s="8" t="str">
        <x:f>'Evaluation Plan'!F25</x:f>
        <x:v>brown cup B</x:v>
      </x:c>
      <x:c r="G25" s="7"/>
      <x:c r="H25" s="8" t="str">
        <x:f>'Evaluation Plan'!H25</x:f>
        <x:v>Matched manipulation control</x:v>
      </x:c>
      <x:c r="I25" s="8" t="str">
        <x:f>'Evaluation Plan'!I25</x:f>
        <x:v>SR-F06</x:v>
      </x:c>
      <x:c r="J25" s="8" t="str">
        <x:f>'Evaluation Plan'!J25</x:f>
        <x:v>open</x:v>
      </x:c>
      <x:c r="K25" s="8" t="n">
        <x:f>'Evaluation Plan'!K25</x:f>
        <x:v>3</x:v>
      </x:c>
      <x:c r="L25" s="8" t="str">
        <x:f>'Evaluation Plan'!L25</x:f>
        <x:v>4 — Matched control — Category-only control with 3 objects</x:v>
      </x:c>
      <x:c r="M25" s="8" t="n">
        <x:f>'Evaluation Plan'!M25</x:f>
        <x:v>6</x:v>
      </x:c>
      <x:c r="N25" s="7" t="str">
        <x:f>'Evaluation Plan'!N25</x:f>
        <x:v>Reset the target; replace the same-category state competitor with glass spice container A at the same position. Keep object count, other objects, camera, and bowl fixed.</x:v>
      </x:c>
      <x:c r="O25" s="7" t="str">
        <x:f>'Evaluation Plan'!O25</x:f>
        <x:v>The neutral replacement removes category ambiguity without changing the three- or four-object set size.</x:v>
      </x:c>
      <x:c r="P25" s="7" t="str">
        <x:f>IF('Evaluation Plan'!P25=0,"",'Evaluation Plan'!P25)</x:f>
      </x:c>
    </x:row>
    <x:row r="26" ht="58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Place the upright glass spice container in the bowl.</x:v>
      </x:c>
      <x:c r="D26" s="10" t="str">
        <x:f>'Evaluation Plan'!D26</x:f>
        <x:v>P1 glass spice container A (O, UR) [TARGET]; P2 glass spice container B (O, UD) [STATE COMPETITOR]; P3 white cup A (O, UR)</x:v>
      </x:c>
      <x:c r="E26" s="9" t="str">
        <x:f>IF('Evaluation Plan'!H26="Exact-scene opposite-state contrast",'Evaluation Plan'!E26,IF('Evaluation Plan'!H26="Language robustness",'Evaluation Plan'!E26,IF('Evaluation Plan'!H26="Matched manipulation control",'Evaluation Plan'!E26,IF('Evaluation Plan'!H26="Black-cup held-out-state composition",'Evaluation Plan'!E26,""))))</x:f>
      </x:c>
      <x:c r="F26" s="9" t="str">
        <x:f>'Evaluation Plan'!F26</x:f>
        <x:v>glass spice container A</x:v>
      </x:c>
      <x:c r="G26" s="10"/>
      <x:c r="H26" s="9" t="str">
        <x:f>'Evaluation Plan'!H26</x:f>
        <x:v>Concept/compositional transfer</x:v>
      </x:c>
      <x:c r="I26" s="9" t="str">
        <x:f>'Evaluation Plan'!I26</x:f>
        <x:v>SR-F07</x:v>
      </x:c>
      <x:c r="J26" s="9" t="str">
        <x:f>'Evaluation Plan'!J26</x:f>
        <x:v>upright</x:v>
      </x:c>
      <x:c r="K26" s="9" t="n">
        <x:f>'Evaluation Plan'!K26</x:f>
        <x:v>3</x:v>
      </x:c>
      <x:c r="L26" s="9" t="str">
        <x:f>'Evaluation Plan'!L26</x:f>
        <x:v>1 — Canonical transfer — Held-out state word + known category (upright)</x:v>
      </x:c>
      <x:c r="M26" s="9" t="n">
        <x:f>'Evaluation Plan'!M26</x:f>
        <x:v>7</x:v>
      </x:c>
      <x:c r="N26" s="10" t="str">
        <x:f>'Evaluation Plan'!N26</x:f>
        <x:v>Build the marked same-category discrimination scene. Save a first-frame image or filename.</x:v>
      </x:c>
      <x:c r="O26" s="10" t="str">
        <x:f>'Evaluation Plan'!O26</x:f>
        <x:v>Two objects match the named category; only the state word selects the target. Target and competitor differ only on the queried state axis.</x:v>
      </x:c>
      <x:c r="P26" s="10" t="str">
        <x:f>IF('Evaluation Plan'!P26=0,"",'Evaluation Plan'!P26)</x:f>
      </x:c>
    </x:row>
    <x:row r="27" ht="58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Put the upside-down glass spice container in the bowl.</x:v>
      </x:c>
      <x:c r="D27" s="7" t="str">
        <x:f>'Evaluation Plan'!D27</x:f>
        <x:v>P1 glass spice container A (O, UR) [STATE COMPETITOR]; P2 glass spice container B (O, UD) [TARGET]; P3 white cup A (O, UR)</x:v>
      </x:c>
      <x:c r="E27" s="8" t="n">
        <x:f>IF('Evaluation Plan'!H27="Exact-scene opposite-state contrast",'Evaluation Plan'!E27,IF('Evaluation Plan'!H27="Language robustness",'Evaluation Plan'!E27,IF('Evaluation Plan'!H27="Matched manipulation control",'Evaluation Plan'!E27,IF('Evaluation Plan'!H27="Black-cup held-out-state composition",'Evaluation Plan'!E27,""))))</x:f>
        <x:v>24</x:v>
      </x:c>
      <x:c r="F27" s="8" t="str">
        <x:f>'Evaluation Plan'!F27</x:f>
        <x:v>glass spice container B</x:v>
      </x:c>
      <x:c r="G27" s="7"/>
      <x:c r="H27" s="8" t="str">
        <x:f>'Evaluation Plan'!H27</x:f>
        <x:v>Exact-scene opposite-state contrast</x:v>
      </x:c>
      <x:c r="I27" s="8" t="str">
        <x:f>'Evaluation Plan'!I27</x:f>
        <x:v>SR-F07</x:v>
      </x:c>
      <x:c r="J27" s="8" t="str">
        <x:f>'Evaluation Plan'!J27</x:f>
        <x:v>upside-down</x:v>
      </x:c>
      <x:c r="K27" s="8" t="n">
        <x:f>'Evaluation Plan'!K27</x:f>
        <x:v>3</x:v>
      </x:c>
      <x:c r="L27" s="8" t="str">
        <x:f>'Evaluation Plan'!L27</x:f>
        <x:v>2 — Exact-scene opposite-state contrast — State-word counterfactual (upright→upside-down)</x:v>
      </x:c>
      <x:c r="M27" s="8" t="n">
        <x:f>'Evaluation Plan'!M27</x:f>
        <x:v>7</x:v>
      </x:c>
      <x:c r="N27" s="7" t="str">
        <x:f>'Evaluation Plan'!N27</x:f>
        <x:v>Reset the canonical target to its marked position. Preserve every object and state; change only the queried state word and expected target.</x:v>
      </x:c>
      <x:c r="O27" s="7" t="str">
        <x:f>'Evaluation Plan'!O27</x:f>
        <x:v>Exact-scene semantic counterfactual. The state word switches to the opposite state and the correct target switches to the other same-category instance.</x:v>
      </x:c>
      <x:c r="P27" s="7" t="str">
        <x:f>IF('Evaluation Plan'!P27=0,"",'Evaluation Plan'!P27)</x:f>
      </x:c>
    </x:row>
    <x:row r="28" ht="58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Put the right-side-up glass spice container in the bowl.</x:v>
      </x:c>
      <x:c r="D28" s="7" t="str">
        <x:f>'Evaluation Plan'!D28</x:f>
        <x:v>P1 glass spice container A (O, UR) [TARGET]; P2 glass spice container B (O, UD) [STATE COMPETITOR]; P3 white cup A (O, UR)</x:v>
      </x:c>
      <x:c r="E28" s="8" t="n">
        <x:f>IF('Evaluation Plan'!H28="Exact-scene opposite-state contrast",'Evaluation Plan'!E28,IF('Evaluation Plan'!H28="Language robustness",'Evaluation Plan'!E28,IF('Evaluation Plan'!H28="Matched manipulation control",'Evaluation Plan'!E28,IF('Evaluation Plan'!H28="Black-cup held-out-state composition",'Evaluation Plan'!E28,""))))</x:f>
        <x:v>24</x:v>
      </x:c>
      <x:c r="F28" s="8" t="str">
        <x:f>'Evaluation Plan'!F28</x:f>
        <x:v>glass spice container A</x:v>
      </x:c>
      <x:c r="G28" s="7"/>
      <x:c r="H28" s="8" t="str">
        <x:f>'Evaluation Plan'!H28</x:f>
        <x:v>Language robustness</x:v>
      </x:c>
      <x:c r="I28" s="8" t="str">
        <x:f>'Evaluation Plan'!I28</x:f>
        <x:v>SR-F07</x:v>
      </x:c>
      <x:c r="J28" s="8" t="str">
        <x:f>'Evaluation Plan'!J28</x:f>
        <x:v>upright</x:v>
      </x:c>
      <x:c r="K28" s="8" t="n">
        <x:f>'Evaluation Plan'!K28</x:f>
        <x:v>3</x:v>
      </x:c>
      <x:c r="L28" s="8" t="str">
        <x:f>'Evaluation Plan'!L28</x:f>
        <x:v>3 — Exact-scene transfer paraphrase — Paraphrase of concept/compositional-transfer prompt</x:v>
      </x:c>
      <x:c r="M28" s="8" t="n">
        <x:f>'Evaluation Plan'!M28</x:f>
        <x:v>7</x:v>
      </x:c>
      <x:c r="N28" s="7" t="str">
        <x:f>'Evaluation Plan'!N28</x:f>
        <x:v>Reset only the moved target; change only the prompt wording.</x:v>
      </x:c>
      <x:c r="O28" s="7" t="str">
        <x:f>'Evaluation Plan'!O28</x:f>
        <x:v>Exact-scene language pair for the state-bearing transfer prompt.</x:v>
      </x:c>
      <x:c r="P28" s="7" t="str">
        <x:f>IF('Evaluation Plan'!P28=0,"",'Evaluation Plan'!P28)</x:f>
      </x:c>
    </x:row>
    <x:row r="29" ht="58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Place the glass spice container in the bowl.</x:v>
      </x:c>
      <x:c r="D29" s="7" t="str">
        <x:f>'Evaluation Plan'!D29</x:f>
        <x:v>P1 glass spice container A (O, UR) [TARGET]; P2 yellow-white striped cup B (O, UD) [NEUTRAL REPLACEMENT]; P3 white cup A (O, UR)</x:v>
      </x:c>
      <x:c r="E29" s="8" t="n">
        <x:f>IF('Evaluation Plan'!H29="Exact-scene opposite-state contrast",'Evaluation Plan'!E29,IF('Evaluation Plan'!H29="Language robustness",'Evaluation Plan'!E29,IF('Evaluation Plan'!H29="Matched manipulation control",'Evaluation Plan'!E29,IF('Evaluation Plan'!H29="Black-cup held-out-state composition",'Evaluation Plan'!E29,""))))</x:f>
        <x:v>24</x:v>
      </x:c>
      <x:c r="F29" s="8" t="str">
        <x:f>'Evaluation Plan'!F29</x:f>
        <x:v>glass spice container A</x:v>
      </x:c>
      <x:c r="G29" s="7"/>
      <x:c r="H29" s="8" t="str">
        <x:f>'Evaluation Plan'!H29</x:f>
        <x:v>Matched manipulation control</x:v>
      </x:c>
      <x:c r="I29" s="8" t="str">
        <x:f>'Evaluation Plan'!I29</x:f>
        <x:v>SR-F07</x:v>
      </x:c>
      <x:c r="J29" s="8" t="str">
        <x:f>'Evaluation Plan'!J29</x:f>
        <x:v>upright</x:v>
      </x:c>
      <x:c r="K29" s="8" t="n">
        <x:f>'Evaluation Plan'!K29</x:f>
        <x:v>3</x:v>
      </x:c>
      <x:c r="L29" s="8" t="str">
        <x:f>'Evaluation Plan'!L29</x:f>
        <x:v>4 — Matched control — Category-only control with 3 objects</x:v>
      </x:c>
      <x:c r="M29" s="8" t="n">
        <x:f>'Evaluation Plan'!M29</x:f>
        <x:v>7</x:v>
      </x:c>
      <x:c r="N29" s="7" t="str">
        <x:f>'Evaluation Plan'!N29</x:f>
        <x:v>Reset the target; replace the same-category state competitor with yellow-white striped cup B at the same position. Keep object count, other objects, camera, and bowl fixed.</x:v>
      </x:c>
      <x:c r="O29" s="7" t="str">
        <x:f>'Evaluation Plan'!O29</x:f>
        <x:v>The neutral replacement removes category ambiguity without changing the three- or four-object set size.</x:v>
      </x:c>
      <x:c r="P29" s="7" t="str">
        <x:f>IF('Evaluation Plan'!P29=0,"",'Evaluation Plan'!P29)</x:f>
      </x:c>
    </x:row>
    <x:row r="30" ht="58" customHeight="1">
      <x:c r="A30" s="9" t="str">
        <x:v>Not collected</x:v>
      </x:c>
      <x:c r="B30" s="9" t="n">
        <x:f>'Evaluation Plan'!B30</x:f>
        <x:v>28</x:v>
      </x:c>
      <x:c r="C30" s="10" t="str">
        <x:f>'Evaluation Plan'!C30</x:f>
        <x:v>Put the upside-down white cup in the bowl.</x:v>
      </x:c>
      <x:c r="D30" s="10" t="str">
        <x:f>'Evaluation Plan'!D30</x:f>
        <x:v>P1 yellow-white striped cup B (C, UD); P2 white cup B (C, UD) [TARGET]; P3 white cup A (C, UR) [STATE COMPETITOR]</x:v>
      </x:c>
      <x:c r="E30" s="9" t="str">
        <x:f>IF('Evaluation Plan'!H30="Exact-scene opposite-state contrast",'Evaluation Plan'!E30,IF('Evaluation Plan'!H30="Language robustness",'Evaluation Plan'!E30,IF('Evaluation Plan'!H30="Matched manipulation control",'Evaluation Plan'!E30,IF('Evaluation Plan'!H30="Black-cup held-out-state composition",'Evaluation Plan'!E30,""))))</x:f>
      </x:c>
      <x:c r="F30" s="9" t="str">
        <x:f>'Evaluation Plan'!F30</x:f>
        <x:v>white cup B</x:v>
      </x:c>
      <x:c r="G30" s="10"/>
      <x:c r="H30" s="9" t="str">
        <x:f>'Evaluation Plan'!H30</x:f>
        <x:v>Concept/compositional transfer</x:v>
      </x:c>
      <x:c r="I30" s="9" t="str">
        <x:f>'Evaluation Plan'!I30</x:f>
        <x:v>SR-F08</x:v>
      </x:c>
      <x:c r="J30" s="9" t="str">
        <x:f>'Evaluation Plan'!J30</x:f>
        <x:v>upside-down</x:v>
      </x:c>
      <x:c r="K30" s="9" t="n">
        <x:f>'Evaluation Plan'!K30</x:f>
        <x:v>3</x:v>
      </x:c>
      <x:c r="L30" s="9" t="str">
        <x:f>'Evaluation Plan'!L30</x:f>
        <x:v>1 — Canonical transfer — Seen state word in a new scene (upside-down)</x:v>
      </x:c>
      <x:c r="M30" s="9" t="n">
        <x:f>'Evaluation Plan'!M30</x:f>
        <x:v>8</x:v>
      </x:c>
      <x:c r="N30" s="10" t="str">
        <x:f>'Evaluation Plan'!N30</x:f>
        <x:v>Build the marked same-category discrimination scene. Save a first-frame image or filename.</x:v>
      </x:c>
      <x:c r="O30" s="10" t="str">
        <x:f>'Evaluation Plan'!O30</x:f>
        <x:v>Two objects match the named category; only the state word selects the target. Target and competitor differ only on the queried state axis.</x:v>
      </x:c>
      <x:c r="P30" s="10" t="str">
        <x:f>IF('Evaluation Plan'!P30=0,"",'Evaluation Plan'!P30)</x:f>
      </x:c>
    </x:row>
    <x:row r="31" ht="58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Move the upright white cup into the bowl.</x:v>
      </x:c>
      <x:c r="D31" s="7" t="str">
        <x:f>'Evaluation Plan'!D31</x:f>
        <x:v>P1 yellow-white striped cup B (C, UD); P2 white cup B (C, UD) [STATE COMPETITOR]; P3 white cup A (C, UR) [TARGET]</x:v>
      </x:c>
      <x:c r="E31" s="8" t="n">
        <x:f>IF('Evaluation Plan'!H31="Exact-scene opposite-state contrast",'Evaluation Plan'!E31,IF('Evaluation Plan'!H31="Language robustness",'Evaluation Plan'!E31,IF('Evaluation Plan'!H31="Matched manipulation control",'Evaluation Plan'!E31,IF('Evaluation Plan'!H31="Black-cup held-out-state composition",'Evaluation Plan'!E31,""))))</x:f>
        <x:v>28</x:v>
      </x:c>
      <x:c r="F31" s="8" t="str">
        <x:f>'Evaluation Plan'!F31</x:f>
        <x:v>white cup A</x:v>
      </x:c>
      <x:c r="G31" s="7"/>
      <x:c r="H31" s="8" t="str">
        <x:f>'Evaluation Plan'!H31</x:f>
        <x:v>Exact-scene opposite-state contrast</x:v>
      </x:c>
      <x:c r="I31" s="8" t="str">
        <x:f>'Evaluation Plan'!I31</x:f>
        <x:v>SR-F08</x:v>
      </x:c>
      <x:c r="J31" s="8" t="str">
        <x:f>'Evaluation Plan'!J31</x:f>
        <x:v>upright</x:v>
      </x:c>
      <x:c r="K31" s="8" t="n">
        <x:f>'Evaluation Plan'!K31</x:f>
        <x:v>3</x:v>
      </x:c>
      <x:c r="L31" s="8" t="str">
        <x:f>'Evaluation Plan'!L31</x:f>
        <x:v>2 — Exact-scene opposite-state contrast — State-word counterfactual (upside-down→upright)</x:v>
      </x:c>
      <x:c r="M31" s="8" t="n">
        <x:f>'Evaluation Plan'!M31</x:f>
        <x:v>8</x:v>
      </x:c>
      <x:c r="N31" s="7" t="str">
        <x:f>'Evaluation Plan'!N31</x:f>
        <x:v>Reset the canonical target to its marked position. Preserve every object and state; change only the queried state word and expected target.</x:v>
      </x:c>
      <x:c r="O31" s="7" t="str">
        <x:f>'Evaluation Plan'!O31</x:f>
        <x:v>Exact-scene semantic counterfactual. The state word switches to the opposite state and the correct target switches to the other same-category instance.</x:v>
      </x:c>
      <x:c r="P31" s="7" t="str">
        <x:f>IF('Evaluation Plan'!P31=0,"",'Evaluation Plan'!P31)</x:f>
      </x:c>
    </x:row>
    <x:row r="32" ht="58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Find the upside-down white cup and place it in the bowl.</x:v>
      </x:c>
      <x:c r="D32" s="7" t="str">
        <x:f>'Evaluation Plan'!D32</x:f>
        <x:v>P1 yellow-white striped cup B (C, UD); P2 white cup B (C, UD) [TARGET]; P3 white cup A (C, UR) [STATE COMPETITOR]</x:v>
      </x:c>
      <x:c r="E32" s="8" t="n">
        <x:f>IF('Evaluation Plan'!H32="Exact-scene opposite-state contrast",'Evaluation Plan'!E32,IF('Evaluation Plan'!H32="Language robustness",'Evaluation Plan'!E32,IF('Evaluation Plan'!H32="Matched manipulation control",'Evaluation Plan'!E32,IF('Evaluation Plan'!H32="Black-cup held-out-state composition",'Evaluation Plan'!E32,""))))</x:f>
        <x:v>28</x:v>
      </x:c>
      <x:c r="F32" s="8" t="str">
        <x:f>'Evaluation Plan'!F32</x:f>
        <x:v>white cup B</x:v>
      </x:c>
      <x:c r="G32" s="7"/>
      <x:c r="H32" s="8" t="str">
        <x:f>'Evaluation Plan'!H32</x:f>
        <x:v>Language robustness</x:v>
      </x:c>
      <x:c r="I32" s="8" t="str">
        <x:f>'Evaluation Plan'!I32</x:f>
        <x:v>SR-F08</x:v>
      </x:c>
      <x:c r="J32" s="8" t="str">
        <x:f>'Evaluation Plan'!J32</x:f>
        <x:v>upside-down</x:v>
      </x:c>
      <x:c r="K32" s="8" t="n">
        <x:f>'Evaluation Plan'!K32</x:f>
        <x:v>3</x:v>
      </x:c>
      <x:c r="L32" s="8" t="str">
        <x:f>'Evaluation Plan'!L32</x:f>
        <x:v>3 — Exact-scene transfer paraphrase — Paraphrase of concept/compositional-transfer prompt</x:v>
      </x:c>
      <x:c r="M32" s="8" t="n">
        <x:f>'Evaluation Plan'!M32</x:f>
        <x:v>8</x:v>
      </x:c>
      <x:c r="N32" s="7" t="str">
        <x:f>'Evaluation Plan'!N32</x:f>
        <x:v>Reset only the moved target; change only the prompt wording.</x:v>
      </x:c>
      <x:c r="O32" s="7" t="str">
        <x:f>'Evaluation Plan'!O32</x:f>
        <x:v>Exact-scene language pair for the state-bearing transfer prompt.</x:v>
      </x:c>
      <x:c r="P32" s="7" t="str">
        <x:f>IF('Evaluation Plan'!P32=0,"",'Evaluation Plan'!P32)</x:f>
      </x:c>
    </x:row>
    <x:row r="33" ht="58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Put the white cup in the bowl.</x:v>
      </x:c>
      <x:c r="D33" s="7" t="str">
        <x:f>'Evaluation Plan'!D33</x:f>
        <x:v>P1 yellow-white striped cup B (C, UD); P2 white cup B (C, UD) [TARGET]; P3 glass spice container A (C, UR) [NEUTRAL REPLACEMENT]</x:v>
      </x:c>
      <x:c r="E33" s="8" t="n">
        <x:f>IF('Evaluation Plan'!H33="Exact-scene opposite-state contrast",'Evaluation Plan'!E33,IF('Evaluation Plan'!H33="Language robustness",'Evaluation Plan'!E33,IF('Evaluation Plan'!H33="Matched manipulation control",'Evaluation Plan'!E33,IF('Evaluation Plan'!H33="Black-cup held-out-state composition",'Evaluation Plan'!E33,""))))</x:f>
        <x:v>28</x:v>
      </x:c>
      <x:c r="F33" s="8" t="str">
        <x:f>'Evaluation Plan'!F33</x:f>
        <x:v>white cup B</x:v>
      </x:c>
      <x:c r="G33" s="7"/>
      <x:c r="H33" s="8" t="str">
        <x:f>'Evaluation Plan'!H33</x:f>
        <x:v>Matched manipulation control</x:v>
      </x:c>
      <x:c r="I33" s="8" t="str">
        <x:f>'Evaluation Plan'!I33</x:f>
        <x:v>SR-F08</x:v>
      </x:c>
      <x:c r="J33" s="8" t="str">
        <x:f>'Evaluation Plan'!J33</x:f>
        <x:v>upside-down</x:v>
      </x:c>
      <x:c r="K33" s="8" t="n">
        <x:f>'Evaluation Plan'!K33</x:f>
        <x:v>3</x:v>
      </x:c>
      <x:c r="L33" s="8" t="str">
        <x:f>'Evaluation Plan'!L33</x:f>
        <x:v>4 — Matched control — Category-only control with 3 objects</x:v>
      </x:c>
      <x:c r="M33" s="8" t="n">
        <x:f>'Evaluation Plan'!M33</x:f>
        <x:v>8</x:v>
      </x:c>
      <x:c r="N33" s="7" t="str">
        <x:f>'Evaluation Plan'!N33</x:f>
        <x:v>Reset the target; replace the same-category state competitor with glass spice container A at the same position. Keep object count, other objects, camera, and bowl fixed.</x:v>
      </x:c>
      <x:c r="O33" s="7" t="str">
        <x:f>'Evaluation Plan'!O33</x:f>
        <x:v>The neutral replacement removes category ambiguity without changing the three- or four-object set size.</x:v>
      </x:c>
      <x:c r="P33" s="7" t="str">
        <x:f>IF('Evaluation Plan'!P33=0,"",'Evaluation Plan'!P33)</x:f>
      </x:c>
    </x:row>
    <x:row r="34" ht="58" customHeight="1">
      <x:c r="A34" s="9" t="str">
        <x:v>Not collected</x:v>
      </x:c>
      <x:c r="B34" s="9" t="n">
        <x:f>'Evaluation Plan'!B34</x:f>
        <x:v>32</x:v>
      </x:c>
      <x:c r="C34" s="10" t="str">
        <x:f>'Evaluation Plan'!C34</x:f>
        <x:v>Move the closed brown cup into the bowl.</x:v>
      </x:c>
      <x:c r="D34" s="10" t="str">
        <x:f>'Evaluation Plan'!D34</x:f>
        <x:v>P1 brown cup B (O, UR) [STATE COMPETITOR]; P2 white cup B (C, UD); P3 brown cup A (C, UR) [TARGET]</x:v>
      </x:c>
      <x:c r="E34" s="9" t="str">
        <x:f>IF('Evaluation Plan'!H34="Exact-scene opposite-state contrast",'Evaluation Plan'!E34,IF('Evaluation Plan'!H34="Language robustness",'Evaluation Plan'!E34,IF('Evaluation Plan'!H34="Matched manipulation control",'Evaluation Plan'!E34,IF('Evaluation Plan'!H34="Black-cup held-out-state composition",'Evaluation Plan'!E34,""))))</x:f>
      </x:c>
      <x:c r="F34" s="9" t="str">
        <x:f>'Evaluation Plan'!F34</x:f>
        <x:v>brown cup A</x:v>
      </x:c>
      <x:c r="G34" s="10"/>
      <x:c r="H34" s="9" t="str">
        <x:f>'Evaluation Plan'!H34</x:f>
        <x:v>Concept/compositional transfer</x:v>
      </x:c>
      <x:c r="I34" s="9" t="str">
        <x:f>'Evaluation Plan'!I34</x:f>
        <x:v>SR-F09</x:v>
      </x:c>
      <x:c r="J34" s="9" t="str">
        <x:f>'Evaluation Plan'!J34</x:f>
        <x:v>closed</x:v>
      </x:c>
      <x:c r="K34" s="9" t="n">
        <x:f>'Evaluation Plan'!K34</x:f>
        <x:v>3</x:v>
      </x:c>
      <x:c r="L34" s="9" t="str">
        <x:f>'Evaluation Plan'!L34</x:f>
        <x:v>1 — Canonical transfer — Held-out state word + known category (closed)</x:v>
      </x:c>
      <x:c r="M34" s="9" t="n">
        <x:f>'Evaluation Plan'!M34</x:f>
        <x:v>9</x:v>
      </x:c>
      <x:c r="N34" s="10" t="str">
        <x:f>'Evaluation Plan'!N34</x:f>
        <x:v>Build the marked same-category discrimination scene. Save a first-frame image or filename.</x:v>
      </x:c>
      <x:c r="O34" s="10" t="str">
        <x:f>'Evaluation Plan'!O34</x:f>
        <x:v>Two objects match the named category; only the state word selects the target. Target and competitor differ only on the queried state axis.</x:v>
      </x:c>
      <x:c r="P34" s="10" t="str">
        <x:f>IF('Evaluation Plan'!P34=0,"",'Evaluation Plan'!P34)</x:f>
      </x:c>
    </x:row>
    <x:row r="35" ht="58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Place the open brown cup in the bowl.</x:v>
      </x:c>
      <x:c r="D35" s="7" t="str">
        <x:f>'Evaluation Plan'!D35</x:f>
        <x:v>P1 brown cup B (O, UR) [TARGET]; P2 white cup B (C, UD); P3 brown cup A (C, UR) [STATE COMPETITOR]</x:v>
      </x:c>
      <x:c r="E35" s="8" t="n">
        <x:f>IF('Evaluation Plan'!H35="Exact-scene opposite-state contrast",'Evaluation Plan'!E35,IF('Evaluation Plan'!H35="Language robustness",'Evaluation Plan'!E35,IF('Evaluation Plan'!H35="Matched manipulation control",'Evaluation Plan'!E35,IF('Evaluation Plan'!H35="Black-cup held-out-state composition",'Evaluation Plan'!E35,""))))</x:f>
        <x:v>32</x:v>
      </x:c>
      <x:c r="F35" s="8" t="str">
        <x:f>'Evaluation Plan'!F35</x:f>
        <x:v>brown cup B</x:v>
      </x:c>
      <x:c r="G35" s="7"/>
      <x:c r="H35" s="8" t="str">
        <x:f>'Evaluation Plan'!H35</x:f>
        <x:v>Exact-scene opposite-state contrast</x:v>
      </x:c>
      <x:c r="I35" s="8" t="str">
        <x:f>'Evaluation Plan'!I35</x:f>
        <x:v>SR-F09</x:v>
      </x:c>
      <x:c r="J35" s="8" t="str">
        <x:f>'Evaluation Plan'!J35</x:f>
        <x:v>open</x:v>
      </x:c>
      <x:c r="K35" s="8" t="n">
        <x:f>'Evaluation Plan'!K35</x:f>
        <x:v>3</x:v>
      </x:c>
      <x:c r="L35" s="8" t="str">
        <x:f>'Evaluation Plan'!L35</x:f>
        <x:v>2 — Exact-scene opposite-state contrast — State-word counterfactual (closed→open)</x:v>
      </x:c>
      <x:c r="M35" s="8" t="n">
        <x:f>'Evaluation Plan'!M35</x:f>
        <x:v>9</x:v>
      </x:c>
      <x:c r="N35" s="7" t="str">
        <x:f>'Evaluation Plan'!N35</x:f>
        <x:v>Reset the canonical target to its marked position. Preserve every object and state; change only the queried state word and expected target.</x:v>
      </x:c>
      <x:c r="O35" s="7" t="str">
        <x:f>'Evaluation Plan'!O35</x:f>
        <x:v>Exact-scene semantic counterfactual. The state word switches to the opposite state and the correct target switches to the other same-category instance.</x:v>
      </x:c>
      <x:c r="P35" s="7" t="str">
        <x:f>IF('Evaluation Plan'!P35=0,"",'Evaluation Plan'!P35)</x:f>
      </x:c>
    </x:row>
    <x:row r="36" ht="58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Place the brown cup that is not open in the bowl.</x:v>
      </x:c>
      <x:c r="D36" s="7" t="str">
        <x:f>'Evaluation Plan'!D36</x:f>
        <x:v>P1 brown cup B (O, UR) [STATE COMPETITOR]; P2 white cup B (C, UD); P3 brown cup A (C, UR) [TARGET]</x:v>
      </x:c>
      <x:c r="E36" s="8" t="n">
        <x:f>IF('Evaluation Plan'!H36="Exact-scene opposite-state contrast",'Evaluation Plan'!E36,IF('Evaluation Plan'!H36="Language robustness",'Evaluation Plan'!E36,IF('Evaluation Plan'!H36="Matched manipulation control",'Evaluation Plan'!E36,IF('Evaluation Plan'!H36="Black-cup held-out-state composition",'Evaluation Plan'!E36,""))))</x:f>
        <x:v>32</x:v>
      </x:c>
      <x:c r="F36" s="8" t="str">
        <x:f>'Evaluation Plan'!F36</x:f>
        <x:v>brown cup A</x:v>
      </x:c>
      <x:c r="G36" s="7"/>
      <x:c r="H36" s="8" t="str">
        <x:f>'Evaluation Plan'!H36</x:f>
        <x:v>Language robustness</x:v>
      </x:c>
      <x:c r="I36" s="8" t="str">
        <x:f>'Evaluation Plan'!I36</x:f>
        <x:v>SR-F09</x:v>
      </x:c>
      <x:c r="J36" s="8" t="str">
        <x:f>'Evaluation Plan'!J36</x:f>
        <x:v>closed</x:v>
      </x:c>
      <x:c r="K36" s="8" t="n">
        <x:f>'Evaluation Plan'!K36</x:f>
        <x:v>3</x:v>
      </x:c>
      <x:c r="L36" s="8" t="str">
        <x:f>'Evaluation Plan'!L36</x:f>
        <x:v>3 — Exact-scene transfer paraphrase — Paraphrase of concept/compositional-transfer prompt</x:v>
      </x:c>
      <x:c r="M36" s="8" t="n">
        <x:f>'Evaluation Plan'!M36</x:f>
        <x:v>9</x:v>
      </x:c>
      <x:c r="N36" s="7" t="str">
        <x:f>'Evaluation Plan'!N36</x:f>
        <x:v>Reset only the moved target; change only the prompt wording.</x:v>
      </x:c>
      <x:c r="O36" s="7" t="str">
        <x:f>'Evaluation Plan'!O36</x:f>
        <x:v>Exact-scene language pair for the state-bearing transfer prompt.</x:v>
      </x:c>
      <x:c r="P36" s="7" t="str">
        <x:f>IF('Evaluation Plan'!P36=0,"",'Evaluation Plan'!P36)</x:f>
      </x:c>
    </x:row>
    <x:row r="37" ht="58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Move the brown cup into the bowl.</x:v>
      </x:c>
      <x:c r="D37" s="7" t="str">
        <x:f>'Evaluation Plan'!D37</x:f>
        <x:v>P1 yellow-white striped cup B (O, UR) [NEUTRAL REPLACEMENT]; P2 white cup B (C, UD); P3 brown cup A (C, UR) [TARGET]</x:v>
      </x:c>
      <x:c r="E37" s="8" t="n">
        <x:f>IF('Evaluation Plan'!H37="Exact-scene opposite-state contrast",'Evaluation Plan'!E37,IF('Evaluation Plan'!H37="Language robustness",'Evaluation Plan'!E37,IF('Evaluation Plan'!H37="Matched manipulation control",'Evaluation Plan'!E37,IF('Evaluation Plan'!H37="Black-cup held-out-state composition",'Evaluation Plan'!E37,""))))</x:f>
        <x:v>32</x:v>
      </x:c>
      <x:c r="F37" s="8" t="str">
        <x:f>'Evaluation Plan'!F37</x:f>
        <x:v>brown cup A</x:v>
      </x:c>
      <x:c r="G37" s="7"/>
      <x:c r="H37" s="8" t="str">
        <x:f>'Evaluation Plan'!H37</x:f>
        <x:v>Matched manipulation control</x:v>
      </x:c>
      <x:c r="I37" s="8" t="str">
        <x:f>'Evaluation Plan'!I37</x:f>
        <x:v>SR-F09</x:v>
      </x:c>
      <x:c r="J37" s="8" t="str">
        <x:f>'Evaluation Plan'!J37</x:f>
        <x:v>closed</x:v>
      </x:c>
      <x:c r="K37" s="8" t="n">
        <x:f>'Evaluation Plan'!K37</x:f>
        <x:v>3</x:v>
      </x:c>
      <x:c r="L37" s="8" t="str">
        <x:f>'Evaluation Plan'!L37</x:f>
        <x:v>4 — Matched control — Category-only control with 3 objects</x:v>
      </x:c>
      <x:c r="M37" s="8" t="n">
        <x:f>'Evaluation Plan'!M37</x:f>
        <x:v>9</x:v>
      </x:c>
      <x:c r="N37" s="7" t="str">
        <x:f>'Evaluation Plan'!N37</x:f>
        <x:v>Reset the target; replace the same-category state competitor with yellow-white striped cup B at the same position. Keep object count, other objects, camera, and bowl fixed.</x:v>
      </x:c>
      <x:c r="O37" s="7" t="str">
        <x:f>'Evaluation Plan'!O37</x:f>
        <x:v>The neutral replacement removes category ambiguity without changing the three- or four-object set size.</x:v>
      </x:c>
      <x:c r="P37" s="7" t="str">
        <x:f>IF('Evaluation Plan'!P37=0,"",'Evaluation Plan'!P37)</x:f>
      </x:c>
    </x:row>
    <x:row r="38" ht="58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Place the open glass spice container in the bowl.</x:v>
      </x:c>
      <x:c r="D38" s="10" t="str">
        <x:f>'Evaluation Plan'!D38</x:f>
        <x:v>P1 glass spice container B (O, UD) [TARGET]; P2 glass spice container A (C, UD) [STATE COMPETITOR]; P3 white cup B (C, UD)</x:v>
      </x:c>
      <x:c r="E38" s="9" t="str">
        <x:f>IF('Evaluation Plan'!H38="Exact-scene opposite-state contrast",'Evaluation Plan'!E38,IF('Evaluation Plan'!H38="Language robustness",'Evaluation Plan'!E38,IF('Evaluation Plan'!H38="Matched manipulation control",'Evaluation Plan'!E38,IF('Evaluation Plan'!H38="Black-cup held-out-state composition",'Evaluation Plan'!E38,""))))</x:f>
      </x:c>
      <x:c r="F38" s="9" t="str">
        <x:f>'Evaluation Plan'!F38</x:f>
        <x:v>glass spice container B</x:v>
      </x:c>
      <x:c r="G38" s="10"/>
      <x:c r="H38" s="9" t="str">
        <x:f>'Evaluation Plan'!H38</x:f>
        <x:v>Concept/compositional transfer</x:v>
      </x:c>
      <x:c r="I38" s="9" t="str">
        <x:f>'Evaluation Plan'!I38</x:f>
        <x:v>SR-F10</x:v>
      </x:c>
      <x:c r="J38" s="9" t="str">
        <x:f>'Evaluation Plan'!J38</x:f>
        <x:v>open</x:v>
      </x:c>
      <x:c r="K38" s="9" t="n">
        <x:f>'Evaluation Plan'!K38</x:f>
        <x:v>3</x:v>
      </x:c>
      <x:c r="L38" s="9" t="str">
        <x:f>'Evaluation Plan'!L38</x:f>
        <x:v>1 — Canonical transfer — Seen state word in a new scene (open)</x:v>
      </x:c>
      <x:c r="M38" s="9" t="n">
        <x:f>'Evaluation Plan'!M38</x:f>
        <x:v>10</x:v>
      </x:c>
      <x:c r="N38" s="10" t="str">
        <x:f>'Evaluation Plan'!N38</x:f>
        <x:v>Build the marked same-category discrimination scene. Save a first-frame image or filename.</x:v>
      </x:c>
      <x:c r="O38" s="10" t="str">
        <x:f>'Evaluation Plan'!O38</x:f>
        <x:v>Two objects match the named category; only the state word selects the target. Target and competitor differ only on the queried state axis.</x:v>
      </x:c>
      <x:c r="P38" s="10" t="str">
        <x:f>IF('Evaluation Plan'!P38=0,"",'Evaluation Plan'!P38)</x:f>
      </x:c>
    </x:row>
    <x:row r="39" ht="58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Put the closed glass spice container in the bowl.</x:v>
      </x:c>
      <x:c r="D39" s="7" t="str">
        <x:f>'Evaluation Plan'!D39</x:f>
        <x:v>P1 glass spice container B (O, UD) [STATE COMPETITOR]; P2 glass spice container A (C, UD) [TARGET]; P3 white cup B (C, UD)</x:v>
      </x:c>
      <x:c r="E39" s="8" t="n">
        <x:f>IF('Evaluation Plan'!H39="Exact-scene opposite-state contrast",'Evaluation Plan'!E39,IF('Evaluation Plan'!H39="Language robustness",'Evaluation Plan'!E39,IF('Evaluation Plan'!H39="Matched manipulation control",'Evaluation Plan'!E39,IF('Evaluation Plan'!H39="Black-cup held-out-state composition",'Evaluation Plan'!E39,""))))</x:f>
        <x:v>36</x:v>
      </x:c>
      <x:c r="F39" s="8" t="str">
        <x:f>'Evaluation Plan'!F39</x:f>
        <x:v>glass spice container A</x:v>
      </x:c>
      <x:c r="G39" s="7"/>
      <x:c r="H39" s="8" t="str">
        <x:f>'Evaluation Plan'!H39</x:f>
        <x:v>Exact-scene opposite-state contrast</x:v>
      </x:c>
      <x:c r="I39" s="8" t="str">
        <x:f>'Evaluation Plan'!I39</x:f>
        <x:v>SR-F10</x:v>
      </x:c>
      <x:c r="J39" s="8" t="str">
        <x:f>'Evaluation Plan'!J39</x:f>
        <x:v>closed</x:v>
      </x:c>
      <x:c r="K39" s="8" t="n">
        <x:f>'Evaluation Plan'!K39</x:f>
        <x:v>3</x:v>
      </x:c>
      <x:c r="L39" s="8" t="str">
        <x:f>'Evaluation Plan'!L39</x:f>
        <x:v>2 — Exact-scene opposite-state contrast — State-word counterfactual (open→closed)</x:v>
      </x:c>
      <x:c r="M39" s="8" t="n">
        <x:f>'Evaluation Plan'!M39</x:f>
        <x:v>10</x:v>
      </x:c>
      <x:c r="N39" s="7" t="str">
        <x:f>'Evaluation Plan'!N39</x:f>
        <x:v>Reset the canonical target to its marked position. Preserve every object and state; change only the queried state word and expected target.</x:v>
      </x:c>
      <x:c r="O39" s="7" t="str">
        <x:f>'Evaluation Plan'!O39</x:f>
        <x:v>Exact-scene semantic counterfactual. The state word switches to the opposite state and the correct target switches to the other same-category instance.</x:v>
      </x:c>
      <x:c r="P39" s="7" t="str">
        <x:f>IF('Evaluation Plan'!P39=0,"",'Evaluation Plan'!P39)</x:f>
      </x:c>
    </x:row>
    <x:row r="40" ht="58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Move the open glass spice container into the bowl.</x:v>
      </x:c>
      <x:c r="D40" s="7" t="str">
        <x:f>'Evaluation Plan'!D40</x:f>
        <x:v>P1 glass spice container B (O, UD) [TARGET]; P2 glass spice container A (C, UD) [STATE COMPETITOR]; P3 white cup B (C, UD)</x:v>
      </x:c>
      <x:c r="E40" s="8" t="n">
        <x:f>IF('Evaluation Plan'!H40="Exact-scene opposite-state contrast",'Evaluation Plan'!E40,IF('Evaluation Plan'!H40="Language robustness",'Evaluation Plan'!E40,IF('Evaluation Plan'!H40="Matched manipulation control",'Evaluation Plan'!E40,IF('Evaluation Plan'!H40="Black-cup held-out-state composition",'Evaluation Plan'!E40,""))))</x:f>
        <x:v>36</x:v>
      </x:c>
      <x:c r="F40" s="8" t="str">
        <x:f>'Evaluation Plan'!F40</x:f>
        <x:v>glass spice container B</x:v>
      </x:c>
      <x:c r="G40" s="7"/>
      <x:c r="H40" s="8" t="str">
        <x:f>'Evaluation Plan'!H40</x:f>
        <x:v>Language robustness</x:v>
      </x:c>
      <x:c r="I40" s="8" t="str">
        <x:f>'Evaluation Plan'!I40</x:f>
        <x:v>SR-F10</x:v>
      </x:c>
      <x:c r="J40" s="8" t="str">
        <x:f>'Evaluation Plan'!J40</x:f>
        <x:v>open</x:v>
      </x:c>
      <x:c r="K40" s="8" t="n">
        <x:f>'Evaluation Plan'!K40</x:f>
        <x:v>3</x:v>
      </x:c>
      <x:c r="L40" s="8" t="str">
        <x:f>'Evaluation Plan'!L40</x:f>
        <x:v>3 — Exact-scene transfer paraphrase — Paraphrase of concept/compositional-transfer prompt</x:v>
      </x:c>
      <x:c r="M40" s="8" t="n">
        <x:f>'Evaluation Plan'!M40</x:f>
        <x:v>10</x:v>
      </x:c>
      <x:c r="N40" s="7" t="str">
        <x:f>'Evaluation Plan'!N40</x:f>
        <x:v>Reset only the moved target; change only the prompt wording.</x:v>
      </x:c>
      <x:c r="O40" s="7" t="str">
        <x:f>'Evaluation Plan'!O40</x:f>
        <x:v>Exact-scene language pair for the state-bearing transfer prompt.</x:v>
      </x:c>
      <x:c r="P40" s="7" t="str">
        <x:f>IF('Evaluation Plan'!P40=0,"",'Evaluation Plan'!P40)</x:f>
      </x:c>
    </x:row>
    <x:row r="41" ht="58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Place the glass spice container in the bowl.</x:v>
      </x:c>
      <x:c r="D41" s="7" t="str">
        <x:f>'Evaluation Plan'!D41</x:f>
        <x:v>P1 glass spice container B (O, UD) [TARGET]; P2 brown cup A (C, UD) [NEUTRAL REPLACEMENT]; P3 white cup B (C, UD)</x:v>
      </x:c>
      <x:c r="E41" s="8" t="n">
        <x:f>IF('Evaluation Plan'!H41="Exact-scene opposite-state contrast",'Evaluation Plan'!E41,IF('Evaluation Plan'!H41="Language robustness",'Evaluation Plan'!E41,IF('Evaluation Plan'!H41="Matched manipulation control",'Evaluation Plan'!E41,IF('Evaluation Plan'!H41="Black-cup held-out-state composition",'Evaluation Plan'!E41,""))))</x:f>
        <x:v>36</x:v>
      </x:c>
      <x:c r="F41" s="8" t="str">
        <x:f>'Evaluation Plan'!F41</x:f>
        <x:v>glass spice container B</x:v>
      </x:c>
      <x:c r="G41" s="7"/>
      <x:c r="H41" s="8" t="str">
        <x:f>'Evaluation Plan'!H41</x:f>
        <x:v>Matched manipulation control</x:v>
      </x:c>
      <x:c r="I41" s="8" t="str">
        <x:f>'Evaluation Plan'!I41</x:f>
        <x:v>SR-F10</x:v>
      </x:c>
      <x:c r="J41" s="8" t="str">
        <x:f>'Evaluation Plan'!J41</x:f>
        <x:v>open</x:v>
      </x:c>
      <x:c r="K41" s="8" t="n">
        <x:f>'Evaluation Plan'!K41</x:f>
        <x:v>3</x:v>
      </x:c>
      <x:c r="L41" s="8" t="str">
        <x:f>'Evaluation Plan'!L41</x:f>
        <x:v>4 — Matched control — Category-only control with 3 objects</x:v>
      </x:c>
      <x:c r="M41" s="8" t="n">
        <x:f>'Evaluation Plan'!M41</x:f>
        <x:v>10</x:v>
      </x:c>
      <x:c r="N41" s="7" t="str">
        <x:f>'Evaluation Plan'!N41</x:f>
        <x:v>Reset the target; replace the same-category state competitor with brown cup A at the same position. Keep object count, other objects, camera, and bowl fixed.</x:v>
      </x:c>
      <x:c r="O41" s="7" t="str">
        <x:f>'Evaluation Plan'!O41</x:f>
        <x:v>The neutral replacement removes category ambiguity without changing the three- or four-object set size.</x:v>
      </x:c>
      <x:c r="P41" s="7" t="str">
        <x:f>IF('Evaluation Plan'!P41=0,"",'Evaluation Plan'!P41)</x:f>
      </x:c>
    </x:row>
    <x:row r="42" ht="58" customHeight="1">
      <x:c r="A42" s="9" t="str">
        <x:v>Not collected</x:v>
      </x:c>
      <x:c r="B42" s="9" t="n">
        <x:f>'Evaluation Plan'!B42</x:f>
        <x:v>40</x:v>
      </x:c>
      <x:c r="C42" s="10" t="str">
        <x:f>'Evaluation Plan'!C42</x:f>
        <x:v>Put the upright white cup in the bowl.</x:v>
      </x:c>
      <x:c r="D42" s="10" t="str">
        <x:f>'Evaluation Plan'!D42</x:f>
        <x:v>P1 yellow-white striped cup A (O, UR); P2 brown cup B (C, UD); P3 white cup A (O, UR) [TARGET]; P4 white cup B (O, UD) [STATE COMPETITOR]</x:v>
      </x:c>
      <x:c r="E42" s="9" t="str">
        <x:f>IF('Evaluation Plan'!H42="Exact-scene opposite-state contrast",'Evaluation Plan'!E42,IF('Evaluation Plan'!H42="Language robustness",'Evaluation Plan'!E42,IF('Evaluation Plan'!H42="Matched manipulation control",'Evaluation Plan'!E42,IF('Evaluation Plan'!H42="Black-cup held-out-state composition",'Evaluation Plan'!E42,""))))</x:f>
      </x:c>
      <x:c r="F42" s="9" t="str">
        <x:f>'Evaluation Plan'!F42</x:f>
        <x:v>white cup A</x:v>
      </x:c>
      <x:c r="G42" s="10"/>
      <x:c r="H42" s="9" t="str">
        <x:f>'Evaluation Plan'!H42</x:f>
        <x:v>Concept/compositional transfer</x:v>
      </x:c>
      <x:c r="I42" s="9" t="str">
        <x:f>'Evaluation Plan'!I42</x:f>
        <x:v>SR-F11</x:v>
      </x:c>
      <x:c r="J42" s="9" t="str">
        <x:f>'Evaluation Plan'!J42</x:f>
        <x:v>upright</x:v>
      </x:c>
      <x:c r="K42" s="9" t="n">
        <x:f>'Evaluation Plan'!K42</x:f>
        <x:v>4</x:v>
      </x:c>
      <x:c r="L42" s="9" t="str">
        <x:f>'Evaluation Plan'!L42</x:f>
        <x:v>1 — Canonical transfer — Held-out state word + known category (upright)</x:v>
      </x:c>
      <x:c r="M42" s="9" t="n">
        <x:f>'Evaluation Plan'!M42</x:f>
        <x:v>11</x:v>
      </x:c>
      <x:c r="N42" s="10" t="str">
        <x:f>'Evaluation Plan'!N42</x:f>
        <x:v>Build the marked same-category discrimination scene. Save a first-frame image or filename.</x:v>
      </x:c>
      <x:c r="O42" s="10" t="str">
        <x:f>'Evaluation Plan'!O42</x:f>
        <x:v>Two objects match the named category; only the state word selects the target. Target and competitor differ only on the queried state axis.</x:v>
      </x:c>
      <x:c r="P42" s="10" t="str">
        <x:f>IF('Evaluation Plan'!P42=0,"",'Evaluation Plan'!P42)</x:f>
      </x:c>
    </x:row>
    <x:row r="43" ht="58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Move the upside-down white cup into the bowl.</x:v>
      </x:c>
      <x:c r="D43" s="7" t="str">
        <x:f>'Evaluation Plan'!D43</x:f>
        <x:v>P1 yellow-white striped cup A (O, UR); P2 brown cup B (C, UD); P3 white cup A (O, UR) [STATE COMPETITOR]; P4 white cup B (O, UD) [TARGET]</x:v>
      </x:c>
      <x:c r="E43" s="8" t="n">
        <x:f>IF('Evaluation Plan'!H43="Exact-scene opposite-state contrast",'Evaluation Plan'!E43,IF('Evaluation Plan'!H43="Language robustness",'Evaluation Plan'!E43,IF('Evaluation Plan'!H43="Matched manipulation control",'Evaluation Plan'!E43,IF('Evaluation Plan'!H43="Black-cup held-out-state composition",'Evaluation Plan'!E43,""))))</x:f>
        <x:v>40</x:v>
      </x:c>
      <x:c r="F43" s="8" t="str">
        <x:f>'Evaluation Plan'!F43</x:f>
        <x:v>white cup B</x:v>
      </x:c>
      <x:c r="G43" s="7"/>
      <x:c r="H43" s="8" t="str">
        <x:f>'Evaluation Plan'!H43</x:f>
        <x:v>Exact-scene opposite-state contrast</x:v>
      </x:c>
      <x:c r="I43" s="8" t="str">
        <x:f>'Evaluation Plan'!I43</x:f>
        <x:v>SR-F11</x:v>
      </x:c>
      <x:c r="J43" s="8" t="str">
        <x:f>'Evaluation Plan'!J43</x:f>
        <x:v>upside-down</x:v>
      </x:c>
      <x:c r="K43" s="8" t="n">
        <x:f>'Evaluation Plan'!K43</x:f>
        <x:v>4</x:v>
      </x:c>
      <x:c r="L43" s="8" t="str">
        <x:f>'Evaluation Plan'!L43</x:f>
        <x:v>2 — Exact-scene opposite-state contrast — State-word counterfactual (upright→upside-down)</x:v>
      </x:c>
      <x:c r="M43" s="8" t="n">
        <x:f>'Evaluation Plan'!M43</x:f>
        <x:v>11</x:v>
      </x:c>
      <x:c r="N43" s="7" t="str">
        <x:f>'Evaluation Plan'!N43</x:f>
        <x:v>Reset the canonical target to its marked position. Preserve every object and state; change only the queried state word and expected target.</x:v>
      </x:c>
      <x:c r="O43" s="7" t="str">
        <x:f>'Evaluation Plan'!O43</x:f>
        <x:v>Exact-scene semantic counterfactual. The state word switches to the opposite state and the correct target switches to the other same-category instance.</x:v>
      </x:c>
      <x:c r="P43" s="7" t="str">
        <x:f>IF('Evaluation Plan'!P43=0,"",'Evaluation Plan'!P43)</x:f>
      </x:c>
    </x:row>
    <x:row r="44" ht="58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Put the white cup in the bowl.</x:v>
      </x:c>
      <x:c r="D44" s="7" t="str">
        <x:f>'Evaluation Plan'!D44</x:f>
        <x:v>P1 yellow-white striped cup A (O, UR); P2 brown cup B (C, UD); P3 white cup A (O, UR) [TARGET]; P4 glass spice container B (O, UD) [NEUTRAL REPLACEMENT]</x:v>
      </x:c>
      <x:c r="E44" s="8" t="n">
        <x:f>IF('Evaluation Plan'!H44="Exact-scene opposite-state contrast",'Evaluation Plan'!E44,IF('Evaluation Plan'!H44="Language robustness",'Evaluation Plan'!E44,IF('Evaluation Plan'!H44="Matched manipulation control",'Evaluation Plan'!E44,IF('Evaluation Plan'!H44="Black-cup held-out-state composition",'Evaluation Plan'!E44,""))))</x:f>
        <x:v>40</x:v>
      </x:c>
      <x:c r="F44" s="8" t="str">
        <x:f>'Evaluation Plan'!F44</x:f>
        <x:v>white cup A</x:v>
      </x:c>
      <x:c r="G44" s="7"/>
      <x:c r="H44" s="8" t="str">
        <x:f>'Evaluation Plan'!H44</x:f>
        <x:v>Matched manipulation control</x:v>
      </x:c>
      <x:c r="I44" s="8" t="str">
        <x:f>'Evaluation Plan'!I44</x:f>
        <x:v>SR-F11</x:v>
      </x:c>
      <x:c r="J44" s="8" t="str">
        <x:f>'Evaluation Plan'!J44</x:f>
        <x:v>upright</x:v>
      </x:c>
      <x:c r="K44" s="8" t="n">
        <x:f>'Evaluation Plan'!K44</x:f>
        <x:v>4</x:v>
      </x:c>
      <x:c r="L44" s="8" t="str">
        <x:f>'Evaluation Plan'!L44</x:f>
        <x:v>3 — Matched control — Category-only control with 4 objects</x:v>
      </x:c>
      <x:c r="M44" s="8" t="n">
        <x:f>'Evaluation Plan'!M44</x:f>
        <x:v>11</x:v>
      </x:c>
      <x:c r="N44" s="7" t="str">
        <x:f>'Evaluation Plan'!N44</x:f>
        <x:v>Reset the target; replace the same-category state competitor with glass spice container B at the same position. Keep object count, other objects, camera, and bowl fixed.</x:v>
      </x:c>
      <x:c r="O44" s="7" t="str">
        <x:f>'Evaluation Plan'!O44</x:f>
        <x:v>The neutral replacement removes category ambiguity without changing the three- or four-object set size.</x:v>
      </x:c>
      <x:c r="P44" s="7" t="str">
        <x:f>IF('Evaluation Plan'!P44=0,"",'Evaluation Plan'!P44)</x:f>
      </x:c>
    </x:row>
    <x:row r="45" ht="58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Pick up the white cup and place it in the bowl.</x:v>
      </x:c>
      <x:c r="D45" s="7" t="str">
        <x:f>'Evaluation Plan'!D45</x:f>
        <x:v>P1 yellow-white striped cup A (O, UR); P2 brown cup B (C, UD); P3 white cup A (O, UR) [TARGET]; P4 glass spice container B (O, UD) [NEUTRAL REPLACEMENT]</x:v>
      </x:c>
      <x:c r="E45" s="8" t="n">
        <x:f>IF('Evaluation Plan'!H45="Exact-scene opposite-state contrast",'Evaluation Plan'!E45,IF('Evaluation Plan'!H45="Language robustness",'Evaluation Plan'!E45,IF('Evaluation Plan'!H45="Matched manipulation control",'Evaluation Plan'!E45,IF('Evaluation Plan'!H45="Black-cup held-out-state composition",'Evaluation Plan'!E45,""))))</x:f>
        <x:v>42</x:v>
      </x:c>
      <x:c r="F45" s="8" t="str">
        <x:f>'Evaluation Plan'!F45</x:f>
        <x:v>white cup A</x:v>
      </x:c>
      <x:c r="G45" s="7"/>
      <x:c r="H45" s="8" t="str">
        <x:f>'Evaluation Plan'!H45</x:f>
        <x:v>Language robustness</x:v>
      </x:c>
      <x:c r="I45" s="8" t="str">
        <x:f>'Evaluation Plan'!I45</x:f>
        <x:v>SR-F11</x:v>
      </x:c>
      <x:c r="J45" s="8" t="str">
        <x:f>'Evaluation Plan'!J45</x:f>
        <x:v>upright</x:v>
      </x:c>
      <x:c r="K45" s="8" t="n">
        <x:f>'Evaluation Plan'!K45</x:f>
        <x:v>4</x:v>
      </x:c>
      <x:c r="L45" s="8" t="str">
        <x:f>'Evaluation Plan'!L45</x:f>
        <x:v>4 — Exact-scene control paraphrase — Paraphrase of matched-control prompt</x:v>
      </x:c>
      <x:c r="M45" s="8" t="n">
        <x:f>'Evaluation Plan'!M45</x:f>
        <x:v>11</x:v>
      </x:c>
      <x:c r="N45" s="7" t="str">
        <x:f>'Evaluation Plan'!N45</x:f>
        <x:v>Reset only the moved target; change only the prompt wording.</x:v>
      </x:c>
      <x:c r="O45" s="7" t="str">
        <x:f>'Evaluation Plan'!O45</x:f>
        <x:v>Exact-scene language pair for the category-only matched control.</x:v>
      </x:c>
      <x:c r="P45" s="7" t="str">
        <x:f>IF('Evaluation Plan'!P45=0,"",'Evaluation Plan'!P45)</x:f>
      </x:c>
    </x:row>
    <x:row r="46" ht="58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Move the upside-down yellow-white striped cup into the bowl.</x:v>
      </x:c>
      <x:c r="D46" s="10" t="str">
        <x:f>'Evaluation Plan'!D46</x:f>
        <x:v>P1 yellow-white striped cup A (C, UR) [STATE COMPETITOR]; P2 white cup A (O, UR); P3 brown cup B (C, UD); P4 yellow-white striped cup B (C, UD) [TARGET]</x:v>
      </x:c>
      <x:c r="E46" s="9" t="str">
        <x:f>IF('Evaluation Plan'!H46="Exact-scene opposite-state contrast",'Evaluation Plan'!E46,IF('Evaluation Plan'!H46="Language robustness",'Evaluation Plan'!E46,IF('Evaluation Plan'!H46="Matched manipulation control",'Evaluation Plan'!E46,IF('Evaluation Plan'!H46="Black-cup held-out-state composition",'Evaluation Plan'!E46,""))))</x:f>
      </x:c>
      <x:c r="F46" s="9" t="str">
        <x:f>'Evaluation Plan'!F46</x:f>
        <x:v>yellow-white striped cup B</x:v>
      </x:c>
      <x:c r="G46" s="10"/>
      <x:c r="H46" s="9" t="str">
        <x:f>'Evaluation Plan'!H46</x:f>
        <x:v>Concept/compositional transfer</x:v>
      </x:c>
      <x:c r="I46" s="9" t="str">
        <x:f>'Evaluation Plan'!I46</x:f>
        <x:v>SR-F12</x:v>
      </x:c>
      <x:c r="J46" s="9" t="str">
        <x:f>'Evaluation Plan'!J46</x:f>
        <x:v>upside-down</x:v>
      </x:c>
      <x:c r="K46" s="9" t="n">
        <x:f>'Evaluation Plan'!K46</x:f>
        <x:v>4</x:v>
      </x:c>
      <x:c r="L46" s="9" t="str">
        <x:f>'Evaluation Plan'!L46</x:f>
        <x:v>1 — Canonical transfer — Seen state word in a new scene (upside-down)</x:v>
      </x:c>
      <x:c r="M46" s="9" t="n">
        <x:f>'Evaluation Plan'!M46</x:f>
        <x:v>12</x:v>
      </x:c>
      <x:c r="N46" s="10" t="str">
        <x:f>'Evaluation Plan'!N46</x:f>
        <x:v>Build the marked same-category discrimination scene. Save a first-frame image or filename.</x:v>
      </x:c>
      <x:c r="O46" s="10" t="str">
        <x:f>'Evaluation Plan'!O46</x:f>
        <x:v>Two objects match the named category; only the state word selects the target. Target and competitor differ only on the queried state axis.</x:v>
      </x:c>
      <x:c r="P46" s="10" t="str">
        <x:f>IF('Evaluation Plan'!P46=0,"",'Evaluation Plan'!P46)</x:f>
      </x:c>
    </x:row>
    <x:row r="47" ht="58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Place the upright yellow-white striped cup in the bowl.</x:v>
      </x:c>
      <x:c r="D47" s="7" t="str">
        <x:f>'Evaluation Plan'!D47</x:f>
        <x:v>P1 yellow-white striped cup A (C, UR) [TARGET]; P2 white cup A (O, UR); P3 brown cup B (C, UD); P4 yellow-white striped cup B (C, UD) [STATE COMPETITOR]</x:v>
      </x:c>
      <x:c r="E47" s="8" t="n">
        <x:f>IF('Evaluation Plan'!H47="Exact-scene opposite-state contrast",'Evaluation Plan'!E47,IF('Evaluation Plan'!H47="Language robustness",'Evaluation Plan'!E47,IF('Evaluation Plan'!H47="Matched manipulation control",'Evaluation Plan'!E47,IF('Evaluation Plan'!H47="Black-cup held-out-state composition",'Evaluation Plan'!E47,""))))</x:f>
        <x:v>44</x:v>
      </x:c>
      <x:c r="F47" s="8" t="str">
        <x:f>'Evaluation Plan'!F47</x:f>
        <x:v>yellow-white striped cup A</x:v>
      </x:c>
      <x:c r="G47" s="7"/>
      <x:c r="H47" s="8" t="str">
        <x:f>'Evaluation Plan'!H47</x:f>
        <x:v>Exact-scene opposite-state contrast</x:v>
      </x:c>
      <x:c r="I47" s="8" t="str">
        <x:f>'Evaluation Plan'!I47</x:f>
        <x:v>SR-F12</x:v>
      </x:c>
      <x:c r="J47" s="8" t="str">
        <x:f>'Evaluation Plan'!J47</x:f>
        <x:v>upright</x:v>
      </x:c>
      <x:c r="K47" s="8" t="n">
        <x:f>'Evaluation Plan'!K47</x:f>
        <x:v>4</x:v>
      </x:c>
      <x:c r="L47" s="8" t="str">
        <x:f>'Evaluation Plan'!L47</x:f>
        <x:v>2 — Exact-scene opposite-state contrast — State-word counterfactual (upside-down→upright)</x:v>
      </x:c>
      <x:c r="M47" s="8" t="n">
        <x:f>'Evaluation Plan'!M47</x:f>
        <x:v>12</x:v>
      </x:c>
      <x:c r="N47" s="7" t="str">
        <x:f>'Evaluation Plan'!N47</x:f>
        <x:v>Reset the canonical target to its marked position. Preserve every object and state; change only the queried state word and expected target.</x:v>
      </x:c>
      <x:c r="O47" s="7" t="str">
        <x:f>'Evaluation Plan'!O47</x:f>
        <x:v>Exact-scene semantic counterfactual. The state word switches to the opposite state and the correct target switches to the other same-category instance.</x:v>
      </x:c>
      <x:c r="P47" s="7" t="str">
        <x:f>IF('Evaluation Plan'!P47=0,"",'Evaluation Plan'!P47)</x:f>
      </x:c>
    </x:row>
    <x:row r="48" ht="58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Move the yellow-white striped cup into the bowl.</x:v>
      </x:c>
      <x:c r="D48" s="7" t="str">
        <x:f>'Evaluation Plan'!D48</x:f>
        <x:v>P1 glass spice container A (C, UR) [NEUTRAL REPLACEMENT]; P2 white cup A (O, UR); P3 brown cup B (C, UD); P4 yellow-white striped cup B (C, UD) [TARGET]</x:v>
      </x:c>
      <x:c r="E48" s="8" t="n">
        <x:f>IF('Evaluation Plan'!H48="Exact-scene opposite-state contrast",'Evaluation Plan'!E48,IF('Evaluation Plan'!H48="Language robustness",'Evaluation Plan'!E48,IF('Evaluation Plan'!H48="Matched manipulation control",'Evaluation Plan'!E48,IF('Evaluation Plan'!H48="Black-cup held-out-state composition",'Evaluation Plan'!E48,""))))</x:f>
        <x:v>44</x:v>
      </x:c>
      <x:c r="F48" s="8" t="str">
        <x:f>'Evaluation Plan'!F48</x:f>
        <x:v>yellow-white striped cup B</x:v>
      </x:c>
      <x:c r="G48" s="7"/>
      <x:c r="H48" s="8" t="str">
        <x:f>'Evaluation Plan'!H48</x:f>
        <x:v>Matched manipulation control</x:v>
      </x:c>
      <x:c r="I48" s="8" t="str">
        <x:f>'Evaluation Plan'!I48</x:f>
        <x:v>SR-F12</x:v>
      </x:c>
      <x:c r="J48" s="8" t="str">
        <x:f>'Evaluation Plan'!J48</x:f>
        <x:v>upside-down</x:v>
      </x:c>
      <x:c r="K48" s="8" t="n">
        <x:f>'Evaluation Plan'!K48</x:f>
        <x:v>4</x:v>
      </x:c>
      <x:c r="L48" s="8" t="str">
        <x:f>'Evaluation Plan'!L48</x:f>
        <x:v>3 — Matched control — Category-only control with 4 objects</x:v>
      </x:c>
      <x:c r="M48" s="8" t="n">
        <x:f>'Evaluation Plan'!M48</x:f>
        <x:v>12</x:v>
      </x:c>
      <x:c r="N48" s="7" t="str">
        <x:f>'Evaluation Plan'!N48</x:f>
        <x:v>Reset the target; replace the same-category state competitor with glass spice container A at the same position. Keep object count, other objects, camera, and bowl fixed.</x:v>
      </x:c>
      <x:c r="O48" s="7" t="str">
        <x:f>'Evaluation Plan'!O48</x:f>
        <x:v>The neutral replacement removes category ambiguity without changing the three- or four-object set size.</x:v>
      </x:c>
      <x:c r="P48" s="7" t="str">
        <x:f>IF('Evaluation Plan'!P48=0,"",'Evaluation Plan'!P48)</x:f>
      </x:c>
    </x:row>
    <x:row r="49" ht="58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Move the yellow-white striped cup over to the bowl.</x:v>
      </x:c>
      <x:c r="D49" s="7" t="str">
        <x:f>'Evaluation Plan'!D49</x:f>
        <x:v>P1 glass spice container A (C, UR) [NEUTRAL REPLACEMENT]; P2 white cup A (O, UR); P3 brown cup B (C, UD); P4 yellow-white striped cup B (C, UD) [TARGET]</x:v>
      </x:c>
      <x:c r="E49" s="8" t="n">
        <x:f>IF('Evaluation Plan'!H49="Exact-scene opposite-state contrast",'Evaluation Plan'!E49,IF('Evaluation Plan'!H49="Language robustness",'Evaluation Plan'!E49,IF('Evaluation Plan'!H49="Matched manipulation control",'Evaluation Plan'!E49,IF('Evaluation Plan'!H49="Black-cup held-out-state composition",'Evaluation Plan'!E49,""))))</x:f>
        <x:v>46</x:v>
      </x:c>
      <x:c r="F49" s="8" t="str">
        <x:f>'Evaluation Plan'!F49</x:f>
        <x:v>yellow-white striped cup B</x:v>
      </x:c>
      <x:c r="G49" s="7"/>
      <x:c r="H49" s="8" t="str">
        <x:f>'Evaluation Plan'!H49</x:f>
        <x:v>Language robustness</x:v>
      </x:c>
      <x:c r="I49" s="8" t="str">
        <x:f>'Evaluation Plan'!I49</x:f>
        <x:v>SR-F12</x:v>
      </x:c>
      <x:c r="J49" s="8" t="str">
        <x:f>'Evaluation Plan'!J49</x:f>
        <x:v>upside-down</x:v>
      </x:c>
      <x:c r="K49" s="8" t="n">
        <x:f>'Evaluation Plan'!K49</x:f>
        <x:v>4</x:v>
      </x:c>
      <x:c r="L49" s="8" t="str">
        <x:f>'Evaluation Plan'!L49</x:f>
        <x:v>4 — Exact-scene control paraphrase — Paraphrase of matched-control prompt</x:v>
      </x:c>
      <x:c r="M49" s="8" t="n">
        <x:f>'Evaluation Plan'!M49</x:f>
        <x:v>12</x:v>
      </x:c>
      <x:c r="N49" s="7" t="str">
        <x:f>'Evaluation Plan'!N49</x:f>
        <x:v>Reset only the moved target; change only the prompt wording.</x:v>
      </x:c>
      <x:c r="O49" s="7" t="str">
        <x:f>'Evaluation Plan'!O49</x:f>
        <x:v>Exact-scene language pair for the category-only matched control.</x:v>
      </x:c>
      <x:c r="P49" s="7" t="str">
        <x:f>IF('Evaluation Plan'!P49=0,"",'Evaluation Plan'!P49)</x:f>
      </x:c>
    </x:row>
    <x:row r="50" ht="58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Place the closed glass spice container in the bowl.</x:v>
      </x:c>
      <x:c r="D50" s="10" t="str">
        <x:f>'Evaluation Plan'!D50</x:f>
        <x:v>P1 glass spice container A (C, UR) [TARGET]; P2 glass spice container B (O, UR) [STATE COMPETITOR]; P3 white cup A (O, UR); P4 yellow-white striped cup B (C, UD)</x:v>
      </x:c>
      <x:c r="E50" s="9" t="str">
        <x:f>IF('Evaluation Plan'!H50="Exact-scene opposite-state contrast",'Evaluation Plan'!E50,IF('Evaluation Plan'!H50="Language robustness",'Evaluation Plan'!E50,IF('Evaluation Plan'!H50="Matched manipulation control",'Evaluation Plan'!E50,IF('Evaluation Plan'!H50="Black-cup held-out-state composition",'Evaluation Plan'!E50,""))))</x:f>
      </x:c>
      <x:c r="F50" s="9" t="str">
        <x:f>'Evaluation Plan'!F50</x:f>
        <x:v>glass spice container A</x:v>
      </x:c>
      <x:c r="G50" s="10"/>
      <x:c r="H50" s="9" t="str">
        <x:f>'Evaluation Plan'!H50</x:f>
        <x:v>Concept/compositional transfer</x:v>
      </x:c>
      <x:c r="I50" s="9" t="str">
        <x:f>'Evaluation Plan'!I50</x:f>
        <x:v>SR-F13</x:v>
      </x:c>
      <x:c r="J50" s="9" t="str">
        <x:f>'Evaluation Plan'!J50</x:f>
        <x:v>closed</x:v>
      </x:c>
      <x:c r="K50" s="9" t="n">
        <x:f>'Evaluation Plan'!K50</x:f>
        <x:v>4</x:v>
      </x:c>
      <x:c r="L50" s="9" t="str">
        <x:f>'Evaluation Plan'!L50</x:f>
        <x:v>1 — Canonical transfer — Held-out state word + known category (closed)</x:v>
      </x:c>
      <x:c r="M50" s="9" t="n">
        <x:f>'Evaluation Plan'!M50</x:f>
        <x:v>13</x:v>
      </x:c>
      <x:c r="N50" s="10" t="str">
        <x:f>'Evaluation Plan'!N50</x:f>
        <x:v>Build the marked same-category discrimination scene. Save a first-frame image or filename.</x:v>
      </x:c>
      <x:c r="O50" s="10" t="str">
        <x:f>'Evaluation Plan'!O50</x:f>
        <x:v>Two objects match the named category; only the state word selects the target. Target and competitor differ only on the queried state axis.</x:v>
      </x:c>
      <x:c r="P50" s="10" t="str">
        <x:f>IF('Evaluation Plan'!P50=0,"",'Evaluation Plan'!P50)</x:f>
      </x:c>
    </x:row>
    <x:row r="51" ht="58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Put the open glass spice container in the bowl.</x:v>
      </x:c>
      <x:c r="D51" s="7" t="str">
        <x:f>'Evaluation Plan'!D51</x:f>
        <x:v>P1 glass spice container A (C, UR) [STATE COMPETITOR]; P2 glass spice container B (O, UR) [TARGET]; P3 white cup A (O, UR); P4 yellow-white striped cup B (C, UD)</x:v>
      </x:c>
      <x:c r="E51" s="8" t="n">
        <x:f>IF('Evaluation Plan'!H51="Exact-scene opposite-state contrast",'Evaluation Plan'!E51,IF('Evaluation Plan'!H51="Language robustness",'Evaluation Plan'!E51,IF('Evaluation Plan'!H51="Matched manipulation control",'Evaluation Plan'!E51,IF('Evaluation Plan'!H51="Black-cup held-out-state composition",'Evaluation Plan'!E51,""))))</x:f>
        <x:v>48</x:v>
      </x:c>
      <x:c r="F51" s="8" t="str">
        <x:f>'Evaluation Plan'!F51</x:f>
        <x:v>glass spice container B</x:v>
      </x:c>
      <x:c r="G51" s="7"/>
      <x:c r="H51" s="8" t="str">
        <x:f>'Evaluation Plan'!H51</x:f>
        <x:v>Exact-scene opposite-state contrast</x:v>
      </x:c>
      <x:c r="I51" s="8" t="str">
        <x:f>'Evaluation Plan'!I51</x:f>
        <x:v>SR-F13</x:v>
      </x:c>
      <x:c r="J51" s="8" t="str">
        <x:f>'Evaluation Plan'!J51</x:f>
        <x:v>open</x:v>
      </x:c>
      <x:c r="K51" s="8" t="n">
        <x:f>'Evaluation Plan'!K51</x:f>
        <x:v>4</x:v>
      </x:c>
      <x:c r="L51" s="8" t="str">
        <x:f>'Evaluation Plan'!L51</x:f>
        <x:v>2 — Exact-scene opposite-state contrast — State-word counterfactual (closed→open)</x:v>
      </x:c>
      <x:c r="M51" s="8" t="n">
        <x:f>'Evaluation Plan'!M51</x:f>
        <x:v>13</x:v>
      </x:c>
      <x:c r="N51" s="7" t="str">
        <x:f>'Evaluation Plan'!N51</x:f>
        <x:v>Reset the canonical target to its marked position. Preserve every object and state; change only the queried state word and expected target.</x:v>
      </x:c>
      <x:c r="O51" s="7" t="str">
        <x:f>'Evaluation Plan'!O51</x:f>
        <x:v>Exact-scene semantic counterfactual. The state word switches to the opposite state and the correct target switches to the other same-category instance.</x:v>
      </x:c>
      <x:c r="P51" s="7" t="str">
        <x:f>IF('Evaluation Plan'!P51=0,"",'Evaluation Plan'!P51)</x:f>
      </x:c>
    </x:row>
    <x:row r="52" ht="58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Place the glass spice container in the bowl.</x:v>
      </x:c>
      <x:c r="D52" s="7" t="str">
        <x:f>'Evaluation Plan'!D52</x:f>
        <x:v>P1 glass spice container A (C, UR) [TARGET]; P2 brown cup B (O, UR) [NEUTRAL REPLACEMENT]; P3 white cup A (O, UR); P4 yellow-white striped cup B (C, UD)</x:v>
      </x:c>
      <x:c r="E52" s="8" t="n">
        <x:f>IF('Evaluation Plan'!H52="Exact-scene opposite-state contrast",'Evaluation Plan'!E52,IF('Evaluation Plan'!H52="Language robustness",'Evaluation Plan'!E52,IF('Evaluation Plan'!H52="Matched manipulation control",'Evaluation Plan'!E52,IF('Evaluation Plan'!H52="Black-cup held-out-state composition",'Evaluation Plan'!E52,""))))</x:f>
        <x:v>48</x:v>
      </x:c>
      <x:c r="F52" s="8" t="str">
        <x:f>'Evaluation Plan'!F52</x:f>
        <x:v>glass spice container A</x:v>
      </x:c>
      <x:c r="G52" s="7"/>
      <x:c r="H52" s="8" t="str">
        <x:f>'Evaluation Plan'!H52</x:f>
        <x:v>Matched manipulation control</x:v>
      </x:c>
      <x:c r="I52" s="8" t="str">
        <x:f>'Evaluation Plan'!I52</x:f>
        <x:v>SR-F13</x:v>
      </x:c>
      <x:c r="J52" s="8" t="str">
        <x:f>'Evaluation Plan'!J52</x:f>
        <x:v>closed</x:v>
      </x:c>
      <x:c r="K52" s="8" t="n">
        <x:f>'Evaluation Plan'!K52</x:f>
        <x:v>4</x:v>
      </x:c>
      <x:c r="L52" s="8" t="str">
        <x:f>'Evaluation Plan'!L52</x:f>
        <x:v>3 — Matched control — Category-only control with 4 objects</x:v>
      </x:c>
      <x:c r="M52" s="8" t="n">
        <x:f>'Evaluation Plan'!M52</x:f>
        <x:v>13</x:v>
      </x:c>
      <x:c r="N52" s="7" t="str">
        <x:f>'Evaluation Plan'!N52</x:f>
        <x:v>Reset the target; replace the same-category state competitor with brown cup B at the same position. Keep object count, other objects, camera, and bowl fixed.</x:v>
      </x:c>
      <x:c r="O52" s="7" t="str">
        <x:f>'Evaluation Plan'!O52</x:f>
        <x:v>The neutral replacement removes category ambiguity without changing the three- or four-object set size.</x:v>
      </x:c>
      <x:c r="P52" s="7" t="str">
        <x:f>IF('Evaluation Plan'!P52=0,"",'Evaluation Plan'!P52)</x:f>
      </x:c>
    </x:row>
    <x:row r="53" ht="58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Put the glass spice container inside the bowl.</x:v>
      </x:c>
      <x:c r="D53" s="7" t="str">
        <x:f>'Evaluation Plan'!D53</x:f>
        <x:v>P1 glass spice container A (C, UR) [TARGET]; P2 brown cup B (O, UR) [NEUTRAL REPLACEMENT]; P3 white cup A (O, UR); P4 yellow-white striped cup B (C, UD)</x:v>
      </x:c>
      <x:c r="E53" s="8" t="n">
        <x:f>IF('Evaluation Plan'!H53="Exact-scene opposite-state contrast",'Evaluation Plan'!E53,IF('Evaluation Plan'!H53="Language robustness",'Evaluation Plan'!E53,IF('Evaluation Plan'!H53="Matched manipulation control",'Evaluation Plan'!E53,IF('Evaluation Plan'!H53="Black-cup held-out-state composition",'Evaluation Plan'!E53,""))))</x:f>
        <x:v>50</x:v>
      </x:c>
      <x:c r="F53" s="8" t="str">
        <x:f>'Evaluation Plan'!F53</x:f>
        <x:v>glass spice container A</x:v>
      </x:c>
      <x:c r="G53" s="7"/>
      <x:c r="H53" s="8" t="str">
        <x:f>'Evaluation Plan'!H53</x:f>
        <x:v>Language robustness</x:v>
      </x:c>
      <x:c r="I53" s="8" t="str">
        <x:f>'Evaluation Plan'!I53</x:f>
        <x:v>SR-F13</x:v>
      </x:c>
      <x:c r="J53" s="8" t="str">
        <x:f>'Evaluation Plan'!J53</x:f>
        <x:v>closed</x:v>
      </x:c>
      <x:c r="K53" s="8" t="n">
        <x:f>'Evaluation Plan'!K53</x:f>
        <x:v>4</x:v>
      </x:c>
      <x:c r="L53" s="8" t="str">
        <x:f>'Evaluation Plan'!L53</x:f>
        <x:v>4 — Exact-scene control paraphrase — Paraphrase of matched-control prompt</x:v>
      </x:c>
      <x:c r="M53" s="8" t="n">
        <x:f>'Evaluation Plan'!M53</x:f>
        <x:v>13</x:v>
      </x:c>
      <x:c r="N53" s="7" t="str">
        <x:f>'Evaluation Plan'!N53</x:f>
        <x:v>Reset only the moved target; change only the prompt wording.</x:v>
      </x:c>
      <x:c r="O53" s="7" t="str">
        <x:f>'Evaluation Plan'!O53</x:f>
        <x:v>Exact-scene language pair for the category-only matched control.</x:v>
      </x:c>
      <x:c r="P53" s="7" t="str">
        <x:f>IF('Evaluation Plan'!P53=0,"",'Evaluation Plan'!P53)</x:f>
      </x:c>
    </x:row>
    <x:row r="54" ht="58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Put the open white cup in the bowl.</x:v>
      </x:c>
      <x:c r="D54" s="10" t="str">
        <x:f>'Evaluation Plan'!D54</x:f>
        <x:v>P1 yellow-white striped cup B (C, UD); P2 white cup B (O, UD) [TARGET]; P3 white cup A (C, UD) [STATE COMPETITOR]; P4 brown cup A (O, UR)</x:v>
      </x:c>
      <x:c r="E54" s="9" t="str">
        <x:f>IF('Evaluation Plan'!H54="Exact-scene opposite-state contrast",'Evaluation Plan'!E54,IF('Evaluation Plan'!H54="Language robustness",'Evaluation Plan'!E54,IF('Evaluation Plan'!H54="Matched manipulation control",'Evaluation Plan'!E54,IF('Evaluation Plan'!H54="Black-cup held-out-state composition",'Evaluation Plan'!E54,""))))</x:f>
      </x:c>
      <x:c r="F54" s="9" t="str">
        <x:f>'Evaluation Plan'!F54</x:f>
        <x:v>white cup B</x:v>
      </x:c>
      <x:c r="G54" s="10"/>
      <x:c r="H54" s="9" t="str">
        <x:f>'Evaluation Plan'!H54</x:f>
        <x:v>Concept/compositional transfer</x:v>
      </x:c>
      <x:c r="I54" s="9" t="str">
        <x:f>'Evaluation Plan'!I54</x:f>
        <x:v>SR-F14</x:v>
      </x:c>
      <x:c r="J54" s="9" t="str">
        <x:f>'Evaluation Plan'!J54</x:f>
        <x:v>open</x:v>
      </x:c>
      <x:c r="K54" s="9" t="n">
        <x:f>'Evaluation Plan'!K54</x:f>
        <x:v>4</x:v>
      </x:c>
      <x:c r="L54" s="9" t="str">
        <x:f>'Evaluation Plan'!L54</x:f>
        <x:v>1 — Canonical transfer — Seen state word in a new scene (open)</x:v>
      </x:c>
      <x:c r="M54" s="9" t="n">
        <x:f>'Evaluation Plan'!M54</x:f>
        <x:v>14</x:v>
      </x:c>
      <x:c r="N54" s="10" t="str">
        <x:f>'Evaluation Plan'!N54</x:f>
        <x:v>Build the marked same-category discrimination scene. Save a first-frame image or filename.</x:v>
      </x:c>
      <x:c r="O54" s="10" t="str">
        <x:f>'Evaluation Plan'!O54</x:f>
        <x:v>Two objects match the named category; only the state word selects the target. Target and competitor differ only on the queried state axis.</x:v>
      </x:c>
      <x:c r="P54" s="10" t="str">
        <x:f>IF('Evaluation Plan'!P54=0,"",'Evaluation Plan'!P54)</x:f>
      </x:c>
    </x:row>
    <x:row r="55" ht="58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Move the closed white cup into the bowl.</x:v>
      </x:c>
      <x:c r="D55" s="7" t="str">
        <x:f>'Evaluation Plan'!D55</x:f>
        <x:v>P1 yellow-white striped cup B (C, UD); P2 white cup B (O, UD) [STATE COMPETITOR]; P3 white cup A (C, UD) [TARGET]; P4 brown cup A (O, UR)</x:v>
      </x:c>
      <x:c r="E55" s="8" t="n">
        <x:f>IF('Evaluation Plan'!H55="Exact-scene opposite-state contrast",'Evaluation Plan'!E55,IF('Evaluation Plan'!H55="Language robustness",'Evaluation Plan'!E55,IF('Evaluation Plan'!H55="Matched manipulation control",'Evaluation Plan'!E55,IF('Evaluation Plan'!H55="Black-cup held-out-state composition",'Evaluation Plan'!E55,""))))</x:f>
        <x:v>52</x:v>
      </x:c>
      <x:c r="F55" s="8" t="str">
        <x:f>'Evaluation Plan'!F55</x:f>
        <x:v>white cup A</x:v>
      </x:c>
      <x:c r="G55" s="7"/>
      <x:c r="H55" s="8" t="str">
        <x:f>'Evaluation Plan'!H55</x:f>
        <x:v>Exact-scene opposite-state contrast</x:v>
      </x:c>
      <x:c r="I55" s="8" t="str">
        <x:f>'Evaluation Plan'!I55</x:f>
        <x:v>SR-F14</x:v>
      </x:c>
      <x:c r="J55" s="8" t="str">
        <x:f>'Evaluation Plan'!J55</x:f>
        <x:v>closed</x:v>
      </x:c>
      <x:c r="K55" s="8" t="n">
        <x:f>'Evaluation Plan'!K55</x:f>
        <x:v>4</x:v>
      </x:c>
      <x:c r="L55" s="8" t="str">
        <x:f>'Evaluation Plan'!L55</x:f>
        <x:v>2 — Exact-scene opposite-state contrast — State-word counterfactual (open→closed)</x:v>
      </x:c>
      <x:c r="M55" s="8" t="n">
        <x:f>'Evaluation Plan'!M55</x:f>
        <x:v>14</x:v>
      </x:c>
      <x:c r="N55" s="7" t="str">
        <x:f>'Evaluation Plan'!N55</x:f>
        <x:v>Reset the canonical target to its marked position. Preserve every object and state; change only the queried state word and expected target.</x:v>
      </x:c>
      <x:c r="O55" s="7" t="str">
        <x:f>'Evaluation Plan'!O55</x:f>
        <x:v>Exact-scene semantic counterfactual. The state word switches to the opposite state and the correct target switches to the other same-category instance.</x:v>
      </x:c>
      <x:c r="P55" s="7" t="str">
        <x:f>IF('Evaluation Plan'!P55=0,"",'Evaluation Plan'!P55)</x:f>
      </x:c>
    </x:row>
    <x:row r="56" ht="58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Put the white cup in the bowl.</x:v>
      </x:c>
      <x:c r="D56" s="7" t="str">
        <x:f>'Evaluation Plan'!D56</x:f>
        <x:v>P1 yellow-white striped cup B (C, UD); P2 white cup B (O, UD) [TARGET]; P3 glass spice container A (C, UD) [NEUTRAL REPLACEMENT]; P4 brown cup A (O, UR)</x:v>
      </x:c>
      <x:c r="E56" s="8" t="n">
        <x:f>IF('Evaluation Plan'!H56="Exact-scene opposite-state contrast",'Evaluation Plan'!E56,IF('Evaluation Plan'!H56="Language robustness",'Evaluation Plan'!E56,IF('Evaluation Plan'!H56="Matched manipulation control",'Evaluation Plan'!E56,IF('Evaluation Plan'!H56="Black-cup held-out-state composition",'Evaluation Plan'!E56,""))))</x:f>
        <x:v>52</x:v>
      </x:c>
      <x:c r="F56" s="8" t="str">
        <x:f>'Evaluation Plan'!F56</x:f>
        <x:v>white cup B</x:v>
      </x:c>
      <x:c r="G56" s="7"/>
      <x:c r="H56" s="8" t="str">
        <x:f>'Evaluation Plan'!H56</x:f>
        <x:v>Matched manipulation control</x:v>
      </x:c>
      <x:c r="I56" s="8" t="str">
        <x:f>'Evaluation Plan'!I56</x:f>
        <x:v>SR-F14</x:v>
      </x:c>
      <x:c r="J56" s="8" t="str">
        <x:f>'Evaluation Plan'!J56</x:f>
        <x:v>open</x:v>
      </x:c>
      <x:c r="K56" s="8" t="n">
        <x:f>'Evaluation Plan'!K56</x:f>
        <x:v>4</x:v>
      </x:c>
      <x:c r="L56" s="8" t="str">
        <x:f>'Evaluation Plan'!L56</x:f>
        <x:v>3 — Matched control — Category-only control with 4 objects</x:v>
      </x:c>
      <x:c r="M56" s="8" t="n">
        <x:f>'Evaluation Plan'!M56</x:f>
        <x:v>14</x:v>
      </x:c>
      <x:c r="N56" s="7" t="str">
        <x:f>'Evaluation Plan'!N56</x:f>
        <x:v>Reset the target; replace the same-category state competitor with glass spice container A at the same position. Keep object count, other objects, camera, and bowl fixed.</x:v>
      </x:c>
      <x:c r="O56" s="7" t="str">
        <x:f>'Evaluation Plan'!O56</x:f>
        <x:v>The neutral replacement removes category ambiguity without changing the three- or four-object set size.</x:v>
      </x:c>
      <x:c r="P56" s="7" t="str">
        <x:f>IF('Evaluation Plan'!P56=0,"",'Evaluation Plan'!P56)</x:f>
      </x:c>
    </x:row>
    <x:row r="57" ht="58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Take the white cup and set it in the bowl.</x:v>
      </x:c>
      <x:c r="D57" s="7" t="str">
        <x:f>'Evaluation Plan'!D57</x:f>
        <x:v>P1 yellow-white striped cup B (C, UD); P2 white cup B (O, UD) [TARGET]; P3 glass spice container A (C, UD) [NEUTRAL REPLACEMENT]; P4 brown cup A (O, UR)</x:v>
      </x:c>
      <x:c r="E57" s="8" t="n">
        <x:f>IF('Evaluation Plan'!H57="Exact-scene opposite-state contrast",'Evaluation Plan'!E57,IF('Evaluation Plan'!H57="Language robustness",'Evaluation Plan'!E57,IF('Evaluation Plan'!H57="Matched manipulation control",'Evaluation Plan'!E57,IF('Evaluation Plan'!H57="Black-cup held-out-state composition",'Evaluation Plan'!E57,""))))</x:f>
        <x:v>54</x:v>
      </x:c>
      <x:c r="F57" s="8" t="str">
        <x:f>'Evaluation Plan'!F57</x:f>
        <x:v>white cup B</x:v>
      </x:c>
      <x:c r="G57" s="7"/>
      <x:c r="H57" s="8" t="str">
        <x:f>'Evaluation Plan'!H57</x:f>
        <x:v>Language robustness</x:v>
      </x:c>
      <x:c r="I57" s="8" t="str">
        <x:f>'Evaluation Plan'!I57</x:f>
        <x:v>SR-F14</x:v>
      </x:c>
      <x:c r="J57" s="8" t="str">
        <x:f>'Evaluation Plan'!J57</x:f>
        <x:v>open</x:v>
      </x:c>
      <x:c r="K57" s="8" t="n">
        <x:f>'Evaluation Plan'!K57</x:f>
        <x:v>4</x:v>
      </x:c>
      <x:c r="L57" s="8" t="str">
        <x:f>'Evaluation Plan'!L57</x:f>
        <x:v>4 — Exact-scene control paraphrase — Paraphrase of matched-control prompt</x:v>
      </x:c>
      <x:c r="M57" s="8" t="n">
        <x:f>'Evaluation Plan'!M57</x:f>
        <x:v>14</x:v>
      </x:c>
      <x:c r="N57" s="7" t="str">
        <x:f>'Evaluation Plan'!N57</x:f>
        <x:v>Reset only the moved target; change only the prompt wording.</x:v>
      </x:c>
      <x:c r="O57" s="7" t="str">
        <x:f>'Evaluation Plan'!O57</x:f>
        <x:v>Exact-scene language pair for the category-only matched control.</x:v>
      </x:c>
      <x:c r="P57" s="7" t="str">
        <x:f>IF('Evaluation Plan'!P57=0,"",'Evaluation Plan'!P57)</x:f>
      </x:c>
    </x:row>
    <x:row r="58" ht="58" customHeight="1">
      <x:c r="A58" s="9" t="str">
        <x:v>Not collected</x:v>
      </x:c>
      <x:c r="B58" s="9" t="n">
        <x:f>'Evaluation Plan'!B58</x:f>
        <x:v>56</x:v>
      </x:c>
      <x:c r="C58" s="10" t="str">
        <x:f>'Evaluation Plan'!C58</x:f>
        <x:v>Move the upright yellow-white striped cup into the bowl.</x:v>
      </x:c>
      <x:c r="D58" s="10" t="str">
        <x:f>'Evaluation Plan'!D58</x:f>
        <x:v>P1 white cup A (O, UR); P2 brown cup B (C, UD); P3 yellow-white striped cup A (O, UR) [TARGET]; P4 yellow-white striped cup B (O, UD) [STATE COMPETITOR]</x:v>
      </x:c>
      <x:c r="E58" s="9" t="str">
        <x:f>IF('Evaluation Plan'!H58="Exact-scene opposite-state contrast",'Evaluation Plan'!E58,IF('Evaluation Plan'!H58="Language robustness",'Evaluation Plan'!E58,IF('Evaluation Plan'!H58="Matched manipulation control",'Evaluation Plan'!E58,IF('Evaluation Plan'!H58="Black-cup held-out-state composition",'Evaluation Plan'!E58,""))))</x:f>
      </x:c>
      <x:c r="F58" s="9" t="str">
        <x:f>'Evaluation Plan'!F58</x:f>
        <x:v>yellow-white striped cup A</x:v>
      </x:c>
      <x:c r="G58" s="10"/>
      <x:c r="H58" s="9" t="str">
        <x:f>'Evaluation Plan'!H58</x:f>
        <x:v>Concept/compositional transfer</x:v>
      </x:c>
      <x:c r="I58" s="9" t="str">
        <x:f>'Evaluation Plan'!I58</x:f>
        <x:v>SR-F15</x:v>
      </x:c>
      <x:c r="J58" s="9" t="str">
        <x:f>'Evaluation Plan'!J58</x:f>
        <x:v>upright</x:v>
      </x:c>
      <x:c r="K58" s="9" t="n">
        <x:f>'Evaluation Plan'!K58</x:f>
        <x:v>4</x:v>
      </x:c>
      <x:c r="L58" s="9" t="str">
        <x:f>'Evaluation Plan'!L58</x:f>
        <x:v>1 — Canonical transfer — Held-out state word + known category (upright)</x:v>
      </x:c>
      <x:c r="M58" s="9" t="n">
        <x:f>'Evaluation Plan'!M58</x:f>
        <x:v>15</x:v>
      </x:c>
      <x:c r="N58" s="10" t="str">
        <x:f>'Evaluation Plan'!N58</x:f>
        <x:v>Build the marked same-category discrimination scene. Save a first-frame image or filename.</x:v>
      </x:c>
      <x:c r="O58" s="10" t="str">
        <x:f>'Evaluation Plan'!O58</x:f>
        <x:v>Two objects match the named category; only the state word selects the target. Target and competitor differ only on the queried state axis.</x:v>
      </x:c>
      <x:c r="P58" s="10" t="str">
        <x:f>IF('Evaluation Plan'!P58=0,"",'Evaluation Plan'!P58)</x:f>
      </x:c>
    </x:row>
    <x:row r="59" ht="58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Place the upside-down yellow-white striped cup in the bowl.</x:v>
      </x:c>
      <x:c r="D59" s="7" t="str">
        <x:f>'Evaluation Plan'!D59</x:f>
        <x:v>P1 white cup A (O, UR); P2 brown cup B (C, UD); P3 yellow-white striped cup A (O, UR) [STATE COMPETITOR]; P4 yellow-white striped cup B (O, UD) [TARGET]</x:v>
      </x:c>
      <x:c r="E59" s="8" t="n">
        <x:f>IF('Evaluation Plan'!H59="Exact-scene opposite-state contrast",'Evaluation Plan'!E59,IF('Evaluation Plan'!H59="Language robustness",'Evaluation Plan'!E59,IF('Evaluation Plan'!H59="Matched manipulation control",'Evaluation Plan'!E59,IF('Evaluation Plan'!H59="Black-cup held-out-state composition",'Evaluation Plan'!E59,""))))</x:f>
        <x:v>56</x:v>
      </x:c>
      <x:c r="F59" s="8" t="str">
        <x:f>'Evaluation Plan'!F59</x:f>
        <x:v>yellow-white striped cup B</x:v>
      </x:c>
      <x:c r="G59" s="7"/>
      <x:c r="H59" s="8" t="str">
        <x:f>'Evaluation Plan'!H59</x:f>
        <x:v>Exact-scene opposite-state contrast</x:v>
      </x:c>
      <x:c r="I59" s="8" t="str">
        <x:f>'Evaluation Plan'!I59</x:f>
        <x:v>SR-F15</x:v>
      </x:c>
      <x:c r="J59" s="8" t="str">
        <x:f>'Evaluation Plan'!J59</x:f>
        <x:v>upside-down</x:v>
      </x:c>
      <x:c r="K59" s="8" t="n">
        <x:f>'Evaluation Plan'!K59</x:f>
        <x:v>4</x:v>
      </x:c>
      <x:c r="L59" s="8" t="str">
        <x:f>'Evaluation Plan'!L59</x:f>
        <x:v>2 — Exact-scene opposite-state contrast — State-word counterfactual (upright→upside-down)</x:v>
      </x:c>
      <x:c r="M59" s="8" t="n">
        <x:f>'Evaluation Plan'!M59</x:f>
        <x:v>15</x:v>
      </x:c>
      <x:c r="N59" s="7" t="str">
        <x:f>'Evaluation Plan'!N59</x:f>
        <x:v>Reset the canonical target to its marked position. Preserve every object and state; change only the queried state word and expected target.</x:v>
      </x:c>
      <x:c r="O59" s="7" t="str">
        <x:f>'Evaluation Plan'!O59</x:f>
        <x:v>Exact-scene semantic counterfactual. The state word switches to the opposite state and the correct target switches to the other same-category instance.</x:v>
      </x:c>
      <x:c r="P59" s="7" t="str">
        <x:f>IF('Evaluation Plan'!P59=0,"",'Evaluation Plan'!P59)</x:f>
      </x:c>
    </x:row>
    <x:row r="60" ht="58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Move the yellow-white striped cup into the bowl.</x:v>
      </x:c>
      <x:c r="D60" s="7" t="str">
        <x:f>'Evaluation Plan'!D60</x:f>
        <x:v>P1 white cup A (O, UR); P2 brown cup B (C, UD); P3 yellow-white striped cup A (O, UR) [TARGET]; P4 glass spice container B (O, UD) [NEUTRAL REPLACEMENT]</x:v>
      </x:c>
      <x:c r="E60" s="8" t="n">
        <x:f>IF('Evaluation Plan'!H60="Exact-scene opposite-state contrast",'Evaluation Plan'!E60,IF('Evaluation Plan'!H60="Language robustness",'Evaluation Plan'!E60,IF('Evaluation Plan'!H60="Matched manipulation control",'Evaluation Plan'!E60,IF('Evaluation Plan'!H60="Black-cup held-out-state composition",'Evaluation Plan'!E60,""))))</x:f>
        <x:v>56</x:v>
      </x:c>
      <x:c r="F60" s="8" t="str">
        <x:f>'Evaluation Plan'!F60</x:f>
        <x:v>yellow-white striped cup A</x:v>
      </x:c>
      <x:c r="G60" s="7"/>
      <x:c r="H60" s="8" t="str">
        <x:f>'Evaluation Plan'!H60</x:f>
        <x:v>Matched manipulation control</x:v>
      </x:c>
      <x:c r="I60" s="8" t="str">
        <x:f>'Evaluation Plan'!I60</x:f>
        <x:v>SR-F15</x:v>
      </x:c>
      <x:c r="J60" s="8" t="str">
        <x:f>'Evaluation Plan'!J60</x:f>
        <x:v>upright</x:v>
      </x:c>
      <x:c r="K60" s="8" t="n">
        <x:f>'Evaluation Plan'!K60</x:f>
        <x:v>4</x:v>
      </x:c>
      <x:c r="L60" s="8" t="str">
        <x:f>'Evaluation Plan'!L60</x:f>
        <x:v>3 — Matched control — Category-only control with 4 objects</x:v>
      </x:c>
      <x:c r="M60" s="8" t="n">
        <x:f>'Evaluation Plan'!M60</x:f>
        <x:v>15</x:v>
      </x:c>
      <x:c r="N60" s="7" t="str">
        <x:f>'Evaluation Plan'!N60</x:f>
        <x:v>Reset the target; replace the same-category state competitor with glass spice container B at the same position. Keep object count, other objects, camera, and bowl fixed.</x:v>
      </x:c>
      <x:c r="O60" s="7" t="str">
        <x:f>'Evaluation Plan'!O60</x:f>
        <x:v>The neutral replacement removes category ambiguity without changing the three- or four-object set size.</x:v>
      </x:c>
      <x:c r="P60" s="7" t="str">
        <x:f>IF('Evaluation Plan'!P60=0,"",'Evaluation Plan'!P60)</x:f>
      </x:c>
    </x:row>
    <x:row r="61" ht="58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Transfer the yellow-white striped cup into the bowl.</x:v>
      </x:c>
      <x:c r="D61" s="7" t="str">
        <x:f>'Evaluation Plan'!D61</x:f>
        <x:v>P1 white cup A (O, UR); P2 brown cup B (C, UD); P3 yellow-white striped cup A (O, UR) [TARGET]; P4 glass spice container B (O, UD) [NEUTRAL REPLACEMENT]</x:v>
      </x:c>
      <x:c r="E61" s="8" t="n">
        <x:f>IF('Evaluation Plan'!H61="Exact-scene opposite-state contrast",'Evaluation Plan'!E61,IF('Evaluation Plan'!H61="Language robustness",'Evaluation Plan'!E61,IF('Evaluation Plan'!H61="Matched manipulation control",'Evaluation Plan'!E61,IF('Evaluation Plan'!H61="Black-cup held-out-state composition",'Evaluation Plan'!E61,""))))</x:f>
        <x:v>58</x:v>
      </x:c>
      <x:c r="F61" s="8" t="str">
        <x:f>'Evaluation Plan'!F61</x:f>
        <x:v>yellow-white striped cup A</x:v>
      </x:c>
      <x:c r="G61" s="7"/>
      <x:c r="H61" s="8" t="str">
        <x:f>'Evaluation Plan'!H61</x:f>
        <x:v>Language robustness</x:v>
      </x:c>
      <x:c r="I61" s="8" t="str">
        <x:f>'Evaluation Plan'!I61</x:f>
        <x:v>SR-F15</x:v>
      </x:c>
      <x:c r="J61" s="8" t="str">
        <x:f>'Evaluation Plan'!J61</x:f>
        <x:v>upright</x:v>
      </x:c>
      <x:c r="K61" s="8" t="n">
        <x:f>'Evaluation Plan'!K61</x:f>
        <x:v>4</x:v>
      </x:c>
      <x:c r="L61" s="8" t="str">
        <x:f>'Evaluation Plan'!L61</x:f>
        <x:v>4 — Exact-scene control paraphrase — Paraphrase of matched-control prompt</x:v>
      </x:c>
      <x:c r="M61" s="8" t="n">
        <x:f>'Evaluation Plan'!M61</x:f>
        <x:v>15</x:v>
      </x:c>
      <x:c r="N61" s="7" t="str">
        <x:f>'Evaluation Plan'!N61</x:f>
        <x:v>Reset only the moved target; change only the prompt wording.</x:v>
      </x:c>
      <x:c r="O61" s="7" t="str">
        <x:f>'Evaluation Plan'!O61</x:f>
        <x:v>Exact-scene language pair for the category-only matched control.</x:v>
      </x:c>
      <x:c r="P61" s="7" t="str">
        <x:f>IF('Evaluation Plan'!P61=0,"",'Evaluation Plan'!P61)</x:f>
      </x:c>
    </x:row>
    <x:row r="62" ht="58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Place the upside-down brown cup in the bowl.</x:v>
      </x:c>
      <x:c r="D62" s="10" t="str">
        <x:f>'Evaluation Plan'!D62</x:f>
        <x:v>P1 brown cup A (C, UR) [STATE COMPETITOR]; P2 white cup A (O, UR); P3 yellow-white striped cup B (C, UD); P4 brown cup B (C, UD) [TARGET]</x:v>
      </x:c>
      <x:c r="E62" s="9" t="str">
        <x:f>IF('Evaluation Plan'!H62="Exact-scene opposite-state contrast",'Evaluation Plan'!E62,IF('Evaluation Plan'!H62="Language robustness",'Evaluation Plan'!E62,IF('Evaluation Plan'!H62="Matched manipulation control",'Evaluation Plan'!E62,IF('Evaluation Plan'!H62="Black-cup held-out-state composition",'Evaluation Plan'!E62,""))))</x:f>
      </x:c>
      <x:c r="F62" s="9" t="str">
        <x:f>'Evaluation Plan'!F62</x:f>
        <x:v>brown cup B</x:v>
      </x:c>
      <x:c r="G62" s="10"/>
      <x:c r="H62" s="9" t="str">
        <x:f>'Evaluation Plan'!H62</x:f>
        <x:v>Concept/compositional transfer</x:v>
      </x:c>
      <x:c r="I62" s="9" t="str">
        <x:f>'Evaluation Plan'!I62</x:f>
        <x:v>SR-F16</x:v>
      </x:c>
      <x:c r="J62" s="9" t="str">
        <x:f>'Evaluation Plan'!J62</x:f>
        <x:v>upside-down</x:v>
      </x:c>
      <x:c r="K62" s="9" t="n">
        <x:f>'Evaluation Plan'!K62</x:f>
        <x:v>4</x:v>
      </x:c>
      <x:c r="L62" s="9" t="str">
        <x:f>'Evaluation Plan'!L62</x:f>
        <x:v>1 — Canonical transfer — Seen state word in a new scene (upside-down)</x:v>
      </x:c>
      <x:c r="M62" s="9" t="n">
        <x:f>'Evaluation Plan'!M62</x:f>
        <x:v>16</x:v>
      </x:c>
      <x:c r="N62" s="10" t="str">
        <x:f>'Evaluation Plan'!N62</x:f>
        <x:v>Build the marked same-category discrimination scene. Save a first-frame image or filename.</x:v>
      </x:c>
      <x:c r="O62" s="10" t="str">
        <x:f>'Evaluation Plan'!O62</x:f>
        <x:v>Two objects match the named category; only the state word selects the target. Target and competitor differ only on the queried state axis.</x:v>
      </x:c>
      <x:c r="P62" s="10" t="str">
        <x:f>IF('Evaluation Plan'!P62=0,"",'Evaluation Plan'!P62)</x:f>
      </x:c>
    </x:row>
    <x:row r="63" ht="58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Put the upright brown cup in the bowl.</x:v>
      </x:c>
      <x:c r="D63" s="7" t="str">
        <x:f>'Evaluation Plan'!D63</x:f>
        <x:v>P1 brown cup A (C, UR) [TARGET]; P2 white cup A (O, UR); P3 yellow-white striped cup B (C, UD); P4 brown cup B (C, UD) [STATE COMPETITOR]</x:v>
      </x:c>
      <x:c r="E63" s="8" t="n">
        <x:f>IF('Evaluation Plan'!H63="Exact-scene opposite-state contrast",'Evaluation Plan'!E63,IF('Evaluation Plan'!H63="Language robustness",'Evaluation Plan'!E63,IF('Evaluation Plan'!H63="Matched manipulation control",'Evaluation Plan'!E63,IF('Evaluation Plan'!H63="Black-cup held-out-state composition",'Evaluation Plan'!E63,""))))</x:f>
        <x:v>60</x:v>
      </x:c>
      <x:c r="F63" s="8" t="str">
        <x:f>'Evaluation Plan'!F63</x:f>
        <x:v>brown cup A</x:v>
      </x:c>
      <x:c r="G63" s="7"/>
      <x:c r="H63" s="8" t="str">
        <x:f>'Evaluation Plan'!H63</x:f>
        <x:v>Exact-scene opposite-state contrast</x:v>
      </x:c>
      <x:c r="I63" s="8" t="str">
        <x:f>'Evaluation Plan'!I63</x:f>
        <x:v>SR-F16</x:v>
      </x:c>
      <x:c r="J63" s="8" t="str">
        <x:f>'Evaluation Plan'!J63</x:f>
        <x:v>upright</x:v>
      </x:c>
      <x:c r="K63" s="8" t="n">
        <x:f>'Evaluation Plan'!K63</x:f>
        <x:v>4</x:v>
      </x:c>
      <x:c r="L63" s="8" t="str">
        <x:f>'Evaluation Plan'!L63</x:f>
        <x:v>2 — Exact-scene opposite-state contrast — State-word counterfactual (upside-down→upright)</x:v>
      </x:c>
      <x:c r="M63" s="8" t="n">
        <x:f>'Evaluation Plan'!M63</x:f>
        <x:v>16</x:v>
      </x:c>
      <x:c r="N63" s="7" t="str">
        <x:f>'Evaluation Plan'!N63</x:f>
        <x:v>Reset the canonical target to its marked position. Preserve every object and state; change only the queried state word and expected target.</x:v>
      </x:c>
      <x:c r="O63" s="7" t="str">
        <x:f>'Evaluation Plan'!O63</x:f>
        <x:v>Exact-scene semantic counterfactual. The state word switches to the opposite state and the correct target switches to the other same-category instance.</x:v>
      </x:c>
      <x:c r="P63" s="7" t="str">
        <x:f>IF('Evaluation Plan'!P63=0,"",'Evaluation Plan'!P63)</x:f>
      </x:c>
    </x:row>
    <x:row r="64" ht="58" customHeight="1">
      <x:c r="A64" s="8" t="str">
        <x:v>Not collected</x:v>
      </x:c>
      <x:c r="B64" s="8" t="n">
        <x:f>'Evaluation Plan'!B64</x:f>
        <x:v>62</x:v>
      </x:c>
      <x:c r="C64" s="7" t="str">
        <x:f>'Evaluation Plan'!C64</x:f>
        <x:v>Place the brown cup in the bowl.</x:v>
      </x:c>
      <x:c r="D64" s="7" t="str">
        <x:f>'Evaluation Plan'!D64</x:f>
        <x:v>P1 glass spice container A (C, UR) [NEUTRAL REPLACEMENT]; P2 white cup A (O, UR); P3 yellow-white striped cup B (C, UD); P4 brown cup B (C, UD) [TARGET]</x:v>
      </x:c>
      <x:c r="E64" s="8" t="n">
        <x:f>IF('Evaluation Plan'!H64="Exact-scene opposite-state contrast",'Evaluation Plan'!E64,IF('Evaluation Plan'!H64="Language robustness",'Evaluation Plan'!E64,IF('Evaluation Plan'!H64="Matched manipulation control",'Evaluation Plan'!E64,IF('Evaluation Plan'!H64="Black-cup held-out-state composition",'Evaluation Plan'!E64,""))))</x:f>
        <x:v>60</x:v>
      </x:c>
      <x:c r="F64" s="8" t="str">
        <x:f>'Evaluation Plan'!F64</x:f>
        <x:v>brown cup B</x:v>
      </x:c>
      <x:c r="G64" s="7"/>
      <x:c r="H64" s="8" t="str">
        <x:f>'Evaluation Plan'!H64</x:f>
        <x:v>Matched manipulation control</x:v>
      </x:c>
      <x:c r="I64" s="8" t="str">
        <x:f>'Evaluation Plan'!I64</x:f>
        <x:v>SR-F16</x:v>
      </x:c>
      <x:c r="J64" s="8" t="str">
        <x:f>'Evaluation Plan'!J64</x:f>
        <x:v>upside-down</x:v>
      </x:c>
      <x:c r="K64" s="8" t="n">
        <x:f>'Evaluation Plan'!K64</x:f>
        <x:v>4</x:v>
      </x:c>
      <x:c r="L64" s="8" t="str">
        <x:f>'Evaluation Plan'!L64</x:f>
        <x:v>3 — Matched control — Category-only control with 4 objects</x:v>
      </x:c>
      <x:c r="M64" s="8" t="n">
        <x:f>'Evaluation Plan'!M64</x:f>
        <x:v>16</x:v>
      </x:c>
      <x:c r="N64" s="7" t="str">
        <x:f>'Evaluation Plan'!N64</x:f>
        <x:v>Reset the target; replace the same-category state competitor with glass spice container A at the same position. Keep object count, other objects, camera, and bowl fixed.</x:v>
      </x:c>
      <x:c r="O64" s="7" t="str">
        <x:f>'Evaluation Plan'!O64</x:f>
        <x:v>The neutral replacement removes category ambiguity without changing the three- or four-object set size.</x:v>
      </x:c>
      <x:c r="P64" s="7" t="str">
        <x:f>IF('Evaluation Plan'!P64=0,"",'Evaluation Plan'!P64)</x:f>
      </x:c>
    </x:row>
    <x:row r="65" ht="58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Pick up the brown cup and place it in the bowl.</x:v>
      </x:c>
      <x:c r="D65" s="7" t="str">
        <x:f>'Evaluation Plan'!D65</x:f>
        <x:v>P1 glass spice container A (C, UR) [NEUTRAL REPLACEMENT]; P2 white cup A (O, UR); P3 yellow-white striped cup B (C, UD); P4 brown cup B (C, UD) [TARGET]</x:v>
      </x:c>
      <x:c r="E65" s="8" t="n">
        <x:f>IF('Evaluation Plan'!H65="Exact-scene opposite-state contrast",'Evaluation Plan'!E65,IF('Evaluation Plan'!H65="Language robustness",'Evaluation Plan'!E65,IF('Evaluation Plan'!H65="Matched manipulation control",'Evaluation Plan'!E65,IF('Evaluation Plan'!H65="Black-cup held-out-state composition",'Evaluation Plan'!E65,""))))</x:f>
        <x:v>62</x:v>
      </x:c>
      <x:c r="F65" s="8" t="str">
        <x:f>'Evaluation Plan'!F65</x:f>
        <x:v>brown cup B</x:v>
      </x:c>
      <x:c r="G65" s="7"/>
      <x:c r="H65" s="8" t="str">
        <x:f>'Evaluation Plan'!H65</x:f>
        <x:v>Language robustness</x:v>
      </x:c>
      <x:c r="I65" s="8" t="str">
        <x:f>'Evaluation Plan'!I65</x:f>
        <x:v>SR-F16</x:v>
      </x:c>
      <x:c r="J65" s="8" t="str">
        <x:f>'Evaluation Plan'!J65</x:f>
        <x:v>upside-down</x:v>
      </x:c>
      <x:c r="K65" s="8" t="n">
        <x:f>'Evaluation Plan'!K65</x:f>
        <x:v>4</x:v>
      </x:c>
      <x:c r="L65" s="8" t="str">
        <x:f>'Evaluation Plan'!L65</x:f>
        <x:v>4 — Exact-scene control paraphrase — Paraphrase of matched-control prompt</x:v>
      </x:c>
      <x:c r="M65" s="8" t="n">
        <x:f>'Evaluation Plan'!M65</x:f>
        <x:v>16</x:v>
      </x:c>
      <x:c r="N65" s="7" t="str">
        <x:f>'Evaluation Plan'!N65</x:f>
        <x:v>Reset only the moved target; change only the prompt wording.</x:v>
      </x:c>
      <x:c r="O65" s="7" t="str">
        <x:f>'Evaluation Plan'!O65</x:f>
        <x:v>Exact-scene language pair for the category-only matched control.</x:v>
      </x:c>
      <x:c r="P65" s="7" t="str">
        <x:f>IF('Evaluation Plan'!P65=0,"",'Evaluation Plan'!P65)</x:f>
      </x:c>
    </x:row>
    <x:row r="66" ht="58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Put the closed white cup in the bowl.</x:v>
      </x:c>
      <x:c r="D66" s="10" t="str">
        <x:f>'Evaluation Plan'!D66</x:f>
        <x:v>P1 white cup A (C, UR) [TARGET]; P2 white cup B (O, UR) [STATE COMPETITOR]; P3 yellow-white striped cup A (O, UR); P4 brown cup B (C, UD)</x:v>
      </x:c>
      <x:c r="E66" s="9" t="str">
        <x:f>IF('Evaluation Plan'!H66="Exact-scene opposite-state contrast",'Evaluation Plan'!E66,IF('Evaluation Plan'!H66="Language robustness",'Evaluation Plan'!E66,IF('Evaluation Plan'!H66="Matched manipulation control",'Evaluation Plan'!E66,IF('Evaluation Plan'!H66="Black-cup held-out-state composition",'Evaluation Plan'!E66,""))))</x:f>
      </x:c>
      <x:c r="F66" s="9" t="str">
        <x:f>'Evaluation Plan'!F66</x:f>
        <x:v>white cup A</x:v>
      </x:c>
      <x:c r="G66" s="10"/>
      <x:c r="H66" s="9" t="str">
        <x:f>'Evaluation Plan'!H66</x:f>
        <x:v>Concept/compositional transfer</x:v>
      </x:c>
      <x:c r="I66" s="9" t="str">
        <x:f>'Evaluation Plan'!I66</x:f>
        <x:v>SR-F17</x:v>
      </x:c>
      <x:c r="J66" s="9" t="str">
        <x:f>'Evaluation Plan'!J66</x:f>
        <x:v>closed</x:v>
      </x:c>
      <x:c r="K66" s="9" t="n">
        <x:f>'Evaluation Plan'!K66</x:f>
        <x:v>4</x:v>
      </x:c>
      <x:c r="L66" s="9" t="str">
        <x:f>'Evaluation Plan'!L66</x:f>
        <x:v>1 — Canonical transfer — Held-out state word + known category (closed)</x:v>
      </x:c>
      <x:c r="M66" s="9" t="n">
        <x:f>'Evaluation Plan'!M66</x:f>
        <x:v>17</x:v>
      </x:c>
      <x:c r="N66" s="10" t="str">
        <x:f>'Evaluation Plan'!N66</x:f>
        <x:v>Build the marked same-category discrimination scene. Save a first-frame image or filename.</x:v>
      </x:c>
      <x:c r="O66" s="10" t="str">
        <x:f>'Evaluation Plan'!O66</x:f>
        <x:v>Two objects match the named category; only the state word selects the target. Target and competitor differ only on the queried state axis.</x:v>
      </x:c>
      <x:c r="P66" s="10" t="str">
        <x:f>IF('Evaluation Plan'!P66=0,"",'Evaluation Plan'!P66)</x:f>
      </x:c>
    </x:row>
    <x:row r="67" ht="58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Move the open white cup into the bowl.</x:v>
      </x:c>
      <x:c r="D67" s="7" t="str">
        <x:f>'Evaluation Plan'!D67</x:f>
        <x:v>P1 white cup A (C, UR) [STATE COMPETITOR]; P2 white cup B (O, UR) [TARGET]; P3 yellow-white striped cup A (O, UR); P4 brown cup B (C, UD)</x:v>
      </x:c>
      <x:c r="E67" s="8" t="n">
        <x:f>IF('Evaluation Plan'!H67="Exact-scene opposite-state contrast",'Evaluation Plan'!E67,IF('Evaluation Plan'!H67="Language robustness",'Evaluation Plan'!E67,IF('Evaluation Plan'!H67="Matched manipulation control",'Evaluation Plan'!E67,IF('Evaluation Plan'!H67="Black-cup held-out-state composition",'Evaluation Plan'!E67,""))))</x:f>
        <x:v>64</x:v>
      </x:c>
      <x:c r="F67" s="8" t="str">
        <x:f>'Evaluation Plan'!F67</x:f>
        <x:v>white cup B</x:v>
      </x:c>
      <x:c r="G67" s="7"/>
      <x:c r="H67" s="8" t="str">
        <x:f>'Evaluation Plan'!H67</x:f>
        <x:v>Exact-scene opposite-state contrast</x:v>
      </x:c>
      <x:c r="I67" s="8" t="str">
        <x:f>'Evaluation Plan'!I67</x:f>
        <x:v>SR-F17</x:v>
      </x:c>
      <x:c r="J67" s="8" t="str">
        <x:f>'Evaluation Plan'!J67</x:f>
        <x:v>open</x:v>
      </x:c>
      <x:c r="K67" s="8" t="n">
        <x:f>'Evaluation Plan'!K67</x:f>
        <x:v>4</x:v>
      </x:c>
      <x:c r="L67" s="8" t="str">
        <x:f>'Evaluation Plan'!L67</x:f>
        <x:v>2 — Exact-scene opposite-state contrast — State-word counterfactual (closed→open)</x:v>
      </x:c>
      <x:c r="M67" s="8" t="n">
        <x:f>'Evaluation Plan'!M67</x:f>
        <x:v>17</x:v>
      </x:c>
      <x:c r="N67" s="7" t="str">
        <x:f>'Evaluation Plan'!N67</x:f>
        <x:v>Reset the canonical target to its marked position. Preserve every object and state; change only the queried state word and expected target.</x:v>
      </x:c>
      <x:c r="O67" s="7" t="str">
        <x:f>'Evaluation Plan'!O67</x:f>
        <x:v>Exact-scene semantic counterfactual. The state word switches to the opposite state and the correct target switches to the other same-category instance.</x:v>
      </x:c>
      <x:c r="P67" s="7" t="str">
        <x:f>IF('Evaluation Plan'!P67=0,"",'Evaluation Plan'!P67)</x:f>
      </x:c>
    </x:row>
    <x:row r="68" ht="58" customHeight="1">
      <x:c r="A68" s="8" t="str">
        <x:v>Not collected</x:v>
      </x:c>
      <x:c r="B68" s="8" t="n">
        <x:f>'Evaluation Plan'!B68</x:f>
        <x:v>66</x:v>
      </x:c>
      <x:c r="C68" s="7" t="str">
        <x:f>'Evaluation Plan'!C68</x:f>
        <x:v>Put the white cup in the bowl.</x:v>
      </x:c>
      <x:c r="D68" s="7" t="str">
        <x:f>'Evaluation Plan'!D68</x:f>
        <x:v>P1 white cup A (C, UR) [TARGET]; P2 glass spice container B (O, UR) [NEUTRAL REPLACEMENT]; P3 yellow-white striped cup A (O, UR); P4 brown cup B (C, UD)</x:v>
      </x:c>
      <x:c r="E68" s="8" t="n">
        <x:f>IF('Evaluation Plan'!H68="Exact-scene opposite-state contrast",'Evaluation Plan'!E68,IF('Evaluation Plan'!H68="Language robustness",'Evaluation Plan'!E68,IF('Evaluation Plan'!H68="Matched manipulation control",'Evaluation Plan'!E68,IF('Evaluation Plan'!H68="Black-cup held-out-state composition",'Evaluation Plan'!E68,""))))</x:f>
        <x:v>64</x:v>
      </x:c>
      <x:c r="F68" s="8" t="str">
        <x:f>'Evaluation Plan'!F68</x:f>
        <x:v>white cup A</x:v>
      </x:c>
      <x:c r="G68" s="7"/>
      <x:c r="H68" s="8" t="str">
        <x:f>'Evaluation Plan'!H68</x:f>
        <x:v>Matched manipulation control</x:v>
      </x:c>
      <x:c r="I68" s="8" t="str">
        <x:f>'Evaluation Plan'!I68</x:f>
        <x:v>SR-F17</x:v>
      </x:c>
      <x:c r="J68" s="8" t="str">
        <x:f>'Evaluation Plan'!J68</x:f>
        <x:v>closed</x:v>
      </x:c>
      <x:c r="K68" s="8" t="n">
        <x:f>'Evaluation Plan'!K68</x:f>
        <x:v>4</x:v>
      </x:c>
      <x:c r="L68" s="8" t="str">
        <x:f>'Evaluation Plan'!L68</x:f>
        <x:v>3 — Matched control — Category-only control with 4 objects</x:v>
      </x:c>
      <x:c r="M68" s="8" t="n">
        <x:f>'Evaluation Plan'!M68</x:f>
        <x:v>17</x:v>
      </x:c>
      <x:c r="N68" s="7" t="str">
        <x:f>'Evaluation Plan'!N68</x:f>
        <x:v>Reset the target; replace the same-category state competitor with glass spice container B at the same position. Keep object count, other objects, camera, and bowl fixed.</x:v>
      </x:c>
      <x:c r="O68" s="7" t="str">
        <x:f>'Evaluation Plan'!O68</x:f>
        <x:v>The neutral replacement removes category ambiguity without changing the three- or four-object set size.</x:v>
      </x:c>
      <x:c r="P68" s="7" t="str">
        <x:f>IF('Evaluation Plan'!P68=0,"",'Evaluation Plan'!P68)</x:f>
      </x:c>
    </x:row>
    <x:row r="69" ht="58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Move the white cup over to the bowl.</x:v>
      </x:c>
      <x:c r="D69" s="7" t="str">
        <x:f>'Evaluation Plan'!D69</x:f>
        <x:v>P1 white cup A (C, UR) [TARGET]; P2 glass spice container B (O, UR) [NEUTRAL REPLACEMENT]; P3 yellow-white striped cup A (O, UR); P4 brown cup B (C, UD)</x:v>
      </x:c>
      <x:c r="E69" s="8" t="n">
        <x:f>IF('Evaluation Plan'!H69="Exact-scene opposite-state contrast",'Evaluation Plan'!E69,IF('Evaluation Plan'!H69="Language robustness",'Evaluation Plan'!E69,IF('Evaluation Plan'!H69="Matched manipulation control",'Evaluation Plan'!E69,IF('Evaluation Plan'!H69="Black-cup held-out-state composition",'Evaluation Plan'!E69,""))))</x:f>
        <x:v>66</x:v>
      </x:c>
      <x:c r="F69" s="8" t="str">
        <x:f>'Evaluation Plan'!F69</x:f>
        <x:v>white cup A</x:v>
      </x:c>
      <x:c r="G69" s="7"/>
      <x:c r="H69" s="8" t="str">
        <x:f>'Evaluation Plan'!H69</x:f>
        <x:v>Language robustness</x:v>
      </x:c>
      <x:c r="I69" s="8" t="str">
        <x:f>'Evaluation Plan'!I69</x:f>
        <x:v>SR-F17</x:v>
      </x:c>
      <x:c r="J69" s="8" t="str">
        <x:f>'Evaluation Plan'!J69</x:f>
        <x:v>closed</x:v>
      </x:c>
      <x:c r="K69" s="8" t="n">
        <x:f>'Evaluation Plan'!K69</x:f>
        <x:v>4</x:v>
      </x:c>
      <x:c r="L69" s="8" t="str">
        <x:f>'Evaluation Plan'!L69</x:f>
        <x:v>4 — Exact-scene control paraphrase — Paraphrase of matched-control prompt</x:v>
      </x:c>
      <x:c r="M69" s="8" t="n">
        <x:f>'Evaluation Plan'!M69</x:f>
        <x:v>17</x:v>
      </x:c>
      <x:c r="N69" s="7" t="str">
        <x:f>'Evaluation Plan'!N69</x:f>
        <x:v>Reset only the moved target; change only the prompt wording.</x:v>
      </x:c>
      <x:c r="O69" s="7" t="str">
        <x:f>'Evaluation Plan'!O69</x:f>
        <x:v>Exact-scene language pair for the category-only matched control.</x:v>
      </x:c>
      <x:c r="P69" s="7" t="str">
        <x:f>IF('Evaluation Plan'!P69=0,"",'Evaluation Plan'!P69)</x:f>
      </x:c>
    </x:row>
    <x:row r="70" ht="58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Move the open yellow-white striped cup into the bowl.</x:v>
      </x:c>
      <x:c r="D70" s="10" t="str">
        <x:f>'Evaluation Plan'!D70</x:f>
        <x:v>P1 white cup B (C, UD); P2 yellow-white striped cup B (O, UD) [TARGET]; P3 yellow-white striped cup A (C, UD) [STATE COMPETITOR]; P4 brown cup A (O, UR)</x:v>
      </x:c>
      <x:c r="E70" s="9" t="str">
        <x:f>IF('Evaluation Plan'!H70="Exact-scene opposite-state contrast",'Evaluation Plan'!E70,IF('Evaluation Plan'!H70="Language robustness",'Evaluation Plan'!E70,IF('Evaluation Plan'!H70="Matched manipulation control",'Evaluation Plan'!E70,IF('Evaluation Plan'!H70="Black-cup held-out-state composition",'Evaluation Plan'!E70,""))))</x:f>
      </x:c>
      <x:c r="F70" s="9" t="str">
        <x:f>'Evaluation Plan'!F70</x:f>
        <x:v>yellow-white striped cup B</x:v>
      </x:c>
      <x:c r="G70" s="10"/>
      <x:c r="H70" s="9" t="str">
        <x:f>'Evaluation Plan'!H70</x:f>
        <x:v>Concept/compositional transfer</x:v>
      </x:c>
      <x:c r="I70" s="9" t="str">
        <x:f>'Evaluation Plan'!I70</x:f>
        <x:v>SR-F18</x:v>
      </x:c>
      <x:c r="J70" s="9" t="str">
        <x:f>'Evaluation Plan'!J70</x:f>
        <x:v>open</x:v>
      </x:c>
      <x:c r="K70" s="9" t="n">
        <x:f>'Evaluation Plan'!K70</x:f>
        <x:v>4</x:v>
      </x:c>
      <x:c r="L70" s="9" t="str">
        <x:f>'Evaluation Plan'!L70</x:f>
        <x:v>1 — Canonical transfer — Seen state word in a new scene (open)</x:v>
      </x:c>
      <x:c r="M70" s="9" t="n">
        <x:f>'Evaluation Plan'!M70</x:f>
        <x:v>18</x:v>
      </x:c>
      <x:c r="N70" s="10" t="str">
        <x:f>'Evaluation Plan'!N70</x:f>
        <x:v>Build the marked same-category discrimination scene. Save a first-frame image or filename.</x:v>
      </x:c>
      <x:c r="O70" s="10" t="str">
        <x:f>'Evaluation Plan'!O70</x:f>
        <x:v>Two objects match the named category; only the state word selects the target. Target and competitor differ only on the queried state axis.</x:v>
      </x:c>
      <x:c r="P70" s="10" t="str">
        <x:f>IF('Evaluation Plan'!P70=0,"",'Evaluation Plan'!P70)</x:f>
      </x:c>
    </x:row>
    <x:row r="71" ht="58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Place the closed yellow-white striped cup in the bowl.</x:v>
      </x:c>
      <x:c r="D71" s="7" t="str">
        <x:f>'Evaluation Plan'!D71</x:f>
        <x:v>P1 white cup B (C, UD); P2 yellow-white striped cup B (O, UD) [STATE COMPETITOR]; P3 yellow-white striped cup A (C, UD) [TARGET]; P4 brown cup A (O, UR)</x:v>
      </x:c>
      <x:c r="E71" s="8" t="n">
        <x:f>IF('Evaluation Plan'!H71="Exact-scene opposite-state contrast",'Evaluation Plan'!E71,IF('Evaluation Plan'!H71="Language robustness",'Evaluation Plan'!E71,IF('Evaluation Plan'!H71="Matched manipulation control",'Evaluation Plan'!E71,IF('Evaluation Plan'!H71="Black-cup held-out-state composition",'Evaluation Plan'!E71,""))))</x:f>
        <x:v>68</x:v>
      </x:c>
      <x:c r="F71" s="8" t="str">
        <x:f>'Evaluation Plan'!F71</x:f>
        <x:v>yellow-white striped cup A</x:v>
      </x:c>
      <x:c r="G71" s="7"/>
      <x:c r="H71" s="8" t="str">
        <x:f>'Evaluation Plan'!H71</x:f>
        <x:v>Exact-scene opposite-state contrast</x:v>
      </x:c>
      <x:c r="I71" s="8" t="str">
        <x:f>'Evaluation Plan'!I71</x:f>
        <x:v>SR-F18</x:v>
      </x:c>
      <x:c r="J71" s="8" t="str">
        <x:f>'Evaluation Plan'!J71</x:f>
        <x:v>closed</x:v>
      </x:c>
      <x:c r="K71" s="8" t="n">
        <x:f>'Evaluation Plan'!K71</x:f>
        <x:v>4</x:v>
      </x:c>
      <x:c r="L71" s="8" t="str">
        <x:f>'Evaluation Plan'!L71</x:f>
        <x:v>2 — Exact-scene opposite-state contrast — State-word counterfactual (open→closed)</x:v>
      </x:c>
      <x:c r="M71" s="8" t="n">
        <x:f>'Evaluation Plan'!M71</x:f>
        <x:v>18</x:v>
      </x:c>
      <x:c r="N71" s="7" t="str">
        <x:f>'Evaluation Plan'!N71</x:f>
        <x:v>Reset the canonical target to its marked position. Preserve every object and state; change only the queried state word and expected target.</x:v>
      </x:c>
      <x:c r="O71" s="7" t="str">
        <x:f>'Evaluation Plan'!O71</x:f>
        <x:v>Exact-scene semantic counterfactual. The state word switches to the opposite state and the correct target switches to the other same-category instance.</x:v>
      </x:c>
      <x:c r="P71" s="7" t="str">
        <x:f>IF('Evaluation Plan'!P71=0,"",'Evaluation Plan'!P71)</x:f>
      </x:c>
    </x:row>
    <x:row r="72" ht="58" customHeight="1">
      <x:c r="A72" s="8" t="str">
        <x:v>Not collected</x:v>
      </x:c>
      <x:c r="B72" s="8" t="n">
        <x:f>'Evaluation Plan'!B72</x:f>
        <x:v>70</x:v>
      </x:c>
      <x:c r="C72" s="7" t="str">
        <x:f>'Evaluation Plan'!C72</x:f>
        <x:v>Move the yellow-white striped cup into the bowl.</x:v>
      </x:c>
      <x:c r="D72" s="7" t="str">
        <x:f>'Evaluation Plan'!D72</x:f>
        <x:v>P1 white cup B (C, UD); P2 yellow-white striped cup B (O, UD) [TARGET]; P3 glass spice container A (C, UD) [NEUTRAL REPLACEMENT]; P4 brown cup A (O, UR)</x:v>
      </x:c>
      <x:c r="E72" s="8" t="n">
        <x:f>IF('Evaluation Plan'!H72="Exact-scene opposite-state contrast",'Evaluation Plan'!E72,IF('Evaluation Plan'!H72="Language robustness",'Evaluation Plan'!E72,IF('Evaluation Plan'!H72="Matched manipulation control",'Evaluation Plan'!E72,IF('Evaluation Plan'!H72="Black-cup held-out-state composition",'Evaluation Plan'!E72,""))))</x:f>
        <x:v>68</x:v>
      </x:c>
      <x:c r="F72" s="8" t="str">
        <x:f>'Evaluation Plan'!F72</x:f>
        <x:v>yellow-white striped cup B</x:v>
      </x:c>
      <x:c r="G72" s="7"/>
      <x:c r="H72" s="8" t="str">
        <x:f>'Evaluation Plan'!H72</x:f>
        <x:v>Matched manipulation control</x:v>
      </x:c>
      <x:c r="I72" s="8" t="str">
        <x:f>'Evaluation Plan'!I72</x:f>
        <x:v>SR-F18</x:v>
      </x:c>
      <x:c r="J72" s="8" t="str">
        <x:f>'Evaluation Plan'!J72</x:f>
        <x:v>open</x:v>
      </x:c>
      <x:c r="K72" s="8" t="n">
        <x:f>'Evaluation Plan'!K72</x:f>
        <x:v>4</x:v>
      </x:c>
      <x:c r="L72" s="8" t="str">
        <x:f>'Evaluation Plan'!L72</x:f>
        <x:v>3 — Matched control — Category-only control with 4 objects</x:v>
      </x:c>
      <x:c r="M72" s="8" t="n">
        <x:f>'Evaluation Plan'!M72</x:f>
        <x:v>18</x:v>
      </x:c>
      <x:c r="N72" s="7" t="str">
        <x:f>'Evaluation Plan'!N72</x:f>
        <x:v>Reset the target; replace the same-category state competitor with glass spice container A at the same position. Keep object count, other objects, camera, and bowl fixed.</x:v>
      </x:c>
      <x:c r="O72" s="7" t="str">
        <x:f>'Evaluation Plan'!O72</x:f>
        <x:v>The neutral replacement removes category ambiguity without changing the three- or four-object set size.</x:v>
      </x:c>
      <x:c r="P72" s="7" t="str">
        <x:f>IF('Evaluation Plan'!P72=0,"",'Evaluation Plan'!P72)</x:f>
      </x:c>
    </x:row>
    <x:row r="73" ht="58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Put the yellow-white striped cup inside the bowl.</x:v>
      </x:c>
      <x:c r="D73" s="7" t="str">
        <x:f>'Evaluation Plan'!D73</x:f>
        <x:v>P1 white cup B (C, UD); P2 yellow-white striped cup B (O, UD) [TARGET]; P3 glass spice container A (C, UD) [NEUTRAL REPLACEMENT]; P4 brown cup A (O, UR)</x:v>
      </x:c>
      <x:c r="E73" s="8" t="n">
        <x:f>IF('Evaluation Plan'!H73="Exact-scene opposite-state contrast",'Evaluation Plan'!E73,IF('Evaluation Plan'!H73="Language robustness",'Evaluation Plan'!E73,IF('Evaluation Plan'!H73="Matched manipulation control",'Evaluation Plan'!E73,IF('Evaluation Plan'!H73="Black-cup held-out-state composition",'Evaluation Plan'!E73,""))))</x:f>
        <x:v>70</x:v>
      </x:c>
      <x:c r="F73" s="8" t="str">
        <x:f>'Evaluation Plan'!F73</x:f>
        <x:v>yellow-white striped cup B</x:v>
      </x:c>
      <x:c r="G73" s="7"/>
      <x:c r="H73" s="8" t="str">
        <x:f>'Evaluation Plan'!H73</x:f>
        <x:v>Language robustness</x:v>
      </x:c>
      <x:c r="I73" s="8" t="str">
        <x:f>'Evaluation Plan'!I73</x:f>
        <x:v>SR-F18</x:v>
      </x:c>
      <x:c r="J73" s="8" t="str">
        <x:f>'Evaluation Plan'!J73</x:f>
        <x:v>open</x:v>
      </x:c>
      <x:c r="K73" s="8" t="n">
        <x:f>'Evaluation Plan'!K73</x:f>
        <x:v>4</x:v>
      </x:c>
      <x:c r="L73" s="8" t="str">
        <x:f>'Evaluation Plan'!L73</x:f>
        <x:v>4 — Exact-scene control paraphrase — Paraphrase of matched-control prompt</x:v>
      </x:c>
      <x:c r="M73" s="8" t="n">
        <x:f>'Evaluation Plan'!M73</x:f>
        <x:v>18</x:v>
      </x:c>
      <x:c r="N73" s="7" t="str">
        <x:f>'Evaluation Plan'!N73</x:f>
        <x:v>Reset only the moved target; change only the prompt wording.</x:v>
      </x:c>
      <x:c r="O73" s="7" t="str">
        <x:f>'Evaluation Plan'!O73</x:f>
        <x:v>Exact-scene language pair for the category-only matched control.</x:v>
      </x:c>
      <x:c r="P73" s="7" t="str">
        <x:f>IF('Evaluation Plan'!P73=0,"",'Evaluation Plan'!P73)</x:f>
      </x:c>
    </x:row>
    <x:row r="74" ht="58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Place the upright brown cup in the bowl.</x:v>
      </x:c>
      <x:c r="D74" s="10" t="str">
        <x:f>'Evaluation Plan'!D74</x:f>
        <x:v>P1 white cup A (O, UR); P2 yellow-white striped cup B (C, UD); P3 brown cup A (O, UR) [TARGET]; P4 brown cup B (O, UD) [STATE COMPETITOR]</x:v>
      </x:c>
      <x:c r="E74" s="9" t="str">
        <x:f>IF('Evaluation Plan'!H74="Exact-scene opposite-state contrast",'Evaluation Plan'!E74,IF('Evaluation Plan'!H74="Language robustness",'Evaluation Plan'!E74,IF('Evaluation Plan'!H74="Matched manipulation control",'Evaluation Plan'!E74,IF('Evaluation Plan'!H74="Black-cup held-out-state composition",'Evaluation Plan'!E74,""))))</x:f>
      </x:c>
      <x:c r="F74" s="9" t="str">
        <x:f>'Evaluation Plan'!F74</x:f>
        <x:v>brown cup A</x:v>
      </x:c>
      <x:c r="G74" s="10"/>
      <x:c r="H74" s="9" t="str">
        <x:f>'Evaluation Plan'!H74</x:f>
        <x:v>Concept/compositional transfer</x:v>
      </x:c>
      <x:c r="I74" s="9" t="str">
        <x:f>'Evaluation Plan'!I74</x:f>
        <x:v>SR-F19</x:v>
      </x:c>
      <x:c r="J74" s="9" t="str">
        <x:f>'Evaluation Plan'!J74</x:f>
        <x:v>upright</x:v>
      </x:c>
      <x:c r="K74" s="9" t="n">
        <x:f>'Evaluation Plan'!K74</x:f>
        <x:v>4</x:v>
      </x:c>
      <x:c r="L74" s="9" t="str">
        <x:f>'Evaluation Plan'!L74</x:f>
        <x:v>1 — Canonical transfer — Held-out state word + known category (upright)</x:v>
      </x:c>
      <x:c r="M74" s="9" t="n">
        <x:f>'Evaluation Plan'!M74</x:f>
        <x:v>19</x:v>
      </x:c>
      <x:c r="N74" s="10" t="str">
        <x:f>'Evaluation Plan'!N74</x:f>
        <x:v>Build the marked same-category discrimination scene. Save a first-frame image or filename.</x:v>
      </x:c>
      <x:c r="O74" s="10" t="str">
        <x:f>'Evaluation Plan'!O74</x:f>
        <x:v>Two objects match the named category; only the state word selects the target. Target and competitor differ only on the queried state axis.</x:v>
      </x:c>
      <x:c r="P74" s="10" t="str">
        <x:f>IF('Evaluation Plan'!P74=0,"",'Evaluation Plan'!P74)</x:f>
      </x:c>
    </x:row>
    <x:row r="75" ht="58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Put the upside-down brown cup in the bowl.</x:v>
      </x:c>
      <x:c r="D75" s="7" t="str">
        <x:f>'Evaluation Plan'!D75</x:f>
        <x:v>P1 white cup A (O, UR); P2 yellow-white striped cup B (C, UD); P3 brown cup A (O, UR) [STATE COMPETITOR]; P4 brown cup B (O, UD) [TARGET]</x:v>
      </x:c>
      <x:c r="E75" s="8" t="n">
        <x:f>IF('Evaluation Plan'!H75="Exact-scene opposite-state contrast",'Evaluation Plan'!E75,IF('Evaluation Plan'!H75="Language robustness",'Evaluation Plan'!E75,IF('Evaluation Plan'!H75="Matched manipulation control",'Evaluation Plan'!E75,IF('Evaluation Plan'!H75="Black-cup held-out-state composition",'Evaluation Plan'!E75,""))))</x:f>
        <x:v>72</x:v>
      </x:c>
      <x:c r="F75" s="8" t="str">
        <x:f>'Evaluation Plan'!F75</x:f>
        <x:v>brown cup B</x:v>
      </x:c>
      <x:c r="G75" s="7"/>
      <x:c r="H75" s="8" t="str">
        <x:f>'Evaluation Plan'!H75</x:f>
        <x:v>Exact-scene opposite-state contrast</x:v>
      </x:c>
      <x:c r="I75" s="8" t="str">
        <x:f>'Evaluation Plan'!I75</x:f>
        <x:v>SR-F19</x:v>
      </x:c>
      <x:c r="J75" s="8" t="str">
        <x:f>'Evaluation Plan'!J75</x:f>
        <x:v>upside-down</x:v>
      </x:c>
      <x:c r="K75" s="8" t="n">
        <x:f>'Evaluation Plan'!K75</x:f>
        <x:v>4</x:v>
      </x:c>
      <x:c r="L75" s="8" t="str">
        <x:f>'Evaluation Plan'!L75</x:f>
        <x:v>2 — Exact-scene opposite-state contrast — State-word counterfactual (upright→upside-down)</x:v>
      </x:c>
      <x:c r="M75" s="8" t="n">
        <x:f>'Evaluation Plan'!M75</x:f>
        <x:v>19</x:v>
      </x:c>
      <x:c r="N75" s="7" t="str">
        <x:f>'Evaluation Plan'!N75</x:f>
        <x:v>Reset the canonical target to its marked position. Preserve every object and state; change only the queried state word and expected target.</x:v>
      </x:c>
      <x:c r="O75" s="7" t="str">
        <x:f>'Evaluation Plan'!O75</x:f>
        <x:v>Exact-scene semantic counterfactual. The state word switches to the opposite state and the correct target switches to the other same-category instance.</x:v>
      </x:c>
      <x:c r="P75" s="7" t="str">
        <x:f>IF('Evaluation Plan'!P75=0,"",'Evaluation Plan'!P75)</x:f>
      </x:c>
    </x:row>
    <x:row r="76" ht="58" customHeight="1">
      <x:c r="A76" s="8" t="str">
        <x:v>Not collected</x:v>
      </x:c>
      <x:c r="B76" s="8" t="n">
        <x:f>'Evaluation Plan'!B76</x:f>
        <x:v>74</x:v>
      </x:c>
      <x:c r="C76" s="7" t="str">
        <x:f>'Evaluation Plan'!C76</x:f>
        <x:v>Place the brown cup in the bowl.</x:v>
      </x:c>
      <x:c r="D76" s="7" t="str">
        <x:f>'Evaluation Plan'!D76</x:f>
        <x:v>P1 white cup A (O, UR); P2 yellow-white striped cup B (C, UD); P3 brown cup A (O, UR) [TARGET]; P4 glass spice container B (O, UD) [NEUTRAL REPLACEMENT]</x:v>
      </x:c>
      <x:c r="E76" s="8" t="n">
        <x:f>IF('Evaluation Plan'!H76="Exact-scene opposite-state contrast",'Evaluation Plan'!E76,IF('Evaluation Plan'!H76="Language robustness",'Evaluation Plan'!E76,IF('Evaluation Plan'!H76="Matched manipulation control",'Evaluation Plan'!E76,IF('Evaluation Plan'!H76="Black-cup held-out-state composition",'Evaluation Plan'!E76,""))))</x:f>
        <x:v>72</x:v>
      </x:c>
      <x:c r="F76" s="8" t="str">
        <x:f>'Evaluation Plan'!F76</x:f>
        <x:v>brown cup A</x:v>
      </x:c>
      <x:c r="G76" s="7"/>
      <x:c r="H76" s="8" t="str">
        <x:f>'Evaluation Plan'!H76</x:f>
        <x:v>Matched manipulation control</x:v>
      </x:c>
      <x:c r="I76" s="8" t="str">
        <x:f>'Evaluation Plan'!I76</x:f>
        <x:v>SR-F19</x:v>
      </x:c>
      <x:c r="J76" s="8" t="str">
        <x:f>'Evaluation Plan'!J76</x:f>
        <x:v>upright</x:v>
      </x:c>
      <x:c r="K76" s="8" t="n">
        <x:f>'Evaluation Plan'!K76</x:f>
        <x:v>4</x:v>
      </x:c>
      <x:c r="L76" s="8" t="str">
        <x:f>'Evaluation Plan'!L76</x:f>
        <x:v>3 — Matched control — Category-only control with 4 objects</x:v>
      </x:c>
      <x:c r="M76" s="8" t="n">
        <x:f>'Evaluation Plan'!M76</x:f>
        <x:v>19</x:v>
      </x:c>
      <x:c r="N76" s="7" t="str">
        <x:f>'Evaluation Plan'!N76</x:f>
        <x:v>Reset the target; replace the same-category state competitor with glass spice container B at the same position. Keep object count, other objects, camera, and bowl fixed.</x:v>
      </x:c>
      <x:c r="O76" s="7" t="str">
        <x:f>'Evaluation Plan'!O76</x:f>
        <x:v>The neutral replacement removes category ambiguity without changing the three- or four-object set size.</x:v>
      </x:c>
      <x:c r="P76" s="7" t="str">
        <x:f>IF('Evaluation Plan'!P76=0,"",'Evaluation Plan'!P76)</x:f>
      </x:c>
    </x:row>
    <x:row r="77" ht="58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Take the brown cup and set it in the bowl.</x:v>
      </x:c>
      <x:c r="D77" s="7" t="str">
        <x:f>'Evaluation Plan'!D77</x:f>
        <x:v>P1 white cup A (O, UR); P2 yellow-white striped cup B (C, UD); P3 brown cup A (O, UR) [TARGET]; P4 glass spice container B (O, UD) [NEUTRAL REPLACEMENT]</x:v>
      </x:c>
      <x:c r="E77" s="8" t="n">
        <x:f>IF('Evaluation Plan'!H77="Exact-scene opposite-state contrast",'Evaluation Plan'!E77,IF('Evaluation Plan'!H77="Language robustness",'Evaluation Plan'!E77,IF('Evaluation Plan'!H77="Matched manipulation control",'Evaluation Plan'!E77,IF('Evaluation Plan'!H77="Black-cup held-out-state composition",'Evaluation Plan'!E77,""))))</x:f>
        <x:v>74</x:v>
      </x:c>
      <x:c r="F77" s="8" t="str">
        <x:f>'Evaluation Plan'!F77</x:f>
        <x:v>brown cup A</x:v>
      </x:c>
      <x:c r="G77" s="7"/>
      <x:c r="H77" s="8" t="str">
        <x:f>'Evaluation Plan'!H77</x:f>
        <x:v>Language robustness</x:v>
      </x:c>
      <x:c r="I77" s="8" t="str">
        <x:f>'Evaluation Plan'!I77</x:f>
        <x:v>SR-F19</x:v>
      </x:c>
      <x:c r="J77" s="8" t="str">
        <x:f>'Evaluation Plan'!J77</x:f>
        <x:v>upright</x:v>
      </x:c>
      <x:c r="K77" s="8" t="n">
        <x:f>'Evaluation Plan'!K77</x:f>
        <x:v>4</x:v>
      </x:c>
      <x:c r="L77" s="8" t="str">
        <x:f>'Evaluation Plan'!L77</x:f>
        <x:v>4 — Exact-scene control paraphrase — Paraphrase of matched-control prompt</x:v>
      </x:c>
      <x:c r="M77" s="8" t="n">
        <x:f>'Evaluation Plan'!M77</x:f>
        <x:v>19</x:v>
      </x:c>
      <x:c r="N77" s="7" t="str">
        <x:f>'Evaluation Plan'!N77</x:f>
        <x:v>Reset only the moved target; change only the prompt wording.</x:v>
      </x:c>
      <x:c r="O77" s="7" t="str">
        <x:f>'Evaluation Plan'!O77</x:f>
        <x:v>Exact-scene language pair for the category-only matched control.</x:v>
      </x:c>
      <x:c r="P77" s="7" t="str">
        <x:f>IF('Evaluation Plan'!P77=0,"",'Evaluation Plan'!P77)</x:f>
      </x:c>
    </x:row>
    <x:row r="78" ht="58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Put the upside-down glass spice container in the bowl.</x:v>
      </x:c>
      <x:c r="D78" s="10" t="str">
        <x:f>'Evaluation Plan'!D78</x:f>
        <x:v>P1 glass spice container A (C, UR) [STATE COMPETITOR]; P2 white cup A (O, UR); P3 yellow-white striped cup B (C, UD); P4 glass spice container B (C, UD) [TARGET]</x:v>
      </x:c>
      <x:c r="E78" s="9" t="str">
        <x:f>IF('Evaluation Plan'!H78="Exact-scene opposite-state contrast",'Evaluation Plan'!E78,IF('Evaluation Plan'!H78="Language robustness",'Evaluation Plan'!E78,IF('Evaluation Plan'!H78="Matched manipulation control",'Evaluation Plan'!E78,IF('Evaluation Plan'!H78="Black-cup held-out-state composition",'Evaluation Plan'!E78,""))))</x:f>
      </x:c>
      <x:c r="F78" s="9" t="str">
        <x:f>'Evaluation Plan'!F78</x:f>
        <x:v>glass spice container B</x:v>
      </x:c>
      <x:c r="G78" s="10"/>
      <x:c r="H78" s="9" t="str">
        <x:f>'Evaluation Plan'!H78</x:f>
        <x:v>Concept/compositional transfer</x:v>
      </x:c>
      <x:c r="I78" s="9" t="str">
        <x:f>'Evaluation Plan'!I78</x:f>
        <x:v>SR-F20</x:v>
      </x:c>
      <x:c r="J78" s="9" t="str">
        <x:f>'Evaluation Plan'!J78</x:f>
        <x:v>upside-down</x:v>
      </x:c>
      <x:c r="K78" s="9" t="n">
        <x:f>'Evaluation Plan'!K78</x:f>
        <x:v>4</x:v>
      </x:c>
      <x:c r="L78" s="9" t="str">
        <x:f>'Evaluation Plan'!L78</x:f>
        <x:v>1 — Canonical transfer — Seen state word in a new scene (upside-down)</x:v>
      </x:c>
      <x:c r="M78" s="9" t="n">
        <x:f>'Evaluation Plan'!M78</x:f>
        <x:v>20</x:v>
      </x:c>
      <x:c r="N78" s="10" t="str">
        <x:f>'Evaluation Plan'!N78</x:f>
        <x:v>Build the marked same-category discrimination scene. Save a first-frame image or filename.</x:v>
      </x:c>
      <x:c r="O78" s="10" t="str">
        <x:f>'Evaluation Plan'!O78</x:f>
        <x:v>Two objects match the named category; only the state word selects the target. Target and competitor differ only on the queried state axis.</x:v>
      </x:c>
      <x:c r="P78" s="10" t="str">
        <x:f>IF('Evaluation Plan'!P78=0,"",'Evaluation Plan'!P78)</x:f>
      </x:c>
    </x:row>
    <x:row r="79" ht="58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Move the upright glass spice container into the bowl.</x:v>
      </x:c>
      <x:c r="D79" s="7" t="str">
        <x:f>'Evaluation Plan'!D79</x:f>
        <x:v>P1 glass spice container A (C, UR) [TARGET]; P2 white cup A (O, UR); P3 yellow-white striped cup B (C, UD); P4 glass spice container B (C, UD) [STATE COMPETITOR]</x:v>
      </x:c>
      <x:c r="E79" s="8" t="n">
        <x:f>IF('Evaluation Plan'!H79="Exact-scene opposite-state contrast",'Evaluation Plan'!E79,IF('Evaluation Plan'!H79="Language robustness",'Evaluation Plan'!E79,IF('Evaluation Plan'!H79="Matched manipulation control",'Evaluation Plan'!E79,IF('Evaluation Plan'!H79="Black-cup held-out-state composition",'Evaluation Plan'!E79,""))))</x:f>
        <x:v>76</x:v>
      </x:c>
      <x:c r="F79" s="8" t="str">
        <x:f>'Evaluation Plan'!F79</x:f>
        <x:v>glass spice container A</x:v>
      </x:c>
      <x:c r="G79" s="7"/>
      <x:c r="H79" s="8" t="str">
        <x:f>'Evaluation Plan'!H79</x:f>
        <x:v>Exact-scene opposite-state contrast</x:v>
      </x:c>
      <x:c r="I79" s="8" t="str">
        <x:f>'Evaluation Plan'!I79</x:f>
        <x:v>SR-F20</x:v>
      </x:c>
      <x:c r="J79" s="8" t="str">
        <x:f>'Evaluation Plan'!J79</x:f>
        <x:v>upright</x:v>
      </x:c>
      <x:c r="K79" s="8" t="n">
        <x:f>'Evaluation Plan'!K79</x:f>
        <x:v>4</x:v>
      </x:c>
      <x:c r="L79" s="8" t="str">
        <x:f>'Evaluation Plan'!L79</x:f>
        <x:v>2 — Exact-scene opposite-state contrast — State-word counterfactual (upside-down→upright)</x:v>
      </x:c>
      <x:c r="M79" s="8" t="n">
        <x:f>'Evaluation Plan'!M79</x:f>
        <x:v>20</x:v>
      </x:c>
      <x:c r="N79" s="7" t="str">
        <x:f>'Evaluation Plan'!N79</x:f>
        <x:v>Reset the canonical target to its marked position. Preserve every object and state; change only the queried state word and expected target.</x:v>
      </x:c>
      <x:c r="O79" s="7" t="str">
        <x:f>'Evaluation Plan'!O79</x:f>
        <x:v>Exact-scene semantic counterfactual. The state word switches to the opposite state and the correct target switches to the other same-category instance.</x:v>
      </x:c>
      <x:c r="P79" s="7" t="str">
        <x:f>IF('Evaluation Plan'!P79=0,"",'Evaluation Plan'!P79)</x:f>
      </x:c>
    </x:row>
    <x:row r="80" ht="58" customHeight="1">
      <x:c r="A80" s="8" t="str">
        <x:v>Not collected</x:v>
      </x:c>
      <x:c r="B80" s="8" t="n">
        <x:f>'Evaluation Plan'!B80</x:f>
        <x:v>78</x:v>
      </x:c>
      <x:c r="C80" s="7" t="str">
        <x:f>'Evaluation Plan'!C80</x:f>
        <x:v>Put the glass spice container in the bowl.</x:v>
      </x:c>
      <x:c r="D80" s="7" t="str">
        <x:f>'Evaluation Plan'!D80</x:f>
        <x:v>P1 brown cup A (C, UR) [NEUTRAL REPLACEMENT]; P2 white cup A (O, UR); P3 yellow-white striped cup B (C, UD); P4 glass spice container B (C, UD) [TARGET]</x:v>
      </x:c>
      <x:c r="E80" s="8" t="n">
        <x:f>IF('Evaluation Plan'!H80="Exact-scene opposite-state contrast",'Evaluation Plan'!E80,IF('Evaluation Plan'!H80="Language robustness",'Evaluation Plan'!E80,IF('Evaluation Plan'!H80="Matched manipulation control",'Evaluation Plan'!E80,IF('Evaluation Plan'!H80="Black-cup held-out-state composition",'Evaluation Plan'!E80,""))))</x:f>
        <x:v>76</x:v>
      </x:c>
      <x:c r="F80" s="8" t="str">
        <x:f>'Evaluation Plan'!F80</x:f>
        <x:v>glass spice container B</x:v>
      </x:c>
      <x:c r="G80" s="7"/>
      <x:c r="H80" s="8" t="str">
        <x:f>'Evaluation Plan'!H80</x:f>
        <x:v>Matched manipulation control</x:v>
      </x:c>
      <x:c r="I80" s="8" t="str">
        <x:f>'Evaluation Plan'!I80</x:f>
        <x:v>SR-F20</x:v>
      </x:c>
      <x:c r="J80" s="8" t="str">
        <x:f>'Evaluation Plan'!J80</x:f>
        <x:v>upside-down</x:v>
      </x:c>
      <x:c r="K80" s="8" t="n">
        <x:f>'Evaluation Plan'!K80</x:f>
        <x:v>4</x:v>
      </x:c>
      <x:c r="L80" s="8" t="str">
        <x:f>'Evaluation Plan'!L80</x:f>
        <x:v>3 — Matched control — Category-only control with 4 objects</x:v>
      </x:c>
      <x:c r="M80" s="8" t="n">
        <x:f>'Evaluation Plan'!M80</x:f>
        <x:v>20</x:v>
      </x:c>
      <x:c r="N80" s="7" t="str">
        <x:f>'Evaluation Plan'!N80</x:f>
        <x:v>Reset the target; replace the same-category state competitor with brown cup A at the same position. Keep object count, other objects, camera, and bowl fixed.</x:v>
      </x:c>
      <x:c r="O80" s="7" t="str">
        <x:f>'Evaluation Plan'!O80</x:f>
        <x:v>The neutral replacement removes category ambiguity without changing the three- or four-object set size.</x:v>
      </x:c>
      <x:c r="P80" s="7" t="str">
        <x:f>IF('Evaluation Plan'!P80=0,"",'Evaluation Plan'!P80)</x:f>
      </x:c>
    </x:row>
    <x:row r="81" ht="58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Transfer the glass spice container into the bowl.</x:v>
      </x:c>
      <x:c r="D81" s="7" t="str">
        <x:f>'Evaluation Plan'!D81</x:f>
        <x:v>P1 brown cup A (C, UR) [NEUTRAL REPLACEMENT]; P2 white cup A (O, UR); P3 yellow-white striped cup B (C, UD); P4 glass spice container B (C, UD) [TARGET]</x:v>
      </x:c>
      <x:c r="E81" s="8" t="n">
        <x:f>IF('Evaluation Plan'!H81="Exact-scene opposite-state contrast",'Evaluation Plan'!E81,IF('Evaluation Plan'!H81="Language robustness",'Evaluation Plan'!E81,IF('Evaluation Plan'!H81="Matched manipulation control",'Evaluation Plan'!E81,IF('Evaluation Plan'!H81="Black-cup held-out-state composition",'Evaluation Plan'!E81,""))))</x:f>
        <x:v>78</x:v>
      </x:c>
      <x:c r="F81" s="8" t="str">
        <x:f>'Evaluation Plan'!F81</x:f>
        <x:v>glass spice container B</x:v>
      </x:c>
      <x:c r="G81" s="7"/>
      <x:c r="H81" s="8" t="str">
        <x:f>'Evaluation Plan'!H81</x:f>
        <x:v>Language robustness</x:v>
      </x:c>
      <x:c r="I81" s="8" t="str">
        <x:f>'Evaluation Plan'!I81</x:f>
        <x:v>SR-F20</x:v>
      </x:c>
      <x:c r="J81" s="8" t="str">
        <x:f>'Evaluation Plan'!J81</x:f>
        <x:v>upside-down</x:v>
      </x:c>
      <x:c r="K81" s="8" t="n">
        <x:f>'Evaluation Plan'!K81</x:f>
        <x:v>4</x:v>
      </x:c>
      <x:c r="L81" s="8" t="str">
        <x:f>'Evaluation Plan'!L81</x:f>
        <x:v>4 — Exact-scene control paraphrase — Paraphrase of matched-control prompt</x:v>
      </x:c>
      <x:c r="M81" s="8" t="n">
        <x:f>'Evaluation Plan'!M81</x:f>
        <x:v>20</x:v>
      </x:c>
      <x:c r="N81" s="7" t="str">
        <x:f>'Evaluation Plan'!N81</x:f>
        <x:v>Reset only the moved target; change only the prompt wording.</x:v>
      </x:c>
      <x:c r="O81" s="7" t="str">
        <x:f>'Evaluation Plan'!O81</x:f>
        <x:v>Exact-scene language pair for the category-only matched control.</x:v>
      </x:c>
      <x:c r="P81" s="7" t="str">
        <x:f>IF('Evaluation Plan'!P81=0,"",'Evaluation Plan'!P81)</x:f>
      </x:c>
    </x:row>
    <x:row r="82" ht="58" customHeight="1">
      <x:c r="A82" s="8" t="str">
        <x:v>Not collected</x:v>
      </x:c>
      <x:c r="B82" s="8" t="n">
        <x:f>'Evaluation Plan'!B82</x:f>
        <x:v>80</x:v>
      </x:c>
      <x:c r="C82" s="7" t="str">
        <x:f>'Evaluation Plan'!C82</x:f>
        <x:v>Move the closed yellow-white striped cup into the bowl.</x:v>
      </x:c>
      <x:c r="D82" s="7" t="str">
        <x:f>'Evaluation Plan'!D82</x:f>
        <x:v>P1 yellow-white striped cup A (C, UR) [TARGET]; P2 yellow-white striped cup B (O, UR) [STATE COMPETITOR]; P3 white cup A (O, UR)</x:v>
      </x:c>
      <x:c r="E82" s="8" t="str">
        <x:f>IF('Evaluation Plan'!H82="Exact-scene opposite-state contrast",'Evaluation Plan'!E82,IF('Evaluation Plan'!H82="Language robustness",'Evaluation Plan'!E82,IF('Evaluation Plan'!H82="Matched manipulation control",'Evaluation Plan'!E82,IF('Evaluation Plan'!H82="Black-cup held-out-state composition",'Evaluation Plan'!E82,""))))</x:f>
      </x:c>
      <x:c r="F82" s="8" t="str">
        <x:f>'Evaluation Plan'!F82</x:f>
        <x:v>yellow-white striped cup A</x:v>
      </x:c>
      <x:c r="G82" s="7"/>
      <x:c r="H82" s="8" t="str">
        <x:f>'Evaluation Plan'!H82</x:f>
        <x:v>Concept/compositional transfer</x:v>
      </x:c>
      <x:c r="I82" s="8" t="str">
        <x:f>'Evaluation Plan'!I82</x:f>
        <x:v>SR-X01</x:v>
      </x:c>
      <x:c r="J82" s="8" t="str">
        <x:f>'Evaluation Plan'!J82</x:f>
        <x:v>closed</x:v>
      </x:c>
      <x:c r="K82" s="8" t="n">
        <x:f>'Evaluation Plan'!K82</x:f>
        <x:v>3</x:v>
      </x:c>
      <x:c r="L82" s="8" t="str">
        <x:f>'Evaluation Plan'!L82</x:f>
        <x:v>Additional transfer — Additional held-out state + category (closed)</x:v>
      </x:c>
      <x:c r="M82" s="8" t="n">
        <x:f>'Evaluation Plan'!M82</x:f>
        <x:v>21</x:v>
      </x:c>
      <x:c r="N82" s="7" t="str">
        <x:f>'Evaluation Plan'!N82</x:f>
        <x:v>Build the listed same-category discrimination scene; both category instances must remain present.</x:v>
      </x:c>
      <x:c r="O82" s="7" t="str">
        <x:f>'Evaluation Plan'!O82</x:f>
        <x:v>Unpaired primary-transfer coverage. Category and state are both present in the prompt, matching the training prompt structure.</x:v>
      </x:c>
      <x:c r="P82" s="7" t="str">
        <x:f>IF('Evaluation Plan'!P82=0,"",'Evaluation Plan'!P82)</x:f>
      </x:c>
    </x:row>
    <x:row r="83" ht="58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Place the closed brown cup in the bowl.</x:v>
      </x:c>
      <x:c r="D83" s="7" t="str">
        <x:f>'Evaluation Plan'!D83</x:f>
        <x:v>P1 white cup B (C, UD); P2 brown cup B (C, UD) [TARGET]; P3 brown cup A (O, UD) [STATE COMPETITOR]</x:v>
      </x:c>
      <x:c r="E83" s="8" t="str">
        <x:f>IF('Evaluation Plan'!H83="Exact-scene opposite-state contrast",'Evaluation Plan'!E83,IF('Evaluation Plan'!H83="Language robustness",'Evaluation Plan'!E83,IF('Evaluation Plan'!H83="Matched manipulation control",'Evaluation Plan'!E83,IF('Evaluation Plan'!H83="Black-cup held-out-state composition",'Evaluation Plan'!E83,""))))</x:f>
      </x:c>
      <x:c r="F83" s="8" t="str">
        <x:f>'Evaluation Plan'!F83</x:f>
        <x:v>brown cup B</x:v>
      </x:c>
      <x:c r="G83" s="7"/>
      <x:c r="H83" s="8" t="str">
        <x:f>'Evaluation Plan'!H83</x:f>
        <x:v>Concept/compositional transfer</x:v>
      </x:c>
      <x:c r="I83" s="8" t="str">
        <x:f>'Evaluation Plan'!I83</x:f>
        <x:v>SR-X02</x:v>
      </x:c>
      <x:c r="J83" s="8" t="str">
        <x:f>'Evaluation Plan'!J83</x:f>
        <x:v>closed</x:v>
      </x:c>
      <x:c r="K83" s="8" t="n">
        <x:f>'Evaluation Plan'!K83</x:f>
        <x:v>3</x:v>
      </x:c>
      <x:c r="L83" s="8" t="str">
        <x:f>'Evaluation Plan'!L83</x:f>
        <x:v>Additional transfer — Additional held-out state + category (closed)</x:v>
      </x:c>
      <x:c r="M83" s="8" t="n">
        <x:f>'Evaluation Plan'!M83</x:f>
        <x:v>22</x:v>
      </x:c>
      <x:c r="N83" s="7" t="str">
        <x:f>'Evaluation Plan'!N83</x:f>
        <x:v>Build the listed same-category discrimination scene; both category instances must remain present.</x:v>
      </x:c>
      <x:c r="O83" s="7" t="str">
        <x:f>'Evaluation Plan'!O83</x:f>
        <x:v>Unpaired primary-transfer coverage. Category and state are both present in the prompt, matching the training prompt structure.</x:v>
      </x:c>
      <x:c r="P83" s="7" t="str">
        <x:f>IF('Evaluation Plan'!P83=0,"",'Evaluation Plan'!P83)</x:f>
      </x:c>
    </x:row>
    <x:row r="84" ht="58" customHeight="1">
      <x:c r="A84" s="8" t="str">
        <x:v>Not collected</x:v>
      </x:c>
      <x:c r="B84" s="8" t="n">
        <x:f>'Evaluation Plan'!B84</x:f>
        <x:v>82</x:v>
      </x:c>
      <x:c r="C84" s="7" t="str">
        <x:f>'Evaluation Plan'!C84</x:f>
        <x:v>Put the closed glass spice container in the bowl.</x:v>
      </x:c>
      <x:c r="D84" s="7" t="str">
        <x:f>'Evaluation Plan'!D84</x:f>
        <x:v>P1 glass spice container B (O, UR) [STATE COMPETITOR]; P2 white cup B (C, UD); P3 glass spice container A (C, UR) [TARGET]</x:v>
      </x:c>
      <x:c r="E84" s="8" t="str">
        <x:f>IF('Evaluation Plan'!H84="Exact-scene opposite-state contrast",'Evaluation Plan'!E84,IF('Evaluation Plan'!H84="Language robustness",'Evaluation Plan'!E84,IF('Evaluation Plan'!H84="Matched manipulation control",'Evaluation Plan'!E84,IF('Evaluation Plan'!H84="Black-cup held-out-state composition",'Evaluation Plan'!E84,""))))</x:f>
      </x:c>
      <x:c r="F84" s="8" t="str">
        <x:f>'Evaluation Plan'!F84</x:f>
        <x:v>glass spice container A</x:v>
      </x:c>
      <x:c r="G84" s="7"/>
      <x:c r="H84" s="8" t="str">
        <x:f>'Evaluation Plan'!H84</x:f>
        <x:v>Concept/compositional transfer</x:v>
      </x:c>
      <x:c r="I84" s="8" t="str">
        <x:f>'Evaluation Plan'!I84</x:f>
        <x:v>SR-X03</x:v>
      </x:c>
      <x:c r="J84" s="8" t="str">
        <x:f>'Evaluation Plan'!J84</x:f>
        <x:v>closed</x:v>
      </x:c>
      <x:c r="K84" s="8" t="n">
        <x:f>'Evaluation Plan'!K84</x:f>
        <x:v>3</x:v>
      </x:c>
      <x:c r="L84" s="8" t="str">
        <x:f>'Evaluation Plan'!L84</x:f>
        <x:v>Additional transfer — Additional held-out state + category (closed)</x:v>
      </x:c>
      <x:c r="M84" s="8" t="n">
        <x:f>'Evaluation Plan'!M84</x:f>
        <x:v>23</x:v>
      </x:c>
      <x:c r="N84" s="7" t="str">
        <x:f>'Evaluation Plan'!N84</x:f>
        <x:v>Build the listed same-category discrimination scene; both category instances must remain present.</x:v>
      </x:c>
      <x:c r="O84" s="7" t="str">
        <x:f>'Evaluation Plan'!O84</x:f>
        <x:v>Unpaired primary-transfer coverage. Category and state are both present in the prompt, matching the training prompt structure.</x:v>
      </x:c>
      <x:c r="P84" s="7" t="str">
        <x:f>IF('Evaluation Plan'!P84=0,"",'Evaluation Plan'!P84)</x:f>
      </x:c>
    </x:row>
    <x:row r="85" ht="58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Move the closed white cup into the bowl.</x:v>
      </x:c>
      <x:c r="D85" s="7" t="str">
        <x:f>'Evaluation Plan'!D85</x:f>
        <x:v>P1 white cup B (C, UD) [TARGET]; P2 white cup A (O, UD) [STATE COMPETITOR]; P3 yellow-white striped cup B (C, UD)</x:v>
      </x:c>
      <x:c r="E85" s="8" t="str">
        <x:f>IF('Evaluation Plan'!H85="Exact-scene opposite-state contrast",'Evaluation Plan'!E85,IF('Evaluation Plan'!H85="Language robustness",'Evaluation Plan'!E85,IF('Evaluation Plan'!H85="Matched manipulation control",'Evaluation Plan'!E85,IF('Evaluation Plan'!H85="Black-cup held-out-state composition",'Evaluation Plan'!E85,""))))</x:f>
      </x:c>
      <x:c r="F85" s="8" t="str">
        <x:f>'Evaluation Plan'!F85</x:f>
        <x:v>white cup B</x:v>
      </x:c>
      <x:c r="G85" s="7"/>
      <x:c r="H85" s="8" t="str">
        <x:f>'Evaluation Plan'!H85</x:f>
        <x:v>Concept/compositional transfer</x:v>
      </x:c>
      <x:c r="I85" s="8" t="str">
        <x:f>'Evaluation Plan'!I85</x:f>
        <x:v>SR-X04</x:v>
      </x:c>
      <x:c r="J85" s="8" t="str">
        <x:f>'Evaluation Plan'!J85</x:f>
        <x:v>closed</x:v>
      </x:c>
      <x:c r="K85" s="8" t="n">
        <x:f>'Evaluation Plan'!K85</x:f>
        <x:v>3</x:v>
      </x:c>
      <x:c r="L85" s="8" t="str">
        <x:f>'Evaluation Plan'!L85</x:f>
        <x:v>Additional transfer — Additional held-out state + category (closed)</x:v>
      </x:c>
      <x:c r="M85" s="8" t="n">
        <x:f>'Evaluation Plan'!M85</x:f>
        <x:v>24</x:v>
      </x:c>
      <x:c r="N85" s="7" t="str">
        <x:f>'Evaluation Plan'!N85</x:f>
        <x:v>Build the listed same-category discrimination scene; both category instances must remain present.</x:v>
      </x:c>
      <x:c r="O85" s="7" t="str">
        <x:f>'Evaluation Plan'!O85</x:f>
        <x:v>Unpaired primary-transfer coverage. Category and state are both present in the prompt, matching the training prompt structure.</x:v>
      </x:c>
      <x:c r="P85" s="7" t="str">
        <x:f>IF('Evaluation Plan'!P85=0,"",'Evaluation Plan'!P85)</x:f>
      </x:c>
    </x:row>
    <x:row r="86" ht="58" customHeight="1">
      <x:c r="A86" s="8" t="str">
        <x:v>Not collected</x:v>
      </x:c>
      <x:c r="B86" s="8" t="n">
        <x:f>'Evaluation Plan'!B86</x:f>
        <x:v>84</x:v>
      </x:c>
      <x:c r="C86" s="7" t="str">
        <x:f>'Evaluation Plan'!C86</x:f>
        <x:v>Place the closed yellow-white striped cup in the bowl.</x:v>
      </x:c>
      <x:c r="D86" s="7" t="str">
        <x:f>'Evaluation Plan'!D86</x:f>
        <x:v>P1 white cup A (O, UR); P2 yellow-white striped cup A (C, UR) [TARGET]; P3 yellow-white striped cup B (O, UR) [STATE COMPETITOR]</x:v>
      </x:c>
      <x:c r="E86" s="8" t="str">
        <x:f>IF('Evaluation Plan'!H86="Exact-scene opposite-state contrast",'Evaluation Plan'!E86,IF('Evaluation Plan'!H86="Language robustness",'Evaluation Plan'!E86,IF('Evaluation Plan'!H86="Matched manipulation control",'Evaluation Plan'!E86,IF('Evaluation Plan'!H86="Black-cup held-out-state composition",'Evaluation Plan'!E86,""))))</x:f>
      </x:c>
      <x:c r="F86" s="8" t="str">
        <x:f>'Evaluation Plan'!F86</x:f>
        <x:v>yellow-white striped cup A</x:v>
      </x:c>
      <x:c r="G86" s="7"/>
      <x:c r="H86" s="8" t="str">
        <x:f>'Evaluation Plan'!H86</x:f>
        <x:v>Concept/compositional transfer</x:v>
      </x:c>
      <x:c r="I86" s="8" t="str">
        <x:f>'Evaluation Plan'!I86</x:f>
        <x:v>SR-X05</x:v>
      </x:c>
      <x:c r="J86" s="8" t="str">
        <x:f>'Evaluation Plan'!J86</x:f>
        <x:v>closed</x:v>
      </x:c>
      <x:c r="K86" s="8" t="n">
        <x:f>'Evaluation Plan'!K86</x:f>
        <x:v>3</x:v>
      </x:c>
      <x:c r="L86" s="8" t="str">
        <x:f>'Evaluation Plan'!L86</x:f>
        <x:v>Additional transfer — Additional held-out state + category (closed)</x:v>
      </x:c>
      <x:c r="M86" s="8" t="n">
        <x:f>'Evaluation Plan'!M86</x:f>
        <x:v>25</x:v>
      </x:c>
      <x:c r="N86" s="7" t="str">
        <x:f>'Evaluation Plan'!N86</x:f>
        <x:v>Build the listed same-category discrimination scene; both category instances must remain present.</x:v>
      </x:c>
      <x:c r="O86" s="7" t="str">
        <x:f>'Evaluation Plan'!O86</x:f>
        <x:v>Unpaired primary-transfer coverage. Category and state are both present in the prompt, matching the training prompt structure.</x:v>
      </x:c>
      <x:c r="P86" s="7" t="str">
        <x:f>IF('Evaluation Plan'!P86=0,"",'Evaluation Plan'!P86)</x:f>
      </x:c>
    </x:row>
    <x:row r="87" ht="58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Put the closed brown cup in the bowl.</x:v>
      </x:c>
      <x:c r="D87" s="7" t="str">
        <x:f>'Evaluation Plan'!D87</x:f>
        <x:v>P1 brown cup A (O, UD) [STATE COMPETITOR]; P2 white cup A (O, UR); P3 brown cup B (C, UD) [TARGET]</x:v>
      </x:c>
      <x:c r="E87" s="8" t="str">
        <x:f>IF('Evaluation Plan'!H87="Exact-scene opposite-state contrast",'Evaluation Plan'!E87,IF('Evaluation Plan'!H87="Language robustness",'Evaluation Plan'!E87,IF('Evaluation Plan'!H87="Matched manipulation control",'Evaluation Plan'!E87,IF('Evaluation Plan'!H87="Black-cup held-out-state composition",'Evaluation Plan'!E87,""))))</x:f>
      </x:c>
      <x:c r="F87" s="8" t="str">
        <x:f>'Evaluation Plan'!F87</x:f>
        <x:v>brown cup B</x:v>
      </x:c>
      <x:c r="G87" s="7"/>
      <x:c r="H87" s="8" t="str">
        <x:f>'Evaluation Plan'!H87</x:f>
        <x:v>Concept/compositional transfer</x:v>
      </x:c>
      <x:c r="I87" s="8" t="str">
        <x:f>'Evaluation Plan'!I87</x:f>
        <x:v>SR-X06</x:v>
      </x:c>
      <x:c r="J87" s="8" t="str">
        <x:f>'Evaluation Plan'!J87</x:f>
        <x:v>closed</x:v>
      </x:c>
      <x:c r="K87" s="8" t="n">
        <x:f>'Evaluation Plan'!K87</x:f>
        <x:v>3</x:v>
      </x:c>
      <x:c r="L87" s="8" t="str">
        <x:f>'Evaluation Plan'!L87</x:f>
        <x:v>Additional transfer — Additional held-out state + category (closed)</x:v>
      </x:c>
      <x:c r="M87" s="8" t="n">
        <x:f>'Evaluation Plan'!M87</x:f>
        <x:v>26</x:v>
      </x:c>
      <x:c r="N87" s="7" t="str">
        <x:f>'Evaluation Plan'!N87</x:f>
        <x:v>Build the listed same-category discrimination scene; both category instances must remain present.</x:v>
      </x:c>
      <x:c r="O87" s="7" t="str">
        <x:f>'Evaluation Plan'!O87</x:f>
        <x:v>Unpaired primary-transfer coverage. Category and state are both present in the prompt, matching the training prompt structure.</x:v>
      </x:c>
      <x:c r="P87" s="7" t="str">
        <x:f>IF('Evaluation Plan'!P87=0,"",'Evaluation Plan'!P87)</x:f>
      </x:c>
    </x:row>
    <x:row r="88" ht="58" customHeight="1">
      <x:c r="A88" s="8" t="str">
        <x:v>Not collected</x:v>
      </x:c>
      <x:c r="B88" s="8" t="n">
        <x:f>'Evaluation Plan'!B88</x:f>
        <x:v>86</x:v>
      </x:c>
      <x:c r="C88" s="7" t="str">
        <x:f>'Evaluation Plan'!C88</x:f>
        <x:v>Move the closed glass spice container into the bowl.</x:v>
      </x:c>
      <x:c r="D88" s="7" t="str">
        <x:f>'Evaluation Plan'!D88</x:f>
        <x:v>P1 glass spice container A (C, UR) [TARGET]; P2 glass spice container B (O, UR) [STATE COMPETITOR]; P3 white cup A (O, UR)</x:v>
      </x:c>
      <x:c r="E88" s="8" t="str">
        <x:f>IF('Evaluation Plan'!H88="Exact-scene opposite-state contrast",'Evaluation Plan'!E88,IF('Evaluation Plan'!H88="Language robustness",'Evaluation Plan'!E88,IF('Evaluation Plan'!H88="Matched manipulation control",'Evaluation Plan'!E88,IF('Evaluation Plan'!H88="Black-cup held-out-state composition",'Evaluation Plan'!E88,""))))</x:f>
      </x:c>
      <x:c r="F88" s="8" t="str">
        <x:f>'Evaluation Plan'!F88</x:f>
        <x:v>glass spice container A</x:v>
      </x:c>
      <x:c r="G88" s="7"/>
      <x:c r="H88" s="8" t="str">
        <x:f>'Evaluation Plan'!H88</x:f>
        <x:v>Concept/compositional transfer</x:v>
      </x:c>
      <x:c r="I88" s="8" t="str">
        <x:f>'Evaluation Plan'!I88</x:f>
        <x:v>SR-X07</x:v>
      </x:c>
      <x:c r="J88" s="8" t="str">
        <x:f>'Evaluation Plan'!J88</x:f>
        <x:v>closed</x:v>
      </x:c>
      <x:c r="K88" s="8" t="n">
        <x:f>'Evaluation Plan'!K88</x:f>
        <x:v>3</x:v>
      </x:c>
      <x:c r="L88" s="8" t="str">
        <x:f>'Evaluation Plan'!L88</x:f>
        <x:v>Additional transfer — Additional held-out state + category (closed)</x:v>
      </x:c>
      <x:c r="M88" s="8" t="n">
        <x:f>'Evaluation Plan'!M88</x:f>
        <x:v>27</x:v>
      </x:c>
      <x:c r="N88" s="7" t="str">
        <x:f>'Evaluation Plan'!N88</x:f>
        <x:v>Build the listed same-category discrimination scene; both category instances must remain present.</x:v>
      </x:c>
      <x:c r="O88" s="7" t="str">
        <x:f>'Evaluation Plan'!O88</x:f>
        <x:v>Unpaired primary-transfer coverage. Category and state are both present in the prompt, matching the training prompt structure.</x:v>
      </x:c>
      <x:c r="P88" s="7" t="str">
        <x:f>IF('Evaluation Plan'!P88=0,"",'Evaluation Plan'!P88)</x:f>
      </x:c>
    </x:row>
    <x:row r="89" ht="58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Place the closed white cup in the bowl.</x:v>
      </x:c>
      <x:c r="D89" s="7" t="str">
        <x:f>'Evaluation Plan'!D89</x:f>
        <x:v>P1 yellow-white striped cup B (C, UD); P2 white cup B (C, UD) [TARGET]; P3 white cup A (O, UD) [STATE COMPETITOR]</x:v>
      </x:c>
      <x:c r="E89" s="8" t="str">
        <x:f>IF('Evaluation Plan'!H89="Exact-scene opposite-state contrast",'Evaluation Plan'!E89,IF('Evaluation Plan'!H89="Language robustness",'Evaluation Plan'!E89,IF('Evaluation Plan'!H89="Matched manipulation control",'Evaluation Plan'!E89,IF('Evaluation Plan'!H89="Black-cup held-out-state composition",'Evaluation Plan'!E89,""))))</x:f>
      </x:c>
      <x:c r="F89" s="8" t="str">
        <x:f>'Evaluation Plan'!F89</x:f>
        <x:v>white cup B</x:v>
      </x:c>
      <x:c r="G89" s="7"/>
      <x:c r="H89" s="8" t="str">
        <x:f>'Evaluation Plan'!H89</x:f>
        <x:v>Concept/compositional transfer</x:v>
      </x:c>
      <x:c r="I89" s="8" t="str">
        <x:f>'Evaluation Plan'!I89</x:f>
        <x:v>SR-X08</x:v>
      </x:c>
      <x:c r="J89" s="8" t="str">
        <x:f>'Evaluation Plan'!J89</x:f>
        <x:v>closed</x:v>
      </x:c>
      <x:c r="K89" s="8" t="n">
        <x:f>'Evaluation Plan'!K89</x:f>
        <x:v>3</x:v>
      </x:c>
      <x:c r="L89" s="8" t="str">
        <x:f>'Evaluation Plan'!L89</x:f>
        <x:v>Additional transfer — Additional held-out state + category (closed)</x:v>
      </x:c>
      <x:c r="M89" s="8" t="n">
        <x:f>'Evaluation Plan'!M89</x:f>
        <x:v>28</x:v>
      </x:c>
      <x:c r="N89" s="7" t="str">
        <x:f>'Evaluation Plan'!N89</x:f>
        <x:v>Build the listed same-category discrimination scene; both category instances must remain present.</x:v>
      </x:c>
      <x:c r="O89" s="7" t="str">
        <x:f>'Evaluation Plan'!O89</x:f>
        <x:v>Unpaired primary-transfer coverage. Category and state are both present in the prompt, matching the training prompt structure.</x:v>
      </x:c>
      <x:c r="P89" s="7" t="str">
        <x:f>IF('Evaluation Plan'!P89=0,"",'Evaluation Plan'!P89)</x:f>
      </x:c>
    </x:row>
    <x:row r="90" ht="58" customHeight="1">
      <x:c r="A90" s="8" t="str">
        <x:v>Not collected</x:v>
      </x:c>
      <x:c r="B90" s="8" t="n">
        <x:f>'Evaluation Plan'!B90</x:f>
        <x:v>88</x:v>
      </x:c>
      <x:c r="C90" s="7" t="str">
        <x:f>'Evaluation Plan'!C90</x:f>
        <x:v>Put the closed yellow-white striped cup in the bowl.</x:v>
      </x:c>
      <x:c r="D90" s="7" t="str">
        <x:f>'Evaluation Plan'!D90</x:f>
        <x:v>P1 yellow-white striped cup B (O, UR) [STATE COMPETITOR]; P2 white cup B (C, UD); P3 yellow-white striped cup A (C, UR) [TARGET]</x:v>
      </x:c>
      <x:c r="E90" s="8" t="str">
        <x:f>IF('Evaluation Plan'!H90="Exact-scene opposite-state contrast",'Evaluation Plan'!E90,IF('Evaluation Plan'!H90="Language robustness",'Evaluation Plan'!E90,IF('Evaluation Plan'!H90="Matched manipulation control",'Evaluation Plan'!E90,IF('Evaluation Plan'!H90="Black-cup held-out-state composition",'Evaluation Plan'!E90,""))))</x:f>
      </x:c>
      <x:c r="F90" s="8" t="str">
        <x:f>'Evaluation Plan'!F90</x:f>
        <x:v>yellow-white striped cup A</x:v>
      </x:c>
      <x:c r="G90" s="7"/>
      <x:c r="H90" s="8" t="str">
        <x:f>'Evaluation Plan'!H90</x:f>
        <x:v>Concept/compositional transfer</x:v>
      </x:c>
      <x:c r="I90" s="8" t="str">
        <x:f>'Evaluation Plan'!I90</x:f>
        <x:v>SR-X09</x:v>
      </x:c>
      <x:c r="J90" s="8" t="str">
        <x:f>'Evaluation Plan'!J90</x:f>
        <x:v>closed</x:v>
      </x:c>
      <x:c r="K90" s="8" t="n">
        <x:f>'Evaluation Plan'!K90</x:f>
        <x:v>3</x:v>
      </x:c>
      <x:c r="L90" s="8" t="str">
        <x:f>'Evaluation Plan'!L90</x:f>
        <x:v>Additional transfer — Additional held-out state + category (closed)</x:v>
      </x:c>
      <x:c r="M90" s="8" t="n">
        <x:f>'Evaluation Plan'!M90</x:f>
        <x:v>29</x:v>
      </x:c>
      <x:c r="N90" s="7" t="str">
        <x:f>'Evaluation Plan'!N90</x:f>
        <x:v>Build the listed same-category discrimination scene; both category instances must remain present.</x:v>
      </x:c>
      <x:c r="O90" s="7" t="str">
        <x:f>'Evaluation Plan'!O90</x:f>
        <x:v>Unpaired primary-transfer coverage. Category and state are both present in the prompt, matching the training prompt structure.</x:v>
      </x:c>
      <x:c r="P90" s="7" t="str">
        <x:f>IF('Evaluation Plan'!P90=0,"",'Evaluation Plan'!P90)</x:f>
      </x:c>
    </x:row>
    <x:row r="91" ht="58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Move the closed brown cup into the bowl.</x:v>
      </x:c>
      <x:c r="D91" s="7" t="str">
        <x:f>'Evaluation Plan'!D91</x:f>
        <x:v>P1 brown cup B (C, UD) [TARGET]; P2 brown cup A (O, UD) [STATE COMPETITOR]; P3 white cup B (C, UD)</x:v>
      </x:c>
      <x:c r="E91" s="8" t="str">
        <x:f>IF('Evaluation Plan'!H91="Exact-scene opposite-state contrast",'Evaluation Plan'!E91,IF('Evaluation Plan'!H91="Language robustness",'Evaluation Plan'!E91,IF('Evaluation Plan'!H91="Matched manipulation control",'Evaluation Plan'!E91,IF('Evaluation Plan'!H91="Black-cup held-out-state composition",'Evaluation Plan'!E91,""))))</x:f>
      </x:c>
      <x:c r="F91" s="8" t="str">
        <x:f>'Evaluation Plan'!F91</x:f>
        <x:v>brown cup B</x:v>
      </x:c>
      <x:c r="G91" s="7"/>
      <x:c r="H91" s="8" t="str">
        <x:f>'Evaluation Plan'!H91</x:f>
        <x:v>Concept/compositional transfer</x:v>
      </x:c>
      <x:c r="I91" s="8" t="str">
        <x:f>'Evaluation Plan'!I91</x:f>
        <x:v>SR-X10</x:v>
      </x:c>
      <x:c r="J91" s="8" t="str">
        <x:f>'Evaluation Plan'!J91</x:f>
        <x:v>closed</x:v>
      </x:c>
      <x:c r="K91" s="8" t="n">
        <x:f>'Evaluation Plan'!K91</x:f>
        <x:v>3</x:v>
      </x:c>
      <x:c r="L91" s="8" t="str">
        <x:f>'Evaluation Plan'!L91</x:f>
        <x:v>Additional transfer — Additional held-out state + category (closed)</x:v>
      </x:c>
      <x:c r="M91" s="8" t="n">
        <x:f>'Evaluation Plan'!M91</x:f>
        <x:v>30</x:v>
      </x:c>
      <x:c r="N91" s="7" t="str">
        <x:f>'Evaluation Plan'!N91</x:f>
        <x:v>Build the listed same-category discrimination scene; both category instances must remain present.</x:v>
      </x:c>
      <x:c r="O91" s="7" t="str">
        <x:f>'Evaluation Plan'!O91</x:f>
        <x:v>Unpaired primary-transfer coverage. Category and state are both present in the prompt, matching the training prompt structure.</x:v>
      </x:c>
      <x:c r="P91" s="7" t="str">
        <x:f>IF('Evaluation Plan'!P91=0,"",'Evaluation Plan'!P91)</x:f>
      </x:c>
    </x:row>
    <x:row r="92" ht="58" customHeight="1">
      <x:c r="A92" s="8" t="str">
        <x:v>Not collected</x:v>
      </x:c>
      <x:c r="B92" s="8" t="n">
        <x:f>'Evaluation Plan'!B92</x:f>
        <x:v>90</x:v>
      </x:c>
      <x:c r="C92" s="7" t="str">
        <x:f>'Evaluation Plan'!C92</x:f>
        <x:v>Place the open glass spice container in the bowl.</x:v>
      </x:c>
      <x:c r="D92" s="7" t="str">
        <x:f>'Evaluation Plan'!D92</x:f>
        <x:v>P1 white cup A (O, UR); P2 glass spice container A (O, UR) [TARGET]; P3 glass spice container B (C, UR) [STATE COMPETITOR]</x:v>
      </x:c>
      <x:c r="E92" s="8" t="str">
        <x:f>IF('Evaluation Plan'!H92="Exact-scene opposite-state contrast",'Evaluation Plan'!E92,IF('Evaluation Plan'!H92="Language robustness",'Evaluation Plan'!E92,IF('Evaluation Plan'!H92="Matched manipulation control",'Evaluation Plan'!E92,IF('Evaluation Plan'!H92="Black-cup held-out-state composition",'Evaluation Plan'!E92,""))))</x:f>
      </x:c>
      <x:c r="F92" s="8" t="str">
        <x:f>'Evaluation Plan'!F92</x:f>
        <x:v>glass spice container A</x:v>
      </x:c>
      <x:c r="G92" s="7"/>
      <x:c r="H92" s="8" t="str">
        <x:f>'Evaluation Plan'!H92</x:f>
        <x:v>Concept/compositional transfer</x:v>
      </x:c>
      <x:c r="I92" s="8" t="str">
        <x:f>'Evaluation Plan'!I92</x:f>
        <x:v>SR-X11</x:v>
      </x:c>
      <x:c r="J92" s="8" t="str">
        <x:f>'Evaluation Plan'!J92</x:f>
        <x:v>open</x:v>
      </x:c>
      <x:c r="K92" s="8" t="n">
        <x:f>'Evaluation Plan'!K92</x:f>
        <x:v>3</x:v>
      </x:c>
      <x:c r="L92" s="8" t="str">
        <x:f>'Evaluation Plan'!L92</x:f>
        <x:v>Additional transfer — Additional seen-state scene transfer (open)</x:v>
      </x:c>
      <x:c r="M92" s="8" t="n">
        <x:f>'Evaluation Plan'!M92</x:f>
        <x:v>31</x:v>
      </x:c>
      <x:c r="N92" s="7" t="str">
        <x:f>'Evaluation Plan'!N92</x:f>
        <x:v>Build the listed same-category discrimination scene; both category instances must remain present.</x:v>
      </x:c>
      <x:c r="O92" s="7" t="str">
        <x:f>'Evaluation Plan'!O92</x:f>
        <x:v>Unpaired primary-transfer coverage. Category and state are both present in the prompt, matching the training prompt structure.</x:v>
      </x:c>
      <x:c r="P92" s="7" t="str">
        <x:f>IF('Evaluation Plan'!P92=0,"",'Evaluation Plan'!P92)</x:f>
      </x:c>
    </x:row>
    <x:row r="93" ht="58" customHeight="1">
      <x:c r="A93" s="8" t="str">
        <x:v>Not collected</x:v>
      </x:c>
      <x:c r="B93" s="8" t="n">
        <x:f>'Evaluation Plan'!B93</x:f>
        <x:v>91</x:v>
      </x:c>
      <x:c r="C93" s="7" t="str">
        <x:f>'Evaluation Plan'!C93</x:f>
        <x:v>Put the open white cup in the bowl.</x:v>
      </x:c>
      <x:c r="D93" s="7" t="str">
        <x:f>'Evaluation Plan'!D93</x:f>
        <x:v>P1 white cup A (C, UD) [STATE COMPETITOR]; P2 yellow-white striped cup A (O, UR); P3 brown cup B (C, UD); P4 white cup B (O, UD) [TARGET]</x:v>
      </x:c>
      <x:c r="E93" s="8" t="str">
        <x:f>IF('Evaluation Plan'!H93="Exact-scene opposite-state contrast",'Evaluation Plan'!E93,IF('Evaluation Plan'!H93="Language robustness",'Evaluation Plan'!E93,IF('Evaluation Plan'!H93="Matched manipulation control",'Evaluation Plan'!E93,IF('Evaluation Plan'!H93="Black-cup held-out-state composition",'Evaluation Plan'!E93,""))))</x:f>
      </x:c>
      <x:c r="F93" s="8" t="str">
        <x:f>'Evaluation Plan'!F93</x:f>
        <x:v>white cup B</x:v>
      </x:c>
      <x:c r="G93" s="7"/>
      <x:c r="H93" s="8" t="str">
        <x:f>'Evaluation Plan'!H93</x:f>
        <x:v>Concept/compositional transfer</x:v>
      </x:c>
      <x:c r="I93" s="8" t="str">
        <x:f>'Evaluation Plan'!I93</x:f>
        <x:v>SR-X12</x:v>
      </x:c>
      <x:c r="J93" s="8" t="str">
        <x:f>'Evaluation Plan'!J93</x:f>
        <x:v>open</x:v>
      </x:c>
      <x:c r="K93" s="8" t="n">
        <x:f>'Evaluation Plan'!K93</x:f>
        <x:v>4</x:v>
      </x:c>
      <x:c r="L93" s="8" t="str">
        <x:f>'Evaluation Plan'!L93</x:f>
        <x:v>Additional transfer — Additional seen-state scene transfer (open)</x:v>
      </x:c>
      <x:c r="M93" s="8" t="n">
        <x:f>'Evaluation Plan'!M93</x:f>
        <x:v>32</x:v>
      </x:c>
      <x:c r="N93" s="7" t="str">
        <x:f>'Evaluation Plan'!N93</x:f>
        <x:v>Build the listed same-category discrimination scene; both category instances must remain present.</x:v>
      </x:c>
      <x:c r="O93" s="7" t="str">
        <x:f>'Evaluation Plan'!O93</x:f>
        <x:v>Unpaired primary-transfer coverage. Category and state are both present in the prompt, matching the training prompt structure.</x:v>
      </x:c>
      <x:c r="P93" s="7" t="str">
        <x:f>IF('Evaluation Plan'!P93=0,"",'Evaluation Plan'!P93)</x:f>
      </x:c>
    </x:row>
    <x:row r="94" ht="58" customHeight="1">
      <x:c r="A94" s="8" t="str">
        <x:v>Not collected</x:v>
      </x:c>
      <x:c r="B94" s="8" t="n">
        <x:f>'Evaluation Plan'!B94</x:f>
        <x:v>92</x:v>
      </x:c>
      <x:c r="C94" s="7" t="str">
        <x:f>'Evaluation Plan'!C94</x:f>
        <x:v>Move the open yellow-white striped cup into the bowl.</x:v>
      </x:c>
      <x:c r="D94" s="7" t="str">
        <x:f>'Evaluation Plan'!D94</x:f>
        <x:v>P1 yellow-white striped cup A (O, UR) [TARGET]; P2 yellow-white striped cup B (C, UR) [STATE COMPETITOR]; P3 white cup A (O, UR); P4 brown cup B (C, UD)</x:v>
      </x:c>
      <x:c r="E94" s="8" t="str">
        <x:f>IF('Evaluation Plan'!H94="Exact-scene opposite-state contrast",'Evaluation Plan'!E94,IF('Evaluation Plan'!H94="Language robustness",'Evaluation Plan'!E94,IF('Evaluation Plan'!H94="Matched manipulation control",'Evaluation Plan'!E94,IF('Evaluation Plan'!H94="Black-cup held-out-state composition",'Evaluation Plan'!E94,""))))</x:f>
      </x:c>
      <x:c r="F94" s="8" t="str">
        <x:f>'Evaluation Plan'!F94</x:f>
        <x:v>yellow-white striped cup A</x:v>
      </x:c>
      <x:c r="G94" s="7"/>
      <x:c r="H94" s="8" t="str">
        <x:f>'Evaluation Plan'!H94</x:f>
        <x:v>Concept/compositional transfer</x:v>
      </x:c>
      <x:c r="I94" s="8" t="str">
        <x:f>'Evaluation Plan'!I94</x:f>
        <x:v>SR-X13</x:v>
      </x:c>
      <x:c r="J94" s="8" t="str">
        <x:f>'Evaluation Plan'!J94</x:f>
        <x:v>open</x:v>
      </x:c>
      <x:c r="K94" s="8" t="n">
        <x:f>'Evaluation Plan'!K94</x:f>
        <x:v>4</x:v>
      </x:c>
      <x:c r="L94" s="8" t="str">
        <x:f>'Evaluation Plan'!L94</x:f>
        <x:v>Additional transfer — Additional seen-state scene transfer (open)</x:v>
      </x:c>
      <x:c r="M94" s="8" t="n">
        <x:f>'Evaluation Plan'!M94</x:f>
        <x:v>33</x:v>
      </x:c>
      <x:c r="N94" s="7" t="str">
        <x:f>'Evaluation Plan'!N94</x:f>
        <x:v>Build the listed same-category discrimination scene; both category instances must remain present.</x:v>
      </x:c>
      <x:c r="O94" s="7" t="str">
        <x:f>'Evaluation Plan'!O94</x:f>
        <x:v>Unpaired primary-transfer coverage. Category and state are both present in the prompt, matching the training prompt structure.</x:v>
      </x:c>
      <x:c r="P94" s="7" t="str">
        <x:f>IF('Evaluation Plan'!P94=0,"",'Evaluation Plan'!P94)</x:f>
      </x:c>
    </x:row>
    <x:row r="95" ht="58" customHeight="1">
      <x:c r="A95" s="8" t="str">
        <x:v>Not collected</x:v>
      </x:c>
      <x:c r="B95" s="8" t="n">
        <x:f>'Evaluation Plan'!B95</x:f>
        <x:v>93</x:v>
      </x:c>
      <x:c r="C95" s="7" t="str">
        <x:f>'Evaluation Plan'!C95</x:f>
        <x:v>Place the open brown cup in the bowl.</x:v>
      </x:c>
      <x:c r="D95" s="7" t="str">
        <x:f>'Evaluation Plan'!D95</x:f>
        <x:v>P1 white cup B (C, UD); P2 brown cup B (O, UD) [TARGET]; P3 brown cup A (C, UD) [STATE COMPETITOR]; P4 yellow-white striped cup A (O, UR)</x:v>
      </x:c>
      <x:c r="E95" s="8" t="str">
        <x:f>IF('Evaluation Plan'!H95="Exact-scene opposite-state contrast",'Evaluation Plan'!E95,IF('Evaluation Plan'!H95="Language robustness",'Evaluation Plan'!E95,IF('Evaluation Plan'!H95="Matched manipulation control",'Evaluation Plan'!E95,IF('Evaluation Plan'!H95="Black-cup held-out-state composition",'Evaluation Plan'!E95,""))))</x:f>
      </x:c>
      <x:c r="F95" s="8" t="str">
        <x:f>'Evaluation Plan'!F95</x:f>
        <x:v>brown cup B</x:v>
      </x:c>
      <x:c r="G95" s="7"/>
      <x:c r="H95" s="8" t="str">
        <x:f>'Evaluation Plan'!H95</x:f>
        <x:v>Concept/compositional transfer</x:v>
      </x:c>
      <x:c r="I95" s="8" t="str">
        <x:f>'Evaluation Plan'!I95</x:f>
        <x:v>SR-X14</x:v>
      </x:c>
      <x:c r="J95" s="8" t="str">
        <x:f>'Evaluation Plan'!J95</x:f>
        <x:v>open</x:v>
      </x:c>
      <x:c r="K95" s="8" t="n">
        <x:f>'Evaluation Plan'!K95</x:f>
        <x:v>4</x:v>
      </x:c>
      <x:c r="L95" s="8" t="str">
        <x:f>'Evaluation Plan'!L95</x:f>
        <x:v>Additional transfer — Additional seen-state scene transfer (open)</x:v>
      </x:c>
      <x:c r="M95" s="8" t="n">
        <x:f>'Evaluation Plan'!M95</x:f>
        <x:v>34</x:v>
      </x:c>
      <x:c r="N95" s="7" t="str">
        <x:f>'Evaluation Plan'!N95</x:f>
        <x:v>Build the listed same-category discrimination scene; both category instances must remain present.</x:v>
      </x:c>
      <x:c r="O95" s="7" t="str">
        <x:f>'Evaluation Plan'!O95</x:f>
        <x:v>Unpaired primary-transfer coverage. Category and state are both present in the prompt, matching the training prompt structure.</x:v>
      </x:c>
      <x:c r="P95" s="7" t="str">
        <x:f>IF('Evaluation Plan'!P95=0,"",'Evaluation Plan'!P95)</x:f>
      </x:c>
    </x:row>
    <x:row r="96" ht="58" customHeight="1">
      <x:c r="A96" s="8" t="str">
        <x:v>Not collected</x:v>
      </x:c>
      <x:c r="B96" s="8" t="n">
        <x:f>'Evaluation Plan'!B96</x:f>
        <x:v>94</x:v>
      </x:c>
      <x:c r="C96" s="7" t="str">
        <x:f>'Evaluation Plan'!C96</x:f>
        <x:v>Put the open glass spice container in the bowl.</x:v>
      </x:c>
      <x:c r="D96" s="7" t="str">
        <x:f>'Evaluation Plan'!D96</x:f>
        <x:v>P1 white cup A (O, UR); P2 yellow-white striped cup B (C, UD); P3 glass spice container A (O, UR) [TARGET]; P4 glass spice container B (C, UR) [STATE COMPETITOR]</x:v>
      </x:c>
      <x:c r="E96" s="8" t="str">
        <x:f>IF('Evaluation Plan'!H96="Exact-scene opposite-state contrast",'Evaluation Plan'!E96,IF('Evaluation Plan'!H96="Language robustness",'Evaluation Plan'!E96,IF('Evaluation Plan'!H96="Matched manipulation control",'Evaluation Plan'!E96,IF('Evaluation Plan'!H96="Black-cup held-out-state composition",'Evaluation Plan'!E96,""))))</x:f>
      </x:c>
      <x:c r="F96" s="8" t="str">
        <x:f>'Evaluation Plan'!F96</x:f>
        <x:v>glass spice container A</x:v>
      </x:c>
      <x:c r="G96" s="7"/>
      <x:c r="H96" s="8" t="str">
        <x:f>'Evaluation Plan'!H96</x:f>
        <x:v>Concept/compositional transfer</x:v>
      </x:c>
      <x:c r="I96" s="8" t="str">
        <x:f>'Evaluation Plan'!I96</x:f>
        <x:v>SR-X15</x:v>
      </x:c>
      <x:c r="J96" s="8" t="str">
        <x:f>'Evaluation Plan'!J96</x:f>
        <x:v>open</x:v>
      </x:c>
      <x:c r="K96" s="8" t="n">
        <x:f>'Evaluation Plan'!K96</x:f>
        <x:v>4</x:v>
      </x:c>
      <x:c r="L96" s="8" t="str">
        <x:f>'Evaluation Plan'!L96</x:f>
        <x:v>Additional transfer — Additional seen-state scene transfer (open)</x:v>
      </x:c>
      <x:c r="M96" s="8" t="n">
        <x:f>'Evaluation Plan'!M96</x:f>
        <x:v>35</x:v>
      </x:c>
      <x:c r="N96" s="7" t="str">
        <x:f>'Evaluation Plan'!N96</x:f>
        <x:v>Build the listed same-category discrimination scene; both category instances must remain present.</x:v>
      </x:c>
      <x:c r="O96" s="7" t="str">
        <x:f>'Evaluation Plan'!O96</x:f>
        <x:v>Unpaired primary-transfer coverage. Category and state are both present in the prompt, matching the training prompt structure.</x:v>
      </x:c>
      <x:c r="P96" s="7" t="str">
        <x:f>IF('Evaluation Plan'!P96=0,"",'Evaluation Plan'!P96)</x:f>
      </x:c>
    </x:row>
    <x:row r="97" ht="58" customHeight="1">
      <x:c r="A97" s="8" t="str">
        <x:v>Not collected</x:v>
      </x:c>
      <x:c r="B97" s="8" t="n">
        <x:f>'Evaluation Plan'!B97</x:f>
        <x:v>95</x:v>
      </x:c>
      <x:c r="C97" s="7" t="str">
        <x:f>'Evaluation Plan'!C97</x:f>
        <x:v>Move the upright white cup into the bowl.</x:v>
      </x:c>
      <x:c r="D97" s="7" t="str">
        <x:f>'Evaluation Plan'!D97</x:f>
        <x:v>P1 white cup A (C, UD) [STATE COMPETITOR]; P2 yellow-white striped cup A (O, UR); P3 brown cup B (C, UD); P4 white cup B (C, UR) [TARGET]</x:v>
      </x:c>
      <x:c r="E97" s="8" t="str">
        <x:f>IF('Evaluation Plan'!H97="Exact-scene opposite-state contrast",'Evaluation Plan'!E97,IF('Evaluation Plan'!H97="Language robustness",'Evaluation Plan'!E97,IF('Evaluation Plan'!H97="Matched manipulation control",'Evaluation Plan'!E97,IF('Evaluation Plan'!H97="Black-cup held-out-state composition",'Evaluation Plan'!E97,""))))</x:f>
      </x:c>
      <x:c r="F97" s="8" t="str">
        <x:f>'Evaluation Plan'!F97</x:f>
        <x:v>white cup B</x:v>
      </x:c>
      <x:c r="G97" s="7"/>
      <x:c r="H97" s="8" t="str">
        <x:f>'Evaluation Plan'!H97</x:f>
        <x:v>Concept/compositional transfer</x:v>
      </x:c>
      <x:c r="I97" s="8" t="str">
        <x:f>'Evaluation Plan'!I97</x:f>
        <x:v>SR-X16</x:v>
      </x:c>
      <x:c r="J97" s="8" t="str">
        <x:f>'Evaluation Plan'!J97</x:f>
        <x:v>upright</x:v>
      </x:c>
      <x:c r="K97" s="8" t="n">
        <x:f>'Evaluation Plan'!K97</x:f>
        <x:v>4</x:v>
      </x:c>
      <x:c r="L97" s="8" t="str">
        <x:f>'Evaluation Plan'!L97</x:f>
        <x:v>Additional transfer — Additional held-out state + category (upright)</x:v>
      </x:c>
      <x:c r="M97" s="8" t="n">
        <x:f>'Evaluation Plan'!M97</x:f>
        <x:v>36</x:v>
      </x:c>
      <x:c r="N97" s="7" t="str">
        <x:f>'Evaluation Plan'!N97</x:f>
        <x:v>Build the listed same-category discrimination scene; both category instances must remain present.</x:v>
      </x:c>
      <x:c r="O97" s="7" t="str">
        <x:f>'Evaluation Plan'!O97</x:f>
        <x:v>Unpaired primary-transfer coverage. Category and state are both present in the prompt, matching the training prompt structure.</x:v>
      </x:c>
      <x:c r="P97" s="7" t="str">
        <x:f>IF('Evaluation Plan'!P97=0,"",'Evaluation Plan'!P97)</x:f>
      </x:c>
    </x:row>
    <x:row r="98" ht="58" customHeight="1">
      <x:c r="A98" s="8" t="str">
        <x:v>Not collected</x:v>
      </x:c>
      <x:c r="B98" s="8" t="n">
        <x:f>'Evaluation Plan'!B98</x:f>
        <x:v>96</x:v>
      </x:c>
      <x:c r="C98" s="7" t="str">
        <x:f>'Evaluation Plan'!C98</x:f>
        <x:v>Place the upright yellow-white striped cup in the bowl.</x:v>
      </x:c>
      <x:c r="D98" s="7" t="str">
        <x:f>'Evaluation Plan'!D98</x:f>
        <x:v>P1 yellow-white striped cup A (O, UR) [TARGET]; P2 yellow-white striped cup B (O, UD) [STATE COMPETITOR]; P3 white cup A (O, UR); P4 brown cup B (C, UD)</x:v>
      </x:c>
      <x:c r="E98" s="8" t="str">
        <x:f>IF('Evaluation Plan'!H98="Exact-scene opposite-state contrast",'Evaluation Plan'!E98,IF('Evaluation Plan'!H98="Language robustness",'Evaluation Plan'!E98,IF('Evaluation Plan'!H98="Matched manipulation control",'Evaluation Plan'!E98,IF('Evaluation Plan'!H98="Black-cup held-out-state composition",'Evaluation Plan'!E98,""))))</x:f>
      </x:c>
      <x:c r="F98" s="8" t="str">
        <x:f>'Evaluation Plan'!F98</x:f>
        <x:v>yellow-white striped cup A</x:v>
      </x:c>
      <x:c r="G98" s="7"/>
      <x:c r="H98" s="8" t="str">
        <x:f>'Evaluation Plan'!H98</x:f>
        <x:v>Concept/compositional transfer</x:v>
      </x:c>
      <x:c r="I98" s="8" t="str">
        <x:f>'Evaluation Plan'!I98</x:f>
        <x:v>SR-X17</x:v>
      </x:c>
      <x:c r="J98" s="8" t="str">
        <x:f>'Evaluation Plan'!J98</x:f>
        <x:v>upright</x:v>
      </x:c>
      <x:c r="K98" s="8" t="n">
        <x:f>'Evaluation Plan'!K98</x:f>
        <x:v>4</x:v>
      </x:c>
      <x:c r="L98" s="8" t="str">
        <x:f>'Evaluation Plan'!L98</x:f>
        <x:v>Additional transfer — Additional held-out state + category (upright)</x:v>
      </x:c>
      <x:c r="M98" s="8" t="n">
        <x:f>'Evaluation Plan'!M98</x:f>
        <x:v>37</x:v>
      </x:c>
      <x:c r="N98" s="7" t="str">
        <x:f>'Evaluation Plan'!N98</x:f>
        <x:v>Build the listed same-category discrimination scene; both category instances must remain present.</x:v>
      </x:c>
      <x:c r="O98" s="7" t="str">
        <x:f>'Evaluation Plan'!O98</x:f>
        <x:v>Unpaired primary-transfer coverage. Category and state are both present in the prompt, matching the training prompt structure.</x:v>
      </x:c>
      <x:c r="P98" s="7" t="str">
        <x:f>IF('Evaluation Plan'!P98=0,"",'Evaluation Plan'!P98)</x:f>
      </x:c>
    </x:row>
    <x:row r="99" ht="58" customHeight="1">
      <x:c r="A99" s="8" t="str">
        <x:v>Not collected</x:v>
      </x:c>
      <x:c r="B99" s="8" t="n">
        <x:f>'Evaluation Plan'!B99</x:f>
        <x:v>97</x:v>
      </x:c>
      <x:c r="C99" s="7" t="str">
        <x:f>'Evaluation Plan'!C99</x:f>
        <x:v>Put the upright brown cup in the bowl.</x:v>
      </x:c>
      <x:c r="D99" s="7" t="str">
        <x:f>'Evaluation Plan'!D99</x:f>
        <x:v>P1 white cup B (C, UD); P2 brown cup B (C, UR) [TARGET]; P3 brown cup A (C, UD) [STATE COMPETITOR]; P4 yellow-white striped cup A (O, UR)</x:v>
      </x:c>
      <x:c r="E99" s="8" t="str">
        <x:f>IF('Evaluation Plan'!H99="Exact-scene opposite-state contrast",'Evaluation Plan'!E99,IF('Evaluation Plan'!H99="Language robustness",'Evaluation Plan'!E99,IF('Evaluation Plan'!H99="Matched manipulation control",'Evaluation Plan'!E99,IF('Evaluation Plan'!H99="Black-cup held-out-state composition",'Evaluation Plan'!E99,""))))</x:f>
      </x:c>
      <x:c r="F99" s="8" t="str">
        <x:f>'Evaluation Plan'!F99</x:f>
        <x:v>brown cup B</x:v>
      </x:c>
      <x:c r="G99" s="7"/>
      <x:c r="H99" s="8" t="str">
        <x:f>'Evaluation Plan'!H99</x:f>
        <x:v>Concept/compositional transfer</x:v>
      </x:c>
      <x:c r="I99" s="8" t="str">
        <x:f>'Evaluation Plan'!I99</x:f>
        <x:v>SR-X18</x:v>
      </x:c>
      <x:c r="J99" s="8" t="str">
        <x:f>'Evaluation Plan'!J99</x:f>
        <x:v>upright</x:v>
      </x:c>
      <x:c r="K99" s="8" t="n">
        <x:f>'Evaluation Plan'!K99</x:f>
        <x:v>4</x:v>
      </x:c>
      <x:c r="L99" s="8" t="str">
        <x:f>'Evaluation Plan'!L99</x:f>
        <x:v>Additional transfer — Additional held-out state + category (upright)</x:v>
      </x:c>
      <x:c r="M99" s="8" t="n">
        <x:f>'Evaluation Plan'!M99</x:f>
        <x:v>38</x:v>
      </x:c>
      <x:c r="N99" s="7" t="str">
        <x:f>'Evaluation Plan'!N99</x:f>
        <x:v>Build the listed same-category discrimination scene; both category instances must remain present.</x:v>
      </x:c>
      <x:c r="O99" s="7" t="str">
        <x:f>'Evaluation Plan'!O99</x:f>
        <x:v>Unpaired primary-transfer coverage. Category and state are both present in the prompt, matching the training prompt structure.</x:v>
      </x:c>
      <x:c r="P99" s="7" t="str">
        <x:f>IF('Evaluation Plan'!P99=0,"",'Evaluation Plan'!P99)</x:f>
      </x:c>
    </x:row>
    <x:row r="100" ht="58" customHeight="1">
      <x:c r="A100" s="8" t="str">
        <x:v>Not collected</x:v>
      </x:c>
      <x:c r="B100" s="8" t="n">
        <x:f>'Evaluation Plan'!B100</x:f>
        <x:v>98</x:v>
      </x:c>
      <x:c r="C100" s="7" t="str">
        <x:f>'Evaluation Plan'!C100</x:f>
        <x:v>Move the upright glass spice container into the bowl.</x:v>
      </x:c>
      <x:c r="D100" s="7" t="str">
        <x:f>'Evaluation Plan'!D100</x:f>
        <x:v>P1 white cup A (O, UR); P2 yellow-white striped cup B (C, UD); P3 glass spice container A (O, UR) [TARGET]; P4 glass spice container B (O, UD) [STATE COMPETITOR]</x:v>
      </x:c>
      <x:c r="E100" s="8" t="str">
        <x:f>IF('Evaluation Plan'!H100="Exact-scene opposite-state contrast",'Evaluation Plan'!E100,IF('Evaluation Plan'!H100="Language robustness",'Evaluation Plan'!E100,IF('Evaluation Plan'!H100="Matched manipulation control",'Evaluation Plan'!E100,IF('Evaluation Plan'!H100="Black-cup held-out-state composition",'Evaluation Plan'!E100,""))))</x:f>
      </x:c>
      <x:c r="F100" s="8" t="str">
        <x:f>'Evaluation Plan'!F100</x:f>
        <x:v>glass spice container A</x:v>
      </x:c>
      <x:c r="G100" s="7"/>
      <x:c r="H100" s="8" t="str">
        <x:f>'Evaluation Plan'!H100</x:f>
        <x:v>Concept/compositional transfer</x:v>
      </x:c>
      <x:c r="I100" s="8" t="str">
        <x:f>'Evaluation Plan'!I100</x:f>
        <x:v>SR-X19</x:v>
      </x:c>
      <x:c r="J100" s="8" t="str">
        <x:f>'Evaluation Plan'!J100</x:f>
        <x:v>upright</x:v>
      </x:c>
      <x:c r="K100" s="8" t="n">
        <x:f>'Evaluation Plan'!K100</x:f>
        <x:v>4</x:v>
      </x:c>
      <x:c r="L100" s="8" t="str">
        <x:f>'Evaluation Plan'!L100</x:f>
        <x:v>Additional transfer — Additional held-out state + category (upright)</x:v>
      </x:c>
      <x:c r="M100" s="8" t="n">
        <x:f>'Evaluation Plan'!M100</x:f>
        <x:v>39</x:v>
      </x:c>
      <x:c r="N100" s="7" t="str">
        <x:f>'Evaluation Plan'!N100</x:f>
        <x:v>Build the listed same-category discrimination scene; both category instances must remain present.</x:v>
      </x:c>
      <x:c r="O100" s="7" t="str">
        <x:f>'Evaluation Plan'!O100</x:f>
        <x:v>Unpaired primary-transfer coverage. Category and state are both present in the prompt, matching the training prompt structure.</x:v>
      </x:c>
      <x:c r="P100" s="7" t="str">
        <x:f>IF('Evaluation Plan'!P100=0,"",'Evaluation Plan'!P100)</x:f>
      </x:c>
    </x:row>
    <x:row r="101" ht="58" customHeight="1">
      <x:c r="A101" s="8" t="str">
        <x:v>Not collected</x:v>
      </x:c>
      <x:c r="B101" s="8" t="n">
        <x:f>'Evaluation Plan'!B101</x:f>
        <x:v>99</x:v>
      </x:c>
      <x:c r="C101" s="7" t="str">
        <x:f>'Evaluation Plan'!C101</x:f>
        <x:v>Place the upright white cup in the bowl.</x:v>
      </x:c>
      <x:c r="D101" s="7" t="str">
        <x:f>'Evaluation Plan'!D101</x:f>
        <x:v>P1 white cup A (C, UD) [STATE COMPETITOR]; P2 yellow-white striped cup A (O, UR); P3 brown cup B (C, UD); P4 white cup B (C, UR) [TARGET]</x:v>
      </x:c>
      <x:c r="E101" s="8" t="str">
        <x:f>IF('Evaluation Plan'!H101="Exact-scene opposite-state contrast",'Evaluation Plan'!E101,IF('Evaluation Plan'!H101="Language robustness",'Evaluation Plan'!E101,IF('Evaluation Plan'!H101="Matched manipulation control",'Evaluation Plan'!E101,IF('Evaluation Plan'!H101="Black-cup held-out-state composition",'Evaluation Plan'!E101,""))))</x:f>
      </x:c>
      <x:c r="F101" s="8" t="str">
        <x:f>'Evaluation Plan'!F101</x:f>
        <x:v>white cup B</x:v>
      </x:c>
      <x:c r="G101" s="7"/>
      <x:c r="H101" s="8" t="str">
        <x:f>'Evaluation Plan'!H101</x:f>
        <x:v>Concept/compositional transfer</x:v>
      </x:c>
      <x:c r="I101" s="8" t="str">
        <x:f>'Evaluation Plan'!I101</x:f>
        <x:v>SR-X20</x:v>
      </x:c>
      <x:c r="J101" s="8" t="str">
        <x:f>'Evaluation Plan'!J101</x:f>
        <x:v>upright</x:v>
      </x:c>
      <x:c r="K101" s="8" t="n">
        <x:f>'Evaluation Plan'!K101</x:f>
        <x:v>4</x:v>
      </x:c>
      <x:c r="L101" s="8" t="str">
        <x:f>'Evaluation Plan'!L101</x:f>
        <x:v>Additional transfer — Additional held-out state + category (upright)</x:v>
      </x:c>
      <x:c r="M101" s="8" t="n">
        <x:f>'Evaluation Plan'!M101</x:f>
        <x:v>40</x:v>
      </x:c>
      <x:c r="N101" s="7" t="str">
        <x:f>'Evaluation Plan'!N101</x:f>
        <x:v>Build the listed same-category discrimination scene; both category instances must remain present.</x:v>
      </x:c>
      <x:c r="O101" s="7" t="str">
        <x:f>'Evaluation Plan'!O101</x:f>
        <x:v>Unpaired primary-transfer coverage. Category and state are both present in the prompt, matching the training prompt structure.</x:v>
      </x:c>
      <x:c r="P101" s="7" t="str">
        <x:f>IF('Evaluation Plan'!P101=0,"",'Evaluation Plan'!P101)</x:f>
      </x:c>
    </x:row>
    <x:row r="102" ht="58" customHeight="1">
      <x:c r="A102" s="8" t="str">
        <x:v>Not collected</x:v>
      </x:c>
      <x:c r="B102" s="8" t="n">
        <x:f>'Evaluation Plan'!B102</x:f>
        <x:v>100</x:v>
      </x:c>
      <x:c r="C102" s="7" t="str">
        <x:f>'Evaluation Plan'!C102</x:f>
        <x:v>Put the upside-down yellow-white striped cup in the bowl.</x:v>
      </x:c>
      <x:c r="D102" s="7" t="str">
        <x:f>'Evaluation Plan'!D102</x:f>
        <x:v>P1 yellow-white striped cup A (O, UD) [TARGET]; P2 yellow-white striped cup B (O, UR) [STATE COMPETITOR]; P3 white cup A (O, UR); P4 brown cup B (C, UD)</x:v>
      </x:c>
      <x:c r="E102" s="8" t="str">
        <x:f>IF('Evaluation Plan'!H102="Exact-scene opposite-state contrast",'Evaluation Plan'!E102,IF('Evaluation Plan'!H102="Language robustness",'Evaluation Plan'!E102,IF('Evaluation Plan'!H102="Matched manipulation control",'Evaluation Plan'!E102,IF('Evaluation Plan'!H102="Black-cup held-out-state composition",'Evaluation Plan'!E102,""))))</x:f>
      </x:c>
      <x:c r="F102" s="8" t="str">
        <x:f>'Evaluation Plan'!F102</x:f>
        <x:v>yellow-white striped cup A</x:v>
      </x:c>
      <x:c r="G102" s="7"/>
      <x:c r="H102" s="8" t="str">
        <x:f>'Evaluation Plan'!H102</x:f>
        <x:v>Concept/compositional transfer</x:v>
      </x:c>
      <x:c r="I102" s="8" t="str">
        <x:f>'Evaluation Plan'!I102</x:f>
        <x:v>SR-X21</x:v>
      </x:c>
      <x:c r="J102" s="8" t="str">
        <x:f>'Evaluation Plan'!J102</x:f>
        <x:v>upside-down</x:v>
      </x:c>
      <x:c r="K102" s="8" t="n">
        <x:f>'Evaluation Plan'!K102</x:f>
        <x:v>4</x:v>
      </x:c>
      <x:c r="L102" s="8" t="str">
        <x:f>'Evaluation Plan'!L102</x:f>
        <x:v>Additional transfer — Additional seen-state scene transfer (upside-down)</x:v>
      </x:c>
      <x:c r="M102" s="8" t="n">
        <x:f>'Evaluation Plan'!M102</x:f>
        <x:v>41</x:v>
      </x:c>
      <x:c r="N102" s="7" t="str">
        <x:f>'Evaluation Plan'!N102</x:f>
        <x:v>Build the listed same-category discrimination scene; both category instances must remain present.</x:v>
      </x:c>
      <x:c r="O102" s="7" t="str">
        <x:f>'Evaluation Plan'!O102</x:f>
        <x:v>Unpaired primary-transfer coverage. Category and state are both present in the prompt, matching the training prompt structure.</x:v>
      </x:c>
      <x:c r="P102" s="7" t="str">
        <x:f>IF('Evaluation Plan'!P102=0,"",'Evaluation Plan'!P102)</x:f>
      </x:c>
    </x:row>
    <x:row r="103" ht="58" customHeight="1">
      <x:c r="A103" s="8" t="str">
        <x:v>Not collected</x:v>
      </x:c>
      <x:c r="B103" s="8" t="n">
        <x:f>'Evaluation Plan'!B103</x:f>
        <x:v>101</x:v>
      </x:c>
      <x:c r="C103" s="7" t="str">
        <x:f>'Evaluation Plan'!C103</x:f>
        <x:v>Move the upside-down brown cup into the bowl.</x:v>
      </x:c>
      <x:c r="D103" s="7" t="str">
        <x:f>'Evaluation Plan'!D103</x:f>
        <x:v>P1 white cup B (C, UD); P2 brown cup B (C, UD) [TARGET]; P3 brown cup A (C, UR) [STATE COMPETITOR]; P4 yellow-white striped cup A (O, UR)</x:v>
      </x:c>
      <x:c r="E103" s="8" t="str">
        <x:f>IF('Evaluation Plan'!H103="Exact-scene opposite-state contrast",'Evaluation Plan'!E103,IF('Evaluation Plan'!H103="Language robustness",'Evaluation Plan'!E103,IF('Evaluation Plan'!H103="Matched manipulation control",'Evaluation Plan'!E103,IF('Evaluation Plan'!H103="Black-cup held-out-state composition",'Evaluation Plan'!E103,""))))</x:f>
      </x:c>
      <x:c r="F103" s="8" t="str">
        <x:f>'Evaluation Plan'!F103</x:f>
        <x:v>brown cup B</x:v>
      </x:c>
      <x:c r="G103" s="7"/>
      <x:c r="H103" s="8" t="str">
        <x:f>'Evaluation Plan'!H103</x:f>
        <x:v>Concept/compositional transfer</x:v>
      </x:c>
      <x:c r="I103" s="8" t="str">
        <x:f>'Evaluation Plan'!I103</x:f>
        <x:v>SR-X22</x:v>
      </x:c>
      <x:c r="J103" s="8" t="str">
        <x:f>'Evaluation Plan'!J103</x:f>
        <x:v>upside-down</x:v>
      </x:c>
      <x:c r="K103" s="8" t="n">
        <x:f>'Evaluation Plan'!K103</x:f>
        <x:v>4</x:v>
      </x:c>
      <x:c r="L103" s="8" t="str">
        <x:f>'Evaluation Plan'!L103</x:f>
        <x:v>Additional transfer — Additional seen-state scene transfer (upside-down)</x:v>
      </x:c>
      <x:c r="M103" s="8" t="n">
        <x:f>'Evaluation Plan'!M103</x:f>
        <x:v>42</x:v>
      </x:c>
      <x:c r="N103" s="7" t="str">
        <x:f>'Evaluation Plan'!N103</x:f>
        <x:v>Build the listed same-category discrimination scene; both category instances must remain present.</x:v>
      </x:c>
      <x:c r="O103" s="7" t="str">
        <x:f>'Evaluation Plan'!O103</x:f>
        <x:v>Unpaired primary-transfer coverage. Category and state are both present in the prompt, matching the training prompt structure.</x:v>
      </x:c>
      <x:c r="P103" s="7" t="str">
        <x:f>IF('Evaluation Plan'!P103=0,"",'Evaluation Plan'!P103)</x:f>
      </x:c>
    </x:row>
    <x:row r="104" ht="58" customHeight="1">
      <x:c r="A104" s="8" t="str">
        <x:v>Not collected</x:v>
      </x:c>
      <x:c r="B104" s="8" t="n">
        <x:f>'Evaluation Plan'!B104</x:f>
        <x:v>102</x:v>
      </x:c>
      <x:c r="C104" s="7" t="str">
        <x:f>'Evaluation Plan'!C104</x:f>
        <x:v>Put the upright can in the bowl.</x:v>
      </x:c>
      <x:c r="D104" s="7" t="str">
        <x:f>'Evaluation Plan'!D104</x:f>
        <x:v>P1 crushed Coke can (UR) [TARGET]; P2 crushed Pepsi can (UD) [STATE COMPETITOR]; P3 white cup A (O, UD); P4 yellow-white striped cup B (C, UD)</x:v>
      </x:c>
      <x:c r="E104" s="8" t="str">
        <x:f>IF('Evaluation Plan'!H104="Exact-scene opposite-state contrast",'Evaluation Plan'!E104,IF('Evaluation Plan'!H104="Language robustness",'Evaluation Plan'!E104,IF('Evaluation Plan'!H104="Matched manipulation control",'Evaluation Plan'!E104,IF('Evaluation Plan'!H104="Black-cup held-out-state composition",'Evaluation Plan'!E104,""))))</x:f>
      </x:c>
      <x:c r="F104" s="8" t="str">
        <x:f>'Evaluation Plan'!F104</x:f>
        <x:v>crushed Coke can</x:v>
      </x:c>
      <x:c r="G104" s="7"/>
      <x:c r="H104" s="8" t="str">
        <x:f>'Evaluation Plan'!H104</x:f>
        <x:v>Concept/compositional transfer</x:v>
      </x:c>
      <x:c r="I104" s="8" t="str">
        <x:f>'Evaluation Plan'!I104</x:f>
        <x:v>SR-CAN01</x:v>
      </x:c>
      <x:c r="J104" s="8" t="str">
        <x:f>'Evaluation Plan'!J104</x:f>
        <x:v>upright</x:v>
      </x:c>
      <x:c r="K104" s="8" t="n">
        <x:f>'Evaluation Plan'!K104</x:f>
        <x:v>4</x:v>
      </x:c>
      <x:c r="L104" s="8" t="str">
        <x:f>'Evaluation Plan'!L104</x:f>
        <x:v>Additional transfer — Cross-task object transfer — can orientation</x:v>
      </x:c>
      <x:c r="M104" s="8" t="n">
        <x:f>'Evaluation Plan'!M104</x:f>
        <x:v>43</x:v>
      </x:c>
      <x:c r="N104" s="7" t="str">
        <x:f>'Evaluation Plan'!N104</x:f>
        <x:v>Use both crushed cans. One must be upright and the other upside-down; the state word, not brand, selects the target.</x:v>
      </x:c>
      <x:c r="O104" s="7" t="str">
        <x:f>'Evaluation Plan'!O104</x:f>
        <x:v>Cans were seen elsewhere in training, so these test cross-task composition rather than global visual novelty. Never assign open/closed to cans.</x:v>
      </x:c>
      <x:c r="P104" s="7" t="str">
        <x:f>IF('Evaluation Plan'!P104=0,"",'Evaluation Plan'!P104)</x:f>
      </x:c>
    </x:row>
    <x:row r="105" ht="58" customHeight="1">
      <x:c r="A105" s="8" t="str">
        <x:v>Not collected</x:v>
      </x:c>
      <x:c r="B105" s="8" t="n">
        <x:f>'Evaluation Plan'!B105</x:f>
        <x:v>103</x:v>
      </x:c>
      <x:c r="C105" s="7" t="str">
        <x:f>'Evaluation Plan'!C105</x:f>
        <x:v>Move the upright can into the bowl.</x:v>
      </x:c>
      <x:c r="D105" s="7" t="str">
        <x:f>'Evaluation Plan'!D105</x:f>
        <x:v>P1 yellow-white striped cup B (C, UD); P2 crushed Pepsi can (UR) [TARGET]; P3 crushed Coke can (UD) [STATE COMPETITOR]; P4 brown cup A (O, UD)</x:v>
      </x:c>
      <x:c r="E105" s="8" t="str">
        <x:f>IF('Evaluation Plan'!H105="Exact-scene opposite-state contrast",'Evaluation Plan'!E105,IF('Evaluation Plan'!H105="Language robustness",'Evaluation Plan'!E105,IF('Evaluation Plan'!H105="Matched manipulation control",'Evaluation Plan'!E105,IF('Evaluation Plan'!H105="Black-cup held-out-state composition",'Evaluation Plan'!E105,""))))</x:f>
      </x:c>
      <x:c r="F105" s="8" t="str">
        <x:f>'Evaluation Plan'!F105</x:f>
        <x:v>crushed Pepsi can</x:v>
      </x:c>
      <x:c r="G105" s="7"/>
      <x:c r="H105" s="8" t="str">
        <x:f>'Evaluation Plan'!H105</x:f>
        <x:v>Concept/compositional transfer</x:v>
      </x:c>
      <x:c r="I105" s="8" t="str">
        <x:f>'Evaluation Plan'!I105</x:f>
        <x:v>SR-CAN02</x:v>
      </x:c>
      <x:c r="J105" s="8" t="str">
        <x:f>'Evaluation Plan'!J105</x:f>
        <x:v>upright</x:v>
      </x:c>
      <x:c r="K105" s="8" t="n">
        <x:f>'Evaluation Plan'!K105</x:f>
        <x:v>4</x:v>
      </x:c>
      <x:c r="L105" s="8" t="str">
        <x:f>'Evaluation Plan'!L105</x:f>
        <x:v>Additional transfer — Cross-task object transfer — can orientation</x:v>
      </x:c>
      <x:c r="M105" s="8" t="n">
        <x:f>'Evaluation Plan'!M105</x:f>
        <x:v>44</x:v>
      </x:c>
      <x:c r="N105" s="7" t="str">
        <x:f>'Evaluation Plan'!N105</x:f>
        <x:v>Use both crushed cans. One must be upright and the other upside-down; the state word, not brand, selects the target.</x:v>
      </x:c>
      <x:c r="O105" s="7" t="str">
        <x:f>'Evaluation Plan'!O105</x:f>
        <x:v>Cans were seen elsewhere in training, so these test cross-task composition rather than global visual novelty. Never assign open/closed to cans.</x:v>
      </x:c>
      <x:c r="P105" s="7" t="str">
        <x:f>IF('Evaluation Plan'!P105=0,"",'Evaluation Plan'!P105)</x:f>
      </x:c>
    </x:row>
    <x:row r="106" ht="58" customHeight="1">
      <x:c r="A106" s="8" t="str">
        <x:v>Not collected</x:v>
      </x:c>
      <x:c r="B106" s="8" t="n">
        <x:f>'Evaluation Plan'!B106</x:f>
        <x:v>104</x:v>
      </x:c>
      <x:c r="C106" s="7" t="str">
        <x:f>'Evaluation Plan'!C106</x:f>
        <x:v>Place the upright can in the bowl.</x:v>
      </x:c>
      <x:c r="D106" s="7" t="str">
        <x:f>'Evaluation Plan'!D106</x:f>
        <x:v>P1 brown cup A (O, UD); P2 glass spice container B (C, UD); P3 crushed Coke can (UR) [TARGET]; P4 crushed Pepsi can (UD) [STATE COMPETITOR]</x:v>
      </x:c>
      <x:c r="E106" s="8" t="str">
        <x:f>IF('Evaluation Plan'!H106="Exact-scene opposite-state contrast",'Evaluation Plan'!E106,IF('Evaluation Plan'!H106="Language robustness",'Evaluation Plan'!E106,IF('Evaluation Plan'!H106="Matched manipulation control",'Evaluation Plan'!E106,IF('Evaluation Plan'!H106="Black-cup held-out-state composition",'Evaluation Plan'!E106,""))))</x:f>
      </x:c>
      <x:c r="F106" s="8" t="str">
        <x:f>'Evaluation Plan'!F106</x:f>
        <x:v>crushed Coke can</x:v>
      </x:c>
      <x:c r="G106" s="7"/>
      <x:c r="H106" s="8" t="str">
        <x:f>'Evaluation Plan'!H106</x:f>
        <x:v>Concept/compositional transfer</x:v>
      </x:c>
      <x:c r="I106" s="8" t="str">
        <x:f>'Evaluation Plan'!I106</x:f>
        <x:v>SR-CAN03</x:v>
      </x:c>
      <x:c r="J106" s="8" t="str">
        <x:f>'Evaluation Plan'!J106</x:f>
        <x:v>upright</x:v>
      </x:c>
      <x:c r="K106" s="8" t="n">
        <x:f>'Evaluation Plan'!K106</x:f>
        <x:v>4</x:v>
      </x:c>
      <x:c r="L106" s="8" t="str">
        <x:f>'Evaluation Plan'!L106</x:f>
        <x:v>Additional transfer — Cross-task object transfer — can orientation</x:v>
      </x:c>
      <x:c r="M106" s="8" t="n">
        <x:f>'Evaluation Plan'!M106</x:f>
        <x:v>45</x:v>
      </x:c>
      <x:c r="N106" s="7" t="str">
        <x:f>'Evaluation Plan'!N106</x:f>
        <x:v>Use both crushed cans. One must be upright and the other upside-down; the state word, not brand, selects the target.</x:v>
      </x:c>
      <x:c r="O106" s="7" t="str">
        <x:f>'Evaluation Plan'!O106</x:f>
        <x:v>Cans were seen elsewhere in training, so these test cross-task composition rather than global visual novelty. Never assign open/closed to cans.</x:v>
      </x:c>
      <x:c r="P106" s="7" t="str">
        <x:f>IF('Evaluation Plan'!P106=0,"",'Evaluation Plan'!P106)</x:f>
      </x:c>
    </x:row>
    <x:row r="107" ht="58" customHeight="1">
      <x:c r="A107" s="8" t="str">
        <x:v>Not collected</x:v>
      </x:c>
      <x:c r="B107" s="8" t="n">
        <x:f>'Evaluation Plan'!B107</x:f>
        <x:v>105</x:v>
      </x:c>
      <x:c r="C107" s="7" t="str">
        <x:f>'Evaluation Plan'!C107</x:f>
        <x:v>Put the upright can in the bowl.</x:v>
      </x:c>
      <x:c r="D107" s="7" t="str">
        <x:f>'Evaluation Plan'!D107</x:f>
        <x:v>P1 crushed Coke can (UD) [STATE COMPETITOR]; P2 glass spice container A (O, UD); P3 white cup B (C, UD); P4 crushed Pepsi can (UR) [TARGET]</x:v>
      </x:c>
      <x:c r="E107" s="8" t="str">
        <x:f>IF('Evaluation Plan'!H107="Exact-scene opposite-state contrast",'Evaluation Plan'!E107,IF('Evaluation Plan'!H107="Language robustness",'Evaluation Plan'!E107,IF('Evaluation Plan'!H107="Matched manipulation control",'Evaluation Plan'!E107,IF('Evaluation Plan'!H107="Black-cup held-out-state composition",'Evaluation Plan'!E107,""))))</x:f>
      </x:c>
      <x:c r="F107" s="8" t="str">
        <x:f>'Evaluation Plan'!F107</x:f>
        <x:v>crushed Pepsi can</x:v>
      </x:c>
      <x:c r="G107" s="7"/>
      <x:c r="H107" s="8" t="str">
        <x:f>'Evaluation Plan'!H107</x:f>
        <x:v>Concept/compositional transfer</x:v>
      </x:c>
      <x:c r="I107" s="8" t="str">
        <x:f>'Evaluation Plan'!I107</x:f>
        <x:v>SR-CAN04</x:v>
      </x:c>
      <x:c r="J107" s="8" t="str">
        <x:f>'Evaluation Plan'!J107</x:f>
        <x:v>upright</x:v>
      </x:c>
      <x:c r="K107" s="8" t="n">
        <x:f>'Evaluation Plan'!K107</x:f>
        <x:v>4</x:v>
      </x:c>
      <x:c r="L107" s="8" t="str">
        <x:f>'Evaluation Plan'!L107</x:f>
        <x:v>Additional transfer — Cross-task object transfer — can orientation</x:v>
      </x:c>
      <x:c r="M107" s="8" t="n">
        <x:f>'Evaluation Plan'!M107</x:f>
        <x:v>46</x:v>
      </x:c>
      <x:c r="N107" s="7" t="str">
        <x:f>'Evaluation Plan'!N107</x:f>
        <x:v>Use both crushed cans. One must be upright and the other upside-down; the state word, not brand, selects the target.</x:v>
      </x:c>
      <x:c r="O107" s="7" t="str">
        <x:f>'Evaluation Plan'!O107</x:f>
        <x:v>Cans were seen elsewhere in training, so these test cross-task composition rather than global visual novelty. Never assign open/closed to cans.</x:v>
      </x:c>
      <x:c r="P107" s="7" t="str">
        <x:f>IF('Evaluation Plan'!P107=0,"",'Evaluation Plan'!P107)</x:f>
      </x:c>
    </x:row>
    <x:row r="108" ht="58" customHeight="1">
      <x:c r="A108" s="8" t="str">
        <x:v>Not collected</x:v>
      </x:c>
      <x:c r="B108" s="8" t="n">
        <x:f>'Evaluation Plan'!B108</x:f>
        <x:v>106</x:v>
      </x:c>
      <x:c r="C108" s="7" t="str">
        <x:f>'Evaluation Plan'!C108</x:f>
        <x:v>Move the upright can into the bowl.</x:v>
      </x:c>
      <x:c r="D108" s="7" t="str">
        <x:f>'Evaluation Plan'!D108</x:f>
        <x:v>P1 crushed Coke can (UR) [TARGET]; P2 crushed Pepsi can (UD) [STATE COMPETITOR]; P3 white cup A (O, UD); P4 yellow-white striped cup B (C, UD)</x:v>
      </x:c>
      <x:c r="E108" s="8" t="str">
        <x:f>IF('Evaluation Plan'!H108="Exact-scene opposite-state contrast",'Evaluation Plan'!E108,IF('Evaluation Plan'!H108="Language robustness",'Evaluation Plan'!E108,IF('Evaluation Plan'!H108="Matched manipulation control",'Evaluation Plan'!E108,IF('Evaluation Plan'!H108="Black-cup held-out-state composition",'Evaluation Plan'!E108,""))))</x:f>
      </x:c>
      <x:c r="F108" s="8" t="str">
        <x:f>'Evaluation Plan'!F108</x:f>
        <x:v>crushed Coke can</x:v>
      </x:c>
      <x:c r="G108" s="7"/>
      <x:c r="H108" s="8" t="str">
        <x:f>'Evaluation Plan'!H108</x:f>
        <x:v>Concept/compositional transfer</x:v>
      </x:c>
      <x:c r="I108" s="8" t="str">
        <x:f>'Evaluation Plan'!I108</x:f>
        <x:v>SR-CAN05</x:v>
      </x:c>
      <x:c r="J108" s="8" t="str">
        <x:f>'Evaluation Plan'!J108</x:f>
        <x:v>upright</x:v>
      </x:c>
      <x:c r="K108" s="8" t="n">
        <x:f>'Evaluation Plan'!K108</x:f>
        <x:v>4</x:v>
      </x:c>
      <x:c r="L108" s="8" t="str">
        <x:f>'Evaluation Plan'!L108</x:f>
        <x:v>Additional transfer — Cross-task object transfer — can orientation</x:v>
      </x:c>
      <x:c r="M108" s="8" t="n">
        <x:f>'Evaluation Plan'!M108</x:f>
        <x:v>47</x:v>
      </x:c>
      <x:c r="N108" s="7" t="str">
        <x:f>'Evaluation Plan'!N108</x:f>
        <x:v>Use both crushed cans. One must be upright and the other upside-down; the state word, not brand, selects the target.</x:v>
      </x:c>
      <x:c r="O108" s="7" t="str">
        <x:f>'Evaluation Plan'!O108</x:f>
        <x:v>Cans were seen elsewhere in training, so these test cross-task composition rather than global visual novelty. Never assign open/closed to cans.</x:v>
      </x:c>
      <x:c r="P108" s="7" t="str">
        <x:f>IF('Evaluation Plan'!P108=0,"",'Evaluation Plan'!P108)</x:f>
      </x:c>
    </x:row>
    <x:row r="109" ht="58" customHeight="1">
      <x:c r="A109" s="8" t="str">
        <x:v>Not collected</x:v>
      </x:c>
      <x:c r="B109" s="8" t="n">
        <x:f>'Evaluation Plan'!B109</x:f>
        <x:v>107</x:v>
      </x:c>
      <x:c r="C109" s="7" t="str">
        <x:f>'Evaluation Plan'!C109</x:f>
        <x:v>Place the upside-down can in the bowl.</x:v>
      </x:c>
      <x:c r="D109" s="7" t="str">
        <x:f>'Evaluation Plan'!D109</x:f>
        <x:v>P1 yellow-white striped cup B (C, UR); P2 crushed Pepsi can (UD) [TARGET]; P3 crushed Coke can (UR) [STATE COMPETITOR]; P4 brown cup A (O, UR)</x:v>
      </x:c>
      <x:c r="E109" s="8" t="str">
        <x:f>IF('Evaluation Plan'!H109="Exact-scene opposite-state contrast",'Evaluation Plan'!E109,IF('Evaluation Plan'!H109="Language robustness",'Evaluation Plan'!E109,IF('Evaluation Plan'!H109="Matched manipulation control",'Evaluation Plan'!E109,IF('Evaluation Plan'!H109="Black-cup held-out-state composition",'Evaluation Plan'!E109,""))))</x:f>
      </x:c>
      <x:c r="F109" s="8" t="str">
        <x:f>'Evaluation Plan'!F109</x:f>
        <x:v>crushed Pepsi can</x:v>
      </x:c>
      <x:c r="G109" s="7"/>
      <x:c r="H109" s="8" t="str">
        <x:f>'Evaluation Plan'!H109</x:f>
        <x:v>Concept/compositional transfer</x:v>
      </x:c>
      <x:c r="I109" s="8" t="str">
        <x:f>'Evaluation Plan'!I109</x:f>
        <x:v>SR-CAN06</x:v>
      </x:c>
      <x:c r="J109" s="8" t="str">
        <x:f>'Evaluation Plan'!J109</x:f>
        <x:v>upside-down</x:v>
      </x:c>
      <x:c r="K109" s="8" t="n">
        <x:f>'Evaluation Plan'!K109</x:f>
        <x:v>4</x:v>
      </x:c>
      <x:c r="L109" s="8" t="str">
        <x:f>'Evaluation Plan'!L109</x:f>
        <x:v>Additional transfer — Cross-task object transfer — can orientation</x:v>
      </x:c>
      <x:c r="M109" s="8" t="n">
        <x:f>'Evaluation Plan'!M109</x:f>
        <x:v>48</x:v>
      </x:c>
      <x:c r="N109" s="7" t="str">
        <x:f>'Evaluation Plan'!N109</x:f>
        <x:v>Use both crushed cans. One must be upright and the other upside-down; the state word, not brand, selects the target.</x:v>
      </x:c>
      <x:c r="O109" s="7" t="str">
        <x:f>'Evaluation Plan'!O109</x:f>
        <x:v>Cans were seen elsewhere in training, so these test cross-task composition rather than global visual novelty. Never assign open/closed to cans.</x:v>
      </x:c>
      <x:c r="P109" s="7" t="str">
        <x:f>IF('Evaluation Plan'!P109=0,"",'Evaluation Plan'!P109)</x:f>
      </x:c>
    </x:row>
    <x:row r="110" ht="58" customHeight="1">
      <x:c r="A110" s="8" t="str">
        <x:v>Not collected</x:v>
      </x:c>
      <x:c r="B110" s="8" t="n">
        <x:f>'Evaluation Plan'!B110</x:f>
        <x:v>108</x:v>
      </x:c>
      <x:c r="C110" s="7" t="str">
        <x:f>'Evaluation Plan'!C110</x:f>
        <x:v>Put the upside-down can in the bowl.</x:v>
      </x:c>
      <x:c r="D110" s="7" t="str">
        <x:f>'Evaluation Plan'!D110</x:f>
        <x:v>P1 brown cup A (O, UR); P2 glass spice container B (C, UR); P3 crushed Coke can (UD) [TARGET]; P4 crushed Pepsi can (UR) [STATE COMPETITOR]</x:v>
      </x:c>
      <x:c r="E110" s="8" t="str">
        <x:f>IF('Evaluation Plan'!H110="Exact-scene opposite-state contrast",'Evaluation Plan'!E110,IF('Evaluation Plan'!H110="Language robustness",'Evaluation Plan'!E110,IF('Evaluation Plan'!H110="Matched manipulation control",'Evaluation Plan'!E110,IF('Evaluation Plan'!H110="Black-cup held-out-state composition",'Evaluation Plan'!E110,""))))</x:f>
      </x:c>
      <x:c r="F110" s="8" t="str">
        <x:f>'Evaluation Plan'!F110</x:f>
        <x:v>crushed Coke can</x:v>
      </x:c>
      <x:c r="G110" s="7"/>
      <x:c r="H110" s="8" t="str">
        <x:f>'Evaluation Plan'!H110</x:f>
        <x:v>Concept/compositional transfer</x:v>
      </x:c>
      <x:c r="I110" s="8" t="str">
        <x:f>'Evaluation Plan'!I110</x:f>
        <x:v>SR-CAN07</x:v>
      </x:c>
      <x:c r="J110" s="8" t="str">
        <x:f>'Evaluation Plan'!J110</x:f>
        <x:v>upside-down</x:v>
      </x:c>
      <x:c r="K110" s="8" t="n">
        <x:f>'Evaluation Plan'!K110</x:f>
        <x:v>4</x:v>
      </x:c>
      <x:c r="L110" s="8" t="str">
        <x:f>'Evaluation Plan'!L110</x:f>
        <x:v>Additional transfer — Cross-task object transfer — can orientation</x:v>
      </x:c>
      <x:c r="M110" s="8" t="n">
        <x:f>'Evaluation Plan'!M110</x:f>
        <x:v>49</x:v>
      </x:c>
      <x:c r="N110" s="7" t="str">
        <x:f>'Evaluation Plan'!N110</x:f>
        <x:v>Use both crushed cans. One must be upright and the other upside-down; the state word, not brand, selects the target.</x:v>
      </x:c>
      <x:c r="O110" s="7" t="str">
        <x:f>'Evaluation Plan'!O110</x:f>
        <x:v>Cans were seen elsewhere in training, so these test cross-task composition rather than global visual novelty. Never assign open/closed to cans.</x:v>
      </x:c>
      <x:c r="P110" s="7" t="str">
        <x:f>IF('Evaluation Plan'!P110=0,"",'Evaluation Plan'!P110)</x:f>
      </x:c>
    </x:row>
    <x:row r="111" ht="58" customHeight="1">
      <x:c r="A111" s="8" t="str">
        <x:v>Not collected</x:v>
      </x:c>
      <x:c r="B111" s="8" t="n">
        <x:f>'Evaluation Plan'!B111</x:f>
        <x:v>109</x:v>
      </x:c>
      <x:c r="C111" s="7" t="str">
        <x:f>'Evaluation Plan'!C111</x:f>
        <x:v>Move the upside-down can into the bowl.</x:v>
      </x:c>
      <x:c r="D111" s="7" t="str">
        <x:f>'Evaluation Plan'!D111</x:f>
        <x:v>P1 crushed Coke can (UR) [STATE COMPETITOR]; P2 glass spice container A (O, UR); P3 white cup B (C, UR); P4 crushed Pepsi can (UD) [TARGET]</x:v>
      </x:c>
      <x:c r="E111" s="8" t="str">
        <x:f>IF('Evaluation Plan'!H111="Exact-scene opposite-state contrast",'Evaluation Plan'!E111,IF('Evaluation Plan'!H111="Language robustness",'Evaluation Plan'!E111,IF('Evaluation Plan'!H111="Matched manipulation control",'Evaluation Plan'!E111,IF('Evaluation Plan'!H111="Black-cup held-out-state composition",'Evaluation Plan'!E111,""))))</x:f>
      </x:c>
      <x:c r="F111" s="8" t="str">
        <x:f>'Evaluation Plan'!F111</x:f>
        <x:v>crushed Pepsi can</x:v>
      </x:c>
      <x:c r="G111" s="7"/>
      <x:c r="H111" s="8" t="str">
        <x:f>'Evaluation Plan'!H111</x:f>
        <x:v>Concept/compositional transfer</x:v>
      </x:c>
      <x:c r="I111" s="8" t="str">
        <x:f>'Evaluation Plan'!I111</x:f>
        <x:v>SR-CAN08</x:v>
      </x:c>
      <x:c r="J111" s="8" t="str">
        <x:f>'Evaluation Plan'!J111</x:f>
        <x:v>upside-down</x:v>
      </x:c>
      <x:c r="K111" s="8" t="n">
        <x:f>'Evaluation Plan'!K111</x:f>
        <x:v>4</x:v>
      </x:c>
      <x:c r="L111" s="8" t="str">
        <x:f>'Evaluation Plan'!L111</x:f>
        <x:v>Additional transfer — Cross-task object transfer — can orientation</x:v>
      </x:c>
      <x:c r="M111" s="8" t="n">
        <x:f>'Evaluation Plan'!M111</x:f>
        <x:v>50</x:v>
      </x:c>
      <x:c r="N111" s="7" t="str">
        <x:f>'Evaluation Plan'!N111</x:f>
        <x:v>Use both crushed cans. One must be upright and the other upside-down; the state word, not brand, selects the target.</x:v>
      </x:c>
      <x:c r="O111" s="7" t="str">
        <x:f>'Evaluation Plan'!O111</x:f>
        <x:v>Cans were seen elsewhere in training, so these test cross-task composition rather than global visual novelty. Never assign open/closed to cans.</x:v>
      </x:c>
      <x:c r="P111" s="7" t="str">
        <x:f>IF('Evaluation Plan'!P111=0,"",'Evaluation Plan'!P111)</x:f>
      </x:c>
    </x:row>
    <x:row r="112" ht="58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Place the open black cup in the bowl.</x:v>
      </x:c>
      <x:c r="D112" s="10" t="str">
        <x:f>'Evaluation Plan'!D112</x:f>
        <x:v>P1 black cup A (O, UR) [TARGET]; P2 black cup B (C, UR) [STATE COMPETITOR]; P3 brown cup A (O, UR)</x:v>
      </x:c>
      <x:c r="E112" s="9" t="str">
        <x:f>IF('Evaluation Plan'!H112="Exact-scene opposite-state contrast",'Evaluation Plan'!E112,IF('Evaluation Plan'!H112="Language robustness",'Evaluation Plan'!E112,IF('Evaluation Plan'!H112="Matched manipulation control",'Evaluation Plan'!E112,IF('Evaluation Plan'!H112="Black-cup held-out-state composition",'Evaluation Plan'!E112,""))))</x:f>
      </x:c>
      <x:c r="F112" s="9" t="str">
        <x:f>'Evaluation Plan'!F112</x:f>
        <x:v>black cup A</x:v>
      </x:c>
      <x:c r="G112" s="10"/>
      <x:c r="H112" s="9" t="str">
        <x:f>'Evaluation Plan'!H112</x:f>
        <x:v>Black-cup seen-state baseline</x:v>
      </x:c>
      <x:c r="I112" s="9" t="str">
        <x:f>'Evaluation Plan'!I112</x:f>
        <x:v>SR-BLK01</x:v>
      </x:c>
      <x:c r="J112" s="9" t="str">
        <x:f>'Evaluation Plan'!J112</x:f>
        <x:v>open</x:v>
      </x:c>
      <x:c r="K112" s="9" t="n">
        <x:f>'Evaluation Plan'!K112</x:f>
        <x:v>3</x:v>
      </x:c>
      <x:c r="L112" s="9" t="str">
        <x:f>'Evaluation Plan'!L112</x:f>
        <x:v>1 — Seen-state black-cup baseline — Globally unseen category + seen state word (open)</x:v>
      </x:c>
      <x:c r="M112" s="9" t="n">
        <x:f>'Evaluation Plan'!M112</x:f>
        <x:v>51</x:v>
      </x:c>
      <x:c r="N112" s="10" t="str">
        <x:f>'Evaluation Plan'!N112</x:f>
        <x:v>Build the listed scene with black cups A and B in opposite states on the queried axis.</x:v>
      </x:c>
      <x:c r="O112" s="10" t="str">
        <x:f>'Evaluation Plan'!O112</x:f>
        <x:v>The black category is novel, but the state word was explicitly seen during fine-tuning. Two black cups force state-based selection.</x:v>
      </x:c>
      <x:c r="P112" s="10" t="str">
        <x:f>IF('Evaluation Plan'!P112=0,"",'Evaluation Plan'!P112)</x:f>
      </x:c>
    </x:row>
    <x:row r="113" ht="58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Place the closed black cup in the bowl.</x:v>
      </x:c>
      <x:c r="D113" s="7" t="str">
        <x:f>'Evaluation Plan'!D113</x:f>
        <x:v>P1 black cup A (O, UR) [STATE COMPETITOR]; P2 black cup B (C, UR) [TARGET]; P3 brown cup A (O, UR)</x:v>
      </x:c>
      <x:c r="E113" s="8" t="n">
        <x:f>IF('Evaluation Plan'!H113="Exact-scene opposite-state contrast",'Evaluation Plan'!E113,IF('Evaluation Plan'!H113="Language robustness",'Evaluation Plan'!E113,IF('Evaluation Plan'!H113="Matched manipulation control",'Evaluation Plan'!E113,IF('Evaluation Plan'!H113="Black-cup held-out-state composition",'Evaluation Plan'!E113,""))))</x:f>
        <x:v>110</x:v>
      </x:c>
      <x:c r="F113" s="8" t="str">
        <x:f>'Evaluation Plan'!F113</x:f>
        <x:v>black cup B</x:v>
      </x:c>
      <x:c r="G113" s="7"/>
      <x:c r="H113" s="8" t="str">
        <x:f>'Evaluation Plan'!H113</x:f>
        <x:v>Black-cup held-out-state composition</x:v>
      </x:c>
      <x:c r="I113" s="8" t="str">
        <x:f>'Evaluation Plan'!I113</x:f>
        <x:v>SR-BLK01</x:v>
      </x:c>
      <x:c r="J113" s="8" t="str">
        <x:f>'Evaluation Plan'!J113</x:f>
        <x:v>closed</x:v>
      </x:c>
      <x:c r="K113" s="8" t="n">
        <x:f>'Evaluation Plan'!K113</x:f>
        <x:v>3</x:v>
      </x:c>
      <x:c r="L113" s="8" t="str">
        <x:f>'Evaluation Plan'!L113</x:f>
        <x:v>2 — Held-out-state black-cup composition — Globally unseen category + held-out state word (closed)</x:v>
      </x:c>
      <x:c r="M113" s="8" t="n">
        <x:f>'Evaluation Plan'!M113</x:f>
        <x:v>51</x:v>
      </x:c>
      <x:c r="N113" s="7" t="str">
        <x:f>'Evaluation Plan'!N113</x:f>
        <x:v>Reset black cup A to its marked position. Do not alter any object or state; only change the prompt and expected target.</x:v>
      </x:c>
      <x:c r="O113" s="7" t="str">
        <x:f>'Evaluation Plan'!O113</x:f>
        <x:v>Exact-scene comparison against the preceding seen-state baseline. The target switches to the other matched black cup.</x:v>
      </x:c>
      <x:c r="P113" s="7" t="str">
        <x:f>IF('Evaluation Plan'!P113=0,"",'Evaluation Plan'!P113)</x:f>
      </x:c>
    </x:row>
    <x:row r="114" ht="58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Put the open black cup in the bowl.</x:v>
      </x:c>
      <x:c r="D114" s="10" t="str">
        <x:f>'Evaluation Plan'!D114</x:f>
        <x:v>P1 glass spice container B (C, UD); P2 black cup A (O, UD) [TARGET]; P3 black cup B (C, UD) [STATE COMPETITOR]; P4 white cup A (O, UR)</x:v>
      </x:c>
      <x:c r="E114" s="9" t="str">
        <x:f>IF('Evaluation Plan'!H114="Exact-scene opposite-state contrast",'Evaluation Plan'!E114,IF('Evaluation Plan'!H114="Language robustness",'Evaluation Plan'!E114,IF('Evaluation Plan'!H114="Matched manipulation control",'Evaluation Plan'!E114,IF('Evaluation Plan'!H114="Black-cup held-out-state composition",'Evaluation Plan'!E114,""))))</x:f>
      </x:c>
      <x:c r="F114" s="9" t="str">
        <x:f>'Evaluation Plan'!F114</x:f>
        <x:v>black cup A</x:v>
      </x:c>
      <x:c r="G114" s="10"/>
      <x:c r="H114" s="9" t="str">
        <x:f>'Evaluation Plan'!H114</x:f>
        <x:v>Black-cup seen-state baseline</x:v>
      </x:c>
      <x:c r="I114" s="9" t="str">
        <x:f>'Evaluation Plan'!I114</x:f>
        <x:v>SR-BLK02</x:v>
      </x:c>
      <x:c r="J114" s="9" t="str">
        <x:f>'Evaluation Plan'!J114</x:f>
        <x:v>open</x:v>
      </x:c>
      <x:c r="K114" s="9" t="n">
        <x:f>'Evaluation Plan'!K114</x:f>
        <x:v>4</x:v>
      </x:c>
      <x:c r="L114" s="9" t="str">
        <x:f>'Evaluation Plan'!L114</x:f>
        <x:v>1 — Seen-state black-cup baseline — Globally unseen category + seen state word (open)</x:v>
      </x:c>
      <x:c r="M114" s="9" t="n">
        <x:f>'Evaluation Plan'!M114</x:f>
        <x:v>52</x:v>
      </x:c>
      <x:c r="N114" s="10" t="str">
        <x:f>'Evaluation Plan'!N114</x:f>
        <x:v>Build the listed scene with black cups A and B in opposite states on the queried axis.</x:v>
      </x:c>
      <x:c r="O114" s="10" t="str">
        <x:f>'Evaluation Plan'!O114</x:f>
        <x:v>The black category is novel, but the state word was explicitly seen during fine-tuning. Two black cups force state-based selection.</x:v>
      </x:c>
      <x:c r="P114" s="10" t="str">
        <x:f>IF('Evaluation Plan'!P114=0,"",'Evaluation Plan'!P114)</x:f>
      </x:c>
    </x:row>
    <x:row r="115" ht="58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Put the closed black cup in the bowl.</x:v>
      </x:c>
      <x:c r="D115" s="7" t="str">
        <x:f>'Evaluation Plan'!D115</x:f>
        <x:v>P1 glass spice container B (C, UD); P2 black cup A (O, UD) [STATE COMPETITOR]; P3 black cup B (C, UD) [TARGET]; P4 white cup A (O, UR)</x:v>
      </x:c>
      <x:c r="E115" s="8" t="n">
        <x:f>IF('Evaluation Plan'!H115="Exact-scene opposite-state contrast",'Evaluation Plan'!E115,IF('Evaluation Plan'!H115="Language robustness",'Evaluation Plan'!E115,IF('Evaluation Plan'!H115="Matched manipulation control",'Evaluation Plan'!E115,IF('Evaluation Plan'!H115="Black-cup held-out-state composition",'Evaluation Plan'!E115,""))))</x:f>
        <x:v>112</x:v>
      </x:c>
      <x:c r="F115" s="8" t="str">
        <x:f>'Evaluation Plan'!F115</x:f>
        <x:v>black cup B</x:v>
      </x:c>
      <x:c r="G115" s="7"/>
      <x:c r="H115" s="8" t="str">
        <x:f>'Evaluation Plan'!H115</x:f>
        <x:v>Black-cup held-out-state composition</x:v>
      </x:c>
      <x:c r="I115" s="8" t="str">
        <x:f>'Evaluation Plan'!I115</x:f>
        <x:v>SR-BLK02</x:v>
      </x:c>
      <x:c r="J115" s="8" t="str">
        <x:f>'Evaluation Plan'!J115</x:f>
        <x:v>closed</x:v>
      </x:c>
      <x:c r="K115" s="8" t="n">
        <x:f>'Evaluation Plan'!K115</x:f>
        <x:v>4</x:v>
      </x:c>
      <x:c r="L115" s="8" t="str">
        <x:f>'Evaluation Plan'!L115</x:f>
        <x:v>2 — Held-out-state black-cup composition — Globally unseen category + held-out state word (closed)</x:v>
      </x:c>
      <x:c r="M115" s="8" t="n">
        <x:f>'Evaluation Plan'!M115</x:f>
        <x:v>52</x:v>
      </x:c>
      <x:c r="N115" s="7" t="str">
        <x:f>'Evaluation Plan'!N115</x:f>
        <x:v>Reset black cup A to its marked position. Do not alter any object or state; only change the prompt and expected target.</x:v>
      </x:c>
      <x:c r="O115" s="7" t="str">
        <x:f>'Evaluation Plan'!O115</x:f>
        <x:v>Exact-scene comparison against the preceding seen-state baseline. The target switches to the other matched black cup.</x:v>
      </x:c>
      <x:c r="P115" s="7" t="str">
        <x:f>IF('Evaluation Plan'!P115=0,"",'Evaluation Plan'!P115)</x:f>
      </x:c>
    </x:row>
    <x:row r="116" ht="58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Move the open black cup into the bowl.</x:v>
      </x:c>
      <x:c r="D116" s="10" t="str">
        <x:f>'Evaluation Plan'!D116</x:f>
        <x:v>P1 black cup B (C, UR) [STATE COMPETITOR]; P2 white cup B (C, UD); P3 black cup A (O, UR) [TARGET]</x:v>
      </x:c>
      <x:c r="E116" s="9" t="str">
        <x:f>IF('Evaluation Plan'!H116="Exact-scene opposite-state contrast",'Evaluation Plan'!E116,IF('Evaluation Plan'!H116="Language robustness",'Evaluation Plan'!E116,IF('Evaluation Plan'!H116="Matched manipulation control",'Evaluation Plan'!E116,IF('Evaluation Plan'!H116="Black-cup held-out-state composition",'Evaluation Plan'!E116,""))))</x:f>
      </x:c>
      <x:c r="F116" s="9" t="str">
        <x:f>'Evaluation Plan'!F116</x:f>
        <x:v>black cup A</x:v>
      </x:c>
      <x:c r="G116" s="10"/>
      <x:c r="H116" s="9" t="str">
        <x:f>'Evaluation Plan'!H116</x:f>
        <x:v>Black-cup seen-state baseline</x:v>
      </x:c>
      <x:c r="I116" s="9" t="str">
        <x:f>'Evaluation Plan'!I116</x:f>
        <x:v>SR-BLK03</x:v>
      </x:c>
      <x:c r="J116" s="9" t="str">
        <x:f>'Evaluation Plan'!J116</x:f>
        <x:v>open</x:v>
      </x:c>
      <x:c r="K116" s="9" t="n">
        <x:f>'Evaluation Plan'!K116</x:f>
        <x:v>3</x:v>
      </x:c>
      <x:c r="L116" s="9" t="str">
        <x:f>'Evaluation Plan'!L116</x:f>
        <x:v>1 — Seen-state black-cup baseline — Globally unseen category + seen state word (open)</x:v>
      </x:c>
      <x:c r="M116" s="9" t="n">
        <x:f>'Evaluation Plan'!M116</x:f>
        <x:v>53</x:v>
      </x:c>
      <x:c r="N116" s="10" t="str">
        <x:f>'Evaluation Plan'!N116</x:f>
        <x:v>Build the listed scene with black cups A and B in opposite states on the queried axis.</x:v>
      </x:c>
      <x:c r="O116" s="10" t="str">
        <x:f>'Evaluation Plan'!O116</x:f>
        <x:v>The black category is novel, but the state word was explicitly seen during fine-tuning. Two black cups force state-based selection.</x:v>
      </x:c>
      <x:c r="P116" s="10" t="str">
        <x:f>IF('Evaluation Plan'!P116=0,"",'Evaluation Plan'!P116)</x:f>
      </x:c>
    </x:row>
    <x:row r="117" ht="58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Move the closed black cup into the bowl.</x:v>
      </x:c>
      <x:c r="D117" s="7" t="str">
        <x:f>'Evaluation Plan'!D117</x:f>
        <x:v>P1 black cup B (C, UR) [TARGET]; P2 white cup B (C, UD); P3 black cup A (O, UR) [STATE COMPETITOR]</x:v>
      </x:c>
      <x:c r="E117" s="8" t="n">
        <x:f>IF('Evaluation Plan'!H117="Exact-scene opposite-state contrast",'Evaluation Plan'!E117,IF('Evaluation Plan'!H117="Language robustness",'Evaluation Plan'!E117,IF('Evaluation Plan'!H117="Matched manipulation control",'Evaluation Plan'!E117,IF('Evaluation Plan'!H117="Black-cup held-out-state composition",'Evaluation Plan'!E117,""))))</x:f>
        <x:v>114</x:v>
      </x:c>
      <x:c r="F117" s="8" t="str">
        <x:f>'Evaluation Plan'!F117</x:f>
        <x:v>black cup B</x:v>
      </x:c>
      <x:c r="G117" s="7"/>
      <x:c r="H117" s="8" t="str">
        <x:f>'Evaluation Plan'!H117</x:f>
        <x:v>Black-cup held-out-state composition</x:v>
      </x:c>
      <x:c r="I117" s="8" t="str">
        <x:f>'Evaluation Plan'!I117</x:f>
        <x:v>SR-BLK03</x:v>
      </x:c>
      <x:c r="J117" s="8" t="str">
        <x:f>'Evaluation Plan'!J117</x:f>
        <x:v>closed</x:v>
      </x:c>
      <x:c r="K117" s="8" t="n">
        <x:f>'Evaluation Plan'!K117</x:f>
        <x:v>3</x:v>
      </x:c>
      <x:c r="L117" s="8" t="str">
        <x:f>'Evaluation Plan'!L117</x:f>
        <x:v>2 — Held-out-state black-cup composition — Globally unseen category + held-out state word (closed)</x:v>
      </x:c>
      <x:c r="M117" s="8" t="n">
        <x:f>'Evaluation Plan'!M117</x:f>
        <x:v>53</x:v>
      </x:c>
      <x:c r="N117" s="7" t="str">
        <x:f>'Evaluation Plan'!N117</x:f>
        <x:v>Reset black cup A to its marked position. Do not alter any object or state; only change the prompt and expected target.</x:v>
      </x:c>
      <x:c r="O117" s="7" t="str">
        <x:f>'Evaluation Plan'!O117</x:f>
        <x:v>Exact-scene comparison against the preceding seen-state baseline. The target switches to the other matched black cup.</x:v>
      </x:c>
      <x:c r="P117" s="7" t="str">
        <x:f>IF('Evaluation Plan'!P117=0,"",'Evaluation Plan'!P117)</x:f>
      </x:c>
    </x:row>
    <x:row r="118" ht="58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Place the open black cup in the bowl.</x:v>
      </x:c>
      <x:c r="D118" s="10" t="str">
        <x:f>'Evaluation Plan'!D118</x:f>
        <x:v>P1 black cup B (C, UD) [STATE COMPETITOR]; P2 yellow-white striped cup A (O, UR); P3 brown cup B (C, UD); P4 black cup A (O, UD) [TARGET]</x:v>
      </x:c>
      <x:c r="E118" s="9" t="str">
        <x:f>IF('Evaluation Plan'!H118="Exact-scene opposite-state contrast",'Evaluation Plan'!E118,IF('Evaluation Plan'!H118="Language robustness",'Evaluation Plan'!E118,IF('Evaluation Plan'!H118="Matched manipulation control",'Evaluation Plan'!E118,IF('Evaluation Plan'!H118="Black-cup held-out-state composition",'Evaluation Plan'!E118,""))))</x:f>
      </x:c>
      <x:c r="F118" s="9" t="str">
        <x:f>'Evaluation Plan'!F118</x:f>
        <x:v>black cup A</x:v>
      </x:c>
      <x:c r="G118" s="10"/>
      <x:c r="H118" s="9" t="str">
        <x:f>'Evaluation Plan'!H118</x:f>
        <x:v>Black-cup seen-state baseline</x:v>
      </x:c>
      <x:c r="I118" s="9" t="str">
        <x:f>'Evaluation Plan'!I118</x:f>
        <x:v>SR-BLK04</x:v>
      </x:c>
      <x:c r="J118" s="9" t="str">
        <x:f>'Evaluation Plan'!J118</x:f>
        <x:v>open</x:v>
      </x:c>
      <x:c r="K118" s="9" t="n">
        <x:f>'Evaluation Plan'!K118</x:f>
        <x:v>4</x:v>
      </x:c>
      <x:c r="L118" s="9" t="str">
        <x:f>'Evaluation Plan'!L118</x:f>
        <x:v>1 — Seen-state black-cup baseline — Globally unseen category + seen state word (open)</x:v>
      </x:c>
      <x:c r="M118" s="9" t="n">
        <x:f>'Evaluation Plan'!M118</x:f>
        <x:v>54</x:v>
      </x:c>
      <x:c r="N118" s="10" t="str">
        <x:f>'Evaluation Plan'!N118</x:f>
        <x:v>Build the listed scene with black cups A and B in opposite states on the queried axis.</x:v>
      </x:c>
      <x:c r="O118" s="10" t="str">
        <x:f>'Evaluation Plan'!O118</x:f>
        <x:v>The black category is novel, but the state word was explicitly seen during fine-tuning. Two black cups force state-based selection.</x:v>
      </x:c>
      <x:c r="P118" s="10" t="str">
        <x:f>IF('Evaluation Plan'!P118=0,"",'Evaluation Plan'!P118)</x:f>
      </x:c>
    </x:row>
    <x:row r="119" ht="58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Place the closed black cup in the bowl.</x:v>
      </x:c>
      <x:c r="D119" s="7" t="str">
        <x:f>'Evaluation Plan'!D119</x:f>
        <x:v>P1 black cup B (C, UD) [TARGET]; P2 yellow-white striped cup A (O, UR); P3 brown cup B (C, UD); P4 black cup A (O, UD) [STATE COMPETITOR]</x:v>
      </x:c>
      <x:c r="E119" s="8" t="n">
        <x:f>IF('Evaluation Plan'!H119="Exact-scene opposite-state contrast",'Evaluation Plan'!E119,IF('Evaluation Plan'!H119="Language robustness",'Evaluation Plan'!E119,IF('Evaluation Plan'!H119="Matched manipulation control",'Evaluation Plan'!E119,IF('Evaluation Plan'!H119="Black-cup held-out-state composition",'Evaluation Plan'!E119,""))))</x:f>
        <x:v>116</x:v>
      </x:c>
      <x:c r="F119" s="8" t="str">
        <x:f>'Evaluation Plan'!F119</x:f>
        <x:v>black cup B</x:v>
      </x:c>
      <x:c r="G119" s="7"/>
      <x:c r="H119" s="8" t="str">
        <x:f>'Evaluation Plan'!H119</x:f>
        <x:v>Black-cup held-out-state composition</x:v>
      </x:c>
      <x:c r="I119" s="8" t="str">
        <x:f>'Evaluation Plan'!I119</x:f>
        <x:v>SR-BLK04</x:v>
      </x:c>
      <x:c r="J119" s="8" t="str">
        <x:f>'Evaluation Plan'!J119</x:f>
        <x:v>closed</x:v>
      </x:c>
      <x:c r="K119" s="8" t="n">
        <x:f>'Evaluation Plan'!K119</x:f>
        <x:v>4</x:v>
      </x:c>
      <x:c r="L119" s="8" t="str">
        <x:f>'Evaluation Plan'!L119</x:f>
        <x:v>2 — Held-out-state black-cup composition — Globally unseen category + held-out state word (closed)</x:v>
      </x:c>
      <x:c r="M119" s="8" t="n">
        <x:f>'Evaluation Plan'!M119</x:f>
        <x:v>54</x:v>
      </x:c>
      <x:c r="N119" s="7" t="str">
        <x:f>'Evaluation Plan'!N119</x:f>
        <x:v>Reset black cup A to its marked position. Do not alter any object or state; only change the prompt and expected target.</x:v>
      </x:c>
      <x:c r="O119" s="7" t="str">
        <x:f>'Evaluation Plan'!O119</x:f>
        <x:v>Exact-scene comparison against the preceding seen-state baseline. The target switches to the other matched black cup.</x:v>
      </x:c>
      <x:c r="P119" s="7" t="str">
        <x:f>IF('Evaluation Plan'!P119=0,"",'Evaluation Plan'!P119)</x:f>
      </x:c>
    </x:row>
    <x:row r="120" ht="58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Put the open black cup in the bowl.</x:v>
      </x:c>
      <x:c r="D120" s="10" t="str">
        <x:f>'Evaluation Plan'!D120</x:f>
        <x:v>P1 brown cup A (O, UR); P2 black cup A (O, UR) [TARGET]; P3 black cup B (C, UR) [STATE COMPETITOR]</x:v>
      </x:c>
      <x:c r="E120" s="9" t="str">
        <x:f>IF('Evaluation Plan'!H120="Exact-scene opposite-state contrast",'Evaluation Plan'!E120,IF('Evaluation Plan'!H120="Language robustness",'Evaluation Plan'!E120,IF('Evaluation Plan'!H120="Matched manipulation control",'Evaluation Plan'!E120,IF('Evaluation Plan'!H120="Black-cup held-out-state composition",'Evaluation Plan'!E120,""))))</x:f>
      </x:c>
      <x:c r="F120" s="9" t="str">
        <x:f>'Evaluation Plan'!F120</x:f>
        <x:v>black cup A</x:v>
      </x:c>
      <x:c r="G120" s="10"/>
      <x:c r="H120" s="9" t="str">
        <x:f>'Evaluation Plan'!H120</x:f>
        <x:v>Black-cup seen-state baseline</x:v>
      </x:c>
      <x:c r="I120" s="9" t="str">
        <x:f>'Evaluation Plan'!I120</x:f>
        <x:v>SR-BLK05</x:v>
      </x:c>
      <x:c r="J120" s="9" t="str">
        <x:f>'Evaluation Plan'!J120</x:f>
        <x:v>open</x:v>
      </x:c>
      <x:c r="K120" s="9" t="n">
        <x:f>'Evaluation Plan'!K120</x:f>
        <x:v>3</x:v>
      </x:c>
      <x:c r="L120" s="9" t="str">
        <x:f>'Evaluation Plan'!L120</x:f>
        <x:v>1 — Seen-state black-cup baseline — Globally unseen category + seen state word (open)</x:v>
      </x:c>
      <x:c r="M120" s="9" t="n">
        <x:f>'Evaluation Plan'!M120</x:f>
        <x:v>55</x:v>
      </x:c>
      <x:c r="N120" s="10" t="str">
        <x:f>'Evaluation Plan'!N120</x:f>
        <x:v>Build the listed scene with black cups A and B in opposite states on the queried axis.</x:v>
      </x:c>
      <x:c r="O120" s="10" t="str">
        <x:f>'Evaluation Plan'!O120</x:f>
        <x:v>The black category is novel, but the state word was explicitly seen during fine-tuning. Two black cups force state-based selection.</x:v>
      </x:c>
      <x:c r="P120" s="10" t="str">
        <x:f>IF('Evaluation Plan'!P120=0,"",'Evaluation Plan'!P120)</x:f>
      </x:c>
    </x:row>
    <x:row r="121" ht="58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Put the closed black cup in the bowl.</x:v>
      </x:c>
      <x:c r="D121" s="7" t="str">
        <x:f>'Evaluation Plan'!D121</x:f>
        <x:v>P1 brown cup A (O, UR); P2 black cup A (O, UR) [STATE COMPETITOR]; P3 black cup B (C, UR) [TARGET]</x:v>
      </x:c>
      <x:c r="E121" s="8" t="n">
        <x:f>IF('Evaluation Plan'!H121="Exact-scene opposite-state contrast",'Evaluation Plan'!E121,IF('Evaluation Plan'!H121="Language robustness",'Evaluation Plan'!E121,IF('Evaluation Plan'!H121="Matched manipulation control",'Evaluation Plan'!E121,IF('Evaluation Plan'!H121="Black-cup held-out-state composition",'Evaluation Plan'!E121,""))))</x:f>
        <x:v>118</x:v>
      </x:c>
      <x:c r="F121" s="8" t="str">
        <x:f>'Evaluation Plan'!F121</x:f>
        <x:v>black cup B</x:v>
      </x:c>
      <x:c r="G121" s="7"/>
      <x:c r="H121" s="8" t="str">
        <x:f>'Evaluation Plan'!H121</x:f>
        <x:v>Black-cup held-out-state composition</x:v>
      </x:c>
      <x:c r="I121" s="8" t="str">
        <x:f>'Evaluation Plan'!I121</x:f>
        <x:v>SR-BLK05</x:v>
      </x:c>
      <x:c r="J121" s="8" t="str">
        <x:f>'Evaluation Plan'!J121</x:f>
        <x:v>closed</x:v>
      </x:c>
      <x:c r="K121" s="8" t="n">
        <x:f>'Evaluation Plan'!K121</x:f>
        <x:v>3</x:v>
      </x:c>
      <x:c r="L121" s="8" t="str">
        <x:f>'Evaluation Plan'!L121</x:f>
        <x:v>2 — Held-out-state black-cup composition — Globally unseen category + held-out state word (closed)</x:v>
      </x:c>
      <x:c r="M121" s="8" t="n">
        <x:f>'Evaluation Plan'!M121</x:f>
        <x:v>55</x:v>
      </x:c>
      <x:c r="N121" s="7" t="str">
        <x:f>'Evaluation Plan'!N121</x:f>
        <x:v>Reset black cup A to its marked position. Do not alter any object or state; only change the prompt and expected target.</x:v>
      </x:c>
      <x:c r="O121" s="7" t="str">
        <x:f>'Evaluation Plan'!O121</x:f>
        <x:v>Exact-scene comparison against the preceding seen-state baseline. The target switches to the other matched black cup.</x:v>
      </x:c>
      <x:c r="P121" s="7" t="str">
        <x:f>IF('Evaluation Plan'!P121=0,"",'Evaluation Plan'!P121)</x:f>
      </x:c>
    </x:row>
    <x:row r="122" ht="58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Move the upside-down black cup into the bowl.</x:v>
      </x:c>
      <x:c r="D122" s="10" t="str">
        <x:f>'Evaluation Plan'!D122</x:f>
        <x:v>P1 glass spice container B (C, UD); P2 black cup A (C, UD) [TARGET]; P3 black cup B (C, UR) [STATE COMPETITOR]; P4 white cup A (O, UR)</x:v>
      </x:c>
      <x:c r="E122" s="9" t="str">
        <x:f>IF('Evaluation Plan'!H122="Exact-scene opposite-state contrast",'Evaluation Plan'!E122,IF('Evaluation Plan'!H122="Language robustness",'Evaluation Plan'!E122,IF('Evaluation Plan'!H122="Matched manipulation control",'Evaluation Plan'!E122,IF('Evaluation Plan'!H122="Black-cup held-out-state composition",'Evaluation Plan'!E122,""))))</x:f>
      </x:c>
      <x:c r="F122" s="9" t="str">
        <x:f>'Evaluation Plan'!F122</x:f>
        <x:v>black cup A</x:v>
      </x:c>
      <x:c r="G122" s="10"/>
      <x:c r="H122" s="9" t="str">
        <x:f>'Evaluation Plan'!H122</x:f>
        <x:v>Black-cup seen-state baseline</x:v>
      </x:c>
      <x:c r="I122" s="9" t="str">
        <x:f>'Evaluation Plan'!I122</x:f>
        <x:v>SR-BLK06</x:v>
      </x:c>
      <x:c r="J122" s="9" t="str">
        <x:f>'Evaluation Plan'!J122</x:f>
        <x:v>upside-down</x:v>
      </x:c>
      <x:c r="K122" s="9" t="n">
        <x:f>'Evaluation Plan'!K122</x:f>
        <x:v>4</x:v>
      </x:c>
      <x:c r="L122" s="9" t="str">
        <x:f>'Evaluation Plan'!L122</x:f>
        <x:v>1 — Seen-state black-cup baseline — Globally unseen category + seen state word (upside-down)</x:v>
      </x:c>
      <x:c r="M122" s="9" t="n">
        <x:f>'Evaluation Plan'!M122</x:f>
        <x:v>56</x:v>
      </x:c>
      <x:c r="N122" s="10" t="str">
        <x:f>'Evaluation Plan'!N122</x:f>
        <x:v>Build the listed scene with black cups A and B in opposite states on the queried axis.</x:v>
      </x:c>
      <x:c r="O122" s="10" t="str">
        <x:f>'Evaluation Plan'!O122</x:f>
        <x:v>The black category is novel, but the state word was explicitly seen during fine-tuning. Two black cups force state-based selection.</x:v>
      </x:c>
      <x:c r="P122" s="10" t="str">
        <x:f>IF('Evaluation Plan'!P122=0,"",'Evaluation Plan'!P122)</x:f>
      </x:c>
    </x:row>
    <x:row r="123" ht="58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Move the upright black cup into the bowl.</x:v>
      </x:c>
      <x:c r="D123" s="7" t="str">
        <x:f>'Evaluation Plan'!D123</x:f>
        <x:v>P1 glass spice container B (C, UD); P2 black cup A (C, UD) [STATE COMPETITOR]; P3 black cup B (C, UR) [TARGET]; P4 white cup A (O, UR)</x:v>
      </x:c>
      <x:c r="E123" s="8" t="n">
        <x:f>IF('Evaluation Plan'!H123="Exact-scene opposite-state contrast",'Evaluation Plan'!E123,IF('Evaluation Plan'!H123="Language robustness",'Evaluation Plan'!E123,IF('Evaluation Plan'!H123="Matched manipulation control",'Evaluation Plan'!E123,IF('Evaluation Plan'!H123="Black-cup held-out-state composition",'Evaluation Plan'!E123,""))))</x:f>
        <x:v>120</x:v>
      </x:c>
      <x:c r="F123" s="8" t="str">
        <x:f>'Evaluation Plan'!F123</x:f>
        <x:v>black cup B</x:v>
      </x:c>
      <x:c r="G123" s="7"/>
      <x:c r="H123" s="8" t="str">
        <x:f>'Evaluation Plan'!H123</x:f>
        <x:v>Black-cup held-out-state composition</x:v>
      </x:c>
      <x:c r="I123" s="8" t="str">
        <x:f>'Evaluation Plan'!I123</x:f>
        <x:v>SR-BLK06</x:v>
      </x:c>
      <x:c r="J123" s="8" t="str">
        <x:f>'Evaluation Plan'!J123</x:f>
        <x:v>upright</x:v>
      </x:c>
      <x:c r="K123" s="8" t="n">
        <x:f>'Evaluation Plan'!K123</x:f>
        <x:v>4</x:v>
      </x:c>
      <x:c r="L123" s="8" t="str">
        <x:f>'Evaluation Plan'!L123</x:f>
        <x:v>2 — Held-out-state black-cup composition — Globally unseen category + held-out state word (upright)</x:v>
      </x:c>
      <x:c r="M123" s="8" t="n">
        <x:f>'Evaluation Plan'!M123</x:f>
        <x:v>56</x:v>
      </x:c>
      <x:c r="N123" s="7" t="str">
        <x:f>'Evaluation Plan'!N123</x:f>
        <x:v>Reset black cup A to its marked position. Do not alter any object or state; only change the prompt and expected target.</x:v>
      </x:c>
      <x:c r="O123" s="7" t="str">
        <x:f>'Evaluation Plan'!O123</x:f>
        <x:v>Exact-scene comparison against the preceding seen-state baseline. The target switches to the other matched black cup.</x:v>
      </x:c>
      <x:c r="P123" s="7" t="str">
        <x:f>IF('Evaluation Plan'!P123=0,"",'Evaluation Plan'!P123)</x:f>
      </x:c>
    </x:row>
    <x:row r="124" ht="58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Place the upside-down black cup in the bowl.</x:v>
      </x:c>
      <x:c r="D124" s="10" t="str">
        <x:f>'Evaluation Plan'!D124</x:f>
        <x:v>P1 black cup A (O, UD) [TARGET]; P2 black cup B (O, UR) [STATE COMPETITOR]; P3 white cup A (O, UR)</x:v>
      </x:c>
      <x:c r="E124" s="9" t="str">
        <x:f>IF('Evaluation Plan'!H124="Exact-scene opposite-state contrast",'Evaluation Plan'!E124,IF('Evaluation Plan'!H124="Language robustness",'Evaluation Plan'!E124,IF('Evaluation Plan'!H124="Matched manipulation control",'Evaluation Plan'!E124,IF('Evaluation Plan'!H124="Black-cup held-out-state composition",'Evaluation Plan'!E124,""))))</x:f>
      </x:c>
      <x:c r="F124" s="9" t="str">
        <x:f>'Evaluation Plan'!F124</x:f>
        <x:v>black cup A</x:v>
      </x:c>
      <x:c r="G124" s="10"/>
      <x:c r="H124" s="9" t="str">
        <x:f>'Evaluation Plan'!H124</x:f>
        <x:v>Black-cup seen-state baseline</x:v>
      </x:c>
      <x:c r="I124" s="9" t="str">
        <x:f>'Evaluation Plan'!I124</x:f>
        <x:v>SR-BLK07</x:v>
      </x:c>
      <x:c r="J124" s="9" t="str">
        <x:f>'Evaluation Plan'!J124</x:f>
        <x:v>upside-down</x:v>
      </x:c>
      <x:c r="K124" s="9" t="n">
        <x:f>'Evaluation Plan'!K124</x:f>
        <x:v>3</x:v>
      </x:c>
      <x:c r="L124" s="9" t="str">
        <x:f>'Evaluation Plan'!L124</x:f>
        <x:v>1 — Seen-state black-cup baseline — Globally unseen category + seen state word (upside-down)</x:v>
      </x:c>
      <x:c r="M124" s="9" t="n">
        <x:f>'Evaluation Plan'!M124</x:f>
        <x:v>57</x:v>
      </x:c>
      <x:c r="N124" s="10" t="str">
        <x:f>'Evaluation Plan'!N124</x:f>
        <x:v>Build the listed scene with black cups A and B in opposite states on the queried axis.</x:v>
      </x:c>
      <x:c r="O124" s="10" t="str">
        <x:f>'Evaluation Plan'!O124</x:f>
        <x:v>The black category is novel, but the state word was explicitly seen during fine-tuning. Two black cups force state-based selection.</x:v>
      </x:c>
      <x:c r="P124" s="10" t="str">
        <x:f>IF('Evaluation Plan'!P124=0,"",'Evaluation Plan'!P124)</x:f>
      </x:c>
    </x:row>
    <x:row r="125" ht="58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Place the upright black cup in the bowl.</x:v>
      </x:c>
      <x:c r="D125" s="7" t="str">
        <x:f>'Evaluation Plan'!D125</x:f>
        <x:v>P1 black cup A (O, UD) [STATE COMPETITOR]; P2 black cup B (O, UR) [TARGET]; P3 white cup A (O, UR)</x:v>
      </x:c>
      <x:c r="E125" s="8" t="n">
        <x:f>IF('Evaluation Plan'!H125="Exact-scene opposite-state contrast",'Evaluation Plan'!E125,IF('Evaluation Plan'!H125="Language robustness",'Evaluation Plan'!E125,IF('Evaluation Plan'!H125="Matched manipulation control",'Evaluation Plan'!E125,IF('Evaluation Plan'!H125="Black-cup held-out-state composition",'Evaluation Plan'!E125,""))))</x:f>
        <x:v>122</x:v>
      </x:c>
      <x:c r="F125" s="8" t="str">
        <x:f>'Evaluation Plan'!F125</x:f>
        <x:v>black cup B</x:v>
      </x:c>
      <x:c r="G125" s="7"/>
      <x:c r="H125" s="8" t="str">
        <x:f>'Evaluation Plan'!H125</x:f>
        <x:v>Black-cup held-out-state composition</x:v>
      </x:c>
      <x:c r="I125" s="8" t="str">
        <x:f>'Evaluation Plan'!I125</x:f>
        <x:v>SR-BLK07</x:v>
      </x:c>
      <x:c r="J125" s="8" t="str">
        <x:f>'Evaluation Plan'!J125</x:f>
        <x:v>upright</x:v>
      </x:c>
      <x:c r="K125" s="8" t="n">
        <x:f>'Evaluation Plan'!K125</x:f>
        <x:v>3</x:v>
      </x:c>
      <x:c r="L125" s="8" t="str">
        <x:f>'Evaluation Plan'!L125</x:f>
        <x:v>2 — Held-out-state black-cup composition — Globally unseen category + held-out state word (upright)</x:v>
      </x:c>
      <x:c r="M125" s="8" t="n">
        <x:f>'Evaluation Plan'!M125</x:f>
        <x:v>57</x:v>
      </x:c>
      <x:c r="N125" s="7" t="str">
        <x:f>'Evaluation Plan'!N125</x:f>
        <x:v>Reset black cup A to its marked position. Do not alter any object or state; only change the prompt and expected target.</x:v>
      </x:c>
      <x:c r="O125" s="7" t="str">
        <x:f>'Evaluation Plan'!O125</x:f>
        <x:v>Exact-scene comparison against the preceding seen-state baseline. The target switches to the other matched black cup.</x:v>
      </x:c>
      <x:c r="P125" s="7" t="str">
        <x:f>IF('Evaluation Plan'!P125=0,"",'Evaluation Plan'!P125)</x:f>
      </x:c>
    </x:row>
    <x:row r="126" ht="58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Put the upside-down black cup in the bowl.</x:v>
      </x:c>
      <x:c r="D126" s="10" t="str">
        <x:f>'Evaluation Plan'!D126</x:f>
        <x:v>P1 black cup B (C, UR) [STATE COMPETITOR]; P2 yellow-white striped cup A (O, UR); P3 brown cup B (C, UD); P4 black cup A (C, UD) [TARGET]</x:v>
      </x:c>
      <x:c r="E126" s="9" t="str">
        <x:f>IF('Evaluation Plan'!H126="Exact-scene opposite-state contrast",'Evaluation Plan'!E126,IF('Evaluation Plan'!H126="Language robustness",'Evaluation Plan'!E126,IF('Evaluation Plan'!H126="Matched manipulation control",'Evaluation Plan'!E126,IF('Evaluation Plan'!H126="Black-cup held-out-state composition",'Evaluation Plan'!E126,""))))</x:f>
      </x:c>
      <x:c r="F126" s="9" t="str">
        <x:f>'Evaluation Plan'!F126</x:f>
        <x:v>black cup A</x:v>
      </x:c>
      <x:c r="G126" s="10"/>
      <x:c r="H126" s="9" t="str">
        <x:f>'Evaluation Plan'!H126</x:f>
        <x:v>Black-cup seen-state baseline</x:v>
      </x:c>
      <x:c r="I126" s="9" t="str">
        <x:f>'Evaluation Plan'!I126</x:f>
        <x:v>SR-BLK08</x:v>
      </x:c>
      <x:c r="J126" s="9" t="str">
        <x:f>'Evaluation Plan'!J126</x:f>
        <x:v>upside-down</x:v>
      </x:c>
      <x:c r="K126" s="9" t="n">
        <x:f>'Evaluation Plan'!K126</x:f>
        <x:v>4</x:v>
      </x:c>
      <x:c r="L126" s="9" t="str">
        <x:f>'Evaluation Plan'!L126</x:f>
        <x:v>1 — Seen-state black-cup baseline — Globally unseen category + seen state word (upside-down)</x:v>
      </x:c>
      <x:c r="M126" s="9" t="n">
        <x:f>'Evaluation Plan'!M126</x:f>
        <x:v>58</x:v>
      </x:c>
      <x:c r="N126" s="10" t="str">
        <x:f>'Evaluation Plan'!N126</x:f>
        <x:v>Build the listed scene with black cups A and B in opposite states on the queried axis.</x:v>
      </x:c>
      <x:c r="O126" s="10" t="str">
        <x:f>'Evaluation Plan'!O126</x:f>
        <x:v>The black category is novel, but the state word was explicitly seen during fine-tuning. Two black cups force state-based selection.</x:v>
      </x:c>
      <x:c r="P126" s="10" t="str">
        <x:f>IF('Evaluation Plan'!P126=0,"",'Evaluation Plan'!P126)</x:f>
      </x:c>
    </x:row>
    <x:row r="127" ht="58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Put the upright black cup in the bowl.</x:v>
      </x:c>
      <x:c r="D127" s="7" t="str">
        <x:f>'Evaluation Plan'!D127</x:f>
        <x:v>P1 black cup B (C, UR) [TARGET]; P2 yellow-white striped cup A (O, UR); P3 brown cup B (C, UD); P4 black cup A (C, UD) [STATE COMPETITOR]</x:v>
      </x:c>
      <x:c r="E127" s="8" t="n">
        <x:f>IF('Evaluation Plan'!H127="Exact-scene opposite-state contrast",'Evaluation Plan'!E127,IF('Evaluation Plan'!H127="Language robustness",'Evaluation Plan'!E127,IF('Evaluation Plan'!H127="Matched manipulation control",'Evaluation Plan'!E127,IF('Evaluation Plan'!H127="Black-cup held-out-state composition",'Evaluation Plan'!E127,""))))</x:f>
        <x:v>124</x:v>
      </x:c>
      <x:c r="F127" s="8" t="str">
        <x:f>'Evaluation Plan'!F127</x:f>
        <x:v>black cup B</x:v>
      </x:c>
      <x:c r="G127" s="7"/>
      <x:c r="H127" s="8" t="str">
        <x:f>'Evaluation Plan'!H127</x:f>
        <x:v>Black-cup held-out-state composition</x:v>
      </x:c>
      <x:c r="I127" s="8" t="str">
        <x:f>'Evaluation Plan'!I127</x:f>
        <x:v>SR-BLK08</x:v>
      </x:c>
      <x:c r="J127" s="8" t="str">
        <x:f>'Evaluation Plan'!J127</x:f>
        <x:v>upright</x:v>
      </x:c>
      <x:c r="K127" s="8" t="n">
        <x:f>'Evaluation Plan'!K127</x:f>
        <x:v>4</x:v>
      </x:c>
      <x:c r="L127" s="8" t="str">
        <x:f>'Evaluation Plan'!L127</x:f>
        <x:v>2 — Held-out-state black-cup composition — Globally unseen category + held-out state word (upright)</x:v>
      </x:c>
      <x:c r="M127" s="8" t="n">
        <x:f>'Evaluation Plan'!M127</x:f>
        <x:v>58</x:v>
      </x:c>
      <x:c r="N127" s="7" t="str">
        <x:f>'Evaluation Plan'!N127</x:f>
        <x:v>Reset black cup A to its marked position. Do not alter any object or state; only change the prompt and expected target.</x:v>
      </x:c>
      <x:c r="O127" s="7" t="str">
        <x:f>'Evaluation Plan'!O127</x:f>
        <x:v>Exact-scene comparison against the preceding seen-state baseline. The target switches to the other matched black cup.</x:v>
      </x:c>
      <x:c r="P127" s="7" t="str">
        <x:f>IF('Evaluation Plan'!P127=0,"",'Evaluation Plan'!P127)</x:f>
      </x:c>
    </x:row>
    <x:row r="128" ht="58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Move the upside-down black cup into the bowl.</x:v>
      </x:c>
      <x:c r="D128" s="10" t="str">
        <x:f>'Evaluation Plan'!D128</x:f>
        <x:v>P1 black cup B (O, UR) [STATE COMPETITOR]; P2 brown cup B (C, UD); P3 black cup A (O, UD) [TARGET]</x:v>
      </x:c>
      <x:c r="E128" s="9" t="str">
        <x:f>IF('Evaluation Plan'!H128="Exact-scene opposite-state contrast",'Evaluation Plan'!E128,IF('Evaluation Plan'!H128="Language robustness",'Evaluation Plan'!E128,IF('Evaluation Plan'!H128="Matched manipulation control",'Evaluation Plan'!E128,IF('Evaluation Plan'!H128="Black-cup held-out-state composition",'Evaluation Plan'!E128,""))))</x:f>
      </x:c>
      <x:c r="F128" s="9" t="str">
        <x:f>'Evaluation Plan'!F128</x:f>
        <x:v>black cup A</x:v>
      </x:c>
      <x:c r="G128" s="10"/>
      <x:c r="H128" s="9" t="str">
        <x:f>'Evaluation Plan'!H128</x:f>
        <x:v>Black-cup seen-state baseline</x:v>
      </x:c>
      <x:c r="I128" s="9" t="str">
        <x:f>'Evaluation Plan'!I128</x:f>
        <x:v>SR-BLK09</x:v>
      </x:c>
      <x:c r="J128" s="9" t="str">
        <x:f>'Evaluation Plan'!J128</x:f>
        <x:v>upside-down</x:v>
      </x:c>
      <x:c r="K128" s="9" t="n">
        <x:f>'Evaluation Plan'!K128</x:f>
        <x:v>3</x:v>
      </x:c>
      <x:c r="L128" s="9" t="str">
        <x:f>'Evaluation Plan'!L128</x:f>
        <x:v>1 — Seen-state black-cup baseline — Globally unseen category + seen state word (upside-down)</x:v>
      </x:c>
      <x:c r="M128" s="9" t="n">
        <x:f>'Evaluation Plan'!M128</x:f>
        <x:v>59</x:v>
      </x:c>
      <x:c r="N128" s="10" t="str">
        <x:f>'Evaluation Plan'!N128</x:f>
        <x:v>Build the listed scene with black cups A and B in opposite states on the queried axis.</x:v>
      </x:c>
      <x:c r="O128" s="10" t="str">
        <x:f>'Evaluation Plan'!O128</x:f>
        <x:v>The black category is novel, but the state word was explicitly seen during fine-tuning. Two black cups force state-based selection.</x:v>
      </x:c>
      <x:c r="P128" s="10" t="str">
        <x:f>IF('Evaluation Plan'!P128=0,"",'Evaluation Plan'!P128)</x:f>
      </x:c>
    </x:row>
    <x:row r="129" ht="58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Move the upright black cup into the bowl.</x:v>
      </x:c>
      <x:c r="D129" s="7" t="str">
        <x:f>'Evaluation Plan'!D129</x:f>
        <x:v>P1 black cup B (O, UR) [TARGET]; P2 brown cup B (C, UD); P3 black cup A (O, UD) [STATE COMPETITOR]</x:v>
      </x:c>
      <x:c r="E129" s="8" t="n">
        <x:f>IF('Evaluation Plan'!H129="Exact-scene opposite-state contrast",'Evaluation Plan'!E129,IF('Evaluation Plan'!H129="Language robustness",'Evaluation Plan'!E129,IF('Evaluation Plan'!H129="Matched manipulation control",'Evaluation Plan'!E129,IF('Evaluation Plan'!H129="Black-cup held-out-state composition",'Evaluation Plan'!E129,""))))</x:f>
        <x:v>126</x:v>
      </x:c>
      <x:c r="F129" s="8" t="str">
        <x:f>'Evaluation Plan'!F129</x:f>
        <x:v>black cup B</x:v>
      </x:c>
      <x:c r="G129" s="7"/>
      <x:c r="H129" s="8" t="str">
        <x:f>'Evaluation Plan'!H129</x:f>
        <x:v>Black-cup held-out-state composition</x:v>
      </x:c>
      <x:c r="I129" s="8" t="str">
        <x:f>'Evaluation Plan'!I129</x:f>
        <x:v>SR-BLK09</x:v>
      </x:c>
      <x:c r="J129" s="8" t="str">
        <x:f>'Evaluation Plan'!J129</x:f>
        <x:v>upright</x:v>
      </x:c>
      <x:c r="K129" s="8" t="n">
        <x:f>'Evaluation Plan'!K129</x:f>
        <x:v>3</x:v>
      </x:c>
      <x:c r="L129" s="8" t="str">
        <x:f>'Evaluation Plan'!L129</x:f>
        <x:v>2 — Held-out-state black-cup composition — Globally unseen category + held-out state word (upright)</x:v>
      </x:c>
      <x:c r="M129" s="8" t="n">
        <x:f>'Evaluation Plan'!M129</x:f>
        <x:v>59</x:v>
      </x:c>
      <x:c r="N129" s="7" t="str">
        <x:f>'Evaluation Plan'!N129</x:f>
        <x:v>Reset black cup A to its marked position. Do not alter any object or state; only change the prompt and expected target.</x:v>
      </x:c>
      <x:c r="O129" s="7" t="str">
        <x:f>'Evaluation Plan'!O129</x:f>
        <x:v>Exact-scene comparison against the preceding seen-state baseline. The target switches to the other matched black cup.</x:v>
      </x:c>
      <x:c r="P129" s="7" t="str">
        <x:f>IF('Evaluation Plan'!P129=0,"",'Evaluation Plan'!P129)</x:f>
      </x:c>
    </x:row>
    <x:row r="130" ht="58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Place the upside-down black cup in the bowl.</x:v>
      </x:c>
      <x:c r="D130" s="10" t="str">
        <x:f>'Evaluation Plan'!D130</x:f>
        <x:v>P1 glass spice container B (C, UD); P2 black cup A (C, UD) [TARGET]; P3 black cup B (C, UR) [STATE COMPETITOR]; P4 white cup A (O, UR)</x:v>
      </x:c>
      <x:c r="E130" s="9" t="str">
        <x:f>IF('Evaluation Plan'!H130="Exact-scene opposite-state contrast",'Evaluation Plan'!E130,IF('Evaluation Plan'!H130="Language robustness",'Evaluation Plan'!E130,IF('Evaluation Plan'!H130="Matched manipulation control",'Evaluation Plan'!E130,IF('Evaluation Plan'!H130="Black-cup held-out-state composition",'Evaluation Plan'!E130,""))))</x:f>
      </x:c>
      <x:c r="F130" s="9" t="str">
        <x:f>'Evaluation Plan'!F130</x:f>
        <x:v>black cup A</x:v>
      </x:c>
      <x:c r="G130" s="10"/>
      <x:c r="H130" s="9" t="str">
        <x:f>'Evaluation Plan'!H130</x:f>
        <x:v>Black-cup seen-state baseline</x:v>
      </x:c>
      <x:c r="I130" s="9" t="str">
        <x:f>'Evaluation Plan'!I130</x:f>
        <x:v>SR-BLK10</x:v>
      </x:c>
      <x:c r="J130" s="9" t="str">
        <x:f>'Evaluation Plan'!J130</x:f>
        <x:v>upside-down</x:v>
      </x:c>
      <x:c r="K130" s="9" t="n">
        <x:f>'Evaluation Plan'!K130</x:f>
        <x:v>4</x:v>
      </x:c>
      <x:c r="L130" s="9" t="str">
        <x:f>'Evaluation Plan'!L130</x:f>
        <x:v>1 — Seen-state black-cup baseline — Globally unseen category + seen state word (upside-down)</x:v>
      </x:c>
      <x:c r="M130" s="9" t="n">
        <x:f>'Evaluation Plan'!M130</x:f>
        <x:v>60</x:v>
      </x:c>
      <x:c r="N130" s="10" t="str">
        <x:f>'Evaluation Plan'!N130</x:f>
        <x:v>Build the listed scene with black cups A and B in opposite states on the queried axis.</x:v>
      </x:c>
      <x:c r="O130" s="10" t="str">
        <x:f>'Evaluation Plan'!O130</x:f>
        <x:v>The black category is novel, but the state word was explicitly seen during fine-tuning. Two black cups force state-based selection.</x:v>
      </x:c>
      <x:c r="P130" s="10" t="str">
        <x:f>IF('Evaluation Plan'!P130=0,"",'Evaluation Plan'!P130)</x:f>
      </x:c>
    </x:row>
    <x:row r="131" ht="58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Place the upright black cup in the bowl.</x:v>
      </x:c>
      <x:c r="D131" s="7" t="str">
        <x:f>'Evaluation Plan'!D131</x:f>
        <x:v>P1 glass spice container B (C, UD); P2 black cup A (C, UD) [STATE COMPETITOR]; P3 black cup B (C, UR) [TARGET]; P4 white cup A (O, UR)</x:v>
      </x:c>
      <x:c r="E131" s="8" t="n">
        <x:f>IF('Evaluation Plan'!H131="Exact-scene opposite-state contrast",'Evaluation Plan'!E131,IF('Evaluation Plan'!H131="Language robustness",'Evaluation Plan'!E131,IF('Evaluation Plan'!H131="Matched manipulation control",'Evaluation Plan'!E131,IF('Evaluation Plan'!H131="Black-cup held-out-state composition",'Evaluation Plan'!E131,""))))</x:f>
        <x:v>128</x:v>
      </x:c>
      <x:c r="F131" s="8" t="str">
        <x:f>'Evaluation Plan'!F131</x:f>
        <x:v>black cup B</x:v>
      </x:c>
      <x:c r="G131" s="7"/>
      <x:c r="H131" s="8" t="str">
        <x:f>'Evaluation Plan'!H131</x:f>
        <x:v>Black-cup held-out-state composition</x:v>
      </x:c>
      <x:c r="I131" s="8" t="str">
        <x:f>'Evaluation Plan'!I131</x:f>
        <x:v>SR-BLK10</x:v>
      </x:c>
      <x:c r="J131" s="8" t="str">
        <x:f>'Evaluation Plan'!J131</x:f>
        <x:v>upright</x:v>
      </x:c>
      <x:c r="K131" s="8" t="n">
        <x:f>'Evaluation Plan'!K131</x:f>
        <x:v>4</x:v>
      </x:c>
      <x:c r="L131" s="8" t="str">
        <x:f>'Evaluation Plan'!L131</x:f>
        <x:v>2 — Held-out-state black-cup composition — Globally unseen category + held-out state word (upright)</x:v>
      </x:c>
      <x:c r="M131" s="8" t="n">
        <x:f>'Evaluation Plan'!M131</x:f>
        <x:v>60</x:v>
      </x:c>
      <x:c r="N131" s="7" t="str">
        <x:f>'Evaluation Plan'!N131</x:f>
        <x:v>Reset black cup A to its marked position. Do not alter any object or state; only change the prompt and expected target.</x:v>
      </x:c>
      <x:c r="O131" s="7" t="str">
        <x:f>'Evaluation Plan'!O131</x:f>
        <x:v>Exact-scene comparison against the preceding seen-state baseline. The target switches to the other matched black cup.</x:v>
      </x:c>
      <x:c r="P131" s="7" t="str">
        <x:f>IF('Evaluation Plan'!P131=0,"",'Evaluation Plan'!P131)</x:f>
      </x:c>
    </x:row>
  </x:sheetData>
  <x:conditionalFormatting sqref="A2:P131">
    <x:cfRule type="expression" dxfId="15" priority="1">
      <x:formula>$A2="Success"</x:formula>
    </x:cfRule>
    <x:cfRule type="expression" dxfId="16" priority="2">
      <x:formula>$A2="Failure"</x:formula>
    </x:cfRule>
  </x:conditionalFormatting>
  <x:conditionalFormatting sqref="H2:H131">
    <x:cfRule type="containsText" dxfId="17" priority="3" operator="containsText" text="Exact-scene opposite-state contrast"/>
  </x:conditionalFormatting>
  <x:dataValidations count="1">
    <x:dataValidation type="list" sqref="A2:A13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772545882e4e58"/>
  </x:tableParts>
</x:worksheet>
</file>